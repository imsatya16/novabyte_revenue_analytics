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2_Excel_Analysis\"/>
    </mc:Choice>
  </mc:AlternateContent>
  <xr:revisionPtr revIDLastSave="0" documentId="13_ncr:1_{281CEFF9-F3FD-41D9-8E47-8923E544FA91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Summary" sheetId="10" r:id="rId1"/>
    <sheet name="Raw_Sales_Deals" sheetId="2" r:id="rId2"/>
    <sheet name="Raw_Finance_Expenses" sheetId="4" r:id="rId3"/>
    <sheet name="Cleaned_Sales_Deals" sheetId="3" r:id="rId4"/>
    <sheet name="Cleaned_Finance_Expenses" sheetId="5" r:id="rId5"/>
    <sheet name="Sales Analysis" sheetId="1" r:id="rId6"/>
    <sheet name="Finance Analysis" sheetId="6" r:id="rId7"/>
  </sheets>
  <definedNames>
    <definedName name="ExternalData_1" localSheetId="4" hidden="1">'Cleaned_Finance_Expenses'!$A$1:$O$1001</definedName>
    <definedName name="ExternalData_1" localSheetId="3" hidden="1">'Cleaned_Sales_Deals'!$A$1:$M$2501</definedName>
    <definedName name="ExternalData_1" localSheetId="2" hidden="1">'Raw_Finance_Expenses'!$A$1:$L$1026</definedName>
    <definedName name="ExternalData_1" localSheetId="1" hidden="1">'Raw_Sales_Deals'!$A$1:$M$2541</definedName>
  </definedNames>
  <calcPr calcId="191029" iterateDelta="1E-4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D21" i="6"/>
  <c r="F21" i="6" s="1"/>
  <c r="D22" i="6"/>
  <c r="E22" i="6" s="1"/>
  <c r="B72" i="1"/>
  <c r="B61" i="1"/>
  <c r="R3" i="3"/>
  <c r="C61" i="1"/>
  <c r="C72" i="1"/>
  <c r="C73" i="1"/>
  <c r="C74" i="1"/>
  <c r="C75" i="1"/>
  <c r="C76" i="1"/>
  <c r="C77" i="1"/>
  <c r="C78" i="1"/>
  <c r="C79" i="1"/>
  <c r="C71" i="1"/>
  <c r="B78" i="1"/>
  <c r="B79" i="1"/>
  <c r="B73" i="1"/>
  <c r="B74" i="1"/>
  <c r="B75" i="1"/>
  <c r="B76" i="1"/>
  <c r="B77" i="1"/>
  <c r="B71" i="1"/>
  <c r="C62" i="1"/>
  <c r="C63" i="1"/>
  <c r="C64" i="1"/>
  <c r="C65" i="1"/>
  <c r="C66" i="1"/>
  <c r="B66" i="1"/>
  <c r="B65" i="1"/>
  <c r="B64" i="1"/>
  <c r="B63" i="1"/>
  <c r="B62" i="1"/>
  <c r="C53" i="1"/>
  <c r="C52" i="1"/>
  <c r="C51" i="1"/>
  <c r="C50" i="1"/>
  <c r="B51" i="1"/>
  <c r="B52" i="1"/>
  <c r="B53" i="1"/>
  <c r="B5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B31" i="1"/>
  <c r="E31" i="1" s="1"/>
  <c r="B32" i="1"/>
  <c r="B33" i="1"/>
  <c r="B34" i="1"/>
  <c r="B35" i="1"/>
  <c r="B36" i="1"/>
  <c r="B37" i="1"/>
  <c r="B38" i="1"/>
  <c r="D38" i="1" s="1"/>
  <c r="B39" i="1"/>
  <c r="B40" i="1"/>
  <c r="B41" i="1"/>
  <c r="B42" i="1"/>
  <c r="B43" i="1"/>
  <c r="B44" i="1"/>
  <c r="B45" i="1"/>
  <c r="B46" i="1"/>
  <c r="R4" i="3"/>
  <c r="D23" i="6"/>
  <c r="F23" i="6" s="1"/>
  <c r="D24" i="6"/>
  <c r="F24" i="6" s="1"/>
  <c r="D25" i="6"/>
  <c r="E25" i="6" s="1"/>
  <c r="D26" i="6"/>
  <c r="F26" i="6" s="1"/>
  <c r="D27" i="6"/>
  <c r="E27" i="6" s="1"/>
  <c r="D28" i="6"/>
  <c r="F28" i="6" s="1"/>
  <c r="D41" i="1" l="1"/>
  <c r="E21" i="6"/>
  <c r="F22" i="6"/>
  <c r="E35" i="1"/>
  <c r="E37" i="1"/>
  <c r="E33" i="1"/>
  <c r="E32" i="1"/>
  <c r="E44" i="1"/>
  <c r="E45" i="1"/>
  <c r="E36" i="1"/>
  <c r="E50" i="1"/>
  <c r="E34" i="1"/>
  <c r="E46" i="1"/>
  <c r="E40" i="1"/>
  <c r="E39" i="1"/>
  <c r="D43" i="1"/>
  <c r="D34" i="1"/>
  <c r="E42" i="1"/>
  <c r="E51" i="1"/>
  <c r="E52" i="1"/>
  <c r="E53" i="1"/>
  <c r="E43" i="1"/>
  <c r="E41" i="1"/>
  <c r="E38" i="1"/>
  <c r="D33" i="1"/>
  <c r="E28" i="6"/>
  <c r="F25" i="6"/>
  <c r="E26" i="6"/>
  <c r="F27" i="6"/>
  <c r="E24" i="6"/>
  <c r="E23" i="6"/>
  <c r="D35" i="1"/>
  <c r="D46" i="1"/>
  <c r="D44" i="1"/>
  <c r="D36" i="1"/>
  <c r="D37" i="1"/>
  <c r="D42" i="1"/>
  <c r="D40" i="1"/>
  <c r="D32" i="1"/>
  <c r="D45" i="1"/>
  <c r="D39" i="1"/>
  <c r="D31" i="1"/>
  <c r="D51" i="1"/>
  <c r="D50" i="1"/>
  <c r="D53" i="1"/>
  <c r="D52" i="1"/>
  <c r="R5" i="3"/>
  <c r="R6" i="3"/>
  <c r="N3" i="3" l="1"/>
  <c r="N11" i="3"/>
  <c r="N19" i="3"/>
  <c r="N27" i="3"/>
  <c r="N35" i="3"/>
  <c r="N43" i="3"/>
  <c r="N51" i="3"/>
  <c r="N59" i="3"/>
  <c r="N67" i="3"/>
  <c r="N75" i="3"/>
  <c r="N83" i="3"/>
  <c r="N91" i="3"/>
  <c r="N99" i="3"/>
  <c r="N107" i="3"/>
  <c r="N115" i="3"/>
  <c r="N123" i="3"/>
  <c r="N131" i="3"/>
  <c r="N139" i="3"/>
  <c r="N147" i="3"/>
  <c r="N155" i="3"/>
  <c r="N163" i="3"/>
  <c r="N171" i="3"/>
  <c r="N179" i="3"/>
  <c r="N187" i="3"/>
  <c r="N195" i="3"/>
  <c r="N203" i="3"/>
  <c r="N211" i="3"/>
  <c r="N219" i="3"/>
  <c r="N227" i="3"/>
  <c r="N235" i="3"/>
  <c r="N243" i="3"/>
  <c r="N251" i="3"/>
  <c r="N259" i="3"/>
  <c r="N267" i="3"/>
  <c r="N275" i="3"/>
  <c r="N283" i="3"/>
  <c r="N291" i="3"/>
  <c r="N299" i="3"/>
  <c r="N307" i="3"/>
  <c r="N315" i="3"/>
  <c r="N323" i="3"/>
  <c r="N331" i="3"/>
  <c r="N339" i="3"/>
  <c r="N347" i="3"/>
  <c r="N355" i="3"/>
  <c r="N363" i="3"/>
  <c r="N371" i="3"/>
  <c r="N379" i="3"/>
  <c r="N387" i="3"/>
  <c r="N395" i="3"/>
  <c r="N403" i="3"/>
  <c r="N411" i="3"/>
  <c r="N419" i="3"/>
  <c r="N427" i="3"/>
  <c r="N435" i="3"/>
  <c r="N443" i="3"/>
  <c r="N451" i="3"/>
  <c r="N459" i="3"/>
  <c r="N467" i="3"/>
  <c r="N475" i="3"/>
  <c r="N483" i="3"/>
  <c r="N491" i="3"/>
  <c r="N499" i="3"/>
  <c r="N507" i="3"/>
  <c r="N515" i="3"/>
  <c r="N523" i="3"/>
  <c r="N531" i="3"/>
  <c r="N539" i="3"/>
  <c r="N547" i="3"/>
  <c r="N555" i="3"/>
  <c r="N563" i="3"/>
  <c r="N571" i="3"/>
  <c r="N579" i="3"/>
  <c r="N587" i="3"/>
  <c r="N595" i="3"/>
  <c r="N603" i="3"/>
  <c r="N611" i="3"/>
  <c r="N619" i="3"/>
  <c r="N627" i="3"/>
  <c r="N635" i="3"/>
  <c r="N643" i="3"/>
  <c r="N651" i="3"/>
  <c r="N659" i="3"/>
  <c r="N667" i="3"/>
  <c r="N675" i="3"/>
  <c r="N4" i="3"/>
  <c r="N12" i="3"/>
  <c r="N20" i="3"/>
  <c r="N28" i="3"/>
  <c r="N36" i="3"/>
  <c r="N44" i="3"/>
  <c r="N52" i="3"/>
  <c r="N60" i="3"/>
  <c r="N68" i="3"/>
  <c r="N76" i="3"/>
  <c r="N84" i="3"/>
  <c r="N92" i="3"/>
  <c r="N100" i="3"/>
  <c r="N108" i="3"/>
  <c r="N116" i="3"/>
  <c r="N124" i="3"/>
  <c r="N132" i="3"/>
  <c r="N140" i="3"/>
  <c r="N148" i="3"/>
  <c r="N156" i="3"/>
  <c r="N164" i="3"/>
  <c r="N172" i="3"/>
  <c r="N180" i="3"/>
  <c r="N188" i="3"/>
  <c r="N196" i="3"/>
  <c r="N204" i="3"/>
  <c r="N212" i="3"/>
  <c r="N220" i="3"/>
  <c r="N228" i="3"/>
  <c r="N236" i="3"/>
  <c r="N244" i="3"/>
  <c r="N252" i="3"/>
  <c r="N260" i="3"/>
  <c r="N268" i="3"/>
  <c r="N276" i="3"/>
  <c r="N284" i="3"/>
  <c r="N292" i="3"/>
  <c r="N300" i="3"/>
  <c r="N308" i="3"/>
  <c r="N316" i="3"/>
  <c r="N324" i="3"/>
  <c r="N332" i="3"/>
  <c r="N340" i="3"/>
  <c r="N348" i="3"/>
  <c r="N356" i="3"/>
  <c r="N364" i="3"/>
  <c r="N372" i="3"/>
  <c r="N380" i="3"/>
  <c r="N388" i="3"/>
  <c r="N396" i="3"/>
  <c r="N404" i="3"/>
  <c r="N412" i="3"/>
  <c r="N420" i="3"/>
  <c r="N428" i="3"/>
  <c r="N436" i="3"/>
  <c r="N444" i="3"/>
  <c r="N452" i="3"/>
  <c r="N460" i="3"/>
  <c r="N468" i="3"/>
  <c r="N476" i="3"/>
  <c r="N484" i="3"/>
  <c r="N492" i="3"/>
  <c r="N500" i="3"/>
  <c r="N508" i="3"/>
  <c r="N516" i="3"/>
  <c r="N524" i="3"/>
  <c r="N532" i="3"/>
  <c r="N540" i="3"/>
  <c r="N548" i="3"/>
  <c r="N556" i="3"/>
  <c r="N564" i="3"/>
  <c r="N572" i="3"/>
  <c r="N580" i="3"/>
  <c r="N588" i="3"/>
  <c r="N596" i="3"/>
  <c r="N604" i="3"/>
  <c r="N612" i="3"/>
  <c r="N620" i="3"/>
  <c r="N628" i="3"/>
  <c r="N636" i="3"/>
  <c r="N644" i="3"/>
  <c r="N6" i="3"/>
  <c r="N14" i="3"/>
  <c r="N22" i="3"/>
  <c r="N30" i="3"/>
  <c r="N38" i="3"/>
  <c r="N46" i="3"/>
  <c r="N7" i="3"/>
  <c r="N15" i="3"/>
  <c r="N23" i="3"/>
  <c r="N31" i="3"/>
  <c r="N39" i="3"/>
  <c r="N8" i="3"/>
  <c r="N16" i="3"/>
  <c r="N24" i="3"/>
  <c r="N32" i="3"/>
  <c r="N40" i="3"/>
  <c r="N48" i="3"/>
  <c r="N56" i="3"/>
  <c r="N64" i="3"/>
  <c r="N72" i="3"/>
  <c r="N80" i="3"/>
  <c r="N88" i="3"/>
  <c r="N96" i="3"/>
  <c r="N104" i="3"/>
  <c r="N112" i="3"/>
  <c r="N120" i="3"/>
  <c r="N128" i="3"/>
  <c r="N136" i="3"/>
  <c r="N144" i="3"/>
  <c r="N152" i="3"/>
  <c r="N160" i="3"/>
  <c r="N168" i="3"/>
  <c r="N176" i="3"/>
  <c r="N184" i="3"/>
  <c r="N192" i="3"/>
  <c r="N200" i="3"/>
  <c r="N208" i="3"/>
  <c r="N216" i="3"/>
  <c r="N224" i="3"/>
  <c r="N232" i="3"/>
  <c r="N240" i="3"/>
  <c r="N248" i="3"/>
  <c r="N256" i="3"/>
  <c r="N264" i="3"/>
  <c r="N272" i="3"/>
  <c r="N280" i="3"/>
  <c r="N288" i="3"/>
  <c r="N296" i="3"/>
  <c r="N304" i="3"/>
  <c r="N312" i="3"/>
  <c r="N320" i="3"/>
  <c r="N328" i="3"/>
  <c r="N336" i="3"/>
  <c r="N344" i="3"/>
  <c r="N352" i="3"/>
  <c r="N360" i="3"/>
  <c r="N368" i="3"/>
  <c r="N376" i="3"/>
  <c r="N384" i="3"/>
  <c r="N392" i="3"/>
  <c r="N400" i="3"/>
  <c r="N408" i="3"/>
  <c r="N416" i="3"/>
  <c r="N424" i="3"/>
  <c r="N432" i="3"/>
  <c r="N440" i="3"/>
  <c r="N448" i="3"/>
  <c r="N456" i="3"/>
  <c r="N464" i="3"/>
  <c r="N472" i="3"/>
  <c r="N480" i="3"/>
  <c r="N488" i="3"/>
  <c r="N496" i="3"/>
  <c r="N504" i="3"/>
  <c r="N512" i="3"/>
  <c r="N520" i="3"/>
  <c r="N528" i="3"/>
  <c r="N536" i="3"/>
  <c r="N544" i="3"/>
  <c r="N552" i="3"/>
  <c r="N560" i="3"/>
  <c r="N568" i="3"/>
  <c r="N576" i="3"/>
  <c r="N584" i="3"/>
  <c r="N592" i="3"/>
  <c r="N600" i="3"/>
  <c r="N608" i="3"/>
  <c r="N616" i="3"/>
  <c r="N624" i="3"/>
  <c r="N632" i="3"/>
  <c r="N640" i="3"/>
  <c r="N648" i="3"/>
  <c r="N656" i="3"/>
  <c r="N664" i="3"/>
  <c r="N672" i="3"/>
  <c r="N680" i="3"/>
  <c r="N2" i="3"/>
  <c r="N25" i="3"/>
  <c r="N45" i="3"/>
  <c r="N58" i="3"/>
  <c r="N71" i="3"/>
  <c r="N85" i="3"/>
  <c r="N97" i="3"/>
  <c r="N110" i="3"/>
  <c r="N122" i="3"/>
  <c r="N135" i="3"/>
  <c r="N149" i="3"/>
  <c r="N161" i="3"/>
  <c r="N174" i="3"/>
  <c r="N186" i="3"/>
  <c r="N199" i="3"/>
  <c r="N213" i="3"/>
  <c r="N225" i="3"/>
  <c r="N238" i="3"/>
  <c r="N250" i="3"/>
  <c r="N263" i="3"/>
  <c r="N277" i="3"/>
  <c r="N289" i="3"/>
  <c r="N302" i="3"/>
  <c r="N314" i="3"/>
  <c r="N327" i="3"/>
  <c r="N341" i="3"/>
  <c r="N353" i="3"/>
  <c r="N366" i="3"/>
  <c r="N378" i="3"/>
  <c r="N391" i="3"/>
  <c r="N405" i="3"/>
  <c r="N417" i="3"/>
  <c r="N430" i="3"/>
  <c r="N442" i="3"/>
  <c r="N455" i="3"/>
  <c r="N469" i="3"/>
  <c r="N481" i="3"/>
  <c r="N494" i="3"/>
  <c r="N506" i="3"/>
  <c r="N519" i="3"/>
  <c r="N533" i="3"/>
  <c r="N545" i="3"/>
  <c r="N558" i="3"/>
  <c r="N570" i="3"/>
  <c r="N583" i="3"/>
  <c r="N597" i="3"/>
  <c r="N609" i="3"/>
  <c r="N622" i="3"/>
  <c r="N634" i="3"/>
  <c r="N647" i="3"/>
  <c r="N5" i="3"/>
  <c r="N26" i="3"/>
  <c r="N47" i="3"/>
  <c r="N61" i="3"/>
  <c r="N73" i="3"/>
  <c r="N86" i="3"/>
  <c r="N98" i="3"/>
  <c r="N111" i="3"/>
  <c r="N125" i="3"/>
  <c r="N137" i="3"/>
  <c r="N150" i="3"/>
  <c r="N162" i="3"/>
  <c r="N175" i="3"/>
  <c r="N189" i="3"/>
  <c r="N201" i="3"/>
  <c r="N214" i="3"/>
  <c r="N226" i="3"/>
  <c r="N239" i="3"/>
  <c r="N253" i="3"/>
  <c r="N265" i="3"/>
  <c r="N278" i="3"/>
  <c r="N290" i="3"/>
  <c r="N303" i="3"/>
  <c r="N317" i="3"/>
  <c r="N329" i="3"/>
  <c r="N342" i="3"/>
  <c r="N354" i="3"/>
  <c r="N367" i="3"/>
  <c r="N381" i="3"/>
  <c r="N393" i="3"/>
  <c r="N406" i="3"/>
  <c r="N418" i="3"/>
  <c r="N431" i="3"/>
  <c r="N445" i="3"/>
  <c r="N457" i="3"/>
  <c r="N470" i="3"/>
  <c r="N482" i="3"/>
  <c r="N495" i="3"/>
  <c r="N509" i="3"/>
  <c r="N521" i="3"/>
  <c r="N534" i="3"/>
  <c r="N546" i="3"/>
  <c r="N559" i="3"/>
  <c r="N573" i="3"/>
  <c r="N10" i="3"/>
  <c r="N33" i="3"/>
  <c r="N50" i="3"/>
  <c r="N63" i="3"/>
  <c r="N77" i="3"/>
  <c r="N89" i="3"/>
  <c r="N102" i="3"/>
  <c r="N114" i="3"/>
  <c r="N127" i="3"/>
  <c r="N141" i="3"/>
  <c r="N153" i="3"/>
  <c r="N166" i="3"/>
  <c r="N178" i="3"/>
  <c r="N191" i="3"/>
  <c r="N205" i="3"/>
  <c r="N217" i="3"/>
  <c r="N230" i="3"/>
  <c r="N242" i="3"/>
  <c r="N255" i="3"/>
  <c r="N269" i="3"/>
  <c r="N281" i="3"/>
  <c r="N294" i="3"/>
  <c r="N306" i="3"/>
  <c r="N319" i="3"/>
  <c r="N333" i="3"/>
  <c r="N345" i="3"/>
  <c r="N358" i="3"/>
  <c r="N370" i="3"/>
  <c r="N383" i="3"/>
  <c r="N397" i="3"/>
  <c r="N409" i="3"/>
  <c r="N422" i="3"/>
  <c r="N434" i="3"/>
  <c r="N447" i="3"/>
  <c r="N461" i="3"/>
  <c r="N473" i="3"/>
  <c r="N486" i="3"/>
  <c r="N498" i="3"/>
  <c r="N511" i="3"/>
  <c r="N525" i="3"/>
  <c r="N537" i="3"/>
  <c r="N550" i="3"/>
  <c r="N562" i="3"/>
  <c r="N575" i="3"/>
  <c r="N589" i="3"/>
  <c r="N601" i="3"/>
  <c r="N614" i="3"/>
  <c r="N626" i="3"/>
  <c r="N639" i="3"/>
  <c r="N652" i="3"/>
  <c r="N662" i="3"/>
  <c r="N673" i="3"/>
  <c r="N683" i="3"/>
  <c r="N691" i="3"/>
  <c r="N699" i="3"/>
  <c r="N707" i="3"/>
  <c r="N715" i="3"/>
  <c r="N723" i="3"/>
  <c r="N731" i="3"/>
  <c r="N739" i="3"/>
  <c r="N747" i="3"/>
  <c r="N755" i="3"/>
  <c r="N763" i="3"/>
  <c r="N771" i="3"/>
  <c r="N779" i="3"/>
  <c r="N787" i="3"/>
  <c r="N795" i="3"/>
  <c r="N803" i="3"/>
  <c r="N811" i="3"/>
  <c r="N819" i="3"/>
  <c r="N827" i="3"/>
  <c r="N835" i="3"/>
  <c r="N843" i="3"/>
  <c r="N851" i="3"/>
  <c r="N859" i="3"/>
  <c r="N867" i="3"/>
  <c r="N875" i="3"/>
  <c r="N883" i="3"/>
  <c r="N891" i="3"/>
  <c r="N899" i="3"/>
  <c r="N907" i="3"/>
  <c r="N915" i="3"/>
  <c r="N923" i="3"/>
  <c r="N931" i="3"/>
  <c r="N939" i="3"/>
  <c r="N13" i="3"/>
  <c r="N34" i="3"/>
  <c r="N53" i="3"/>
  <c r="N65" i="3"/>
  <c r="N78" i="3"/>
  <c r="N90" i="3"/>
  <c r="N103" i="3"/>
  <c r="N117" i="3"/>
  <c r="N129" i="3"/>
  <c r="N142" i="3"/>
  <c r="N154" i="3"/>
  <c r="N167" i="3"/>
  <c r="N181" i="3"/>
  <c r="N193" i="3"/>
  <c r="N206" i="3"/>
  <c r="N218" i="3"/>
  <c r="N231" i="3"/>
  <c r="N245" i="3"/>
  <c r="N257" i="3"/>
  <c r="N270" i="3"/>
  <c r="N282" i="3"/>
  <c r="N295" i="3"/>
  <c r="N309" i="3"/>
  <c r="N321" i="3"/>
  <c r="N334" i="3"/>
  <c r="N346" i="3"/>
  <c r="N359" i="3"/>
  <c r="N373" i="3"/>
  <c r="N385" i="3"/>
  <c r="N398" i="3"/>
  <c r="N410" i="3"/>
  <c r="N423" i="3"/>
  <c r="N437" i="3"/>
  <c r="N449" i="3"/>
  <c r="N462" i="3"/>
  <c r="N474" i="3"/>
  <c r="N487" i="3"/>
  <c r="N501" i="3"/>
  <c r="N513" i="3"/>
  <c r="N526" i="3"/>
  <c r="N538" i="3"/>
  <c r="N551" i="3"/>
  <c r="N565" i="3"/>
  <c r="N577" i="3"/>
  <c r="N590" i="3"/>
  <c r="N602" i="3"/>
  <c r="N615" i="3"/>
  <c r="N629" i="3"/>
  <c r="N641" i="3"/>
  <c r="N17" i="3"/>
  <c r="N37" i="3"/>
  <c r="N54" i="3"/>
  <c r="N66" i="3"/>
  <c r="N79" i="3"/>
  <c r="N93" i="3"/>
  <c r="N105" i="3"/>
  <c r="N118" i="3"/>
  <c r="N130" i="3"/>
  <c r="N143" i="3"/>
  <c r="N157" i="3"/>
  <c r="N169" i="3"/>
  <c r="N182" i="3"/>
  <c r="N194" i="3"/>
  <c r="N207" i="3"/>
  <c r="N221" i="3"/>
  <c r="N233" i="3"/>
  <c r="N246" i="3"/>
  <c r="N258" i="3"/>
  <c r="N271" i="3"/>
  <c r="N285" i="3"/>
  <c r="N297" i="3"/>
  <c r="N310" i="3"/>
  <c r="N322" i="3"/>
  <c r="N335" i="3"/>
  <c r="N349" i="3"/>
  <c r="N361" i="3"/>
  <c r="N374" i="3"/>
  <c r="N386" i="3"/>
  <c r="N399" i="3"/>
  <c r="N413" i="3"/>
  <c r="N425" i="3"/>
  <c r="N438" i="3"/>
  <c r="N450" i="3"/>
  <c r="N463" i="3"/>
  <c r="N477" i="3"/>
  <c r="N489" i="3"/>
  <c r="N502" i="3"/>
  <c r="N514" i="3"/>
  <c r="N527" i="3"/>
  <c r="N541" i="3"/>
  <c r="N553" i="3"/>
  <c r="N566" i="3"/>
  <c r="N578" i="3"/>
  <c r="N591" i="3"/>
  <c r="N605" i="3"/>
  <c r="N617" i="3"/>
  <c r="N630" i="3"/>
  <c r="N642" i="3"/>
  <c r="N654" i="3"/>
  <c r="N665" i="3"/>
  <c r="N676" i="3"/>
  <c r="N685" i="3"/>
  <c r="N693" i="3"/>
  <c r="N701" i="3"/>
  <c r="N709" i="3"/>
  <c r="N717" i="3"/>
  <c r="N725" i="3"/>
  <c r="N733" i="3"/>
  <c r="N741" i="3"/>
  <c r="N749" i="3"/>
  <c r="N757" i="3"/>
  <c r="N765" i="3"/>
  <c r="N773" i="3"/>
  <c r="N781" i="3"/>
  <c r="N789" i="3"/>
  <c r="N797" i="3"/>
  <c r="N805" i="3"/>
  <c r="N813" i="3"/>
  <c r="N821" i="3"/>
  <c r="N829" i="3"/>
  <c r="N837" i="3"/>
  <c r="N845" i="3"/>
  <c r="N853" i="3"/>
  <c r="N861" i="3"/>
  <c r="N869" i="3"/>
  <c r="N877" i="3"/>
  <c r="N885" i="3"/>
  <c r="N893" i="3"/>
  <c r="N901" i="3"/>
  <c r="N909" i="3"/>
  <c r="N917" i="3"/>
  <c r="N925" i="3"/>
  <c r="N933" i="3"/>
  <c r="N941" i="3"/>
  <c r="N18" i="3"/>
  <c r="N62" i="3"/>
  <c r="N95" i="3"/>
  <c r="N133" i="3"/>
  <c r="N165" i="3"/>
  <c r="N198" i="3"/>
  <c r="N234" i="3"/>
  <c r="N266" i="3"/>
  <c r="N301" i="3"/>
  <c r="N337" i="3"/>
  <c r="N369" i="3"/>
  <c r="N402" i="3"/>
  <c r="N439" i="3"/>
  <c r="N471" i="3"/>
  <c r="N505" i="3"/>
  <c r="N542" i="3"/>
  <c r="N574" i="3"/>
  <c r="N599" i="3"/>
  <c r="N625" i="3"/>
  <c r="N650" i="3"/>
  <c r="N666" i="3"/>
  <c r="N679" i="3"/>
  <c r="N690" i="3"/>
  <c r="N702" i="3"/>
  <c r="N712" i="3"/>
  <c r="N722" i="3"/>
  <c r="N734" i="3"/>
  <c r="N744" i="3"/>
  <c r="N754" i="3"/>
  <c r="N21" i="3"/>
  <c r="N69" i="3"/>
  <c r="N101" i="3"/>
  <c r="N134" i="3"/>
  <c r="N170" i="3"/>
  <c r="N202" i="3"/>
  <c r="N237" i="3"/>
  <c r="N273" i="3"/>
  <c r="N305" i="3"/>
  <c r="N338" i="3"/>
  <c r="N375" i="3"/>
  <c r="N407" i="3"/>
  <c r="N441" i="3"/>
  <c r="N478" i="3"/>
  <c r="N510" i="3"/>
  <c r="N543" i="3"/>
  <c r="N581" i="3"/>
  <c r="N606" i="3"/>
  <c r="N631" i="3"/>
  <c r="N653" i="3"/>
  <c r="N668" i="3"/>
  <c r="N681" i="3"/>
  <c r="N692" i="3"/>
  <c r="N703" i="3"/>
  <c r="N713" i="3"/>
  <c r="N724" i="3"/>
  <c r="N735" i="3"/>
  <c r="N745" i="3"/>
  <c r="N756" i="3"/>
  <c r="N767" i="3"/>
  <c r="N777" i="3"/>
  <c r="N788" i="3"/>
  <c r="N799" i="3"/>
  <c r="N809" i="3"/>
  <c r="N820" i="3"/>
  <c r="N831" i="3"/>
  <c r="N841" i="3"/>
  <c r="N852" i="3"/>
  <c r="N863" i="3"/>
  <c r="N873" i="3"/>
  <c r="N884" i="3"/>
  <c r="N895" i="3"/>
  <c r="N905" i="3"/>
  <c r="N916" i="3"/>
  <c r="N927" i="3"/>
  <c r="N937" i="3"/>
  <c r="N947" i="3"/>
  <c r="N955" i="3"/>
  <c r="N963" i="3"/>
  <c r="N971" i="3"/>
  <c r="N979" i="3"/>
  <c r="N987" i="3"/>
  <c r="N995" i="3"/>
  <c r="N1003" i="3"/>
  <c r="N1011" i="3"/>
  <c r="N1019" i="3"/>
  <c r="N1027" i="3"/>
  <c r="N1035" i="3"/>
  <c r="N1043" i="3"/>
  <c r="N1051" i="3"/>
  <c r="N1059" i="3"/>
  <c r="N1067" i="3"/>
  <c r="N1075" i="3"/>
  <c r="N1083" i="3"/>
  <c r="N1091" i="3"/>
  <c r="N1099" i="3"/>
  <c r="N1107" i="3"/>
  <c r="N1115" i="3"/>
  <c r="N1123" i="3"/>
  <c r="N1131" i="3"/>
  <c r="N1139" i="3"/>
  <c r="N1147" i="3"/>
  <c r="N1155" i="3"/>
  <c r="N1163" i="3"/>
  <c r="N1171" i="3"/>
  <c r="N1179" i="3"/>
  <c r="N1187" i="3"/>
  <c r="N1195" i="3"/>
  <c r="N1203" i="3"/>
  <c r="N1211" i="3"/>
  <c r="N1219" i="3"/>
  <c r="N1227" i="3"/>
  <c r="N1235" i="3"/>
  <c r="N1243" i="3"/>
  <c r="N1251" i="3"/>
  <c r="N41" i="3"/>
  <c r="N74" i="3"/>
  <c r="N109" i="3"/>
  <c r="N145" i="3"/>
  <c r="N177" i="3"/>
  <c r="N210" i="3"/>
  <c r="N247" i="3"/>
  <c r="N279" i="3"/>
  <c r="N313" i="3"/>
  <c r="N350" i="3"/>
  <c r="N382" i="3"/>
  <c r="N415" i="3"/>
  <c r="N453" i="3"/>
  <c r="N485" i="3"/>
  <c r="N518" i="3"/>
  <c r="N554" i="3"/>
  <c r="N585" i="3"/>
  <c r="N610" i="3"/>
  <c r="N637" i="3"/>
  <c r="N657" i="3"/>
  <c r="N670" i="3"/>
  <c r="N684" i="3"/>
  <c r="N695" i="3"/>
  <c r="N705" i="3"/>
  <c r="N716" i="3"/>
  <c r="N727" i="3"/>
  <c r="N737" i="3"/>
  <c r="N748" i="3"/>
  <c r="N759" i="3"/>
  <c r="N769" i="3"/>
  <c r="N780" i="3"/>
  <c r="N791" i="3"/>
  <c r="N801" i="3"/>
  <c r="N812" i="3"/>
  <c r="N49" i="3"/>
  <c r="N82" i="3"/>
  <c r="N119" i="3"/>
  <c r="N151" i="3"/>
  <c r="N185" i="3"/>
  <c r="N222" i="3"/>
  <c r="N254" i="3"/>
  <c r="N287" i="3"/>
  <c r="N325" i="3"/>
  <c r="N357" i="3"/>
  <c r="N390" i="3"/>
  <c r="N426" i="3"/>
  <c r="N458" i="3"/>
  <c r="N493" i="3"/>
  <c r="N529" i="3"/>
  <c r="N561" i="3"/>
  <c r="N593" i="3"/>
  <c r="N618" i="3"/>
  <c r="N645" i="3"/>
  <c r="N660" i="3"/>
  <c r="N674" i="3"/>
  <c r="N687" i="3"/>
  <c r="N697" i="3"/>
  <c r="N708" i="3"/>
  <c r="N719" i="3"/>
  <c r="N729" i="3"/>
  <c r="N740" i="3"/>
  <c r="N751" i="3"/>
  <c r="N761" i="3"/>
  <c r="N772" i="3"/>
  <c r="N783" i="3"/>
  <c r="N793" i="3"/>
  <c r="N804" i="3"/>
  <c r="N815" i="3"/>
  <c r="N825" i="3"/>
  <c r="N836" i="3"/>
  <c r="N847" i="3"/>
  <c r="N857" i="3"/>
  <c r="N868" i="3"/>
  <c r="N879" i="3"/>
  <c r="N889" i="3"/>
  <c r="N900" i="3"/>
  <c r="N911" i="3"/>
  <c r="N921" i="3"/>
  <c r="N932" i="3"/>
  <c r="N943" i="3"/>
  <c r="N951" i="3"/>
  <c r="N959" i="3"/>
  <c r="N967" i="3"/>
  <c r="N975" i="3"/>
  <c r="N983" i="3"/>
  <c r="N991" i="3"/>
  <c r="N999" i="3"/>
  <c r="N1007" i="3"/>
  <c r="N1015" i="3"/>
  <c r="N1023" i="3"/>
  <c r="N1031" i="3"/>
  <c r="N1039" i="3"/>
  <c r="N1047" i="3"/>
  <c r="N1055" i="3"/>
  <c r="N1063" i="3"/>
  <c r="N1071" i="3"/>
  <c r="N1079" i="3"/>
  <c r="N1087" i="3"/>
  <c r="N1095" i="3"/>
  <c r="N1103" i="3"/>
  <c r="N1111" i="3"/>
  <c r="N1119" i="3"/>
  <c r="N1127" i="3"/>
  <c r="N1135" i="3"/>
  <c r="N1143" i="3"/>
  <c r="N1151" i="3"/>
  <c r="N1159" i="3"/>
  <c r="N1167" i="3"/>
  <c r="N1175" i="3"/>
  <c r="N1183" i="3"/>
  <c r="N1191" i="3"/>
  <c r="N1199" i="3"/>
  <c r="N1207" i="3"/>
  <c r="N1215" i="3"/>
  <c r="N1223" i="3"/>
  <c r="N1231" i="3"/>
  <c r="N1239" i="3"/>
  <c r="N1247" i="3"/>
  <c r="N1255" i="3"/>
  <c r="N9" i="3"/>
  <c r="N94" i="3"/>
  <c r="N159" i="3"/>
  <c r="N229" i="3"/>
  <c r="N298" i="3"/>
  <c r="N365" i="3"/>
  <c r="N433" i="3"/>
  <c r="N503" i="3"/>
  <c r="N569" i="3"/>
  <c r="N623" i="3"/>
  <c r="N663" i="3"/>
  <c r="N689" i="3"/>
  <c r="N711" i="3"/>
  <c r="N732" i="3"/>
  <c r="N753" i="3"/>
  <c r="N774" i="3"/>
  <c r="N790" i="3"/>
  <c r="N807" i="3"/>
  <c r="N823" i="3"/>
  <c r="N838" i="3"/>
  <c r="N850" i="3"/>
  <c r="N865" i="3"/>
  <c r="N880" i="3"/>
  <c r="N894" i="3"/>
  <c r="N908" i="3"/>
  <c r="N922" i="3"/>
  <c r="N936" i="3"/>
  <c r="N949" i="3"/>
  <c r="N960" i="3"/>
  <c r="N970" i="3"/>
  <c r="N981" i="3"/>
  <c r="N992" i="3"/>
  <c r="N1002" i="3"/>
  <c r="N1013" i="3"/>
  <c r="N1024" i="3"/>
  <c r="N1034" i="3"/>
  <c r="N1045" i="3"/>
  <c r="N1056" i="3"/>
  <c r="N1066" i="3"/>
  <c r="N1077" i="3"/>
  <c r="N1088" i="3"/>
  <c r="N1098" i="3"/>
  <c r="N1109" i="3"/>
  <c r="N1120" i="3"/>
  <c r="N1130" i="3"/>
  <c r="N1141" i="3"/>
  <c r="N1152" i="3"/>
  <c r="N1162" i="3"/>
  <c r="N1173" i="3"/>
  <c r="N1184" i="3"/>
  <c r="N1194" i="3"/>
  <c r="N1205" i="3"/>
  <c r="N1216" i="3"/>
  <c r="N1226" i="3"/>
  <c r="N1237" i="3"/>
  <c r="N1248" i="3"/>
  <c r="N1258" i="3"/>
  <c r="N1266" i="3"/>
  <c r="N1274" i="3"/>
  <c r="N1282" i="3"/>
  <c r="N1290" i="3"/>
  <c r="N1298" i="3"/>
  <c r="N1306" i="3"/>
  <c r="N1314" i="3"/>
  <c r="N1322" i="3"/>
  <c r="N1330" i="3"/>
  <c r="N1338" i="3"/>
  <c r="N1346" i="3"/>
  <c r="N1354" i="3"/>
  <c r="N1362" i="3"/>
  <c r="N1370" i="3"/>
  <c r="N1378" i="3"/>
  <c r="N1386" i="3"/>
  <c r="N1394" i="3"/>
  <c r="N1402" i="3"/>
  <c r="N1410" i="3"/>
  <c r="N1418" i="3"/>
  <c r="N1426" i="3"/>
  <c r="N1434" i="3"/>
  <c r="N1442" i="3"/>
  <c r="N1450" i="3"/>
  <c r="N1458" i="3"/>
  <c r="N1466" i="3"/>
  <c r="N1474" i="3"/>
  <c r="N1482" i="3"/>
  <c r="N29" i="3"/>
  <c r="N106" i="3"/>
  <c r="N173" i="3"/>
  <c r="N241" i="3"/>
  <c r="N311" i="3"/>
  <c r="N377" i="3"/>
  <c r="N446" i="3"/>
  <c r="N517" i="3"/>
  <c r="N582" i="3"/>
  <c r="N633" i="3"/>
  <c r="N669" i="3"/>
  <c r="N694" i="3"/>
  <c r="N714" i="3"/>
  <c r="N736" i="3"/>
  <c r="N758" i="3"/>
  <c r="N775" i="3"/>
  <c r="N792" i="3"/>
  <c r="N808" i="3"/>
  <c r="N824" i="3"/>
  <c r="N839" i="3"/>
  <c r="N854" i="3"/>
  <c r="N866" i="3"/>
  <c r="N881" i="3"/>
  <c r="N896" i="3"/>
  <c r="N910" i="3"/>
  <c r="N924" i="3"/>
  <c r="N938" i="3"/>
  <c r="N950" i="3"/>
  <c r="N961" i="3"/>
  <c r="N972" i="3"/>
  <c r="N982" i="3"/>
  <c r="N993" i="3"/>
  <c r="N42" i="3"/>
  <c r="N113" i="3"/>
  <c r="N183" i="3"/>
  <c r="N249" i="3"/>
  <c r="N318" i="3"/>
  <c r="N389" i="3"/>
  <c r="N454" i="3"/>
  <c r="N522" i="3"/>
  <c r="N586" i="3"/>
  <c r="N638" i="3"/>
  <c r="N671" i="3"/>
  <c r="N696" i="3"/>
  <c r="N718" i="3"/>
  <c r="N738" i="3"/>
  <c r="N760" i="3"/>
  <c r="N776" i="3"/>
  <c r="N794" i="3"/>
  <c r="N810" i="3"/>
  <c r="N826" i="3"/>
  <c r="N840" i="3"/>
  <c r="N855" i="3"/>
  <c r="N870" i="3"/>
  <c r="N882" i="3"/>
  <c r="N897" i="3"/>
  <c r="N912" i="3"/>
  <c r="N926" i="3"/>
  <c r="N940" i="3"/>
  <c r="N952" i="3"/>
  <c r="N962" i="3"/>
  <c r="N973" i="3"/>
  <c r="N984" i="3"/>
  <c r="N994" i="3"/>
  <c r="N1005" i="3"/>
  <c r="N1016" i="3"/>
  <c r="N1026" i="3"/>
  <c r="N1037" i="3"/>
  <c r="N1048" i="3"/>
  <c r="N1058" i="3"/>
  <c r="N1069" i="3"/>
  <c r="N1080" i="3"/>
  <c r="N1090" i="3"/>
  <c r="N1101" i="3"/>
  <c r="N1112" i="3"/>
  <c r="N1122" i="3"/>
  <c r="N1133" i="3"/>
  <c r="N1144" i="3"/>
  <c r="N1154" i="3"/>
  <c r="N1165" i="3"/>
  <c r="N1176" i="3"/>
  <c r="N1186" i="3"/>
  <c r="N1197" i="3"/>
  <c r="N1208" i="3"/>
  <c r="N1218" i="3"/>
  <c r="N1229" i="3"/>
  <c r="N1240" i="3"/>
  <c r="N1250" i="3"/>
  <c r="N1260" i="3"/>
  <c r="N1268" i="3"/>
  <c r="N1276" i="3"/>
  <c r="N1284" i="3"/>
  <c r="N1292" i="3"/>
  <c r="N1300" i="3"/>
  <c r="N1308" i="3"/>
  <c r="N1316" i="3"/>
  <c r="N1324" i="3"/>
  <c r="N1332" i="3"/>
  <c r="N1340" i="3"/>
  <c r="N1348" i="3"/>
  <c r="N1356" i="3"/>
  <c r="N1364" i="3"/>
  <c r="N1372" i="3"/>
  <c r="N1380" i="3"/>
  <c r="N1388" i="3"/>
  <c r="N1396" i="3"/>
  <c r="N1404" i="3"/>
  <c r="N1412" i="3"/>
  <c r="N1420" i="3"/>
  <c r="N1428" i="3"/>
  <c r="N1436" i="3"/>
  <c r="N1444" i="3"/>
  <c r="N1452" i="3"/>
  <c r="N1460" i="3"/>
  <c r="N1468" i="3"/>
  <c r="N1476" i="3"/>
  <c r="N1484" i="3"/>
  <c r="N1492" i="3"/>
  <c r="N1500" i="3"/>
  <c r="N1508" i="3"/>
  <c r="N1516" i="3"/>
  <c r="N1524" i="3"/>
  <c r="N1532" i="3"/>
  <c r="N1540" i="3"/>
  <c r="N1548" i="3"/>
  <c r="N1556" i="3"/>
  <c r="N1564" i="3"/>
  <c r="N55" i="3"/>
  <c r="N121" i="3"/>
  <c r="N190" i="3"/>
  <c r="N261" i="3"/>
  <c r="N326" i="3"/>
  <c r="N394" i="3"/>
  <c r="N465" i="3"/>
  <c r="N530" i="3"/>
  <c r="N594" i="3"/>
  <c r="N646" i="3"/>
  <c r="N677" i="3"/>
  <c r="N698" i="3"/>
  <c r="N720" i="3"/>
  <c r="N742" i="3"/>
  <c r="N762" i="3"/>
  <c r="N778" i="3"/>
  <c r="N796" i="3"/>
  <c r="N814" i="3"/>
  <c r="N828" i="3"/>
  <c r="N842" i="3"/>
  <c r="N856" i="3"/>
  <c r="N871" i="3"/>
  <c r="N886" i="3"/>
  <c r="N898" i="3"/>
  <c r="N913" i="3"/>
  <c r="N928" i="3"/>
  <c r="N942" i="3"/>
  <c r="N953" i="3"/>
  <c r="N964" i="3"/>
  <c r="N974" i="3"/>
  <c r="N985" i="3"/>
  <c r="N996" i="3"/>
  <c r="N1006" i="3"/>
  <c r="N1017" i="3"/>
  <c r="N1028" i="3"/>
  <c r="N1038" i="3"/>
  <c r="N1049" i="3"/>
  <c r="N1060" i="3"/>
  <c r="N1070" i="3"/>
  <c r="N1081" i="3"/>
  <c r="N1092" i="3"/>
  <c r="N1102" i="3"/>
  <c r="N1113" i="3"/>
  <c r="N1124" i="3"/>
  <c r="N1134" i="3"/>
  <c r="N1145" i="3"/>
  <c r="N1156" i="3"/>
  <c r="N1166" i="3"/>
  <c r="N1177" i="3"/>
  <c r="N1188" i="3"/>
  <c r="N1198" i="3"/>
  <c r="N1209" i="3"/>
  <c r="N1220" i="3"/>
  <c r="N1230" i="3"/>
  <c r="N1241" i="3"/>
  <c r="N1252" i="3"/>
  <c r="N1261" i="3"/>
  <c r="N1269" i="3"/>
  <c r="N1277" i="3"/>
  <c r="N1285" i="3"/>
  <c r="N1293" i="3"/>
  <c r="N1301" i="3"/>
  <c r="N1309" i="3"/>
  <c r="N1317" i="3"/>
  <c r="N1325" i="3"/>
  <c r="N1333" i="3"/>
  <c r="N1341" i="3"/>
  <c r="N1349" i="3"/>
  <c r="N1357" i="3"/>
  <c r="N1365" i="3"/>
  <c r="N1373" i="3"/>
  <c r="N1381" i="3"/>
  <c r="N1389" i="3"/>
  <c r="N1397" i="3"/>
  <c r="N1405" i="3"/>
  <c r="N1413" i="3"/>
  <c r="N1421" i="3"/>
  <c r="N1429" i="3"/>
  <c r="N1437" i="3"/>
  <c r="N1445" i="3"/>
  <c r="N1453" i="3"/>
  <c r="N1461" i="3"/>
  <c r="N1469" i="3"/>
  <c r="N1477" i="3"/>
  <c r="N1485" i="3"/>
  <c r="N1493" i="3"/>
  <c r="N57" i="3"/>
  <c r="N126" i="3"/>
  <c r="N197" i="3"/>
  <c r="N262" i="3"/>
  <c r="N330" i="3"/>
  <c r="N401" i="3"/>
  <c r="N466" i="3"/>
  <c r="N535" i="3"/>
  <c r="N598" i="3"/>
  <c r="N649" i="3"/>
  <c r="N678" i="3"/>
  <c r="N700" i="3"/>
  <c r="N721" i="3"/>
  <c r="N743" i="3"/>
  <c r="N764" i="3"/>
  <c r="N782" i="3"/>
  <c r="N798" i="3"/>
  <c r="N816" i="3"/>
  <c r="N830" i="3"/>
  <c r="N844" i="3"/>
  <c r="N858" i="3"/>
  <c r="N872" i="3"/>
  <c r="N887" i="3"/>
  <c r="N902" i="3"/>
  <c r="N914" i="3"/>
  <c r="N929" i="3"/>
  <c r="N944" i="3"/>
  <c r="N954" i="3"/>
  <c r="N965" i="3"/>
  <c r="N976" i="3"/>
  <c r="N986" i="3"/>
  <c r="N997" i="3"/>
  <c r="N81" i="3"/>
  <c r="N146" i="3"/>
  <c r="N215" i="3"/>
  <c r="N286" i="3"/>
  <c r="N351" i="3"/>
  <c r="N421" i="3"/>
  <c r="N490" i="3"/>
  <c r="N557" i="3"/>
  <c r="N613" i="3"/>
  <c r="N658" i="3"/>
  <c r="N686" i="3"/>
  <c r="N706" i="3"/>
  <c r="N728" i="3"/>
  <c r="N750" i="3"/>
  <c r="N768" i="3"/>
  <c r="N785" i="3"/>
  <c r="N802" i="3"/>
  <c r="N818" i="3"/>
  <c r="N833" i="3"/>
  <c r="N848" i="3"/>
  <c r="N862" i="3"/>
  <c r="N876" i="3"/>
  <c r="N890" i="3"/>
  <c r="N904" i="3"/>
  <c r="N919" i="3"/>
  <c r="N934" i="3"/>
  <c r="N946" i="3"/>
  <c r="N957" i="3"/>
  <c r="N968" i="3"/>
  <c r="N978" i="3"/>
  <c r="N989" i="3"/>
  <c r="N1000" i="3"/>
  <c r="N1010" i="3"/>
  <c r="N1021" i="3"/>
  <c r="N1032" i="3"/>
  <c r="N1042" i="3"/>
  <c r="N1053" i="3"/>
  <c r="N1064" i="3"/>
  <c r="N1074" i="3"/>
  <c r="N1085" i="3"/>
  <c r="N1096" i="3"/>
  <c r="N1106" i="3"/>
  <c r="N1117" i="3"/>
  <c r="N1128" i="3"/>
  <c r="N1138" i="3"/>
  <c r="N1149" i="3"/>
  <c r="N1160" i="3"/>
  <c r="N1170" i="3"/>
  <c r="N1181" i="3"/>
  <c r="N1192" i="3"/>
  <c r="N1202" i="3"/>
  <c r="N1213" i="3"/>
  <c r="N1224" i="3"/>
  <c r="N1234" i="3"/>
  <c r="N1245" i="3"/>
  <c r="N1256" i="3"/>
  <c r="N1264" i="3"/>
  <c r="N1272" i="3"/>
  <c r="N1280" i="3"/>
  <c r="N1288" i="3"/>
  <c r="N1296" i="3"/>
  <c r="N1304" i="3"/>
  <c r="N1312" i="3"/>
  <c r="N1320" i="3"/>
  <c r="N1328" i="3"/>
  <c r="N1336" i="3"/>
  <c r="N1344" i="3"/>
  <c r="N1352" i="3"/>
  <c r="N1360" i="3"/>
  <c r="N1368" i="3"/>
  <c r="N1376" i="3"/>
  <c r="N1384" i="3"/>
  <c r="N1392" i="3"/>
  <c r="N1400" i="3"/>
  <c r="N1408" i="3"/>
  <c r="N1416" i="3"/>
  <c r="N1424" i="3"/>
  <c r="N1432" i="3"/>
  <c r="N1440" i="3"/>
  <c r="N1448" i="3"/>
  <c r="N1456" i="3"/>
  <c r="N1464" i="3"/>
  <c r="N1472" i="3"/>
  <c r="N1480" i="3"/>
  <c r="N1488" i="3"/>
  <c r="N70" i="3"/>
  <c r="N343" i="3"/>
  <c r="N607" i="3"/>
  <c r="N726" i="3"/>
  <c r="N800" i="3"/>
  <c r="N860" i="3"/>
  <c r="N918" i="3"/>
  <c r="N966" i="3"/>
  <c r="N1004" i="3"/>
  <c r="N1025" i="3"/>
  <c r="N1046" i="3"/>
  <c r="N1068" i="3"/>
  <c r="N1089" i="3"/>
  <c r="N1110" i="3"/>
  <c r="N87" i="3"/>
  <c r="N362" i="3"/>
  <c r="N621" i="3"/>
  <c r="N730" i="3"/>
  <c r="N806" i="3"/>
  <c r="N864" i="3"/>
  <c r="N920" i="3"/>
  <c r="N969" i="3"/>
  <c r="N1008" i="3"/>
  <c r="N1029" i="3"/>
  <c r="N1050" i="3"/>
  <c r="N1072" i="3"/>
  <c r="N1093" i="3"/>
  <c r="N1114" i="3"/>
  <c r="N138" i="3"/>
  <c r="N414" i="3"/>
  <c r="N655" i="3"/>
  <c r="N746" i="3"/>
  <c r="N817" i="3"/>
  <c r="N874" i="3"/>
  <c r="N930" i="3"/>
  <c r="N977" i="3"/>
  <c r="N1009" i="3"/>
  <c r="N1030" i="3"/>
  <c r="N1052" i="3"/>
  <c r="N1073" i="3"/>
  <c r="N1094" i="3"/>
  <c r="N1116" i="3"/>
  <c r="N1137" i="3"/>
  <c r="N1158" i="3"/>
  <c r="N1180" i="3"/>
  <c r="N1201" i="3"/>
  <c r="N1222" i="3"/>
  <c r="N1244" i="3"/>
  <c r="N1263" i="3"/>
  <c r="N1279" i="3"/>
  <c r="N1295" i="3"/>
  <c r="N1311" i="3"/>
  <c r="N1327" i="3"/>
  <c r="N1343" i="3"/>
  <c r="N1359" i="3"/>
  <c r="N1375" i="3"/>
  <c r="N1391" i="3"/>
  <c r="N1407" i="3"/>
  <c r="N1423" i="3"/>
  <c r="N1439" i="3"/>
  <c r="N1455" i="3"/>
  <c r="N1471" i="3"/>
  <c r="N1487" i="3"/>
  <c r="N1498" i="3"/>
  <c r="N1507" i="3"/>
  <c r="N1517" i="3"/>
  <c r="N1526" i="3"/>
  <c r="N1535" i="3"/>
  <c r="N1544" i="3"/>
  <c r="N1553" i="3"/>
  <c r="N1562" i="3"/>
  <c r="N1571" i="3"/>
  <c r="N1579" i="3"/>
  <c r="N1587" i="3"/>
  <c r="N1595" i="3"/>
  <c r="N1603" i="3"/>
  <c r="N1611" i="3"/>
  <c r="N1619" i="3"/>
  <c r="N1627" i="3"/>
  <c r="N1635" i="3"/>
  <c r="N1643" i="3"/>
  <c r="N1651" i="3"/>
  <c r="N1659" i="3"/>
  <c r="N1667" i="3"/>
  <c r="N1675" i="3"/>
  <c r="N1683" i="3"/>
  <c r="N1691" i="3"/>
  <c r="N1699" i="3"/>
  <c r="N1707" i="3"/>
  <c r="N1715" i="3"/>
  <c r="N1723" i="3"/>
  <c r="N1731" i="3"/>
  <c r="N1739" i="3"/>
  <c r="N1747" i="3"/>
  <c r="N1755" i="3"/>
  <c r="N1763" i="3"/>
  <c r="N1771" i="3"/>
  <c r="N1779" i="3"/>
  <c r="N1787" i="3"/>
  <c r="N1795" i="3"/>
  <c r="N1803" i="3"/>
  <c r="N1811" i="3"/>
  <c r="N1819" i="3"/>
  <c r="N1827" i="3"/>
  <c r="N1835" i="3"/>
  <c r="N1843" i="3"/>
  <c r="N1851" i="3"/>
  <c r="N1859" i="3"/>
  <c r="N1867" i="3"/>
  <c r="N1875" i="3"/>
  <c r="N1883" i="3"/>
  <c r="N1891" i="3"/>
  <c r="N158" i="3"/>
  <c r="N429" i="3"/>
  <c r="N661" i="3"/>
  <c r="N752" i="3"/>
  <c r="N822" i="3"/>
  <c r="N878" i="3"/>
  <c r="N935" i="3"/>
  <c r="N980" i="3"/>
  <c r="N1012" i="3"/>
  <c r="N1033" i="3"/>
  <c r="N1054" i="3"/>
  <c r="N1076" i="3"/>
  <c r="N1097" i="3"/>
  <c r="N1118" i="3"/>
  <c r="N1140" i="3"/>
  <c r="N1161" i="3"/>
  <c r="N1182" i="3"/>
  <c r="N1204" i="3"/>
  <c r="N1225" i="3"/>
  <c r="N1246" i="3"/>
  <c r="N1265" i="3"/>
  <c r="N1281" i="3"/>
  <c r="N1297" i="3"/>
  <c r="N1313" i="3"/>
  <c r="N1329" i="3"/>
  <c r="N1345" i="3"/>
  <c r="N1361" i="3"/>
  <c r="N1377" i="3"/>
  <c r="N1393" i="3"/>
  <c r="N1409" i="3"/>
  <c r="N1425" i="3"/>
  <c r="N1441" i="3"/>
  <c r="N1457" i="3"/>
  <c r="N1473" i="3"/>
  <c r="N1489" i="3"/>
  <c r="N1499" i="3"/>
  <c r="N1509" i="3"/>
  <c r="N1518" i="3"/>
  <c r="N1527" i="3"/>
  <c r="N1536" i="3"/>
  <c r="N1545" i="3"/>
  <c r="N1554" i="3"/>
  <c r="N1563" i="3"/>
  <c r="N1572" i="3"/>
  <c r="N1580" i="3"/>
  <c r="N1588" i="3"/>
  <c r="N1596" i="3"/>
  <c r="N1604" i="3"/>
  <c r="N1612" i="3"/>
  <c r="N1620" i="3"/>
  <c r="N1628" i="3"/>
  <c r="N1636" i="3"/>
  <c r="N1644" i="3"/>
  <c r="N1652" i="3"/>
  <c r="N1660" i="3"/>
  <c r="N1668" i="3"/>
  <c r="N1676" i="3"/>
  <c r="N1684" i="3"/>
  <c r="N1692" i="3"/>
  <c r="N1700" i="3"/>
  <c r="N1708" i="3"/>
  <c r="N1716" i="3"/>
  <c r="N1724" i="3"/>
  <c r="N1732" i="3"/>
  <c r="N1740" i="3"/>
  <c r="N1748" i="3"/>
  <c r="N1756" i="3"/>
  <c r="N1764" i="3"/>
  <c r="N1772" i="3"/>
  <c r="N1780" i="3"/>
  <c r="N1788" i="3"/>
  <c r="N1796" i="3"/>
  <c r="N1804" i="3"/>
  <c r="N1812" i="3"/>
  <c r="N1820" i="3"/>
  <c r="N1828" i="3"/>
  <c r="N1836" i="3"/>
  <c r="N1844" i="3"/>
  <c r="N1852" i="3"/>
  <c r="N1860" i="3"/>
  <c r="N1868" i="3"/>
  <c r="N1876" i="3"/>
  <c r="N1884" i="3"/>
  <c r="N1892" i="3"/>
  <c r="N1900" i="3"/>
  <c r="N1908" i="3"/>
  <c r="N209" i="3"/>
  <c r="N479" i="3"/>
  <c r="N682" i="3"/>
  <c r="N766" i="3"/>
  <c r="N832" i="3"/>
  <c r="N888" i="3"/>
  <c r="N945" i="3"/>
  <c r="N988" i="3"/>
  <c r="N1014" i="3"/>
  <c r="N1036" i="3"/>
  <c r="N1057" i="3"/>
  <c r="N1078" i="3"/>
  <c r="N1100" i="3"/>
  <c r="N1121" i="3"/>
  <c r="N1142" i="3"/>
  <c r="N1164" i="3"/>
  <c r="N1185" i="3"/>
  <c r="N1206" i="3"/>
  <c r="N1228" i="3"/>
  <c r="N1249" i="3"/>
  <c r="N1267" i="3"/>
  <c r="N1283" i="3"/>
  <c r="N1299" i="3"/>
  <c r="N1315" i="3"/>
  <c r="N1331" i="3"/>
  <c r="N1347" i="3"/>
  <c r="N1363" i="3"/>
  <c r="N1379" i="3"/>
  <c r="N1395" i="3"/>
  <c r="N1411" i="3"/>
  <c r="N1427" i="3"/>
  <c r="N1443" i="3"/>
  <c r="N1459" i="3"/>
  <c r="N1475" i="3"/>
  <c r="N1490" i="3"/>
  <c r="N1501" i="3"/>
  <c r="N1510" i="3"/>
  <c r="N1519" i="3"/>
  <c r="N1528" i="3"/>
  <c r="N1537" i="3"/>
  <c r="N1546" i="3"/>
  <c r="N1555" i="3"/>
  <c r="N1565" i="3"/>
  <c r="N1573" i="3"/>
  <c r="N1581" i="3"/>
  <c r="N1589" i="3"/>
  <c r="N1597" i="3"/>
  <c r="N1605" i="3"/>
  <c r="N1613" i="3"/>
  <c r="N1621" i="3"/>
  <c r="N1629" i="3"/>
  <c r="N1637" i="3"/>
  <c r="N1645" i="3"/>
  <c r="N1653" i="3"/>
  <c r="N1661" i="3"/>
  <c r="N1669" i="3"/>
  <c r="N1677" i="3"/>
  <c r="N1685" i="3"/>
  <c r="N1693" i="3"/>
  <c r="N1701" i="3"/>
  <c r="N1709" i="3"/>
  <c r="N1717" i="3"/>
  <c r="N1725" i="3"/>
  <c r="N1733" i="3"/>
  <c r="N1741" i="3"/>
  <c r="N1749" i="3"/>
  <c r="N1757" i="3"/>
  <c r="N1765" i="3"/>
  <c r="N1773" i="3"/>
  <c r="N1781" i="3"/>
  <c r="N1789" i="3"/>
  <c r="N1797" i="3"/>
  <c r="N1805" i="3"/>
  <c r="N1813" i="3"/>
  <c r="N1821" i="3"/>
  <c r="N1829" i="3"/>
  <c r="N1837" i="3"/>
  <c r="N1845" i="3"/>
  <c r="N1853" i="3"/>
  <c r="N1861" i="3"/>
  <c r="N1869" i="3"/>
  <c r="N1877" i="3"/>
  <c r="N1885" i="3"/>
  <c r="N1893" i="3"/>
  <c r="N1901" i="3"/>
  <c r="N274" i="3"/>
  <c r="N549" i="3"/>
  <c r="N704" i="3"/>
  <c r="N784" i="3"/>
  <c r="N846" i="3"/>
  <c r="N903" i="3"/>
  <c r="N956" i="3"/>
  <c r="N998" i="3"/>
  <c r="N1020" i="3"/>
  <c r="N1041" i="3"/>
  <c r="N1062" i="3"/>
  <c r="N1084" i="3"/>
  <c r="N1105" i="3"/>
  <c r="N1126" i="3"/>
  <c r="N1148" i="3"/>
  <c r="N1169" i="3"/>
  <c r="N1190" i="3"/>
  <c r="N1212" i="3"/>
  <c r="N1233" i="3"/>
  <c r="N1254" i="3"/>
  <c r="N1271" i="3"/>
  <c r="N1287" i="3"/>
  <c r="N1303" i="3"/>
  <c r="N1319" i="3"/>
  <c r="N1335" i="3"/>
  <c r="N1351" i="3"/>
  <c r="N1367" i="3"/>
  <c r="N1383" i="3"/>
  <c r="N1399" i="3"/>
  <c r="N1415" i="3"/>
  <c r="N1431" i="3"/>
  <c r="N1447" i="3"/>
  <c r="N1463" i="3"/>
  <c r="N1479" i="3"/>
  <c r="N1494" i="3"/>
  <c r="N1503" i="3"/>
  <c r="N1512" i="3"/>
  <c r="N1521" i="3"/>
  <c r="N1530" i="3"/>
  <c r="N1539" i="3"/>
  <c r="N1549" i="3"/>
  <c r="N1558" i="3"/>
  <c r="N1567" i="3"/>
  <c r="N1575" i="3"/>
  <c r="N1583" i="3"/>
  <c r="N1591" i="3"/>
  <c r="N1599" i="3"/>
  <c r="N1607" i="3"/>
  <c r="N1615" i="3"/>
  <c r="N1623" i="3"/>
  <c r="N1631" i="3"/>
  <c r="N1639" i="3"/>
  <c r="N1647" i="3"/>
  <c r="N1655" i="3"/>
  <c r="N1663" i="3"/>
  <c r="N1671" i="3"/>
  <c r="N1679" i="3"/>
  <c r="N1687" i="3"/>
  <c r="N1695" i="3"/>
  <c r="N1703" i="3"/>
  <c r="N1711" i="3"/>
  <c r="N1719" i="3"/>
  <c r="N1727" i="3"/>
  <c r="N1735" i="3"/>
  <c r="N1743" i="3"/>
  <c r="N1751" i="3"/>
  <c r="N1759" i="3"/>
  <c r="N1767" i="3"/>
  <c r="N1775" i="3"/>
  <c r="N1783" i="3"/>
  <c r="N1791" i="3"/>
  <c r="N1799" i="3"/>
  <c r="N1807" i="3"/>
  <c r="N1815" i="3"/>
  <c r="N1823" i="3"/>
  <c r="N1831" i="3"/>
  <c r="N1839" i="3"/>
  <c r="N1847" i="3"/>
  <c r="N223" i="3"/>
  <c r="N834" i="3"/>
  <c r="N1018" i="3"/>
  <c r="N1104" i="3"/>
  <c r="N1153" i="3"/>
  <c r="N1196" i="3"/>
  <c r="N1238" i="3"/>
  <c r="N1275" i="3"/>
  <c r="N1307" i="3"/>
  <c r="N1339" i="3"/>
  <c r="N1371" i="3"/>
  <c r="N1403" i="3"/>
  <c r="N1435" i="3"/>
  <c r="N1467" i="3"/>
  <c r="N1496" i="3"/>
  <c r="N1514" i="3"/>
  <c r="N1533" i="3"/>
  <c r="N1551" i="3"/>
  <c r="N1569" i="3"/>
  <c r="N1585" i="3"/>
  <c r="N1601" i="3"/>
  <c r="N1617" i="3"/>
  <c r="N1633" i="3"/>
  <c r="N1649" i="3"/>
  <c r="N1665" i="3"/>
  <c r="N1681" i="3"/>
  <c r="N1697" i="3"/>
  <c r="N1713" i="3"/>
  <c r="N1729" i="3"/>
  <c r="N1745" i="3"/>
  <c r="N1761" i="3"/>
  <c r="N1777" i="3"/>
  <c r="N1793" i="3"/>
  <c r="N1809" i="3"/>
  <c r="N1825" i="3"/>
  <c r="N1841" i="3"/>
  <c r="N1856" i="3"/>
  <c r="N1870" i="3"/>
  <c r="N1881" i="3"/>
  <c r="N1895" i="3"/>
  <c r="N1905" i="3"/>
  <c r="N1914" i="3"/>
  <c r="N1922" i="3"/>
  <c r="N1930" i="3"/>
  <c r="N1938" i="3"/>
  <c r="N1946" i="3"/>
  <c r="N1954" i="3"/>
  <c r="N1962" i="3"/>
  <c r="N1970" i="3"/>
  <c r="N1978" i="3"/>
  <c r="N1986" i="3"/>
  <c r="N1994" i="3"/>
  <c r="N2002" i="3"/>
  <c r="N2010" i="3"/>
  <c r="N2018" i="3"/>
  <c r="N2026" i="3"/>
  <c r="N2034" i="3"/>
  <c r="N2042" i="3"/>
  <c r="N2050" i="3"/>
  <c r="N2058" i="3"/>
  <c r="N2066" i="3"/>
  <c r="N2074" i="3"/>
  <c r="N2082" i="3"/>
  <c r="N2090" i="3"/>
  <c r="N2098" i="3"/>
  <c r="N2106" i="3"/>
  <c r="N2114" i="3"/>
  <c r="N2122" i="3"/>
  <c r="N2130" i="3"/>
  <c r="N2138" i="3"/>
  <c r="N2146" i="3"/>
  <c r="N2154" i="3"/>
  <c r="N2162" i="3"/>
  <c r="N2170" i="3"/>
  <c r="N2178" i="3"/>
  <c r="N2186" i="3"/>
  <c r="N2194" i="3"/>
  <c r="N2202" i="3"/>
  <c r="N2210" i="3"/>
  <c r="N2218" i="3"/>
  <c r="N2226" i="3"/>
  <c r="N2234" i="3"/>
  <c r="N2242" i="3"/>
  <c r="N2250" i="3"/>
  <c r="N2258" i="3"/>
  <c r="N2266" i="3"/>
  <c r="N2274" i="3"/>
  <c r="N2282" i="3"/>
  <c r="N2290" i="3"/>
  <c r="N2298" i="3"/>
  <c r="N2306" i="3"/>
  <c r="N2314" i="3"/>
  <c r="N2322" i="3"/>
  <c r="N2330" i="3"/>
  <c r="N2338" i="3"/>
  <c r="N2346" i="3"/>
  <c r="N2354" i="3"/>
  <c r="N2362" i="3"/>
  <c r="N2370" i="3"/>
  <c r="N2378" i="3"/>
  <c r="N2386" i="3"/>
  <c r="N2394" i="3"/>
  <c r="N2402" i="3"/>
  <c r="N2410" i="3"/>
  <c r="N2418" i="3"/>
  <c r="N2426" i="3"/>
  <c r="N2434" i="3"/>
  <c r="N2442" i="3"/>
  <c r="N2450" i="3"/>
  <c r="N2458" i="3"/>
  <c r="N2466" i="3"/>
  <c r="N2474" i="3"/>
  <c r="N2482" i="3"/>
  <c r="N2490" i="3"/>
  <c r="N2498" i="3"/>
  <c r="N293" i="3"/>
  <c r="N849" i="3"/>
  <c r="N1022" i="3"/>
  <c r="N1108" i="3"/>
  <c r="N1157" i="3"/>
  <c r="N1200" i="3"/>
  <c r="N1242" i="3"/>
  <c r="N1278" i="3"/>
  <c r="N1310" i="3"/>
  <c r="N1342" i="3"/>
  <c r="N1374" i="3"/>
  <c r="N1406" i="3"/>
  <c r="N1438" i="3"/>
  <c r="N1470" i="3"/>
  <c r="N1497" i="3"/>
  <c r="N1515" i="3"/>
  <c r="N1534" i="3"/>
  <c r="N1552" i="3"/>
  <c r="N1570" i="3"/>
  <c r="N1586" i="3"/>
  <c r="N1602" i="3"/>
  <c r="N1618" i="3"/>
  <c r="N1634" i="3"/>
  <c r="N1650" i="3"/>
  <c r="N1666" i="3"/>
  <c r="N1682" i="3"/>
  <c r="N1698" i="3"/>
  <c r="N1714" i="3"/>
  <c r="N1730" i="3"/>
  <c r="N1746" i="3"/>
  <c r="N1762" i="3"/>
  <c r="N1778" i="3"/>
  <c r="N1794" i="3"/>
  <c r="N1810" i="3"/>
  <c r="N1826" i="3"/>
  <c r="N1842" i="3"/>
  <c r="N1857" i="3"/>
  <c r="N1871" i="3"/>
  <c r="N1882" i="3"/>
  <c r="N1896" i="3"/>
  <c r="N1906" i="3"/>
  <c r="N1915" i="3"/>
  <c r="N1923" i="3"/>
  <c r="N1931" i="3"/>
  <c r="N1939" i="3"/>
  <c r="N1947" i="3"/>
  <c r="N1955" i="3"/>
  <c r="N1963" i="3"/>
  <c r="N1971" i="3"/>
  <c r="N1979" i="3"/>
  <c r="N1987" i="3"/>
  <c r="N1995" i="3"/>
  <c r="N2003" i="3"/>
  <c r="N2011" i="3"/>
  <c r="N2019" i="3"/>
  <c r="N2027" i="3"/>
  <c r="N2035" i="3"/>
  <c r="N2043" i="3"/>
  <c r="N2051" i="3"/>
  <c r="N2059" i="3"/>
  <c r="N2067" i="3"/>
  <c r="N2075" i="3"/>
  <c r="N2083" i="3"/>
  <c r="N2091" i="3"/>
  <c r="N2099" i="3"/>
  <c r="N2107" i="3"/>
  <c r="N2115" i="3"/>
  <c r="N2123" i="3"/>
  <c r="N2131" i="3"/>
  <c r="N2139" i="3"/>
  <c r="N2147" i="3"/>
  <c r="N2155" i="3"/>
  <c r="N2163" i="3"/>
  <c r="N2171" i="3"/>
  <c r="N2179" i="3"/>
  <c r="N2187" i="3"/>
  <c r="N2195" i="3"/>
  <c r="N2203" i="3"/>
  <c r="N2211" i="3"/>
  <c r="N2219" i="3"/>
  <c r="N2227" i="3"/>
  <c r="N2235" i="3"/>
  <c r="N2243" i="3"/>
  <c r="N2251" i="3"/>
  <c r="N2259" i="3"/>
  <c r="N2267" i="3"/>
  <c r="N2275" i="3"/>
  <c r="N2283" i="3"/>
  <c r="N2291" i="3"/>
  <c r="N2299" i="3"/>
  <c r="N2307" i="3"/>
  <c r="N2315" i="3"/>
  <c r="N2323" i="3"/>
  <c r="N2331" i="3"/>
  <c r="N2339" i="3"/>
  <c r="N2347" i="3"/>
  <c r="N2355" i="3"/>
  <c r="N2363" i="3"/>
  <c r="N2371" i="3"/>
  <c r="N2379" i="3"/>
  <c r="N2387" i="3"/>
  <c r="N2395" i="3"/>
  <c r="N2403" i="3"/>
  <c r="N2411" i="3"/>
  <c r="N2419" i="3"/>
  <c r="N2427" i="3"/>
  <c r="N2435" i="3"/>
  <c r="N2443" i="3"/>
  <c r="N2451" i="3"/>
  <c r="N2459" i="3"/>
  <c r="N2467" i="3"/>
  <c r="N2475" i="3"/>
  <c r="N2483" i="3"/>
  <c r="N2491" i="3"/>
  <c r="N2499" i="3"/>
  <c r="N497" i="3"/>
  <c r="N892" i="3"/>
  <c r="N1040" i="3"/>
  <c r="N1125" i="3"/>
  <c r="N1168" i="3"/>
  <c r="N1210" i="3"/>
  <c r="N1253" i="3"/>
  <c r="N1286" i="3"/>
  <c r="N1318" i="3"/>
  <c r="N1350" i="3"/>
  <c r="N1382" i="3"/>
  <c r="N1414" i="3"/>
  <c r="N1446" i="3"/>
  <c r="N1478" i="3"/>
  <c r="N1502" i="3"/>
  <c r="N1520" i="3"/>
  <c r="N1538" i="3"/>
  <c r="N1557" i="3"/>
  <c r="N1574" i="3"/>
  <c r="N1590" i="3"/>
  <c r="N1606" i="3"/>
  <c r="N1622" i="3"/>
  <c r="N1638" i="3"/>
  <c r="N1654" i="3"/>
  <c r="N1670" i="3"/>
  <c r="N1686" i="3"/>
  <c r="N1702" i="3"/>
  <c r="N1718" i="3"/>
  <c r="N1734" i="3"/>
  <c r="N1750" i="3"/>
  <c r="N1766" i="3"/>
  <c r="N1782" i="3"/>
  <c r="N1798" i="3"/>
  <c r="N1814" i="3"/>
  <c r="N1830" i="3"/>
  <c r="N1846" i="3"/>
  <c r="N1858" i="3"/>
  <c r="N1872" i="3"/>
  <c r="N1886" i="3"/>
  <c r="N1897" i="3"/>
  <c r="N1907" i="3"/>
  <c r="N1916" i="3"/>
  <c r="N1924" i="3"/>
  <c r="N1932" i="3"/>
  <c r="N1940" i="3"/>
  <c r="N1948" i="3"/>
  <c r="N1956" i="3"/>
  <c r="N1964" i="3"/>
  <c r="N1972" i="3"/>
  <c r="N1980" i="3"/>
  <c r="N1988" i="3"/>
  <c r="N1996" i="3"/>
  <c r="N2004" i="3"/>
  <c r="N2012" i="3"/>
  <c r="N2020" i="3"/>
  <c r="N2028" i="3"/>
  <c r="N2036" i="3"/>
  <c r="N2044" i="3"/>
  <c r="N2052" i="3"/>
  <c r="N2060" i="3"/>
  <c r="N2068" i="3"/>
  <c r="N2076" i="3"/>
  <c r="N2084" i="3"/>
  <c r="N2092" i="3"/>
  <c r="N2100" i="3"/>
  <c r="N2108" i="3"/>
  <c r="N2116" i="3"/>
  <c r="N2124" i="3"/>
  <c r="N2132" i="3"/>
  <c r="N2140" i="3"/>
  <c r="N2148" i="3"/>
  <c r="N2156" i="3"/>
  <c r="N2164" i="3"/>
  <c r="N2172" i="3"/>
  <c r="N2180" i="3"/>
  <c r="N2188" i="3"/>
  <c r="N2196" i="3"/>
  <c r="N2204" i="3"/>
  <c r="N2212" i="3"/>
  <c r="N2220" i="3"/>
  <c r="N2228" i="3"/>
  <c r="N2236" i="3"/>
  <c r="N2244" i="3"/>
  <c r="N2252" i="3"/>
  <c r="N2260" i="3"/>
  <c r="N2268" i="3"/>
  <c r="N2276" i="3"/>
  <c r="N2284" i="3"/>
  <c r="N2292" i="3"/>
  <c r="N2300" i="3"/>
  <c r="N2308" i="3"/>
  <c r="N2316" i="3"/>
  <c r="N2324" i="3"/>
  <c r="N2332" i="3"/>
  <c r="N2340" i="3"/>
  <c r="N2348" i="3"/>
  <c r="N2356" i="3"/>
  <c r="N2364" i="3"/>
  <c r="N2372" i="3"/>
  <c r="N2380" i="3"/>
  <c r="N2388" i="3"/>
  <c r="N2396" i="3"/>
  <c r="N2404" i="3"/>
  <c r="N2412" i="3"/>
  <c r="N2420" i="3"/>
  <c r="N2428" i="3"/>
  <c r="N2436" i="3"/>
  <c r="N2444" i="3"/>
  <c r="N2452" i="3"/>
  <c r="N2460" i="3"/>
  <c r="N2468" i="3"/>
  <c r="N2476" i="3"/>
  <c r="N2484" i="3"/>
  <c r="N2492" i="3"/>
  <c r="N2500" i="3"/>
  <c r="N567" i="3"/>
  <c r="N906" i="3"/>
  <c r="N1044" i="3"/>
  <c r="N1129" i="3"/>
  <c r="N1172" i="3"/>
  <c r="N1214" i="3"/>
  <c r="N1257" i="3"/>
  <c r="N1289" i="3"/>
  <c r="N1321" i="3"/>
  <c r="N1353" i="3"/>
  <c r="N1385" i="3"/>
  <c r="N1417" i="3"/>
  <c r="N1449" i="3"/>
  <c r="N1481" i="3"/>
  <c r="N1504" i="3"/>
  <c r="N1522" i="3"/>
  <c r="N1541" i="3"/>
  <c r="N1559" i="3"/>
  <c r="N1576" i="3"/>
  <c r="N1592" i="3"/>
  <c r="N1608" i="3"/>
  <c r="N1624" i="3"/>
  <c r="N1640" i="3"/>
  <c r="N1656" i="3"/>
  <c r="N1672" i="3"/>
  <c r="N1688" i="3"/>
  <c r="N1704" i="3"/>
  <c r="N1720" i="3"/>
  <c r="N1736" i="3"/>
  <c r="N1752" i="3"/>
  <c r="N1768" i="3"/>
  <c r="N1784" i="3"/>
  <c r="N1800" i="3"/>
  <c r="N1816" i="3"/>
  <c r="N1832" i="3"/>
  <c r="N1848" i="3"/>
  <c r="N1862" i="3"/>
  <c r="N1873" i="3"/>
  <c r="N1887" i="3"/>
  <c r="N1898" i="3"/>
  <c r="N1909" i="3"/>
  <c r="N1917" i="3"/>
  <c r="N1925" i="3"/>
  <c r="N1933" i="3"/>
  <c r="N1941" i="3"/>
  <c r="N1949" i="3"/>
  <c r="N1957" i="3"/>
  <c r="N1965" i="3"/>
  <c r="N1973" i="3"/>
  <c r="N1981" i="3"/>
  <c r="N1989" i="3"/>
  <c r="N1997" i="3"/>
  <c r="N2005" i="3"/>
  <c r="N2013" i="3"/>
  <c r="N2021" i="3"/>
  <c r="N2029" i="3"/>
  <c r="N2037" i="3"/>
  <c r="N2045" i="3"/>
  <c r="N2053" i="3"/>
  <c r="N2061" i="3"/>
  <c r="N2069" i="3"/>
  <c r="N2077" i="3"/>
  <c r="N2085" i="3"/>
  <c r="N2093" i="3"/>
  <c r="N2101" i="3"/>
  <c r="N2109" i="3"/>
  <c r="N2117" i="3"/>
  <c r="N2125" i="3"/>
  <c r="N2133" i="3"/>
  <c r="N2141" i="3"/>
  <c r="N2149" i="3"/>
  <c r="N2157" i="3"/>
  <c r="N2165" i="3"/>
  <c r="N2173" i="3"/>
  <c r="N2181" i="3"/>
  <c r="N2189" i="3"/>
  <c r="N2197" i="3"/>
  <c r="N2205" i="3"/>
  <c r="N2213" i="3"/>
  <c r="N2221" i="3"/>
  <c r="N2229" i="3"/>
  <c r="N2237" i="3"/>
  <c r="N2245" i="3"/>
  <c r="N2253" i="3"/>
  <c r="N2261" i="3"/>
  <c r="N2269" i="3"/>
  <c r="N2277" i="3"/>
  <c r="N2285" i="3"/>
  <c r="N2293" i="3"/>
  <c r="N2301" i="3"/>
  <c r="N2309" i="3"/>
  <c r="N2317" i="3"/>
  <c r="N2325" i="3"/>
  <c r="N2333" i="3"/>
  <c r="N2341" i="3"/>
  <c r="N2349" i="3"/>
  <c r="N2357" i="3"/>
  <c r="N2365" i="3"/>
  <c r="N2373" i="3"/>
  <c r="N2381" i="3"/>
  <c r="N2389" i="3"/>
  <c r="N2397" i="3"/>
  <c r="N2405" i="3"/>
  <c r="N2413" i="3"/>
  <c r="N2421" i="3"/>
  <c r="N2429" i="3"/>
  <c r="N2437" i="3"/>
  <c r="N2445" i="3"/>
  <c r="N2453" i="3"/>
  <c r="N2461" i="3"/>
  <c r="N2469" i="3"/>
  <c r="N2477" i="3"/>
  <c r="N2485" i="3"/>
  <c r="N2493" i="3"/>
  <c r="N2501" i="3"/>
  <c r="N688" i="3"/>
  <c r="N948" i="3"/>
  <c r="N1061" i="3"/>
  <c r="N1132" i="3"/>
  <c r="N1174" i="3"/>
  <c r="N1217" i="3"/>
  <c r="N1259" i="3"/>
  <c r="N1291" i="3"/>
  <c r="N1323" i="3"/>
  <c r="N1355" i="3"/>
  <c r="N1387" i="3"/>
  <c r="N1419" i="3"/>
  <c r="N1451" i="3"/>
  <c r="N1483" i="3"/>
  <c r="N1505" i="3"/>
  <c r="N1523" i="3"/>
  <c r="N1542" i="3"/>
  <c r="N1560" i="3"/>
  <c r="N1577" i="3"/>
  <c r="N1593" i="3"/>
  <c r="N1609" i="3"/>
  <c r="N1625" i="3"/>
  <c r="N1641" i="3"/>
  <c r="N1657" i="3"/>
  <c r="N1673" i="3"/>
  <c r="N1689" i="3"/>
  <c r="N1705" i="3"/>
  <c r="N1721" i="3"/>
  <c r="N1737" i="3"/>
  <c r="N1753" i="3"/>
  <c r="N1769" i="3"/>
  <c r="N1785" i="3"/>
  <c r="N1801" i="3"/>
  <c r="N1817" i="3"/>
  <c r="N1833" i="3"/>
  <c r="N1849" i="3"/>
  <c r="N1863" i="3"/>
  <c r="N1874" i="3"/>
  <c r="N1888" i="3"/>
  <c r="N1899" i="3"/>
  <c r="N1910" i="3"/>
  <c r="N1918" i="3"/>
  <c r="N1926" i="3"/>
  <c r="N1934" i="3"/>
  <c r="N1942" i="3"/>
  <c r="N1950" i="3"/>
  <c r="N1958" i="3"/>
  <c r="N1966" i="3"/>
  <c r="N1974" i="3"/>
  <c r="N1982" i="3"/>
  <c r="N1990" i="3"/>
  <c r="N1998" i="3"/>
  <c r="N2006" i="3"/>
  <c r="N2014" i="3"/>
  <c r="N2022" i="3"/>
  <c r="N2030" i="3"/>
  <c r="N2038" i="3"/>
  <c r="N2046" i="3"/>
  <c r="N2054" i="3"/>
  <c r="N2062" i="3"/>
  <c r="N2070" i="3"/>
  <c r="N2078" i="3"/>
  <c r="N2086" i="3"/>
  <c r="N2094" i="3"/>
  <c r="N2102" i="3"/>
  <c r="N2110" i="3"/>
  <c r="N2118" i="3"/>
  <c r="N2126" i="3"/>
  <c r="N2134" i="3"/>
  <c r="N2142" i="3"/>
  <c r="N2150" i="3"/>
  <c r="N2158" i="3"/>
  <c r="N2166" i="3"/>
  <c r="N2174" i="3"/>
  <c r="N2182" i="3"/>
  <c r="N2190" i="3"/>
  <c r="N2198" i="3"/>
  <c r="N2206" i="3"/>
  <c r="N2214" i="3"/>
  <c r="N2222" i="3"/>
  <c r="N2230" i="3"/>
  <c r="N2238" i="3"/>
  <c r="N2246" i="3"/>
  <c r="N2254" i="3"/>
  <c r="N2262" i="3"/>
  <c r="N2270" i="3"/>
  <c r="N2278" i="3"/>
  <c r="N2286" i="3"/>
  <c r="N2294" i="3"/>
  <c r="N2302" i="3"/>
  <c r="N2310" i="3"/>
  <c r="N2318" i="3"/>
  <c r="N2326" i="3"/>
  <c r="N2334" i="3"/>
  <c r="N2342" i="3"/>
  <c r="N2350" i="3"/>
  <c r="N2358" i="3"/>
  <c r="N2366" i="3"/>
  <c r="N2374" i="3"/>
  <c r="N2382" i="3"/>
  <c r="N2390" i="3"/>
  <c r="N2398" i="3"/>
  <c r="N2406" i="3"/>
  <c r="N2414" i="3"/>
  <c r="N2422" i="3"/>
  <c r="N2430" i="3"/>
  <c r="N2438" i="3"/>
  <c r="N2446" i="3"/>
  <c r="N2454" i="3"/>
  <c r="N2462" i="3"/>
  <c r="N2470" i="3"/>
  <c r="N2478" i="3"/>
  <c r="N2486" i="3"/>
  <c r="N2494" i="3"/>
  <c r="N770" i="3"/>
  <c r="N990" i="3"/>
  <c r="N1082" i="3"/>
  <c r="N1146" i="3"/>
  <c r="N1189" i="3"/>
  <c r="N1232" i="3"/>
  <c r="N1270" i="3"/>
  <c r="N1302" i="3"/>
  <c r="N1334" i="3"/>
  <c r="N1366" i="3"/>
  <c r="N1398" i="3"/>
  <c r="N1430" i="3"/>
  <c r="N1462" i="3"/>
  <c r="N1491" i="3"/>
  <c r="N1511" i="3"/>
  <c r="N1529" i="3"/>
  <c r="N1547" i="3"/>
  <c r="N1566" i="3"/>
  <c r="N1582" i="3"/>
  <c r="N1598" i="3"/>
  <c r="N1614" i="3"/>
  <c r="N1630" i="3"/>
  <c r="N1646" i="3"/>
  <c r="N1662" i="3"/>
  <c r="N1678" i="3"/>
  <c r="N1694" i="3"/>
  <c r="N1710" i="3"/>
  <c r="N1726" i="3"/>
  <c r="N1742" i="3"/>
  <c r="N1758" i="3"/>
  <c r="N1774" i="3"/>
  <c r="N1790" i="3"/>
  <c r="N1806" i="3"/>
  <c r="N1822" i="3"/>
  <c r="N1838" i="3"/>
  <c r="N1854" i="3"/>
  <c r="N1865" i="3"/>
  <c r="N1879" i="3"/>
  <c r="N1890" i="3"/>
  <c r="N1903" i="3"/>
  <c r="N1912" i="3"/>
  <c r="N1920" i="3"/>
  <c r="N1928" i="3"/>
  <c r="N1936" i="3"/>
  <c r="N1944" i="3"/>
  <c r="N1952" i="3"/>
  <c r="N1960" i="3"/>
  <c r="N1968" i="3"/>
  <c r="N1976" i="3"/>
  <c r="N1984" i="3"/>
  <c r="N1992" i="3"/>
  <c r="N2000" i="3"/>
  <c r="N2008" i="3"/>
  <c r="N2016" i="3"/>
  <c r="N2024" i="3"/>
  <c r="N2032" i="3"/>
  <c r="N2040" i="3"/>
  <c r="N2048" i="3"/>
  <c r="N2056" i="3"/>
  <c r="N2064" i="3"/>
  <c r="N2072" i="3"/>
  <c r="N2080" i="3"/>
  <c r="N2088" i="3"/>
  <c r="N2096" i="3"/>
  <c r="N2104" i="3"/>
  <c r="N2112" i="3"/>
  <c r="N2120" i="3"/>
  <c r="N2128" i="3"/>
  <c r="N2136" i="3"/>
  <c r="N2144" i="3"/>
  <c r="N2152" i="3"/>
  <c r="N2160" i="3"/>
  <c r="N2168" i="3"/>
  <c r="N2176" i="3"/>
  <c r="N2184" i="3"/>
  <c r="N2192" i="3"/>
  <c r="N2200" i="3"/>
  <c r="N2208" i="3"/>
  <c r="N2216" i="3"/>
  <c r="N2224" i="3"/>
  <c r="N2232" i="3"/>
  <c r="N2240" i="3"/>
  <c r="N2248" i="3"/>
  <c r="N2256" i="3"/>
  <c r="N2264" i="3"/>
  <c r="N2272" i="3"/>
  <c r="N2280" i="3"/>
  <c r="N2288" i="3"/>
  <c r="N2296" i="3"/>
  <c r="N2304" i="3"/>
  <c r="N2312" i="3"/>
  <c r="N2320" i="3"/>
  <c r="N2328" i="3"/>
  <c r="N2336" i="3"/>
  <c r="N2344" i="3"/>
  <c r="N2352" i="3"/>
  <c r="N2360" i="3"/>
  <c r="N2368" i="3"/>
  <c r="N2376" i="3"/>
  <c r="N2384" i="3"/>
  <c r="N2392" i="3"/>
  <c r="N2400" i="3"/>
  <c r="N2408" i="3"/>
  <c r="N2416" i="3"/>
  <c r="N2424" i="3"/>
  <c r="N2432" i="3"/>
  <c r="N2440" i="3"/>
  <c r="N2448" i="3"/>
  <c r="N2456" i="3"/>
  <c r="N2464" i="3"/>
  <c r="N2472" i="3"/>
  <c r="N2480" i="3"/>
  <c r="N2488" i="3"/>
  <c r="N2496" i="3"/>
  <c r="N786" i="3"/>
  <c r="N1001" i="3"/>
  <c r="N1086" i="3"/>
  <c r="N1150" i="3"/>
  <c r="N1193" i="3"/>
  <c r="N1236" i="3"/>
  <c r="N1273" i="3"/>
  <c r="N1305" i="3"/>
  <c r="N1337" i="3"/>
  <c r="N1369" i="3"/>
  <c r="N1401" i="3"/>
  <c r="N1433" i="3"/>
  <c r="N1465" i="3"/>
  <c r="N1495" i="3"/>
  <c r="N1513" i="3"/>
  <c r="N1531" i="3"/>
  <c r="N1550" i="3"/>
  <c r="N1568" i="3"/>
  <c r="N1584" i="3"/>
  <c r="N1600" i="3"/>
  <c r="N1616" i="3"/>
  <c r="N1632" i="3"/>
  <c r="N1648" i="3"/>
  <c r="N1664" i="3"/>
  <c r="N1680" i="3"/>
  <c r="N1696" i="3"/>
  <c r="N1712" i="3"/>
  <c r="N1728" i="3"/>
  <c r="N1744" i="3"/>
  <c r="N1760" i="3"/>
  <c r="N1776" i="3"/>
  <c r="N1792" i="3"/>
  <c r="N1808" i="3"/>
  <c r="N1824" i="3"/>
  <c r="N1840" i="3"/>
  <c r="N1855" i="3"/>
  <c r="N1866" i="3"/>
  <c r="N1880" i="3"/>
  <c r="N1894" i="3"/>
  <c r="N1904" i="3"/>
  <c r="N1913" i="3"/>
  <c r="N1921" i="3"/>
  <c r="N1929" i="3"/>
  <c r="N1937" i="3"/>
  <c r="N1945" i="3"/>
  <c r="N1953" i="3"/>
  <c r="N1961" i="3"/>
  <c r="N1969" i="3"/>
  <c r="N1977" i="3"/>
  <c r="N1985" i="3"/>
  <c r="N1993" i="3"/>
  <c r="N2001" i="3"/>
  <c r="N2009" i="3"/>
  <c r="N2017" i="3"/>
  <c r="N2025" i="3"/>
  <c r="N2033" i="3"/>
  <c r="N2041" i="3"/>
  <c r="N2049" i="3"/>
  <c r="N2057" i="3"/>
  <c r="N2065" i="3"/>
  <c r="N2073" i="3"/>
  <c r="N2081" i="3"/>
  <c r="N2089" i="3"/>
  <c r="N2097" i="3"/>
  <c r="N2105" i="3"/>
  <c r="N2113" i="3"/>
  <c r="N2121" i="3"/>
  <c r="N2129" i="3"/>
  <c r="N2137" i="3"/>
  <c r="N2145" i="3"/>
  <c r="N2153" i="3"/>
  <c r="N2161" i="3"/>
  <c r="N2169" i="3"/>
  <c r="N2177" i="3"/>
  <c r="N2185" i="3"/>
  <c r="N2193" i="3"/>
  <c r="N2201" i="3"/>
  <c r="N2209" i="3"/>
  <c r="N2217" i="3"/>
  <c r="N2225" i="3"/>
  <c r="N2233" i="3"/>
  <c r="N2241" i="3"/>
  <c r="N2249" i="3"/>
  <c r="N2257" i="3"/>
  <c r="N2265" i="3"/>
  <c r="N710" i="3"/>
  <c r="N1326" i="3"/>
  <c r="N1543" i="3"/>
  <c r="N1674" i="3"/>
  <c r="N1802" i="3"/>
  <c r="N1911" i="3"/>
  <c r="N1975" i="3"/>
  <c r="N2039" i="3"/>
  <c r="N2103" i="3"/>
  <c r="N2167" i="3"/>
  <c r="N2231" i="3"/>
  <c r="N2281" i="3"/>
  <c r="N2313" i="3"/>
  <c r="N2345" i="3"/>
  <c r="N2377" i="3"/>
  <c r="N2409" i="3"/>
  <c r="N2441" i="3"/>
  <c r="N2473" i="3"/>
  <c r="N958" i="3"/>
  <c r="N1358" i="3"/>
  <c r="N1561" i="3"/>
  <c r="N1690" i="3"/>
  <c r="N1818" i="3"/>
  <c r="N1919" i="3"/>
  <c r="N1983" i="3"/>
  <c r="N2047" i="3"/>
  <c r="N2111" i="3"/>
  <c r="N2175" i="3"/>
  <c r="N2239" i="3"/>
  <c r="N2287" i="3"/>
  <c r="N2319" i="3"/>
  <c r="N2351" i="3"/>
  <c r="N2383" i="3"/>
  <c r="N2415" i="3"/>
  <c r="N2447" i="3"/>
  <c r="N2479" i="3"/>
  <c r="N1065" i="3"/>
  <c r="N1390" i="3"/>
  <c r="N1578" i="3"/>
  <c r="N1706" i="3"/>
  <c r="N1834" i="3"/>
  <c r="N1927" i="3"/>
  <c r="N1991" i="3"/>
  <c r="N2055" i="3"/>
  <c r="N2119" i="3"/>
  <c r="N2183" i="3"/>
  <c r="N2247" i="3"/>
  <c r="N2289" i="3"/>
  <c r="N2321" i="3"/>
  <c r="N2353" i="3"/>
  <c r="N2385" i="3"/>
  <c r="N2417" i="3"/>
  <c r="N2449" i="3"/>
  <c r="N2481" i="3"/>
  <c r="N1136" i="3"/>
  <c r="N1422" i="3"/>
  <c r="N1594" i="3"/>
  <c r="N1722" i="3"/>
  <c r="N1850" i="3"/>
  <c r="N1935" i="3"/>
  <c r="N1999" i="3"/>
  <c r="N2063" i="3"/>
  <c r="N2127" i="3"/>
  <c r="N2191" i="3"/>
  <c r="N2255" i="3"/>
  <c r="N2295" i="3"/>
  <c r="N2327" i="3"/>
  <c r="N2359" i="3"/>
  <c r="N2391" i="3"/>
  <c r="N2423" i="3"/>
  <c r="N2455" i="3"/>
  <c r="N2487" i="3"/>
  <c r="N1178" i="3"/>
  <c r="N1454" i="3"/>
  <c r="N1610" i="3"/>
  <c r="N1738" i="3"/>
  <c r="N1864" i="3"/>
  <c r="N1943" i="3"/>
  <c r="N2007" i="3"/>
  <c r="N2071" i="3"/>
  <c r="N2135" i="3"/>
  <c r="N2199" i="3"/>
  <c r="N2263" i="3"/>
  <c r="N2297" i="3"/>
  <c r="N2329" i="3"/>
  <c r="N2361" i="3"/>
  <c r="N2393" i="3"/>
  <c r="N2425" i="3"/>
  <c r="N2457" i="3"/>
  <c r="N2489" i="3"/>
  <c r="N1221" i="3"/>
  <c r="N1486" i="3"/>
  <c r="N1626" i="3"/>
  <c r="N1754" i="3"/>
  <c r="N1878" i="3"/>
  <c r="N1951" i="3"/>
  <c r="N2015" i="3"/>
  <c r="N2079" i="3"/>
  <c r="N2143" i="3"/>
  <c r="N2207" i="3"/>
  <c r="N2271" i="3"/>
  <c r="N2303" i="3"/>
  <c r="N2335" i="3"/>
  <c r="N2367" i="3"/>
  <c r="N2399" i="3"/>
  <c r="N2431" i="3"/>
  <c r="N2463" i="3"/>
  <c r="N2495" i="3"/>
  <c r="N1262" i="3"/>
  <c r="N1506" i="3"/>
  <c r="N1642" i="3"/>
  <c r="N1770" i="3"/>
  <c r="N1889" i="3"/>
  <c r="N1959" i="3"/>
  <c r="N2023" i="3"/>
  <c r="N2087" i="3"/>
  <c r="N2151" i="3"/>
  <c r="N2215" i="3"/>
  <c r="N2273" i="3"/>
  <c r="N2305" i="3"/>
  <c r="N2337" i="3"/>
  <c r="N2369" i="3"/>
  <c r="N2401" i="3"/>
  <c r="N2433" i="3"/>
  <c r="N2465" i="3"/>
  <c r="N2497" i="3"/>
  <c r="N1294" i="3"/>
  <c r="N1525" i="3"/>
  <c r="N1658" i="3"/>
  <c r="N1786" i="3"/>
  <c r="N1902" i="3"/>
  <c r="N1967" i="3"/>
  <c r="N2031" i="3"/>
  <c r="N2095" i="3"/>
  <c r="N2159" i="3"/>
  <c r="N2223" i="3"/>
  <c r="N2279" i="3"/>
  <c r="N2311" i="3"/>
  <c r="N2343" i="3"/>
  <c r="N2375" i="3"/>
  <c r="N2407" i="3"/>
  <c r="N2439" i="3"/>
  <c r="N247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738AB-01DF-4C6B-B4F5-473F0E3FD571}" keepAlive="1" name="Query - Cleaned_Finance_Expenses" description="Connection to the 'Cleaned_Finance_Expenses' query in the workbook." type="5" refreshedVersion="8" background="1" saveData="1">
    <dbPr connection="Provider=Microsoft.Mashup.OleDb.1;Data Source=$Workbook$;Location=Cleaned_Finance_Expenses;Extended Properties=&quot;&quot;" command="SELECT * FROM [Cleaned_Finance_Expenses]"/>
  </connection>
  <connection id="2" xr16:uid="{8F2AFA2A-A40C-41A6-9D59-7A9C7A8194B3}" keepAlive="1" name="Query - Cleaned_Sales_Deals" description="Connection to the 'Cleaned_Sales_Deals' query in the workbook." type="5" refreshedVersion="8" background="1" saveData="1">
    <dbPr connection="Provider=Microsoft.Mashup.OleDb.1;Data Source=$Workbook$;Location=Cleaned_Sales_Deals;Extended Properties=&quot;&quot;" command="SELECT * FROM [Cleaned_Sales_Deals]"/>
  </connection>
  <connection id="3" xr16:uid="{D79AD4C7-77C2-4E21-BBA2-F8A3425F1623}" keepAlive="1" name="Query - Raw_Finance_Expenses" description="Connection to the 'Raw_Finance_Expenses' query in the workbook." type="5" refreshedVersion="8" background="1" saveData="1">
    <dbPr connection="Provider=Microsoft.Mashup.OleDb.1;Data Source=$Workbook$;Location=Raw_Finance_Expenses;Extended Properties=&quot;&quot;" command="SELECT * FROM [Raw_Finance_Expenses]"/>
  </connection>
  <connection id="4" xr16:uid="{A5ADDB18-13CD-4F81-B7DF-078B1915E63A}" keepAlive="1" name="Query - Raw_Sales_Deals" description="Connection to the 'Raw_Sales_Deals' query in the workbook." type="5" refreshedVersion="8" background="1" saveData="1">
    <dbPr connection="Provider=Microsoft.Mashup.OleDb.1;Data Source=$Workbook$;Location=Raw_Sales_Deals;Extended Properties=&quot;&quot;" command="SELECT * FROM [Raw_Sales_Deals]"/>
  </connection>
</connections>
</file>

<file path=xl/sharedStrings.xml><?xml version="1.0" encoding="utf-8"?>
<sst xmlns="http://schemas.openxmlformats.org/spreadsheetml/2006/main" count="60048" uniqueCount="4910">
  <si>
    <t>Deal_ID</t>
  </si>
  <si>
    <t>Sales_Rep</t>
  </si>
  <si>
    <t>Client_ID</t>
  </si>
  <si>
    <t>Product</t>
  </si>
  <si>
    <t>Lead_Source</t>
  </si>
  <si>
    <t>Deal_Stage</t>
  </si>
  <si>
    <t>Deal_Value_INR</t>
  </si>
  <si>
    <t>Created_Date</t>
  </si>
  <si>
    <t>Close_Date</t>
  </si>
  <si>
    <t>Days_to_Close</t>
  </si>
  <si>
    <t>Discount_Percent</t>
  </si>
  <si>
    <t>Region</t>
  </si>
  <si>
    <t>Quarter</t>
  </si>
  <si>
    <t>DEAL-01440</t>
  </si>
  <si>
    <t>Rohit Mehta</t>
  </si>
  <si>
    <t>CLI-0014</t>
  </si>
  <si>
    <t>SecureNet Suite</t>
  </si>
  <si>
    <t>Referral</t>
  </si>
  <si>
    <t>Closed Lost</t>
  </si>
  <si>
    <t>2023-12-03</t>
  </si>
  <si>
    <t>West</t>
  </si>
  <si>
    <t>Q4-2023</t>
  </si>
  <si>
    <t>DEAL-02021</t>
  </si>
  <si>
    <t>Amit Pillai</t>
  </si>
  <si>
    <t>CLI-0208</t>
  </si>
  <si>
    <t>AI Insights Module</t>
  </si>
  <si>
    <t>Organic Search</t>
  </si>
  <si>
    <t>Prospecting</t>
  </si>
  <si>
    <t>2023-04-14</t>
  </si>
  <si>
    <t>South</t>
  </si>
  <si>
    <t>Q2-2023</t>
  </si>
  <si>
    <t>DEAL-00174</t>
  </si>
  <si>
    <t>CLI-0084</t>
  </si>
  <si>
    <t>Proposal Sent</t>
  </si>
  <si>
    <t>2023-01-30</t>
  </si>
  <si>
    <t>Q1-2023</t>
  </si>
  <si>
    <t>DEAL-02399</t>
  </si>
  <si>
    <t>Vikram Patel</t>
  </si>
  <si>
    <t>CLI-0096</t>
  </si>
  <si>
    <t>AnalyticsEdge</t>
  </si>
  <si>
    <t>Closed Won</t>
  </si>
  <si>
    <t>2024-10-25</t>
  </si>
  <si>
    <t>Q4-2024</t>
  </si>
  <si>
    <t>DEAL-00243</t>
  </si>
  <si>
    <t>Siddharth Joshi</t>
  </si>
  <si>
    <t>CLI-0071</t>
  </si>
  <si>
    <t>DataVault Pro</t>
  </si>
  <si>
    <t>Email Campaign</t>
  </si>
  <si>
    <t>2023-12-06</t>
  </si>
  <si>
    <t>East</t>
  </si>
  <si>
    <t>DEAL-02410</t>
  </si>
  <si>
    <t/>
  </si>
  <si>
    <t>CLI-0238</t>
  </si>
  <si>
    <t>Qualification</t>
  </si>
  <si>
    <t>2023-12-16</t>
  </si>
  <si>
    <t>DEAL-02158</t>
  </si>
  <si>
    <t>CLI-0081</t>
  </si>
  <si>
    <t>2024-11-17</t>
  </si>
  <si>
    <t>DEAL-01161</t>
  </si>
  <si>
    <t>Aditya Pillai</t>
  </si>
  <si>
    <t>CLI-0236</t>
  </si>
  <si>
    <t>Google Ads</t>
  </si>
  <si>
    <t>2025-02-08</t>
  </si>
  <si>
    <t>Q1-2025</t>
  </si>
  <si>
    <t>DEAL-00586</t>
  </si>
  <si>
    <t>Meera Reddy</t>
  </si>
  <si>
    <t>CLI-0128</t>
  </si>
  <si>
    <t>CloudShift Platform</t>
  </si>
  <si>
    <t>2024-03-20</t>
  </si>
  <si>
    <t>Q1-2024</t>
  </si>
  <si>
    <t>DEAL-00863</t>
  </si>
  <si>
    <t>CLI-0147</t>
  </si>
  <si>
    <t>LinkedIn Campaign</t>
  </si>
  <si>
    <t>2024-03-05</t>
  </si>
  <si>
    <t>DEAL-01273</t>
  </si>
  <si>
    <t>Ananya Sharma</t>
  </si>
  <si>
    <t>CLI-0237</t>
  </si>
  <si>
    <t>Webinar</t>
  </si>
  <si>
    <t>2024-02-24</t>
  </si>
  <si>
    <t>DEAL-01938</t>
  </si>
  <si>
    <t>Siddharth Gupta</t>
  </si>
  <si>
    <t>CLI-0261</t>
  </si>
  <si>
    <t>2023-10-20</t>
  </si>
  <si>
    <t>DEAL-01122</t>
  </si>
  <si>
    <t>Rahul Patel</t>
  </si>
  <si>
    <t>CLI-0070</t>
  </si>
  <si>
    <t>2024-02-13</t>
  </si>
  <si>
    <t>DEAL-01643</t>
  </si>
  <si>
    <t>Riya Das</t>
  </si>
  <si>
    <t>CLI-0298</t>
  </si>
  <si>
    <t>DevOps Accelerator</t>
  </si>
  <si>
    <t>2023-10-11</t>
  </si>
  <si>
    <t>DEAL-00234</t>
  </si>
  <si>
    <t>CLI-0286</t>
  </si>
  <si>
    <t>Trade Show</t>
  </si>
  <si>
    <t>2024-11-27</t>
  </si>
  <si>
    <t>North</t>
  </si>
  <si>
    <t>DEAL-01783</t>
  </si>
  <si>
    <t>Vikram Iyer</t>
  </si>
  <si>
    <t>CLI-0050</t>
  </si>
  <si>
    <t>Cold Outreach</t>
  </si>
  <si>
    <t>2023-08-04</t>
  </si>
  <si>
    <t>Q3-2023</t>
  </si>
  <si>
    <t>DEAL-00305</t>
  </si>
  <si>
    <t>Neha Pillai</t>
  </si>
  <si>
    <t>CLI-0035</t>
  </si>
  <si>
    <t>2024-05-14</t>
  </si>
  <si>
    <t>Q2-2024</t>
  </si>
  <si>
    <t>DEAL-00351</t>
  </si>
  <si>
    <t>Arjun Rao</t>
  </si>
  <si>
    <t>CLI-0090</t>
  </si>
  <si>
    <t>2025-02-20</t>
  </si>
  <si>
    <t>DEAL-02148</t>
  </si>
  <si>
    <t>CLI-0202</t>
  </si>
  <si>
    <t>2024-01-25</t>
  </si>
  <si>
    <t>DEAL-01377</t>
  </si>
  <si>
    <t>CLI-0102</t>
  </si>
  <si>
    <t>05/20/2024</t>
  </si>
  <si>
    <t>DEAL-01947</t>
  </si>
  <si>
    <t>CLI-0135</t>
  </si>
  <si>
    <t>2023-01-24</t>
  </si>
  <si>
    <t>DEAL-02354</t>
  </si>
  <si>
    <t>CLI-0120</t>
  </si>
  <si>
    <t>2025-03-09</t>
  </si>
  <si>
    <t>DEAL-01835</t>
  </si>
  <si>
    <t>2023-04-30</t>
  </si>
  <si>
    <t>DEAL-02057</t>
  </si>
  <si>
    <t>Deepika Das</t>
  </si>
  <si>
    <t>CLI-0125</t>
  </si>
  <si>
    <t>Negotiation</t>
  </si>
  <si>
    <t>2024-02-25</t>
  </si>
  <si>
    <t>DEAL-00631</t>
  </si>
  <si>
    <t>CLI-0222</t>
  </si>
  <si>
    <t>2023-03-09</t>
  </si>
  <si>
    <t>DEAL-02059</t>
  </si>
  <si>
    <t>CLI-0191</t>
  </si>
  <si>
    <t>2024-12-26</t>
  </si>
  <si>
    <t>DEAL-00946</t>
  </si>
  <si>
    <t>CLI-0158</t>
  </si>
  <si>
    <t>2023-04-10</t>
  </si>
  <si>
    <t>DEAL-01560</t>
  </si>
  <si>
    <t>CLI-0219</t>
  </si>
  <si>
    <t>2023-12-18</t>
  </si>
  <si>
    <t>DEAL-01779</t>
  </si>
  <si>
    <t>CLI-0266</t>
  </si>
  <si>
    <t>2025-02-11</t>
  </si>
  <si>
    <t>DEAL-01223</t>
  </si>
  <si>
    <t>CLI-0006</t>
  </si>
  <si>
    <t>2024-07-02</t>
  </si>
  <si>
    <t>Q3-2024</t>
  </si>
  <si>
    <t>DEAL-02345</t>
  </si>
  <si>
    <t>CLI-0060</t>
  </si>
  <si>
    <t>2023-06-17</t>
  </si>
  <si>
    <t>DEAL-00816</t>
  </si>
  <si>
    <t>CLI-0278</t>
  </si>
  <si>
    <t>2025-03-13</t>
  </si>
  <si>
    <t>DEAL-01909</t>
  </si>
  <si>
    <t>CLI-0063</t>
  </si>
  <si>
    <t>2024-05-30</t>
  </si>
  <si>
    <t>DEAL-00184</t>
  </si>
  <si>
    <t>CLI-0080</t>
  </si>
  <si>
    <t>DEAL-00430</t>
  </si>
  <si>
    <t>CLI-0088</t>
  </si>
  <si>
    <t>2024-07-26</t>
  </si>
  <si>
    <t>DEAL-01657</t>
  </si>
  <si>
    <t>CLI-0154</t>
  </si>
  <si>
    <t>2023-04-01</t>
  </si>
  <si>
    <t>DEAL-01118</t>
  </si>
  <si>
    <t>CLI-0086</t>
  </si>
  <si>
    <t>2023-06-06</t>
  </si>
  <si>
    <t>DEAL-00337</t>
  </si>
  <si>
    <t>2024-12-29</t>
  </si>
  <si>
    <t>DEAL-01051</t>
  </si>
  <si>
    <t>Priya Kumar</t>
  </si>
  <si>
    <t>CLI-0284</t>
  </si>
  <si>
    <t>2024-10-22</t>
  </si>
  <si>
    <t>DEAL-01916</t>
  </si>
  <si>
    <t>CLI-0288</t>
  </si>
  <si>
    <t>2025-03-28</t>
  </si>
  <si>
    <t>DEAL-00718</t>
  </si>
  <si>
    <t>CLI-0272</t>
  </si>
  <si>
    <t>2024-06-06</t>
  </si>
  <si>
    <t>DEAL-02141</t>
  </si>
  <si>
    <t>CLI-0218</t>
  </si>
  <si>
    <t>2024-04-09</t>
  </si>
  <si>
    <t>DEAL-00488</t>
  </si>
  <si>
    <t>CLI-0221</t>
  </si>
  <si>
    <t>2024-06-03</t>
  </si>
  <si>
    <t>DEAL-01718</t>
  </si>
  <si>
    <t>CLI-0138</t>
  </si>
  <si>
    <t>2024-01-18</t>
  </si>
  <si>
    <t>DEAL-01359</t>
  </si>
  <si>
    <t>CLI-0162</t>
  </si>
  <si>
    <t>2024-12-03</t>
  </si>
  <si>
    <t>DEAL-01902</t>
  </si>
  <si>
    <t>CLI-0007</t>
  </si>
  <si>
    <t>2023-12-05</t>
  </si>
  <si>
    <t>DEAL-00388</t>
  </si>
  <si>
    <t>CLI-0052</t>
  </si>
  <si>
    <t>2024-11-05</t>
  </si>
  <si>
    <t>DEAL-02216</t>
  </si>
  <si>
    <t>2023-11-18</t>
  </si>
  <si>
    <t>DEAL-00556</t>
  </si>
  <si>
    <t>2023-05-24</t>
  </si>
  <si>
    <t>DEAL-01130</t>
  </si>
  <si>
    <t>CLI-0216</t>
  </si>
  <si>
    <t>2025-03-18</t>
  </si>
  <si>
    <t>DEAL-00938</t>
  </si>
  <si>
    <t>CLI-0160</t>
  </si>
  <si>
    <t>2023-09-22</t>
  </si>
  <si>
    <t>DEAL-00794</t>
  </si>
  <si>
    <t>2023-05-30</t>
  </si>
  <si>
    <t>DEAL-00604</t>
  </si>
  <si>
    <t>CLI-0043</t>
  </si>
  <si>
    <t>2023-01-12</t>
  </si>
  <si>
    <t>DEAL-00954</t>
  </si>
  <si>
    <t>2025-03-19</t>
  </si>
  <si>
    <t>DEAL-01107</t>
  </si>
  <si>
    <t>CLI-0005</t>
  </si>
  <si>
    <t>DEAL-00597</t>
  </si>
  <si>
    <t>CLI-0230</t>
  </si>
  <si>
    <t>DEAL-01404</t>
  </si>
  <si>
    <t>2025-03-23</t>
  </si>
  <si>
    <t>DEAL-02242</t>
  </si>
  <si>
    <t>CLI-0002</t>
  </si>
  <si>
    <t>2024-08-28</t>
  </si>
  <si>
    <t>DEAL-02405</t>
  </si>
  <si>
    <t>CLI-0077</t>
  </si>
  <si>
    <t>2023-07-29</t>
  </si>
  <si>
    <t>DEAL-00721</t>
  </si>
  <si>
    <t>2024-02-05</t>
  </si>
  <si>
    <t>DEAL-00504</t>
  </si>
  <si>
    <t>2023-07-12</t>
  </si>
  <si>
    <t>DEAL-00937</t>
  </si>
  <si>
    <t>2024-07-27</t>
  </si>
  <si>
    <t>DEAL-01769</t>
  </si>
  <si>
    <t>DEAL-01725</t>
  </si>
  <si>
    <t>CLI-0197</t>
  </si>
  <si>
    <t>2023-01-05</t>
  </si>
  <si>
    <t>DEAL-00951</t>
  </si>
  <si>
    <t>2024-01-26</t>
  </si>
  <si>
    <t>DEAL-00313</t>
  </si>
  <si>
    <t>2023-05-06</t>
  </si>
  <si>
    <t>DEAL-00726</t>
  </si>
  <si>
    <t>CLI-0251</t>
  </si>
  <si>
    <t>2025-03-16</t>
  </si>
  <si>
    <t>DEAL-01062</t>
  </si>
  <si>
    <t>CLI-0243</t>
  </si>
  <si>
    <t>2023-03-21</t>
  </si>
  <si>
    <t>DEAL-00072</t>
  </si>
  <si>
    <t>CLI-0228</t>
  </si>
  <si>
    <t>2023-05-23</t>
  </si>
  <si>
    <t>DEAL-00593</t>
  </si>
  <si>
    <t>2024-11-06</t>
  </si>
  <si>
    <t>DEAL-00633</t>
  </si>
  <si>
    <t>CLI-0275</t>
  </si>
  <si>
    <t>2024-01-22</t>
  </si>
  <si>
    <t>DEAL-00241</t>
  </si>
  <si>
    <t>CLI-0292</t>
  </si>
  <si>
    <t>2024-10-29</t>
  </si>
  <si>
    <t>DEAL-00879</t>
  </si>
  <si>
    <t>CLI-0031</t>
  </si>
  <si>
    <t>2024-12-28</t>
  </si>
  <si>
    <t>DEAL-01532</t>
  </si>
  <si>
    <t>CLI-0109</t>
  </si>
  <si>
    <t>2023-05-27</t>
  </si>
  <si>
    <t>DEAL-02348</t>
  </si>
  <si>
    <t>CLI-0295</t>
  </si>
  <si>
    <t>2024-04-22</t>
  </si>
  <si>
    <t>DEAL-01079</t>
  </si>
  <si>
    <t>CLI-0172</t>
  </si>
  <si>
    <t>2024-03-19</t>
  </si>
  <si>
    <t>DEAL-01305</t>
  </si>
  <si>
    <t>CLI-0206</t>
  </si>
  <si>
    <t>2024-06-12</t>
  </si>
  <si>
    <t>DEAL-00187</t>
  </si>
  <si>
    <t>CLI-0180</t>
  </si>
  <si>
    <t>2024-05-22</t>
  </si>
  <si>
    <t>DEAL-02217</t>
  </si>
  <si>
    <t>CLI-0270</t>
  </si>
  <si>
    <t>2023-02-26</t>
  </si>
  <si>
    <t>DEAL-00347</t>
  </si>
  <si>
    <t>2023-10-14</t>
  </si>
  <si>
    <t>DEAL-00971</t>
  </si>
  <si>
    <t>CLI-0087</t>
  </si>
  <si>
    <t>2023-03-04</t>
  </si>
  <si>
    <t>DEAL-00709</t>
  </si>
  <si>
    <t>CLI-0183</t>
  </si>
  <si>
    <t>2023-02-01</t>
  </si>
  <si>
    <t>DEAL-00383</t>
  </si>
  <si>
    <t>2024-03-06</t>
  </si>
  <si>
    <t>DEAL-01809</t>
  </si>
  <si>
    <t>CLI-0103</t>
  </si>
  <si>
    <t>2024-12-02</t>
  </si>
  <si>
    <t>DEAL-00077</t>
  </si>
  <si>
    <t>CLI-0075</t>
  </si>
  <si>
    <t>2024-09-10</t>
  </si>
  <si>
    <t>DEAL-00423</t>
  </si>
  <si>
    <t>CLI-0146</t>
  </si>
  <si>
    <t>DEAL-01237</t>
  </si>
  <si>
    <t>CLI-0033</t>
  </si>
  <si>
    <t>2024-07-30</t>
  </si>
  <si>
    <t>DEAL-01217</t>
  </si>
  <si>
    <t>CLI-0017</t>
  </si>
  <si>
    <t>2024-06-01</t>
  </si>
  <si>
    <t>DEAL-01724</t>
  </si>
  <si>
    <t>05/12/2024</t>
  </si>
  <si>
    <t>DEAL-00151</t>
  </si>
  <si>
    <t>CLI-0099</t>
  </si>
  <si>
    <t>2025-01-29</t>
  </si>
  <si>
    <t>DEAL-00418</t>
  </si>
  <si>
    <t>07/11/2023</t>
  </si>
  <si>
    <t>DEAL-01039</t>
  </si>
  <si>
    <t>CLI-0212</t>
  </si>
  <si>
    <t>2024-03-23</t>
  </si>
  <si>
    <t>DEAL-01871</t>
  </si>
  <si>
    <t>CLI-0026</t>
  </si>
  <si>
    <t>DEAL-01438</t>
  </si>
  <si>
    <t>CLI-0259</t>
  </si>
  <si>
    <t>2024-02-22</t>
  </si>
  <si>
    <t>DEAL-02064</t>
  </si>
  <si>
    <t>CLI-0248</t>
  </si>
  <si>
    <t>DEAL-00140</t>
  </si>
  <si>
    <t>06/25/2024</t>
  </si>
  <si>
    <t>DEAL-01175</t>
  </si>
  <si>
    <t>CLI-0273</t>
  </si>
  <si>
    <t>2025-01-17</t>
  </si>
  <si>
    <t>DEAL-01177</t>
  </si>
  <si>
    <t>CLI-0122</t>
  </si>
  <si>
    <t>2023-07-17</t>
  </si>
  <si>
    <t>DEAL-02224</t>
  </si>
  <si>
    <t>CLI-0166</t>
  </si>
  <si>
    <t>2023-09-25</t>
  </si>
  <si>
    <t>DEAL-00759</t>
  </si>
  <si>
    <t>CLI-0277</t>
  </si>
  <si>
    <t>2024-02-20</t>
  </si>
  <si>
    <t>DEAL-01879</t>
  </si>
  <si>
    <t>2024-10-20</t>
  </si>
  <si>
    <t>DEAL-00385</t>
  </si>
  <si>
    <t>CLI-0179</t>
  </si>
  <si>
    <t>DEAL-00751</t>
  </si>
  <si>
    <t>2024-08-22</t>
  </si>
  <si>
    <t>DEAL-00209</t>
  </si>
  <si>
    <t>CLI-0028</t>
  </si>
  <si>
    <t>2023-05-08</t>
  </si>
  <si>
    <t>DEAL-02422</t>
  </si>
  <si>
    <t>CLI-0217</t>
  </si>
  <si>
    <t>2024-03-01</t>
  </si>
  <si>
    <t>DEAL-02192</t>
  </si>
  <si>
    <t>CLI-0235</t>
  </si>
  <si>
    <t>2023-12-19</t>
  </si>
  <si>
    <t>DEAL-00734</t>
  </si>
  <si>
    <t>CLI-0101</t>
  </si>
  <si>
    <t>2023-03-25</t>
  </si>
  <si>
    <t>DEAL-00346</t>
  </si>
  <si>
    <t>CLI-0279</t>
  </si>
  <si>
    <t>2024-01-13</t>
  </si>
  <si>
    <t>DEAL-01261</t>
  </si>
  <si>
    <t>CLI-0104</t>
  </si>
  <si>
    <t>2024-09-29</t>
  </si>
  <si>
    <t>DEAL-00214</t>
  </si>
  <si>
    <t>CLI-0054</t>
  </si>
  <si>
    <t>11/07/2023</t>
  </si>
  <si>
    <t>DEAL-00465</t>
  </si>
  <si>
    <t>CLI-0114</t>
  </si>
  <si>
    <t>2023-09-21</t>
  </si>
  <si>
    <t>DEAL-02096</t>
  </si>
  <si>
    <t>2023-01-04</t>
  </si>
  <si>
    <t>DEAL-01915</t>
  </si>
  <si>
    <t>2024-04-12</t>
  </si>
  <si>
    <t>DEAL-01987</t>
  </si>
  <si>
    <t>DEAL-00825</t>
  </si>
  <si>
    <t>CLI-0177</t>
  </si>
  <si>
    <t>2023-09-15</t>
  </si>
  <si>
    <t>DEAL-00165</t>
  </si>
  <si>
    <t>2023-09-17</t>
  </si>
  <si>
    <t>DEAL-00678</t>
  </si>
  <si>
    <t>08/23/2023</t>
  </si>
  <si>
    <t>DEAL-02465</t>
  </si>
  <si>
    <t>2023-01-25</t>
  </si>
  <si>
    <t>DEAL-01564</t>
  </si>
  <si>
    <t>CLI-0105</t>
  </si>
  <si>
    <t>2023-11-08</t>
  </si>
  <si>
    <t>DEAL-00013</t>
  </si>
  <si>
    <t>CLI-0097</t>
  </si>
  <si>
    <t>2023-07-14</t>
  </si>
  <si>
    <t>DEAL-00784</t>
  </si>
  <si>
    <t>CLI-0276</t>
  </si>
  <si>
    <t>03/18/2023</t>
  </si>
  <si>
    <t>DEAL-01621</t>
  </si>
  <si>
    <t>CLI-0199</t>
  </si>
  <si>
    <t>2024-03-08</t>
  </si>
  <si>
    <t>DEAL-00754</t>
  </si>
  <si>
    <t>CLI-0108</t>
  </si>
  <si>
    <t>2023-09-29</t>
  </si>
  <si>
    <t>DEAL-00878</t>
  </si>
  <si>
    <t>2024-08-12</t>
  </si>
  <si>
    <t>DEAL-01375</t>
  </si>
  <si>
    <t>CLI-0214</t>
  </si>
  <si>
    <t>2024-11-25</t>
  </si>
  <si>
    <t>DEAL-00052</t>
  </si>
  <si>
    <t>CLI-0184</t>
  </si>
  <si>
    <t>2025-02-15</t>
  </si>
  <si>
    <t>DEAL-01939</t>
  </si>
  <si>
    <t>2024-07-18</t>
  </si>
  <si>
    <t>DEAL-00359</t>
  </si>
  <si>
    <t>CLI-0058</t>
  </si>
  <si>
    <t>2024-06-29</t>
  </si>
  <si>
    <t>DEAL-01036</t>
  </si>
  <si>
    <t>2023-09-03</t>
  </si>
  <si>
    <t>DEAL-00032</t>
  </si>
  <si>
    <t>2023-02-24</t>
  </si>
  <si>
    <t>DEAL-02003</t>
  </si>
  <si>
    <t>2023-12-26</t>
  </si>
  <si>
    <t>DEAL-02280</t>
  </si>
  <si>
    <t>CLI-0082</t>
  </si>
  <si>
    <t>2023-07-09</t>
  </si>
  <si>
    <t>DEAL-00343</t>
  </si>
  <si>
    <t>2023-03-18</t>
  </si>
  <si>
    <t>DEAL-01156</t>
  </si>
  <si>
    <t>CLI-0203</t>
  </si>
  <si>
    <t>01/18/2024</t>
  </si>
  <si>
    <t>DEAL-02493</t>
  </si>
  <si>
    <t>CLI-0267</t>
  </si>
  <si>
    <t>2024-07-29</t>
  </si>
  <si>
    <t>DEAL-00360</t>
  </si>
  <si>
    <t>CLI-0253</t>
  </si>
  <si>
    <t>2023-01-18</t>
  </si>
  <si>
    <t>DEAL-00869</t>
  </si>
  <si>
    <t>DEAL-01016</t>
  </si>
  <si>
    <t>CLI-0131</t>
  </si>
  <si>
    <t>2024-07-10</t>
  </si>
  <si>
    <t>DEAL-00788</t>
  </si>
  <si>
    <t>CLI-0223</t>
  </si>
  <si>
    <t>2025-03-24</t>
  </si>
  <si>
    <t>DEAL-01956</t>
  </si>
  <si>
    <t>CLI-0118</t>
  </si>
  <si>
    <t>2023-05-29</t>
  </si>
  <si>
    <t>DEAL-01339</t>
  </si>
  <si>
    <t>CLI-0255</t>
  </si>
  <si>
    <t>2023-06-12</t>
  </si>
  <si>
    <t>DEAL-02015</t>
  </si>
  <si>
    <t>CLI-0268</t>
  </si>
  <si>
    <t>2024-02-23</t>
  </si>
  <si>
    <t>DEAL-00640</t>
  </si>
  <si>
    <t>2024-11-28</t>
  </si>
  <si>
    <t>DEAL-02185</t>
  </si>
  <si>
    <t>2024-11-15</t>
  </si>
  <si>
    <t>DEAL-00812</t>
  </si>
  <si>
    <t>CLI-0233</t>
  </si>
  <si>
    <t>2025-01-25</t>
  </si>
  <si>
    <t>DEAL-01989</t>
  </si>
  <si>
    <t>2024-05-19</t>
  </si>
  <si>
    <t>DEAL-00481</t>
  </si>
  <si>
    <t>CLI-0136</t>
  </si>
  <si>
    <t>2023-03-30</t>
  </si>
  <si>
    <t>DEAL-01410</t>
  </si>
  <si>
    <t>CLI-0224</t>
  </si>
  <si>
    <t>2023-08-01</t>
  </si>
  <si>
    <t>DEAL-00210</t>
  </si>
  <si>
    <t>CLI-0142</t>
  </si>
  <si>
    <t>2025-01-02</t>
  </si>
  <si>
    <t>DEAL-01717</t>
  </si>
  <si>
    <t>CLI-0264</t>
  </si>
  <si>
    <t>2024-08-01</t>
  </si>
  <si>
    <t>DEAL-01611</t>
  </si>
  <si>
    <t>CLI-0089</t>
  </si>
  <si>
    <t>2023-10-05</t>
  </si>
  <si>
    <t>DEAL-01509</t>
  </si>
  <si>
    <t>2024-08-13</t>
  </si>
  <si>
    <t>DEAL-01639</t>
  </si>
  <si>
    <t>CLI-0095</t>
  </si>
  <si>
    <t>2024-08-07</t>
  </si>
  <si>
    <t>DEAL-00895</t>
  </si>
  <si>
    <t>CLI-0181</t>
  </si>
  <si>
    <t>DEAL-00693</t>
  </si>
  <si>
    <t>2023-09-16</t>
  </si>
  <si>
    <t>DEAL-01870</t>
  </si>
  <si>
    <t>CLI-0072</t>
  </si>
  <si>
    <t>2023-05-22</t>
  </si>
  <si>
    <t>DEAL-01206</t>
  </si>
  <si>
    <t>2023-07-01</t>
  </si>
  <si>
    <t>DEAL-00109</t>
  </si>
  <si>
    <t>CLI-0260</t>
  </si>
  <si>
    <t>2023-01-15</t>
  </si>
  <si>
    <t>DEAL-00410</t>
  </si>
  <si>
    <t>CLI-0231</t>
  </si>
  <si>
    <t>DEAL-01180</t>
  </si>
  <si>
    <t>CLI-0205</t>
  </si>
  <si>
    <t>2023-04-02</t>
  </si>
  <si>
    <t>DEAL-00876</t>
  </si>
  <si>
    <t>2023-10-29</t>
  </si>
  <si>
    <t>DEAL-02108</t>
  </si>
  <si>
    <t>2023-10-19</t>
  </si>
  <si>
    <t>DEAL-00603</t>
  </si>
  <si>
    <t>2023-12-25</t>
  </si>
  <si>
    <t>DEAL-00528</t>
  </si>
  <si>
    <t>CLI-0215</t>
  </si>
  <si>
    <t>2023-08-06</t>
  </si>
  <si>
    <t>DEAL-01070</t>
  </si>
  <si>
    <t>2024-03-12</t>
  </si>
  <si>
    <t>DEAL-02187</t>
  </si>
  <si>
    <t>CLI-0271</t>
  </si>
  <si>
    <t>2023-08-30</t>
  </si>
  <si>
    <t>DEAL-00691</t>
  </si>
  <si>
    <t>CLI-0190</t>
  </si>
  <si>
    <t>2024-02-07</t>
  </si>
  <si>
    <t>DEAL-00771</t>
  </si>
  <si>
    <t>DEAL-02201</t>
  </si>
  <si>
    <t>2023-05-26</t>
  </si>
  <si>
    <t>DEAL-01287</t>
  </si>
  <si>
    <t>2024-01-20</t>
  </si>
  <si>
    <t>DEAL-00607</t>
  </si>
  <si>
    <t>CLI-0173</t>
  </si>
  <si>
    <t>2025-01-11</t>
  </si>
  <si>
    <t>DEAL-01401</t>
  </si>
  <si>
    <t>2024-03-28</t>
  </si>
  <si>
    <t>DEAL-02243</t>
  </si>
  <si>
    <t>CLI-0011</t>
  </si>
  <si>
    <t>2023-04-29</t>
  </si>
  <si>
    <t>DEAL-00839</t>
  </si>
  <si>
    <t>CLI-0152</t>
  </si>
  <si>
    <t>02/02/2025</t>
  </si>
  <si>
    <t>DEAL-01963</t>
  </si>
  <si>
    <t>2025-03-05</t>
  </si>
  <si>
    <t>DEAL-01301</t>
  </si>
  <si>
    <t>2023-01-06</t>
  </si>
  <si>
    <t>DEAL-00996</t>
  </si>
  <si>
    <t>CLI-0098</t>
  </si>
  <si>
    <t>2025-02-28</t>
  </si>
  <si>
    <t>DEAL-00330</t>
  </si>
  <si>
    <t>CLI-0234</t>
  </si>
  <si>
    <t>2023-04-22</t>
  </si>
  <si>
    <t>DEAL-01297</t>
  </si>
  <si>
    <t>2025-02-26</t>
  </si>
  <si>
    <t>DEAL-00426</t>
  </si>
  <si>
    <t>CLI-0192</t>
  </si>
  <si>
    <t>2023-10-18</t>
  </si>
  <si>
    <t>DEAL-01322</t>
  </si>
  <si>
    <t>CLI-0041</t>
  </si>
  <si>
    <t>2024-05-11</t>
  </si>
  <si>
    <t>DEAL-01711</t>
  </si>
  <si>
    <t>2023-11-05</t>
  </si>
  <si>
    <t>DEAL-02157</t>
  </si>
  <si>
    <t>CLI-0127</t>
  </si>
  <si>
    <t>2023-02-07</t>
  </si>
  <si>
    <t>DEAL-01620</t>
  </si>
  <si>
    <t>2024-10-10</t>
  </si>
  <si>
    <t>DEAL-02497</t>
  </si>
  <si>
    <t>DEAL-00750</t>
  </si>
  <si>
    <t>2023-03-03</t>
  </si>
  <si>
    <t>DEAL-01931</t>
  </si>
  <si>
    <t>CLI-0129</t>
  </si>
  <si>
    <t>2023-08-18</t>
  </si>
  <si>
    <t>DEAL-00861</t>
  </si>
  <si>
    <t>CLI-0165</t>
  </si>
  <si>
    <t>2023-10-10</t>
  </si>
  <si>
    <t>DEAL-00522</t>
  </si>
  <si>
    <t>CLI-0297</t>
  </si>
  <si>
    <t>2024-01-17</t>
  </si>
  <si>
    <t>DEAL-00817</t>
  </si>
  <si>
    <t>CLI-0034</t>
  </si>
  <si>
    <t>2024-05-31</t>
  </si>
  <si>
    <t>DEAL-00580</t>
  </si>
  <si>
    <t>CLI-0091</t>
  </si>
  <si>
    <t>2023-01-07</t>
  </si>
  <si>
    <t>DEAL-02489</t>
  </si>
  <si>
    <t>2024-11-20</t>
  </si>
  <si>
    <t>DEAL-00884</t>
  </si>
  <si>
    <t>2023-05-05</t>
  </si>
  <si>
    <t>DEAL-01822</t>
  </si>
  <si>
    <t>CLI-0016</t>
  </si>
  <si>
    <t>02/04/2025</t>
  </si>
  <si>
    <t>DEAL-01990</t>
  </si>
  <si>
    <t>CLI-0055</t>
  </si>
  <si>
    <t>08/13/2023</t>
  </si>
  <si>
    <t>DEAL-00950</t>
  </si>
  <si>
    <t>2023-12-15</t>
  </si>
  <si>
    <t>DEAL-01379</t>
  </si>
  <si>
    <t>2023-03-12</t>
  </si>
  <si>
    <t>DEAL-02279</t>
  </si>
  <si>
    <t>2024-02-15</t>
  </si>
  <si>
    <t>DEAL-01007</t>
  </si>
  <si>
    <t>CLI-0290</t>
  </si>
  <si>
    <t>DEAL-00164</t>
  </si>
  <si>
    <t>2023-09-10</t>
  </si>
  <si>
    <t>DEAL-00171</t>
  </si>
  <si>
    <t>CLI-0001</t>
  </si>
  <si>
    <t>2024-09-18</t>
  </si>
  <si>
    <t>DEAL-00587</t>
  </si>
  <si>
    <t>CLI-0163</t>
  </si>
  <si>
    <t>05/25/2023</t>
  </si>
  <si>
    <t>DEAL-01925</t>
  </si>
  <si>
    <t>DEAL-01795</t>
  </si>
  <si>
    <t>2023-04-15</t>
  </si>
  <si>
    <t>DEAL-00086</t>
  </si>
  <si>
    <t>CLI-0130</t>
  </si>
  <si>
    <t>DEAL-01239</t>
  </si>
  <si>
    <t>CLI-0220</t>
  </si>
  <si>
    <t>2024-03-03</t>
  </si>
  <si>
    <t>DEAL-00454</t>
  </si>
  <si>
    <t>2023-03-20</t>
  </si>
  <si>
    <t>DEAL-01050</t>
  </si>
  <si>
    <t>CLI-0037</t>
  </si>
  <si>
    <t>2024-05-21</t>
  </si>
  <si>
    <t>DEAL-01151</t>
  </si>
  <si>
    <t>2024-06-16</t>
  </si>
  <si>
    <t>DEAL-02421</t>
  </si>
  <si>
    <t>2023-08-02</t>
  </si>
  <si>
    <t>DEAL-01367</t>
  </si>
  <si>
    <t>2024-02-18</t>
  </si>
  <si>
    <t>DEAL-02179</t>
  </si>
  <si>
    <t>2023-07-21</t>
  </si>
  <si>
    <t>DEAL-02470</t>
  </si>
  <si>
    <t>CLI-0051</t>
  </si>
  <si>
    <t>DEAL-00942</t>
  </si>
  <si>
    <t>CLI-0226</t>
  </si>
  <si>
    <t>2024-05-29</t>
  </si>
  <si>
    <t>DEAL-02468</t>
  </si>
  <si>
    <t>DEAL-00901</t>
  </si>
  <si>
    <t>CLI-0140</t>
  </si>
  <si>
    <t>DEAL-00629</t>
  </si>
  <si>
    <t>CLI-0188</t>
  </si>
  <si>
    <t>2024-03-27</t>
  </si>
  <si>
    <t>DEAL-00558</t>
  </si>
  <si>
    <t>CLI-0150</t>
  </si>
  <si>
    <t>2025-01-08</t>
  </si>
  <si>
    <t>DEAL-01854</t>
  </si>
  <si>
    <t>2024-06-30</t>
  </si>
  <si>
    <t>DEAL-00431</t>
  </si>
  <si>
    <t>2024-02-17</t>
  </si>
  <si>
    <t>DEAL-01562</t>
  </si>
  <si>
    <t>2024-11-22</t>
  </si>
  <si>
    <t>DEAL-01882</t>
  </si>
  <si>
    <t>DEAL-01732</t>
  </si>
  <si>
    <t>CLI-0059</t>
  </si>
  <si>
    <t>DEAL-00368</t>
  </si>
  <si>
    <t>CLI-0300</t>
  </si>
  <si>
    <t>2023-07-26</t>
  </si>
  <si>
    <t>DEAL-00141</t>
  </si>
  <si>
    <t>CLI-0164</t>
  </si>
  <si>
    <t>DEAL-00715</t>
  </si>
  <si>
    <t>2024-03-16</t>
  </si>
  <si>
    <t>DEAL-00284</t>
  </si>
  <si>
    <t>CLI-0040</t>
  </si>
  <si>
    <t>2023-02-09</t>
  </si>
  <si>
    <t>DEAL-01531</t>
  </si>
  <si>
    <t>2024-12-06</t>
  </si>
  <si>
    <t>DEAL-01202</t>
  </si>
  <si>
    <t>DEAL-01899</t>
  </si>
  <si>
    <t>CLI-0241</t>
  </si>
  <si>
    <t>2025-02-24</t>
  </si>
  <si>
    <t>DEAL-01826</t>
  </si>
  <si>
    <t>DEAL-02095</t>
  </si>
  <si>
    <t>CLI-0280</t>
  </si>
  <si>
    <t>2024-10-26</t>
  </si>
  <si>
    <t>DEAL-00703</t>
  </si>
  <si>
    <t>DEAL-00470</t>
  </si>
  <si>
    <t>2025-02-25</t>
  </si>
  <si>
    <t>DEAL-02396</t>
  </si>
  <si>
    <t>2024-09-22</t>
  </si>
  <si>
    <t>DEAL-00494</t>
  </si>
  <si>
    <t>CLI-0256</t>
  </si>
  <si>
    <t>2023-06-05</t>
  </si>
  <si>
    <t>DEAL-01277</t>
  </si>
  <si>
    <t>2023-12-29</t>
  </si>
  <si>
    <t>DEAL-01980</t>
  </si>
  <si>
    <t>CLI-0143</t>
  </si>
  <si>
    <t>04/15/2024</t>
  </si>
  <si>
    <t>DEAL-01349</t>
  </si>
  <si>
    <t>2023-02-23</t>
  </si>
  <si>
    <t>DEAL-01955</t>
  </si>
  <si>
    <t>2023-08-08</t>
  </si>
  <si>
    <t>DEAL-01677</t>
  </si>
  <si>
    <t>2023-03-07</t>
  </si>
  <si>
    <t>DEAL-02022</t>
  </si>
  <si>
    <t>CLI-0019</t>
  </si>
  <si>
    <t>2025-03-01</t>
  </si>
  <si>
    <t>DEAL-01554</t>
  </si>
  <si>
    <t>CLI-0249</t>
  </si>
  <si>
    <t>05/21/2024</t>
  </si>
  <si>
    <t>DEAL-02126</t>
  </si>
  <si>
    <t>2025-03-03</t>
  </si>
  <si>
    <t>DEAL-02281</t>
  </si>
  <si>
    <t>2025-01-28</t>
  </si>
  <si>
    <t>DEAL-02275</t>
  </si>
  <si>
    <t>CLI-0198</t>
  </si>
  <si>
    <t>2024-04-26</t>
  </si>
  <si>
    <t>DEAL-00249</t>
  </si>
  <si>
    <t>2023-05-10</t>
  </si>
  <si>
    <t>DEAL-00370</t>
  </si>
  <si>
    <t>2025-03-04</t>
  </si>
  <si>
    <t>DEAL-00045</t>
  </si>
  <si>
    <t>CLI-0133</t>
  </si>
  <si>
    <t>2024-12-13</t>
  </si>
  <si>
    <t>DEAL-00265</t>
  </si>
  <si>
    <t>CLI-0010</t>
  </si>
  <si>
    <t>2024-10-05</t>
  </si>
  <si>
    <t>DEAL-00240</t>
  </si>
  <si>
    <t>CLI-0042</t>
  </si>
  <si>
    <t>2024-08-09</t>
  </si>
  <si>
    <t>DEAL-00218</t>
  </si>
  <si>
    <t>02/14/2025</t>
  </si>
  <si>
    <t>DEAL-00637</t>
  </si>
  <si>
    <t>DEAL-00096</t>
  </si>
  <si>
    <t>CLI-0062</t>
  </si>
  <si>
    <t>2023-01-17</t>
  </si>
  <si>
    <t>DEAL-00342</t>
  </si>
  <si>
    <t>CLI-0024</t>
  </si>
  <si>
    <t>2025-03-20</t>
  </si>
  <si>
    <t>DEAL-01406</t>
  </si>
  <si>
    <t>CLI-0121</t>
  </si>
  <si>
    <t>2024-04-29</t>
  </si>
  <si>
    <t>DEAL-01662</t>
  </si>
  <si>
    <t>2024-10-08</t>
  </si>
  <si>
    <t>DEAL-00963</t>
  </si>
  <si>
    <t>2023-10-02</t>
  </si>
  <si>
    <t>DEAL-00552</t>
  </si>
  <si>
    <t>2024-04-18</t>
  </si>
  <si>
    <t>DEAL-00208</t>
  </si>
  <si>
    <t>CLI-0008</t>
  </si>
  <si>
    <t>2025-03-26</t>
  </si>
  <si>
    <t>DEAL-01517</t>
  </si>
  <si>
    <t>DEAL-02104</t>
  </si>
  <si>
    <t>CLI-0232</t>
  </si>
  <si>
    <t>2023-11-30</t>
  </si>
  <si>
    <t>DEAL-01038</t>
  </si>
  <si>
    <t>2024-04-23</t>
  </si>
  <si>
    <t>DEAL-00864</t>
  </si>
  <si>
    <t>DEAL-00393</t>
  </si>
  <si>
    <t>2023-03-26</t>
  </si>
  <si>
    <t>DEAL-01786</t>
  </si>
  <si>
    <t>CLI-0015</t>
  </si>
  <si>
    <t>2024-03-11</t>
  </si>
  <si>
    <t>DEAL-02420</t>
  </si>
  <si>
    <t>CLI-0069</t>
  </si>
  <si>
    <t>DEAL-01063</t>
  </si>
  <si>
    <t>CLI-0079</t>
  </si>
  <si>
    <t>2024-04-06</t>
  </si>
  <si>
    <t>DEAL-00421</t>
  </si>
  <si>
    <t>2024-09-02</t>
  </si>
  <si>
    <t>DEAL-00057</t>
  </si>
  <si>
    <t>2024-04-16</t>
  </si>
  <si>
    <t>DEAL-00987</t>
  </si>
  <si>
    <t>2024-12-25</t>
  </si>
  <si>
    <t>DEAL-01319</t>
  </si>
  <si>
    <t>DEAL-01318</t>
  </si>
  <si>
    <t>CLI-0137</t>
  </si>
  <si>
    <t>DEAL-02479</t>
  </si>
  <si>
    <t>DEAL-01400</t>
  </si>
  <si>
    <t>2023-02-17</t>
  </si>
  <si>
    <t>DEAL-00500</t>
  </si>
  <si>
    <t>2025-01-20</t>
  </si>
  <si>
    <t>DEAL-00757</t>
  </si>
  <si>
    <t>2024-12-15</t>
  </si>
  <si>
    <t>DEAL-00356</t>
  </si>
  <si>
    <t>2023-04-17</t>
  </si>
  <si>
    <t>DEAL-02361</t>
  </si>
  <si>
    <t>2023-06-25</t>
  </si>
  <si>
    <t>DEAL-00466</t>
  </si>
  <si>
    <t>DEAL-00527</t>
  </si>
  <si>
    <t>2023-07-28</t>
  </si>
  <si>
    <t>DEAL-00529</t>
  </si>
  <si>
    <t>2024-11-21</t>
  </si>
  <si>
    <t>DEAL-02301</t>
  </si>
  <si>
    <t>07/13/2023</t>
  </si>
  <si>
    <t>DEAL-02132</t>
  </si>
  <si>
    <t>CLI-0047</t>
  </si>
  <si>
    <t>DEAL-00834</t>
  </si>
  <si>
    <t>2023-05-18</t>
  </si>
  <si>
    <t>DEAL-01000</t>
  </si>
  <si>
    <t>2023-12-27</t>
  </si>
  <si>
    <t>DEAL-02116</t>
  </si>
  <si>
    <t>2024-06-14</t>
  </si>
  <si>
    <t>DEAL-01116</t>
  </si>
  <si>
    <t>CLI-0296</t>
  </si>
  <si>
    <t>2023-07-31</t>
  </si>
  <si>
    <t>DEAL-02199</t>
  </si>
  <si>
    <t>CLI-0250</t>
  </si>
  <si>
    <t>2023-07-13</t>
  </si>
  <si>
    <t>DEAL-01165</t>
  </si>
  <si>
    <t>DEAL-01792</t>
  </si>
  <si>
    <t>CLI-0078</t>
  </si>
  <si>
    <t>2023-11-11</t>
  </si>
  <si>
    <t>DEAL-02225</t>
  </si>
  <si>
    <t>DEAL-00125</t>
  </si>
  <si>
    <t>DEAL-00881</t>
  </si>
  <si>
    <t>DEAL-02452</t>
  </si>
  <si>
    <t>2023-09-02</t>
  </si>
  <si>
    <t>DEAL-01477</t>
  </si>
  <si>
    <t>CLI-0155</t>
  </si>
  <si>
    <t>2024-06-08</t>
  </si>
  <si>
    <t>DEAL-00009</t>
  </si>
  <si>
    <t>2024-07-16</t>
  </si>
  <si>
    <t>DEAL-00188</t>
  </si>
  <si>
    <t>2024-08-05</t>
  </si>
  <si>
    <t>DEAL-00323</t>
  </si>
  <si>
    <t>CLI-0013</t>
  </si>
  <si>
    <t>2023-04-03</t>
  </si>
  <si>
    <t>DEAL-00180</t>
  </si>
  <si>
    <t>CLI-0068</t>
  </si>
  <si>
    <t>2023-06-01</t>
  </si>
  <si>
    <t>DEAL-00429</t>
  </si>
  <si>
    <t>DEAL-00679</t>
  </si>
  <si>
    <t>DEAL-02231</t>
  </si>
  <si>
    <t>CLI-0153</t>
  </si>
  <si>
    <t>DEAL-02302</t>
  </si>
  <si>
    <t>2023-09-06</t>
  </si>
  <si>
    <t>DEAL-01302</t>
  </si>
  <si>
    <t>CLI-0134</t>
  </si>
  <si>
    <t>DEAL-02133</t>
  </si>
  <si>
    <t>07/15/2024</t>
  </si>
  <si>
    <t>DEAL-02147</t>
  </si>
  <si>
    <t>CLI-0204</t>
  </si>
  <si>
    <t>2024-12-17</t>
  </si>
  <si>
    <t>DEAL-02413</t>
  </si>
  <si>
    <t>2023-12-01</t>
  </si>
  <si>
    <t>DEAL-00530</t>
  </si>
  <si>
    <t>CLI-0039</t>
  </si>
  <si>
    <t>2024-09-17</t>
  </si>
  <si>
    <t>DEAL-01481</t>
  </si>
  <si>
    <t>2024-09-06</t>
  </si>
  <si>
    <t>DEAL-02232</t>
  </si>
  <si>
    <t>2023-11-21</t>
  </si>
  <si>
    <t>DEAL-00244</t>
  </si>
  <si>
    <t>2023-08-24</t>
  </si>
  <si>
    <t>DEAL-00030</t>
  </si>
  <si>
    <t>2023-10-22</t>
  </si>
  <si>
    <t>DEAL-01414</t>
  </si>
  <si>
    <t>2025-02-06</t>
  </si>
  <si>
    <t>DEAL-00644</t>
  </si>
  <si>
    <t>CLI-0074</t>
  </si>
  <si>
    <t>DEAL-01970</t>
  </si>
  <si>
    <t>2023-10-13</t>
  </si>
  <si>
    <t>DEAL-01253</t>
  </si>
  <si>
    <t>2024-03-21</t>
  </si>
  <si>
    <t>DEAL-02325</t>
  </si>
  <si>
    <t>DEAL-01687</t>
  </si>
  <si>
    <t>CLI-0110</t>
  </si>
  <si>
    <t>2023-10-23</t>
  </si>
  <si>
    <t>DEAL-02313</t>
  </si>
  <si>
    <t>2023-12-28</t>
  </si>
  <si>
    <t>DEAL-01816</t>
  </si>
  <si>
    <t>DEAL-01257</t>
  </si>
  <si>
    <t>2024-07-21</t>
  </si>
  <si>
    <t>DEAL-01276</t>
  </si>
  <si>
    <t>2023-10-15</t>
  </si>
  <si>
    <t>DEAL-01932</t>
  </si>
  <si>
    <t>DEAL-00832</t>
  </si>
  <si>
    <t>CLI-0194</t>
  </si>
  <si>
    <t>2023-01-28</t>
  </si>
  <si>
    <t>DEAL-00758</t>
  </si>
  <si>
    <t>CLI-0287</t>
  </si>
  <si>
    <t>2024-03-22</t>
  </si>
  <si>
    <t>DEAL-00150</t>
  </si>
  <si>
    <t>2023-02-27</t>
  </si>
  <si>
    <t>DEAL-02456</t>
  </si>
  <si>
    <t>2023-08-07</t>
  </si>
  <si>
    <t>DEAL-01397</t>
  </si>
  <si>
    <t>CLI-0066</t>
  </si>
  <si>
    <t>2023-04-28</t>
  </si>
  <si>
    <t>DEAL-01142</t>
  </si>
  <si>
    <t>CLI-0187</t>
  </si>
  <si>
    <t>2023-05-02</t>
  </si>
  <si>
    <t>DEAL-01235</t>
  </si>
  <si>
    <t>CLI-0195</t>
  </si>
  <si>
    <t>DEAL-00128</t>
  </si>
  <si>
    <t>2024-03-10</t>
  </si>
  <si>
    <t>DEAL-00886</t>
  </si>
  <si>
    <t>CLI-0211</t>
  </si>
  <si>
    <t>2024-06-02</t>
  </si>
  <si>
    <t>DEAL-00152</t>
  </si>
  <si>
    <t>2023-03-28</t>
  </si>
  <si>
    <t>DEAL-01278</t>
  </si>
  <si>
    <t>CLI-0020</t>
  </si>
  <si>
    <t>2023-07-22</t>
  </si>
  <si>
    <t>DEAL-01690</t>
  </si>
  <si>
    <t>CLI-0201</t>
  </si>
  <si>
    <t>2024-08-19</t>
  </si>
  <si>
    <t>DEAL-01913</t>
  </si>
  <si>
    <t>2024-04-21</t>
  </si>
  <si>
    <t>DEAL-00634</t>
  </si>
  <si>
    <t>CLI-0245</t>
  </si>
  <si>
    <t>DEAL-01877</t>
  </si>
  <si>
    <t>DEAL-01247</t>
  </si>
  <si>
    <t>CLI-0189</t>
  </si>
  <si>
    <t>2023-01-26</t>
  </si>
  <si>
    <t>DEAL-01774</t>
  </si>
  <si>
    <t>DEAL-02076</t>
  </si>
  <si>
    <t>2023-12-09</t>
  </si>
  <si>
    <t>DEAL-02282</t>
  </si>
  <si>
    <t>DEAL-01574</t>
  </si>
  <si>
    <t>CLI-0126</t>
  </si>
  <si>
    <t>2024-03-13</t>
  </si>
  <si>
    <t>DEAL-01738</t>
  </si>
  <si>
    <t>DEAL-00306</t>
  </si>
  <si>
    <t>2023-10-17</t>
  </si>
  <si>
    <t>DEAL-01694</t>
  </si>
  <si>
    <t>CLI-0200</t>
  </si>
  <si>
    <t>2023-12-11</t>
  </si>
  <si>
    <t>DEAL-00625</t>
  </si>
  <si>
    <t>DEAL-01193</t>
  </si>
  <si>
    <t>2024-08-08</t>
  </si>
  <si>
    <t>DEAL-01753</t>
  </si>
  <si>
    <t>2023-06-15</t>
  </si>
  <si>
    <t>DEAL-00273</t>
  </si>
  <si>
    <t>CLI-0117</t>
  </si>
  <si>
    <t>2023-08-12</t>
  </si>
  <si>
    <t>DEAL-02379</t>
  </si>
  <si>
    <t>DEAL-02009</t>
  </si>
  <si>
    <t>2023-03-31</t>
  </si>
  <si>
    <t>DEAL-00087</t>
  </si>
  <si>
    <t>CLI-0100</t>
  </si>
  <si>
    <t>2023-01-11</t>
  </si>
  <si>
    <t>DEAL-02055</t>
  </si>
  <si>
    <t>2023-02-16</t>
  </si>
  <si>
    <t>DEAL-01934</t>
  </si>
  <si>
    <t>CLI-0148</t>
  </si>
  <si>
    <t>DEAL-01526</t>
  </si>
  <si>
    <t>2024-01-06</t>
  </si>
  <si>
    <t>DEAL-01642</t>
  </si>
  <si>
    <t>2024-05-28</t>
  </si>
  <si>
    <t>DEAL-02067</t>
  </si>
  <si>
    <t>DEAL-00573</t>
  </si>
  <si>
    <t>DEAL-00966</t>
  </si>
  <si>
    <t>DEAL-02471</t>
  </si>
  <si>
    <t>2024-08-29</t>
  </si>
  <si>
    <t>DEAL-02084</t>
  </si>
  <si>
    <t>CLI-0185</t>
  </si>
  <si>
    <t>DEAL-01018</t>
  </si>
  <si>
    <t>2024-12-12</t>
  </si>
  <si>
    <t>DEAL-02170</t>
  </si>
  <si>
    <t>CLI-0293</t>
  </si>
  <si>
    <t>2023-10-06</t>
  </si>
  <si>
    <t>DEAL-00263</t>
  </si>
  <si>
    <t>DEAL-01483</t>
  </si>
  <si>
    <t>DEAL-00692</t>
  </si>
  <si>
    <t>2025-01-30</t>
  </si>
  <si>
    <t>DEAL-00146</t>
  </si>
  <si>
    <t>CLI-0046</t>
  </si>
  <si>
    <t>DEAL-00769</t>
  </si>
  <si>
    <t>DEAL-02222</t>
  </si>
  <si>
    <t>2023-05-01</t>
  </si>
  <si>
    <t>DEAL-00843</t>
  </si>
  <si>
    <t>CLI-0132</t>
  </si>
  <si>
    <t>DEAL-00674</t>
  </si>
  <si>
    <t>CLI-0036</t>
  </si>
  <si>
    <t>DEAL-00831</t>
  </si>
  <si>
    <t>2024-02-21</t>
  </si>
  <si>
    <t>DEAL-02112</t>
  </si>
  <si>
    <t>2023-09-04</t>
  </si>
  <si>
    <t>DEAL-01665</t>
  </si>
  <si>
    <t>DEAL-00770</t>
  </si>
  <si>
    <t>08/27/2024</t>
  </si>
  <si>
    <t>DEAL-01636</t>
  </si>
  <si>
    <t>2025-03-02</t>
  </si>
  <si>
    <t>DEAL-01673</t>
  </si>
  <si>
    <t>CLI-0258</t>
  </si>
  <si>
    <t>2024-11-07</t>
  </si>
  <si>
    <t>DEAL-00730</t>
  </si>
  <si>
    <t>2023-02-12</t>
  </si>
  <si>
    <t>DEAL-01959</t>
  </si>
  <si>
    <t>DEAL-00027</t>
  </si>
  <si>
    <t>2023-09-26</t>
  </si>
  <si>
    <t>DEAL-00877</t>
  </si>
  <si>
    <t>2023-04-16</t>
  </si>
  <si>
    <t>DEAL-00080</t>
  </si>
  <si>
    <t>CLI-0244</t>
  </si>
  <si>
    <t>2024-08-10</t>
  </si>
  <si>
    <t>DEAL-01493</t>
  </si>
  <si>
    <t>2024-12-14</t>
  </si>
  <si>
    <t>DEAL-01469</t>
  </si>
  <si>
    <t>CLI-0242</t>
  </si>
  <si>
    <t>DEAL-01503</t>
  </si>
  <si>
    <t>2023-01-13</t>
  </si>
  <si>
    <t>DEAL-01263</t>
  </si>
  <si>
    <t>DEAL-00700</t>
  </si>
  <si>
    <t>CLI-0289</t>
  </si>
  <si>
    <t>2023-02-18</t>
  </si>
  <si>
    <t>DEAL-00509</t>
  </si>
  <si>
    <t>CLI-0053</t>
  </si>
  <si>
    <t>2024-06-27</t>
  </si>
  <si>
    <t>DEAL-01594</t>
  </si>
  <si>
    <t>CLI-0076</t>
  </si>
  <si>
    <t>2024-06-09</t>
  </si>
  <si>
    <t>DEAL-00387</t>
  </si>
  <si>
    <t>DEAL-02125</t>
  </si>
  <si>
    <t>CLI-0065</t>
  </si>
  <si>
    <t>DEAL-00548</t>
  </si>
  <si>
    <t>DEAL-01264</t>
  </si>
  <si>
    <t>DEAL-02447</t>
  </si>
  <si>
    <t>2023-07-16</t>
  </si>
  <si>
    <t>DEAL-00270</t>
  </si>
  <si>
    <t>02/24/2025</t>
  </si>
  <si>
    <t>DEAL-00028</t>
  </si>
  <si>
    <t>2023-11-28</t>
  </si>
  <si>
    <t>DEAL-01467</t>
  </si>
  <si>
    <t>DEAL-02194</t>
  </si>
  <si>
    <t>DEAL-01668</t>
  </si>
  <si>
    <t>2024-09-20</t>
  </si>
  <si>
    <t>DEAL-02120</t>
  </si>
  <si>
    <t>2023-04-05</t>
  </si>
  <si>
    <t>DEAL-00698</t>
  </si>
  <si>
    <t>05/24/2024</t>
  </si>
  <si>
    <t>DEAL-00565</t>
  </si>
  <si>
    <t>2023-04-25</t>
  </si>
  <si>
    <t>DEAL-02455</t>
  </si>
  <si>
    <t>2024-03-24</t>
  </si>
  <si>
    <t>DEAL-00084</t>
  </si>
  <si>
    <t>CLI-0064</t>
  </si>
  <si>
    <t>2023-02-25</t>
  </si>
  <si>
    <t>DEAL-01641</t>
  </si>
  <si>
    <t>2024-11-18</t>
  </si>
  <si>
    <t>DEAL-00286</t>
  </si>
  <si>
    <t>2023-05-31</t>
  </si>
  <si>
    <t>DEAL-00201</t>
  </si>
  <si>
    <t>2023-06-21</t>
  </si>
  <si>
    <t>DEAL-01316</t>
  </si>
  <si>
    <t>CLI-0169</t>
  </si>
  <si>
    <t>2024-09-07</t>
  </si>
  <si>
    <t>DEAL-01015</t>
  </si>
  <si>
    <t>CLI-0056</t>
  </si>
  <si>
    <t>04/30/2023</t>
  </si>
  <si>
    <t>DEAL-00477</t>
  </si>
  <si>
    <t>2024-06-21</t>
  </si>
  <si>
    <t>DEAL-02107</t>
  </si>
  <si>
    <t>10/23/2023</t>
  </si>
  <si>
    <t>DEAL-01490</t>
  </si>
  <si>
    <t>CLI-0285</t>
  </si>
  <si>
    <t>2023-05-16</t>
  </si>
  <si>
    <t>DEAL-00274</t>
  </si>
  <si>
    <t>DEAL-02014</t>
  </si>
  <si>
    <t>2024-11-03</t>
  </si>
  <si>
    <t>DEAL-00857</t>
  </si>
  <si>
    <t>2023-09-27</t>
  </si>
  <si>
    <t>DEAL-01803</t>
  </si>
  <si>
    <t>2025-02-12</t>
  </si>
  <si>
    <t>DEAL-02011</t>
  </si>
  <si>
    <t>DEAL-01629</t>
  </si>
  <si>
    <t>2024-05-17</t>
  </si>
  <si>
    <t>DEAL-01645</t>
  </si>
  <si>
    <t>2024-08-23</t>
  </si>
  <si>
    <t>DEAL-01197</t>
  </si>
  <si>
    <t>CLI-0030</t>
  </si>
  <si>
    <t>2025-02-16</t>
  </si>
  <si>
    <t>DEAL-00182</t>
  </si>
  <si>
    <t>2023-04-19</t>
  </si>
  <si>
    <t>DEAL-00462</t>
  </si>
  <si>
    <t>2023-07-03</t>
  </si>
  <si>
    <t>DEAL-00245</t>
  </si>
  <si>
    <t>CLI-0111</t>
  </si>
  <si>
    <t>DEAL-00314</t>
  </si>
  <si>
    <t>2024-11-04</t>
  </si>
  <si>
    <t>DEAL-01282</t>
  </si>
  <si>
    <t>DEAL-02488</t>
  </si>
  <si>
    <t>2024-05-03</t>
  </si>
  <si>
    <t>DEAL-01455</t>
  </si>
  <si>
    <t>CLI-0083</t>
  </si>
  <si>
    <t>DEAL-00732</t>
  </si>
  <si>
    <t>2025-02-19</t>
  </si>
  <si>
    <t>DEAL-02390</t>
  </si>
  <si>
    <t>DEAL-00773</t>
  </si>
  <si>
    <t>2023-10-08</t>
  </si>
  <si>
    <t>DEAL-01482</t>
  </si>
  <si>
    <t>CLI-0085</t>
  </si>
  <si>
    <t>DEAL-02168</t>
  </si>
  <si>
    <t>2023-05-25</t>
  </si>
  <si>
    <t>DEAL-01052</t>
  </si>
  <si>
    <t>2024-10-17</t>
  </si>
  <si>
    <t>DEAL-01327</t>
  </si>
  <si>
    <t>CLI-0265</t>
  </si>
  <si>
    <t>DEAL-00612</t>
  </si>
  <si>
    <t>CLI-0048</t>
  </si>
  <si>
    <t>DEAL-01678</t>
  </si>
  <si>
    <t>CLI-0044</t>
  </si>
  <si>
    <t>2024-09-19</t>
  </si>
  <si>
    <t>DEAL-00619</t>
  </si>
  <si>
    <t>CLI-0094</t>
  </si>
  <si>
    <t>2023-11-24</t>
  </si>
  <si>
    <t>DEAL-00956</t>
  </si>
  <si>
    <t>DEAL-02119</t>
  </si>
  <si>
    <t>2024-04-05</t>
  </si>
  <si>
    <t>DEAL-00444</t>
  </si>
  <si>
    <t>CLI-0269</t>
  </si>
  <si>
    <t>DEAL-01721</t>
  </si>
  <si>
    <t>2025-02-13</t>
  </si>
  <si>
    <t>DEAL-02311</t>
  </si>
  <si>
    <t>CLI-0151</t>
  </si>
  <si>
    <t>2024-02-10</t>
  </si>
  <si>
    <t>DEAL-00630</t>
  </si>
  <si>
    <t>CLI-0168</t>
  </si>
  <si>
    <t>2023-04-21</t>
  </si>
  <si>
    <t>DEAL-00491</t>
  </si>
  <si>
    <t>2023-06-10</t>
  </si>
  <si>
    <t>DEAL-01610</t>
  </si>
  <si>
    <t>CLI-0209</t>
  </si>
  <si>
    <t>2023-09-09</t>
  </si>
  <si>
    <t>DEAL-02287</t>
  </si>
  <si>
    <t>2024-11-11</t>
  </si>
  <si>
    <t>DEAL-02322</t>
  </si>
  <si>
    <t>DEAL-02359</t>
  </si>
  <si>
    <t>2023-11-27</t>
  </si>
  <si>
    <t>DEAL-01043</t>
  </si>
  <si>
    <t>DEAL-01184</t>
  </si>
  <si>
    <t>01/17/2025</t>
  </si>
  <si>
    <t>DEAL-01403</t>
  </si>
  <si>
    <t>CLI-0167</t>
  </si>
  <si>
    <t>2023-11-15</t>
  </si>
  <si>
    <t>DEAL-00979</t>
  </si>
  <si>
    <t>DEAL-02306</t>
  </si>
  <si>
    <t>2024-10-04</t>
  </si>
  <si>
    <t>DEAL-00406</t>
  </si>
  <si>
    <t>CLI-0061</t>
  </si>
  <si>
    <t>05/05/2023</t>
  </si>
  <si>
    <t>DEAL-00051</t>
  </si>
  <si>
    <t>2023-07-02</t>
  </si>
  <si>
    <t>DEAL-00329</t>
  </si>
  <si>
    <t>DEAL-01325</t>
  </si>
  <si>
    <t>2023-03-16</t>
  </si>
  <si>
    <t>DEAL-01715</t>
  </si>
  <si>
    <t>DEAL-01666</t>
  </si>
  <si>
    <t>CLI-0067</t>
  </si>
  <si>
    <t>2024-09-13</t>
  </si>
  <si>
    <t>DEAL-00473</t>
  </si>
  <si>
    <t>DEAL-02258</t>
  </si>
  <si>
    <t>CLI-0196</t>
  </si>
  <si>
    <t>DEAL-02006</t>
  </si>
  <si>
    <t>2024-01-07</t>
  </si>
  <si>
    <t>DEAL-00935</t>
  </si>
  <si>
    <t>CLI-0139</t>
  </si>
  <si>
    <t>DEAL-02486</t>
  </si>
  <si>
    <t>DEAL-00054</t>
  </si>
  <si>
    <t>07/04/2023</t>
  </si>
  <si>
    <t>DEAL-01084</t>
  </si>
  <si>
    <t>2023-02-03</t>
  </si>
  <si>
    <t>DEAL-00581</t>
  </si>
  <si>
    <t>CLI-0281</t>
  </si>
  <si>
    <t>2024-08-11</t>
  </si>
  <si>
    <t>DEAL-00068</t>
  </si>
  <si>
    <t>DEAL-02149</t>
  </si>
  <si>
    <t>2023-02-28</t>
  </si>
  <si>
    <t>DEAL-01846</t>
  </si>
  <si>
    <t>CLI-0106</t>
  </si>
  <si>
    <t>DEAL-01439</t>
  </si>
  <si>
    <t>CLI-0229</t>
  </si>
  <si>
    <t>DEAL-00859</t>
  </si>
  <si>
    <t>DEAL-01073</t>
  </si>
  <si>
    <t>CLI-0009</t>
  </si>
  <si>
    <t>2024-08-06</t>
  </si>
  <si>
    <t>DEAL-00160</t>
  </si>
  <si>
    <t>DEAL-00835</t>
  </si>
  <si>
    <t>CLI-0149</t>
  </si>
  <si>
    <t>DEAL-01416</t>
  </si>
  <si>
    <t>CLI-0247</t>
  </si>
  <si>
    <t>2023-05-17</t>
  </si>
  <si>
    <t>DEAL-01567</t>
  </si>
  <si>
    <t>DEAL-01634</t>
  </si>
  <si>
    <t>CLI-0156</t>
  </si>
  <si>
    <t>2025-01-01</t>
  </si>
  <si>
    <t>DEAL-00468</t>
  </si>
  <si>
    <t>DEAL-02402</t>
  </si>
  <si>
    <t>2023-03-15</t>
  </si>
  <si>
    <t>DEAL-01075</t>
  </si>
  <si>
    <t>DEAL-00685</t>
  </si>
  <si>
    <t>DEAL-01595</t>
  </si>
  <si>
    <t>CLI-0049</t>
  </si>
  <si>
    <t>2024-04-03</t>
  </si>
  <si>
    <t>DEAL-00204</t>
  </si>
  <si>
    <t>2024-11-29</t>
  </si>
  <si>
    <t>DEAL-01289</t>
  </si>
  <si>
    <t>CLI-0107</t>
  </si>
  <si>
    <t>DEAL-00031</t>
  </si>
  <si>
    <t>CLI-0116</t>
  </si>
  <si>
    <t>2024-05-09</t>
  </si>
  <si>
    <t>DEAL-02058</t>
  </si>
  <si>
    <t>DEAL-01047</t>
  </si>
  <si>
    <t>2024-02-14</t>
  </si>
  <si>
    <t>DEAL-02002</t>
  </si>
  <si>
    <t>CLI-0023</t>
  </si>
  <si>
    <t>DEAL-00121</t>
  </si>
  <si>
    <t>DEAL-02268</t>
  </si>
  <si>
    <t>DEAL-02060</t>
  </si>
  <si>
    <t>DEAL-00828</t>
  </si>
  <si>
    <t>05/18/2023</t>
  </si>
  <si>
    <t>DEAL-00257</t>
  </si>
  <si>
    <t>CLI-0145</t>
  </si>
  <si>
    <t>2023-01-31</t>
  </si>
  <si>
    <t>DEAL-01788</t>
  </si>
  <si>
    <t>2023-04-12</t>
  </si>
  <si>
    <t>DEAL-01101</t>
  </si>
  <si>
    <t>DEAL-00397</t>
  </si>
  <si>
    <t>CLI-0032</t>
  </si>
  <si>
    <t>2024-12-09</t>
  </si>
  <si>
    <t>DEAL-01502</t>
  </si>
  <si>
    <t>2023-05-28</t>
  </si>
  <si>
    <t>DEAL-00749</t>
  </si>
  <si>
    <t>2023-02-11</t>
  </si>
  <si>
    <t>DEAL-02499</t>
  </si>
  <si>
    <t>DEAL-01244</t>
  </si>
  <si>
    <t>2024-01-15</t>
  </si>
  <si>
    <t>DEAL-02073</t>
  </si>
  <si>
    <t>2024-02-28</t>
  </si>
  <si>
    <t>DEAL-02121</t>
  </si>
  <si>
    <t>DEAL-00781</t>
  </si>
  <si>
    <t>CLI-0174</t>
  </si>
  <si>
    <t>DEAL-01746</t>
  </si>
  <si>
    <t>2023-01-22</t>
  </si>
  <si>
    <t>DEAL-02292</t>
  </si>
  <si>
    <t>2025-01-10</t>
  </si>
  <si>
    <t>DEAL-01260</t>
  </si>
  <si>
    <t>03/19/2023</t>
  </si>
  <si>
    <t>DEAL-01474</t>
  </si>
  <si>
    <t>2023-08-28</t>
  </si>
  <si>
    <t>DEAL-00701</t>
  </si>
  <si>
    <t>2023-06-28</t>
  </si>
  <si>
    <t>DEAL-01354</t>
  </si>
  <si>
    <t>2025-01-05</t>
  </si>
  <si>
    <t>DEAL-02482</t>
  </si>
  <si>
    <t>2024-09-08</t>
  </si>
  <si>
    <t>DEAL-00554</t>
  </si>
  <si>
    <t>2024-08-16</t>
  </si>
  <si>
    <t>DEAL-00247</t>
  </si>
  <si>
    <t>DEAL-01860</t>
  </si>
  <si>
    <t>DEAL-00363</t>
  </si>
  <si>
    <t>DEAL-02150</t>
  </si>
  <si>
    <t>CLI-0171</t>
  </si>
  <si>
    <t>2024-05-26</t>
  </si>
  <si>
    <t>DEAL-01901</t>
  </si>
  <si>
    <t>2023-03-22</t>
  </si>
  <si>
    <t>DEAL-02207</t>
  </si>
  <si>
    <t>2024-04-01</t>
  </si>
  <si>
    <t>DEAL-01597</t>
  </si>
  <si>
    <t>DEAL-01082</t>
  </si>
  <si>
    <t>2024-02-02</t>
  </si>
  <si>
    <t>DEAL-01456</t>
  </si>
  <si>
    <t>CLI-0291</t>
  </si>
  <si>
    <t>DEAL-01066</t>
  </si>
  <si>
    <t>DEAL-00060</t>
  </si>
  <si>
    <t>2025-03-14</t>
  </si>
  <si>
    <t>DEAL-02041</t>
  </si>
  <si>
    <t>2024-10-18</t>
  </si>
  <si>
    <t>DEAL-00434</t>
  </si>
  <si>
    <t>DEAL-00256</t>
  </si>
  <si>
    <t>DEAL-02266</t>
  </si>
  <si>
    <t>2024-08-26</t>
  </si>
  <si>
    <t>DEAL-01962</t>
  </si>
  <si>
    <t>12/13/2023</t>
  </si>
  <si>
    <t>DEAL-00574</t>
  </si>
  <si>
    <t>CLI-0274</t>
  </si>
  <si>
    <t>DEAL-00821</t>
  </si>
  <si>
    <t>2024-10-02</t>
  </si>
  <si>
    <t>DEAL-00613</t>
  </si>
  <si>
    <t>2023-08-22</t>
  </si>
  <si>
    <t>DEAL-02267</t>
  </si>
  <si>
    <t>DEAL-02184</t>
  </si>
  <si>
    <t>DEAL-01988</t>
  </si>
  <si>
    <t>2024-05-08</t>
  </si>
  <si>
    <t>DEAL-00327</t>
  </si>
  <si>
    <t>CLI-0178</t>
  </si>
  <si>
    <t>2023-01-03</t>
  </si>
  <si>
    <t>DEAL-00105</t>
  </si>
  <si>
    <t>2023-06-11</t>
  </si>
  <si>
    <t>DEAL-02151</t>
  </si>
  <si>
    <t>DEAL-01849</t>
  </si>
  <si>
    <t>2023-06-24</t>
  </si>
  <si>
    <t>DEAL-02417</t>
  </si>
  <si>
    <t>2023-12-02</t>
  </si>
  <si>
    <t>DEAL-01880</t>
  </si>
  <si>
    <t>DEAL-01658</t>
  </si>
  <si>
    <t>DEAL-00824</t>
  </si>
  <si>
    <t>2024-06-18</t>
  </si>
  <si>
    <t>DEAL-00880</t>
  </si>
  <si>
    <t>DEAL-00016</t>
  </si>
  <si>
    <t>2023-02-02</t>
  </si>
  <si>
    <t>DEAL-02046</t>
  </si>
  <si>
    <t>DEAL-00496</t>
  </si>
  <si>
    <t>01/27/2024</t>
  </si>
  <si>
    <t>DEAL-02474</t>
  </si>
  <si>
    <t>CLI-0182</t>
  </si>
  <si>
    <t>04/20/2023</t>
  </si>
  <si>
    <t>DEAL-02114</t>
  </si>
  <si>
    <t>DEAL-01087</t>
  </si>
  <si>
    <t>DEAL-01412</t>
  </si>
  <si>
    <t>CLI-0175</t>
  </si>
  <si>
    <t>2023-10-21</t>
  </si>
  <si>
    <t>DEAL-00078</t>
  </si>
  <si>
    <t>2024-07-13</t>
  </si>
  <si>
    <t>DEAL-00752</t>
  </si>
  <si>
    <t>DEAL-01312</t>
  </si>
  <si>
    <t>2024-12-19</t>
  </si>
  <si>
    <t>DEAL-01745</t>
  </si>
  <si>
    <t>2025-02-17</t>
  </si>
  <si>
    <t>DEAL-01587</t>
  </si>
  <si>
    <t>DEAL-02436</t>
  </si>
  <si>
    <t>2024-12-08</t>
  </si>
  <si>
    <t>DEAL-00598</t>
  </si>
  <si>
    <t>2023-12-22</t>
  </si>
  <si>
    <t>DEAL-02164</t>
  </si>
  <si>
    <t>DEAL-01234</t>
  </si>
  <si>
    <t>CLI-0225</t>
  </si>
  <si>
    <t>DEAL-00814</t>
  </si>
  <si>
    <t>2024-10-01</t>
  </si>
  <si>
    <t>DEAL-00339</t>
  </si>
  <si>
    <t>DEAL-01445</t>
  </si>
  <si>
    <t>2023-07-15</t>
  </si>
  <si>
    <t>DEAL-01444</t>
  </si>
  <si>
    <t>2025-03-12</t>
  </si>
  <si>
    <t>DEAL-00517</t>
  </si>
  <si>
    <t>CLI-0045</t>
  </si>
  <si>
    <t>DEAL-01424</t>
  </si>
  <si>
    <t>2023-10-24</t>
  </si>
  <si>
    <t>DEAL-02352</t>
  </si>
  <si>
    <t>DEAL-00626</t>
  </si>
  <si>
    <t>DEAL-01196</t>
  </si>
  <si>
    <t>DEAL-02023</t>
  </si>
  <si>
    <t>2024-07-07</t>
  </si>
  <si>
    <t>DEAL-00615</t>
  </si>
  <si>
    <t>2023-04-06</t>
  </si>
  <si>
    <t>DEAL-00736</t>
  </si>
  <si>
    <t>2024-11-30</t>
  </si>
  <si>
    <t>DEAL-00207</t>
  </si>
  <si>
    <t>DEAL-00921</t>
  </si>
  <si>
    <t>DEAL-00199</t>
  </si>
  <si>
    <t>2024-01-01</t>
  </si>
  <si>
    <t>DEAL-02429</t>
  </si>
  <si>
    <t>2025-03-17</t>
  </si>
  <si>
    <t>DEAL-02386</t>
  </si>
  <si>
    <t>DEAL-01284</t>
  </si>
  <si>
    <t>06/12/2024</t>
  </si>
  <si>
    <t>DEAL-01224</t>
  </si>
  <si>
    <t>DEAL-01413</t>
  </si>
  <si>
    <t>DEAL-00600</t>
  </si>
  <si>
    <t>2024-09-25</t>
  </si>
  <si>
    <t>DEAL-00551</t>
  </si>
  <si>
    <t>CLI-0186</t>
  </si>
  <si>
    <t>2024-08-14</t>
  </si>
  <si>
    <t>DEAL-01387</t>
  </si>
  <si>
    <t>2024-01-10</t>
  </si>
  <si>
    <t>DEAL-01178</t>
  </si>
  <si>
    <t>CLI-0282</t>
  </si>
  <si>
    <t>DEAL-02252</t>
  </si>
  <si>
    <t>2023-02-22</t>
  </si>
  <si>
    <t>DEAL-02259</t>
  </si>
  <si>
    <t>DEAL-02462</t>
  </si>
  <si>
    <t>2023-07-24</t>
  </si>
  <si>
    <t>DEAL-00957</t>
  </si>
  <si>
    <t>DEAL-02070</t>
  </si>
  <si>
    <t>11/13/2024</t>
  </si>
  <si>
    <t>DEAL-02056</t>
  </si>
  <si>
    <t>DEAL-00627</t>
  </si>
  <si>
    <t>DEAL-02393</t>
  </si>
  <si>
    <t>DEAL-00458</t>
  </si>
  <si>
    <t>CLI-0239</t>
  </si>
  <si>
    <t>DEAL-01742</t>
  </si>
  <si>
    <t>CLI-0003</t>
  </si>
  <si>
    <t>2023-02-13</t>
  </si>
  <si>
    <t>DEAL-00129</t>
  </si>
  <si>
    <t>2023-10-07</t>
  </si>
  <si>
    <t>DEAL-01341</t>
  </si>
  <si>
    <t>2024-05-12</t>
  </si>
  <si>
    <t>DEAL-01758</t>
  </si>
  <si>
    <t>DEAL-00250</t>
  </si>
  <si>
    <t>2024-01-19</t>
  </si>
  <si>
    <t>DEAL-00870</t>
  </si>
  <si>
    <t>CLI-0004</t>
  </si>
  <si>
    <t>2025-01-23</t>
  </si>
  <si>
    <t>DEAL-02337</t>
  </si>
  <si>
    <t>2023-06-23</t>
  </si>
  <si>
    <t>DEAL-01426</t>
  </si>
  <si>
    <t>DEAL-01866</t>
  </si>
  <si>
    <t>DEAL-02233</t>
  </si>
  <si>
    <t>DEAL-01695</t>
  </si>
  <si>
    <t>DEAL-01881</t>
  </si>
  <si>
    <t>DEAL-01511</t>
  </si>
  <si>
    <t>DEAL-00543</t>
  </si>
  <si>
    <t>DEAL-01552</t>
  </si>
  <si>
    <t>DEAL-00860</t>
  </si>
  <si>
    <t>CLI-0092</t>
  </si>
  <si>
    <t>2024-07-12</t>
  </si>
  <si>
    <t>DEAL-00883</t>
  </si>
  <si>
    <t>2023-06-03</t>
  </si>
  <si>
    <t>DEAL-02332</t>
  </si>
  <si>
    <t>DEAL-02092</t>
  </si>
  <si>
    <t>2023-05-13</t>
  </si>
  <si>
    <t>DEAL-01900</t>
  </si>
  <si>
    <t>DEAL-00193</t>
  </si>
  <si>
    <t>DEAL-01124</t>
  </si>
  <si>
    <t>2024-02-26</t>
  </si>
  <si>
    <t>DEAL-00155</t>
  </si>
  <si>
    <t>DEAL-02130</t>
  </si>
  <si>
    <t>DEAL-02227</t>
  </si>
  <si>
    <t>DEAL-01154</t>
  </si>
  <si>
    <t>DEAL-00887</t>
  </si>
  <si>
    <t>DEAL-00014</t>
  </si>
  <si>
    <t>DEAL-01760</t>
  </si>
  <si>
    <t>2023-08-15</t>
  </si>
  <si>
    <t>DEAL-00539</t>
  </si>
  <si>
    <t>CLI-0210</t>
  </si>
  <si>
    <t>2024-10-30</t>
  </si>
  <si>
    <t>DEAL-02334</t>
  </si>
  <si>
    <t>2023-07-11</t>
  </si>
  <si>
    <t>DEAL-01348</t>
  </si>
  <si>
    <t>2024-10-06</t>
  </si>
  <si>
    <t>DEAL-00064</t>
  </si>
  <si>
    <t>DEAL-01741</t>
  </si>
  <si>
    <t>2023-11-06</t>
  </si>
  <si>
    <t>DEAL-00555</t>
  </si>
  <si>
    <t>2024-04-14</t>
  </si>
  <si>
    <t>DEAL-01163</t>
  </si>
  <si>
    <t>DEAL-00377</t>
  </si>
  <si>
    <t>CLI-0257</t>
  </si>
  <si>
    <t>2024-02-11</t>
  </si>
  <si>
    <t>DEAL-01583</t>
  </si>
  <si>
    <t>02/17/2023</t>
  </si>
  <si>
    <t>DEAL-02129</t>
  </si>
  <si>
    <t>CLI-0144</t>
  </si>
  <si>
    <t>2024-02-29</t>
  </si>
  <si>
    <t>DEAL-00493</t>
  </si>
  <si>
    <t>2024-11-02</t>
  </si>
  <si>
    <t>DEAL-00145</t>
  </si>
  <si>
    <t>DEAL-01310</t>
  </si>
  <si>
    <t>2023-03-02</t>
  </si>
  <si>
    <t>DEAL-00136</t>
  </si>
  <si>
    <t>DEAL-00855</t>
  </si>
  <si>
    <t>DEAL-02204</t>
  </si>
  <si>
    <t>2023-07-30</t>
  </si>
  <si>
    <t>DEAL-01108</t>
  </si>
  <si>
    <t>03/01/2023</t>
  </si>
  <si>
    <t>DEAL-02394</t>
  </si>
  <si>
    <t>2024-08-21</t>
  </si>
  <si>
    <t>DEAL-02365</t>
  </si>
  <si>
    <t>DEAL-00353</t>
  </si>
  <si>
    <t>02/15/2023</t>
  </si>
  <si>
    <t>DEAL-01505</t>
  </si>
  <si>
    <t>DEAL-01622</t>
  </si>
  <si>
    <t>2024-08-25</t>
  </si>
  <si>
    <t>DEAL-00262</t>
  </si>
  <si>
    <t>2024-05-01</t>
  </si>
  <si>
    <t>DEAL-00849</t>
  </si>
  <si>
    <t>2024-09-16</t>
  </si>
  <si>
    <t>DEAL-01504</t>
  </si>
  <si>
    <t>DEAL-01971</t>
  </si>
  <si>
    <t>DEAL-02434</t>
  </si>
  <si>
    <t>2024-07-09</t>
  </si>
  <si>
    <t>DEAL-00858</t>
  </si>
  <si>
    <t>DEAL-01093</t>
  </si>
  <si>
    <t>2024-07-03</t>
  </si>
  <si>
    <t>DEAL-00203</t>
  </si>
  <si>
    <t>DEAL-00571</t>
  </si>
  <si>
    <t>DEAL-00925</t>
  </si>
  <si>
    <t>DEAL-01099</t>
  </si>
  <si>
    <t>2025-01-27</t>
  </si>
  <si>
    <t>DEAL-01086</t>
  </si>
  <si>
    <t>2024-01-11</t>
  </si>
  <si>
    <t>DEAL-00362</t>
  </si>
  <si>
    <t>CLI-0159</t>
  </si>
  <si>
    <t>DEAL-01888</t>
  </si>
  <si>
    <t>CLI-0027</t>
  </si>
  <si>
    <t>2023-06-08</t>
  </si>
  <si>
    <t>DEAL-02007</t>
  </si>
  <si>
    <t>DEAL-00290</t>
  </si>
  <si>
    <t>DEAL-00196</t>
  </si>
  <si>
    <t>CLI-0299</t>
  </si>
  <si>
    <t>DEAL-01704</t>
  </si>
  <si>
    <t>2024-11-19</t>
  </si>
  <si>
    <t>DEAL-00195</t>
  </si>
  <si>
    <t>01/12/2025</t>
  </si>
  <si>
    <t>DEAL-01683</t>
  </si>
  <si>
    <t>12/21/2023</t>
  </si>
  <si>
    <t>DEAL-01685</t>
  </si>
  <si>
    <t>CLI-0123</t>
  </si>
  <si>
    <t>12/24/2023</t>
  </si>
  <si>
    <t>DEAL-01545</t>
  </si>
  <si>
    <t>DEAL-01449</t>
  </si>
  <si>
    <t>DEAL-01973</t>
  </si>
  <si>
    <t>2024-07-08</t>
  </si>
  <si>
    <t>DEAL-00727</t>
  </si>
  <si>
    <t>2024-10-15</t>
  </si>
  <si>
    <t>DEAL-01114</t>
  </si>
  <si>
    <t>CLI-0193</t>
  </si>
  <si>
    <t>2023-04-09</t>
  </si>
  <si>
    <t>DEAL-01432</t>
  </si>
  <si>
    <t>DEAL-02487</t>
  </si>
  <si>
    <t>2023-09-11</t>
  </si>
  <si>
    <t>DEAL-00712</t>
  </si>
  <si>
    <t>2023-07-05</t>
  </si>
  <si>
    <t>DEAL-00289</t>
  </si>
  <si>
    <t>2023-01-02</t>
  </si>
  <si>
    <t>DEAL-01903</t>
  </si>
  <si>
    <t>DEAL-01825</t>
  </si>
  <si>
    <t>2023-11-07</t>
  </si>
  <si>
    <t>DEAL-00427</t>
  </si>
  <si>
    <t>2023-12-30</t>
  </si>
  <si>
    <t>DEAL-01935</t>
  </si>
  <si>
    <t>2025-01-26</t>
  </si>
  <si>
    <t>DEAL-00178</t>
  </si>
  <si>
    <t>CLI-0161</t>
  </si>
  <si>
    <t>DEAL-00958</t>
  </si>
  <si>
    <t>DEAL-01252</t>
  </si>
  <si>
    <t>2024-02-09</t>
  </si>
  <si>
    <t>DEAL-00798</t>
  </si>
  <si>
    <t>DEAL-00402</t>
  </si>
  <si>
    <t>2023-08-11</t>
  </si>
  <si>
    <t>DEAL-02298</t>
  </si>
  <si>
    <t>2023-11-14</t>
  </si>
  <si>
    <t>DEAL-01967</t>
  </si>
  <si>
    <t>2024-12-27</t>
  </si>
  <si>
    <t>DEAL-00455</t>
  </si>
  <si>
    <t>2024-10-31</t>
  </si>
  <si>
    <t>DEAL-02000</t>
  </si>
  <si>
    <t>DEAL-00561</t>
  </si>
  <si>
    <t>DEAL-00194</t>
  </si>
  <si>
    <t>2024-02-06</t>
  </si>
  <si>
    <t>DEAL-02034</t>
  </si>
  <si>
    <t>DEAL-02010</t>
  </si>
  <si>
    <t>2023-09-28</t>
  </si>
  <si>
    <t>DEAL-01149</t>
  </si>
  <si>
    <t>DEAL-01041</t>
  </si>
  <si>
    <t>CLI-0263</t>
  </si>
  <si>
    <t>DEAL-01829</t>
  </si>
  <si>
    <t>DEAL-01049</t>
  </si>
  <si>
    <t>DEAL-02418</t>
  </si>
  <si>
    <t>2023-06-20</t>
  </si>
  <si>
    <t>DEAL-01592</t>
  </si>
  <si>
    <t>2024-09-09</t>
  </si>
  <si>
    <t>DEAL-02485</t>
  </si>
  <si>
    <t>CLI-0119</t>
  </si>
  <si>
    <t>2023-04-23</t>
  </si>
  <si>
    <t>DEAL-00572</t>
  </si>
  <si>
    <t>DEAL-01712</t>
  </si>
  <si>
    <t>DEAL-01427</t>
  </si>
  <si>
    <t>DEAL-01682</t>
  </si>
  <si>
    <t>2023-11-04</t>
  </si>
  <si>
    <t>DEAL-02093</t>
  </si>
  <si>
    <t>2025-02-01</t>
  </si>
  <si>
    <t>DEAL-02082</t>
  </si>
  <si>
    <t>DEAL-01308</t>
  </si>
  <si>
    <t>DEAL-01103</t>
  </si>
  <si>
    <t>DEAL-00378</t>
  </si>
  <si>
    <t>DEAL-00293</t>
  </si>
  <si>
    <t>DEAL-01347</t>
  </si>
  <si>
    <t>2023-02-14</t>
  </si>
  <si>
    <t>DEAL-00425</t>
  </si>
  <si>
    <t>DEAL-01332</t>
  </si>
  <si>
    <t>03/31/2025</t>
  </si>
  <si>
    <t>DEAL-00147</t>
  </si>
  <si>
    <t>2024-09-28</t>
  </si>
  <si>
    <t>DEAL-00649</t>
  </si>
  <si>
    <t>DEAL-00780</t>
  </si>
  <si>
    <t>CLI-0025</t>
  </si>
  <si>
    <t>2024-05-10</t>
  </si>
  <si>
    <t>DEAL-02100</t>
  </si>
  <si>
    <t>2025-02-05</t>
  </si>
  <si>
    <t>DEAL-02290</t>
  </si>
  <si>
    <t>CLI-0012</t>
  </si>
  <si>
    <t>DEAL-01556</t>
  </si>
  <si>
    <t>2024-09-03</t>
  </si>
  <si>
    <t>DEAL-01744</t>
  </si>
  <si>
    <t>CLI-0038</t>
  </si>
  <si>
    <t>2025-03-31</t>
  </si>
  <si>
    <t>DEAL-01344</t>
  </si>
  <si>
    <t>2023-01-09</t>
  </si>
  <si>
    <t>DEAL-00441</t>
  </si>
  <si>
    <t>DEAL-00190</t>
  </si>
  <si>
    <t>DEAL-01766</t>
  </si>
  <si>
    <t>DEAL-00108</t>
  </si>
  <si>
    <t>CLI-0093</t>
  </si>
  <si>
    <t>DEAL-00269</t>
  </si>
  <si>
    <t>DEAL-00740</t>
  </si>
  <si>
    <t>DEAL-00745</t>
  </si>
  <si>
    <t>DEAL-00930</t>
  </si>
  <si>
    <t>2023-09-30</t>
  </si>
  <si>
    <t>DEAL-00847</t>
  </si>
  <si>
    <t>DEAL-00090</t>
  </si>
  <si>
    <t>2024-01-27</t>
  </si>
  <si>
    <t>DEAL-01696</t>
  </si>
  <si>
    <t>2023-04-11</t>
  </si>
  <si>
    <t>DEAL-01679</t>
  </si>
  <si>
    <t>2025-01-09</t>
  </si>
  <si>
    <t>DEAL-00272</t>
  </si>
  <si>
    <t>2023-05-04</t>
  </si>
  <si>
    <t>DEAL-00085</t>
  </si>
  <si>
    <t>CLI-0207</t>
  </si>
  <si>
    <t>DEAL-01891</t>
  </si>
  <si>
    <t>DEAL-01998</t>
  </si>
  <si>
    <t>2025-01-24</t>
  </si>
  <si>
    <t>DEAL-00285</t>
  </si>
  <si>
    <t>2024-10-28</t>
  </si>
  <si>
    <t>DEAL-00038</t>
  </si>
  <si>
    <t>2025-01-06</t>
  </si>
  <si>
    <t>DEAL-01434</t>
  </si>
  <si>
    <t>DEAL-00097</t>
  </si>
  <si>
    <t>02/07/2023</t>
  </si>
  <si>
    <t>DEAL-01813</t>
  </si>
  <si>
    <t>DEAL-00345</t>
  </si>
  <si>
    <t>2024-10-16</t>
  </si>
  <si>
    <t>DEAL-00974</t>
  </si>
  <si>
    <t>2023-02-20</t>
  </si>
  <si>
    <t>DEAL-00226</t>
  </si>
  <si>
    <t>DEAL-01186</t>
  </si>
  <si>
    <t>DEAL-01159</t>
  </si>
  <si>
    <t>2023-05-19</t>
  </si>
  <si>
    <t>DEAL-00478</t>
  </si>
  <si>
    <t>DEAL-01271</t>
  </si>
  <si>
    <t>DEAL-00463</t>
  </si>
  <si>
    <t>DEAL-00632</t>
  </si>
  <si>
    <t>2023-11-25</t>
  </si>
  <si>
    <t>DEAL-01378</t>
  </si>
  <si>
    <t>DEAL-01852</t>
  </si>
  <si>
    <t>2024-11-23</t>
  </si>
  <si>
    <t>DEAL-00578</t>
  </si>
  <si>
    <t>2025-01-22</t>
  </si>
  <si>
    <t>DEAL-01527</t>
  </si>
  <si>
    <t>DEAL-01815</t>
  </si>
  <si>
    <t>DEAL-02370</t>
  </si>
  <si>
    <t>DEAL-00939</t>
  </si>
  <si>
    <t>2024-07-20</t>
  </si>
  <si>
    <t>DEAL-02392</t>
  </si>
  <si>
    <t>DEAL-00287</t>
  </si>
  <si>
    <t>2023-06-19</t>
  </si>
  <si>
    <t>DEAL-00501</t>
  </si>
  <si>
    <t>DEAL-00317</t>
  </si>
  <si>
    <t>DEAL-01358</t>
  </si>
  <si>
    <t>2024-01-21</t>
  </si>
  <si>
    <t>DEAL-01146</t>
  </si>
  <si>
    <t>2023-12-31</t>
  </si>
  <si>
    <t>DEAL-02249</t>
  </si>
  <si>
    <t>09/14/2024</t>
  </si>
  <si>
    <t>DEAL-00511</t>
  </si>
  <si>
    <t>DEAL-01515</t>
  </si>
  <si>
    <t>2024-07-06</t>
  </si>
  <si>
    <t>DEAL-01182</t>
  </si>
  <si>
    <t>DEAL-01021</t>
  </si>
  <si>
    <t>DEAL-00166</t>
  </si>
  <si>
    <t>2023-09-19</t>
  </si>
  <si>
    <t>DEAL-00177</t>
  </si>
  <si>
    <t>DEAL-02247</t>
  </si>
  <si>
    <t>2024-11-26</t>
  </si>
  <si>
    <t>DEAL-00464</t>
  </si>
  <si>
    <t>DEAL-00513</t>
  </si>
  <si>
    <t>2024-09-14</t>
  </si>
  <si>
    <t>DEAL-00608</t>
  </si>
  <si>
    <t>DEAL-00413</t>
  </si>
  <si>
    <t>DEAL-02200</t>
  </si>
  <si>
    <t>2023-12-17</t>
  </si>
  <si>
    <t>DEAL-01691</t>
  </si>
  <si>
    <t>2024-04-27</t>
  </si>
  <si>
    <t>DEAL-01958</t>
  </si>
  <si>
    <t>2024-01-02</t>
  </si>
  <si>
    <t>DEAL-00432</t>
  </si>
  <si>
    <t>DEAL-00225</t>
  </si>
  <si>
    <t>2024-09-27</t>
  </si>
  <si>
    <t>DEAL-00891</t>
  </si>
  <si>
    <t>DEAL-01671</t>
  </si>
  <si>
    <t>2024-04-15</t>
  </si>
  <si>
    <t>DEAL-00115</t>
  </si>
  <si>
    <t>2024-07-28</t>
  </si>
  <si>
    <t>DEAL-00238</t>
  </si>
  <si>
    <t>DEAL-01828</t>
  </si>
  <si>
    <t>DEAL-02496</t>
  </si>
  <si>
    <t>DEAL-00158</t>
  </si>
  <si>
    <t>DEAL-00395</t>
  </si>
  <si>
    <t>2023-07-04</t>
  </si>
  <si>
    <t>DEAL-01068</t>
  </si>
  <si>
    <t>DEAL-01930</t>
  </si>
  <si>
    <t>DEAL-00902</t>
  </si>
  <si>
    <t>2025-02-09</t>
  </si>
  <si>
    <t>DEAL-00259</t>
  </si>
  <si>
    <t>DEAL-00391</t>
  </si>
  <si>
    <t>DEAL-02145</t>
  </si>
  <si>
    <t>2023-07-27</t>
  </si>
  <si>
    <t>DEAL-01797</t>
  </si>
  <si>
    <t>DEAL-01838</t>
  </si>
  <si>
    <t>DEAL-00563</t>
  </si>
  <si>
    <t>DEAL-02047</t>
  </si>
  <si>
    <t>2024-04-28</t>
  </si>
  <si>
    <t>DEAL-00696</t>
  </si>
  <si>
    <t>2023-02-05</t>
  </si>
  <si>
    <t>DEAL-00112</t>
  </si>
  <si>
    <t>2025-02-04</t>
  </si>
  <si>
    <t>DEAL-00618</t>
  </si>
  <si>
    <t>2023-07-10</t>
  </si>
  <si>
    <t>DEAL-02472</t>
  </si>
  <si>
    <t>DEAL-00302</t>
  </si>
  <si>
    <t>DEAL-01573</t>
  </si>
  <si>
    <t>DEAL-00948</t>
  </si>
  <si>
    <t>DEAL-01352</t>
  </si>
  <si>
    <t>09/19/2023</t>
  </si>
  <si>
    <t>DEAL-00856</t>
  </si>
  <si>
    <t>2025-02-02</t>
  </si>
  <si>
    <t>DEAL-01088</t>
  </si>
  <si>
    <t>CLI-0213</t>
  </si>
  <si>
    <t>DEAL-02016</t>
  </si>
  <si>
    <t>DEAL-00575</t>
  </si>
  <si>
    <t>DEAL-02172</t>
  </si>
  <si>
    <t>DEAL-01756</t>
  </si>
  <si>
    <t>DEAL-01061</t>
  </si>
  <si>
    <t>DEAL-01953</t>
  </si>
  <si>
    <t>2024-12-11</t>
  </si>
  <si>
    <t>DEAL-01307</t>
  </si>
  <si>
    <t>DEAL-00605</t>
  </si>
  <si>
    <t>2025-01-07</t>
  </si>
  <si>
    <t>DEAL-01304</t>
  </si>
  <si>
    <t>DEAL-00510</t>
  </si>
  <si>
    <t>DEAL-01613</t>
  </si>
  <si>
    <t>DEAL-00216</t>
  </si>
  <si>
    <t>DEAL-01251</t>
  </si>
  <si>
    <t>DEAL-00515</t>
  </si>
  <si>
    <t>DEAL-00995</t>
  </si>
  <si>
    <t>2025-02-23</t>
  </si>
  <si>
    <t>DEAL-02401</t>
  </si>
  <si>
    <t>02/14/2023</t>
  </si>
  <si>
    <t>DEAL-01187</t>
  </si>
  <si>
    <t>2024-12-20</t>
  </si>
  <si>
    <t>DEAL-00449</t>
  </si>
  <si>
    <t>DEAL-02117</t>
  </si>
  <si>
    <t>2023-06-27</t>
  </si>
  <si>
    <t>DEAL-00113</t>
  </si>
  <si>
    <t>2023-03-14</t>
  </si>
  <si>
    <t>DEAL-01241</t>
  </si>
  <si>
    <t>DEAL-00590</t>
  </si>
  <si>
    <t>DEAL-00704</t>
  </si>
  <si>
    <t>DEAL-00011</t>
  </si>
  <si>
    <t>2023-04-04</t>
  </si>
  <si>
    <t>DEAL-00955</t>
  </si>
  <si>
    <t>DEAL-00107</t>
  </si>
  <si>
    <t>DEAL-02062</t>
  </si>
  <si>
    <t>DEAL-00170</t>
  </si>
  <si>
    <t>DEAL-01464</t>
  </si>
  <si>
    <t>DEAL-00508</t>
  </si>
  <si>
    <t>2024-03-26</t>
  </si>
  <si>
    <t>DEAL-00428</t>
  </si>
  <si>
    <t>DEAL-01317</t>
  </si>
  <si>
    <t>DEAL-02478</t>
  </si>
  <si>
    <t>DEAL-02144</t>
  </si>
  <si>
    <t>2023-03-08</t>
  </si>
  <si>
    <t>DEAL-02261</t>
  </si>
  <si>
    <t>2024-09-11</t>
  </si>
  <si>
    <t>DEAL-00564</t>
  </si>
  <si>
    <t>DEAL-01661</t>
  </si>
  <si>
    <t>DEAL-01265</t>
  </si>
  <si>
    <t>DEAL-02052</t>
  </si>
  <si>
    <t>CLI-0283</t>
  </si>
  <si>
    <t>DEAL-01834</t>
  </si>
  <si>
    <t>DEAL-01295</t>
  </si>
  <si>
    <t>2024-02-16</t>
  </si>
  <si>
    <t>DEAL-00874</t>
  </si>
  <si>
    <t>DEAL-01588</t>
  </si>
  <si>
    <t>2024-05-04</t>
  </si>
  <si>
    <t>DEAL-01667</t>
  </si>
  <si>
    <t>2023-12-04</t>
  </si>
  <si>
    <t>DEAL-02412</t>
  </si>
  <si>
    <t>2023-08-03</t>
  </si>
  <si>
    <t>DEAL-01407</t>
  </si>
  <si>
    <t>2024-05-06</t>
  </si>
  <si>
    <t>DEAL-01356</t>
  </si>
  <si>
    <t>2024-10-19</t>
  </si>
  <si>
    <t>DEAL-00894</t>
  </si>
  <si>
    <t>DEAL-01466</t>
  </si>
  <si>
    <t>2025-03-11</t>
  </si>
  <si>
    <t>DEAL-01940</t>
  </si>
  <si>
    <t>2025-03-30</t>
  </si>
  <si>
    <t>DEAL-00037</t>
  </si>
  <si>
    <t>2024-08-17</t>
  </si>
  <si>
    <t>DEAL-01132</t>
  </si>
  <si>
    <t>DEAL-01565</t>
  </si>
  <si>
    <t>DEAL-01478</t>
  </si>
  <si>
    <t>2023-10-16</t>
  </si>
  <si>
    <t>DEAL-01979</t>
  </si>
  <si>
    <t>DEAL-01680</t>
  </si>
  <si>
    <t>DEAL-01145</t>
  </si>
  <si>
    <t>DEAL-02321</t>
  </si>
  <si>
    <t>DEAL-00998</t>
  </si>
  <si>
    <t>DEAL-01259</t>
  </si>
  <si>
    <t>DEAL-00628</t>
  </si>
  <si>
    <t>DEAL-01819</t>
  </si>
  <si>
    <t>CLI-0141</t>
  </si>
  <si>
    <t>2024-09-15</t>
  </si>
  <si>
    <t>DEAL-00652</t>
  </si>
  <si>
    <t>2024-11-14</t>
  </si>
  <si>
    <t>DEAL-01270</t>
  </si>
  <si>
    <t>01/24/2025</t>
  </si>
  <si>
    <t>DEAL-00279</t>
  </si>
  <si>
    <t>DEAL-02109</t>
  </si>
  <si>
    <t>2024-03-07</t>
  </si>
  <si>
    <t>DEAL-02103</t>
  </si>
  <si>
    <t>12/03/2023</t>
  </si>
  <si>
    <t>DEAL-01092</t>
  </si>
  <si>
    <t>2024-05-02</t>
  </si>
  <si>
    <t>DEAL-02324</t>
  </si>
  <si>
    <t>DEAL-00304</t>
  </si>
  <si>
    <t>2024-12-22</t>
  </si>
  <si>
    <t>DEAL-00792</t>
  </si>
  <si>
    <t>2023-09-13</t>
  </si>
  <si>
    <t>DEAL-01362</t>
  </si>
  <si>
    <t>DEAL-00802</t>
  </si>
  <si>
    <t>2023-05-21</t>
  </si>
  <si>
    <t>DEAL-01256</t>
  </si>
  <si>
    <t>DEAL-01908</t>
  </si>
  <si>
    <t>DEAL-01676</t>
  </si>
  <si>
    <t>DEAL-00227</t>
  </si>
  <si>
    <t>2023-11-22</t>
  </si>
  <si>
    <t>DEAL-01342</t>
  </si>
  <si>
    <t>2024-01-29</t>
  </si>
  <si>
    <t>DEAL-01707</t>
  </si>
  <si>
    <t>DEAL-00040</t>
  </si>
  <si>
    <t>2024-01-03</t>
  </si>
  <si>
    <t>DEAL-02214</t>
  </si>
  <si>
    <t>DEAL-00100</t>
  </si>
  <si>
    <t>2024-03-25</t>
  </si>
  <si>
    <t>DEAL-01334</t>
  </si>
  <si>
    <t>DEAL-02400</t>
  </si>
  <si>
    <t>CLI-0227</t>
  </si>
  <si>
    <t>DEAL-00790</t>
  </si>
  <si>
    <t>DEAL-00334</t>
  </si>
  <si>
    <t>DEAL-01399</t>
  </si>
  <si>
    <t>DEAL-00312</t>
  </si>
  <si>
    <t>DEAL-02431</t>
  </si>
  <si>
    <t>2023-04-20</t>
  </si>
  <si>
    <t>DEAL-02450</t>
  </si>
  <si>
    <t>DEAL-01923</t>
  </si>
  <si>
    <t>DEAL-01208</t>
  </si>
  <si>
    <t>DEAL-00414</t>
  </si>
  <si>
    <t>DEAL-01802</t>
  </si>
  <si>
    <t>DEAL-02013</t>
  </si>
  <si>
    <t>DEAL-00217</t>
  </si>
  <si>
    <t>DEAL-02154</t>
  </si>
  <si>
    <t>DEAL-02180</t>
  </si>
  <si>
    <t>DEAL-01701</t>
  </si>
  <si>
    <t>DEAL-00231</t>
  </si>
  <si>
    <t>DEAL-01722</t>
  </si>
  <si>
    <t>DEAL-01499</t>
  </si>
  <si>
    <t>2023-08-25</t>
  </si>
  <si>
    <t>DEAL-01320</t>
  </si>
  <si>
    <t>DEAL-01728</t>
  </si>
  <si>
    <t>2025-03-21</t>
  </si>
  <si>
    <t>DEAL-00666</t>
  </si>
  <si>
    <t>DEAL-02498</t>
  </si>
  <si>
    <t>DEAL-01077</t>
  </si>
  <si>
    <t>DEAL-02198</t>
  </si>
  <si>
    <t>2024-08-15</t>
  </si>
  <si>
    <t>DEAL-02017</t>
  </si>
  <si>
    <t>CLI-0113</t>
  </si>
  <si>
    <t>DEAL-00357</t>
  </si>
  <si>
    <t>DEAL-00665</t>
  </si>
  <si>
    <t>DEAL-00975</t>
  </si>
  <si>
    <t>2024-01-24</t>
  </si>
  <si>
    <t>DEAL-00341</t>
  </si>
  <si>
    <t>DEAL-01150</t>
  </si>
  <si>
    <t>2023-11-01</t>
  </si>
  <si>
    <t>DEAL-00639</t>
  </si>
  <si>
    <t>DEAL-02408</t>
  </si>
  <si>
    <t>DEAL-01213</t>
  </si>
  <si>
    <t>DEAL-00622</t>
  </si>
  <si>
    <t>DEAL-01790</t>
  </si>
  <si>
    <t>DEAL-01216</t>
  </si>
  <si>
    <t>DEAL-01624</t>
  </si>
  <si>
    <t>DEAL-00039</t>
  </si>
  <si>
    <t>DEAL-00699</t>
  </si>
  <si>
    <t>01/25/2023</t>
  </si>
  <si>
    <t>DEAL-00638</t>
  </si>
  <si>
    <t>DEAL-00585</t>
  </si>
  <si>
    <t>2025-03-29</t>
  </si>
  <si>
    <t>DEAL-00914</t>
  </si>
  <si>
    <t>DEAL-01468</t>
  </si>
  <si>
    <t>DEAL-01857</t>
  </si>
  <si>
    <t>CLI-0115</t>
  </si>
  <si>
    <t>DEAL-00024</t>
  </si>
  <si>
    <t>DEAL-02375</t>
  </si>
  <si>
    <t>2024-08-27</t>
  </si>
  <si>
    <t>DEAL-02102</t>
  </si>
  <si>
    <t>12/03/2024</t>
  </si>
  <si>
    <t>DEAL-00134</t>
  </si>
  <si>
    <t>DEAL-00142</t>
  </si>
  <si>
    <t>DEAL-02362</t>
  </si>
  <si>
    <t>DEAL-01250</t>
  </si>
  <si>
    <t>DEAL-00657</t>
  </si>
  <si>
    <t>DEAL-02481</t>
  </si>
  <si>
    <t>DEAL-00309</t>
  </si>
  <si>
    <t>2023-09-08</t>
  </si>
  <si>
    <t>DEAL-00566</t>
  </si>
  <si>
    <t>DEAL-00344</t>
  </si>
  <si>
    <t>DEAL-02467</t>
  </si>
  <si>
    <t>06/10/2023</t>
  </si>
  <si>
    <t>DEAL-00850</t>
  </si>
  <si>
    <t>2024-01-23</t>
  </si>
  <si>
    <t>DEAL-01343</t>
  </si>
  <si>
    <t>DEAL-00043</t>
  </si>
  <si>
    <t>DEAL-00044</t>
  </si>
  <si>
    <t>DEAL-00047</t>
  </si>
  <si>
    <t>2023-06-13</t>
  </si>
  <si>
    <t>DEAL-01960</t>
  </si>
  <si>
    <t>DEAL-01865</t>
  </si>
  <si>
    <t>DEAL-01876</t>
  </si>
  <si>
    <t>2023-12-07</t>
  </si>
  <si>
    <t>DEAL-02490</t>
  </si>
  <si>
    <t>DEAL-00283</t>
  </si>
  <si>
    <t>2023-01-14</t>
  </si>
  <si>
    <t>DEAL-00722</t>
  </si>
  <si>
    <t>DEAL-02036</t>
  </si>
  <si>
    <t>2024-01-14</t>
  </si>
  <si>
    <t>DEAL-00292</t>
  </si>
  <si>
    <t>01/08/2023</t>
  </si>
  <si>
    <t>DEAL-00664</t>
  </si>
  <si>
    <t>2024-09-24</t>
  </si>
  <si>
    <t>DEAL-01485</t>
  </si>
  <si>
    <t>DEAL-01885</t>
  </si>
  <si>
    <t>DEAL-02341</t>
  </si>
  <si>
    <t>DEAL-02391</t>
  </si>
  <si>
    <t>DEAL-02403</t>
  </si>
  <si>
    <t>2023-05-12</t>
  </si>
  <si>
    <t>DEAL-02425</t>
  </si>
  <si>
    <t>DEAL-01100</t>
  </si>
  <si>
    <t>DEAL-00352</t>
  </si>
  <si>
    <t>CLI-0254</t>
  </si>
  <si>
    <t>2023-12-13</t>
  </si>
  <si>
    <t>DEAL-00089</t>
  </si>
  <si>
    <t>DEAL-00118</t>
  </si>
  <si>
    <t>DEAL-00842</t>
  </si>
  <si>
    <t>2024-09-21</t>
  </si>
  <si>
    <t>DEAL-01944</t>
  </si>
  <si>
    <t>DEAL-00785</t>
  </si>
  <si>
    <t>2024-09-05</t>
  </si>
  <si>
    <t>DEAL-00439</t>
  </si>
  <si>
    <t>2024-02-08</t>
  </si>
  <si>
    <t>DEAL-00122</t>
  </si>
  <si>
    <t>DEAL-02389</t>
  </si>
  <si>
    <t>DEAL-02234</t>
  </si>
  <si>
    <t>DEAL-02440</t>
  </si>
  <si>
    <t>2023-06-29</t>
  </si>
  <si>
    <t>DEAL-01227</t>
  </si>
  <si>
    <t>DEAL-00416</t>
  </si>
  <si>
    <t>DEAL-00120</t>
  </si>
  <si>
    <t>2024-07-15</t>
  </si>
  <si>
    <t>DEAL-00251</t>
  </si>
  <si>
    <t>DEAL-01160</t>
  </si>
  <si>
    <t>DEAL-01793</t>
  </si>
  <si>
    <t>2024-02-01</t>
  </si>
  <si>
    <t>DEAL-00782</t>
  </si>
  <si>
    <t>DEAL-00959</t>
  </si>
  <si>
    <t>DEAL-01054</t>
  </si>
  <si>
    <t>2025-02-21</t>
  </si>
  <si>
    <t>DEAL-00753</t>
  </si>
  <si>
    <t>DEAL-00479</t>
  </si>
  <si>
    <t>2023-08-26</t>
  </si>
  <si>
    <t>DEAL-01060</t>
  </si>
  <si>
    <t>2023-08-14</t>
  </si>
  <si>
    <t>DEAL-00061</t>
  </si>
  <si>
    <t>DEAL-01605</t>
  </si>
  <si>
    <t>DEAL-01936</t>
  </si>
  <si>
    <t>2024-05-18</t>
  </si>
  <si>
    <t>DEAL-00294</t>
  </si>
  <si>
    <t>2024-12-16</t>
  </si>
  <si>
    <t>DEAL-00813</t>
  </si>
  <si>
    <t>06/21/2024</t>
  </si>
  <si>
    <t>DEAL-01922</t>
  </si>
  <si>
    <t>DEAL-00117</t>
  </si>
  <si>
    <t>2024-12-10</t>
  </si>
  <si>
    <t>DEAL-01211</t>
  </si>
  <si>
    <t>DEAL-01761</t>
  </si>
  <si>
    <t>DEAL-00157</t>
  </si>
  <si>
    <t>2023-01-20</t>
  </si>
  <si>
    <t>DEAL-01451</t>
  </si>
  <si>
    <t>DEAL-00540</t>
  </si>
  <si>
    <t>DEAL-02031</t>
  </si>
  <si>
    <t>DEAL-02372</t>
  </si>
  <si>
    <t>DEAL-00645</t>
  </si>
  <si>
    <t>DEAL-01924</t>
  </si>
  <si>
    <t>DEAL-01974</t>
  </si>
  <si>
    <t>DEAL-01874</t>
  </si>
  <si>
    <t>DEAL-00775</t>
  </si>
  <si>
    <t>2024-10-24</t>
  </si>
  <si>
    <t>DEAL-00299</t>
  </si>
  <si>
    <t>DEAL-00516</t>
  </si>
  <si>
    <t>DEAL-02459</t>
  </si>
  <si>
    <t>DEAL-00702</t>
  </si>
  <si>
    <t>DEAL-02336</t>
  </si>
  <si>
    <t>04/24/2024</t>
  </si>
  <si>
    <t>DEAL-01479</t>
  </si>
  <si>
    <t>DEAL-01859</t>
  </si>
  <si>
    <t>DEAL-01212</t>
  </si>
  <si>
    <t>DEAL-02407</t>
  </si>
  <si>
    <t>2024-06-20</t>
  </si>
  <si>
    <t>DEAL-01460</t>
  </si>
  <si>
    <t>DEAL-01104</t>
  </si>
  <si>
    <t>DEAL-01820</t>
  </si>
  <si>
    <t>DEAL-00673</t>
  </si>
  <si>
    <t>DEAL-00367</t>
  </si>
  <si>
    <t>DEAL-00081</t>
  </si>
  <si>
    <t>DEAL-00602</t>
  </si>
  <si>
    <t>2023-03-10</t>
  </si>
  <si>
    <t>DEAL-01454</t>
  </si>
  <si>
    <t>DEAL-00725</t>
  </si>
  <si>
    <t>DEAL-01376</t>
  </si>
  <si>
    <t>2023-01-08</t>
  </si>
  <si>
    <t>DEAL-01807</t>
  </si>
  <si>
    <t>DEAL-01539</t>
  </si>
  <si>
    <t>CLI-0262</t>
  </si>
  <si>
    <t>2024-04-30</t>
  </si>
  <si>
    <t>DEAL-01692</t>
  </si>
  <si>
    <t>2023-04-26</t>
  </si>
  <si>
    <t>DEAL-02138</t>
  </si>
  <si>
    <t>DEAL-00206</t>
  </si>
  <si>
    <t>2024-06-24</t>
  </si>
  <si>
    <t>DEAL-02040</t>
  </si>
  <si>
    <t>DEAL-00670</t>
  </si>
  <si>
    <t>CLI-0022</t>
  </si>
  <si>
    <t>DEAL-00499</t>
  </si>
  <si>
    <t>DEAL-00920</t>
  </si>
  <si>
    <t>DEAL-02271</t>
  </si>
  <si>
    <t>DEAL-01335</t>
  </si>
  <si>
    <t>DEAL-00761</t>
  </si>
  <si>
    <t>DEAL-00985</t>
  </si>
  <si>
    <t>2024-01-05</t>
  </si>
  <si>
    <t>DEAL-00973</t>
  </si>
  <si>
    <t>2023-09-01</t>
  </si>
  <si>
    <t>DEAL-00818</t>
  </si>
  <si>
    <t>DEAL-01179</t>
  </si>
  <si>
    <t>DEAL-01547</t>
  </si>
  <si>
    <t>07/05/2023</t>
  </si>
  <si>
    <t>DEAL-01236</t>
  </si>
  <si>
    <t>DEAL-01448</t>
  </si>
  <si>
    <t>DEAL-01705</t>
  </si>
  <si>
    <t>DEAL-00408</t>
  </si>
  <si>
    <t>2024-12-05</t>
  </si>
  <si>
    <t>DEAL-00332</t>
  </si>
  <si>
    <t>DEAL-00908</t>
  </si>
  <si>
    <t>12/04/2024</t>
  </si>
  <si>
    <t>DEAL-01896</t>
  </si>
  <si>
    <t>DEAL-00254</t>
  </si>
  <si>
    <t>DEAL-01057</t>
  </si>
  <si>
    <t>DEAL-01363</t>
  </si>
  <si>
    <t>2023-03-19</t>
  </si>
  <si>
    <t>DEAL-01655</t>
  </si>
  <si>
    <t>DEAL-01028</t>
  </si>
  <si>
    <t>DEAL-00535</t>
  </si>
  <si>
    <t>DEAL-01957</t>
  </si>
  <si>
    <t>DEAL-01628</t>
  </si>
  <si>
    <t>2024-08-24</t>
  </si>
  <si>
    <t>DEAL-00442</t>
  </si>
  <si>
    <t>DEAL-01233</t>
  </si>
  <si>
    <t>DEAL-01808</t>
  </si>
  <si>
    <t>DEAL-00394</t>
  </si>
  <si>
    <t>DEAL-00873</t>
  </si>
  <si>
    <t>DEAL-00006</t>
  </si>
  <si>
    <t>2025-01-14</t>
  </si>
  <si>
    <t>DEAL-02356</t>
  </si>
  <si>
    <t>CLI-0170</t>
  </si>
  <si>
    <t>2023-11-10</t>
  </si>
  <si>
    <t>DEAL-00982</t>
  </si>
  <si>
    <t>2023-01-16</t>
  </si>
  <si>
    <t>DEAL-02079</t>
  </si>
  <si>
    <t>DEAL-01650</t>
  </si>
  <si>
    <t>DEAL-01513</t>
  </si>
  <si>
    <t>DEAL-00173</t>
  </si>
  <si>
    <t>DEAL-01516</t>
  </si>
  <si>
    <t>DEAL-00350</t>
  </si>
  <si>
    <t>2024-04-10</t>
  </si>
  <si>
    <t>DEAL-00592</t>
  </si>
  <si>
    <t>2023-05-09</t>
  </si>
  <si>
    <t>DEAL-00229</t>
  </si>
  <si>
    <t>2024-07-05</t>
  </si>
  <si>
    <t>DEAL-02206</t>
  </si>
  <si>
    <t>03/11/2023</t>
  </si>
  <si>
    <t>DEAL-01968</t>
  </si>
  <si>
    <t>05/02/2024</t>
  </si>
  <si>
    <t>DEAL-00460</t>
  </si>
  <si>
    <t>2024-06-15</t>
  </si>
  <si>
    <t>DEAL-01996</t>
  </si>
  <si>
    <t>DEAL-01067</t>
  </si>
  <si>
    <t>2025-02-27</t>
  </si>
  <si>
    <t>DEAL-01907</t>
  </si>
  <si>
    <t>2023-11-09</t>
  </si>
  <si>
    <t>DEAL-01731</t>
  </si>
  <si>
    <t>DEAL-00058</t>
  </si>
  <si>
    <t>2025-03-25</t>
  </si>
  <si>
    <t>DEAL-00922</t>
  </si>
  <si>
    <t>DEAL-01422</t>
  </si>
  <si>
    <t>DEAL-01847</t>
  </si>
  <si>
    <t>DEAL-02310</t>
  </si>
  <si>
    <t>2023-07-25</t>
  </si>
  <si>
    <t>DEAL-00219</t>
  </si>
  <si>
    <t>2024-12-23</t>
  </si>
  <si>
    <t>DEAL-02169</t>
  </si>
  <si>
    <t>DEAL-01585</t>
  </si>
  <si>
    <t>DEAL-01447</t>
  </si>
  <si>
    <t>2023-04-18</t>
  </si>
  <si>
    <t>DEAL-01225</t>
  </si>
  <si>
    <t>DEAL-01164</t>
  </si>
  <si>
    <t>DEAL-01727</t>
  </si>
  <si>
    <t>DEAL-02291</t>
  </si>
  <si>
    <t>CLI-0112</t>
  </si>
  <si>
    <t>DEAL-00094</t>
  </si>
  <si>
    <t>07/01/2024</t>
  </si>
  <si>
    <t>DEAL-02395</t>
  </si>
  <si>
    <t>2023-01-10</t>
  </si>
  <si>
    <t>DEAL-00169</t>
  </si>
  <si>
    <t>DEAL-01895</t>
  </si>
  <si>
    <t>2023-06-02</t>
  </si>
  <si>
    <t>DEAL-00222</t>
  </si>
  <si>
    <t>DEAL-00929</t>
  </si>
  <si>
    <t>DEAL-00069</t>
  </si>
  <si>
    <t>DEAL-00760</t>
  </si>
  <si>
    <t>2024-03-14</t>
  </si>
  <si>
    <t>DEAL-01589</t>
  </si>
  <si>
    <t>DEAL-01069</t>
  </si>
  <si>
    <t>DEAL-02248</t>
  </si>
  <si>
    <t>DEAL-01905</t>
  </si>
  <si>
    <t>DEAL-02038</t>
  </si>
  <si>
    <t>11/13/2023</t>
  </si>
  <si>
    <t>DEAL-01458</t>
  </si>
  <si>
    <t>DEAL-00803</t>
  </si>
  <si>
    <t>DEAL-01649</t>
  </si>
  <si>
    <t>DEAL-01653</t>
  </si>
  <si>
    <t>2024-07-04</t>
  </si>
  <si>
    <t>DEAL-00005</t>
  </si>
  <si>
    <t>09/24/2024</t>
  </si>
  <si>
    <t>DEAL-00411</t>
  </si>
  <si>
    <t>DEAL-00646</t>
  </si>
  <si>
    <t>DEAL-00675</t>
  </si>
  <si>
    <t>DEAL-01014</t>
  </si>
  <si>
    <t>DEAL-00015</t>
  </si>
  <si>
    <t>DEAL-00623</t>
  </si>
  <si>
    <t>DEAL-02366</t>
  </si>
  <si>
    <t>DEAL-01331</t>
  </si>
  <si>
    <t>DEAL-00071</t>
  </si>
  <si>
    <t>DEAL-00943</t>
  </si>
  <si>
    <t>DEAL-01133</t>
  </si>
  <si>
    <t>DEAL-01656</t>
  </si>
  <si>
    <t>2023-03-27</t>
  </si>
  <si>
    <t>DEAL-01134</t>
  </si>
  <si>
    <t>DEAL-00647</t>
  </si>
  <si>
    <t>DEAL-00570</t>
  </si>
  <si>
    <t>DEAL-01386</t>
  </si>
  <si>
    <t>DEAL-01147</t>
  </si>
  <si>
    <t>DEAL-01129</t>
  </si>
  <si>
    <t>DEAL-00417</t>
  </si>
  <si>
    <t>DEAL-02042</t>
  </si>
  <si>
    <t>2024-07-11</t>
  </si>
  <si>
    <t>DEAL-00906</t>
  </si>
  <si>
    <t>DEAL-00940</t>
  </si>
  <si>
    <t>DEAL-01937</t>
  </si>
  <si>
    <t>DEAL-00248</t>
  </si>
  <si>
    <t>DEAL-00872</t>
  </si>
  <si>
    <t>DEAL-00720</t>
  </si>
  <si>
    <t>DEAL-02437</t>
  </si>
  <si>
    <t>DEAL-00624</t>
  </si>
  <si>
    <t>DEAL-00682</t>
  </si>
  <si>
    <t>DEAL-02078</t>
  </si>
  <si>
    <t>DEAL-00487</t>
  </si>
  <si>
    <t>2023-06-30</t>
  </si>
  <si>
    <t>DEAL-01791</t>
  </si>
  <si>
    <t>DEAL-01383</t>
  </si>
  <si>
    <t>DEAL-01884</t>
  </si>
  <si>
    <t>DEAL-00325</t>
  </si>
  <si>
    <t>DEAL-01618</t>
  </si>
  <si>
    <t>DEAL-01984</t>
  </si>
  <si>
    <t>DEAL-02210</t>
  </si>
  <si>
    <t>2023-05-11</t>
  </si>
  <si>
    <t>DEAL-00829</t>
  </si>
  <si>
    <t>DEAL-02197</t>
  </si>
  <si>
    <t>DEAL-00373</t>
  </si>
  <si>
    <t>DEAL-00474</t>
  </si>
  <si>
    <t>DEAL-00905</t>
  </si>
  <si>
    <t>DEAL-00036</t>
  </si>
  <si>
    <t>DEAL-00168</t>
  </si>
  <si>
    <t>2024-07-14</t>
  </si>
  <si>
    <t>DEAL-01192</t>
  </si>
  <si>
    <t>DEAL-02048</t>
  </si>
  <si>
    <t>2024-12-24</t>
  </si>
  <si>
    <t>DEAL-00819</t>
  </si>
  <si>
    <t>DEAL-00288</t>
  </si>
  <si>
    <t>DEAL-02124</t>
  </si>
  <si>
    <t>2024-07-22</t>
  </si>
  <si>
    <t>DEAL-02257</t>
  </si>
  <si>
    <t>DEAL-01652</t>
  </si>
  <si>
    <t>2024-11-24</t>
  </si>
  <si>
    <t>DEAL-02460</t>
  </si>
  <si>
    <t>DEAL-01600</t>
  </si>
  <si>
    <t>2023-12-23</t>
  </si>
  <si>
    <t>DEAL-01640</t>
  </si>
  <si>
    <t>DEAL-00023</t>
  </si>
  <si>
    <t>DEAL-02026</t>
  </si>
  <si>
    <t>DEAL-01759</t>
  </si>
  <si>
    <t>DEAL-01031</t>
  </si>
  <si>
    <t>CLI-0021</t>
  </si>
  <si>
    <t>DEAL-01392</t>
  </si>
  <si>
    <t>2025-01-12</t>
  </si>
  <si>
    <t>DEAL-01167</t>
  </si>
  <si>
    <t>2024-03-04</t>
  </si>
  <si>
    <t>DEAL-01166</t>
  </si>
  <si>
    <t>DEAL-00056</t>
  </si>
  <si>
    <t>DEAL-02191</t>
  </si>
  <si>
    <t>DEAL-02353</t>
  </si>
  <si>
    <t>2023-06-09</t>
  </si>
  <si>
    <t>DEAL-01523</t>
  </si>
  <si>
    <t>DEAL-01203</t>
  </si>
  <si>
    <t>02/02/2023</t>
  </si>
  <si>
    <t>DEAL-01338</t>
  </si>
  <si>
    <t>DEAL-01811</t>
  </si>
  <si>
    <t>DEAL-02035</t>
  </si>
  <si>
    <t>2024-02-04</t>
  </si>
  <si>
    <t>DEAL-00934</t>
  </si>
  <si>
    <t>DEAL-01283</t>
  </si>
  <si>
    <t>DEAL-00098</t>
  </si>
  <si>
    <t>DEAL-01590</t>
  </si>
  <si>
    <t>DEAL-00871</t>
  </si>
  <si>
    <t>DEAL-00953</t>
  </si>
  <si>
    <t>DEAL-00390</t>
  </si>
  <si>
    <t>2025-01-15</t>
  </si>
  <si>
    <t>DEAL-02373</t>
  </si>
  <si>
    <t>CLI-0057</t>
  </si>
  <si>
    <t>2025-03-27</t>
  </si>
  <si>
    <t>DEAL-02160</t>
  </si>
  <si>
    <t>2024-11-13</t>
  </si>
  <si>
    <t>DEAL-01131</t>
  </si>
  <si>
    <t>DEAL-01033</t>
  </si>
  <si>
    <t>DEAL-02273</t>
  </si>
  <si>
    <t>DEAL-02285</t>
  </si>
  <si>
    <t>2024-04-13</t>
  </si>
  <si>
    <t>DEAL-02069</t>
  </si>
  <si>
    <t>DEAL-01747</t>
  </si>
  <si>
    <t>DEAL-01004</t>
  </si>
  <si>
    <t>DEAL-01076</t>
  </si>
  <si>
    <t>DEAL-00001</t>
  </si>
  <si>
    <t>DEAL-00827</t>
  </si>
  <si>
    <t>2023-10-25</t>
  </si>
  <si>
    <t>DEAL-01274</t>
  </si>
  <si>
    <t>DEAL-01787</t>
  </si>
  <si>
    <t>DEAL-00381</t>
  </si>
  <si>
    <t>DEAL-01032</t>
  </si>
  <si>
    <t>DEAL-01647</t>
  </si>
  <si>
    <t>DEAL-02426</t>
  </si>
  <si>
    <t>DEAL-02080</t>
  </si>
  <si>
    <t>DEAL-01972</t>
  </si>
  <si>
    <t>2024-08-02</t>
  </si>
  <si>
    <t>DEAL-01110</t>
  </si>
  <si>
    <t>2023-10-31</t>
  </si>
  <si>
    <t>DEAL-01199</t>
  </si>
  <si>
    <t>DEAL-00135</t>
  </si>
  <si>
    <t>DEAL-00968</t>
  </si>
  <si>
    <t>DEAL-02025</t>
  </si>
  <si>
    <t>DEAL-02333</t>
  </si>
  <si>
    <t>DEAL-01763</t>
  </si>
  <si>
    <t>DEAL-00415</t>
  </si>
  <si>
    <t>2024-06-26</t>
  </si>
  <si>
    <t>DEAL-01709</t>
  </si>
  <si>
    <t>DEAL-01540</t>
  </si>
  <si>
    <t>2024-05-05</t>
  </si>
  <si>
    <t>DEAL-00833</t>
  </si>
  <si>
    <t>2024-10-14</t>
  </si>
  <si>
    <t>DEAL-01976</t>
  </si>
  <si>
    <t>DEAL-00506</t>
  </si>
  <si>
    <t>2023-08-10</t>
  </si>
  <si>
    <t>DEAL-02250</t>
  </si>
  <si>
    <t>2023-07-18</t>
  </si>
  <si>
    <t>DEAL-00276</t>
  </si>
  <si>
    <t>DEAL-02143</t>
  </si>
  <si>
    <t>DEAL-00962</t>
  </si>
  <si>
    <t>DEAL-02457</t>
  </si>
  <si>
    <t>DEAL-00838</t>
  </si>
  <si>
    <t>DEAL-01396</t>
  </si>
  <si>
    <t>2024-07-17</t>
  </si>
  <si>
    <t>DEAL-00379</t>
  </si>
  <si>
    <t>DEAL-00621</t>
  </si>
  <si>
    <t>DEAL-01486</t>
  </si>
  <si>
    <t>DEAL-01737</t>
  </si>
  <si>
    <t>DEAL-01171</t>
  </si>
  <si>
    <t>2025-01-04</t>
  </si>
  <si>
    <t>DEAL-00138</t>
  </si>
  <si>
    <t>2024-04-25</t>
  </si>
  <si>
    <t>DEAL-01162</t>
  </si>
  <si>
    <t>DEAL-01839</t>
  </si>
  <si>
    <t>DEAL-00067</t>
  </si>
  <si>
    <t>DEAL-00583</t>
  </si>
  <si>
    <t>2023-05-07</t>
  </si>
  <si>
    <t>DEAL-01541</t>
  </si>
  <si>
    <t>DEAL-01473</t>
  </si>
  <si>
    <t>2024-08-03</t>
  </si>
  <si>
    <t>DEAL-01948</t>
  </si>
  <si>
    <t>2023-12-20</t>
  </si>
  <si>
    <t>DEAL-01754</t>
  </si>
  <si>
    <t>DEAL-02045</t>
  </si>
  <si>
    <t>2024-06-19</t>
  </si>
  <si>
    <t>DEAL-02024</t>
  </si>
  <si>
    <t>DEAL-00233</t>
  </si>
  <si>
    <t>DEAL-02152</t>
  </si>
  <si>
    <t>2023-07-06</t>
  </si>
  <si>
    <t>DEAL-00588</t>
  </si>
  <si>
    <t>DEAL-01381</t>
  </si>
  <si>
    <t>DEAL-00026</t>
  </si>
  <si>
    <t>DEAL-01898</t>
  </si>
  <si>
    <t>DEAL-01946</t>
  </si>
  <si>
    <t>DEAL-00123</t>
  </si>
  <si>
    <t>DEAL-02367</t>
  </si>
  <si>
    <t>2023-03-05</t>
  </si>
  <si>
    <t>DEAL-00083</t>
  </si>
  <si>
    <t>DEAL-01599</t>
  </si>
  <si>
    <t>DEAL-00384</t>
  </si>
  <si>
    <t>DEAL-00260</t>
  </si>
  <si>
    <t>DEAL-00453</t>
  </si>
  <si>
    <t>DEAL-02463</t>
  </si>
  <si>
    <t>DEAL-01617</t>
  </si>
  <si>
    <t>DEAL-02454</t>
  </si>
  <si>
    <t>DEAL-02427</t>
  </si>
  <si>
    <t>2025-02-03</t>
  </si>
  <si>
    <t>DEAL-02473</t>
  </si>
  <si>
    <t>2023-11-19</t>
  </si>
  <si>
    <t>DEAL-02491</t>
  </si>
  <si>
    <t>DEAL-02293</t>
  </si>
  <si>
    <t>DEAL-01991</t>
  </si>
  <si>
    <t>DEAL-01431</t>
  </si>
  <si>
    <t>DEAL-00167</t>
  </si>
  <si>
    <t>DEAL-02075</t>
  </si>
  <si>
    <t>DEAL-02230</t>
  </si>
  <si>
    <t>DEAL-00786</t>
  </si>
  <si>
    <t>DEAL-00911</t>
  </si>
  <si>
    <t>DEAL-00933</t>
  </si>
  <si>
    <t>DEAL-01056</t>
  </si>
  <si>
    <t>DEAL-02326</t>
  </si>
  <si>
    <t>DEAL-01040</t>
  </si>
  <si>
    <t>DEAL-00456</t>
  </si>
  <si>
    <t>2024-06-17</t>
  </si>
  <si>
    <t>DEAL-00291</t>
  </si>
  <si>
    <t>2024-10-13</t>
  </si>
  <si>
    <t>DEAL-01436</t>
  </si>
  <si>
    <t>DEAL-02305</t>
  </si>
  <si>
    <t>DEAL-01755</t>
  </si>
  <si>
    <t>2024-01-30</t>
  </si>
  <si>
    <t>DEAL-02464</t>
  </si>
  <si>
    <t>DEAL-02203</t>
  </si>
  <si>
    <t>DEAL-00990</t>
  </si>
  <si>
    <t>DEAL-02156</t>
  </si>
  <si>
    <t>DEAL-01823</t>
  </si>
  <si>
    <t>CLI-0073</t>
  </si>
  <si>
    <t>DEAL-02053</t>
  </si>
  <si>
    <t>DEAL-01981</t>
  </si>
  <si>
    <t>DEAL-00695</t>
  </si>
  <si>
    <t>2023-01-01</t>
  </si>
  <si>
    <t>DEAL-00371</t>
  </si>
  <si>
    <t>DEAL-01453</t>
  </si>
  <si>
    <t>08/02/2024</t>
  </si>
  <si>
    <t>DEAL-01157</t>
  </si>
  <si>
    <t>DEAL-00498</t>
  </si>
  <si>
    <t>DEAL-01437</t>
  </si>
  <si>
    <t>DEAL-02385</t>
  </si>
  <si>
    <t>DEAL-00800</t>
  </si>
  <si>
    <t>DEAL-01231</t>
  </si>
  <si>
    <t>2025-02-18</t>
  </si>
  <si>
    <t>DEAL-00541</t>
  </si>
  <si>
    <t>DEAL-00538</t>
  </si>
  <si>
    <t>DEAL-01942</t>
  </si>
  <si>
    <t>DEAL-02355</t>
  </si>
  <si>
    <t>DEAL-01254</t>
  </si>
  <si>
    <t>DEAL-01644</t>
  </si>
  <si>
    <t>DEAL-00232</t>
  </si>
  <si>
    <t>2023-10-12</t>
  </si>
  <si>
    <t>DEAL-01889</t>
  </si>
  <si>
    <t>DEAL-00239</t>
  </si>
  <si>
    <t>DEAL-00928</t>
  </si>
  <si>
    <t>DEAL-00742</t>
  </si>
  <si>
    <t>DEAL-02461</t>
  </si>
  <si>
    <t>03/03/2025</t>
  </si>
  <si>
    <t>DEAL-01632</t>
  </si>
  <si>
    <t>DEAL-01037</t>
  </si>
  <si>
    <t>DEAL-02378</t>
  </si>
  <si>
    <t>DEAL-00923</t>
  </si>
  <si>
    <t>DEAL-01074</t>
  </si>
  <si>
    <t>DEAL-00717</t>
  </si>
  <si>
    <t>07/13/2024</t>
  </si>
  <si>
    <t>DEAL-01507</t>
  </si>
  <si>
    <t>DEAL-01083</t>
  </si>
  <si>
    <t>DEAL-02235</t>
  </si>
  <si>
    <t>2023-05-15</t>
  </si>
  <si>
    <t>DEAL-01703</t>
  </si>
  <si>
    <t>2025-02-10</t>
  </si>
  <si>
    <t>DEAL-01258</t>
  </si>
  <si>
    <t>DEAL-02328</t>
  </si>
  <si>
    <t>03/12/2024</t>
  </si>
  <si>
    <t>DEAL-01638</t>
  </si>
  <si>
    <t>DEAL-02343</t>
  </si>
  <si>
    <t>DEAL-01670</t>
  </si>
  <si>
    <t>DEAL-02166</t>
  </si>
  <si>
    <t>2024-08-04</t>
  </si>
  <si>
    <t>DEAL-01619</t>
  </si>
  <si>
    <t>DEAL-00900</t>
  </si>
  <si>
    <t>DEAL-00191</t>
  </si>
  <si>
    <t>DEAL-01141</t>
  </si>
  <si>
    <t>DEAL-02330</t>
  </si>
  <si>
    <t>DEAL-01883</t>
  </si>
  <si>
    <t>DEAL-02376</t>
  </si>
  <si>
    <t>DEAL-01631</t>
  </si>
  <si>
    <t>DEAL-01091</t>
  </si>
  <si>
    <t>DEAL-01582</t>
  </si>
  <si>
    <t>DEAL-00033</t>
  </si>
  <si>
    <t>DEAL-00774</t>
  </si>
  <si>
    <t>2024-11-08</t>
  </si>
  <si>
    <t>DEAL-02483</t>
  </si>
  <si>
    <t>2023-02-10</t>
  </si>
  <si>
    <t>DEAL-00484</t>
  </si>
  <si>
    <t>2024-05-23</t>
  </si>
  <si>
    <t>DEAL-00924</t>
  </si>
  <si>
    <t>DEAL-02032</t>
  </si>
  <si>
    <t>DEAL-01608</t>
  </si>
  <si>
    <t>DEAL-02068</t>
  </si>
  <si>
    <t>DEAL-00553</t>
  </si>
  <si>
    <t>2023-10-27</t>
  </si>
  <si>
    <t>DEAL-01604</t>
  </si>
  <si>
    <t>2023-09-18</t>
  </si>
  <si>
    <t>DEAL-01219</t>
  </si>
  <si>
    <t>2025-03-10</t>
  </si>
  <si>
    <t>DEAL-00336</t>
  </si>
  <si>
    <t>DEAL-02331</t>
  </si>
  <si>
    <t>DEAL-02094</t>
  </si>
  <si>
    <t>DEAL-02241</t>
  </si>
  <si>
    <t>DEAL-01596</t>
  </si>
  <si>
    <t>DEAL-01279</t>
  </si>
  <si>
    <t>DEAL-02236</t>
  </si>
  <si>
    <t>DEAL-00854</t>
  </si>
  <si>
    <t>2023-11-26</t>
  </si>
  <si>
    <t>DEAL-00268</t>
  </si>
  <si>
    <t>DEAL-00970</t>
  </si>
  <si>
    <t>DEAL-00518</t>
  </si>
  <si>
    <t>DEAL-00008</t>
  </si>
  <si>
    <t>DEAL-01298</t>
  </si>
  <si>
    <t>DEAL-01950</t>
  </si>
  <si>
    <t>02/16/2025</t>
  </si>
  <si>
    <t>DEAL-01055</t>
  </si>
  <si>
    <t>2023-08-16</t>
  </si>
  <si>
    <t>DEAL-01230</t>
  </si>
  <si>
    <t>DEAL-00237</t>
  </si>
  <si>
    <t>DEAL-00338</t>
  </si>
  <si>
    <t>07/09/2023</t>
  </si>
  <si>
    <t>DEAL-02213</t>
  </si>
  <si>
    <t>DEAL-02451</t>
  </si>
  <si>
    <t>DEAL-00642</t>
  </si>
  <si>
    <t>03/28/2024</t>
  </si>
  <si>
    <t>DEAL-02263</t>
  </si>
  <si>
    <t>2023-06-04</t>
  </si>
  <si>
    <t>DEAL-01775</t>
  </si>
  <si>
    <t>DEAL-01489</t>
  </si>
  <si>
    <t>DEAL-01716</t>
  </si>
  <si>
    <t>DEAL-01126</t>
  </si>
  <si>
    <t>DEAL-01752</t>
  </si>
  <si>
    <t>DEAL-00595</t>
  </si>
  <si>
    <t>DEAL-00994</t>
  </si>
  <si>
    <t>DEAL-00448</t>
  </si>
  <si>
    <t>DEAL-00372</t>
  </si>
  <si>
    <t>DEAL-02297</t>
  </si>
  <si>
    <t>DEAL-00707</t>
  </si>
  <si>
    <t>DEAL-00153</t>
  </si>
  <si>
    <t>2023-01-21</t>
  </si>
  <si>
    <t>DEAL-01262</t>
  </si>
  <si>
    <t>DEAL-02381</t>
  </si>
  <si>
    <t>2024-06-07</t>
  </si>
  <si>
    <t>DEAL-02380</t>
  </si>
  <si>
    <t>DEAL-02205</t>
  </si>
  <si>
    <t>DEAL-02050</t>
  </si>
  <si>
    <t>2024-10-12</t>
  </si>
  <si>
    <t>DEAL-00320</t>
  </si>
  <si>
    <t>DEAL-01654</t>
  </si>
  <si>
    <t>DEAL-01183</t>
  </si>
  <si>
    <t>DEAL-01977</t>
  </si>
  <si>
    <t>2025-01-19</t>
  </si>
  <si>
    <t>DEAL-01887</t>
  </si>
  <si>
    <t>12/16/2024</t>
  </si>
  <si>
    <t>DEAL-00469</t>
  </si>
  <si>
    <t>DEAL-00837</t>
  </si>
  <si>
    <t>03/22/2025</t>
  </si>
  <si>
    <t>DEAL-01591</t>
  </si>
  <si>
    <t>DEAL-00567</t>
  </si>
  <si>
    <t>DEAL-02342</t>
  </si>
  <si>
    <t>DEAL-01855</t>
  </si>
  <si>
    <t>DEAL-01496</t>
  </si>
  <si>
    <t>DEAL-00480</t>
  </si>
  <si>
    <t>DEAL-00450</t>
  </si>
  <si>
    <t>DEAL-00497</t>
  </si>
  <si>
    <t>DEAL-00677</t>
  </si>
  <si>
    <t>2023-11-17</t>
  </si>
  <si>
    <t>DEAL-00796</t>
  </si>
  <si>
    <t>DEAL-02255</t>
  </si>
  <si>
    <t>DEAL-01299</t>
  </si>
  <si>
    <t>DEAL-01606</t>
  </si>
  <si>
    <t>2024-09-04</t>
  </si>
  <si>
    <t>DEAL-01501</t>
  </si>
  <si>
    <t>DEAL-02240</t>
  </si>
  <si>
    <t>03/24/2025</t>
  </si>
  <si>
    <t>DEAL-02347</t>
  </si>
  <si>
    <t>DEAL-01123</t>
  </si>
  <si>
    <t>DEAL-01089</t>
  </si>
  <si>
    <t>DEAL-02167</t>
  </si>
  <si>
    <t>DEAL-01586</t>
  </si>
  <si>
    <t>DEAL-01205</t>
  </si>
  <si>
    <t>DEAL-00163</t>
  </si>
  <si>
    <t>2024-03-09</t>
  </si>
  <si>
    <t>DEAL-02246</t>
  </si>
  <si>
    <t>2023-03-23</t>
  </si>
  <si>
    <t>DEAL-01566</t>
  </si>
  <si>
    <t>DEAL-00520</t>
  </si>
  <si>
    <t>DEAL-02176</t>
  </si>
  <si>
    <t>DEAL-01008</t>
  </si>
  <si>
    <t>2023-04-07</t>
  </si>
  <si>
    <t>DEAL-01218</t>
  </si>
  <si>
    <t>CLI-0240</t>
  </si>
  <si>
    <t>DEAL-00997</t>
  </si>
  <si>
    <t>DEAL-01614</t>
  </si>
  <si>
    <t>DEAL-01394</t>
  </si>
  <si>
    <t>2024-03-31</t>
  </si>
  <si>
    <t>DEAL-01139</t>
  </si>
  <si>
    <t>DEAL-02476</t>
  </si>
  <si>
    <t>2023-08-13</t>
  </si>
  <si>
    <t>DEAL-01152</t>
  </si>
  <si>
    <t>DEAL-02127</t>
  </si>
  <si>
    <t>DEAL-00223</t>
  </si>
  <si>
    <t>DEAL-02153</t>
  </si>
  <si>
    <t>DEAL-01085</t>
  </si>
  <si>
    <t>DEAL-01751</t>
  </si>
  <si>
    <t>DEAL-00025</t>
  </si>
  <si>
    <t>DEAL-01333</t>
  </si>
  <si>
    <t>11/28/2024</t>
  </si>
  <si>
    <t>DEAL-00228</t>
  </si>
  <si>
    <t>DEAL-02226</t>
  </si>
  <si>
    <t>DEAL-00694</t>
  </si>
  <si>
    <t>DEAL-01388</t>
  </si>
  <si>
    <t>DEAL-01524</t>
  </si>
  <si>
    <t>01/10/2025</t>
  </si>
  <si>
    <t>DEAL-02444</t>
  </si>
  <si>
    <t>DEAL-00636</t>
  </si>
  <si>
    <t>DEAL-00826</t>
  </si>
  <si>
    <t>DEAL-00648</t>
  </si>
  <si>
    <t>DEAL-02202</t>
  </si>
  <si>
    <t>DEAL-01106</t>
  </si>
  <si>
    <t>DEAL-01470</t>
  </si>
  <si>
    <t>DEAL-01119</t>
  </si>
  <si>
    <t>12/18/2024</t>
  </si>
  <si>
    <t>DEAL-02245</t>
  </si>
  <si>
    <t>DEAL-00101</t>
  </si>
  <si>
    <t>DEAL-01550</t>
  </si>
  <si>
    <t>2025-03-15</t>
  </si>
  <si>
    <t>DEAL-01548</t>
  </si>
  <si>
    <t>DEAL-01128</t>
  </si>
  <si>
    <t>DEAL-02140</t>
  </si>
  <si>
    <t>DEAL-00021</t>
  </si>
  <si>
    <t>DEAL-00211</t>
  </si>
  <si>
    <t>CLI-0246</t>
  </si>
  <si>
    <t>DEAL-02384</t>
  </si>
  <si>
    <t>DEAL-01065</t>
  </si>
  <si>
    <t>DEAL-01519</t>
  </si>
  <si>
    <t>DEAL-01402</t>
  </si>
  <si>
    <t>DEAL-00932</t>
  </si>
  <si>
    <t>DEAL-00070</t>
  </si>
  <si>
    <t>DEAL-00658</t>
  </si>
  <si>
    <t>DEAL-00738</t>
  </si>
  <si>
    <t>DEAL-01385</t>
  </si>
  <si>
    <t>2023-10-04</t>
  </si>
  <si>
    <t>DEAL-00568</t>
  </si>
  <si>
    <t>2023-07-07</t>
  </si>
  <si>
    <t>DEAL-01801</t>
  </si>
  <si>
    <t>DEAL-01557</t>
  </si>
  <si>
    <t>DEAL-01022</t>
  </si>
  <si>
    <t>DEAL-00635</t>
  </si>
  <si>
    <t>12/01/2024</t>
  </si>
  <si>
    <t>DEAL-02494</t>
  </si>
  <si>
    <t>DEAL-01558</t>
  </si>
  <si>
    <t>CLI-0176</t>
  </si>
  <si>
    <t>DEAL-00841</t>
  </si>
  <si>
    <t>DEAL-01537</t>
  </si>
  <si>
    <t>2023-09-20</t>
  </si>
  <si>
    <t>DEAL-00993</t>
  </si>
  <si>
    <t>DEAL-01733</t>
  </si>
  <si>
    <t>DEAL-00840</t>
  </si>
  <si>
    <t>DEAL-01226</t>
  </si>
  <si>
    <t>DEAL-00719</t>
  </si>
  <si>
    <t>DEAL-00398</t>
  </si>
  <si>
    <t>2023-09-14</t>
  </si>
  <si>
    <t>DEAL-02244</t>
  </si>
  <si>
    <t>DEAL-00768</t>
  </si>
  <si>
    <t>DEAL-00213</t>
  </si>
  <si>
    <t>DEAL-02091</t>
  </si>
  <si>
    <t>2023-07-20</t>
  </si>
  <si>
    <t>DEAL-01255</t>
  </si>
  <si>
    <t>DEAL-02304</t>
  </si>
  <si>
    <t>2023-08-09</t>
  </si>
  <si>
    <t>DEAL-02228</t>
  </si>
  <si>
    <t>DEAL-01113</t>
  </si>
  <si>
    <t>DEAL-00295</t>
  </si>
  <si>
    <t>06/11/2024</t>
  </si>
  <si>
    <t>DEAL-00731</t>
  </si>
  <si>
    <t>DEAL-00483</t>
  </si>
  <si>
    <t>2024-10-03</t>
  </si>
  <si>
    <t>DEAL-02049</t>
  </si>
  <si>
    <t>DEAL-01246</t>
  </si>
  <si>
    <t>DEAL-00364</t>
  </si>
  <si>
    <t>DEAL-02495</t>
  </si>
  <si>
    <t>2024-04-17</t>
  </si>
  <si>
    <t>DEAL-01121</t>
  </si>
  <si>
    <t>DEAL-00303</t>
  </si>
  <si>
    <t>DEAL-02438</t>
  </si>
  <si>
    <t>04/08/2024</t>
  </si>
  <si>
    <t>DEAL-01366</t>
  </si>
  <si>
    <t>08/05/2024</t>
  </si>
  <si>
    <t>DEAL-00012</t>
  </si>
  <si>
    <t>DEAL-01581</t>
  </si>
  <si>
    <t>DEAL-00896</t>
  </si>
  <si>
    <t>DEAL-00053</t>
  </si>
  <si>
    <t>DEAL-01369</t>
  </si>
  <si>
    <t>DEAL-01005</t>
  </si>
  <si>
    <t>DEAL-01140</t>
  </si>
  <si>
    <t>DEAL-00662</t>
  </si>
  <si>
    <t>2024-07-19</t>
  </si>
  <si>
    <t>DEAL-01120</t>
  </si>
  <si>
    <t>DEAL-02277</t>
  </si>
  <si>
    <t>DEAL-00266</t>
  </si>
  <si>
    <t>DEAL-00741</t>
  </si>
  <si>
    <t>DEAL-01781</t>
  </si>
  <si>
    <t>DEAL-01419</t>
  </si>
  <si>
    <t>DEAL-02371</t>
  </si>
  <si>
    <t>11/19/2024</t>
  </si>
  <si>
    <t>DEAL-00318</t>
  </si>
  <si>
    <t>DEAL-01576</t>
  </si>
  <si>
    <t>2023-12-21</t>
  </si>
  <si>
    <t>DEAL-01229</t>
  </si>
  <si>
    <t>DEAL-01143</t>
  </si>
  <si>
    <t>2023-07-19</t>
  </si>
  <si>
    <t>DEAL-00689</t>
  </si>
  <si>
    <t>02/29/2024</t>
  </si>
  <si>
    <t>DEAL-00747</t>
  </si>
  <si>
    <t>DEAL-01365</t>
  </si>
  <si>
    <t>DEAL-02430</t>
  </si>
  <si>
    <t>DEAL-00969</t>
  </si>
  <si>
    <t>2024-07-01</t>
  </si>
  <si>
    <t>DEAL-01812</t>
  </si>
  <si>
    <t>DEAL-01542</t>
  </si>
  <si>
    <t>2024-10-21</t>
  </si>
  <si>
    <t>DEAL-00848</t>
  </si>
  <si>
    <t>2024-10-27</t>
  </si>
  <si>
    <t>DEAL-01917</t>
  </si>
  <si>
    <t>DEAL-02139</t>
  </si>
  <si>
    <t>05/23/2023</t>
  </si>
  <si>
    <t>DEAL-01851</t>
  </si>
  <si>
    <t>04/11/2024</t>
  </si>
  <si>
    <t>DEAL-00130</t>
  </si>
  <si>
    <t>DEAL-02448</t>
  </si>
  <si>
    <t>DEAL-01324</t>
  </si>
  <si>
    <t>DEAL-01281</t>
  </si>
  <si>
    <t>DEAL-01435</t>
  </si>
  <si>
    <t>DEAL-00354</t>
  </si>
  <si>
    <t>2024-12-01</t>
  </si>
  <si>
    <t>DEAL-00545</t>
  </si>
  <si>
    <t>DEAL-01078</t>
  </si>
  <si>
    <t>DEAL-00139</t>
  </si>
  <si>
    <t>DEAL-01714</t>
  </si>
  <si>
    <t>DEAL-01520</t>
  </si>
  <si>
    <t>DEAL-01420</t>
  </si>
  <si>
    <t>DEAL-02358</t>
  </si>
  <si>
    <t>DEAL-01840</t>
  </si>
  <si>
    <t>DEAL-01024</t>
  </si>
  <si>
    <t>2024-05-13</t>
  </si>
  <si>
    <t>DEAL-00737</t>
  </si>
  <si>
    <t>09/07/2023</t>
  </si>
  <si>
    <t>DEAL-02338</t>
  </si>
  <si>
    <t>DEAL-00589</t>
  </si>
  <si>
    <t>DEAL-01098</t>
  </si>
  <si>
    <t>DEAL-02383</t>
  </si>
  <si>
    <t>DEAL-01553</t>
  </si>
  <si>
    <t>DEAL-00890</t>
  </si>
  <si>
    <t>DEAL-02218</t>
  </si>
  <si>
    <t>2024-08-30</t>
  </si>
  <si>
    <t>DEAL-01910</t>
  </si>
  <si>
    <t>04/29/2023</t>
  </si>
  <si>
    <t>DEAL-00041</t>
  </si>
  <si>
    <t>DEAL-00862</t>
  </si>
  <si>
    <t>DEAL-00537</t>
  </si>
  <si>
    <t>2024-03-17</t>
  </si>
  <si>
    <t>DEAL-00965</t>
  </si>
  <si>
    <t>DEAL-02142</t>
  </si>
  <si>
    <t>2024-12-18</t>
  </si>
  <si>
    <t>DEAL-01172</t>
  </si>
  <si>
    <t>DEAL-02251</t>
  </si>
  <si>
    <t>2023-09-12</t>
  </si>
  <si>
    <t>DEAL-00801</t>
  </si>
  <si>
    <t>DEAL-01892</t>
  </si>
  <si>
    <t>DEAL-00435</t>
  </si>
  <si>
    <t>DEAL-00215</t>
  </si>
  <si>
    <t>DEAL-02484</t>
  </si>
  <si>
    <t>DEAL-01872</t>
  </si>
  <si>
    <t>DEAL-02155</t>
  </si>
  <si>
    <t>DEAL-02044</t>
  </si>
  <si>
    <t>2024-09-23</t>
  </si>
  <si>
    <t>DEAL-00261</t>
  </si>
  <si>
    <t>DEAL-01346</t>
  </si>
  <si>
    <t>2025-01-03</t>
  </si>
  <si>
    <t>DEAL-00102</t>
  </si>
  <si>
    <t>DEAL-00020</t>
  </si>
  <si>
    <t>DEAL-00980</t>
  </si>
  <si>
    <t>2023-08-19</t>
  </si>
  <si>
    <t>DEAL-00375</t>
  </si>
  <si>
    <t>DEAL-01125</t>
  </si>
  <si>
    <t>DEAL-01894</t>
  </si>
  <si>
    <t>DEAL-01994</t>
  </si>
  <si>
    <t>DEAL-02043</t>
  </si>
  <si>
    <t>DEAL-02101</t>
  </si>
  <si>
    <t>2024-06-11</t>
  </si>
  <si>
    <t>DEAL-01232</t>
  </si>
  <si>
    <t>DEAL-02475</t>
  </si>
  <si>
    <t>DEAL-01248</t>
  </si>
  <si>
    <t>2023-10-26</t>
  </si>
  <si>
    <t>DEAL-00787</t>
  </si>
  <si>
    <t>DEAL-01689</t>
  </si>
  <si>
    <t>DEAL-01204</t>
  </si>
  <si>
    <t>DEAL-02314</t>
  </si>
  <si>
    <t>2024-03-15</t>
  </si>
  <si>
    <t>DEAL-01818</t>
  </si>
  <si>
    <t>2023-06-07</t>
  </si>
  <si>
    <t>DEAL-00183</t>
  </si>
  <si>
    <t>2024-04-08</t>
  </si>
  <si>
    <t>DEAL-01886</t>
  </si>
  <si>
    <t>DEAL-00076</t>
  </si>
  <si>
    <t>DEAL-01578</t>
  </si>
  <si>
    <t>DEAL-01463</t>
  </si>
  <si>
    <t>DEAL-01198</t>
  </si>
  <si>
    <t>DEAL-02175</t>
  </si>
  <si>
    <t>DEAL-01059</t>
  </si>
  <si>
    <t>DEAL-02208</t>
  </si>
  <si>
    <t>DEAL-00739</t>
  </si>
  <si>
    <t>2023-08-23</t>
  </si>
  <si>
    <t>DEAL-01904</t>
  </si>
  <si>
    <t>DEAL-02159</t>
  </si>
  <si>
    <t>2023-05-14</t>
  </si>
  <si>
    <t>DEAL-01428</t>
  </si>
  <si>
    <t>DEAL-00961</t>
  </si>
  <si>
    <t>DEAL-02283</t>
  </si>
  <si>
    <t>DEAL-00903</t>
  </si>
  <si>
    <t>2024-05-15</t>
  </si>
  <si>
    <t>DEAL-02211</t>
  </si>
  <si>
    <t>DEAL-01115</t>
  </si>
  <si>
    <t>DEAL-01806</t>
  </si>
  <si>
    <t>DEAL-01190</t>
  </si>
  <si>
    <t>DEAL-00650</t>
  </si>
  <si>
    <t>DEAL-01735</t>
  </si>
  <si>
    <t>DEAL-01651</t>
  </si>
  <si>
    <t>DEAL-00335</t>
  </si>
  <si>
    <t>2024-10-11</t>
  </si>
  <si>
    <t>DEAL-01288</t>
  </si>
  <si>
    <t>DEAL-02066</t>
  </si>
  <si>
    <t>DEAL-00328</t>
  </si>
  <si>
    <t>DEAL-00748</t>
  </si>
  <si>
    <t>DEAL-00852</t>
  </si>
  <si>
    <t>DEAL-01800</t>
  </si>
  <si>
    <t>DEAL-00505</t>
  </si>
  <si>
    <t>2023-10-09</t>
  </si>
  <si>
    <t>DEAL-01918</t>
  </si>
  <si>
    <t>DEAL-02188</t>
  </si>
  <si>
    <t>DEAL-01978</t>
  </si>
  <si>
    <t>DEAL-01534</t>
  </si>
  <si>
    <t>DEAL-00976</t>
  </si>
  <si>
    <t>DEAL-01841</t>
  </si>
  <si>
    <t>DEAL-01409</t>
  </si>
  <si>
    <t>DEAL-00401</t>
  </si>
  <si>
    <t>DEAL-01544</t>
  </si>
  <si>
    <t>DEAL-01568</t>
  </si>
  <si>
    <t>DEAL-00746</t>
  </si>
  <si>
    <t>DEAL-01340</t>
  </si>
  <si>
    <t>DEAL-01664</t>
  </si>
  <si>
    <t>DEAL-00419</t>
  </si>
  <si>
    <t>DEAL-00186</t>
  </si>
  <si>
    <t>04/03/2023</t>
  </si>
  <si>
    <t>DEAL-01027</t>
  </si>
  <si>
    <t>DEAL-02063</t>
  </si>
  <si>
    <t>DEAL-01743</t>
  </si>
  <si>
    <t>DEAL-01328</t>
  </si>
  <si>
    <t>2024-03-30</t>
  </si>
  <si>
    <t>DEAL-02028</t>
  </si>
  <si>
    <t>DEAL-02223</t>
  </si>
  <si>
    <t>DEAL-02209</t>
  </si>
  <si>
    <t>2023-04-24</t>
  </si>
  <si>
    <t>DEAL-00947</t>
  </si>
  <si>
    <t>DEAL-01046</t>
  </si>
  <si>
    <t>DEAL-01906</t>
  </si>
  <si>
    <t>DEAL-00116</t>
  </si>
  <si>
    <t>DEAL-00531</t>
  </si>
  <si>
    <t>DEAL-00797</t>
  </si>
  <si>
    <t>DEAL-00159</t>
  </si>
  <si>
    <t>10/23/2024</t>
  </si>
  <si>
    <t>DEAL-01986</t>
  </si>
  <si>
    <t>2024-02-03</t>
  </si>
  <si>
    <t>DEAL-00735</t>
  </si>
  <si>
    <t>DEAL-00111</t>
  </si>
  <si>
    <t>DEAL-00242</t>
  </si>
  <si>
    <t>DEAL-01457</t>
  </si>
  <si>
    <t>DEAL-00298</t>
  </si>
  <si>
    <t>09/04/2023</t>
  </si>
  <si>
    <t>DEAL-00807</t>
  </si>
  <si>
    <t>DEAL-01336</t>
  </si>
  <si>
    <t>DEAL-00127</t>
  </si>
  <si>
    <t>DEAL-02368</t>
  </si>
  <si>
    <t>DEAL-00446</t>
  </si>
  <si>
    <t>DEAL-02005</t>
  </si>
  <si>
    <t>DEAL-00806</t>
  </si>
  <si>
    <t>08/08/2024</t>
  </si>
  <si>
    <t>DEAL-00690</t>
  </si>
  <si>
    <t>DEAL-01240</t>
  </si>
  <si>
    <t>12/11/2024</t>
  </si>
  <si>
    <t>DEAL-01821</t>
  </si>
  <si>
    <t>DEAL-02001</t>
  </si>
  <si>
    <t>DEAL-00653</t>
  </si>
  <si>
    <t>DEAL-01999</t>
  </si>
  <si>
    <t>DEAL-00079</t>
  </si>
  <si>
    <t>DEAL-02212</t>
  </si>
  <si>
    <t>DEAL-01189</t>
  </si>
  <si>
    <t>DEAL-00457</t>
  </si>
  <si>
    <t>01/22/2023</t>
  </si>
  <si>
    <t>DEAL-01961</t>
  </si>
  <si>
    <t>DEAL-02315</t>
  </si>
  <si>
    <t>DEAL-01430</t>
  </si>
  <si>
    <t>2023-04-08</t>
  </si>
  <si>
    <t>DEAL-01804</t>
  </si>
  <si>
    <t>DEAL-00684</t>
  </si>
  <si>
    <t>DEAL-00904</t>
  </si>
  <si>
    <t>DEAL-01740</t>
  </si>
  <si>
    <t>2025-02-22</t>
  </si>
  <si>
    <t>DEAL-02415</t>
  </si>
  <si>
    <t>DEAL-01764</t>
  </si>
  <si>
    <t>DEAL-01579</t>
  </si>
  <si>
    <t>DEAL-00220</t>
  </si>
  <si>
    <t>DEAL-00485</t>
  </si>
  <si>
    <t>DEAL-01373</t>
  </si>
  <si>
    <t>2023-03-01</t>
  </si>
  <si>
    <t>DEAL-00830</t>
  </si>
  <si>
    <t>DEAL-02500</t>
  </si>
  <si>
    <t>DEAL-00420</t>
  </si>
  <si>
    <t>DEAL-01245</t>
  </si>
  <si>
    <t>DEAL-01965</t>
  </si>
  <si>
    <t>DEAL-01309</t>
  </si>
  <si>
    <t>DEAL-01929</t>
  </si>
  <si>
    <t>DEAL-01249</t>
  </si>
  <si>
    <t>2023-09-05</t>
  </si>
  <si>
    <t>DEAL-02260</t>
  </si>
  <si>
    <t>DEAL-00181</t>
  </si>
  <si>
    <t>DEAL-00776</t>
  </si>
  <si>
    <t>2025-01-16</t>
  </si>
  <si>
    <t>DEAL-01858</t>
  </si>
  <si>
    <t>DEAL-01912</t>
  </si>
  <si>
    <t>DEAL-02477</t>
  </si>
  <si>
    <t>2024-08-31</t>
  </si>
  <si>
    <t>DEAL-02189</t>
  </si>
  <si>
    <t>DEAL-01535</t>
  </si>
  <si>
    <t>DEAL-00851</t>
  </si>
  <si>
    <t>DEAL-02174</t>
  </si>
  <si>
    <t>DEAL-02115</t>
  </si>
  <si>
    <t>2024-08-20</t>
  </si>
  <si>
    <t>DEAL-00791</t>
  </si>
  <si>
    <t>2024-05-24</t>
  </si>
  <si>
    <t>DEAL-02177</t>
  </si>
  <si>
    <t>DEAL-02195</t>
  </si>
  <si>
    <t>DEAL-01890</t>
  </si>
  <si>
    <t>DEAL-02083</t>
  </si>
  <si>
    <t>2023-05-20</t>
  </si>
  <si>
    <t>DEAL-02308</t>
  </si>
  <si>
    <t>DEAL-02416</t>
  </si>
  <si>
    <t>DEAL-02098</t>
  </si>
  <si>
    <t>DEAL-01071</t>
  </si>
  <si>
    <t>DEAL-02182</t>
  </si>
  <si>
    <t>DEAL-02369</t>
  </si>
  <si>
    <t>DEAL-01355</t>
  </si>
  <si>
    <t>DEAL-00114</t>
  </si>
  <si>
    <t>2023-12-10</t>
  </si>
  <si>
    <t>DEAL-01529</t>
  </si>
  <si>
    <t>DEAL-00192</t>
  </si>
  <si>
    <t>DEAL-01867</t>
  </si>
  <si>
    <t>08/12/2023</t>
  </si>
  <si>
    <t>DEAL-02027</t>
  </si>
  <si>
    <t>DEAL-01794</t>
  </si>
  <si>
    <t>DEAL-00022</t>
  </si>
  <si>
    <t>DEAL-01494</t>
  </si>
  <si>
    <t>DEAL-00656</t>
  </si>
  <si>
    <t>DEAL-01837</t>
  </si>
  <si>
    <t>2023-03-11</t>
  </si>
  <si>
    <t>DEAL-02296</t>
  </si>
  <si>
    <t>DEAL-00778</t>
  </si>
  <si>
    <t>DEAL-01508</t>
  </si>
  <si>
    <t>DEAL-01491</t>
  </si>
  <si>
    <t>2023-07-23</t>
  </si>
  <si>
    <t>DEAL-00913</t>
  </si>
  <si>
    <t>DEAL-02398</t>
  </si>
  <si>
    <t>2023-11-02</t>
  </si>
  <si>
    <t>DEAL-00668</t>
  </si>
  <si>
    <t>2024-02-27</t>
  </si>
  <si>
    <t>DEAL-00743</t>
  </si>
  <si>
    <t>DEAL-00296</t>
  </si>
  <si>
    <t>DEAL-01465</t>
  </si>
  <si>
    <t>06/09/2023</t>
  </si>
  <si>
    <t>DEAL-00762</t>
  </si>
  <si>
    <t>2024-06-22</t>
  </si>
  <si>
    <t>DEAL-01736</t>
  </si>
  <si>
    <t>DEAL-00793</t>
  </si>
  <si>
    <t>DEAL-00404</t>
  </si>
  <si>
    <t>DEAL-02219</t>
  </si>
  <si>
    <t>DEAL-00714</t>
  </si>
  <si>
    <t>DEAL-02442</t>
  </si>
  <si>
    <t>DEAL-00447</t>
  </si>
  <si>
    <t>DEAL-02350</t>
  </si>
  <si>
    <t>2024-05-25</t>
  </si>
  <si>
    <t>DEAL-01506</t>
  </si>
  <si>
    <t>DEAL-01603</t>
  </si>
  <si>
    <t>2024-10-09</t>
  </si>
  <si>
    <t>DEAL-00502</t>
  </si>
  <si>
    <t>DEAL-01659</t>
  </si>
  <si>
    <t>DEAL-01345</t>
  </si>
  <si>
    <t>DEAL-01025</t>
  </si>
  <si>
    <t>DEAL-00867</t>
  </si>
  <si>
    <t>2024-12-04</t>
  </si>
  <si>
    <t>DEAL-00799</t>
  </si>
  <si>
    <t>11/15/2024</t>
  </si>
  <si>
    <t>DEAL-00755</t>
  </si>
  <si>
    <t>DEAL-00472</t>
  </si>
  <si>
    <t>DEAL-00594</t>
  </si>
  <si>
    <t>DEAL-00349</t>
  </si>
  <si>
    <t>DEAL-01538</t>
  </si>
  <si>
    <t>DEAL-00246</t>
  </si>
  <si>
    <t>DEAL-00941</t>
  </si>
  <si>
    <t>DEAL-00185</t>
  </si>
  <si>
    <t>DEAL-01536</t>
  </si>
  <si>
    <t>DEAL-01730</t>
  </si>
  <si>
    <t>DEAL-02357</t>
  </si>
  <si>
    <t>DEAL-00311</t>
  </si>
  <si>
    <t>DEAL-00972</t>
  </si>
  <si>
    <t>DEAL-00560</t>
  </si>
  <si>
    <t>2025-03-07</t>
  </si>
  <si>
    <t>DEAL-02423</t>
  </si>
  <si>
    <t>2023-08-17</t>
  </si>
  <si>
    <t>DEAL-01845</t>
  </si>
  <si>
    <t>DEAL-01019</t>
  </si>
  <si>
    <t>DEAL-01563</t>
  </si>
  <si>
    <t>2023-09-23</t>
  </si>
  <si>
    <t>DEAL-02377</t>
  </si>
  <si>
    <t>DEAL-00845</t>
  </si>
  <si>
    <t>DEAL-01982</t>
  </si>
  <si>
    <t>DEAL-00805</t>
  </si>
  <si>
    <t>DEAL-01897</t>
  </si>
  <si>
    <t>DEAL-00542</t>
  </si>
  <si>
    <t>DEAL-01726</t>
  </si>
  <si>
    <t>DEAL-00986</t>
  </si>
  <si>
    <t>DEAL-02221</t>
  </si>
  <si>
    <t>DEAL-01222</t>
  </si>
  <si>
    <t>2023-01-29</t>
  </si>
  <si>
    <t>DEAL-01181</t>
  </si>
  <si>
    <t>2024-11-01</t>
  </si>
  <si>
    <t>DEAL-01353</t>
  </si>
  <si>
    <t>DEAL-00175</t>
  </si>
  <si>
    <t>2024-02-12</t>
  </si>
  <si>
    <t>DEAL-00846</t>
  </si>
  <si>
    <t>DEAL-02131</t>
  </si>
  <si>
    <t>DEAL-01964</t>
  </si>
  <si>
    <t>DEAL-01045</t>
  </si>
  <si>
    <t>DEAL-01777</t>
  </si>
  <si>
    <t>DEAL-01951</t>
  </si>
  <si>
    <t>DEAL-01286</t>
  </si>
  <si>
    <t>DEAL-01405</t>
  </si>
  <si>
    <t>DEAL-01290</t>
  </si>
  <si>
    <t>DEAL-00154</t>
  </si>
  <si>
    <t>DEAL-00978</t>
  </si>
  <si>
    <t>DEAL-02274</t>
  </si>
  <si>
    <t>DEAL-00003</t>
  </si>
  <si>
    <t>DEAL-00526</t>
  </si>
  <si>
    <t>DEAL-00189</t>
  </si>
  <si>
    <t>01/17/2023</t>
  </si>
  <si>
    <t>DEAL-01228</t>
  </si>
  <si>
    <t>DEAL-00897</t>
  </si>
  <si>
    <t>DEAL-01209</t>
  </si>
  <si>
    <t>DEAL-02364</t>
  </si>
  <si>
    <t>DEAL-02284</t>
  </si>
  <si>
    <t>DEAL-00614</t>
  </si>
  <si>
    <t>DEAL-02299</t>
  </si>
  <si>
    <t>DEAL-01266</t>
  </si>
  <si>
    <t>DEAL-00424</t>
  </si>
  <si>
    <t>DEAL-00099</t>
  </si>
  <si>
    <t>DEAL-00661</t>
  </si>
  <si>
    <t>DEAL-00988</t>
  </si>
  <si>
    <t>2023-11-23</t>
  </si>
  <si>
    <t>DEAL-01750</t>
  </si>
  <si>
    <t>DEAL-01090</t>
  </si>
  <si>
    <t>DEAL-00686</t>
  </si>
  <si>
    <t>DEAL-01575</t>
  </si>
  <si>
    <t>11/26/2023</t>
  </si>
  <si>
    <t>DEAL-01706</t>
  </si>
  <si>
    <t>DEAL-01637</t>
  </si>
  <si>
    <t>CLI-0018</t>
  </si>
  <si>
    <t>DEAL-00795</t>
  </si>
  <si>
    <t>DEAL-00267</t>
  </si>
  <si>
    <t>2023-02-08</t>
  </si>
  <si>
    <t>DEAL-01681</t>
  </si>
  <si>
    <t>DEAL-01612</t>
  </si>
  <si>
    <t>DEAL-01480</t>
  </si>
  <si>
    <t>DEAL-01850</t>
  </si>
  <si>
    <t>DEAL-00514</t>
  </si>
  <si>
    <t>DEAL-00436</t>
  </si>
  <si>
    <t>DEAL-00910</t>
  </si>
  <si>
    <t>08/08/2023</t>
  </si>
  <si>
    <t>DEAL-01020</t>
  </si>
  <si>
    <t>DEAL-00992</t>
  </si>
  <si>
    <t>2024-04-19</t>
  </si>
  <si>
    <t>DEAL-02349</t>
  </si>
  <si>
    <t>DEAL-01384</t>
  </si>
  <si>
    <t>2024-06-05</t>
  </si>
  <si>
    <t>DEAL-02097</t>
  </si>
  <si>
    <t>DEAL-00949</t>
  </si>
  <si>
    <t>2024-11-10</t>
  </si>
  <si>
    <t>DEAL-00885</t>
  </si>
  <si>
    <t>DEAL-00476</t>
  </si>
  <si>
    <t>DEAL-00671</t>
  </si>
  <si>
    <t>DEAL-00482</t>
  </si>
  <si>
    <t>DEAL-01555</t>
  </si>
  <si>
    <t>DEAL-00422</t>
  </si>
  <si>
    <t>DEAL-02113</t>
  </si>
  <si>
    <t>DEAL-01864</t>
  </si>
  <si>
    <t>2024-08-18</t>
  </si>
  <si>
    <t>DEAL-01771</t>
  </si>
  <si>
    <t>2023-02-15</t>
  </si>
  <si>
    <t>DEAL-00445</t>
  </si>
  <si>
    <t>2024-05-27</t>
  </si>
  <si>
    <t>DEAL-01337</t>
  </si>
  <si>
    <t>DEAL-00369</t>
  </si>
  <si>
    <t>DEAL-00131</t>
  </si>
  <si>
    <t>DEAL-00680</t>
  </si>
  <si>
    <t>DEAL-01522</t>
  </si>
  <si>
    <t>DEAL-00319</t>
  </si>
  <si>
    <t>DEAL-01985</t>
  </si>
  <si>
    <t>DEAL-02317</t>
  </si>
  <si>
    <t>2024-09-30</t>
  </si>
  <si>
    <t>DEAL-00255</t>
  </si>
  <si>
    <t>DEAL-00936</t>
  </si>
  <si>
    <t>DEAL-02029</t>
  </si>
  <si>
    <t>DEAL-02428</t>
  </si>
  <si>
    <t>2023-11-20</t>
  </si>
  <si>
    <t>DEAL-00092</t>
  </si>
  <si>
    <t>DEAL-01748</t>
  </si>
  <si>
    <t>04/03/2024</t>
  </si>
  <si>
    <t>DEAL-00407</t>
  </si>
  <si>
    <t>DEAL-02319</t>
  </si>
  <si>
    <t>DEAL-01672</t>
  </si>
  <si>
    <t>2024-07-31</t>
  </si>
  <si>
    <t>DEAL-02441</t>
  </si>
  <si>
    <t>2023-11-13</t>
  </si>
  <si>
    <t>DEAL-01269</t>
  </si>
  <si>
    <t>DEAL-00264</t>
  </si>
  <si>
    <t>DEAL-02360</t>
  </si>
  <si>
    <t>DEAL-01442</t>
  </si>
  <si>
    <t>DEAL-00716</t>
  </si>
  <si>
    <t>DEAL-02118</t>
  </si>
  <si>
    <t>DEAL-00808</t>
  </si>
  <si>
    <t>DEAL-01207</t>
  </si>
  <si>
    <t>DEAL-01418</t>
  </si>
  <si>
    <t>DEAL-01476</t>
  </si>
  <si>
    <t>10/03/2023</t>
  </si>
  <si>
    <t>DEAL-01796</t>
  </si>
  <si>
    <t>DEAL-00601</t>
  </si>
  <si>
    <t>DEAL-01313</t>
  </si>
  <si>
    <t>DEAL-01843</t>
  </si>
  <si>
    <t>DEAL-01380</t>
  </si>
  <si>
    <t>DEAL-01757</t>
  </si>
  <si>
    <t>DEAL-01914</t>
  </si>
  <si>
    <t>DEAL-02443</t>
  </si>
  <si>
    <t>DEAL-01350</t>
  </si>
  <si>
    <t>DEAL-00321</t>
  </si>
  <si>
    <t>DEAL-00559</t>
  </si>
  <si>
    <t>05/11/2024</t>
  </si>
  <si>
    <t>DEAL-00376</t>
  </si>
  <si>
    <t>DEAL-01844</t>
  </si>
  <si>
    <t>DEAL-00991</t>
  </si>
  <si>
    <t>DEAL-01423</t>
  </si>
  <si>
    <t>DEAL-01995</t>
  </si>
  <si>
    <t>DEAL-01293</t>
  </si>
  <si>
    <t>DEAL-00544</t>
  </si>
  <si>
    <t>DEAL-01461</t>
  </si>
  <si>
    <t>DEAL-00004</t>
  </si>
  <si>
    <t>DEAL-00017</t>
  </si>
  <si>
    <t>DEAL-01048</t>
  </si>
  <si>
    <t>07/03/2024</t>
  </si>
  <si>
    <t>DEAL-01360</t>
  </si>
  <si>
    <t>DEAL-00029</t>
  </si>
  <si>
    <t>DEAL-01648</t>
  </si>
  <si>
    <t>DEAL-02466</t>
  </si>
  <si>
    <t>DEAL-01607</t>
  </si>
  <si>
    <t>DEAL-01429</t>
  </si>
  <si>
    <t>05/22/2023</t>
  </si>
  <si>
    <t>DEAL-02020</t>
  </si>
  <si>
    <t>DEAL-00202</t>
  </si>
  <si>
    <t>DEAL-00912</t>
  </si>
  <si>
    <t>DEAL-00815</t>
  </si>
  <si>
    <t>DEAL-01433</t>
  </si>
  <si>
    <t>05/27/2024</t>
  </si>
  <si>
    <t>DEAL-02122</t>
  </si>
  <si>
    <t>DEAL-00088</t>
  </si>
  <si>
    <t>DEAL-01559</t>
  </si>
  <si>
    <t>DEAL-01546</t>
  </si>
  <si>
    <t>2023-03-24</t>
  </si>
  <si>
    <t>DEAL-01572</t>
  </si>
  <si>
    <t>2023-11-03</t>
  </si>
  <si>
    <t>DEAL-01194</t>
  </si>
  <si>
    <t>DEAL-02215</t>
  </si>
  <si>
    <t>DEAL-02469</t>
  </si>
  <si>
    <t>DEAL-00221</t>
  </si>
  <si>
    <t>DEAL-00697</t>
  </si>
  <si>
    <t>DEAL-01201</t>
  </si>
  <si>
    <t>01/03/2024</t>
  </si>
  <si>
    <t>DEAL-00663</t>
  </si>
  <si>
    <t>DEAL-01001</t>
  </si>
  <si>
    <t>2024-05-20</t>
  </si>
  <si>
    <t>DEAL-02186</t>
  </si>
  <si>
    <t>DEAL-01983</t>
  </si>
  <si>
    <t>DEAL-00655</t>
  </si>
  <si>
    <t>DEAL-00374</t>
  </si>
  <si>
    <t>DEAL-00810</t>
  </si>
  <si>
    <t>DEAL-00119</t>
  </si>
  <si>
    <t>DEAL-01221</t>
  </si>
  <si>
    <t>DEAL-00853</t>
  </si>
  <si>
    <t>DEAL-01368</t>
  </si>
  <si>
    <t>DEAL-00836</t>
  </si>
  <si>
    <t>2023-12-12</t>
  </si>
  <si>
    <t>DEAL-01674</t>
  </si>
  <si>
    <t>DEAL-02105</t>
  </si>
  <si>
    <t>DEAL-00365</t>
  </si>
  <si>
    <t>2023-08-21</t>
  </si>
  <si>
    <t>DEAL-00524</t>
  </si>
  <si>
    <t>DEAL-01521</t>
  </si>
  <si>
    <t>DEAL-00200</t>
  </si>
  <si>
    <t>DEAL-00062</t>
  </si>
  <si>
    <t>DEAL-01616</t>
  </si>
  <si>
    <t>DEAL-00048</t>
  </si>
  <si>
    <t>DEAL-00253</t>
  </si>
  <si>
    <t>DEAL-01321</t>
  </si>
  <si>
    <t>DEAL-01471</t>
  </si>
  <si>
    <t>DEAL-01127</t>
  </si>
  <si>
    <t>2024-11-09</t>
  </si>
  <si>
    <t>DEAL-02327</t>
  </si>
  <si>
    <t>DEAL-00042</t>
  </si>
  <si>
    <t>2024-05-16</t>
  </si>
  <si>
    <t>DEAL-02033</t>
  </si>
  <si>
    <t>DEAL-02458</t>
  </si>
  <si>
    <t>DEAL-01772</t>
  </si>
  <si>
    <t>DEAL-01660</t>
  </si>
  <si>
    <t>DEAL-00315</t>
  </si>
  <si>
    <t>DEAL-01294</t>
  </si>
  <si>
    <t>DEAL-02453</t>
  </si>
  <si>
    <t>DEAL-01135</t>
  </si>
  <si>
    <t>DEAL-00981</t>
  </si>
  <si>
    <t>DEAL-02289</t>
  </si>
  <si>
    <t>DEAL-00176</t>
  </si>
  <si>
    <t>DEAL-01168</t>
  </si>
  <si>
    <t>DEAL-00952</t>
  </si>
  <si>
    <t>DEAL-01391</t>
  </si>
  <si>
    <t>2025-03-08</t>
  </si>
  <si>
    <t>DEAL-02077</t>
  </si>
  <si>
    <t>10/09/2023</t>
  </si>
  <si>
    <t>DEAL-01798</t>
  </si>
  <si>
    <t>DEAL-02074</t>
  </si>
  <si>
    <t>DEAL-02256</t>
  </si>
  <si>
    <t>DEAL-01153</t>
  </si>
  <si>
    <t>DEAL-01966</t>
  </si>
  <si>
    <t>DEAL-02449</t>
  </si>
  <si>
    <t>DEAL-00599</t>
  </si>
  <si>
    <t>DEAL-00724</t>
  </si>
  <si>
    <t>DEAL-01702</t>
  </si>
  <si>
    <t>2024-12-21</t>
  </si>
  <si>
    <t>DEAL-01810</t>
  </si>
  <si>
    <t>DEAL-02088</t>
  </si>
  <si>
    <t>DEAL-01195</t>
  </si>
  <si>
    <t>DEAL-01602</t>
  </si>
  <si>
    <t>DEAL-01875</t>
  </si>
  <si>
    <t>2024-01-31</t>
  </si>
  <si>
    <t>DEAL-01035</t>
  </si>
  <si>
    <t>DEAL-00403</t>
  </si>
  <si>
    <t>DEAL-01382</t>
  </si>
  <si>
    <t>DEAL-00822</t>
  </si>
  <si>
    <t>DEAL-00282</t>
  </si>
  <si>
    <t>DEAL-00866</t>
  </si>
  <si>
    <t>DEAL-02278</t>
  </si>
  <si>
    <t>DEAL-00999</t>
  </si>
  <si>
    <t>03/27/2025</t>
  </si>
  <si>
    <t>DEAL-01013</t>
  </si>
  <si>
    <t>DEAL-00438</t>
  </si>
  <si>
    <t>DEAL-02136</t>
  </si>
  <si>
    <t>DEAL-00576</t>
  </si>
  <si>
    <t>DEAL-01268</t>
  </si>
  <si>
    <t>DEAL-02382</t>
  </si>
  <si>
    <t>10/28/2024</t>
  </si>
  <si>
    <t>DEAL-00106</t>
  </si>
  <si>
    <t>02/27/2024</t>
  </si>
  <si>
    <t>DEAL-01291</t>
  </si>
  <si>
    <t>DEAL-01969</t>
  </si>
  <si>
    <t>DEAL-00681</t>
  </si>
  <si>
    <t>2024-10-23</t>
  </si>
  <si>
    <t>DEAL-01296</t>
  </si>
  <si>
    <t>DEAL-01952</t>
  </si>
  <si>
    <t>DEAL-00355</t>
  </si>
  <si>
    <t>DEAL-00898</t>
  </si>
  <si>
    <t>DEAL-01533</t>
  </si>
  <si>
    <t>09/04/2024</t>
  </si>
  <si>
    <t>DEAL-00687</t>
  </si>
  <si>
    <t>2024-04-04</t>
  </si>
  <si>
    <t>DEAL-01148</t>
  </si>
  <si>
    <t>DEAL-01459</t>
  </si>
  <si>
    <t>DEAL-00236</t>
  </si>
  <si>
    <t>DEAL-00133</t>
  </si>
  <si>
    <t>2023-02-19</t>
  </si>
  <si>
    <t>DEAL-01992</t>
  </si>
  <si>
    <t>DEAL-01443</t>
  </si>
  <si>
    <t>DEAL-00277</t>
  </si>
  <si>
    <t>02/17/2025</t>
  </si>
  <si>
    <t>DEAL-01200</t>
  </si>
  <si>
    <t>DEAL-01609</t>
  </si>
  <si>
    <t>DEAL-02085</t>
  </si>
  <si>
    <t>DEAL-00672</t>
  </si>
  <si>
    <t>DEAL-01306</t>
  </si>
  <si>
    <t>DEAL-01598</t>
  </si>
  <si>
    <t>DEAL-00596</t>
  </si>
  <si>
    <t>DEAL-01472</t>
  </si>
  <si>
    <t>DEAL-01267</t>
  </si>
  <si>
    <t>DEAL-00667</t>
  </si>
  <si>
    <t>DEAL-01176</t>
  </si>
  <si>
    <t>DEAL-01782</t>
  </si>
  <si>
    <t>DEAL-02346</t>
  </si>
  <si>
    <t>DEAL-01789</t>
  </si>
  <si>
    <t>DEAL-00322</t>
  </si>
  <si>
    <t>DEAL-01697</t>
  </si>
  <si>
    <t>DEAL-00882</t>
  </si>
  <si>
    <t>CLI-0029</t>
  </si>
  <si>
    <t>DEAL-02099</t>
  </si>
  <si>
    <t>DEAL-00280</t>
  </si>
  <si>
    <t>DEAL-01853</t>
  </si>
  <si>
    <t>DEAL-01824</t>
  </si>
  <si>
    <t>DEAL-01686</t>
  </si>
  <si>
    <t>DEAL-01188</t>
  </si>
  <si>
    <t>DEAL-01943</t>
  </si>
  <si>
    <t>DEAL-01720</t>
  </si>
  <si>
    <t>02/13/2025</t>
  </si>
  <si>
    <t>DEAL-00333</t>
  </si>
  <si>
    <t>DEAL-01669</t>
  </si>
  <si>
    <t>DEAL-01272</t>
  </si>
  <si>
    <t>DEAL-01300</t>
  </si>
  <si>
    <t>10/06/2023</t>
  </si>
  <si>
    <t>DEAL-00616</t>
  </si>
  <si>
    <t>DEAL-00224</t>
  </si>
  <si>
    <t>DEAL-00536</t>
  </si>
  <si>
    <t>2024-04-02</t>
  </si>
  <si>
    <t>DEAL-00989</t>
  </si>
  <si>
    <t>DEAL-02196</t>
  </si>
  <si>
    <t>DEAL-00728</t>
  </si>
  <si>
    <t>DEAL-01002</t>
  </si>
  <si>
    <t>2023-10-30</t>
  </si>
  <si>
    <t>DEAL-01571</t>
  </si>
  <si>
    <t>04/22/2024</t>
  </si>
  <si>
    <t>DEAL-00230</t>
  </si>
  <si>
    <t>01/09/2023</t>
  </si>
  <si>
    <t>DEAL-02435</t>
  </si>
  <si>
    <t>DEAL-01832</t>
  </si>
  <si>
    <t>DEAL-01275</t>
  </si>
  <si>
    <t>DEAL-02061</t>
  </si>
  <si>
    <t>DEAL-01510</t>
  </si>
  <si>
    <t>DEAL-02161</t>
  </si>
  <si>
    <t>DEAL-01357</t>
  </si>
  <si>
    <t>DEAL-01893</t>
  </si>
  <si>
    <t>DEAL-01169</t>
  </si>
  <si>
    <t>DEAL-00065</t>
  </si>
  <si>
    <t>DEAL-00723</t>
  </si>
  <si>
    <t>DEAL-01220</t>
  </si>
  <si>
    <t>DEAL-02071</t>
  </si>
  <si>
    <t>DEAL-02253</t>
  </si>
  <si>
    <t>DEAL-02272</t>
  </si>
  <si>
    <t>DEAL-02137</t>
  </si>
  <si>
    <t>DEAL-00777</t>
  </si>
  <si>
    <t>DEAL-01551</t>
  </si>
  <si>
    <t>DEAL-00931</t>
  </si>
  <si>
    <t>DEAL-00143</t>
  </si>
  <si>
    <t>DEAL-02339</t>
  </si>
  <si>
    <t>DEAL-02162</t>
  </si>
  <si>
    <t>DEAL-00409</t>
  </si>
  <si>
    <t>DEAL-00382</t>
  </si>
  <si>
    <t>DEAL-00765</t>
  </si>
  <si>
    <t>DEAL-02190</t>
  </si>
  <si>
    <t>12/26/2024</t>
  </si>
  <si>
    <t>DEAL-00437</t>
  </si>
  <si>
    <t>DEAL-00676</t>
  </si>
  <si>
    <t>DEAL-00197</t>
  </si>
  <si>
    <t>DEAL-02344</t>
  </si>
  <si>
    <t>DEAL-01827</t>
  </si>
  <si>
    <t>DEAL-01484</t>
  </si>
  <si>
    <t>DEAL-01034</t>
  </si>
  <si>
    <t>DEAL-01869</t>
  </si>
  <si>
    <t>DEAL-01868</t>
  </si>
  <si>
    <t>DEAL-00744</t>
  </si>
  <si>
    <t>DEAL-01848</t>
  </si>
  <si>
    <t>DEAL-01954</t>
  </si>
  <si>
    <t>DEAL-02419</t>
  </si>
  <si>
    <t>DEAL-01475</t>
  </si>
  <si>
    <t>DEAL-00525</t>
  </si>
  <si>
    <t>DEAL-01081</t>
  </si>
  <si>
    <t>DEAL-00549</t>
  </si>
  <si>
    <t>DEAL-00532</t>
  </si>
  <si>
    <t>DEAL-00926</t>
  </si>
  <si>
    <t>DEAL-00868</t>
  </si>
  <si>
    <t>DEAL-01330</t>
  </si>
  <si>
    <t>DEAL-00546</t>
  </si>
  <si>
    <t>DEAL-00584</t>
  </si>
  <si>
    <t>DEAL-02351</t>
  </si>
  <si>
    <t>DEAL-00772</t>
  </si>
  <si>
    <t>DEAL-00909</t>
  </si>
  <si>
    <t>DEAL-02446</t>
  </si>
  <si>
    <t>2024-01-04</t>
  </si>
  <si>
    <t>DEAL-01949</t>
  </si>
  <si>
    <t>DEAL-01921</t>
  </si>
  <si>
    <t>DEAL-01831</t>
  </si>
  <si>
    <t>DEAL-00348</t>
  </si>
  <si>
    <t>DEAL-00074</t>
  </si>
  <si>
    <t>DEAL-01615</t>
  </si>
  <si>
    <t>DEAL-00711</t>
  </si>
  <si>
    <t>11/14/2023</t>
  </si>
  <si>
    <t>DEAL-01919</t>
  </si>
  <si>
    <t>12/10/2024</t>
  </si>
  <si>
    <t>DEAL-01012</t>
  </si>
  <si>
    <t>DEAL-02433</t>
  </si>
  <si>
    <t>DEAL-02087</t>
  </si>
  <si>
    <t>DEAL-00944</t>
  </si>
  <si>
    <t>DEAL-00007</t>
  </si>
  <si>
    <t>2025-02-07</t>
  </si>
  <si>
    <t>DEAL-01210</t>
  </si>
  <si>
    <t>DEAL-00252</t>
  </si>
  <si>
    <t>DEAL-00326</t>
  </si>
  <si>
    <t>DEAL-00400</t>
  </si>
  <si>
    <t>DEAL-02309</t>
  </si>
  <si>
    <t>DEAL-02374</t>
  </si>
  <si>
    <t>DEAL-01975</t>
  </si>
  <si>
    <t>DEAL-01928</t>
  </si>
  <si>
    <t>DEAL-01053</t>
  </si>
  <si>
    <t>DEAL-01993</t>
  </si>
  <si>
    <t>2023-10-03</t>
  </si>
  <si>
    <t>DEAL-02320</t>
  </si>
  <si>
    <t>DEAL-01739</t>
  </si>
  <si>
    <t>DEAL-00205</t>
  </si>
  <si>
    <t>DEAL-01920</t>
  </si>
  <si>
    <t>04/16/2024</t>
  </si>
  <si>
    <t>DEAL-01749</t>
  </si>
  <si>
    <t>DEAL-01767</t>
  </si>
  <si>
    <t>DEAL-00507</t>
  </si>
  <si>
    <t>DEAL-00977</t>
  </si>
  <si>
    <t>DEAL-00763</t>
  </si>
  <si>
    <t>DEAL-00889</t>
  </si>
  <si>
    <t>DEAL-00126</t>
  </si>
  <si>
    <t>DEAL-00300</t>
  </si>
  <si>
    <t>DEAL-01011</t>
  </si>
  <si>
    <t>DEAL-01155</t>
  </si>
  <si>
    <t>DEAL-00392</t>
  </si>
  <si>
    <t>DEAL-01601</t>
  </si>
  <si>
    <t>12/04/2023</t>
  </si>
  <si>
    <t>DEAL-00875</t>
  </si>
  <si>
    <t>DEAL-01495</t>
  </si>
  <si>
    <t>DEAL-00915</t>
  </si>
  <si>
    <t>DEAL-01863</t>
  </si>
  <si>
    <t>DEAL-02307</t>
  </si>
  <si>
    <t>DEAL-01173</t>
  </si>
  <si>
    <t>DEAL-01584</t>
  </si>
  <si>
    <t>DEAL-02492</t>
  </si>
  <si>
    <t>DEAL-02183</t>
  </si>
  <si>
    <t>06/16/2023</t>
  </si>
  <si>
    <t>DEAL-01487</t>
  </si>
  <si>
    <t>DEAL-01214</t>
  </si>
  <si>
    <t>DEAL-00533</t>
  </si>
  <si>
    <t>DEAL-01723</t>
  </si>
  <si>
    <t>DEAL-00110</t>
  </si>
  <si>
    <t>DEAL-00331</t>
  </si>
  <si>
    <t>DEAL-02037</t>
  </si>
  <si>
    <t>DEAL-01862</t>
  </si>
  <si>
    <t>2023-08-29</t>
  </si>
  <si>
    <t>DEAL-00361</t>
  </si>
  <si>
    <t>DEAL-00073</t>
  </si>
  <si>
    <t>DEAL-02106</t>
  </si>
  <si>
    <t>DEAL-00550</t>
  </si>
  <si>
    <t>DEAL-00660</t>
  </si>
  <si>
    <t>03/19/2024</t>
  </si>
  <si>
    <t>DEAL-01927</t>
  </si>
  <si>
    <t>DEAL-01390</t>
  </si>
  <si>
    <t>DEAL-01411</t>
  </si>
  <si>
    <t>DEAL-00844</t>
  </si>
  <si>
    <t>DEAL-02181</t>
  </si>
  <si>
    <t>DEAL-00503</t>
  </si>
  <si>
    <t>DEAL-01042</t>
  </si>
  <si>
    <t>2024-01-12</t>
  </si>
  <si>
    <t>DEAL-00945</t>
  </si>
  <si>
    <t>09/18/2023</t>
  </si>
  <si>
    <t>DEAL-01395</t>
  </si>
  <si>
    <t>DEAL-01926</t>
  </si>
  <si>
    <t>DEAL-00713</t>
  </si>
  <si>
    <t>04/23/2023</t>
  </si>
  <si>
    <t>DEAL-00340</t>
  </si>
  <si>
    <t>DEAL-02335</t>
  </si>
  <si>
    <t>DEAL-01698</t>
  </si>
  <si>
    <t>2024-12-31</t>
  </si>
  <si>
    <t>DEAL-00984</t>
  </si>
  <si>
    <t>DEAL-00569</t>
  </si>
  <si>
    <t>DEAL-00669</t>
  </si>
  <si>
    <t>DEAL-01785</t>
  </si>
  <si>
    <t>2024-05-07</t>
  </si>
  <si>
    <t>DEAL-01878</t>
  </si>
  <si>
    <t>DEAL-00582</t>
  </si>
  <si>
    <t>DEAL-01699</t>
  </si>
  <si>
    <t>DEAL-01518</t>
  </si>
  <si>
    <t>DEAL-00729</t>
  </si>
  <si>
    <t>DEAL-00804</t>
  </si>
  <si>
    <t>DEAL-01561</t>
  </si>
  <si>
    <t>2023-04-13</t>
  </si>
  <si>
    <t>DEAL-01528</t>
  </si>
  <si>
    <t>DEAL-01570</t>
  </si>
  <si>
    <t>DEAL-01776</t>
  </si>
  <si>
    <t>DEAL-00063</t>
  </si>
  <si>
    <t>DEAL-00705</t>
  </si>
  <si>
    <t>DEAL-00512</t>
  </si>
  <si>
    <t>DEAL-02089</t>
  </si>
  <si>
    <t>DEAL-01446</t>
  </si>
  <si>
    <t>2024-01-28</t>
  </si>
  <si>
    <t>DEAL-02173</t>
  </si>
  <si>
    <t>DEAL-02363</t>
  </si>
  <si>
    <t>DEAL-01941</t>
  </si>
  <si>
    <t>DEAL-00577</t>
  </si>
  <si>
    <t>05/13/2024</t>
  </si>
  <si>
    <t>DEAL-01144</t>
  </si>
  <si>
    <t>DEAL-01112</t>
  </si>
  <si>
    <t>DEAL-01512</t>
  </si>
  <si>
    <t>2023-02-06</t>
  </si>
  <si>
    <t>DEAL-00899</t>
  </si>
  <si>
    <t>DEAL-02340</t>
  </si>
  <si>
    <t>DEAL-00149</t>
  </si>
  <si>
    <t>DEAL-01280</t>
  </si>
  <si>
    <t>DEAL-01006</t>
  </si>
  <si>
    <t>DEAL-00820</t>
  </si>
  <si>
    <t>DEAL-02237</t>
  </si>
  <si>
    <t>DEAL-02262</t>
  </si>
  <si>
    <t>DEAL-00055</t>
  </si>
  <si>
    <t>2023-12-08</t>
  </si>
  <si>
    <t>DEAL-02065</t>
  </si>
  <si>
    <t>DEAL-00486</t>
  </si>
  <si>
    <t>DEAL-01626</t>
  </si>
  <si>
    <t>DEAL-02229</t>
  </si>
  <si>
    <t>DEAL-01314</t>
  </si>
  <si>
    <t>DEAL-01030</t>
  </si>
  <si>
    <t>DEAL-02008</t>
  </si>
  <si>
    <t>DEAL-02439</t>
  </si>
  <si>
    <t>DEAL-02480</t>
  </si>
  <si>
    <t>DEAL-00892</t>
  </si>
  <si>
    <t>DEAL-00405</t>
  </si>
  <si>
    <t>DEAL-01693</t>
  </si>
  <si>
    <t>DEAL-00764</t>
  </si>
  <si>
    <t>DEAL-00386</t>
  </si>
  <si>
    <t>DEAL-01044</t>
  </si>
  <si>
    <t>DEAL-02264</t>
  </si>
  <si>
    <t>DEAL-02004</t>
  </si>
  <si>
    <t>03/08/2023</t>
  </si>
  <si>
    <t>DEAL-01111</t>
  </si>
  <si>
    <t>DEAL-00606</t>
  </si>
  <si>
    <t>DEAL-01933</t>
  </si>
  <si>
    <t>DEAL-00095</t>
  </si>
  <si>
    <t>DEAL-00927</t>
  </si>
  <si>
    <t>DEAL-00521</t>
  </si>
  <si>
    <t>DEAL-00534</t>
  </si>
  <si>
    <t>DEAL-02312</t>
  </si>
  <si>
    <t>DEAL-02318</t>
  </si>
  <si>
    <t>DEAL-01580</t>
  </si>
  <si>
    <t>DEAL-02165</t>
  </si>
  <si>
    <t>DEAL-00162</t>
  </si>
  <si>
    <t>DEAL-01441</t>
  </si>
  <si>
    <t>DEAL-01109</t>
  </si>
  <si>
    <t>DEAL-01630</t>
  </si>
  <si>
    <t>07/26/2024</t>
  </si>
  <si>
    <t>DEAL-00412</t>
  </si>
  <si>
    <t>DEAL-02323</t>
  </si>
  <si>
    <t>DEAL-01623</t>
  </si>
  <si>
    <t>DEAL-02054</t>
  </si>
  <si>
    <t>DEAL-00964</t>
  </si>
  <si>
    <t>DEAL-01242</t>
  </si>
  <si>
    <t>DEAL-00235</t>
  </si>
  <si>
    <t>DEAL-01415</t>
  </si>
  <si>
    <t>DEAL-01170</t>
  </si>
  <si>
    <t>DEAL-00093</t>
  </si>
  <si>
    <t>2023-03-13</t>
  </si>
  <si>
    <t>DEAL-00865</t>
  </si>
  <si>
    <t>DEAL-00396</t>
  </si>
  <si>
    <t>DEAL-02012</t>
  </si>
  <si>
    <t>DEAL-01452</t>
  </si>
  <si>
    <t>DEAL-01719</t>
  </si>
  <si>
    <t>DEAL-00492</t>
  </si>
  <si>
    <t>DEAL-02030</t>
  </si>
  <si>
    <t>DEAL-01450</t>
  </si>
  <si>
    <t>DEAL-01710</t>
  </si>
  <si>
    <t>2023-01-19</t>
  </si>
  <si>
    <t>DEAL-01514</t>
  </si>
  <si>
    <t>DEAL-01773</t>
  </si>
  <si>
    <t>DEAL-01064</t>
  </si>
  <si>
    <t>DEAL-00324</t>
  </si>
  <si>
    <t>DEAL-00918</t>
  </si>
  <si>
    <t>DEAL-01003</t>
  </si>
  <si>
    <t>DEAL-00002</t>
  </si>
  <si>
    <t>DEAL-00609</t>
  </si>
  <si>
    <t>DEAL-00019</t>
  </si>
  <si>
    <t>DEAL-01593</t>
  </si>
  <si>
    <t>DEAL-00706</t>
  </si>
  <si>
    <t>DEAL-00307</t>
  </si>
  <si>
    <t>DEAL-01315</t>
  </si>
  <si>
    <t>DEAL-01080</t>
  </si>
  <si>
    <t>2025-01-21</t>
  </si>
  <si>
    <t>DEAL-02294</t>
  </si>
  <si>
    <t>2024-06-23</t>
  </si>
  <si>
    <t>DEAL-02086</t>
  </si>
  <si>
    <t>DEAL-01096</t>
  </si>
  <si>
    <t>2024-11-16</t>
  </si>
  <si>
    <t>DEAL-01873</t>
  </si>
  <si>
    <t>DEAL-00212</t>
  </si>
  <si>
    <t>DEAL-00651</t>
  </si>
  <si>
    <t>DEAL-02411</t>
  </si>
  <si>
    <t>DEAL-00779</t>
  </si>
  <si>
    <t>2024-12-07</t>
  </si>
  <si>
    <t>DEAL-02146</t>
  </si>
  <si>
    <t>2023-08-27</t>
  </si>
  <si>
    <t>DEAL-01421</t>
  </si>
  <si>
    <t>DEAL-00611</t>
  </si>
  <si>
    <t>DEAL-00471</t>
  </si>
  <si>
    <t>DEAL-02072</t>
  </si>
  <si>
    <t>DEAL-00591</t>
  </si>
  <si>
    <t>DEAL-01058</t>
  </si>
  <si>
    <t>DEAL-01729</t>
  </si>
  <si>
    <t>DEAL-01836</t>
  </si>
  <si>
    <t>DEAL-01762</t>
  </si>
  <si>
    <t>DEAL-01191</t>
  </si>
  <si>
    <t>DEAL-00659</t>
  </si>
  <si>
    <t>06/23/2023</t>
  </si>
  <si>
    <t>DEAL-00308</t>
  </si>
  <si>
    <t>DEAL-00562</t>
  </si>
  <si>
    <t>DEAL-00091</t>
  </si>
  <si>
    <t>DEAL-01713</t>
  </si>
  <si>
    <t>DEAL-01243</t>
  </si>
  <si>
    <t>DEAL-02329</t>
  </si>
  <si>
    <t>DEAL-01700</t>
  </si>
  <si>
    <t>2023-02-04</t>
  </si>
  <si>
    <t>DEAL-01684</t>
  </si>
  <si>
    <t>DEAL-00399</t>
  </si>
  <si>
    <t>DEAL-00281</t>
  </si>
  <si>
    <t>03/08/2024</t>
  </si>
  <si>
    <t>DEAL-00967</t>
  </si>
  <si>
    <t>2023-11-29</t>
  </si>
  <si>
    <t>DEAL-00433</t>
  </si>
  <si>
    <t>DEAL-00756</t>
  </si>
  <si>
    <t>DEAL-00156</t>
  </si>
  <si>
    <t>DEAL-02123</t>
  </si>
  <si>
    <t>DEAL-01398</t>
  </si>
  <si>
    <t>DEAL-02432</t>
  </si>
  <si>
    <t>DEAL-01389</t>
  </si>
  <si>
    <t>DEAL-00198</t>
  </si>
  <si>
    <t>DEAL-00461</t>
  </si>
  <si>
    <t>DEAL-02265</t>
  </si>
  <si>
    <t>DEAL-00137</t>
  </si>
  <si>
    <t>DEAL-01393</t>
  </si>
  <si>
    <t>DEAL-00104</t>
  </si>
  <si>
    <t>DEAL-01158</t>
  </si>
  <si>
    <t>2023-12-24</t>
  </si>
  <si>
    <t>DEAL-00888</t>
  </si>
  <si>
    <t>DEAL-00789</t>
  </si>
  <si>
    <t>DEAL-00066</t>
  </si>
  <si>
    <t>DEAL-01097</t>
  </si>
  <si>
    <t>DEAL-00495</t>
  </si>
  <si>
    <t>DEAL-02239</t>
  </si>
  <si>
    <t>DEAL-00172</t>
  </si>
  <si>
    <t>DEAL-02081</t>
  </si>
  <si>
    <t>DEAL-01351</t>
  </si>
  <si>
    <t>DEAL-00049</t>
  </si>
  <si>
    <t>DEAL-02220</t>
  </si>
  <si>
    <t>DEAL-02110</t>
  </si>
  <si>
    <t>DEAL-01326</t>
  </si>
  <si>
    <t>DEAL-00075</t>
  </si>
  <si>
    <t>DEAL-02135</t>
  </si>
  <si>
    <t>04/26/2023</t>
  </si>
  <si>
    <t>DEAL-00059</t>
  </si>
  <si>
    <t>DEAL-00034</t>
  </si>
  <si>
    <t>DEAL-01023</t>
  </si>
  <si>
    <t>DEAL-01997</t>
  </si>
  <si>
    <t>2023-06-18</t>
  </si>
  <si>
    <t>DEAL-00451</t>
  </si>
  <si>
    <t>DEAL-02111</t>
  </si>
  <si>
    <t>DEAL-01646</t>
  </si>
  <si>
    <t>DEAL-00557</t>
  </si>
  <si>
    <t>DEAL-00490</t>
  </si>
  <si>
    <t>DEAL-02269</t>
  </si>
  <si>
    <t>2024-09-12</t>
  </si>
  <si>
    <t>DEAL-01238</t>
  </si>
  <si>
    <t>DEAL-01833</t>
  </si>
  <si>
    <t>DEAL-01009</t>
  </si>
  <si>
    <t>DEAL-02424</t>
  </si>
  <si>
    <t>DEAL-02276</t>
  </si>
  <si>
    <t>DEAL-00179</t>
  </si>
  <si>
    <t>DEAL-01117</t>
  </si>
  <si>
    <t>DEAL-02193</t>
  </si>
  <si>
    <t>DEAL-02288</t>
  </si>
  <si>
    <t>DEAL-00297</t>
  </si>
  <si>
    <t>DEAL-01814</t>
  </si>
  <si>
    <t>DEAL-02388</t>
  </si>
  <si>
    <t>2024-01-09</t>
  </si>
  <si>
    <t>DEAL-00688</t>
  </si>
  <si>
    <t>DEAL-00443</t>
  </si>
  <si>
    <t>DEAL-02163</t>
  </si>
  <si>
    <t>DEAL-01105</t>
  </si>
  <si>
    <t>DEAL-00440</t>
  </si>
  <si>
    <t>DEAL-00010</t>
  </si>
  <si>
    <t>DEAL-00389</t>
  </si>
  <si>
    <t>DEAL-02090</t>
  </si>
  <si>
    <t>DEAL-00161</t>
  </si>
  <si>
    <t>DEAL-01842</t>
  </si>
  <si>
    <t>DEAL-01072</t>
  </si>
  <si>
    <t>DEAL-00523</t>
  </si>
  <si>
    <t>04/13/2023</t>
  </si>
  <si>
    <t>DEAL-00579</t>
  </si>
  <si>
    <t>DEAL-00620</t>
  </si>
  <si>
    <t>DEAL-01017</t>
  </si>
  <si>
    <t>DEAL-01374</t>
  </si>
  <si>
    <t>DEAL-01768</t>
  </si>
  <si>
    <t>DEAL-00610</t>
  </si>
  <si>
    <t>DEAL-01311</t>
  </si>
  <si>
    <t>DEAL-00316</t>
  </si>
  <si>
    <t>DEAL-01543</t>
  </si>
  <si>
    <t>DEAL-01136</t>
  </si>
  <si>
    <t>DEAL-01625</t>
  </si>
  <si>
    <t>2024-03-18</t>
  </si>
  <si>
    <t>DEAL-00366</t>
  </si>
  <si>
    <t>DEAL-01708</t>
  </si>
  <si>
    <t>DEAL-01102</t>
  </si>
  <si>
    <t>DEAL-00809</t>
  </si>
  <si>
    <t>DEAL-00459</t>
  </si>
  <si>
    <t>DEAL-00654</t>
  </si>
  <si>
    <t>2025-01-31</t>
  </si>
  <si>
    <t>DEAL-01734</t>
  </si>
  <si>
    <t>DEAL-02018</t>
  </si>
  <si>
    <t>DEAL-00271</t>
  </si>
  <si>
    <t>DEAL-00082</t>
  </si>
  <si>
    <t>DEAL-02171</t>
  </si>
  <si>
    <t>DEAL-01370</t>
  </si>
  <si>
    <t>DEAL-01029</t>
  </si>
  <si>
    <t>DEAL-01095</t>
  </si>
  <si>
    <t>DEAL-00811</t>
  </si>
  <si>
    <t>07/02/2024</t>
  </si>
  <si>
    <t>DEAL-01861</t>
  </si>
  <si>
    <t>DEAL-00708</t>
  </si>
  <si>
    <t>DEAL-00275</t>
  </si>
  <si>
    <t>DEAL-00893</t>
  </si>
  <si>
    <t>DEAL-01371</t>
  </si>
  <si>
    <t>DEAL-02409</t>
  </si>
  <si>
    <t>DEAL-01026</t>
  </si>
  <si>
    <t>DEAL-02134</t>
  </si>
  <si>
    <t>DEAL-01945</t>
  </si>
  <si>
    <t>DEAL-00823</t>
  </si>
  <si>
    <t>DEAL-02397</t>
  </si>
  <si>
    <t>DEAL-00310</t>
  </si>
  <si>
    <t>DEAL-01488</t>
  </si>
  <si>
    <t>DEAL-01830</t>
  </si>
  <si>
    <t>DEAL-02406</t>
  </si>
  <si>
    <t>DEAL-00358</t>
  </si>
  <si>
    <t>DEAL-01500</t>
  </si>
  <si>
    <t>2024-01-16</t>
  </si>
  <si>
    <t>DEAL-00258</t>
  </si>
  <si>
    <t>02/20/2025</t>
  </si>
  <si>
    <t>DEAL-01417</t>
  </si>
  <si>
    <t>DEAL-00767</t>
  </si>
  <si>
    <t>DEAL-01569</t>
  </si>
  <si>
    <t>DEAL-00144</t>
  </si>
  <si>
    <t>DEAL-00103</t>
  </si>
  <si>
    <t>DEAL-01765</t>
  </si>
  <si>
    <t>DEAL-01285</t>
  </si>
  <si>
    <t>10/02/2023</t>
  </si>
  <si>
    <t>DEAL-01010</t>
  </si>
  <si>
    <t>DEAL-01635</t>
  </si>
  <si>
    <t>02/28/2024</t>
  </si>
  <si>
    <t>DEAL-00617</t>
  </si>
  <si>
    <t>DEAL-02445</t>
  </si>
  <si>
    <t>DEAL-01627</t>
  </si>
  <si>
    <t>DEAL-02300</t>
  </si>
  <si>
    <t>DEAL-01303</t>
  </si>
  <si>
    <t>DEAL-00710</t>
  </si>
  <si>
    <t>DEAL-01778</t>
  </si>
  <si>
    <t>DEAL-02414</t>
  </si>
  <si>
    <t>DEAL-02238</t>
  </si>
  <si>
    <t>DEAL-02387</t>
  </si>
  <si>
    <t>02/21/2023</t>
  </si>
  <si>
    <t>DEAL-02404</t>
  </si>
  <si>
    <t>DEAL-01408</t>
  </si>
  <si>
    <t>DEAL-00783</t>
  </si>
  <si>
    <t>2023-11-16</t>
  </si>
  <si>
    <t>DEAL-00519</t>
  </si>
  <si>
    <t>DEAL-00380</t>
  </si>
  <si>
    <t>DEAL-01185</t>
  </si>
  <si>
    <t>DEAL-01094</t>
  </si>
  <si>
    <t>DEAL-02019</t>
  </si>
  <si>
    <t>DEAL-02178</t>
  </si>
  <si>
    <t>DEAL-01633</t>
  </si>
  <si>
    <t>DEAL-02303</t>
  </si>
  <si>
    <t>DEAL-00148</t>
  </si>
  <si>
    <t>DEAL-01530</t>
  </si>
  <si>
    <t>DEAL-00641</t>
  </si>
  <si>
    <t>DEAL-01492</t>
  </si>
  <si>
    <t>DEAL-00035</t>
  </si>
  <si>
    <t>DEAL-02039</t>
  </si>
  <si>
    <t>DEAL-01497</t>
  </si>
  <si>
    <t>06/07/2024</t>
  </si>
  <si>
    <t>DEAL-01425</t>
  </si>
  <si>
    <t>DEAL-00046</t>
  </si>
  <si>
    <t>DEAL-01805</t>
  </si>
  <si>
    <t>DEAL-00124</t>
  </si>
  <si>
    <t>DEAL-00489</t>
  </si>
  <si>
    <t>DEAL-01292</t>
  </si>
  <si>
    <t>DEAL-00452</t>
  </si>
  <si>
    <t>01/12/2024</t>
  </si>
  <si>
    <t>DEAL-01675</t>
  </si>
  <si>
    <t>DEAL-00547</t>
  </si>
  <si>
    <t>DEAL-01525</t>
  </si>
  <si>
    <t>DEAL-01361</t>
  </si>
  <si>
    <t>DEAL-01462</t>
  </si>
  <si>
    <t>DEAL-01215</t>
  </si>
  <si>
    <t>DEAL-01577</t>
  </si>
  <si>
    <t>DEAL-02295</t>
  </si>
  <si>
    <t>DEAL-02286</t>
  </si>
  <si>
    <t>DEAL-01817</t>
  </si>
  <si>
    <t>DEAL-01549</t>
  </si>
  <si>
    <t>DEAL-00916</t>
  </si>
  <si>
    <t>DEAL-00475</t>
  </si>
  <si>
    <t>DEAL-00766</t>
  </si>
  <si>
    <t>DEAL-00919</t>
  </si>
  <si>
    <t>DEAL-01856</t>
  </si>
  <si>
    <t>DEAL-01364</t>
  </si>
  <si>
    <t>DEAL-00132</t>
  </si>
  <si>
    <t>DEAL-02128</t>
  </si>
  <si>
    <t>DEAL-00983</t>
  </si>
  <si>
    <t>DEAL-00278</t>
  </si>
  <si>
    <t>DEAL-02270</t>
  </si>
  <si>
    <t>DEAL-01498</t>
  </si>
  <si>
    <t>DEAL-00050</t>
  </si>
  <si>
    <t>DEAL-02254</t>
  </si>
  <si>
    <t>DEAL-01911</t>
  </si>
  <si>
    <t>DEAL-00301</t>
  </si>
  <si>
    <t>DEAL-01780</t>
  </si>
  <si>
    <t>DEAL-02051</t>
  </si>
  <si>
    <t>DEAL-00683</t>
  </si>
  <si>
    <t>DEAL-00917</t>
  </si>
  <si>
    <t>DEAL-01372</t>
  </si>
  <si>
    <t>DEAL-00907</t>
  </si>
  <si>
    <t>DEAL-01137</t>
  </si>
  <si>
    <t>DEAL-02316</t>
  </si>
  <si>
    <t>2023-09-24</t>
  </si>
  <si>
    <t>DEAL-01688</t>
  </si>
  <si>
    <t>DEAL-00467</t>
  </si>
  <si>
    <t>DEAL-00643</t>
  </si>
  <si>
    <t>DEAL-01138</t>
  </si>
  <si>
    <t>DEAL-00733</t>
  </si>
  <si>
    <t>02/21/2024</t>
  </si>
  <si>
    <t>DEAL-00960</t>
  </si>
  <si>
    <t>DEAL-01329</t>
  </si>
  <si>
    <t>DEAL-00018</t>
  </si>
  <si>
    <t>DEAL-01174</t>
  </si>
  <si>
    <t>DEAL-01323</t>
  </si>
  <si>
    <t>DEAL-01663</t>
  </si>
  <si>
    <t>DEAL-01784</t>
  </si>
  <si>
    <t>DEAL-01799</t>
  </si>
  <si>
    <t>DEAL-01770</t>
  </si>
  <si>
    <t>Expense_ID</t>
  </si>
  <si>
    <t>Department</t>
  </si>
  <si>
    <t>Category</t>
  </si>
  <si>
    <t>Vendor</t>
  </si>
  <si>
    <t>Amount_INR</t>
  </si>
  <si>
    <t>Budget_Allocated_INR</t>
  </si>
  <si>
    <t>Variance_INR</t>
  </si>
  <si>
    <t>Expense_Date</t>
  </si>
  <si>
    <t>Approval_Status</t>
  </si>
  <si>
    <t>Payment_Mode</t>
  </si>
  <si>
    <t>Fiscal_Year</t>
  </si>
  <si>
    <t>Remarks</t>
  </si>
  <si>
    <t>EXP-00594</t>
  </si>
  <si>
    <t>Cloud Infrastructure</t>
  </si>
  <si>
    <t>Slack</t>
  </si>
  <si>
    <t>Pending</t>
  </si>
  <si>
    <t>Vendor Credit</t>
  </si>
  <si>
    <t>FY2023-2024</t>
  </si>
  <si>
    <t>Under review</t>
  </si>
  <si>
    <t>EXP-00495</t>
  </si>
  <si>
    <t>Operations</t>
  </si>
  <si>
    <t>Utilities</t>
  </si>
  <si>
    <t>HubSpot</t>
  </si>
  <si>
    <t>Approved</t>
  </si>
  <si>
    <t>Bank Transfer</t>
  </si>
  <si>
    <t>Recurring</t>
  </si>
  <si>
    <t>EXP-00587</t>
  </si>
  <si>
    <t>Sales</t>
  </si>
  <si>
    <t>Marketing Spend</t>
  </si>
  <si>
    <t>SAP</t>
  </si>
  <si>
    <t>EXP-00178</t>
  </si>
  <si>
    <t>Finance</t>
  </si>
  <si>
    <t>Infosys</t>
  </si>
  <si>
    <t>FY2024-2025</t>
  </si>
  <si>
    <t>EXP-00869</t>
  </si>
  <si>
    <t>TCS</t>
  </si>
  <si>
    <t>Credit Card</t>
  </si>
  <si>
    <t>FY2022-2023</t>
  </si>
  <si>
    <t>EXP-00674</t>
  </si>
  <si>
    <t>Hardware</t>
  </si>
  <si>
    <t>EXP-00181</t>
  </si>
  <si>
    <t>Engineering</t>
  </si>
  <si>
    <t>Urgent</t>
  </si>
  <si>
    <t>EXP-00277</t>
  </si>
  <si>
    <t>Support</t>
  </si>
  <si>
    <t>Office Supplies</t>
  </si>
  <si>
    <t>Wipro</t>
  </si>
  <si>
    <t>EXP-00515</t>
  </si>
  <si>
    <t>Consulting Fees</t>
  </si>
  <si>
    <t>Oracle</t>
  </si>
  <si>
    <t>Duplicate entry</t>
  </si>
  <si>
    <t>EXP-00339</t>
  </si>
  <si>
    <t>EXP-00555</t>
  </si>
  <si>
    <t>EXP-00803</t>
  </si>
  <si>
    <t>Travel</t>
  </si>
  <si>
    <t>Freshdesk</t>
  </si>
  <si>
    <t>Petty Cash</t>
  </si>
  <si>
    <t>EXP-00875</t>
  </si>
  <si>
    <t>Software Licenses</t>
  </si>
  <si>
    <t>Google Cloud</t>
  </si>
  <si>
    <t>EXP-00691</t>
  </si>
  <si>
    <t>HR</t>
  </si>
  <si>
    <t>EXP-00233</t>
  </si>
  <si>
    <t>EXP-00071</t>
  </si>
  <si>
    <t>One-time</t>
  </si>
  <si>
    <t>EXP-00860</t>
  </si>
  <si>
    <t>EXP-00607</t>
  </si>
  <si>
    <t>Jira</t>
  </si>
  <si>
    <t>EXP-00651</t>
  </si>
  <si>
    <t>EXP-00652</t>
  </si>
  <si>
    <t>AWS</t>
  </si>
  <si>
    <t>EXP-00369</t>
  </si>
  <si>
    <t>Marketing</t>
  </si>
  <si>
    <t>EXP-00721</t>
  </si>
  <si>
    <t>EXP-00390</t>
  </si>
  <si>
    <t>EXP-00520</t>
  </si>
  <si>
    <t>EXP-00971</t>
  </si>
  <si>
    <t>Training</t>
  </si>
  <si>
    <t>EXP-00411</t>
  </si>
  <si>
    <t>Microsoft Azure</t>
  </si>
  <si>
    <t>EXP-00354</t>
  </si>
  <si>
    <t>Salaries</t>
  </si>
  <si>
    <t>EXP-00600</t>
  </si>
  <si>
    <t>Zoom</t>
  </si>
  <si>
    <t>EXP-00034</t>
  </si>
  <si>
    <t>EXP-00200</t>
  </si>
  <si>
    <t>EXP-00925</t>
  </si>
  <si>
    <t>EXP-00546</t>
  </si>
  <si>
    <t>Adobe</t>
  </si>
  <si>
    <t>EXP-00602</t>
  </si>
  <si>
    <t>EXP-00083</t>
  </si>
  <si>
    <t>Maintenance</t>
  </si>
  <si>
    <t>Rejected</t>
  </si>
  <si>
    <t>EXP-00750</t>
  </si>
  <si>
    <t>Recruitment</t>
  </si>
  <si>
    <t>EXP-00172</t>
  </si>
  <si>
    <t>EXP-00531</t>
  </si>
  <si>
    <t>EXP-00337</t>
  </si>
  <si>
    <t>EXP-00832</t>
  </si>
  <si>
    <t>EXP-00717</t>
  </si>
  <si>
    <t>Internal</t>
  </si>
  <si>
    <t>EXP-00601</t>
  </si>
  <si>
    <t>EXP-00275</t>
  </si>
  <si>
    <t>EXP-00466</t>
  </si>
  <si>
    <t>EXP-00663</t>
  </si>
  <si>
    <t>EXP-00954</t>
  </si>
  <si>
    <t>EXP-00024</t>
  </si>
  <si>
    <t>EXP-00430</t>
  </si>
  <si>
    <t>EXP-00219</t>
  </si>
  <si>
    <t>EXP-00318</t>
  </si>
  <si>
    <t>EXP-00235</t>
  </si>
  <si>
    <t>EXP-00231</t>
  </si>
  <si>
    <t>EXP-00680</t>
  </si>
  <si>
    <t>EXP-00301</t>
  </si>
  <si>
    <t>EXP-00617</t>
  </si>
  <si>
    <t>EXP-00994</t>
  </si>
  <si>
    <t>EXP-00548</t>
  </si>
  <si>
    <t>EXP-00738</t>
  </si>
  <si>
    <t>EXP-00490</t>
  </si>
  <si>
    <t>EXP-00449</t>
  </si>
  <si>
    <t>EXP-00147</t>
  </si>
  <si>
    <t>EXP-00348</t>
  </si>
  <si>
    <t>EXP-00372</t>
  </si>
  <si>
    <t>EXP-00397</t>
  </si>
  <si>
    <t>EXP-00806</t>
  </si>
  <si>
    <t>EXP-00660</t>
  </si>
  <si>
    <t>EXP-00207</t>
  </si>
  <si>
    <t>EXP-00085</t>
  </si>
  <si>
    <t>Salesforce</t>
  </si>
  <si>
    <t>EXP-00209</t>
  </si>
  <si>
    <t>EXP-00089</t>
  </si>
  <si>
    <t>EXP-00889</t>
  </si>
  <si>
    <t>EXP-00899</t>
  </si>
  <si>
    <t>EXP-00470</t>
  </si>
  <si>
    <t>EXP-00720</t>
  </si>
  <si>
    <t>EXP-00033</t>
  </si>
  <si>
    <t>EXP-00636</t>
  </si>
  <si>
    <t>EXP-00382</t>
  </si>
  <si>
    <t>EXP-00550</t>
  </si>
  <si>
    <t>EXP-00163</t>
  </si>
  <si>
    <t>EXP-00795</t>
  </si>
  <si>
    <t>EXP-00727</t>
  </si>
  <si>
    <t>EXP-00403</t>
  </si>
  <si>
    <t>EXP-00569</t>
  </si>
  <si>
    <t>EXP-00396</t>
  </si>
  <si>
    <t>EXP-00865</t>
  </si>
  <si>
    <t>EXP-00271</t>
  </si>
  <si>
    <t>EXP-00272</t>
  </si>
  <si>
    <t>EXP-00583</t>
  </si>
  <si>
    <t>EXP-00533</t>
  </si>
  <si>
    <t>EXP-00371</t>
  </si>
  <si>
    <t>EXP-00835</t>
  </si>
  <si>
    <t>EXP-00923</t>
  </si>
  <si>
    <t>EXP-00169</t>
  </si>
  <si>
    <t>EXP-00683</t>
  </si>
  <si>
    <t>EXP-00506</t>
  </si>
  <si>
    <t>EXP-00540</t>
  </si>
  <si>
    <t>EXP-00532</t>
  </si>
  <si>
    <t>EXP-00898</t>
  </si>
  <si>
    <t>EXP-00179</t>
  </si>
  <si>
    <t>EXP-00321</t>
  </si>
  <si>
    <t>EXP-00514</t>
  </si>
  <si>
    <t>EXP-00407</t>
  </si>
  <si>
    <t>EXP-00053</t>
  </si>
  <si>
    <t>EXP-00530</t>
  </si>
  <si>
    <t>EXP-00838</t>
  </si>
  <si>
    <t>EXP-00150</t>
  </si>
  <si>
    <t>EXP-00553</t>
  </si>
  <si>
    <t>EXP-00767</t>
  </si>
  <si>
    <t>EXP-00754</t>
  </si>
  <si>
    <t>EXP-00552</t>
  </si>
  <si>
    <t>EXP-00941</t>
  </si>
  <si>
    <t>EXP-00876</t>
  </si>
  <si>
    <t>EXP-00909</t>
  </si>
  <si>
    <t>EXP-00475</t>
  </si>
  <si>
    <t>EXP-00250</t>
  </si>
  <si>
    <t>EXP-00917</t>
  </si>
  <si>
    <t>EXP-00915</t>
  </si>
  <si>
    <t>EXP-00739</t>
  </si>
  <si>
    <t>EXP-00517</t>
  </si>
  <si>
    <t>EXP-00778</t>
  </si>
  <si>
    <t>EXP-00057</t>
  </si>
  <si>
    <t>EXP-00424</t>
  </si>
  <si>
    <t>EXP-00267</t>
  </si>
  <si>
    <t>EXP-00227</t>
  </si>
  <si>
    <t>EXP-00263</t>
  </si>
  <si>
    <t>EXP-00365</t>
  </si>
  <si>
    <t>EXP-00045</t>
  </si>
  <si>
    <t>EXP-00108</t>
  </si>
  <si>
    <t>EXP-00849</t>
  </si>
  <si>
    <t>EXP-00015</t>
  </si>
  <si>
    <t>EXP-00568</t>
  </si>
  <si>
    <t>EXP-00319</t>
  </si>
  <si>
    <t>EXP-00254</t>
  </si>
  <si>
    <t>EXP-00794</t>
  </si>
  <si>
    <t>EXP-00095</t>
  </si>
  <si>
    <t>EXP-00148</t>
  </si>
  <si>
    <t>EXP-00693</t>
  </si>
  <si>
    <t>EXP-00801</t>
  </si>
  <si>
    <t>EXP-00891</t>
  </si>
  <si>
    <t>EXP-00621</t>
  </si>
  <si>
    <t>EXP-00741</t>
  </si>
  <si>
    <t>EXP-00474</t>
  </si>
  <si>
    <t>EXP-00324</t>
  </si>
  <si>
    <t>EXP-00884</t>
  </si>
  <si>
    <t>EXP-00557</t>
  </si>
  <si>
    <t>EXP-00592</t>
  </si>
  <si>
    <t>EXP-00290</t>
  </si>
  <si>
    <t>EXP-00061</t>
  </si>
  <si>
    <t>EXP-00002</t>
  </si>
  <si>
    <t>EXP-00512</t>
  </si>
  <si>
    <t>EXP-00031</t>
  </si>
  <si>
    <t>EXP-00675</t>
  </si>
  <si>
    <t>EXP-00477</t>
  </si>
  <si>
    <t>EXP-00654</t>
  </si>
  <si>
    <t>EXP-00679</t>
  </si>
  <si>
    <t>EXP-00360</t>
  </si>
  <si>
    <t>EXP-00627</t>
  </si>
  <si>
    <t>EXP-00180</t>
  </si>
  <si>
    <t>EXP-00982</t>
  </si>
  <si>
    <t>EXP-00564</t>
  </si>
  <si>
    <t>EXP-00203</t>
  </si>
  <si>
    <t>EXP-01000</t>
  </si>
  <si>
    <t>EXP-00944</t>
  </si>
  <si>
    <t>EXP-00246</t>
  </si>
  <si>
    <t>EXP-00011</t>
  </si>
  <si>
    <t>EXP-00501</t>
  </si>
  <si>
    <t>EXP-00580</t>
  </si>
  <si>
    <t>EXP-00410</t>
  </si>
  <si>
    <t>EXP-00961</t>
  </si>
  <si>
    <t>EXP-00334</t>
  </si>
  <si>
    <t>EXP-00977</t>
  </si>
  <si>
    <t>EXP-00695</t>
  </si>
  <si>
    <t>EXP-00431</t>
  </si>
  <si>
    <t>EXP-00990</t>
  </si>
  <si>
    <t>EXP-00356</t>
  </si>
  <si>
    <t>EXP-00582</t>
  </si>
  <si>
    <t>EXP-00666</t>
  </si>
  <si>
    <t>EXP-00300</t>
  </si>
  <si>
    <t>EXP-00226</t>
  </si>
  <si>
    <t>EXP-00420</t>
  </si>
  <si>
    <t>EXP-00924</t>
  </si>
  <si>
    <t>EXP-00373</t>
  </si>
  <si>
    <t>EXP-00109</t>
  </si>
  <si>
    <t>EXP-00706</t>
  </si>
  <si>
    <t>EXP-00351</t>
  </si>
  <si>
    <t>EXP-00001</t>
  </si>
  <si>
    <t>EXP-00104</t>
  </si>
  <si>
    <t>EXP-00096</t>
  </si>
  <si>
    <t>EXP-00195</t>
  </si>
  <si>
    <t>EXP-00467</t>
  </si>
  <si>
    <t>EXP-00138</t>
  </si>
  <si>
    <t>EXP-00445</t>
  </si>
  <si>
    <t>EXP-00671</t>
  </si>
  <si>
    <t>EXP-00454</t>
  </si>
  <si>
    <t>EXP-00193</t>
  </si>
  <si>
    <t>EXP-00682</t>
  </si>
  <si>
    <t>EXP-00776</t>
  </si>
  <si>
    <t>EXP-00686</t>
  </si>
  <si>
    <t>EXP-00561</t>
  </si>
  <si>
    <t>EXP-00049</t>
  </si>
  <si>
    <t>EXP-00872</t>
  </si>
  <si>
    <t>EXP-00981</t>
  </si>
  <si>
    <t>EXP-00628</t>
  </si>
  <si>
    <t>EXP-00765</t>
  </si>
  <si>
    <t>EXP-00854</t>
  </si>
  <si>
    <t>EXP-00726</t>
  </si>
  <si>
    <t>EXP-00560</t>
  </si>
  <si>
    <t>EXP-00573</t>
  </si>
  <si>
    <t>EXP-00598</t>
  </si>
  <si>
    <t>EXP-00198</t>
  </si>
  <si>
    <t>EXP-00938</t>
  </si>
  <si>
    <t>EXP-00681</t>
  </si>
  <si>
    <t>EXP-00171</t>
  </si>
  <si>
    <t>EXP-00575</t>
  </si>
  <si>
    <t>EXP-00248</t>
  </si>
  <si>
    <t>EXP-00471</t>
  </si>
  <si>
    <t>EXP-00385</t>
  </si>
  <si>
    <t>EXP-00714</t>
  </si>
  <si>
    <t>EXP-00341</t>
  </si>
  <si>
    <t>EXP-00873</t>
  </si>
  <si>
    <t>EXP-00732</t>
  </si>
  <si>
    <t>EXP-00298</t>
  </si>
  <si>
    <t>EXP-00743</t>
  </si>
  <si>
    <t>EXP-00596</t>
  </si>
  <si>
    <t>EXP-00093</t>
  </si>
  <si>
    <t>EXP-00208</t>
  </si>
  <si>
    <t>EXP-00132</t>
  </si>
  <si>
    <t>EXP-00888</t>
  </si>
  <si>
    <t>EXP-00642</t>
  </si>
  <si>
    <t>EXP-00919</t>
  </si>
  <si>
    <t>EXP-00121</t>
  </si>
  <si>
    <t>EXP-00606</t>
  </si>
  <si>
    <t>EXP-00155</t>
  </si>
  <si>
    <t>EXP-00294</t>
  </si>
  <si>
    <t>EXP-00881</t>
  </si>
  <si>
    <t>EXP-00626</t>
  </si>
  <si>
    <t>EXP-00274</t>
  </si>
  <si>
    <t>EXP-00883</t>
  </si>
  <si>
    <t>EXP-00364</t>
  </si>
  <si>
    <t>EXP-00947</t>
  </si>
  <si>
    <t>EXP-00699</t>
  </si>
  <si>
    <t>EXP-00004</t>
  </si>
  <si>
    <t>EXP-00718</t>
  </si>
  <si>
    <t>EXP-00668</t>
  </si>
  <si>
    <t>EXP-00026</t>
  </si>
  <si>
    <t>EXP-00658</t>
  </si>
  <si>
    <t>EXP-00493</t>
  </si>
  <si>
    <t>EXP-00224</t>
  </si>
  <si>
    <t>EXP-00135</t>
  </si>
  <si>
    <t>EXP-00251</t>
  </si>
  <si>
    <t>EXP-00631</t>
  </si>
  <si>
    <t>EXP-00593</t>
  </si>
  <si>
    <t>EXP-00995</t>
  </si>
  <si>
    <t>EXP-00817</t>
  </si>
  <si>
    <t>EXP-00701</t>
  </si>
  <si>
    <t>EXP-00880</t>
  </si>
  <si>
    <t>EXP-00488</t>
  </si>
  <si>
    <t>EXP-00935</t>
  </si>
  <si>
    <t>EXP-00692</t>
  </si>
  <si>
    <t>EXP-00306</t>
  </si>
  <si>
    <t>EXP-00027</t>
  </si>
  <si>
    <t>EXP-00072</t>
  </si>
  <si>
    <t>EXP-00797</t>
  </si>
  <si>
    <t>EXP-00779</t>
  </si>
  <si>
    <t>EXP-00336</t>
  </si>
  <si>
    <t>EXP-00781</t>
  </si>
  <si>
    <t>EXP-00725</t>
  </si>
  <si>
    <t>EXP-00417</t>
  </si>
  <si>
    <t>EXP-00021</t>
  </si>
  <si>
    <t>EXP-00363</t>
  </si>
  <si>
    <t>EXP-00764</t>
  </si>
  <si>
    <t>EXP-00839</t>
  </si>
  <si>
    <t>EXP-00824</t>
  </si>
  <si>
    <t>EXP-00059</t>
  </si>
  <si>
    <t>EXP-00638</t>
  </si>
  <si>
    <t>EXP-00984</t>
  </si>
  <si>
    <t>EXP-00442</t>
  </si>
  <si>
    <t>EXP-00284</t>
  </si>
  <si>
    <t>EXP-00851</t>
  </si>
  <si>
    <t>EXP-00664</t>
  </si>
  <si>
    <t>EXP-00897</t>
  </si>
  <si>
    <t>EXP-00566</t>
  </si>
  <si>
    <t>EXP-00834</t>
  </si>
  <si>
    <t>EXP-00913</t>
  </si>
  <si>
    <t>EXP-00223</t>
  </si>
  <si>
    <t>EXP-00511</t>
  </si>
  <si>
    <t>EXP-00129</t>
  </si>
  <si>
    <t>EXP-00433</t>
  </si>
  <si>
    <t>EXP-00748</t>
  </si>
  <si>
    <t>EXP-00734</t>
  </si>
  <si>
    <t>EXP-00100</t>
  </si>
  <si>
    <t>EXP-00419</t>
  </si>
  <si>
    <t>EXP-00563</t>
  </si>
  <si>
    <t>EXP-00218</t>
  </si>
  <si>
    <t>EXP-00489</t>
  </si>
  <si>
    <t>EXP-00796</t>
  </si>
  <si>
    <t>EXP-00846</t>
  </si>
  <si>
    <t>EXP-00966</t>
  </si>
  <si>
    <t>EXP-00352</t>
  </si>
  <si>
    <t>EXP-00508</t>
  </si>
  <si>
    <t>EXP-00205</t>
  </si>
  <si>
    <t>EXP-00050</t>
  </si>
  <si>
    <t>EXP-00458</t>
  </si>
  <si>
    <t>EXP-00539</t>
  </si>
  <si>
    <t>EXP-00111</t>
  </si>
  <si>
    <t>EXP-00710</t>
  </si>
  <si>
    <t>EXP-00536</t>
  </si>
  <si>
    <t>EXP-00576</t>
  </si>
  <si>
    <t>EXP-00065</t>
  </si>
  <si>
    <t>EXP-00630</t>
  </si>
  <si>
    <t>EXP-00505</t>
  </si>
  <si>
    <t>EXP-00479</t>
  </si>
  <si>
    <t>EXP-00313</t>
  </si>
  <si>
    <t>EXP-00315</t>
  </si>
  <si>
    <t>EXP-00943</t>
  </si>
  <si>
    <t>EXP-00444</t>
  </si>
  <si>
    <t>EXP-00007</t>
  </si>
  <si>
    <t>EXP-00183</t>
  </si>
  <si>
    <t>EXP-00185</t>
  </si>
  <si>
    <t>EXP-00603</t>
  </si>
  <si>
    <t>EXP-00103</t>
  </si>
  <si>
    <t>EXP-00099</t>
  </si>
  <si>
    <t>EXP-00166</t>
  </si>
  <si>
    <t>EXP-00844</t>
  </si>
  <si>
    <t>EXP-00391</t>
  </si>
  <si>
    <t>EXP-00079</t>
  </si>
  <si>
    <t>EXP-00443</t>
  </si>
  <si>
    <t>EXP-00076</t>
  </si>
  <si>
    <t>EXP-00320</t>
  </si>
  <si>
    <t>EXP-00080</t>
  </si>
  <si>
    <t>EXP-00452</t>
  </si>
  <si>
    <t>EXP-00541</t>
  </si>
  <si>
    <t>EXP-00468</t>
  </si>
  <si>
    <t>EXP-00456</t>
  </si>
  <si>
    <t>EXP-00383</t>
  </si>
  <si>
    <t>EXP-00882</t>
  </si>
  <si>
    <t>EXP-00427</t>
  </si>
  <si>
    <t>EXP-00192</t>
  </si>
  <si>
    <t>EXP-00196</t>
  </si>
  <si>
    <t>EXP-00537</t>
  </si>
  <si>
    <t>EXP-00234</t>
  </si>
  <si>
    <t>EXP-00067</t>
  </si>
  <si>
    <t>EXP-00392</t>
  </si>
  <si>
    <t>EXP-00238</t>
  </si>
  <si>
    <t>EXP-00338</t>
  </si>
  <si>
    <t>EXP-00574</t>
  </si>
  <si>
    <t>EXP-00473</t>
  </si>
  <si>
    <t>EXP-00689</t>
  </si>
  <si>
    <t>EXP-00144</t>
  </si>
  <si>
    <t>EXP-00376</t>
  </si>
  <si>
    <t>EXP-00856</t>
  </si>
  <si>
    <t>EXP-00423</t>
  </si>
  <si>
    <t>EXP-00367</t>
  </si>
  <si>
    <t>EXP-00685</t>
  </si>
  <si>
    <t>EXP-00656</t>
  </si>
  <si>
    <t>EXP-00156</t>
  </si>
  <si>
    <t>EXP-00953</t>
  </si>
  <si>
    <t>EXP-00780</t>
  </si>
  <si>
    <t>EXP-00307</t>
  </si>
  <si>
    <t>EXP-00522</t>
  </si>
  <si>
    <t>EXP-00115</t>
  </si>
  <si>
    <t>EXP-00777</t>
  </si>
  <si>
    <t>EXP-00029</t>
  </si>
  <si>
    <t>EXP-00283</t>
  </si>
  <si>
    <t>EXP-00619</t>
  </si>
  <si>
    <t>EXP-00705</t>
  </si>
  <si>
    <t>EXP-00101</t>
  </si>
  <si>
    <t>EXP-00343</t>
  </si>
  <si>
    <t>EXP-00330</t>
  </si>
  <si>
    <t>EXP-00405</t>
  </si>
  <si>
    <t>EXP-00842</t>
  </si>
  <si>
    <t>EXP-00762</t>
  </si>
  <si>
    <t>EXP-00291</t>
  </si>
  <si>
    <t>EXP-00416</t>
  </si>
  <si>
    <t>EXP-00127</t>
  </si>
  <si>
    <t>EXP-00974</t>
  </si>
  <si>
    <t>EXP-00892</t>
  </si>
  <si>
    <t>EXP-00775</t>
  </si>
  <si>
    <t>EXP-00837</t>
  </si>
  <si>
    <t>EXP-00684</t>
  </si>
  <si>
    <t>EXP-00368</t>
  </si>
  <si>
    <t>EXP-00623</t>
  </si>
  <si>
    <t>EXP-00939</t>
  </si>
  <si>
    <t>EXP-00979</t>
  </si>
  <si>
    <t>EXP-00784</t>
  </si>
  <si>
    <t>EXP-00736</t>
  </si>
  <si>
    <t>EXP-00056</t>
  </si>
  <si>
    <t>EXP-00210</t>
  </si>
  <si>
    <t>EXP-00690</t>
  </si>
  <si>
    <t>EXP-00930</t>
  </si>
  <si>
    <t>EXP-00006</t>
  </si>
  <si>
    <t>EXP-00497</t>
  </si>
  <si>
    <t>EXP-00107</t>
  </si>
  <si>
    <t>EXP-00262</t>
  </si>
  <si>
    <t>EXP-00853</t>
  </si>
  <si>
    <t>EXP-00331</t>
  </si>
  <si>
    <t>EXP-00554</t>
  </si>
  <si>
    <t>EXP-00519</t>
  </si>
  <si>
    <t>EXP-00020</t>
  </si>
  <si>
    <t>EXP-00288</t>
  </si>
  <si>
    <t>EXP-00395</t>
  </si>
  <si>
    <t>EXP-00282</t>
  </si>
  <si>
    <t>EXP-00481</t>
  </si>
  <si>
    <t>EXP-00105</t>
  </si>
  <si>
    <t>EXP-00499</t>
  </si>
  <si>
    <t>EXP-00194</t>
  </si>
  <si>
    <t>EXP-00289</t>
  </si>
  <si>
    <t>EXP-00242</t>
  </si>
  <si>
    <t>EXP-00931</t>
  </si>
  <si>
    <t>EXP-00243</t>
  </si>
  <si>
    <t>EXP-00669</t>
  </si>
  <si>
    <t>EXP-00895</t>
  </si>
  <si>
    <t>EXP-00378</t>
  </si>
  <si>
    <t>EXP-00793</t>
  </si>
  <si>
    <t>EXP-00772</t>
  </si>
  <si>
    <t>EXP-00188</t>
  </si>
  <si>
    <t>EXP-00428</t>
  </si>
  <si>
    <t>EXP-00060</t>
  </si>
  <si>
    <t>EXP-00084</t>
  </si>
  <si>
    <t>EXP-00232</t>
  </si>
  <si>
    <t>EXP-00526</t>
  </si>
  <si>
    <t>EXP-00070</t>
  </si>
  <si>
    <t>EXP-00394</t>
  </si>
  <si>
    <t>EXP-00255</t>
  </si>
  <si>
    <t>EXP-00571</t>
  </si>
  <si>
    <t>EXP-00798</t>
  </si>
  <si>
    <t>EXP-00848</t>
  </si>
  <si>
    <t>EXP-00962</t>
  </si>
  <si>
    <t>EXP-00657</t>
  </si>
  <si>
    <t>EXP-00082</t>
  </si>
  <si>
    <t>EXP-00633</t>
  </si>
  <si>
    <t>EXP-00102</t>
  </si>
  <si>
    <t>EXP-00136</t>
  </si>
  <si>
    <t>EXP-00963</t>
  </si>
  <si>
    <t>EXP-00653</t>
  </si>
  <si>
    <t>EXP-00097</t>
  </si>
  <si>
    <t>EXP-00973</t>
  </si>
  <si>
    <t>EXP-00868</t>
  </si>
  <si>
    <t>EXP-00374</t>
  </si>
  <si>
    <t>EXP-00768</t>
  </si>
  <si>
    <t>EXP-00650</t>
  </si>
  <si>
    <t>EXP-00314</t>
  </si>
  <si>
    <t>EXP-00366</t>
  </si>
  <si>
    <t>EXP-00992</t>
  </si>
  <si>
    <t>EXP-00463</t>
  </si>
  <si>
    <t>EXP-00265</t>
  </si>
  <si>
    <t>EXP-00585</t>
  </si>
  <si>
    <t>EXP-00945</t>
  </si>
  <si>
    <t>EXP-00353</t>
  </si>
  <si>
    <t>EXP-00597</t>
  </si>
  <si>
    <t>EXP-00450</t>
  </si>
  <si>
    <t>EXP-00661</t>
  </si>
  <si>
    <t>EXP-00525</t>
  </si>
  <si>
    <t>EXP-00388</t>
  </si>
  <si>
    <t>EXP-00485</t>
  </si>
  <si>
    <t>EXP-00016</t>
  </si>
  <si>
    <t>EXP-00038</t>
  </si>
  <si>
    <t>EXP-00589</t>
  </si>
  <si>
    <t>EXP-00879</t>
  </si>
  <si>
    <t>EXP-00618</t>
  </si>
  <si>
    <t>EXP-00117</t>
  </si>
  <si>
    <t>EXP-00833</t>
  </si>
  <si>
    <t>EXP-00731</t>
  </si>
  <si>
    <t>EXP-00997</t>
  </si>
  <si>
    <t>EXP-00771</t>
  </si>
  <si>
    <t>EXP-00612</t>
  </si>
  <si>
    <t>EXP-00279</t>
  </si>
  <si>
    <t>EXP-00608</t>
  </si>
  <si>
    <t>EXP-00130</t>
  </si>
  <si>
    <t>EXP-00293</t>
  </si>
  <si>
    <t>EXP-00933</t>
  </si>
  <si>
    <t>EXP-00969</t>
  </si>
  <si>
    <t>EXP-00326</t>
  </si>
  <si>
    <t>EXP-00792</t>
  </si>
  <si>
    <t>EXP-00927</t>
  </si>
  <si>
    <t>EXP-00722</t>
  </si>
  <si>
    <t>EXP-00345</t>
  </si>
  <si>
    <t>EXP-00946</t>
  </si>
  <si>
    <t>EXP-00088</t>
  </si>
  <si>
    <t>EXP-00694</t>
  </si>
  <si>
    <t>EXP-00186</t>
  </si>
  <si>
    <t>EXP-00964</t>
  </si>
  <si>
    <t>EXP-00153</t>
  </si>
  <si>
    <t>EXP-00644</t>
  </si>
  <si>
    <t>EXP-00260</t>
  </si>
  <si>
    <t>EXP-00951</t>
  </si>
  <si>
    <t>EXP-00760</t>
  </si>
  <si>
    <t>EXP-00402</t>
  </si>
  <si>
    <t>EXP-00983</t>
  </si>
  <si>
    <t>EXP-00847</t>
  </si>
  <si>
    <t>EXP-00647</t>
  </si>
  <si>
    <t>EXP-00528</t>
  </si>
  <si>
    <t>EXP-00965</t>
  </si>
  <si>
    <t>EXP-00018</t>
  </si>
  <si>
    <t>EXP-00529</t>
  </si>
  <si>
    <t>EXP-00936</t>
  </si>
  <si>
    <t>EXP-00134</t>
  </si>
  <si>
    <t>EXP-00167</t>
  </si>
  <si>
    <t>EXP-00874</t>
  </si>
  <si>
    <t>EXP-00116</t>
  </si>
  <si>
    <t>EXP-00357</t>
  </si>
  <si>
    <t>EXP-00418</t>
  </si>
  <si>
    <t>EXP-00157</t>
  </si>
  <si>
    <t>EXP-00062</t>
  </si>
  <si>
    <t>EXP-00516</t>
  </si>
  <si>
    <t>EXP-00890</t>
  </si>
  <si>
    <t>EXP-00655</t>
  </si>
  <si>
    <t>EXP-00744</t>
  </si>
  <si>
    <t>EXP-00286</t>
  </si>
  <si>
    <t>EXP-00278</t>
  </si>
  <si>
    <t>EXP-00273</t>
  </si>
  <si>
    <t>EXP-00518</t>
  </si>
  <si>
    <t>EXP-00728</t>
  </si>
  <si>
    <t>EXP-00039</t>
  </si>
  <si>
    <t>EXP-00724</t>
  </si>
  <si>
    <t>EXP-00761</t>
  </si>
  <si>
    <t>EXP-00022</t>
  </si>
  <si>
    <t>EXP-00448</t>
  </si>
  <si>
    <t>EXP-00141</t>
  </si>
  <si>
    <t>EXP-00344</t>
  </si>
  <si>
    <t>EXP-00168</t>
  </si>
  <si>
    <t>EXP-00749</t>
  </si>
  <si>
    <t>EXP-00073</t>
  </si>
  <si>
    <t>EXP-00896</t>
  </si>
  <si>
    <t>EXP-00384</t>
  </si>
  <si>
    <t>EXP-00980</t>
  </si>
  <si>
    <t>EXP-00972</t>
  </si>
  <si>
    <t>EXP-00432</t>
  </si>
  <si>
    <t>EXP-00622</t>
  </si>
  <si>
    <t>EXP-00253</t>
  </si>
  <si>
    <t>EXP-00312</t>
  </si>
  <si>
    <t>EXP-00878</t>
  </si>
  <si>
    <t>EXP-00645</t>
  </si>
  <si>
    <t>EXP-00008</t>
  </si>
  <si>
    <t>EXP-00487</t>
  </si>
  <si>
    <t>EXP-00730</t>
  </si>
  <si>
    <t>EXP-00221</t>
  </si>
  <si>
    <t>EXP-00276</t>
  </si>
  <si>
    <t>EXP-00985</t>
  </si>
  <si>
    <t>EXP-00043</t>
  </si>
  <si>
    <t>EXP-00503</t>
  </si>
  <si>
    <t>EXP-00142</t>
  </si>
  <si>
    <t>EXP-00162</t>
  </si>
  <si>
    <t>EXP-00098</t>
  </si>
  <si>
    <t>EXP-00986</t>
  </si>
  <si>
    <t>EXP-00375</t>
  </si>
  <si>
    <t>EXP-00268</t>
  </si>
  <si>
    <t>EXP-00624</t>
  </si>
  <si>
    <t>EXP-00078</t>
  </si>
  <si>
    <t>EXP-00785</t>
  </si>
  <si>
    <t>EXP-00325</t>
  </si>
  <si>
    <t>EXP-00296</t>
  </si>
  <si>
    <t>EXP-00310</t>
  </si>
  <si>
    <t>EXP-00161</t>
  </si>
  <si>
    <t>EXP-00716</t>
  </si>
  <si>
    <t>EXP-00901</t>
  </si>
  <si>
    <t>EXP-00317</t>
  </si>
  <si>
    <t>EXP-00989</t>
  </si>
  <si>
    <t>EXP-00857</t>
  </si>
  <si>
    <t>EXP-00422</t>
  </si>
  <si>
    <t>EXP-00190</t>
  </si>
  <si>
    <t>EXP-00773</t>
  </si>
  <si>
    <t>EXP-00510</t>
  </si>
  <si>
    <t>EXP-00333</t>
  </si>
  <si>
    <t>EXP-00077</t>
  </si>
  <si>
    <t>EXP-00044</t>
  </si>
  <si>
    <t>EXP-00464</t>
  </si>
  <si>
    <t>EXP-00229</t>
  </si>
  <si>
    <t>EXP-00245</t>
  </si>
  <si>
    <t>EXP-00302</t>
  </si>
  <si>
    <t>EXP-00719</t>
  </si>
  <si>
    <t>EXP-00249</t>
  </si>
  <si>
    <t>EXP-00999</t>
  </si>
  <si>
    <t>EXP-00241</t>
  </si>
  <si>
    <t>EXP-00703</t>
  </si>
  <si>
    <t>EXP-00755</t>
  </si>
  <si>
    <t>EXP-00862</t>
  </si>
  <si>
    <t>EXP-00123</t>
  </si>
  <si>
    <t>EXP-00855</t>
  </si>
  <si>
    <t>EXP-00894</t>
  </si>
  <si>
    <t>EXP-00440</t>
  </si>
  <si>
    <t>EXP-00058</t>
  </si>
  <si>
    <t>EXP-00380</t>
  </si>
  <si>
    <t>EXP-00918</t>
  </si>
  <si>
    <t>EXP-00257</t>
  </si>
  <si>
    <t>EXP-00905</t>
  </si>
  <si>
    <t>EXP-00949</t>
  </si>
  <si>
    <t>EXP-00678</t>
  </si>
  <si>
    <t>EXP-00735</t>
  </si>
  <si>
    <t>EXP-00237</t>
  </si>
  <si>
    <t>EXP-00305</t>
  </si>
  <si>
    <t>EXP-00465</t>
  </si>
  <si>
    <t>EXP-00547</t>
  </si>
  <si>
    <t>EXP-00815</t>
  </si>
  <si>
    <t>EXP-00446</t>
  </si>
  <si>
    <t>EXP-00753</t>
  </si>
  <si>
    <t>EXP-00812</t>
  </si>
  <si>
    <t>EXP-00852</t>
  </si>
  <si>
    <t>EXP-00737</t>
  </si>
  <si>
    <t>EXP-00064</t>
  </si>
  <si>
    <t>EXP-00504</t>
  </si>
  <si>
    <t>EXP-00688</t>
  </si>
  <si>
    <t>EXP-00831</t>
  </si>
  <si>
    <t>EXP-00400</t>
  </si>
  <si>
    <t>EXP-00409</t>
  </si>
  <si>
    <t>EXP-00087</t>
  </si>
  <si>
    <t>EXP-00667</t>
  </si>
  <si>
    <t>EXP-00128</t>
  </si>
  <si>
    <t>EXP-00040</t>
  </si>
  <si>
    <t>EXP-00910</t>
  </si>
  <si>
    <t>EXP-00826</t>
  </si>
  <si>
    <t>EXP-00551</t>
  </si>
  <si>
    <t>EXP-00425</t>
  </si>
  <si>
    <t>EXP-00484</t>
  </si>
  <si>
    <t>EXP-00591</t>
  </si>
  <si>
    <t>EXP-00640</t>
  </si>
  <si>
    <t>EXP-00509</t>
  </si>
  <si>
    <t>EXP-00893</t>
  </si>
  <si>
    <t>EXP-00614</t>
  </si>
  <si>
    <t>EXP-00698</t>
  </si>
  <si>
    <t>EXP-00885</t>
  </si>
  <si>
    <t>EXP-00225</t>
  </si>
  <si>
    <t>EXP-00740</t>
  </si>
  <si>
    <t>EXP-00804</t>
  </si>
  <si>
    <t>EXP-00069</t>
  </si>
  <si>
    <t>EXP-00204</t>
  </si>
  <si>
    <t>EXP-00562</t>
  </si>
  <si>
    <t>EXP-00014</t>
  </si>
  <si>
    <t>EXP-00921</t>
  </si>
  <si>
    <t>EXP-00304</t>
  </si>
  <si>
    <t>EXP-00013</t>
  </si>
  <si>
    <t>EXP-00412</t>
  </si>
  <si>
    <t>EXP-00063</t>
  </si>
  <si>
    <t>EXP-00948</t>
  </si>
  <si>
    <t>EXP-00818</t>
  </si>
  <si>
    <t>EXP-00269</t>
  </si>
  <si>
    <t>EXP-00991</t>
  </si>
  <si>
    <t>EXP-00604</t>
  </si>
  <si>
    <t>EXP-00584</t>
  </si>
  <si>
    <t>EXP-00911</t>
  </si>
  <si>
    <t>EXP-00825</t>
  </si>
  <si>
    <t>EXP-00976</t>
  </si>
  <si>
    <t>EXP-00800</t>
  </si>
  <si>
    <t>EXP-00521</t>
  </si>
  <si>
    <t>EXP-00673</t>
  </si>
  <si>
    <t>EXP-00335</t>
  </si>
  <si>
    <t>EXP-00534</t>
  </si>
  <si>
    <t>EXP-00081</t>
  </si>
  <si>
    <t>EXP-00620</t>
  </si>
  <si>
    <t>EXP-00280</t>
  </si>
  <si>
    <t>EXP-00387</t>
  </si>
  <si>
    <t>EXP-00830</t>
  </si>
  <si>
    <t>EXP-00904</t>
  </si>
  <si>
    <t>EXP-00332</t>
  </si>
  <si>
    <t>EXP-00118</t>
  </si>
  <si>
    <t>EXP-00182</t>
  </si>
  <si>
    <t>EXP-00613</t>
  </si>
  <si>
    <t>EXP-00978</t>
  </si>
  <si>
    <t>EXP-00866</t>
  </si>
  <si>
    <t>EXP-00810</t>
  </si>
  <si>
    <t>EXP-00035</t>
  </si>
  <si>
    <t>EXP-00988</t>
  </si>
  <si>
    <t>EXP-00704</t>
  </si>
  <si>
    <t>EXP-00581</t>
  </si>
  <si>
    <t>EXP-00766</t>
  </si>
  <si>
    <t>EXP-00215</t>
  </si>
  <si>
    <t>EXP-00437</t>
  </si>
  <si>
    <t>EXP-00672</t>
  </si>
  <si>
    <t>EXP-00789</t>
  </si>
  <si>
    <t>EXP-00903</t>
  </si>
  <si>
    <t>EXP-00239</t>
  </si>
  <si>
    <t>EXP-00421</t>
  </si>
  <si>
    <t>EXP-00408</t>
  </si>
  <si>
    <t>EXP-00770</t>
  </si>
  <si>
    <t>EXP-00287</t>
  </si>
  <si>
    <t>EXP-00907</t>
  </si>
  <si>
    <t>EXP-00877</t>
  </si>
  <si>
    <t>EXP-00590</t>
  </si>
  <si>
    <t>EXP-00635</t>
  </si>
  <si>
    <t>EXP-00211</t>
  </si>
  <si>
    <t>EXP-00295</t>
  </si>
  <si>
    <t>EXP-00342</t>
  </si>
  <si>
    <t>EXP-00968</t>
  </si>
  <si>
    <t>EXP-00538</t>
  </si>
  <si>
    <t>EXP-00713</t>
  </si>
  <si>
    <t>EXP-00820</t>
  </si>
  <si>
    <t>EXP-00491</t>
  </si>
  <si>
    <t>EXP-00676</t>
  </si>
  <si>
    <t>EXP-00723</t>
  </si>
  <si>
    <t>EXP-00414</t>
  </si>
  <si>
    <t>EXP-00840</t>
  </si>
  <si>
    <t>EXP-00822</t>
  </si>
  <si>
    <t>EXP-00677</t>
  </si>
  <si>
    <t>EXP-00055</t>
  </si>
  <si>
    <t>EXP-00486</t>
  </si>
  <si>
    <t>EXP-00929</t>
  </si>
  <si>
    <t>EXP-00160</t>
  </si>
  <si>
    <t>EXP-00206</t>
  </si>
  <si>
    <t>EXP-00217</t>
  </si>
  <si>
    <t>EXP-00125</t>
  </si>
  <si>
    <t>EXP-00782</t>
  </si>
  <si>
    <t>EXP-00340</t>
  </si>
  <si>
    <t>EXP-00567</t>
  </si>
  <si>
    <t>EXP-00867</t>
  </si>
  <si>
    <t>EXP-00137</t>
  </si>
  <si>
    <t>EXP-00813</t>
  </si>
  <si>
    <t>EXP-00308</t>
  </si>
  <si>
    <t>EXP-00902</t>
  </si>
  <si>
    <t>EXP-00068</t>
  </si>
  <si>
    <t>EXP-00746</t>
  </si>
  <si>
    <t>EXP-00054</t>
  </si>
  <si>
    <t>EXP-00386</t>
  </si>
  <si>
    <t>EXP-00863</t>
  </si>
  <si>
    <t>EXP-00379</t>
  </si>
  <si>
    <t>EXP-00005</t>
  </si>
  <si>
    <t>EXP-00119</t>
  </si>
  <si>
    <t>EXP-00496</t>
  </si>
  <si>
    <t>EXP-00819</t>
  </si>
  <si>
    <t>EXP-00175</t>
  </si>
  <si>
    <t>EXP-00610</t>
  </si>
  <si>
    <t>EXP-00187</t>
  </si>
  <si>
    <t>EXP-00197</t>
  </si>
  <si>
    <t>EXP-00435</t>
  </si>
  <si>
    <t>EXP-00436</t>
  </si>
  <si>
    <t>EXP-00023</t>
  </si>
  <si>
    <t>EXP-00469</t>
  </si>
  <si>
    <t>EXP-00922</t>
  </si>
  <si>
    <t>EXP-00483</t>
  </si>
  <si>
    <t>EXP-00928</t>
  </si>
  <si>
    <t>EXP-00579</t>
  </si>
  <si>
    <t>EXP-00350</t>
  </si>
  <si>
    <t>EXP-00075</t>
  </si>
  <si>
    <t>EXP-00415</t>
  </si>
  <si>
    <t>EXP-00523</t>
  </si>
  <si>
    <t>EXP-00316</t>
  </si>
  <si>
    <t>EXP-00558</t>
  </si>
  <si>
    <t>EXP-00783</t>
  </si>
  <si>
    <t>EXP-00457</t>
  </si>
  <si>
    <t>EXP-00009</t>
  </si>
  <si>
    <t>EXP-00191</t>
  </si>
  <si>
    <t>EXP-00912</t>
  </si>
  <si>
    <t>EXP-00041</t>
  </si>
  <si>
    <t>EXP-00659</t>
  </si>
  <si>
    <t>EXP-00165</t>
  </si>
  <si>
    <t>EXP-00886</t>
  </si>
  <si>
    <t>EXP-00757</t>
  </si>
  <si>
    <t>EXP-00742</t>
  </si>
  <si>
    <t>EXP-00216</t>
  </si>
  <si>
    <t>EXP-00756</t>
  </si>
  <si>
    <t>EXP-00715</t>
  </si>
  <si>
    <t>EXP-00120</t>
  </si>
  <si>
    <t>EXP-00438</t>
  </si>
  <si>
    <t>EXP-00048</t>
  </si>
  <si>
    <t>EXP-00956</t>
  </si>
  <si>
    <t>EXP-00154</t>
  </si>
  <si>
    <t>EXP-00399</t>
  </si>
  <si>
    <t>EXP-00665</t>
  </si>
  <si>
    <t>EXP-00264</t>
  </si>
  <si>
    <t>EXP-00028</t>
  </si>
  <si>
    <t>EXP-00634</t>
  </si>
  <si>
    <t>EXP-00535</t>
  </si>
  <si>
    <t>EXP-00453</t>
  </si>
  <si>
    <t>EXP-00998</t>
  </si>
  <si>
    <t>EXP-00542</t>
  </si>
  <si>
    <t>EXP-00126</t>
  </si>
  <si>
    <t>EXP-00222</t>
  </si>
  <si>
    <t>EXP-00362</t>
  </si>
  <si>
    <t>EXP-00164</t>
  </si>
  <si>
    <t>EXP-00230</t>
  </si>
  <si>
    <t>EXP-00074</t>
  </si>
  <si>
    <t>EXP-00401</t>
  </si>
  <si>
    <t>EXP-00131</t>
  </si>
  <si>
    <t>EXP-00358</t>
  </si>
  <si>
    <t>EXP-00637</t>
  </si>
  <si>
    <t>EXP-00124</t>
  </si>
  <si>
    <t>EXP-00434</t>
  </si>
  <si>
    <t>EXP-00447</t>
  </si>
  <si>
    <t>EXP-00281</t>
  </si>
  <si>
    <t>EXP-00615</t>
  </si>
  <si>
    <t>EXP-00151</t>
  </si>
  <si>
    <t>EXP-00426</t>
  </si>
  <si>
    <t>EXP-00030</t>
  </si>
  <si>
    <t>EXP-00545</t>
  </si>
  <si>
    <t>EXP-00887</t>
  </si>
  <si>
    <t>EXP-00202</t>
  </si>
  <si>
    <t>EXP-00572</t>
  </si>
  <si>
    <t>EXP-00451</t>
  </si>
  <si>
    <t>EXP-00052</t>
  </si>
  <si>
    <t>EXP-00112</t>
  </si>
  <si>
    <t>EXP-00914</t>
  </si>
  <si>
    <t>EXP-00494</t>
  </si>
  <si>
    <t>EXP-00850</t>
  </si>
  <si>
    <t>EXP-00220</t>
  </si>
  <si>
    <t>EXP-00955</t>
  </si>
  <si>
    <t>EXP-00639</t>
  </si>
  <si>
    <t>EXP-00462</t>
  </si>
  <si>
    <t>EXP-00201</t>
  </si>
  <si>
    <t>EXP-00605</t>
  </si>
  <si>
    <t>EXP-00975</t>
  </si>
  <si>
    <t>EXP-00648</t>
  </si>
  <si>
    <t>EXP-00970</t>
  </si>
  <si>
    <t>EXP-00751</t>
  </si>
  <si>
    <t>EXP-00176</t>
  </si>
  <si>
    <t>EXP-00543</t>
  </si>
  <si>
    <t>EXP-00544</t>
  </si>
  <si>
    <t>EXP-00122</t>
  </si>
  <si>
    <t>EXP-00829</t>
  </si>
  <si>
    <t>EXP-00361</t>
  </si>
  <si>
    <t>EXP-00389</t>
  </si>
  <si>
    <t>EXP-00858</t>
  </si>
  <si>
    <t>EXP-00814</t>
  </si>
  <si>
    <t>EXP-00632</t>
  </si>
  <si>
    <t>EXP-00377</t>
  </si>
  <si>
    <t>EXP-00170</t>
  </si>
  <si>
    <t>EXP-00787</t>
  </si>
  <si>
    <t>EXP-00091</t>
  </si>
  <si>
    <t>EXP-00920</t>
  </si>
  <si>
    <t>EXP-00032</t>
  </si>
  <si>
    <t>EXP-00934</t>
  </si>
  <si>
    <t>EXP-00500</t>
  </si>
  <si>
    <t>EXP-00094</t>
  </si>
  <si>
    <t>EXP-00461</t>
  </si>
  <si>
    <t>EXP-00670</t>
  </si>
  <si>
    <t>EXP-00406</t>
  </si>
  <si>
    <t>EXP-00861</t>
  </si>
  <si>
    <t>EXP-00937</t>
  </si>
  <si>
    <t>EXP-00159</t>
  </si>
  <si>
    <t>EXP-00595</t>
  </si>
  <si>
    <t>EXP-00309</t>
  </si>
  <si>
    <t>EXP-00036</t>
  </si>
  <si>
    <t>EXP-00017</t>
  </si>
  <si>
    <t>EXP-00311</t>
  </si>
  <si>
    <t>EXP-00845</t>
  </si>
  <si>
    <t>EXP-00019</t>
  </si>
  <si>
    <t>EXP-00759</t>
  </si>
  <si>
    <t>EXP-00790</t>
  </si>
  <si>
    <t>EXP-00252</t>
  </si>
  <si>
    <t>EXP-00809</t>
  </si>
  <si>
    <t>EXP-00993</t>
  </si>
  <si>
    <t>EXP-00752</t>
  </si>
  <si>
    <t>EXP-00900</t>
  </si>
  <si>
    <t>EXP-00828</t>
  </si>
  <si>
    <t>EXP-00189</t>
  </si>
  <si>
    <t>EXP-00687</t>
  </si>
  <si>
    <t>EXP-00836</t>
  </si>
  <si>
    <t>EXP-00702</t>
  </si>
  <si>
    <t>EXP-00958</t>
  </si>
  <si>
    <t>EXP-00429</t>
  </si>
  <si>
    <t>EXP-00556</t>
  </si>
  <si>
    <t>EXP-00146</t>
  </si>
  <si>
    <t>EXP-00370</t>
  </si>
  <si>
    <t>EXP-00942</t>
  </si>
  <si>
    <t>EXP-00629</t>
  </si>
  <si>
    <t>EXP-00524</t>
  </si>
  <si>
    <t>EXP-00763</t>
  </si>
  <si>
    <t>EXP-00940</t>
  </si>
  <si>
    <t>EXP-00347</t>
  </si>
  <si>
    <t>EXP-00513</t>
  </si>
  <si>
    <t>EXP-00478</t>
  </si>
  <si>
    <t>EXP-00950</t>
  </si>
  <si>
    <t>EXP-00480</t>
  </si>
  <si>
    <t>EXP-00708</t>
  </si>
  <si>
    <t>EXP-00646</t>
  </si>
  <si>
    <t>EXP-00214</t>
  </si>
  <si>
    <t>EXP-00711</t>
  </si>
  <si>
    <t>EXP-00802</t>
  </si>
  <si>
    <t>EXP-00926</t>
  </si>
  <si>
    <t>EXP-00791</t>
  </si>
  <si>
    <t>EXP-00114</t>
  </si>
  <si>
    <t>EXP-00010</t>
  </si>
  <si>
    <t>EXP-00152</t>
  </si>
  <si>
    <t>EXP-00323</t>
  </si>
  <si>
    <t>EXP-00643</t>
  </si>
  <si>
    <t>EXP-00236</t>
  </si>
  <si>
    <t>EXP-00599</t>
  </si>
  <si>
    <t>EXP-00870</t>
  </si>
  <si>
    <t>EXP-00498</t>
  </si>
  <si>
    <t>EXP-00786</t>
  </si>
  <si>
    <t>EXP-00110</t>
  </si>
  <si>
    <t>EXP-00359</t>
  </si>
  <si>
    <t>EXP-00003</t>
  </si>
  <si>
    <t>EXP-00042</t>
  </si>
  <si>
    <t>EXP-00240</t>
  </si>
  <si>
    <t>EXP-00292</t>
  </si>
  <si>
    <t>EXP-00025</t>
  </si>
  <si>
    <t>EXP-00259</t>
  </si>
  <si>
    <t>EXP-00086</t>
  </si>
  <si>
    <t>EXP-00092</t>
  </si>
  <si>
    <t>EXP-00827</t>
  </si>
  <si>
    <t>EXP-00349</t>
  </si>
  <si>
    <t>EXP-00841</t>
  </si>
  <si>
    <t>EXP-00906</t>
  </si>
  <si>
    <t>EXP-00113</t>
  </si>
  <si>
    <t>EXP-00381</t>
  </si>
  <si>
    <t>EXP-00140</t>
  </si>
  <si>
    <t>EXP-00788</t>
  </si>
  <si>
    <t>EXP-00285</t>
  </si>
  <si>
    <t>EXP-00707</t>
  </si>
  <si>
    <t>EXP-00586</t>
  </si>
  <si>
    <t>EXP-00611</t>
  </si>
  <si>
    <t>EXP-00733</t>
  </si>
  <si>
    <t>EXP-00957</t>
  </si>
  <si>
    <t>EXP-00066</t>
  </si>
  <si>
    <t>EXP-00266</t>
  </si>
  <si>
    <t>EXP-00145</t>
  </si>
  <si>
    <t>EXP-00139</t>
  </si>
  <si>
    <t>EXP-00106</t>
  </si>
  <si>
    <t>EXP-00625</t>
  </si>
  <si>
    <t>EXP-00864</t>
  </si>
  <si>
    <t>EXP-00916</t>
  </si>
  <si>
    <t>EXP-00346</t>
  </si>
  <si>
    <t>EXP-00460</t>
  </si>
  <si>
    <t>EXP-00329</t>
  </si>
  <si>
    <t>EXP-00578</t>
  </si>
  <si>
    <t>EXP-00173</t>
  </si>
  <si>
    <t>EXP-00174</t>
  </si>
  <si>
    <t>EXP-00299</t>
  </si>
  <si>
    <t>EXP-00811</t>
  </si>
  <si>
    <t>EXP-00745</t>
  </si>
  <si>
    <t>EXP-00158</t>
  </si>
  <si>
    <t>EXP-00261</t>
  </si>
  <si>
    <t>EXP-00472</t>
  </si>
  <si>
    <t>EXP-00051</t>
  </si>
  <si>
    <t>EXP-00502</t>
  </si>
  <si>
    <t>EXP-00987</t>
  </si>
  <si>
    <t>EXP-00871</t>
  </si>
  <si>
    <t>EXP-00322</t>
  </si>
  <si>
    <t>EXP-00816</t>
  </si>
  <si>
    <t>EXP-00932</t>
  </si>
  <si>
    <t>EXP-00696</t>
  </si>
  <si>
    <t>EXP-00649</t>
  </si>
  <si>
    <t>EXP-00507</t>
  </si>
  <si>
    <t>EXP-00199</t>
  </si>
  <si>
    <t>EXP-00821</t>
  </si>
  <si>
    <t>EXP-00700</t>
  </si>
  <si>
    <t>EXP-00184</t>
  </si>
  <si>
    <t>EXP-00549</t>
  </si>
  <si>
    <t>EXP-00712</t>
  </si>
  <si>
    <t>EXP-00355</t>
  </si>
  <si>
    <t>EXP-00769</t>
  </si>
  <si>
    <t>EXP-00843</t>
  </si>
  <si>
    <t>EXP-00404</t>
  </si>
  <si>
    <t>EXP-00244</t>
  </si>
  <si>
    <t>EXP-00492</t>
  </si>
  <si>
    <t>EXP-00616</t>
  </si>
  <si>
    <t>EXP-00256</t>
  </si>
  <si>
    <t>EXP-00393</t>
  </si>
  <si>
    <t>EXP-00149</t>
  </si>
  <si>
    <t>EXP-00774</t>
  </si>
  <si>
    <t>EXP-00455</t>
  </si>
  <si>
    <t>EXP-00482</t>
  </si>
  <si>
    <t>EXP-00037</t>
  </si>
  <si>
    <t>EXP-00729</t>
  </si>
  <si>
    <t>EXP-00439</t>
  </si>
  <si>
    <t>EXP-00799</t>
  </si>
  <si>
    <t>EXP-00808</t>
  </si>
  <si>
    <t>EXP-00959</t>
  </si>
  <si>
    <t>EXP-00213</t>
  </si>
  <si>
    <t>EXP-00247</t>
  </si>
  <si>
    <t>EXP-00133</t>
  </si>
  <si>
    <t>EXP-00047</t>
  </si>
  <si>
    <t>EXP-00859</t>
  </si>
  <si>
    <t>EXP-00297</t>
  </si>
  <si>
    <t>EXP-00228</t>
  </si>
  <si>
    <t>EXP-00823</t>
  </si>
  <si>
    <t>EXP-00559</t>
  </si>
  <si>
    <t>EXP-00577</t>
  </si>
  <si>
    <t>EXP-00327</t>
  </si>
  <si>
    <t>EXP-00709</t>
  </si>
  <si>
    <t>EXP-00662</t>
  </si>
  <si>
    <t>EXP-00908</t>
  </si>
  <si>
    <t>EXP-00952</t>
  </si>
  <si>
    <t>EXP-00570</t>
  </si>
  <si>
    <t>EXP-00967</t>
  </si>
  <si>
    <t>EXP-00177</t>
  </si>
  <si>
    <t>EXP-00441</t>
  </si>
  <si>
    <t>EXP-00398</t>
  </si>
  <si>
    <t>EXP-00747</t>
  </si>
  <si>
    <t>EXP-00758</t>
  </si>
  <si>
    <t>EXP-00303</t>
  </si>
  <si>
    <t>EXP-00588</t>
  </si>
  <si>
    <t>EXP-00960</t>
  </si>
  <si>
    <t>EXP-00641</t>
  </si>
  <si>
    <t>EXP-00476</t>
  </si>
  <si>
    <t>EXP-00527</t>
  </si>
  <si>
    <t>EXP-00212</t>
  </si>
  <si>
    <t>EXP-00609</t>
  </si>
  <si>
    <t>EXP-00996</t>
  </si>
  <si>
    <t>EXP-00090</t>
  </si>
  <si>
    <t>EXP-00046</t>
  </si>
  <si>
    <t>EXP-00697</t>
  </si>
  <si>
    <t>EXP-00258</t>
  </si>
  <si>
    <t>EXP-00012</t>
  </si>
  <si>
    <t>EXP-00565</t>
  </si>
  <si>
    <t>EXP-00805</t>
  </si>
  <si>
    <t>EXP-00807</t>
  </si>
  <si>
    <t>EXP-00413</t>
  </si>
  <si>
    <t>EXP-00143</t>
  </si>
  <si>
    <t>EXP-00328</t>
  </si>
  <si>
    <t>EXP-00459</t>
  </si>
  <si>
    <t>EXP-00270</t>
  </si>
  <si>
    <t>Unassigned</t>
  </si>
  <si>
    <t>Deal Value Outlier Statistics</t>
  </si>
  <si>
    <t>Mean Deal Value (INR)</t>
  </si>
  <si>
    <t>Std Dev (INR)</t>
  </si>
  <si>
    <t>Upper Threshold (Mean+3*STD)</t>
  </si>
  <si>
    <t>Lower Threshold (Mean-3*STD)</t>
  </si>
  <si>
    <t>Value</t>
  </si>
  <si>
    <t>Outlier_Flag</t>
  </si>
  <si>
    <t>1. Total Deal Value and Deal Count by Deal Stage and Quarter</t>
  </si>
  <si>
    <t>Total Deal Value (INR) — all deals regardless of stage outcome</t>
  </si>
  <si>
    <t>Column Labels</t>
  </si>
  <si>
    <t>Grand Total</t>
  </si>
  <si>
    <t>Row Labels</t>
  </si>
  <si>
    <t>Count of Deal_ID</t>
  </si>
  <si>
    <t>Sum of Deal_Value_INR</t>
  </si>
  <si>
    <t>Deal Count by Stage and Quarter</t>
  </si>
  <si>
    <t>Unknown</t>
  </si>
  <si>
    <t>Total Closed</t>
  </si>
  <si>
    <t>Win Rate</t>
  </si>
  <si>
    <t>3. Average Days to Close by Product and by Lead Source</t>
  </si>
  <si>
    <t>Calculated over closed deals only (blank Days_to_Close excluded automatically)</t>
  </si>
  <si>
    <t>By Region</t>
  </si>
  <si>
    <t>2. Win Rate by Sales Rep and by Region</t>
  </si>
  <si>
    <t>Win Rate = Closed Won / (Closed Won + Closed Lost)</t>
  </si>
  <si>
    <t>By Sales Rep</t>
  </si>
  <si>
    <t>Avg Days to Close</t>
  </si>
  <si>
    <t>Closed Deal Count</t>
  </si>
  <si>
    <t>By Lead Source</t>
  </si>
  <si>
    <t>4. Quarterly Revenue Trend — Closed Won Deals Only (Q1-2023 to Q1-2025)</t>
  </si>
  <si>
    <t>By Product</t>
  </si>
  <si>
    <t>1. Total Expenses by Department and Category (INR)</t>
  </si>
  <si>
    <t>Sum of Amount_INR</t>
  </si>
  <si>
    <t>2. Budget Variance (Actual vs Allocated) by Department</t>
  </si>
  <si>
    <t>Variance (INR)</t>
  </si>
  <si>
    <t>Variance %</t>
  </si>
  <si>
    <t>Status</t>
  </si>
  <si>
    <t>3. Top 5 Vendors by Total Spend</t>
  </si>
  <si>
    <t>4. Rejected or Pending Expenses Above INR 200,000</t>
  </si>
  <si>
    <t>Task/Case Study 2 — Part C: Finance Analysis</t>
  </si>
  <si>
    <t>NovaByte Solutions — source: Cleaned_Finance_Expenses (1,000 expense records after removing duplicates)</t>
  </si>
  <si>
    <t>Sum of Amount (INR)</t>
  </si>
  <si>
    <t>Approval Status</t>
  </si>
  <si>
    <t>Expense Date</t>
  </si>
  <si>
    <t>Total Spend (INR)</t>
  </si>
  <si>
    <t>Count of Expense_ID</t>
  </si>
  <si>
    <t>Closed Won Revenue (INR)</t>
  </si>
  <si>
    <t>Task/Case Study 2 — Part B: Sales Analysis</t>
  </si>
  <si>
    <t>NovaByte Solutions — source: Cleaned_Sales_Deals (2,500 deals after removing duplicates)</t>
  </si>
  <si>
    <t>Unspecified</t>
  </si>
  <si>
    <t>Uncategorized</t>
  </si>
  <si>
    <t>Amount_Type_Flag</t>
  </si>
  <si>
    <t>High_Value_Pending_Rejected_Flag</t>
  </si>
  <si>
    <t>Task/Case Study 2</t>
  </si>
  <si>
    <t>NovaByte Solutions | Sales &amp; Finance</t>
  </si>
  <si>
    <t>Duplicates removed: 40 exact duplicate rows in Sales_Deals (2,540 → 2,500) and 25 in Finance_Expenses (1,025 → 1,000).</t>
  </si>
  <si>
    <t>Days-to-close varies more by lead source than by product: Cold Outreach and Webinar-sourced deals close fastest; Trade Show and unrecorded ("Unknown") lead sources take noticeably longer.</t>
  </si>
  <si>
    <t>Outlier deal values: 40 deals flagged above the mean + 3 standard deviation threshold - kept in the data, not removed, since large deals can be legitimate.</t>
  </si>
  <si>
    <t>Negative Finance amounts: 40 rows with negative Amount_INR kept as is - these are credit/refund transactions, not data errors.</t>
  </si>
  <si>
    <t>Missing values - Sales_Deals: Sales_Rep and Lead_Source blanks filled with placeholder values ("Unassigned"/"Unknown"); Discount_Percent left blank where missing rather than guessed. Close_Date/Days_to_Close are blank on open deals - expected, not an error.</t>
  </si>
  <si>
    <t>Missing values - Finance_Expenses: Department and Category blanks filled with placeholder values; Budget_Allocated_INR (and therefore Variance) left blank where the source data had no budget figure to work from.</t>
  </si>
  <si>
    <t>Revenue is trending down: Closed Won revenue fell from ₹2.33 crore in Q1-2023 to ₹1.55 crore in Q1-2025 - a decline of roughly a third over nine quarters, not a single-quarter dip. This directly supports the case brief's premise of a revenue slowdown.</t>
  </si>
  <si>
    <t>At the department level, every department is under its cumulative allocated budget for the period - none show a positive (over-budget) variance in aggregate.</t>
  </si>
  <si>
    <t>Top vendors by total spend: Wipro, Zoom, TCS, AWS, and Google Cloud lead the list - cloud infrastructure and consulting/collaboration tools account for the largest share of vendor spend.</t>
  </si>
  <si>
    <t>181 expense records exceeding ₹200,000 are currently sitting in Pending or Rejected status - a meaningful amount of spend in unresolved approval limbo, worth flagging to Finance leadership for follow-up.</t>
  </si>
  <si>
    <t>Where to Find Each Deliverable Item</t>
  </si>
  <si>
    <t>Raw data: Raw_Sales_Deals, Raw_Finance_Expenses</t>
  </si>
  <si>
    <t>Cleaned data: Cleaned_Sales_Deals, Cleaned_Finance_Expenses</t>
  </si>
  <si>
    <t>Pivot tables, win rate, days-to-close, and revenue chart: Sales Analysis</t>
  </si>
  <si>
    <t>Expense pivot, budget variance, top vendors, and flagged expenses: Finance Analysis</t>
  </si>
  <si>
    <t>Recomputed_Variance_INR</t>
  </si>
  <si>
    <t>Total Actual (INR)</t>
  </si>
  <si>
    <t>Total Allocated (INR)</t>
  </si>
  <si>
    <t>Variance = Actual - Allocated (signed Amount_INR used, so refunds/credits reduce net spend). Positive = over budget. See Summary sheet for a note on the source Variance_INR column's sign convention.</t>
  </si>
  <si>
    <t>181 expense records match this criteria (also flagged live in Cleaned_Finance_Expenses, column O).</t>
  </si>
  <si>
    <t>Dates standardized: Sales_Deals.Created_Date mixed 91 text-formatted dates (MM/DD/YYYY) with proper datetime values; all dates across both files now display as YYYY-MM-DD.</t>
  </si>
  <si>
    <t>Cleaning the Lens - Data Preparation and Departmental Analysis</t>
  </si>
  <si>
    <t>Part A - Data Cleaning Summary</t>
  </si>
  <si>
    <t>Part B - Sales Analysis: Key Findings</t>
  </si>
  <si>
    <t>Part C - Finance Analysis: Key Findings</t>
  </si>
  <si>
    <t>Text fields (casing, extra spaces, blank names): checked across Sales_Rep, Product, Lead_Source, Deal_Stage, Region, Department, Category, and Vendor - no casing or whitespace inconsistencies were found in this data pull. All categorical values are already clean and consistently formatted.</t>
  </si>
  <si>
    <t>Win rate is healthy and fairly consistent: in the 55 - 71% range across sales reps, and a narrower 61- 67% range across regions - no single rep or region stands out as a structural problem, though the lower performers may be worth a coaching conversation.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</si>
</sst>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;@"/>
    <numFmt numFmtId="165" formatCode="_ * #,##0_ ;_ * \-#,##0_ ;_ * &quot;-&quot;??_ ;_ @_ "/>
    <numFmt numFmtId="166" formatCode="0.0"/>
    <numFmt numFmtId="167" formatCode="0.0%"/>
    <numFmt numFmtId="168" formatCode="[$-14009]yyyy/mm/dd;@"/>
  </numFmts>
  <fonts count="3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rgb="FF1F4E78"/>
      <name val="Times New Roman"/>
      <family val="1"/>
    </font>
    <font>
      <b/>
      <i/>
      <sz val="10"/>
      <color rgb="FF1F4E78"/>
      <name val="Times New Roman"/>
      <family val="1"/>
    </font>
    <font>
      <sz val="11"/>
      <color theme="0" tint="-4.9989318521683403E-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b/>
      <sz val="14"/>
      <color rgb="FF1F4E78"/>
      <name val="Times New Roman"/>
      <family val="1"/>
    </font>
    <font>
      <b/>
      <sz val="16"/>
      <color rgb="FF1F4E78"/>
      <name val="Times New Roman"/>
      <family val="1"/>
    </font>
    <font>
      <i/>
      <sz val="9"/>
      <color rgb="FF555555"/>
      <name val="Times New Roman"/>
      <family val="1"/>
    </font>
    <font>
      <b/>
      <sz val="10"/>
      <color rgb="FFFFFFFF"/>
      <name val="Times New Roman"/>
      <family val="1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4" tint="-0.499984740745262"/>
      <name val="Times New Roman"/>
      <family val="1"/>
    </font>
    <font>
      <sz val="12"/>
      <color theme="4" tint="-0.499984740745262"/>
      <name val="Times New Roman"/>
      <family val="1"/>
    </font>
    <font>
      <b/>
      <sz val="18"/>
      <color rgb="FF1F4E78"/>
      <name val="Times New Roman"/>
      <family val="1"/>
    </font>
    <font>
      <sz val="12"/>
      <color theme="0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0"/>
      <color rgb="FF555555"/>
      <name val="Times New Roman"/>
      <family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2"/>
      <color rgb="FF555555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0"/>
      <color theme="0"/>
      <name val="Arial"/>
      <family val="2"/>
    </font>
    <font>
      <i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FFCCCC"/>
        <bgColor indexed="64"/>
      </patternFill>
    </fill>
    <fill>
      <patternFill patternType="solid">
        <fgColor rgb="FFDCE6F1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6" fillId="0" borderId="0" applyFont="0" applyFill="0" applyBorder="0" applyAlignment="0" applyProtection="0"/>
    <xf numFmtId="0" fontId="24" fillId="0" borderId="0"/>
    <xf numFmtId="0" fontId="24" fillId="0" borderId="0">
      <alignment horizontal="left"/>
    </xf>
    <xf numFmtId="0" fontId="24" fillId="0" borderId="0"/>
    <xf numFmtId="0" fontId="24" fillId="0" borderId="0"/>
    <xf numFmtId="0" fontId="25" fillId="0" borderId="0"/>
    <xf numFmtId="0" fontId="25" fillId="0" borderId="0">
      <alignment horizontal="left"/>
    </xf>
    <xf numFmtId="0" fontId="24" fillId="0" borderId="0"/>
  </cellStyleXfs>
  <cellXfs count="7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pivotButton="1" applyFont="1"/>
    <xf numFmtId="0" fontId="2" fillId="0" borderId="0" xfId="0" applyFont="1" applyAlignment="1">
      <alignment horizontal="left"/>
    </xf>
    <xf numFmtId="165" fontId="2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0" fontId="14" fillId="0" borderId="0" xfId="0" applyFont="1"/>
    <xf numFmtId="0" fontId="7" fillId="2" borderId="1" xfId="0" applyFont="1" applyFill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7" fontId="2" fillId="0" borderId="1" xfId="1" applyNumberFormat="1" applyFont="1" applyBorder="1" applyAlignment="1">
      <alignment horizontal="center"/>
    </xf>
    <xf numFmtId="0" fontId="5" fillId="2" borderId="1" xfId="0" applyFont="1" applyFill="1" applyBorder="1"/>
    <xf numFmtId="165" fontId="2" fillId="0" borderId="1" xfId="0" applyNumberFormat="1" applyFont="1" applyBorder="1" applyAlignment="1"/>
    <xf numFmtId="165" fontId="2" fillId="0" borderId="1" xfId="0" applyNumberFormat="1" applyFont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7" fillId="2" borderId="0" xfId="0" applyFont="1" applyFill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7" fontId="2" fillId="0" borderId="0" xfId="1" applyNumberFormat="1" applyFont="1"/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7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1" xfId="0" applyFont="1" applyBorder="1" applyAlignment="1">
      <alignment horizontal="center"/>
    </xf>
    <xf numFmtId="166" fontId="0" fillId="0" borderId="1" xfId="0" applyNumberFormat="1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1" xfId="0" pivotButton="1" applyFont="1" applyBorder="1"/>
    <xf numFmtId="168" fontId="0" fillId="0" borderId="0" xfId="0" applyNumberFormat="1"/>
    <xf numFmtId="0" fontId="3" fillId="6" borderId="0" xfId="2" applyFont="1" applyFill="1" applyBorder="1" applyAlignment="1"/>
    <xf numFmtId="0" fontId="26" fillId="0" borderId="0" xfId="2" applyFont="1"/>
    <xf numFmtId="0" fontId="27" fillId="0" borderId="0" xfId="0" applyFont="1"/>
    <xf numFmtId="0" fontId="3" fillId="0" borderId="0" xfId="2" applyFont="1" applyBorder="1" applyAlignment="1"/>
    <xf numFmtId="0" fontId="28" fillId="0" borderId="0" xfId="2" applyFont="1" applyAlignment="1">
      <alignment horizontal="center" vertical="center"/>
    </xf>
    <xf numFmtId="0" fontId="29" fillId="0" borderId="0" xfId="2" applyFont="1" applyAlignment="1">
      <alignment vertical="top" wrapText="1"/>
    </xf>
    <xf numFmtId="0" fontId="30" fillId="0" borderId="0" xfId="0" applyFont="1"/>
    <xf numFmtId="0" fontId="23" fillId="0" borderId="0" xfId="0" applyFont="1"/>
    <xf numFmtId="0" fontId="31" fillId="0" borderId="0" xfId="0" applyFont="1"/>
    <xf numFmtId="0" fontId="27" fillId="0" borderId="0" xfId="2" applyFont="1" applyFill="1" applyBorder="1" applyAlignment="1">
      <alignment wrapText="1"/>
    </xf>
    <xf numFmtId="0" fontId="28" fillId="0" borderId="0" xfId="2" applyFont="1" applyFill="1" applyBorder="1" applyAlignment="1">
      <alignment horizontal="center" vertical="center"/>
    </xf>
    <xf numFmtId="0" fontId="3" fillId="6" borderId="0" xfId="2" applyFont="1" applyFill="1" applyBorder="1"/>
  </cellXfs>
  <cellStyles count="9">
    <cellStyle name="Normal" xfId="0" builtinId="0"/>
    <cellStyle name="Normal 2" xfId="2" xr:uid="{E4C06C3A-5B4F-4FDB-A2AA-F394453B0D72}"/>
    <cellStyle name="Percent" xfId="1" builtinId="5"/>
    <cellStyle name="Pivot Table Category" xfId="3" xr:uid="{0C07F9BE-A9B0-4F61-BC9E-7B5897130B6E}"/>
    <cellStyle name="Pivot Table Corner" xfId="4" xr:uid="{595FAD7E-25EC-4AE6-8F9C-EDABB2D5E173}"/>
    <cellStyle name="Pivot Table Field" xfId="5" xr:uid="{E8F82BF3-C7CA-45DE-8839-FA720B418A03}"/>
    <cellStyle name="Pivot Table Result" xfId="6" xr:uid="{7BCA2B69-B307-4979-B1D0-3130ECECC91A}"/>
    <cellStyle name="Pivot Table Title" xfId="7" xr:uid="{BEB598ED-0194-4B87-969B-BB8913A6AE68}"/>
    <cellStyle name="Pivot Table Value" xfId="8" xr:uid="{0AF4D232-434B-4B56-A18D-A7D4CF12D9D7}"/>
  </cellStyles>
  <dxfs count="2221"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165" formatCode="_ * #,##0_ ;_ * \-#,##0_ ;_ * &quot;-&quot;??_ ;_ @_ 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wrapText="1"/>
    </dxf>
    <dxf>
      <alignment wrapText="0"/>
    </dxf>
    <dxf>
      <alignment wrapText="1"/>
    </dxf>
    <dxf>
      <font>
        <sz val="16"/>
      </font>
    </dxf>
    <dxf>
      <font>
        <sz val="16"/>
      </font>
    </dxf>
    <dxf>
      <font>
        <sz val="16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numFmt numFmtId="165" formatCode="_ * #,##0_ ;_ * \-#,##0_ ;_ * &quot;-&quot;??_ ;_ @_ "/>
    </dxf>
    <dxf>
      <alignment vertical="center"/>
    </dxf>
    <dxf>
      <alignment vertical="center"/>
    </dxf>
    <dxf>
      <alignment wrapText="1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left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165" formatCode="_ * #,##0_ ;_ * \-#,##0_ ;_ * &quot;-&quot;??_ ;_ @_ 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numFmt numFmtId="165" formatCode="_ * #,##0_ ;_ * \-#,##0_ ;_ * &quot;-&quot;??_ ;_ @_ "/>
    </dxf>
    <dxf>
      <alignment horizontal="center"/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ill>
        <patternFill>
          <bgColor theme="4" tint="-0.499984740745262"/>
        </patternFill>
      </fill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sz val="11"/>
      </font>
    </dxf>
    <dxf>
      <font>
        <sz val="11"/>
      </font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horizontal="left"/>
    </dxf>
    <dxf>
      <alignment horizontal="center"/>
    </dxf>
    <dxf>
      <alignment vertical="center"/>
    </dxf>
    <dxf>
      <font>
        <color theme="0"/>
      </font>
    </dxf>
    <dxf>
      <fill>
        <patternFill>
          <bgColor theme="4" tint="-0.499984740745262"/>
        </patternFill>
      </fill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horizontal="general"/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ill>
        <patternFill>
          <bgColor theme="4" tint="-0.499984740745262"/>
        </patternFill>
      </fill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numFmt numFmtId="165" formatCode="_ * #,##0_ ;_ * \-#,##0_ ;_ * &quot;-&quot;??_ ;_ @_ "/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 * #,##0_ ;_ * \-#,##0_ ;_ * &quot;-&quot;??_ ;_ @_ "/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14009]yyyy/mm/dd;@"/>
    </dxf>
    <dxf>
      <numFmt numFmtId="168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FDE2D7"/>
      <color rgb="FFFFCC9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 2.xlsx]Sales Analysis!PivotTable15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5"/>
            </a:solidFill>
          </a:ln>
          <a:effectLst>
            <a:glow rad="139700">
              <a:schemeClr val="accent5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Analysis'!$B$89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'Sales Analysis'!$A$90:$A$98</c:f>
              <c:strCache>
                <c:ptCount val="9"/>
                <c:pt idx="0">
                  <c:v>Q1-2023</c:v>
                </c:pt>
                <c:pt idx="1">
                  <c:v>Q2-2023</c:v>
                </c:pt>
                <c:pt idx="2">
                  <c:v>Q3-2023</c:v>
                </c:pt>
                <c:pt idx="3">
                  <c:v>Q4-2023</c:v>
                </c:pt>
                <c:pt idx="4">
                  <c:v>Q1-2024</c:v>
                </c:pt>
                <c:pt idx="5">
                  <c:v>Q2-2024</c:v>
                </c:pt>
                <c:pt idx="6">
                  <c:v>Q3-2024</c:v>
                </c:pt>
                <c:pt idx="7">
                  <c:v>Q4-2024</c:v>
                </c:pt>
                <c:pt idx="8">
                  <c:v>Q1-2025</c:v>
                </c:pt>
              </c:strCache>
            </c:strRef>
          </c:cat>
          <c:val>
            <c:numRef>
              <c:f>'Sales Analysis'!$B$90:$B$98</c:f>
              <c:numCache>
                <c:formatCode>_ * #,##0_ ;_ * \-#,##0_ ;_ * "-"??_ ;_ @_ </c:formatCode>
                <c:ptCount val="9"/>
                <c:pt idx="0">
                  <c:v>23298342</c:v>
                </c:pt>
                <c:pt idx="1">
                  <c:v>21194799</c:v>
                </c:pt>
                <c:pt idx="2">
                  <c:v>16417272</c:v>
                </c:pt>
                <c:pt idx="3">
                  <c:v>22994816</c:v>
                </c:pt>
                <c:pt idx="4">
                  <c:v>19839336</c:v>
                </c:pt>
                <c:pt idx="5">
                  <c:v>13903057</c:v>
                </c:pt>
                <c:pt idx="6">
                  <c:v>17997739</c:v>
                </c:pt>
                <c:pt idx="7">
                  <c:v>17248504</c:v>
                </c:pt>
                <c:pt idx="8">
                  <c:v>15486634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7-4D67-A2C2-6CBA5E63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864000"/>
        <c:axId val="2145864480"/>
      </c:lineChart>
      <c:catAx>
        <c:axId val="2145864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864480"/>
        <c:crosses val="autoZero"/>
        <c:auto val="1"/>
        <c:lblAlgn val="ctr"/>
        <c:lblOffset val="100"/>
        <c:noMultiLvlLbl val="0"/>
      </c:catAx>
      <c:valAx>
        <c:axId val="2145864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86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174448</xdr:colOff>
      <xdr:row>86</xdr:row>
      <xdr:rowOff>971</xdr:rowOff>
    </xdr:from>
    <xdr:to>
      <xdr:col>10</xdr:col>
      <xdr:colOff>468313</xdr:colOff>
      <xdr:row>102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A559D-C216-C0C4-0D3A-6E177AD97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brata Sahoo" refreshedDate="46273.564596990742" createdVersion="8" refreshedVersion="8" minRefreshableVersion="3" recordCount="2500" xr:uid="{B8AE1AA9-6EBF-4828-979A-DE7C7CB5FF39}">
  <cacheSource type="worksheet">
    <worksheetSource name="Cleaned_Sales_Deals"/>
  </cacheSource>
  <cacheFields count="14">
    <cacheField name="Deal_ID" numFmtId="0">
      <sharedItems/>
    </cacheField>
    <cacheField name="Sales_Rep" numFmtId="0">
      <sharedItems count="16">
        <s v="Rohit Mehta"/>
        <s v="Amit Pillai"/>
        <s v="Vikram Patel"/>
        <s v="Siddharth Joshi"/>
        <s v="Unassigned"/>
        <s v="Aditya Pillai"/>
        <s v="Meera Reddy"/>
        <s v="Ananya Sharma"/>
        <s v="Siddharth Gupta"/>
        <s v="Rahul Patel"/>
        <s v="Riya Das"/>
        <s v="Vikram Iyer"/>
        <s v="Neha Pillai"/>
        <s v="Arjun Rao"/>
        <s v="Deepika Das"/>
        <s v="Priya Kumar"/>
      </sharedItems>
    </cacheField>
    <cacheField name="Client_ID" numFmtId="0">
      <sharedItems/>
    </cacheField>
    <cacheField name="Product" numFmtId="0">
      <sharedItems count="6">
        <s v="SecureNet Suite"/>
        <s v="AI Insights Module"/>
        <s v="AnalyticsEdge"/>
        <s v="DataVault Pro"/>
        <s v="CloudShift Platform"/>
        <s v="DevOps Accelerator"/>
      </sharedItems>
    </cacheField>
    <cacheField name="Lead_Source" numFmtId="0">
      <sharedItems count="9">
        <s v="Referral"/>
        <s v="Organic Search"/>
        <s v="Email Campaign"/>
        <s v="Google Ads"/>
        <s v="LinkedIn Campaign"/>
        <s v="Webinar"/>
        <s v="Trade Show"/>
        <s v="Cold Outreach"/>
        <s v="Unknown"/>
      </sharedItems>
    </cacheField>
    <cacheField name="Deal_Stage" numFmtId="0">
      <sharedItems count="6">
        <s v="Closed Lost"/>
        <s v="Prospecting"/>
        <s v="Proposal Sent"/>
        <s v="Closed Won"/>
        <s v="Qualification"/>
        <s v="Negotiation"/>
      </sharedItems>
    </cacheField>
    <cacheField name="Deal_Value_INR" numFmtId="0">
      <sharedItems containsSemiMixedTypes="0" containsString="0" containsNumber="1" containsInteger="1" minValue="10537" maxValue="1977965"/>
    </cacheField>
    <cacheField name="Created_Date" numFmtId="168">
      <sharedItems containsSemiMixedTypes="0" containsNonDate="0" containsDate="1" containsString="0" minDate="2023-01-01T00:00:00" maxDate="2025-04-01T00:00:00"/>
    </cacheField>
    <cacheField name="Close_Date" numFmtId="168">
      <sharedItems containsNonDate="0" containsDate="1" containsString="0" containsBlank="1" minDate="2023-01-25T00:00:00" maxDate="2025-09-20T00:00:00"/>
    </cacheField>
    <cacheField name="Days_to_Close" numFmtId="0">
      <sharedItems containsString="0" containsBlank="1" containsNumber="1" containsInteger="1" minValue="15" maxValue="180"/>
    </cacheField>
    <cacheField name="Discount_Percent" numFmtId="0">
      <sharedItems containsString="0" containsBlank="1" containsNumber="1" minValue="0" maxValue="24.9"/>
    </cacheField>
    <cacheField name="Region" numFmtId="0">
      <sharedItems count="4">
        <s v="West"/>
        <s v="South"/>
        <s v="East"/>
        <s v="North"/>
      </sharedItems>
    </cacheField>
    <cacheField name="Quarter" numFmtId="0">
      <sharedItems count="9">
        <s v="Q4-2023"/>
        <s v="Q2-2023"/>
        <s v="Q1-2023"/>
        <s v="Q4-2024"/>
        <s v="Q1-2025"/>
        <s v="Q1-2024"/>
        <s v="Q3-2023"/>
        <s v="Q2-2024"/>
        <s v="Q3-2024"/>
      </sharedItems>
    </cacheField>
    <cacheField name="Outlier_Flag" numFmtId="0">
      <sharedItems/>
    </cacheField>
  </cacheFields>
  <extLst>
    <ext xmlns:x14="http://schemas.microsoft.com/office/spreadsheetml/2009/9/main" uri="{725AE2AE-9491-48be-B2B4-4EB974FC3084}">
      <x14:pivotCacheDefinition pivotCacheId="198775031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brata Sahoo" refreshedDate="46273.564597685188" createdVersion="8" refreshedVersion="8" minRefreshableVersion="3" recordCount="1000" xr:uid="{3BC28E04-217D-4470-93FF-D62086FE1F65}">
  <cacheSource type="worksheet">
    <worksheetSource name="Cleaned_Finance_Expenses"/>
  </cacheSource>
  <cacheFields count="17">
    <cacheField name="Expense_ID" numFmtId="0">
      <sharedItems count="1000">
        <s v="EXP-00594"/>
        <s v="EXP-00495"/>
        <s v="EXP-00587"/>
        <s v="EXP-00178"/>
        <s v="EXP-00869"/>
        <s v="EXP-00674"/>
        <s v="EXP-00181"/>
        <s v="EXP-00277"/>
        <s v="EXP-00515"/>
        <s v="EXP-00339"/>
        <s v="EXP-00555"/>
        <s v="EXP-00803"/>
        <s v="EXP-00875"/>
        <s v="EXP-00691"/>
        <s v="EXP-00233"/>
        <s v="EXP-00071"/>
        <s v="EXP-00860"/>
        <s v="EXP-00607"/>
        <s v="EXP-00651"/>
        <s v="EXP-00652"/>
        <s v="EXP-00369"/>
        <s v="EXP-00721"/>
        <s v="EXP-00390"/>
        <s v="EXP-00520"/>
        <s v="EXP-00971"/>
        <s v="EXP-00411"/>
        <s v="EXP-00354"/>
        <s v="EXP-00600"/>
        <s v="EXP-00034"/>
        <s v="EXP-00200"/>
        <s v="EXP-00925"/>
        <s v="EXP-00546"/>
        <s v="EXP-00602"/>
        <s v="EXP-00083"/>
        <s v="EXP-00750"/>
        <s v="EXP-00172"/>
        <s v="EXP-00531"/>
        <s v="EXP-00337"/>
        <s v="EXP-00832"/>
        <s v="EXP-00717"/>
        <s v="EXP-00601"/>
        <s v="EXP-00275"/>
        <s v="EXP-00466"/>
        <s v="EXP-00663"/>
        <s v="EXP-00954"/>
        <s v="EXP-00024"/>
        <s v="EXP-00430"/>
        <s v="EXP-00219"/>
        <s v="EXP-00318"/>
        <s v="EXP-00235"/>
        <s v="EXP-00231"/>
        <s v="EXP-00680"/>
        <s v="EXP-00301"/>
        <s v="EXP-00617"/>
        <s v="EXP-00994"/>
        <s v="EXP-00548"/>
        <s v="EXP-00738"/>
        <s v="EXP-00490"/>
        <s v="EXP-00449"/>
        <s v="EXP-00147"/>
        <s v="EXP-00348"/>
        <s v="EXP-00372"/>
        <s v="EXP-00397"/>
        <s v="EXP-00806"/>
        <s v="EXP-00660"/>
        <s v="EXP-00207"/>
        <s v="EXP-00085"/>
        <s v="EXP-00209"/>
        <s v="EXP-00089"/>
        <s v="EXP-00889"/>
        <s v="EXP-00899"/>
        <s v="EXP-00470"/>
        <s v="EXP-00720"/>
        <s v="EXP-00033"/>
        <s v="EXP-00636"/>
        <s v="EXP-00382"/>
        <s v="EXP-00550"/>
        <s v="EXP-00163"/>
        <s v="EXP-00795"/>
        <s v="EXP-00727"/>
        <s v="EXP-00403"/>
        <s v="EXP-00569"/>
        <s v="EXP-00396"/>
        <s v="EXP-00865"/>
        <s v="EXP-00271"/>
        <s v="EXP-00272"/>
        <s v="EXP-00583"/>
        <s v="EXP-00533"/>
        <s v="EXP-00371"/>
        <s v="EXP-00835"/>
        <s v="EXP-00923"/>
        <s v="EXP-00169"/>
        <s v="EXP-00683"/>
        <s v="EXP-00506"/>
        <s v="EXP-00540"/>
        <s v="EXP-00532"/>
        <s v="EXP-00898"/>
        <s v="EXP-00179"/>
        <s v="EXP-00321"/>
        <s v="EXP-00514"/>
        <s v="EXP-00407"/>
        <s v="EXP-00053"/>
        <s v="EXP-00530"/>
        <s v="EXP-00838"/>
        <s v="EXP-00150"/>
        <s v="EXP-00553"/>
        <s v="EXP-00767"/>
        <s v="EXP-00754"/>
        <s v="EXP-00552"/>
        <s v="EXP-00941"/>
        <s v="EXP-00876"/>
        <s v="EXP-00909"/>
        <s v="EXP-00475"/>
        <s v="EXP-00250"/>
        <s v="EXP-00917"/>
        <s v="EXP-00915"/>
        <s v="EXP-00739"/>
        <s v="EXP-00517"/>
        <s v="EXP-00778"/>
        <s v="EXP-00057"/>
        <s v="EXP-00424"/>
        <s v="EXP-00267"/>
        <s v="EXP-00227"/>
        <s v="EXP-00263"/>
        <s v="EXP-00365"/>
        <s v="EXP-00045"/>
        <s v="EXP-00108"/>
        <s v="EXP-00849"/>
        <s v="EXP-00015"/>
        <s v="EXP-00568"/>
        <s v="EXP-00319"/>
        <s v="EXP-00254"/>
        <s v="EXP-00794"/>
        <s v="EXP-00095"/>
        <s v="EXP-00148"/>
        <s v="EXP-00693"/>
        <s v="EXP-00801"/>
        <s v="EXP-00891"/>
        <s v="EXP-00621"/>
        <s v="EXP-00741"/>
        <s v="EXP-00474"/>
        <s v="EXP-00324"/>
        <s v="EXP-00884"/>
        <s v="EXP-00557"/>
        <s v="EXP-00592"/>
        <s v="EXP-00290"/>
        <s v="EXP-00061"/>
        <s v="EXP-00002"/>
        <s v="EXP-00512"/>
        <s v="EXP-00031"/>
        <s v="EXP-00675"/>
        <s v="EXP-00477"/>
        <s v="EXP-00654"/>
        <s v="EXP-00679"/>
        <s v="EXP-00360"/>
        <s v="EXP-00627"/>
        <s v="EXP-00180"/>
        <s v="EXP-00982"/>
        <s v="EXP-00564"/>
        <s v="EXP-00203"/>
        <s v="EXP-01000"/>
        <s v="EXP-00944"/>
        <s v="EXP-00246"/>
        <s v="EXP-00011"/>
        <s v="EXP-00501"/>
        <s v="EXP-00580"/>
        <s v="EXP-00410"/>
        <s v="EXP-00961"/>
        <s v="EXP-00334"/>
        <s v="EXP-00977"/>
        <s v="EXP-00695"/>
        <s v="EXP-00431"/>
        <s v="EXP-00990"/>
        <s v="EXP-00356"/>
        <s v="EXP-00582"/>
        <s v="EXP-00666"/>
        <s v="EXP-00300"/>
        <s v="EXP-00226"/>
        <s v="EXP-00420"/>
        <s v="EXP-00924"/>
        <s v="EXP-00373"/>
        <s v="EXP-00109"/>
        <s v="EXP-00706"/>
        <s v="EXP-00351"/>
        <s v="EXP-00001"/>
        <s v="EXP-00104"/>
        <s v="EXP-00096"/>
        <s v="EXP-00195"/>
        <s v="EXP-00467"/>
        <s v="EXP-00138"/>
        <s v="EXP-00445"/>
        <s v="EXP-00671"/>
        <s v="EXP-00454"/>
        <s v="EXP-00193"/>
        <s v="EXP-00682"/>
        <s v="EXP-00776"/>
        <s v="EXP-00686"/>
        <s v="EXP-00561"/>
        <s v="EXP-00049"/>
        <s v="EXP-00872"/>
        <s v="EXP-00981"/>
        <s v="EXP-00628"/>
        <s v="EXP-00765"/>
        <s v="EXP-00854"/>
        <s v="EXP-00726"/>
        <s v="EXP-00560"/>
        <s v="EXP-00573"/>
        <s v="EXP-00598"/>
        <s v="EXP-00198"/>
        <s v="EXP-00938"/>
        <s v="EXP-00681"/>
        <s v="EXP-00171"/>
        <s v="EXP-00575"/>
        <s v="EXP-00248"/>
        <s v="EXP-00471"/>
        <s v="EXP-00385"/>
        <s v="EXP-00714"/>
        <s v="EXP-00341"/>
        <s v="EXP-00873"/>
        <s v="EXP-00732"/>
        <s v="EXP-00298"/>
        <s v="EXP-00743"/>
        <s v="EXP-00596"/>
        <s v="EXP-00093"/>
        <s v="EXP-00208"/>
        <s v="EXP-00132"/>
        <s v="EXP-00888"/>
        <s v="EXP-00642"/>
        <s v="EXP-00919"/>
        <s v="EXP-00121"/>
        <s v="EXP-00606"/>
        <s v="EXP-00155"/>
        <s v="EXP-00294"/>
        <s v="EXP-00881"/>
        <s v="EXP-00626"/>
        <s v="EXP-00274"/>
        <s v="EXP-00883"/>
        <s v="EXP-00364"/>
        <s v="EXP-00947"/>
        <s v="EXP-00699"/>
        <s v="EXP-00004"/>
        <s v="EXP-00718"/>
        <s v="EXP-00668"/>
        <s v="EXP-00026"/>
        <s v="EXP-00658"/>
        <s v="EXP-00493"/>
        <s v="EXP-00224"/>
        <s v="EXP-00135"/>
        <s v="EXP-00251"/>
        <s v="EXP-00631"/>
        <s v="EXP-00593"/>
        <s v="EXP-00995"/>
        <s v="EXP-00817"/>
        <s v="EXP-00701"/>
        <s v="EXP-00880"/>
        <s v="EXP-00488"/>
        <s v="EXP-00935"/>
        <s v="EXP-00692"/>
        <s v="EXP-00306"/>
        <s v="EXP-00027"/>
        <s v="EXP-00072"/>
        <s v="EXP-00797"/>
        <s v="EXP-00779"/>
        <s v="EXP-00336"/>
        <s v="EXP-00781"/>
        <s v="EXP-00725"/>
        <s v="EXP-00417"/>
        <s v="EXP-00021"/>
        <s v="EXP-00363"/>
        <s v="EXP-00764"/>
        <s v="EXP-00839"/>
        <s v="EXP-00824"/>
        <s v="EXP-00059"/>
        <s v="EXP-00638"/>
        <s v="EXP-00984"/>
        <s v="EXP-00442"/>
        <s v="EXP-00284"/>
        <s v="EXP-00851"/>
        <s v="EXP-00664"/>
        <s v="EXP-00897"/>
        <s v="EXP-00566"/>
        <s v="EXP-00834"/>
        <s v="EXP-00913"/>
        <s v="EXP-00223"/>
        <s v="EXP-00511"/>
        <s v="EXP-00129"/>
        <s v="EXP-00433"/>
        <s v="EXP-00748"/>
        <s v="EXP-00734"/>
        <s v="EXP-00100"/>
        <s v="EXP-00419"/>
        <s v="EXP-00563"/>
        <s v="EXP-00218"/>
        <s v="EXP-00489"/>
        <s v="EXP-00796"/>
        <s v="EXP-00846"/>
        <s v="EXP-00966"/>
        <s v="EXP-00352"/>
        <s v="EXP-00508"/>
        <s v="EXP-00205"/>
        <s v="EXP-00050"/>
        <s v="EXP-00458"/>
        <s v="EXP-00539"/>
        <s v="EXP-00111"/>
        <s v="EXP-00710"/>
        <s v="EXP-00536"/>
        <s v="EXP-00576"/>
        <s v="EXP-00065"/>
        <s v="EXP-00630"/>
        <s v="EXP-00505"/>
        <s v="EXP-00479"/>
        <s v="EXP-00313"/>
        <s v="EXP-00315"/>
        <s v="EXP-00943"/>
        <s v="EXP-00444"/>
        <s v="EXP-00007"/>
        <s v="EXP-00183"/>
        <s v="EXP-00185"/>
        <s v="EXP-00603"/>
        <s v="EXP-00103"/>
        <s v="EXP-00099"/>
        <s v="EXP-00166"/>
        <s v="EXP-00844"/>
        <s v="EXP-00391"/>
        <s v="EXP-00079"/>
        <s v="EXP-00443"/>
        <s v="EXP-00076"/>
        <s v="EXP-00320"/>
        <s v="EXP-00080"/>
        <s v="EXP-00452"/>
        <s v="EXP-00541"/>
        <s v="EXP-00468"/>
        <s v="EXP-00456"/>
        <s v="EXP-00383"/>
        <s v="EXP-00882"/>
        <s v="EXP-00427"/>
        <s v="EXP-00192"/>
        <s v="EXP-00196"/>
        <s v="EXP-00537"/>
        <s v="EXP-00234"/>
        <s v="EXP-00067"/>
        <s v="EXP-00392"/>
        <s v="EXP-00238"/>
        <s v="EXP-00338"/>
        <s v="EXP-00574"/>
        <s v="EXP-00473"/>
        <s v="EXP-00689"/>
        <s v="EXP-00144"/>
        <s v="EXP-00376"/>
        <s v="EXP-00856"/>
        <s v="EXP-00423"/>
        <s v="EXP-00367"/>
        <s v="EXP-00685"/>
        <s v="EXP-00656"/>
        <s v="EXP-00156"/>
        <s v="EXP-00953"/>
        <s v="EXP-00780"/>
        <s v="EXP-00307"/>
        <s v="EXP-00522"/>
        <s v="EXP-00115"/>
        <s v="EXP-00777"/>
        <s v="EXP-00029"/>
        <s v="EXP-00283"/>
        <s v="EXP-00619"/>
        <s v="EXP-00705"/>
        <s v="EXP-00101"/>
        <s v="EXP-00343"/>
        <s v="EXP-00330"/>
        <s v="EXP-00405"/>
        <s v="EXP-00842"/>
        <s v="EXP-00762"/>
        <s v="EXP-00291"/>
        <s v="EXP-00416"/>
        <s v="EXP-00127"/>
        <s v="EXP-00974"/>
        <s v="EXP-00892"/>
        <s v="EXP-00775"/>
        <s v="EXP-00837"/>
        <s v="EXP-00684"/>
        <s v="EXP-00368"/>
        <s v="EXP-00623"/>
        <s v="EXP-00939"/>
        <s v="EXP-00979"/>
        <s v="EXP-00784"/>
        <s v="EXP-00736"/>
        <s v="EXP-00056"/>
        <s v="EXP-00210"/>
        <s v="EXP-00690"/>
        <s v="EXP-00930"/>
        <s v="EXP-00006"/>
        <s v="EXP-00497"/>
        <s v="EXP-00107"/>
        <s v="EXP-00262"/>
        <s v="EXP-00853"/>
        <s v="EXP-00331"/>
        <s v="EXP-00554"/>
        <s v="EXP-00519"/>
        <s v="EXP-00020"/>
        <s v="EXP-00288"/>
        <s v="EXP-00395"/>
        <s v="EXP-00282"/>
        <s v="EXP-00481"/>
        <s v="EXP-00105"/>
        <s v="EXP-00499"/>
        <s v="EXP-00194"/>
        <s v="EXP-00289"/>
        <s v="EXP-00242"/>
        <s v="EXP-00931"/>
        <s v="EXP-00243"/>
        <s v="EXP-00669"/>
        <s v="EXP-00895"/>
        <s v="EXP-00378"/>
        <s v="EXP-00793"/>
        <s v="EXP-00772"/>
        <s v="EXP-00188"/>
        <s v="EXP-00428"/>
        <s v="EXP-00060"/>
        <s v="EXP-00084"/>
        <s v="EXP-00232"/>
        <s v="EXP-00526"/>
        <s v="EXP-00070"/>
        <s v="EXP-00394"/>
        <s v="EXP-00255"/>
        <s v="EXP-00571"/>
        <s v="EXP-00798"/>
        <s v="EXP-00848"/>
        <s v="EXP-00962"/>
        <s v="EXP-00657"/>
        <s v="EXP-00082"/>
        <s v="EXP-00633"/>
        <s v="EXP-00102"/>
        <s v="EXP-00136"/>
        <s v="EXP-00963"/>
        <s v="EXP-00653"/>
        <s v="EXP-00097"/>
        <s v="EXP-00973"/>
        <s v="EXP-00868"/>
        <s v="EXP-00374"/>
        <s v="EXP-00768"/>
        <s v="EXP-00650"/>
        <s v="EXP-00314"/>
        <s v="EXP-00366"/>
        <s v="EXP-00992"/>
        <s v="EXP-00463"/>
        <s v="EXP-00265"/>
        <s v="EXP-00585"/>
        <s v="EXP-00945"/>
        <s v="EXP-00353"/>
        <s v="EXP-00597"/>
        <s v="EXP-00450"/>
        <s v="EXP-00661"/>
        <s v="EXP-00525"/>
        <s v="EXP-00388"/>
        <s v="EXP-00485"/>
        <s v="EXP-00016"/>
        <s v="EXP-00038"/>
        <s v="EXP-00589"/>
        <s v="EXP-00879"/>
        <s v="EXP-00618"/>
        <s v="EXP-00117"/>
        <s v="EXP-00833"/>
        <s v="EXP-00731"/>
        <s v="EXP-00997"/>
        <s v="EXP-00771"/>
        <s v="EXP-00612"/>
        <s v="EXP-00279"/>
        <s v="EXP-00608"/>
        <s v="EXP-00130"/>
        <s v="EXP-00293"/>
        <s v="EXP-00933"/>
        <s v="EXP-00969"/>
        <s v="EXP-00326"/>
        <s v="EXP-00792"/>
        <s v="EXP-00927"/>
        <s v="EXP-00722"/>
        <s v="EXP-00345"/>
        <s v="EXP-00946"/>
        <s v="EXP-00088"/>
        <s v="EXP-00694"/>
        <s v="EXP-00186"/>
        <s v="EXP-00964"/>
        <s v="EXP-00153"/>
        <s v="EXP-00644"/>
        <s v="EXP-00260"/>
        <s v="EXP-00951"/>
        <s v="EXP-00760"/>
        <s v="EXP-00402"/>
        <s v="EXP-00983"/>
        <s v="EXP-00847"/>
        <s v="EXP-00647"/>
        <s v="EXP-00528"/>
        <s v="EXP-00965"/>
        <s v="EXP-00018"/>
        <s v="EXP-00529"/>
        <s v="EXP-00936"/>
        <s v="EXP-00134"/>
        <s v="EXP-00167"/>
        <s v="EXP-00874"/>
        <s v="EXP-00116"/>
        <s v="EXP-00357"/>
        <s v="EXP-00418"/>
        <s v="EXP-00157"/>
        <s v="EXP-00062"/>
        <s v="EXP-00516"/>
        <s v="EXP-00890"/>
        <s v="EXP-00655"/>
        <s v="EXP-00744"/>
        <s v="EXP-00286"/>
        <s v="EXP-00278"/>
        <s v="EXP-00273"/>
        <s v="EXP-00518"/>
        <s v="EXP-00728"/>
        <s v="EXP-00039"/>
        <s v="EXP-00724"/>
        <s v="EXP-00761"/>
        <s v="EXP-00022"/>
        <s v="EXP-00448"/>
        <s v="EXP-00141"/>
        <s v="EXP-00344"/>
        <s v="EXP-00168"/>
        <s v="EXP-00749"/>
        <s v="EXP-00073"/>
        <s v="EXP-00896"/>
        <s v="EXP-00384"/>
        <s v="EXP-00980"/>
        <s v="EXP-00972"/>
        <s v="EXP-00432"/>
        <s v="EXP-00622"/>
        <s v="EXP-00253"/>
        <s v="EXP-00312"/>
        <s v="EXP-00878"/>
        <s v="EXP-00645"/>
        <s v="EXP-00008"/>
        <s v="EXP-00487"/>
        <s v="EXP-00730"/>
        <s v="EXP-00221"/>
        <s v="EXP-00276"/>
        <s v="EXP-00985"/>
        <s v="EXP-00043"/>
        <s v="EXP-00503"/>
        <s v="EXP-00142"/>
        <s v="EXP-00162"/>
        <s v="EXP-00098"/>
        <s v="EXP-00986"/>
        <s v="EXP-00375"/>
        <s v="EXP-00268"/>
        <s v="EXP-00624"/>
        <s v="EXP-00078"/>
        <s v="EXP-00785"/>
        <s v="EXP-00325"/>
        <s v="EXP-00296"/>
        <s v="EXP-00310"/>
        <s v="EXP-00161"/>
        <s v="EXP-00716"/>
        <s v="EXP-00901"/>
        <s v="EXP-00317"/>
        <s v="EXP-00989"/>
        <s v="EXP-00857"/>
        <s v="EXP-00422"/>
        <s v="EXP-00190"/>
        <s v="EXP-00773"/>
        <s v="EXP-00510"/>
        <s v="EXP-00333"/>
        <s v="EXP-00077"/>
        <s v="EXP-00044"/>
        <s v="EXP-00464"/>
        <s v="EXP-00229"/>
        <s v="EXP-00245"/>
        <s v="EXP-00302"/>
        <s v="EXP-00719"/>
        <s v="EXP-00249"/>
        <s v="EXP-00999"/>
        <s v="EXP-00241"/>
        <s v="EXP-00703"/>
        <s v="EXP-00755"/>
        <s v="EXP-00862"/>
        <s v="EXP-00123"/>
        <s v="EXP-00855"/>
        <s v="EXP-00894"/>
        <s v="EXP-00440"/>
        <s v="EXP-00058"/>
        <s v="EXP-00380"/>
        <s v="EXP-00918"/>
        <s v="EXP-00257"/>
        <s v="EXP-00905"/>
        <s v="EXP-00949"/>
        <s v="EXP-00678"/>
        <s v="EXP-00735"/>
        <s v="EXP-00237"/>
        <s v="EXP-00305"/>
        <s v="EXP-00465"/>
        <s v="EXP-00547"/>
        <s v="EXP-00815"/>
        <s v="EXP-00446"/>
        <s v="EXP-00753"/>
        <s v="EXP-00812"/>
        <s v="EXP-00852"/>
        <s v="EXP-00737"/>
        <s v="EXP-00064"/>
        <s v="EXP-00504"/>
        <s v="EXP-00688"/>
        <s v="EXP-00831"/>
        <s v="EXP-00400"/>
        <s v="EXP-00409"/>
        <s v="EXP-00087"/>
        <s v="EXP-00667"/>
        <s v="EXP-00128"/>
        <s v="EXP-00040"/>
        <s v="EXP-00910"/>
        <s v="EXP-00826"/>
        <s v="EXP-00551"/>
        <s v="EXP-00425"/>
        <s v="EXP-00484"/>
        <s v="EXP-00591"/>
        <s v="EXP-00640"/>
        <s v="EXP-00509"/>
        <s v="EXP-00893"/>
        <s v="EXP-00614"/>
        <s v="EXP-00698"/>
        <s v="EXP-00885"/>
        <s v="EXP-00225"/>
        <s v="EXP-00740"/>
        <s v="EXP-00804"/>
        <s v="EXP-00069"/>
        <s v="EXP-00204"/>
        <s v="EXP-00562"/>
        <s v="EXP-00014"/>
        <s v="EXP-00921"/>
        <s v="EXP-00304"/>
        <s v="EXP-00013"/>
        <s v="EXP-00412"/>
        <s v="EXP-00063"/>
        <s v="EXP-00948"/>
        <s v="EXP-00818"/>
        <s v="EXP-00269"/>
        <s v="EXP-00991"/>
        <s v="EXP-00604"/>
        <s v="EXP-00584"/>
        <s v="EXP-00911"/>
        <s v="EXP-00825"/>
        <s v="EXP-00976"/>
        <s v="EXP-00800"/>
        <s v="EXP-00521"/>
        <s v="EXP-00673"/>
        <s v="EXP-00335"/>
        <s v="EXP-00534"/>
        <s v="EXP-00081"/>
        <s v="EXP-00620"/>
        <s v="EXP-00280"/>
        <s v="EXP-00387"/>
        <s v="EXP-00830"/>
        <s v="EXP-00904"/>
        <s v="EXP-00332"/>
        <s v="EXP-00118"/>
        <s v="EXP-00182"/>
        <s v="EXP-00613"/>
        <s v="EXP-00978"/>
        <s v="EXP-00866"/>
        <s v="EXP-00810"/>
        <s v="EXP-00035"/>
        <s v="EXP-00988"/>
        <s v="EXP-00704"/>
        <s v="EXP-00581"/>
        <s v="EXP-00766"/>
        <s v="EXP-00215"/>
        <s v="EXP-00437"/>
        <s v="EXP-00672"/>
        <s v="EXP-00789"/>
        <s v="EXP-00903"/>
        <s v="EXP-00239"/>
        <s v="EXP-00421"/>
        <s v="EXP-00408"/>
        <s v="EXP-00770"/>
        <s v="EXP-00287"/>
        <s v="EXP-00907"/>
        <s v="EXP-00877"/>
        <s v="EXP-00590"/>
        <s v="EXP-00635"/>
        <s v="EXP-00211"/>
        <s v="EXP-00295"/>
        <s v="EXP-00342"/>
        <s v="EXP-00968"/>
        <s v="EXP-00538"/>
        <s v="EXP-00713"/>
        <s v="EXP-00820"/>
        <s v="EXP-00491"/>
        <s v="EXP-00676"/>
        <s v="EXP-00723"/>
        <s v="EXP-00414"/>
        <s v="EXP-00840"/>
        <s v="EXP-00822"/>
        <s v="EXP-00677"/>
        <s v="EXP-00055"/>
        <s v="EXP-00486"/>
        <s v="EXP-00929"/>
        <s v="EXP-00160"/>
        <s v="EXP-00206"/>
        <s v="EXP-00217"/>
        <s v="EXP-00125"/>
        <s v="EXP-00782"/>
        <s v="EXP-00340"/>
        <s v="EXP-00567"/>
        <s v="EXP-00867"/>
        <s v="EXP-00137"/>
        <s v="EXP-00813"/>
        <s v="EXP-00308"/>
        <s v="EXP-00902"/>
        <s v="EXP-00068"/>
        <s v="EXP-00746"/>
        <s v="EXP-00054"/>
        <s v="EXP-00386"/>
        <s v="EXP-00863"/>
        <s v="EXP-00379"/>
        <s v="EXP-00005"/>
        <s v="EXP-00119"/>
        <s v="EXP-00496"/>
        <s v="EXP-00819"/>
        <s v="EXP-00175"/>
        <s v="EXP-00610"/>
        <s v="EXP-00187"/>
        <s v="EXP-00197"/>
        <s v="EXP-00435"/>
        <s v="EXP-00436"/>
        <s v="EXP-00023"/>
        <s v="EXP-00469"/>
        <s v="EXP-00922"/>
        <s v="EXP-00483"/>
        <s v="EXP-00928"/>
        <s v="EXP-00579"/>
        <s v="EXP-00350"/>
        <s v="EXP-00075"/>
        <s v="EXP-00415"/>
        <s v="EXP-00523"/>
        <s v="EXP-00316"/>
        <s v="EXP-00558"/>
        <s v="EXP-00783"/>
        <s v="EXP-00457"/>
        <s v="EXP-00009"/>
        <s v="EXP-00191"/>
        <s v="EXP-00912"/>
        <s v="EXP-00041"/>
        <s v="EXP-00659"/>
        <s v="EXP-00165"/>
        <s v="EXP-00886"/>
        <s v="EXP-00757"/>
        <s v="EXP-00742"/>
        <s v="EXP-00216"/>
        <s v="EXP-00756"/>
        <s v="EXP-00715"/>
        <s v="EXP-00120"/>
        <s v="EXP-00438"/>
        <s v="EXP-00048"/>
        <s v="EXP-00956"/>
        <s v="EXP-00154"/>
        <s v="EXP-00399"/>
        <s v="EXP-00665"/>
        <s v="EXP-00264"/>
        <s v="EXP-00028"/>
        <s v="EXP-00634"/>
        <s v="EXP-00535"/>
        <s v="EXP-00453"/>
        <s v="EXP-00998"/>
        <s v="EXP-00542"/>
        <s v="EXP-00126"/>
        <s v="EXP-00222"/>
        <s v="EXP-00362"/>
        <s v="EXP-00164"/>
        <s v="EXP-00230"/>
        <s v="EXP-00074"/>
        <s v="EXP-00401"/>
        <s v="EXP-00131"/>
        <s v="EXP-00358"/>
        <s v="EXP-00637"/>
        <s v="EXP-00124"/>
        <s v="EXP-00434"/>
        <s v="EXP-00447"/>
        <s v="EXP-00281"/>
        <s v="EXP-00615"/>
        <s v="EXP-00151"/>
        <s v="EXP-00426"/>
        <s v="EXP-00030"/>
        <s v="EXP-00545"/>
        <s v="EXP-00887"/>
        <s v="EXP-00202"/>
        <s v="EXP-00572"/>
        <s v="EXP-00451"/>
        <s v="EXP-00052"/>
        <s v="EXP-00112"/>
        <s v="EXP-00914"/>
        <s v="EXP-00494"/>
        <s v="EXP-00850"/>
        <s v="EXP-00220"/>
        <s v="EXP-00955"/>
        <s v="EXP-00639"/>
        <s v="EXP-00462"/>
        <s v="EXP-00201"/>
        <s v="EXP-00605"/>
        <s v="EXP-00975"/>
        <s v="EXP-00648"/>
        <s v="EXP-00970"/>
        <s v="EXP-00751"/>
        <s v="EXP-00176"/>
        <s v="EXP-00543"/>
        <s v="EXP-00544"/>
        <s v="EXP-00122"/>
        <s v="EXP-00829"/>
        <s v="EXP-00361"/>
        <s v="EXP-00389"/>
        <s v="EXP-00858"/>
        <s v="EXP-00814"/>
        <s v="EXP-00632"/>
        <s v="EXP-00377"/>
        <s v="EXP-00170"/>
        <s v="EXP-00787"/>
        <s v="EXP-00091"/>
        <s v="EXP-00920"/>
        <s v="EXP-00032"/>
        <s v="EXP-00934"/>
        <s v="EXP-00500"/>
        <s v="EXP-00094"/>
        <s v="EXP-00461"/>
        <s v="EXP-00670"/>
        <s v="EXP-00406"/>
        <s v="EXP-00861"/>
        <s v="EXP-00937"/>
        <s v="EXP-00159"/>
        <s v="EXP-00595"/>
        <s v="EXP-00309"/>
        <s v="EXP-00036"/>
        <s v="EXP-00017"/>
        <s v="EXP-00311"/>
        <s v="EXP-00845"/>
        <s v="EXP-00019"/>
        <s v="EXP-00759"/>
        <s v="EXP-00790"/>
        <s v="EXP-00252"/>
        <s v="EXP-00809"/>
        <s v="EXP-00993"/>
        <s v="EXP-00752"/>
        <s v="EXP-00900"/>
        <s v="EXP-00828"/>
        <s v="EXP-00189"/>
        <s v="EXP-00687"/>
        <s v="EXP-00836"/>
        <s v="EXP-00702"/>
        <s v="EXP-00958"/>
        <s v="EXP-00429"/>
        <s v="EXP-00556"/>
        <s v="EXP-00146"/>
        <s v="EXP-00370"/>
        <s v="EXP-00942"/>
        <s v="EXP-00629"/>
        <s v="EXP-00524"/>
        <s v="EXP-00763"/>
        <s v="EXP-00940"/>
        <s v="EXP-00347"/>
        <s v="EXP-00513"/>
        <s v="EXP-00478"/>
        <s v="EXP-00950"/>
        <s v="EXP-00480"/>
        <s v="EXP-00708"/>
        <s v="EXP-00646"/>
        <s v="EXP-00214"/>
        <s v="EXP-00711"/>
        <s v="EXP-00802"/>
        <s v="EXP-00926"/>
        <s v="EXP-00791"/>
        <s v="EXP-00114"/>
        <s v="EXP-00010"/>
        <s v="EXP-00152"/>
        <s v="EXP-00323"/>
        <s v="EXP-00643"/>
        <s v="EXP-00236"/>
        <s v="EXP-00599"/>
        <s v="EXP-00870"/>
        <s v="EXP-00498"/>
        <s v="EXP-00786"/>
        <s v="EXP-00110"/>
        <s v="EXP-00359"/>
        <s v="EXP-00003"/>
        <s v="EXP-00042"/>
        <s v="EXP-00240"/>
        <s v="EXP-00292"/>
        <s v="EXP-00025"/>
        <s v="EXP-00259"/>
        <s v="EXP-00086"/>
        <s v="EXP-00092"/>
        <s v="EXP-00827"/>
        <s v="EXP-00349"/>
        <s v="EXP-00841"/>
        <s v="EXP-00906"/>
        <s v="EXP-00113"/>
        <s v="EXP-00381"/>
        <s v="EXP-00140"/>
        <s v="EXP-00788"/>
        <s v="EXP-00285"/>
        <s v="EXP-00707"/>
        <s v="EXP-00586"/>
        <s v="EXP-00611"/>
        <s v="EXP-00733"/>
        <s v="EXP-00957"/>
        <s v="EXP-00066"/>
        <s v="EXP-00266"/>
        <s v="EXP-00145"/>
        <s v="EXP-00139"/>
        <s v="EXP-00106"/>
        <s v="EXP-00625"/>
        <s v="EXP-00864"/>
        <s v="EXP-00916"/>
        <s v="EXP-00346"/>
        <s v="EXP-00460"/>
        <s v="EXP-00329"/>
        <s v="EXP-00578"/>
        <s v="EXP-00173"/>
        <s v="EXP-00174"/>
        <s v="EXP-00299"/>
        <s v="EXP-00811"/>
        <s v="EXP-00745"/>
        <s v="EXP-00158"/>
        <s v="EXP-00261"/>
        <s v="EXP-00472"/>
        <s v="EXP-00051"/>
        <s v="EXP-00502"/>
        <s v="EXP-00987"/>
        <s v="EXP-00871"/>
        <s v="EXP-00322"/>
        <s v="EXP-00816"/>
        <s v="EXP-00932"/>
        <s v="EXP-00696"/>
        <s v="EXP-00649"/>
        <s v="EXP-00507"/>
        <s v="EXP-00199"/>
        <s v="EXP-00821"/>
        <s v="EXP-00700"/>
        <s v="EXP-00184"/>
        <s v="EXP-00549"/>
        <s v="EXP-00712"/>
        <s v="EXP-00355"/>
        <s v="EXP-00769"/>
        <s v="EXP-00843"/>
        <s v="EXP-00404"/>
        <s v="EXP-00244"/>
        <s v="EXP-00492"/>
        <s v="EXP-00616"/>
        <s v="EXP-00256"/>
        <s v="EXP-00393"/>
        <s v="EXP-00149"/>
        <s v="EXP-00774"/>
        <s v="EXP-00455"/>
        <s v="EXP-00482"/>
        <s v="EXP-00037"/>
        <s v="EXP-00729"/>
        <s v="EXP-00439"/>
        <s v="EXP-00799"/>
        <s v="EXP-00808"/>
        <s v="EXP-00959"/>
        <s v="EXP-00213"/>
        <s v="EXP-00247"/>
        <s v="EXP-00133"/>
        <s v="EXP-00047"/>
        <s v="EXP-00859"/>
        <s v="EXP-00297"/>
        <s v="EXP-00228"/>
        <s v="EXP-00823"/>
        <s v="EXP-00559"/>
        <s v="EXP-00577"/>
        <s v="EXP-00327"/>
        <s v="EXP-00709"/>
        <s v="EXP-00662"/>
        <s v="EXP-00908"/>
        <s v="EXP-00952"/>
        <s v="EXP-00570"/>
        <s v="EXP-00967"/>
        <s v="EXP-00177"/>
        <s v="EXP-00441"/>
        <s v="EXP-00398"/>
        <s v="EXP-00747"/>
        <s v="EXP-00758"/>
        <s v="EXP-00303"/>
        <s v="EXP-00588"/>
        <s v="EXP-00960"/>
        <s v="EXP-00641"/>
        <s v="EXP-00476"/>
        <s v="EXP-00527"/>
        <s v="EXP-00212"/>
        <s v="EXP-00609"/>
        <s v="EXP-00996"/>
        <s v="EXP-00090"/>
        <s v="EXP-00046"/>
        <s v="EXP-00697"/>
        <s v="EXP-00258"/>
        <s v="EXP-00012"/>
        <s v="EXP-00565"/>
        <s v="EXP-00805"/>
        <s v="EXP-00807"/>
        <s v="EXP-00413"/>
        <s v="EXP-00143"/>
        <s v="EXP-00328"/>
        <s v="EXP-00459"/>
        <s v="EXP-00270"/>
      </sharedItems>
    </cacheField>
    <cacheField name="Department" numFmtId="0">
      <sharedItems count="9">
        <s v="Unspecified"/>
        <s v="Operations"/>
        <s v="Sales"/>
        <s v="Finance"/>
        <s v="Engineering"/>
        <s v="Support"/>
        <s v="HR"/>
        <s v="Marketing"/>
        <s v="" u="1"/>
      </sharedItems>
    </cacheField>
    <cacheField name="Category" numFmtId="0">
      <sharedItems count="14">
        <s v="Cloud Infrastructure"/>
        <s v="Utilities"/>
        <s v="Marketing Spend"/>
        <s v="Hardware"/>
        <s v="Office Supplies"/>
        <s v="Consulting Fees"/>
        <s v="Travel"/>
        <s v="Software Licenses"/>
        <s v="Training"/>
        <s v="Salaries"/>
        <s v="Maintenance"/>
        <s v="Recruitment"/>
        <s v="Uncategorized"/>
        <s v="" u="1"/>
      </sharedItems>
    </cacheField>
    <cacheField name="Vendor" numFmtId="0">
      <sharedItems count="16">
        <s v="Slack"/>
        <s v="HubSpot"/>
        <s v="SAP"/>
        <s v="Infosys"/>
        <s v="TCS"/>
        <s v="Wipro"/>
        <s v="Oracle"/>
        <s v="Freshdesk"/>
        <s v="Google Cloud"/>
        <s v="Jira"/>
        <s v="AWS"/>
        <s v="Microsoft Azure"/>
        <s v="Zoom"/>
        <s v="Adobe"/>
        <s v="Internal"/>
        <s v="Salesforce"/>
      </sharedItems>
    </cacheField>
    <cacheField name="Amount_INR" numFmtId="0">
      <sharedItems containsSemiMixedTypes="0" containsString="0" containsNumber="1" containsInteger="1" minValue="-4033752" maxValue="4846353"/>
    </cacheField>
    <cacheField name="Budget_Allocated_INR" numFmtId="0">
      <sharedItems containsString="0" containsBlank="1" containsNumber="1" minValue="6179.9" maxValue="6043271.75"/>
    </cacheField>
    <cacheField name="Variance_INR" numFmtId="0">
      <sharedItems containsString="0" containsBlank="1" containsNumber="1" minValue="-1196918.75" maxValue="750592.99"/>
    </cacheField>
    <cacheField name="Expense_Date" numFmtId="164">
      <sharedItems containsSemiMixedTypes="0" containsNonDate="0" containsDate="1" containsString="0" minDate="2023-01-01T00:00:00" maxDate="2025-03-31T00:00:00" count="583">
        <d v="2023-07-19T00:00:00"/>
        <d v="2023-10-10T00:00:00"/>
        <d v="2024-01-19T00:00:00"/>
        <d v="2025-03-16T00:00:00"/>
        <d v="2023-02-06T00:00:00"/>
        <d v="2024-03-14T00:00:00"/>
        <d v="2023-08-14T00:00:00"/>
        <d v="2023-08-07T00:00:00"/>
        <d v="2024-05-25T00:00:00"/>
        <d v="2025-03-24T00:00:00"/>
        <d v="2025-02-01T00:00:00"/>
        <d v="2024-02-24T00:00:00"/>
        <d v="2024-06-14T00:00:00"/>
        <d v="2024-12-19T00:00:00"/>
        <d v="2025-03-03T00:00:00"/>
        <d v="2024-06-11T00:00:00"/>
        <d v="2024-03-16T00:00:00"/>
        <d v="2024-02-02T00:00:00"/>
        <d v="2023-02-16T00:00:00"/>
        <d v="2023-02-05T00:00:00"/>
        <d v="2024-02-19T00:00:00"/>
        <d v="2023-11-17T00:00:00"/>
        <d v="2023-12-10T00:00:00"/>
        <d v="2024-10-24T00:00:00"/>
        <d v="2023-03-07T00:00:00"/>
        <d v="2024-06-13T00:00:00"/>
        <d v="2024-09-18T00:00:00"/>
        <d v="2024-05-30T00:00:00"/>
        <d v="2024-07-13T00:00:00"/>
        <d v="2024-01-18T00:00:00"/>
        <d v="2023-06-07T00:00:00"/>
        <d v="2023-05-31T00:00:00"/>
        <d v="2024-04-13T00:00:00"/>
        <d v="2024-05-15T00:00:00"/>
        <d v="2023-07-24T00:00:00"/>
        <d v="2024-02-16T00:00:00"/>
        <d v="2023-08-19T00:00:00"/>
        <d v="2024-10-08T00:00:00"/>
        <d v="2024-09-05T00:00:00"/>
        <d v="2024-06-21T00:00:00"/>
        <d v="2023-08-05T00:00:00"/>
        <d v="2023-09-06T00:00:00"/>
        <d v="2024-08-16T00:00:00"/>
        <d v="2023-11-19T00:00:00"/>
        <d v="2024-09-19T00:00:00"/>
        <d v="2024-09-20T00:00:00"/>
        <d v="2023-02-19T00:00:00"/>
        <d v="2024-03-15T00:00:00"/>
        <d v="2023-09-11T00:00:00"/>
        <d v="2023-02-26T00:00:00"/>
        <d v="2023-10-30T00:00:00"/>
        <d v="2023-11-20T00:00:00"/>
        <d v="2025-01-27T00:00:00"/>
        <d v="2024-01-26T00:00:00"/>
        <d v="2025-02-21T00:00:00"/>
        <d v="2023-10-18T00:00:00"/>
        <d v="2024-12-10T00:00:00"/>
        <d v="2024-01-07T00:00:00"/>
        <d v="2023-02-01T00:00:00"/>
        <d v="2023-02-09T00:00:00"/>
        <d v="2024-12-29T00:00:00"/>
        <d v="2024-11-20T00:00:00"/>
        <d v="2024-06-18T00:00:00"/>
        <d v="2024-01-16T00:00:00"/>
        <d v="2024-01-15T00:00:00"/>
        <d v="2023-03-13T00:00:00"/>
        <d v="2024-05-28T00:00:00"/>
        <d v="2023-01-11T00:00:00"/>
        <d v="2023-10-29T00:00:00"/>
        <d v="2024-01-11T00:00:00"/>
        <d v="2024-05-14T00:00:00"/>
        <d v="2025-01-14T00:00:00"/>
        <d v="2024-05-13T00:00:00"/>
        <d v="2025-01-16T00:00:00"/>
        <d v="2025-02-14T00:00:00"/>
        <d v="2024-01-08T00:00:00"/>
        <d v="2024-04-02T00:00:00"/>
        <d v="2023-04-06T00:00:00"/>
        <d v="2023-10-31T00:00:00"/>
        <d v="2025-02-11T00:00:00"/>
        <d v="2025-03-12T00:00:00"/>
        <d v="2023-07-18T00:00:00"/>
        <d v="2025-01-08T00:00:00"/>
        <d v="2024-10-11T00:00:00"/>
        <d v="2023-09-09T00:00:00"/>
        <d v="2023-05-05T00:00:00"/>
        <d v="2024-12-12T00:00:00"/>
        <d v="2023-08-26T00:00:00"/>
        <d v="2024-11-06T00:00:00"/>
        <d v="2023-10-01T00:00:00"/>
        <d v="2023-06-01T00:00:00"/>
        <d v="2024-06-15T00:00:00"/>
        <d v="2023-11-25T00:00:00"/>
        <d v="2023-04-07T00:00:00"/>
        <d v="2024-04-09T00:00:00"/>
        <d v="2023-11-12T00:00:00"/>
        <d v="2025-03-20T00:00:00"/>
        <d v="2023-09-20T00:00:00"/>
        <d v="2023-10-04T00:00:00"/>
        <d v="2025-03-05T00:00:00"/>
        <d v="2025-02-10T00:00:00"/>
        <d v="2024-07-27T00:00:00"/>
        <d v="2023-07-30T00:00:00"/>
        <d v="2023-08-16T00:00:00"/>
        <d v="2023-01-23T00:00:00"/>
        <d v="2025-03-13T00:00:00"/>
        <d v="2023-06-15T00:00:00"/>
        <d v="2023-09-03T00:00:00"/>
        <d v="2025-03-02T00:00:00"/>
        <d v="2023-05-18T00:00:00"/>
        <d v="2023-08-03T00:00:00"/>
        <d v="2023-01-22T00:00:00"/>
        <d v="2024-07-14T00:00:00"/>
        <d v="2023-11-28T00:00:00"/>
        <d v="2024-08-10T00:00:00"/>
        <d v="2023-03-29T00:00:00"/>
        <d v="2023-02-22T00:00:00"/>
        <d v="2024-10-12T00:00:00"/>
        <d v="2024-09-06T00:00:00"/>
        <d v="2024-11-03T00:00:00"/>
        <d v="2024-04-27T00:00:00"/>
        <d v="2025-01-23T00:00:00"/>
        <d v="2024-12-31T00:00:00"/>
        <d v="2024-12-30T00:00:00"/>
        <d v="2024-04-22T00:00:00"/>
        <d v="2025-02-19T00:00:00"/>
        <d v="2023-07-04T00:00:00"/>
        <d v="2023-12-05T00:00:00"/>
        <d v="2024-11-30T00:00:00"/>
        <d v="2025-02-06T00:00:00"/>
        <d v="2024-01-12T00:00:00"/>
        <d v="2023-12-22T00:00:00"/>
        <d v="2024-05-20T00:00:00"/>
        <d v="2025-02-23T00:00:00"/>
        <d v="2024-02-05T00:00:00"/>
        <d v="2024-09-25T00:00:00"/>
        <d v="2024-02-17T00:00:00"/>
        <d v="2023-06-30T00:00:00"/>
        <d v="2024-12-05T00:00:00"/>
        <d v="2025-03-18T00:00:00"/>
        <d v="2023-04-02T00:00:00"/>
        <d v="2024-05-03T00:00:00"/>
        <d v="2024-05-02T00:00:00"/>
        <d v="2024-02-28T00:00:00"/>
        <d v="2023-07-28T00:00:00"/>
        <d v="2024-04-16T00:00:00"/>
        <d v="2023-01-13T00:00:00"/>
        <d v="2024-09-27T00:00:00"/>
        <d v="2023-08-23T00:00:00"/>
        <d v="2024-03-29T00:00:00"/>
        <d v="2024-10-04T00:00:00"/>
        <d v="2025-01-11T00:00:00"/>
        <d v="2024-10-29T00:00:00"/>
        <d v="2023-06-06T00:00:00"/>
        <d v="2023-01-03T00:00:00"/>
        <d v="2023-05-19T00:00:00"/>
        <d v="2023-07-16T00:00:00"/>
        <d v="2023-06-16T00:00:00"/>
        <d v="2023-02-25T00:00:00"/>
        <d v="2024-01-04T00:00:00"/>
        <d v="2024-10-21T00:00:00"/>
        <d v="2023-04-18T00:00:00"/>
        <d v="2023-05-26T00:00:00"/>
        <d v="2023-05-14T00:00:00"/>
        <d v="2024-06-24T00:00:00"/>
        <d v="2025-01-28T00:00:00"/>
        <d v="2024-02-18T00:00:00"/>
        <d v="2024-02-26T00:00:00"/>
        <d v="2023-07-23T00:00:00"/>
        <d v="2024-10-01T00:00:00"/>
        <d v="2025-01-02T00:00:00"/>
        <d v="2024-05-29T00:00:00"/>
        <d v="2023-03-18T00:00:00"/>
        <d v="2024-02-01T00:00:00"/>
        <d v="2023-06-05T00:00:00"/>
        <d v="2025-02-16T00:00:00"/>
        <d v="2023-07-20T00:00:00"/>
        <d v="2023-04-08T00:00:00"/>
        <d v="2024-07-24T00:00:00"/>
        <d v="2023-05-10T00:00:00"/>
        <d v="2024-05-16T00:00:00"/>
        <d v="2024-10-23T00:00:00"/>
        <d v="2023-09-22T00:00:00"/>
        <d v="2024-07-23T00:00:00"/>
        <d v="2024-12-26T00:00:00"/>
        <d v="2023-10-13T00:00:00"/>
        <d v="2024-03-26T00:00:00"/>
        <d v="2024-09-30T00:00:00"/>
        <d v="2023-11-04T00:00:00"/>
        <d v="2025-01-03T00:00:00"/>
        <d v="2025-01-05T00:00:00"/>
        <d v="2024-06-17T00:00:00"/>
        <d v="2023-10-09T00:00:00"/>
        <d v="2024-03-03T00:00:00"/>
        <d v="2023-02-08T00:00:00"/>
        <d v="2023-06-28T00:00:00"/>
        <d v="2024-04-15T00:00:00"/>
        <d v="2025-03-10T00:00:00"/>
        <d v="2023-09-23T00:00:00"/>
        <d v="2024-06-08T00:00:00"/>
        <d v="2023-08-27T00:00:00"/>
        <d v="2023-02-28T00:00:00"/>
        <d v="2023-05-02T00:00:00"/>
        <d v="2023-05-17T00:00:00"/>
        <d v="2023-12-31T00:00:00"/>
        <d v="2024-01-24T00:00:00"/>
        <d v="2023-12-04T00:00:00"/>
        <d v="2024-08-05T00:00:00"/>
        <d v="2023-01-05T00:00:00"/>
        <d v="2025-01-18T00:00:00"/>
        <d v="2025-01-17T00:00:00"/>
        <d v="2024-03-10T00:00:00"/>
        <d v="2023-06-22T00:00:00"/>
        <d v="2023-03-31T00:00:00"/>
        <d v="2025-02-22T00:00:00"/>
        <d v="2023-03-01T00:00:00"/>
        <d v="2023-11-06T00:00:00"/>
        <d v="2023-06-21T00:00:00"/>
        <d v="2024-01-09T00:00:00"/>
        <d v="2023-01-20T00:00:00"/>
        <d v="2024-12-27T00:00:00"/>
        <d v="2025-02-17T00:00:00"/>
        <d v="2024-05-18T00:00:00"/>
        <d v="2023-04-30T00:00:00"/>
        <d v="2023-11-15T00:00:00"/>
        <d v="2023-10-27T00:00:00"/>
        <d v="2024-11-09T00:00:00"/>
        <d v="2024-04-04T00:00:00"/>
        <d v="2025-01-12T00:00:00"/>
        <d v="2023-06-08T00:00:00"/>
        <d v="2023-07-12T00:00:00"/>
        <d v="2023-08-30T00:00:00"/>
        <d v="2024-08-27T00:00:00"/>
        <d v="2025-01-01T00:00:00"/>
        <d v="2024-03-24T00:00:00"/>
        <d v="2023-09-30T00:00:00"/>
        <d v="2024-04-07T00:00:00"/>
        <d v="2024-07-01T00:00:00"/>
        <d v="2024-01-14T00:00:00"/>
        <d v="2024-08-29T00:00:00"/>
        <d v="2024-06-03T00:00:00"/>
        <d v="2024-10-02T00:00:00"/>
        <d v="2024-06-16T00:00:00"/>
        <d v="2025-02-24T00:00:00"/>
        <d v="2023-10-11T00:00:00"/>
        <d v="2024-03-28T00:00:00"/>
        <d v="2023-03-04T00:00:00"/>
        <d v="2023-08-21T00:00:00"/>
        <d v="2023-11-01T00:00:00"/>
        <d v="2024-08-02T00:00:00"/>
        <d v="2024-03-18T00:00:00"/>
        <d v="2024-05-09T00:00:00"/>
        <d v="2024-08-26T00:00:00"/>
        <d v="2024-11-22T00:00:00"/>
        <d v="2023-04-12T00:00:00"/>
        <d v="2025-03-04T00:00:00"/>
        <d v="2024-04-25T00:00:00"/>
        <d v="2024-08-12T00:00:00"/>
        <d v="2023-10-08T00:00:00"/>
        <d v="2023-09-15T00:00:00"/>
        <d v="2024-04-12T00:00:00"/>
        <d v="2023-05-23T00:00:00"/>
        <d v="2023-02-23T00:00:00"/>
        <d v="2023-03-26T00:00:00"/>
        <d v="2024-02-07T00:00:00"/>
        <d v="2024-09-29T00:00:00"/>
        <d v="2023-01-01T00:00:00"/>
        <d v="2023-08-17T00:00:00"/>
        <d v="2023-06-11T00:00:00"/>
        <d v="2024-04-26T00:00:00"/>
        <d v="2024-03-01T00:00:00"/>
        <d v="2024-05-05T00:00:00"/>
        <d v="2024-01-25T00:00:00"/>
        <d v="2024-05-08T00:00:00"/>
        <d v="2024-06-23T00:00:00"/>
        <d v="2023-12-07T00:00:00"/>
        <d v="2024-01-29T00:00:00"/>
        <d v="2023-08-13T00:00:00"/>
        <d v="2023-04-21T00:00:00"/>
        <d v="2025-02-05T00:00:00"/>
        <d v="2024-07-17T00:00:00"/>
        <d v="2023-05-22T00:00:00"/>
        <d v="2025-01-30T00:00:00"/>
        <d v="2024-01-23T00:00:00"/>
        <d v="2025-03-11T00:00:00"/>
        <d v="2023-03-25T00:00:00"/>
        <d v="2024-04-19T00:00:00"/>
        <d v="2024-08-07T00:00:00"/>
        <d v="2024-03-09T00:00:00"/>
        <d v="2024-11-05T00:00:00"/>
        <d v="2023-11-23T00:00:00"/>
        <d v="2024-08-06T00:00:00"/>
        <d v="2023-01-26T00:00:00"/>
        <d v="2024-05-01T00:00:00"/>
        <d v="2024-04-08T00:00:00"/>
        <d v="2023-07-29T00:00:00"/>
        <d v="2024-10-09T00:00:00"/>
        <d v="2024-06-04T00:00:00"/>
        <d v="2024-10-18T00:00:00"/>
        <d v="2024-04-24T00:00:00"/>
        <d v="2023-06-13T00:00:00"/>
        <d v="2023-07-08T00:00:00"/>
        <d v="2023-04-27T00:00:00"/>
        <d v="2024-02-06T00:00:00"/>
        <d v="2023-09-28T00:00:00"/>
        <d v="2024-04-05T00:00:00"/>
        <d v="2023-10-25T00:00:00"/>
        <d v="2023-10-23T00:00:00"/>
        <d v="2023-02-02T00:00:00"/>
        <d v="2023-03-12T00:00:00"/>
        <d v="2023-12-08T00:00:00"/>
        <d v="2023-09-26T00:00:00"/>
        <d v="2023-03-27T00:00:00"/>
        <d v="2023-08-15T00:00:00"/>
        <d v="2024-10-20T00:00:00"/>
        <d v="2023-07-25T00:00:00"/>
        <d v="2023-01-09T00:00:00"/>
        <d v="2023-09-25T00:00:00"/>
        <d v="2023-08-02T00:00:00"/>
        <d v="2023-04-16T00:00:00"/>
        <d v="2023-04-22T00:00:00"/>
        <d v="2023-12-25T00:00:00"/>
        <d v="2023-09-27T00:00:00"/>
        <d v="2024-05-12T00:00:00"/>
        <d v="2024-07-07T00:00:00"/>
        <d v="2024-02-22T00:00:00"/>
        <d v="2024-07-25T00:00:00"/>
        <d v="2024-12-28T00:00:00"/>
        <d v="2023-08-28T00:00:00"/>
        <d v="2023-11-22T00:00:00"/>
        <d v="2024-08-03T00:00:00"/>
        <d v="2023-04-11T00:00:00"/>
        <d v="2023-08-10T00:00:00"/>
        <d v="2023-01-17T00:00:00"/>
        <d v="2023-01-30T00:00:00"/>
        <d v="2025-01-26T00:00:00"/>
        <d v="2024-03-11T00:00:00"/>
        <d v="2025-01-20T00:00:00"/>
        <d v="2024-10-03T00:00:00"/>
        <d v="2023-04-25T00:00:00"/>
        <d v="2023-11-26T00:00:00"/>
        <d v="2023-05-08T00:00:00"/>
        <d v="2024-03-22T00:00:00"/>
        <d v="2023-02-24T00:00:00"/>
        <d v="2024-11-16T00:00:00"/>
        <d v="2025-01-22T00:00:00"/>
        <d v="2025-01-07T00:00:00"/>
        <d v="2024-08-28T00:00:00"/>
        <d v="2023-03-21T00:00:00"/>
        <d v="2023-07-11T00:00:00"/>
        <d v="2024-09-10T00:00:00"/>
        <d v="2024-01-06T00:00:00"/>
        <d v="2024-07-03T00:00:00"/>
        <d v="2024-11-01T00:00:00"/>
        <d v="2024-04-28T00:00:00"/>
        <d v="2023-03-28T00:00:00"/>
        <d v="2023-10-07T00:00:00"/>
        <d v="2023-11-18T00:00:00"/>
        <d v="2024-03-06T00:00:00"/>
        <d v="2023-01-07T00:00:00"/>
        <d v="2024-12-07T00:00:00"/>
        <d v="2024-07-18T00:00:00"/>
        <d v="2023-09-10T00:00:00"/>
        <d v="2024-05-10T00:00:00"/>
        <d v="2024-03-31T00:00:00"/>
        <d v="2024-08-20T00:00:00"/>
        <d v="2023-07-31T00:00:00"/>
        <d v="2024-08-21T00:00:00"/>
        <d v="2023-10-21T00:00:00"/>
        <d v="2024-09-11T00:00:00"/>
        <d v="2023-05-12T00:00:00"/>
        <d v="2023-12-17T00:00:00"/>
        <d v="2024-06-30T00:00:00"/>
        <d v="2024-07-05T00:00:00"/>
        <d v="2024-04-14T00:00:00"/>
        <d v="2024-10-16T00:00:00"/>
        <d v="2025-02-03T00:00:00"/>
        <d v="2023-03-22T00:00:00"/>
        <d v="2023-04-04T00:00:00"/>
        <d v="2025-03-25T00:00:00"/>
        <d v="2025-01-31T00:00:00"/>
        <d v="2023-08-29T00:00:00"/>
        <d v="2023-12-12T00:00:00"/>
        <d v="2023-01-31T00:00:00"/>
        <d v="2025-02-12T00:00:00"/>
        <d v="2023-05-16T00:00:00"/>
        <d v="2025-03-29T00:00:00"/>
        <d v="2023-09-24T00:00:00"/>
        <d v="2024-07-11T00:00:00"/>
        <d v="2024-07-10T00:00:00"/>
        <d v="2024-07-09T00:00:00"/>
        <d v="2024-02-27T00:00:00"/>
        <d v="2023-10-02T00:00:00"/>
        <d v="2024-05-06T00:00:00"/>
        <d v="2024-03-23T00:00:00"/>
        <d v="2024-12-18T00:00:00"/>
        <d v="2023-06-10T00:00:00"/>
        <d v="2023-07-01T00:00:00"/>
        <d v="2023-02-21T00:00:00"/>
        <d v="2024-05-21T00:00:00"/>
        <d v="2023-12-30T00:00:00"/>
        <d v="2023-09-21T00:00:00"/>
        <d v="2023-12-02T00:00:00"/>
        <d v="2024-12-22T00:00:00"/>
        <d v="2024-11-08T00:00:00"/>
        <d v="2024-01-21T00:00:00"/>
        <d v="2023-02-12T00:00:00"/>
        <d v="2023-03-24T00:00:00"/>
        <d v="2024-11-10T00:00:00"/>
        <d v="2024-01-05T00:00:00"/>
        <d v="2023-02-27T00:00:00"/>
        <d v="2023-08-12T00:00:00"/>
        <d v="2024-01-22T00:00:00"/>
        <d v="2024-01-03T00:00:00"/>
        <d v="2023-12-28T00:00:00"/>
        <d v="2024-11-26T00:00:00"/>
        <d v="2024-12-24T00:00:00"/>
        <d v="2024-06-28T00:00:00"/>
        <d v="2023-06-12T00:00:00"/>
        <d v="2023-03-23T00:00:00"/>
        <d v="2023-07-27T00:00:00"/>
        <d v="2024-11-25T00:00:00"/>
        <d v="2024-08-25T00:00:00"/>
        <d v="2024-10-14T00:00:00"/>
        <d v="2024-11-19T00:00:00"/>
        <d v="2024-05-27T00:00:00"/>
        <d v="2023-05-30T00:00:00"/>
        <d v="2023-06-27T00:00:00"/>
        <d v="2024-09-26T00:00:00"/>
        <d v="2023-05-01T00:00:00"/>
        <d v="2025-03-14T00:00:00"/>
        <d v="2024-08-04T00:00:00"/>
        <d v="2024-07-02T00:00:00"/>
        <d v="2024-06-01T00:00:00"/>
        <d v="2024-09-28T00:00:00"/>
        <d v="2023-03-09T00:00:00"/>
        <d v="2024-10-06T00:00:00"/>
        <d v="2024-06-06T00:00:00"/>
        <d v="2025-03-28T00:00:00"/>
        <d v="2024-06-27T00:00:00"/>
        <d v="2023-07-02T00:00:00"/>
        <d v="2025-02-18T00:00:00"/>
        <d v="2023-02-15T00:00:00"/>
        <d v="2024-07-04T00:00:00"/>
        <d v="2023-06-04T00:00:00"/>
        <d v="2024-10-26T00:00:00"/>
        <d v="2023-06-14T00:00:00"/>
        <d v="2023-12-15T00:00:00"/>
        <d v="2024-05-19T00:00:00"/>
        <d v="2023-05-03T00:00:00"/>
        <d v="2023-05-29T00:00:00"/>
        <d v="2024-08-18T00:00:00"/>
        <d v="2024-08-14T00:00:00"/>
        <d v="2023-10-26T00:00:00"/>
        <d v="2024-02-15T00:00:00"/>
        <d v="2024-06-07T00:00:00"/>
        <d v="2023-09-04T00:00:00"/>
        <d v="2024-04-21T00:00:00"/>
        <d v="2023-10-20T00:00:00"/>
        <d v="2023-05-20T00:00:00"/>
        <d v="2025-02-13T00:00:00"/>
        <d v="2023-07-21T00:00:00"/>
        <d v="2024-12-16T00:00:00"/>
        <d v="2024-01-02T00:00:00"/>
        <d v="2024-05-24T00:00:00"/>
        <d v="2024-12-15T00:00:00"/>
        <d v="2023-04-13T00:00:00"/>
        <d v="2024-11-02T00:00:00"/>
        <d v="2023-03-11T00:00:00"/>
        <d v="2023-08-06T00:00:00"/>
        <d v="2023-01-21T00:00:00"/>
        <d v="2024-12-02T00:00:00"/>
        <d v="2023-02-03T00:00:00"/>
        <d v="2024-09-17T00:00:00"/>
        <d v="2023-09-12T00:00:00"/>
        <d v="2024-07-26T00:00:00"/>
        <d v="2025-02-04T00:00:00"/>
        <d v="2024-06-05T00:00:00"/>
        <d v="2025-01-29T00:00:00"/>
        <d v="2025-03-01T00:00:00"/>
        <d v="2023-09-02T00:00:00"/>
        <d v="2024-02-03T00:00:00"/>
        <d v="2024-11-21T00:00:00"/>
        <d v="2023-10-05T00:00:00"/>
        <d v="2023-12-09T00:00:00"/>
        <d v="2023-05-07T00:00:00"/>
        <d v="2023-09-17T00:00:00"/>
        <d v="2023-09-07T00:00:00"/>
        <d v="2023-04-17T00:00:00"/>
        <d v="2023-08-20T00:00:00"/>
        <d v="2024-11-17T00:00:00"/>
        <d v="2023-01-12T00:00:00"/>
        <d v="2023-06-02T00:00:00"/>
        <d v="2023-09-14T00:00:00"/>
        <d v="2023-10-12T00:00:00"/>
        <d v="2023-05-21T00:00:00"/>
        <d v="2023-09-01T00:00:00"/>
        <d v="2023-03-15T00:00:00"/>
        <d v="2025-03-08T00:00:00"/>
        <d v="2024-05-17T00:00:00"/>
        <d v="2024-02-25T00:00:00"/>
        <d v="2024-09-15T00:00:00"/>
        <d v="2023-01-08T00:00:00"/>
        <d v="2024-06-26T00:00:00"/>
        <d v="2023-07-09T00:00:00"/>
        <d v="2023-05-25T00:00:00"/>
        <d v="2023-01-24T00:00:00"/>
        <d v="2023-03-30T00:00:00"/>
        <d v="2023-11-24T00:00:00"/>
        <d v="2023-08-22T00:00:00"/>
        <d v="2024-08-22T00:00:00"/>
        <d v="2024-09-04T00:00:00"/>
        <d v="2025-01-21T00:00:00"/>
        <d v="2024-11-24T00:00:00"/>
        <d v="2025-02-28T00:00:00"/>
        <d v="2024-07-08T00:00:00"/>
        <d v="2023-08-11T00:00:00"/>
        <d v="2023-01-10T00:00:00"/>
        <d v="2024-01-01T00:00:00"/>
        <d v="2023-02-11T00:00:00"/>
        <d v="2023-03-08T00:00:00"/>
        <d v="2023-07-26T00:00:00"/>
        <d v="2025-01-25T00:00:00"/>
        <d v="2024-07-12T00:00:00"/>
        <d v="2023-02-13T00:00:00"/>
        <d v="2023-01-14T00:00:00"/>
        <d v="2023-11-21T00:00:00"/>
        <d v="2024-10-25T00:00:00"/>
        <d v="2024-02-04T00:00:00"/>
        <d v="2023-03-06T00:00:00"/>
        <d v="2024-11-14T00:00:00"/>
        <d v="2024-07-28T00:00:00"/>
        <d v="2024-04-29T00:00:00"/>
        <d v="2023-06-20T00:00:00"/>
        <d v="2024-12-14T00:00:00"/>
        <d v="2023-10-22T00:00:00"/>
        <d v="2023-05-24T00:00:00"/>
        <d v="2024-09-13T00:00:00"/>
        <d v="2024-11-13T00:00:00"/>
        <d v="2024-07-19T00:00:00"/>
        <d v="2023-11-27T00:00:00"/>
        <d v="2024-02-14T00:00:00"/>
        <d v="2023-02-10T00:00:00"/>
        <d v="2023-06-17T00:00:00"/>
        <d v="2023-10-06T00:00:00"/>
        <d v="2024-12-13T00:00:00"/>
        <d v="2025-01-24T00:00:00"/>
        <d v="2023-04-20T00:00:00"/>
        <d v="2024-09-24T00:00:00"/>
        <d v="2023-01-06T00:00:00"/>
        <d v="2023-08-31T00:00:00"/>
        <d v="2025-01-04T00:00:00"/>
        <d v="2023-05-15T00:00:00"/>
        <d v="2024-06-20T00:00:00"/>
        <d v="2024-11-15T00:00:00"/>
        <d v="2023-11-07T00:00:00"/>
        <d v="2024-12-23T00:00:00"/>
        <d v="2023-04-19T00:00:00"/>
        <d v="2023-12-27T00:00:00"/>
        <d v="2024-12-01T00:00:00"/>
        <d v="2023-10-17T00:00:00"/>
        <d v="2023-10-28T00:00:00"/>
        <d v="2023-01-19T00:00:00"/>
        <d v="2025-03-27T00:00:00"/>
        <d v="2024-11-27T00:00:00"/>
        <d v="2023-04-29T00:00:00"/>
        <d v="2023-04-23T00:00:00"/>
        <d v="2024-08-24T00:00:00"/>
        <d v="2023-07-10T00:00:00"/>
        <d v="2024-01-17T00:00:00"/>
        <d v="2023-11-30T00:00:00"/>
        <d v="2025-03-22T00:00:00"/>
        <d v="2025-03-30T00:00:00"/>
        <d v="2023-11-08T00:00:00"/>
        <d v="2024-03-13T00:00:00"/>
        <d v="2023-10-16T00:00:00"/>
        <d v="2025-02-07T00:00:00"/>
        <d v="2023-02-20T00:00:00"/>
        <d v="2023-10-15T00:00:00"/>
        <d v="2024-09-02T00:00:00"/>
        <d v="2023-12-26T00:00:00"/>
        <d v="2024-07-06T00:00:00"/>
        <d v="2023-01-15T00:00:00"/>
      </sharedItems>
      <fieldGroup par="16"/>
    </cacheField>
    <cacheField name="Approval_Status" numFmtId="0">
      <sharedItems count="3">
        <s v="Pending"/>
        <s v="Approved"/>
        <s v="Rejected"/>
      </sharedItems>
    </cacheField>
    <cacheField name="Payment_Mode" numFmtId="0">
      <sharedItems/>
    </cacheField>
    <cacheField name="Fiscal_Year" numFmtId="0">
      <sharedItems/>
    </cacheField>
    <cacheField name="Remarks" numFmtId="0">
      <sharedItems/>
    </cacheField>
    <cacheField name="Amount_Type_Flag" numFmtId="0">
      <sharedItems/>
    </cacheField>
    <cacheField name="High_Value_Pending_Rejected_Flag" numFmtId="0">
      <sharedItems containsBlank="1"/>
    </cacheField>
    <cacheField name="Months (Expense_Date)" numFmtId="0" databaseField="0">
      <fieldGroup base="7">
        <rangePr groupBy="months" startDate="2023-01-01T00:00:00" endDate="2025-03-3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5"/>
        </groupItems>
      </fieldGroup>
    </cacheField>
    <cacheField name="Quarters (Expense_Date)" numFmtId="0" databaseField="0">
      <fieldGroup base="7">
        <rangePr groupBy="quarters" startDate="2023-01-01T00:00:00" endDate="2025-03-31T00:00:00"/>
        <groupItems count="6">
          <s v="&lt;01-01-2023"/>
          <s v="Qtr1"/>
          <s v="Qtr2"/>
          <s v="Qtr3"/>
          <s v="Qtr4"/>
          <s v="&gt;31-03-2025"/>
        </groupItems>
      </fieldGroup>
    </cacheField>
    <cacheField name="Years (Expense_Date)" numFmtId="0" databaseField="0">
      <fieldGroup base="7">
        <rangePr groupBy="years" startDate="2023-01-01T00:00:00" endDate="2025-03-31T00:00:00"/>
        <groupItems count="5">
          <s v="&lt;01-01-2023"/>
          <s v="2023"/>
          <s v="2024"/>
          <s v="2025"/>
          <s v="&gt;31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DEAL-01440"/>
    <x v="0"/>
    <s v="CLI-0014"/>
    <x v="0"/>
    <x v="0"/>
    <x v="0"/>
    <n v="160271"/>
    <d v="2023-12-03T00:00:00"/>
    <d v="2024-04-24T00:00:00"/>
    <n v="143"/>
    <n v="3.7"/>
    <x v="0"/>
    <x v="0"/>
    <s v="Normal"/>
  </r>
  <r>
    <s v="DEAL-02021"/>
    <x v="1"/>
    <s v="CLI-0208"/>
    <x v="1"/>
    <x v="1"/>
    <x v="1"/>
    <n v="491510"/>
    <d v="2023-04-14T00:00:00"/>
    <m/>
    <m/>
    <m/>
    <x v="1"/>
    <x v="1"/>
    <s v="Normal"/>
  </r>
  <r>
    <s v="DEAL-00174"/>
    <x v="1"/>
    <s v="CLI-0084"/>
    <x v="1"/>
    <x v="0"/>
    <x v="2"/>
    <n v="224184"/>
    <d v="2023-01-30T00:00:00"/>
    <m/>
    <m/>
    <m/>
    <x v="0"/>
    <x v="2"/>
    <s v="Normal"/>
  </r>
  <r>
    <s v="DEAL-02399"/>
    <x v="2"/>
    <s v="CLI-0096"/>
    <x v="2"/>
    <x v="1"/>
    <x v="3"/>
    <n v="265745"/>
    <d v="2024-10-25T00:00:00"/>
    <d v="2024-12-24T00:00:00"/>
    <n v="60"/>
    <n v="17.8"/>
    <x v="1"/>
    <x v="3"/>
    <s v="Normal"/>
  </r>
  <r>
    <s v="DEAL-00243"/>
    <x v="3"/>
    <s v="CLI-0071"/>
    <x v="3"/>
    <x v="2"/>
    <x v="3"/>
    <n v="255053"/>
    <d v="2023-12-06T00:00:00"/>
    <d v="2024-05-17T00:00:00"/>
    <n v="163"/>
    <n v="8.4"/>
    <x v="2"/>
    <x v="0"/>
    <s v="Normal"/>
  </r>
  <r>
    <s v="DEAL-02410"/>
    <x v="4"/>
    <s v="CLI-0238"/>
    <x v="3"/>
    <x v="1"/>
    <x v="4"/>
    <n v="389913"/>
    <d v="2023-12-16T00:00:00"/>
    <m/>
    <m/>
    <m/>
    <x v="1"/>
    <x v="0"/>
    <s v="Normal"/>
  </r>
  <r>
    <s v="DEAL-02158"/>
    <x v="1"/>
    <s v="CLI-0081"/>
    <x v="1"/>
    <x v="2"/>
    <x v="3"/>
    <n v="393048"/>
    <d v="2024-11-17T00:00:00"/>
    <d v="2025-05-07T00:00:00"/>
    <n v="171"/>
    <n v="1.1000000000000001"/>
    <x v="0"/>
    <x v="3"/>
    <s v="Normal"/>
  </r>
  <r>
    <s v="DEAL-01161"/>
    <x v="5"/>
    <s v="CLI-0236"/>
    <x v="1"/>
    <x v="3"/>
    <x v="3"/>
    <n v="295502"/>
    <d v="2025-02-08T00:00:00"/>
    <d v="2025-06-13T00:00:00"/>
    <n v="125"/>
    <n v="15.8"/>
    <x v="2"/>
    <x v="4"/>
    <s v="Normal"/>
  </r>
  <r>
    <s v="DEAL-00586"/>
    <x v="6"/>
    <s v="CLI-0128"/>
    <x v="4"/>
    <x v="1"/>
    <x v="2"/>
    <n v="172519"/>
    <d v="2024-03-20T00:00:00"/>
    <m/>
    <m/>
    <n v="14.2"/>
    <x v="1"/>
    <x v="5"/>
    <s v="Normal"/>
  </r>
  <r>
    <s v="DEAL-00863"/>
    <x v="5"/>
    <s v="CLI-0147"/>
    <x v="3"/>
    <x v="4"/>
    <x v="3"/>
    <n v="146890"/>
    <d v="2024-03-05T00:00:00"/>
    <d v="2024-05-02T00:00:00"/>
    <n v="58"/>
    <n v="8.5"/>
    <x v="0"/>
    <x v="5"/>
    <s v="Normal"/>
  </r>
  <r>
    <s v="DEAL-01273"/>
    <x v="7"/>
    <s v="CLI-0237"/>
    <x v="2"/>
    <x v="5"/>
    <x v="3"/>
    <n v="242460"/>
    <d v="2024-02-24T00:00:00"/>
    <d v="2024-06-20T00:00:00"/>
    <n v="117"/>
    <n v="23"/>
    <x v="2"/>
    <x v="5"/>
    <s v="Normal"/>
  </r>
  <r>
    <s v="DEAL-01938"/>
    <x v="8"/>
    <s v="CLI-0261"/>
    <x v="3"/>
    <x v="4"/>
    <x v="3"/>
    <n v="396833"/>
    <d v="2023-10-20T00:00:00"/>
    <d v="2023-11-06T00:00:00"/>
    <n v="17"/>
    <n v="4.3"/>
    <x v="1"/>
    <x v="0"/>
    <s v="Normal"/>
  </r>
  <r>
    <s v="DEAL-01122"/>
    <x v="9"/>
    <s v="CLI-0070"/>
    <x v="1"/>
    <x v="5"/>
    <x v="3"/>
    <n v="207588"/>
    <d v="2024-02-13T00:00:00"/>
    <d v="2024-07-13T00:00:00"/>
    <n v="151"/>
    <n v="4.3"/>
    <x v="2"/>
    <x v="5"/>
    <s v="Normal"/>
  </r>
  <r>
    <s v="DEAL-01643"/>
    <x v="10"/>
    <s v="CLI-0298"/>
    <x v="5"/>
    <x v="0"/>
    <x v="3"/>
    <n v="244787"/>
    <d v="2023-10-11T00:00:00"/>
    <d v="2024-02-05T00:00:00"/>
    <n v="117"/>
    <n v="7.8"/>
    <x v="2"/>
    <x v="0"/>
    <s v="Normal"/>
  </r>
  <r>
    <s v="DEAL-00234"/>
    <x v="7"/>
    <s v="CLI-0286"/>
    <x v="0"/>
    <x v="6"/>
    <x v="3"/>
    <n v="223320"/>
    <d v="2024-11-27T00:00:00"/>
    <d v="2025-04-23T00:00:00"/>
    <n v="147"/>
    <n v="9"/>
    <x v="3"/>
    <x v="3"/>
    <s v="Normal"/>
  </r>
  <r>
    <s v="DEAL-01783"/>
    <x v="11"/>
    <s v="CLI-0050"/>
    <x v="1"/>
    <x v="7"/>
    <x v="2"/>
    <n v="341493"/>
    <d v="2023-08-04T00:00:00"/>
    <m/>
    <m/>
    <m/>
    <x v="0"/>
    <x v="6"/>
    <s v="Normal"/>
  </r>
  <r>
    <s v="DEAL-00305"/>
    <x v="12"/>
    <s v="CLI-0035"/>
    <x v="1"/>
    <x v="3"/>
    <x v="0"/>
    <n v="416867"/>
    <d v="2024-05-14T00:00:00"/>
    <d v="2024-09-06T00:00:00"/>
    <n v="115"/>
    <n v="12.2"/>
    <x v="1"/>
    <x v="7"/>
    <s v="Normal"/>
  </r>
  <r>
    <s v="DEAL-00351"/>
    <x v="13"/>
    <s v="CLI-0090"/>
    <x v="4"/>
    <x v="6"/>
    <x v="2"/>
    <n v="67690"/>
    <d v="2025-02-20T00:00:00"/>
    <m/>
    <m/>
    <n v="12.5"/>
    <x v="1"/>
    <x v="4"/>
    <s v="Normal"/>
  </r>
  <r>
    <s v="DEAL-02148"/>
    <x v="5"/>
    <s v="CLI-0202"/>
    <x v="4"/>
    <x v="2"/>
    <x v="3"/>
    <n v="453993"/>
    <d v="2024-01-25T00:00:00"/>
    <d v="2024-06-23T00:00:00"/>
    <n v="150"/>
    <n v="9.5"/>
    <x v="0"/>
    <x v="5"/>
    <s v="Normal"/>
  </r>
  <r>
    <s v="DEAL-01377"/>
    <x v="2"/>
    <s v="CLI-0102"/>
    <x v="2"/>
    <x v="6"/>
    <x v="2"/>
    <n v="404058"/>
    <d v="2024-05-20T00:00:00"/>
    <m/>
    <m/>
    <n v="5.3"/>
    <x v="1"/>
    <x v="7"/>
    <s v="Normal"/>
  </r>
  <r>
    <s v="DEAL-01947"/>
    <x v="13"/>
    <s v="CLI-0135"/>
    <x v="4"/>
    <x v="4"/>
    <x v="4"/>
    <n v="117974"/>
    <d v="2023-01-24T00:00:00"/>
    <m/>
    <m/>
    <n v="11.5"/>
    <x v="2"/>
    <x v="2"/>
    <s v="Normal"/>
  </r>
  <r>
    <s v="DEAL-02354"/>
    <x v="6"/>
    <s v="CLI-0120"/>
    <x v="4"/>
    <x v="4"/>
    <x v="2"/>
    <n v="111938"/>
    <d v="2025-03-09T00:00:00"/>
    <m/>
    <m/>
    <m/>
    <x v="1"/>
    <x v="4"/>
    <s v="Normal"/>
  </r>
  <r>
    <s v="DEAL-01835"/>
    <x v="9"/>
    <s v="CLI-0070"/>
    <x v="1"/>
    <x v="7"/>
    <x v="0"/>
    <n v="133407"/>
    <d v="2023-04-30T00:00:00"/>
    <d v="2023-08-28T00:00:00"/>
    <n v="120"/>
    <n v="10.9"/>
    <x v="3"/>
    <x v="1"/>
    <s v="Normal"/>
  </r>
  <r>
    <s v="DEAL-02057"/>
    <x v="14"/>
    <s v="CLI-0125"/>
    <x v="0"/>
    <x v="8"/>
    <x v="5"/>
    <n v="125962"/>
    <d v="2024-02-25T00:00:00"/>
    <m/>
    <m/>
    <n v="12.9"/>
    <x v="2"/>
    <x v="5"/>
    <s v="Normal"/>
  </r>
  <r>
    <s v="DEAL-00631"/>
    <x v="5"/>
    <s v="CLI-0222"/>
    <x v="2"/>
    <x v="6"/>
    <x v="3"/>
    <n v="71017"/>
    <d v="2023-03-09T00:00:00"/>
    <d v="2023-06-18T00:00:00"/>
    <n v="101"/>
    <n v="3.5"/>
    <x v="0"/>
    <x v="2"/>
    <s v="Normal"/>
  </r>
  <r>
    <s v="DEAL-02059"/>
    <x v="11"/>
    <s v="CLI-0191"/>
    <x v="2"/>
    <x v="7"/>
    <x v="3"/>
    <n v="80078"/>
    <d v="2024-12-26T00:00:00"/>
    <d v="2025-03-06T00:00:00"/>
    <n v="70"/>
    <n v="4.9000000000000004"/>
    <x v="3"/>
    <x v="3"/>
    <s v="Normal"/>
  </r>
  <r>
    <s v="DEAL-00946"/>
    <x v="9"/>
    <s v="CLI-0158"/>
    <x v="0"/>
    <x v="7"/>
    <x v="5"/>
    <n v="147459"/>
    <d v="2023-04-10T00:00:00"/>
    <m/>
    <m/>
    <n v="6.4"/>
    <x v="1"/>
    <x v="1"/>
    <s v="Normal"/>
  </r>
  <r>
    <s v="DEAL-01560"/>
    <x v="8"/>
    <s v="CLI-0219"/>
    <x v="1"/>
    <x v="5"/>
    <x v="0"/>
    <n v="59394"/>
    <d v="2023-12-18T00:00:00"/>
    <d v="2024-02-29T00:00:00"/>
    <n v="73"/>
    <n v="2.1"/>
    <x v="2"/>
    <x v="0"/>
    <s v="Normal"/>
  </r>
  <r>
    <s v="DEAL-01779"/>
    <x v="12"/>
    <s v="CLI-0266"/>
    <x v="4"/>
    <x v="4"/>
    <x v="1"/>
    <n v="490489"/>
    <d v="2025-02-11T00:00:00"/>
    <m/>
    <m/>
    <m/>
    <x v="3"/>
    <x v="4"/>
    <s v="Normal"/>
  </r>
  <r>
    <s v="DEAL-01223"/>
    <x v="7"/>
    <s v="CLI-0006"/>
    <x v="5"/>
    <x v="6"/>
    <x v="2"/>
    <n v="267116"/>
    <d v="2024-07-02T00:00:00"/>
    <m/>
    <m/>
    <n v="3"/>
    <x v="1"/>
    <x v="8"/>
    <s v="Normal"/>
  </r>
  <r>
    <s v="DEAL-02345"/>
    <x v="10"/>
    <s v="CLI-0060"/>
    <x v="5"/>
    <x v="6"/>
    <x v="0"/>
    <n v="340697"/>
    <d v="2023-06-17T00:00:00"/>
    <d v="2023-09-05T00:00:00"/>
    <n v="80"/>
    <n v="6.7"/>
    <x v="3"/>
    <x v="1"/>
    <s v="Normal"/>
  </r>
  <r>
    <s v="DEAL-00816"/>
    <x v="5"/>
    <s v="CLI-0278"/>
    <x v="4"/>
    <x v="0"/>
    <x v="5"/>
    <n v="432247"/>
    <d v="2025-03-13T00:00:00"/>
    <m/>
    <m/>
    <n v="13.4"/>
    <x v="3"/>
    <x v="4"/>
    <s v="Normal"/>
  </r>
  <r>
    <s v="DEAL-01909"/>
    <x v="1"/>
    <s v="CLI-0063"/>
    <x v="2"/>
    <x v="2"/>
    <x v="0"/>
    <n v="449838"/>
    <d v="2024-05-30T00:00:00"/>
    <d v="2024-10-24T00:00:00"/>
    <n v="147"/>
    <n v="6.8"/>
    <x v="0"/>
    <x v="7"/>
    <s v="Normal"/>
  </r>
  <r>
    <s v="DEAL-00184"/>
    <x v="8"/>
    <s v="CLI-0080"/>
    <x v="1"/>
    <x v="4"/>
    <x v="5"/>
    <n v="325774"/>
    <d v="2024-02-13T00:00:00"/>
    <m/>
    <m/>
    <m/>
    <x v="0"/>
    <x v="5"/>
    <s v="Normal"/>
  </r>
  <r>
    <s v="DEAL-00430"/>
    <x v="8"/>
    <s v="CLI-0088"/>
    <x v="2"/>
    <x v="6"/>
    <x v="0"/>
    <n v="251845"/>
    <d v="2024-07-26T00:00:00"/>
    <d v="2024-08-16T00:00:00"/>
    <n v="21"/>
    <n v="6.3"/>
    <x v="2"/>
    <x v="8"/>
    <s v="Normal"/>
  </r>
  <r>
    <s v="DEAL-01657"/>
    <x v="13"/>
    <s v="CLI-0154"/>
    <x v="4"/>
    <x v="7"/>
    <x v="2"/>
    <n v="245814"/>
    <d v="2023-04-01T00:00:00"/>
    <m/>
    <m/>
    <m/>
    <x v="3"/>
    <x v="1"/>
    <s v="Normal"/>
  </r>
  <r>
    <s v="DEAL-01118"/>
    <x v="0"/>
    <s v="CLI-0086"/>
    <x v="1"/>
    <x v="5"/>
    <x v="4"/>
    <n v="128284"/>
    <d v="2023-06-06T00:00:00"/>
    <m/>
    <m/>
    <n v="1.5"/>
    <x v="1"/>
    <x v="1"/>
    <s v="Normal"/>
  </r>
  <r>
    <s v="DEAL-00337"/>
    <x v="6"/>
    <s v="CLI-0286"/>
    <x v="0"/>
    <x v="8"/>
    <x v="2"/>
    <n v="157092"/>
    <d v="2024-12-29T00:00:00"/>
    <m/>
    <m/>
    <n v="6.3"/>
    <x v="3"/>
    <x v="3"/>
    <s v="Normal"/>
  </r>
  <r>
    <s v="DEAL-01051"/>
    <x v="15"/>
    <s v="CLI-0284"/>
    <x v="5"/>
    <x v="6"/>
    <x v="4"/>
    <n v="387930"/>
    <d v="2024-10-22T00:00:00"/>
    <m/>
    <m/>
    <n v="2.8"/>
    <x v="0"/>
    <x v="3"/>
    <s v="Normal"/>
  </r>
  <r>
    <s v="DEAL-01916"/>
    <x v="13"/>
    <s v="CLI-0288"/>
    <x v="5"/>
    <x v="5"/>
    <x v="5"/>
    <n v="265994"/>
    <d v="2025-03-28T00:00:00"/>
    <m/>
    <m/>
    <n v="0.7"/>
    <x v="3"/>
    <x v="4"/>
    <s v="Normal"/>
  </r>
  <r>
    <s v="DEAL-00718"/>
    <x v="0"/>
    <s v="CLI-0272"/>
    <x v="0"/>
    <x v="5"/>
    <x v="3"/>
    <n v="925816"/>
    <d v="2024-06-06T00:00:00"/>
    <d v="2024-06-24T00:00:00"/>
    <n v="18"/>
    <n v="16.600000000000001"/>
    <x v="3"/>
    <x v="7"/>
    <s v="High Outlier"/>
  </r>
  <r>
    <s v="DEAL-02141"/>
    <x v="3"/>
    <s v="CLI-0218"/>
    <x v="3"/>
    <x v="4"/>
    <x v="3"/>
    <n v="57872"/>
    <d v="2024-04-09T00:00:00"/>
    <d v="2024-09-24T00:00:00"/>
    <n v="168"/>
    <n v="4.5"/>
    <x v="1"/>
    <x v="7"/>
    <s v="Normal"/>
  </r>
  <r>
    <s v="DEAL-00488"/>
    <x v="10"/>
    <s v="CLI-0221"/>
    <x v="2"/>
    <x v="6"/>
    <x v="3"/>
    <n v="25184"/>
    <d v="2024-06-03T00:00:00"/>
    <d v="2024-08-12T00:00:00"/>
    <n v="70"/>
    <n v="19.600000000000001"/>
    <x v="3"/>
    <x v="7"/>
    <s v="Normal"/>
  </r>
  <r>
    <s v="DEAL-01718"/>
    <x v="5"/>
    <s v="CLI-0138"/>
    <x v="1"/>
    <x v="3"/>
    <x v="4"/>
    <n v="46255"/>
    <d v="2024-01-18T00:00:00"/>
    <m/>
    <m/>
    <m/>
    <x v="0"/>
    <x v="5"/>
    <s v="Normal"/>
  </r>
  <r>
    <s v="DEAL-01359"/>
    <x v="9"/>
    <s v="CLI-0162"/>
    <x v="1"/>
    <x v="1"/>
    <x v="3"/>
    <n v="34502"/>
    <d v="2024-12-03T00:00:00"/>
    <d v="2025-02-02T00:00:00"/>
    <n v="61"/>
    <n v="2.2999999999999998"/>
    <x v="3"/>
    <x v="3"/>
    <s v="Normal"/>
  </r>
  <r>
    <s v="DEAL-01902"/>
    <x v="6"/>
    <s v="CLI-0007"/>
    <x v="0"/>
    <x v="3"/>
    <x v="3"/>
    <n v="242893"/>
    <d v="2023-12-05T00:00:00"/>
    <d v="2023-12-26T00:00:00"/>
    <n v="21"/>
    <n v="14.4"/>
    <x v="0"/>
    <x v="0"/>
    <s v="Normal"/>
  </r>
  <r>
    <s v="DEAL-00388"/>
    <x v="10"/>
    <s v="CLI-0052"/>
    <x v="4"/>
    <x v="8"/>
    <x v="3"/>
    <n v="276108"/>
    <d v="2024-11-05T00:00:00"/>
    <d v="2025-01-26T00:00:00"/>
    <n v="82"/>
    <n v="22.6"/>
    <x v="0"/>
    <x v="3"/>
    <s v="Normal"/>
  </r>
  <r>
    <s v="DEAL-02216"/>
    <x v="14"/>
    <s v="CLI-0278"/>
    <x v="1"/>
    <x v="1"/>
    <x v="2"/>
    <n v="225261"/>
    <d v="2023-11-18T00:00:00"/>
    <m/>
    <m/>
    <n v="12.7"/>
    <x v="3"/>
    <x v="0"/>
    <s v="Normal"/>
  </r>
  <r>
    <s v="DEAL-00556"/>
    <x v="8"/>
    <s v="CLI-0138"/>
    <x v="1"/>
    <x v="7"/>
    <x v="5"/>
    <n v="321651"/>
    <d v="2023-05-24T00:00:00"/>
    <m/>
    <m/>
    <m/>
    <x v="1"/>
    <x v="1"/>
    <s v="Normal"/>
  </r>
  <r>
    <s v="DEAL-01130"/>
    <x v="11"/>
    <s v="CLI-0216"/>
    <x v="2"/>
    <x v="0"/>
    <x v="1"/>
    <n v="495204"/>
    <d v="2025-03-18T00:00:00"/>
    <m/>
    <m/>
    <m/>
    <x v="3"/>
    <x v="4"/>
    <s v="Normal"/>
  </r>
  <r>
    <s v="DEAL-00938"/>
    <x v="14"/>
    <s v="CLI-0160"/>
    <x v="0"/>
    <x v="3"/>
    <x v="5"/>
    <n v="130238"/>
    <d v="2023-09-22T00:00:00"/>
    <m/>
    <m/>
    <m/>
    <x v="0"/>
    <x v="6"/>
    <s v="Normal"/>
  </r>
  <r>
    <s v="DEAL-00794"/>
    <x v="8"/>
    <s v="CLI-0135"/>
    <x v="2"/>
    <x v="7"/>
    <x v="2"/>
    <n v="115669"/>
    <d v="2023-05-30T00:00:00"/>
    <m/>
    <m/>
    <n v="3.1"/>
    <x v="1"/>
    <x v="1"/>
    <s v="Normal"/>
  </r>
  <r>
    <s v="DEAL-00604"/>
    <x v="5"/>
    <s v="CLI-0043"/>
    <x v="3"/>
    <x v="2"/>
    <x v="4"/>
    <n v="154425"/>
    <d v="2023-01-12T00:00:00"/>
    <m/>
    <m/>
    <n v="9.6"/>
    <x v="3"/>
    <x v="2"/>
    <s v="Normal"/>
  </r>
  <r>
    <s v="DEAL-00954"/>
    <x v="10"/>
    <s v="CLI-0208"/>
    <x v="5"/>
    <x v="6"/>
    <x v="2"/>
    <n v="225199"/>
    <d v="2025-03-19T00:00:00"/>
    <m/>
    <m/>
    <m/>
    <x v="2"/>
    <x v="4"/>
    <s v="Normal"/>
  </r>
  <r>
    <s v="DEAL-01107"/>
    <x v="9"/>
    <s v="CLI-0005"/>
    <x v="0"/>
    <x v="7"/>
    <x v="5"/>
    <n v="487991"/>
    <d v="2024-12-29T00:00:00"/>
    <m/>
    <m/>
    <m/>
    <x v="0"/>
    <x v="3"/>
    <s v="Normal"/>
  </r>
  <r>
    <s v="DEAL-00597"/>
    <x v="12"/>
    <s v="CLI-0230"/>
    <x v="5"/>
    <x v="2"/>
    <x v="3"/>
    <n v="360231"/>
    <d v="2025-02-20T00:00:00"/>
    <d v="2025-07-17T00:00:00"/>
    <n v="147"/>
    <n v="19.5"/>
    <x v="0"/>
    <x v="4"/>
    <s v="Normal"/>
  </r>
  <r>
    <s v="DEAL-01404"/>
    <x v="14"/>
    <s v="CLI-0286"/>
    <x v="1"/>
    <x v="4"/>
    <x v="3"/>
    <n v="128919"/>
    <d v="2025-03-23T00:00:00"/>
    <d v="2025-06-28T00:00:00"/>
    <n v="97"/>
    <n v="5"/>
    <x v="0"/>
    <x v="4"/>
    <s v="Normal"/>
  </r>
  <r>
    <s v="DEAL-02242"/>
    <x v="5"/>
    <s v="CLI-0002"/>
    <x v="3"/>
    <x v="0"/>
    <x v="2"/>
    <n v="422278"/>
    <d v="2024-08-28T00:00:00"/>
    <m/>
    <m/>
    <n v="13.7"/>
    <x v="2"/>
    <x v="8"/>
    <s v="Normal"/>
  </r>
  <r>
    <s v="DEAL-02405"/>
    <x v="0"/>
    <s v="CLI-0077"/>
    <x v="0"/>
    <x v="5"/>
    <x v="5"/>
    <n v="36712"/>
    <d v="2023-07-29T00:00:00"/>
    <m/>
    <m/>
    <n v="5.8"/>
    <x v="1"/>
    <x v="6"/>
    <s v="Normal"/>
  </r>
  <r>
    <s v="DEAL-00721"/>
    <x v="13"/>
    <s v="CLI-0135"/>
    <x v="2"/>
    <x v="3"/>
    <x v="4"/>
    <n v="390892"/>
    <d v="2024-02-05T00:00:00"/>
    <m/>
    <m/>
    <n v="6.7"/>
    <x v="1"/>
    <x v="5"/>
    <s v="Normal"/>
  </r>
  <r>
    <s v="DEAL-00504"/>
    <x v="8"/>
    <s v="CLI-0237"/>
    <x v="3"/>
    <x v="5"/>
    <x v="5"/>
    <n v="12937"/>
    <d v="2023-07-12T00:00:00"/>
    <m/>
    <m/>
    <m/>
    <x v="0"/>
    <x v="6"/>
    <s v="Normal"/>
  </r>
  <r>
    <s v="DEAL-00937"/>
    <x v="9"/>
    <s v="CLI-0060"/>
    <x v="2"/>
    <x v="7"/>
    <x v="3"/>
    <n v="324521"/>
    <d v="2024-07-27T00:00:00"/>
    <d v="2024-12-18T00:00:00"/>
    <n v="144"/>
    <n v="18.2"/>
    <x v="0"/>
    <x v="8"/>
    <s v="Normal"/>
  </r>
  <r>
    <s v="DEAL-01769"/>
    <x v="14"/>
    <s v="CLI-0208"/>
    <x v="1"/>
    <x v="0"/>
    <x v="2"/>
    <n v="113876"/>
    <d v="2025-03-28T00:00:00"/>
    <m/>
    <m/>
    <m/>
    <x v="1"/>
    <x v="4"/>
    <s v="Normal"/>
  </r>
  <r>
    <s v="DEAL-01725"/>
    <x v="5"/>
    <s v="CLI-0197"/>
    <x v="4"/>
    <x v="5"/>
    <x v="2"/>
    <n v="499086"/>
    <d v="2023-01-05T00:00:00"/>
    <m/>
    <m/>
    <n v="4.9000000000000004"/>
    <x v="2"/>
    <x v="2"/>
    <s v="Normal"/>
  </r>
  <r>
    <s v="DEAL-00951"/>
    <x v="7"/>
    <s v="CLI-0063"/>
    <x v="4"/>
    <x v="2"/>
    <x v="0"/>
    <n v="139182"/>
    <d v="2024-01-26T00:00:00"/>
    <d v="2024-02-21T00:00:00"/>
    <n v="26"/>
    <m/>
    <x v="3"/>
    <x v="5"/>
    <s v="Normal"/>
  </r>
  <r>
    <s v="DEAL-00313"/>
    <x v="3"/>
    <s v="CLI-0063"/>
    <x v="5"/>
    <x v="5"/>
    <x v="1"/>
    <n v="244478"/>
    <d v="2023-05-06T00:00:00"/>
    <m/>
    <m/>
    <n v="0.6"/>
    <x v="1"/>
    <x v="1"/>
    <s v="Normal"/>
  </r>
  <r>
    <s v="DEAL-00726"/>
    <x v="2"/>
    <s v="CLI-0251"/>
    <x v="5"/>
    <x v="6"/>
    <x v="3"/>
    <n v="108751"/>
    <d v="2025-03-16T00:00:00"/>
    <d v="2025-05-05T00:00:00"/>
    <n v="50"/>
    <n v="17.2"/>
    <x v="1"/>
    <x v="4"/>
    <s v="Normal"/>
  </r>
  <r>
    <s v="DEAL-01062"/>
    <x v="7"/>
    <s v="CLI-0243"/>
    <x v="0"/>
    <x v="4"/>
    <x v="2"/>
    <n v="387686"/>
    <d v="2023-03-21T00:00:00"/>
    <m/>
    <m/>
    <n v="8.5"/>
    <x v="2"/>
    <x v="2"/>
    <s v="Normal"/>
  </r>
  <r>
    <s v="DEAL-00072"/>
    <x v="12"/>
    <s v="CLI-0228"/>
    <x v="0"/>
    <x v="2"/>
    <x v="3"/>
    <n v="42234"/>
    <d v="2023-05-23T00:00:00"/>
    <d v="2023-11-02T00:00:00"/>
    <n v="163"/>
    <n v="15.9"/>
    <x v="3"/>
    <x v="1"/>
    <s v="Normal"/>
  </r>
  <r>
    <s v="DEAL-00593"/>
    <x v="6"/>
    <s v="CLI-0084"/>
    <x v="5"/>
    <x v="4"/>
    <x v="4"/>
    <n v="141423"/>
    <d v="2024-11-06T00:00:00"/>
    <m/>
    <m/>
    <n v="4.5"/>
    <x v="0"/>
    <x v="3"/>
    <s v="Normal"/>
  </r>
  <r>
    <s v="DEAL-00633"/>
    <x v="9"/>
    <s v="CLI-0275"/>
    <x v="3"/>
    <x v="7"/>
    <x v="0"/>
    <n v="233514"/>
    <d v="2024-01-22T00:00:00"/>
    <d v="2024-02-27T00:00:00"/>
    <n v="36"/>
    <n v="7.4"/>
    <x v="0"/>
    <x v="5"/>
    <s v="Normal"/>
  </r>
  <r>
    <s v="DEAL-00241"/>
    <x v="0"/>
    <s v="CLI-0292"/>
    <x v="4"/>
    <x v="3"/>
    <x v="4"/>
    <n v="316458"/>
    <d v="2024-10-29T00:00:00"/>
    <m/>
    <m/>
    <n v="11.3"/>
    <x v="1"/>
    <x v="3"/>
    <s v="Normal"/>
  </r>
  <r>
    <s v="DEAL-00879"/>
    <x v="12"/>
    <s v="CLI-0031"/>
    <x v="4"/>
    <x v="0"/>
    <x v="0"/>
    <n v="274493"/>
    <d v="2024-12-28T00:00:00"/>
    <d v="2025-04-22T00:00:00"/>
    <n v="115"/>
    <n v="0.4"/>
    <x v="2"/>
    <x v="3"/>
    <s v="Normal"/>
  </r>
  <r>
    <s v="DEAL-01532"/>
    <x v="13"/>
    <s v="CLI-0109"/>
    <x v="4"/>
    <x v="3"/>
    <x v="5"/>
    <n v="187167"/>
    <d v="2023-05-27T00:00:00"/>
    <m/>
    <m/>
    <m/>
    <x v="1"/>
    <x v="1"/>
    <s v="Normal"/>
  </r>
  <r>
    <s v="DEAL-02348"/>
    <x v="6"/>
    <s v="CLI-0295"/>
    <x v="0"/>
    <x v="4"/>
    <x v="0"/>
    <n v="263320"/>
    <d v="2024-04-22T00:00:00"/>
    <d v="2024-05-17T00:00:00"/>
    <n v="25"/>
    <m/>
    <x v="3"/>
    <x v="7"/>
    <s v="Normal"/>
  </r>
  <r>
    <s v="DEAL-01079"/>
    <x v="1"/>
    <s v="CLI-0172"/>
    <x v="4"/>
    <x v="0"/>
    <x v="1"/>
    <n v="168215"/>
    <d v="2024-03-19T00:00:00"/>
    <m/>
    <m/>
    <n v="12.7"/>
    <x v="3"/>
    <x v="5"/>
    <s v="Normal"/>
  </r>
  <r>
    <s v="DEAL-01305"/>
    <x v="1"/>
    <s v="CLI-0206"/>
    <x v="0"/>
    <x v="3"/>
    <x v="3"/>
    <n v="20087"/>
    <d v="2024-06-12T00:00:00"/>
    <d v="2024-11-03T00:00:00"/>
    <n v="144"/>
    <n v="24.1"/>
    <x v="1"/>
    <x v="7"/>
    <s v="Normal"/>
  </r>
  <r>
    <s v="DEAL-00187"/>
    <x v="8"/>
    <s v="CLI-0180"/>
    <x v="1"/>
    <x v="0"/>
    <x v="3"/>
    <n v="384150"/>
    <d v="2024-05-22T00:00:00"/>
    <d v="2024-10-18T00:00:00"/>
    <n v="149"/>
    <n v="13.1"/>
    <x v="2"/>
    <x v="7"/>
    <s v="Normal"/>
  </r>
  <r>
    <s v="DEAL-02217"/>
    <x v="7"/>
    <s v="CLI-0270"/>
    <x v="0"/>
    <x v="0"/>
    <x v="5"/>
    <n v="354315"/>
    <d v="2023-02-26T00:00:00"/>
    <m/>
    <m/>
    <n v="10.3"/>
    <x v="2"/>
    <x v="2"/>
    <s v="Normal"/>
  </r>
  <r>
    <s v="DEAL-00347"/>
    <x v="8"/>
    <s v="CLI-0077"/>
    <x v="1"/>
    <x v="3"/>
    <x v="3"/>
    <n v="124965"/>
    <d v="2023-10-14T00:00:00"/>
    <d v="2023-12-13T00:00:00"/>
    <n v="60"/>
    <n v="0.4"/>
    <x v="3"/>
    <x v="0"/>
    <s v="Normal"/>
  </r>
  <r>
    <s v="DEAL-00971"/>
    <x v="5"/>
    <s v="CLI-0087"/>
    <x v="2"/>
    <x v="5"/>
    <x v="0"/>
    <n v="410731"/>
    <d v="2023-03-04T00:00:00"/>
    <d v="2023-06-05T00:00:00"/>
    <n v="93"/>
    <n v="4.7"/>
    <x v="1"/>
    <x v="2"/>
    <s v="Normal"/>
  </r>
  <r>
    <s v="DEAL-00709"/>
    <x v="5"/>
    <s v="CLI-0183"/>
    <x v="1"/>
    <x v="2"/>
    <x v="0"/>
    <n v="272141"/>
    <d v="2023-02-01T00:00:00"/>
    <d v="2023-04-22T00:00:00"/>
    <n v="80"/>
    <n v="12.9"/>
    <x v="3"/>
    <x v="2"/>
    <s v="Normal"/>
  </r>
  <r>
    <s v="DEAL-00383"/>
    <x v="7"/>
    <s v="CLI-0138"/>
    <x v="1"/>
    <x v="4"/>
    <x v="1"/>
    <n v="400965"/>
    <d v="2024-03-06T00:00:00"/>
    <m/>
    <m/>
    <n v="10.4"/>
    <x v="0"/>
    <x v="5"/>
    <s v="Normal"/>
  </r>
  <r>
    <s v="DEAL-01809"/>
    <x v="3"/>
    <s v="CLI-0103"/>
    <x v="4"/>
    <x v="1"/>
    <x v="5"/>
    <n v="217920"/>
    <d v="2024-12-02T00:00:00"/>
    <m/>
    <m/>
    <m/>
    <x v="0"/>
    <x v="3"/>
    <s v="Normal"/>
  </r>
  <r>
    <s v="DEAL-00077"/>
    <x v="9"/>
    <s v="CLI-0075"/>
    <x v="3"/>
    <x v="6"/>
    <x v="0"/>
    <n v="478494"/>
    <d v="2024-09-10T00:00:00"/>
    <d v="2025-01-11T00:00:00"/>
    <n v="123"/>
    <n v="6.8"/>
    <x v="0"/>
    <x v="8"/>
    <s v="Normal"/>
  </r>
  <r>
    <s v="DEAL-00423"/>
    <x v="2"/>
    <s v="CLI-0146"/>
    <x v="2"/>
    <x v="5"/>
    <x v="2"/>
    <n v="366026"/>
    <d v="2023-12-06T00:00:00"/>
    <m/>
    <m/>
    <n v="5.9"/>
    <x v="2"/>
    <x v="0"/>
    <s v="Normal"/>
  </r>
  <r>
    <s v="DEAL-01237"/>
    <x v="1"/>
    <s v="CLI-0033"/>
    <x v="1"/>
    <x v="2"/>
    <x v="3"/>
    <n v="210971"/>
    <d v="2024-07-30T00:00:00"/>
    <d v="2024-09-27T00:00:00"/>
    <n v="59"/>
    <n v="19.3"/>
    <x v="0"/>
    <x v="8"/>
    <s v="Normal"/>
  </r>
  <r>
    <s v="DEAL-01217"/>
    <x v="1"/>
    <s v="CLI-0017"/>
    <x v="2"/>
    <x v="5"/>
    <x v="4"/>
    <n v="392720"/>
    <d v="2024-06-01T00:00:00"/>
    <m/>
    <m/>
    <n v="5.8"/>
    <x v="1"/>
    <x v="7"/>
    <s v="Normal"/>
  </r>
  <r>
    <s v="DEAL-01724"/>
    <x v="12"/>
    <s v="CLI-0090"/>
    <x v="2"/>
    <x v="4"/>
    <x v="5"/>
    <n v="268444"/>
    <d v="2024-05-12T00:00:00"/>
    <m/>
    <m/>
    <m/>
    <x v="2"/>
    <x v="7"/>
    <s v="Normal"/>
  </r>
  <r>
    <s v="DEAL-00151"/>
    <x v="8"/>
    <s v="CLI-0099"/>
    <x v="4"/>
    <x v="3"/>
    <x v="4"/>
    <n v="202104"/>
    <d v="2025-01-29T00:00:00"/>
    <m/>
    <m/>
    <n v="8.8000000000000007"/>
    <x v="2"/>
    <x v="4"/>
    <s v="Normal"/>
  </r>
  <r>
    <s v="DEAL-00418"/>
    <x v="14"/>
    <s v="CLI-0295"/>
    <x v="1"/>
    <x v="0"/>
    <x v="4"/>
    <n v="367272"/>
    <d v="2023-07-11T00:00:00"/>
    <m/>
    <m/>
    <n v="5"/>
    <x v="3"/>
    <x v="6"/>
    <s v="Normal"/>
  </r>
  <r>
    <s v="DEAL-01039"/>
    <x v="15"/>
    <s v="CLI-0212"/>
    <x v="1"/>
    <x v="1"/>
    <x v="0"/>
    <n v="199001"/>
    <d v="2024-03-23T00:00:00"/>
    <d v="2024-07-10T00:00:00"/>
    <n v="109"/>
    <m/>
    <x v="0"/>
    <x v="5"/>
    <s v="Normal"/>
  </r>
  <r>
    <s v="DEAL-01871"/>
    <x v="3"/>
    <s v="CLI-0026"/>
    <x v="5"/>
    <x v="2"/>
    <x v="4"/>
    <n v="321550"/>
    <d v="2023-07-12T00:00:00"/>
    <m/>
    <m/>
    <m/>
    <x v="2"/>
    <x v="6"/>
    <s v="Normal"/>
  </r>
  <r>
    <s v="DEAL-01438"/>
    <x v="7"/>
    <s v="CLI-0259"/>
    <x v="0"/>
    <x v="0"/>
    <x v="5"/>
    <n v="376342"/>
    <d v="2024-02-22T00:00:00"/>
    <m/>
    <m/>
    <n v="1.9"/>
    <x v="2"/>
    <x v="5"/>
    <s v="Normal"/>
  </r>
  <r>
    <s v="DEAL-02064"/>
    <x v="0"/>
    <s v="CLI-0248"/>
    <x v="5"/>
    <x v="0"/>
    <x v="0"/>
    <n v="119352"/>
    <d v="2024-02-24T00:00:00"/>
    <d v="2024-04-28T00:00:00"/>
    <n v="64"/>
    <n v="5.9"/>
    <x v="1"/>
    <x v="5"/>
    <s v="Normal"/>
  </r>
  <r>
    <s v="DEAL-00140"/>
    <x v="5"/>
    <s v="CLI-0261"/>
    <x v="5"/>
    <x v="4"/>
    <x v="1"/>
    <n v="313108"/>
    <d v="2024-06-25T00:00:00"/>
    <m/>
    <m/>
    <m/>
    <x v="2"/>
    <x v="7"/>
    <s v="Normal"/>
  </r>
  <r>
    <s v="DEAL-01175"/>
    <x v="7"/>
    <s v="CLI-0273"/>
    <x v="3"/>
    <x v="7"/>
    <x v="5"/>
    <n v="254116"/>
    <d v="2025-01-17T00:00:00"/>
    <m/>
    <m/>
    <n v="11"/>
    <x v="0"/>
    <x v="4"/>
    <s v="Normal"/>
  </r>
  <r>
    <s v="DEAL-01177"/>
    <x v="9"/>
    <s v="CLI-0122"/>
    <x v="4"/>
    <x v="4"/>
    <x v="5"/>
    <n v="336032"/>
    <d v="2023-07-17T00:00:00"/>
    <m/>
    <m/>
    <n v="4.5999999999999996"/>
    <x v="3"/>
    <x v="6"/>
    <s v="Normal"/>
  </r>
  <r>
    <s v="DEAL-02224"/>
    <x v="14"/>
    <s v="CLI-0166"/>
    <x v="5"/>
    <x v="3"/>
    <x v="3"/>
    <n v="345065"/>
    <d v="2023-09-25T00:00:00"/>
    <d v="2023-12-07T00:00:00"/>
    <n v="73"/>
    <n v="2.5"/>
    <x v="0"/>
    <x v="6"/>
    <s v="Normal"/>
  </r>
  <r>
    <s v="DEAL-00759"/>
    <x v="2"/>
    <s v="CLI-0277"/>
    <x v="2"/>
    <x v="2"/>
    <x v="0"/>
    <n v="217798"/>
    <d v="2024-02-20T00:00:00"/>
    <d v="2024-06-24T00:00:00"/>
    <n v="125"/>
    <n v="4.3"/>
    <x v="1"/>
    <x v="5"/>
    <s v="Normal"/>
  </r>
  <r>
    <s v="DEAL-01879"/>
    <x v="8"/>
    <s v="CLI-0219"/>
    <x v="2"/>
    <x v="4"/>
    <x v="5"/>
    <n v="327452"/>
    <d v="2024-10-20T00:00:00"/>
    <m/>
    <m/>
    <n v="14.1"/>
    <x v="3"/>
    <x v="3"/>
    <s v="Normal"/>
  </r>
  <r>
    <s v="DEAL-00385"/>
    <x v="8"/>
    <s v="CLI-0179"/>
    <x v="2"/>
    <x v="1"/>
    <x v="4"/>
    <n v="102177"/>
    <d v="2024-01-18T00:00:00"/>
    <m/>
    <m/>
    <n v="2.7"/>
    <x v="0"/>
    <x v="5"/>
    <s v="Normal"/>
  </r>
  <r>
    <s v="DEAL-00751"/>
    <x v="14"/>
    <s v="CLI-0216"/>
    <x v="5"/>
    <x v="1"/>
    <x v="2"/>
    <n v="36694"/>
    <d v="2024-08-22T00:00:00"/>
    <m/>
    <m/>
    <n v="1.8"/>
    <x v="0"/>
    <x v="8"/>
    <s v="Normal"/>
  </r>
  <r>
    <s v="DEAL-00209"/>
    <x v="13"/>
    <s v="CLI-0028"/>
    <x v="0"/>
    <x v="1"/>
    <x v="4"/>
    <n v="406655"/>
    <d v="2023-05-08T00:00:00"/>
    <m/>
    <m/>
    <n v="6.7"/>
    <x v="3"/>
    <x v="1"/>
    <s v="Normal"/>
  </r>
  <r>
    <s v="DEAL-02422"/>
    <x v="6"/>
    <s v="CLI-0217"/>
    <x v="4"/>
    <x v="7"/>
    <x v="1"/>
    <n v="344033"/>
    <d v="2024-03-01T00:00:00"/>
    <m/>
    <m/>
    <n v="5.7"/>
    <x v="2"/>
    <x v="5"/>
    <s v="Normal"/>
  </r>
  <r>
    <s v="DEAL-02192"/>
    <x v="5"/>
    <s v="CLI-0235"/>
    <x v="3"/>
    <x v="7"/>
    <x v="3"/>
    <n v="431698"/>
    <d v="2023-12-19T00:00:00"/>
    <d v="2024-03-13T00:00:00"/>
    <n v="85"/>
    <n v="8.6999999999999993"/>
    <x v="3"/>
    <x v="0"/>
    <s v="Normal"/>
  </r>
  <r>
    <s v="DEAL-00734"/>
    <x v="7"/>
    <s v="CLI-0101"/>
    <x v="2"/>
    <x v="6"/>
    <x v="2"/>
    <n v="131729"/>
    <d v="2023-03-25T00:00:00"/>
    <m/>
    <m/>
    <n v="6.1"/>
    <x v="1"/>
    <x v="2"/>
    <s v="Normal"/>
  </r>
  <r>
    <s v="DEAL-00346"/>
    <x v="0"/>
    <s v="CLI-0279"/>
    <x v="5"/>
    <x v="4"/>
    <x v="1"/>
    <n v="192170"/>
    <d v="2024-01-13T00:00:00"/>
    <m/>
    <m/>
    <n v="4.9000000000000004"/>
    <x v="2"/>
    <x v="5"/>
    <s v="Normal"/>
  </r>
  <r>
    <s v="DEAL-01261"/>
    <x v="9"/>
    <s v="CLI-0104"/>
    <x v="0"/>
    <x v="4"/>
    <x v="5"/>
    <n v="482743"/>
    <d v="2024-09-29T00:00:00"/>
    <m/>
    <m/>
    <m/>
    <x v="1"/>
    <x v="8"/>
    <s v="Normal"/>
  </r>
  <r>
    <s v="DEAL-00214"/>
    <x v="5"/>
    <s v="CLI-0054"/>
    <x v="4"/>
    <x v="5"/>
    <x v="4"/>
    <n v="169868"/>
    <d v="2023-11-07T00:00:00"/>
    <m/>
    <m/>
    <m/>
    <x v="1"/>
    <x v="0"/>
    <s v="Normal"/>
  </r>
  <r>
    <s v="DEAL-00465"/>
    <x v="13"/>
    <s v="CLI-0114"/>
    <x v="1"/>
    <x v="0"/>
    <x v="1"/>
    <n v="384629"/>
    <d v="2023-09-21T00:00:00"/>
    <m/>
    <m/>
    <n v="0.2"/>
    <x v="2"/>
    <x v="6"/>
    <s v="Normal"/>
  </r>
  <r>
    <s v="DEAL-02096"/>
    <x v="1"/>
    <s v="CLI-0191"/>
    <x v="3"/>
    <x v="1"/>
    <x v="3"/>
    <n v="219479"/>
    <d v="2023-01-04T00:00:00"/>
    <d v="2023-03-22T00:00:00"/>
    <n v="77"/>
    <n v="14.9"/>
    <x v="3"/>
    <x v="2"/>
    <s v="Normal"/>
  </r>
  <r>
    <s v="DEAL-01915"/>
    <x v="10"/>
    <s v="CLI-0288"/>
    <x v="4"/>
    <x v="6"/>
    <x v="3"/>
    <n v="94909"/>
    <d v="2024-04-12T00:00:00"/>
    <d v="2024-07-26T00:00:00"/>
    <n v="105"/>
    <n v="21.5"/>
    <x v="3"/>
    <x v="7"/>
    <s v="Normal"/>
  </r>
  <r>
    <s v="DEAL-01987"/>
    <x v="0"/>
    <s v="CLI-0261"/>
    <x v="4"/>
    <x v="3"/>
    <x v="0"/>
    <n v="251930"/>
    <d v="2023-09-22T00:00:00"/>
    <d v="2023-10-17T00:00:00"/>
    <n v="25"/>
    <m/>
    <x v="2"/>
    <x v="6"/>
    <s v="Normal"/>
  </r>
  <r>
    <s v="DEAL-00825"/>
    <x v="6"/>
    <s v="CLI-0177"/>
    <x v="0"/>
    <x v="6"/>
    <x v="4"/>
    <n v="172311"/>
    <d v="2023-09-15T00:00:00"/>
    <m/>
    <m/>
    <n v="1.2"/>
    <x v="0"/>
    <x v="6"/>
    <s v="Normal"/>
  </r>
  <r>
    <s v="DEAL-00165"/>
    <x v="13"/>
    <s v="CLI-0033"/>
    <x v="4"/>
    <x v="3"/>
    <x v="3"/>
    <n v="423559"/>
    <d v="2023-09-17T00:00:00"/>
    <d v="2024-02-20T00:00:00"/>
    <n v="156"/>
    <n v="16"/>
    <x v="2"/>
    <x v="6"/>
    <s v="Normal"/>
  </r>
  <r>
    <s v="DEAL-00678"/>
    <x v="8"/>
    <s v="CLI-0197"/>
    <x v="3"/>
    <x v="1"/>
    <x v="3"/>
    <n v="310036"/>
    <d v="2023-08-23T00:00:00"/>
    <d v="2024-02-05T00:00:00"/>
    <n v="166"/>
    <n v="20.3"/>
    <x v="1"/>
    <x v="6"/>
    <s v="Normal"/>
  </r>
  <r>
    <s v="DEAL-02465"/>
    <x v="3"/>
    <s v="CLI-0217"/>
    <x v="1"/>
    <x v="2"/>
    <x v="3"/>
    <n v="333247"/>
    <d v="2023-01-25T00:00:00"/>
    <d v="2023-03-24T00:00:00"/>
    <n v="58"/>
    <n v="16.5"/>
    <x v="2"/>
    <x v="2"/>
    <s v="Normal"/>
  </r>
  <r>
    <s v="DEAL-01564"/>
    <x v="5"/>
    <s v="CLI-0105"/>
    <x v="0"/>
    <x v="4"/>
    <x v="1"/>
    <n v="358946"/>
    <d v="2023-11-08T00:00:00"/>
    <m/>
    <m/>
    <n v="5.2"/>
    <x v="1"/>
    <x v="0"/>
    <s v="Normal"/>
  </r>
  <r>
    <s v="DEAL-00013"/>
    <x v="2"/>
    <s v="CLI-0097"/>
    <x v="2"/>
    <x v="2"/>
    <x v="5"/>
    <n v="294548"/>
    <d v="2023-07-14T00:00:00"/>
    <m/>
    <m/>
    <n v="8.5"/>
    <x v="2"/>
    <x v="6"/>
    <s v="Normal"/>
  </r>
  <r>
    <s v="DEAL-00784"/>
    <x v="9"/>
    <s v="CLI-0276"/>
    <x v="2"/>
    <x v="5"/>
    <x v="2"/>
    <n v="455506"/>
    <d v="2023-03-18T00:00:00"/>
    <m/>
    <m/>
    <n v="14.6"/>
    <x v="0"/>
    <x v="2"/>
    <s v="Normal"/>
  </r>
  <r>
    <s v="DEAL-01621"/>
    <x v="1"/>
    <s v="CLI-0199"/>
    <x v="3"/>
    <x v="6"/>
    <x v="3"/>
    <n v="327220"/>
    <d v="2024-03-08T00:00:00"/>
    <d v="2024-06-03T00:00:00"/>
    <n v="87"/>
    <n v="8.1"/>
    <x v="3"/>
    <x v="5"/>
    <s v="Normal"/>
  </r>
  <r>
    <s v="DEAL-00754"/>
    <x v="5"/>
    <s v="CLI-0108"/>
    <x v="3"/>
    <x v="3"/>
    <x v="0"/>
    <n v="95664"/>
    <d v="2023-09-29T00:00:00"/>
    <d v="2024-02-14T00:00:00"/>
    <n v="138"/>
    <n v="3.3"/>
    <x v="1"/>
    <x v="6"/>
    <s v="Normal"/>
  </r>
  <r>
    <s v="DEAL-00878"/>
    <x v="12"/>
    <s v="CLI-0222"/>
    <x v="1"/>
    <x v="2"/>
    <x v="4"/>
    <n v="190014"/>
    <d v="2024-08-12T00:00:00"/>
    <m/>
    <m/>
    <n v="2.6"/>
    <x v="1"/>
    <x v="8"/>
    <s v="Normal"/>
  </r>
  <r>
    <s v="DEAL-01375"/>
    <x v="6"/>
    <s v="CLI-0214"/>
    <x v="5"/>
    <x v="7"/>
    <x v="5"/>
    <n v="427742"/>
    <d v="2024-11-25T00:00:00"/>
    <m/>
    <m/>
    <n v="8.1"/>
    <x v="0"/>
    <x v="3"/>
    <s v="Normal"/>
  </r>
  <r>
    <s v="DEAL-00052"/>
    <x v="13"/>
    <s v="CLI-0184"/>
    <x v="0"/>
    <x v="1"/>
    <x v="2"/>
    <n v="208673"/>
    <d v="2025-02-15T00:00:00"/>
    <m/>
    <m/>
    <n v="6.4"/>
    <x v="2"/>
    <x v="4"/>
    <s v="Normal"/>
  </r>
  <r>
    <s v="DEAL-01939"/>
    <x v="1"/>
    <s v="CLI-0219"/>
    <x v="5"/>
    <x v="7"/>
    <x v="1"/>
    <n v="427971"/>
    <d v="2024-07-18T00:00:00"/>
    <m/>
    <m/>
    <n v="13.5"/>
    <x v="1"/>
    <x v="8"/>
    <s v="Normal"/>
  </r>
  <r>
    <s v="DEAL-00359"/>
    <x v="7"/>
    <s v="CLI-0058"/>
    <x v="2"/>
    <x v="6"/>
    <x v="5"/>
    <n v="292458"/>
    <d v="2024-06-29T00:00:00"/>
    <m/>
    <m/>
    <m/>
    <x v="3"/>
    <x v="7"/>
    <s v="Normal"/>
  </r>
  <r>
    <s v="DEAL-01036"/>
    <x v="1"/>
    <s v="CLI-0075"/>
    <x v="1"/>
    <x v="6"/>
    <x v="2"/>
    <n v="115388"/>
    <d v="2023-09-03T00:00:00"/>
    <m/>
    <m/>
    <n v="13.3"/>
    <x v="2"/>
    <x v="6"/>
    <s v="Normal"/>
  </r>
  <r>
    <s v="DEAL-00032"/>
    <x v="2"/>
    <s v="CLI-0007"/>
    <x v="4"/>
    <x v="7"/>
    <x v="4"/>
    <n v="375180"/>
    <d v="2023-02-24T00:00:00"/>
    <m/>
    <m/>
    <n v="7"/>
    <x v="3"/>
    <x v="2"/>
    <s v="Normal"/>
  </r>
  <r>
    <s v="DEAL-02003"/>
    <x v="0"/>
    <s v="CLI-0228"/>
    <x v="1"/>
    <x v="6"/>
    <x v="4"/>
    <n v="399496"/>
    <d v="2023-12-26T00:00:00"/>
    <m/>
    <m/>
    <n v="11"/>
    <x v="0"/>
    <x v="0"/>
    <s v="Normal"/>
  </r>
  <r>
    <s v="DEAL-02280"/>
    <x v="8"/>
    <s v="CLI-0082"/>
    <x v="5"/>
    <x v="6"/>
    <x v="2"/>
    <n v="471616"/>
    <d v="2023-07-09T00:00:00"/>
    <m/>
    <m/>
    <n v="1.1000000000000001"/>
    <x v="2"/>
    <x v="6"/>
    <s v="Normal"/>
  </r>
  <r>
    <s v="DEAL-00343"/>
    <x v="15"/>
    <s v="CLI-0154"/>
    <x v="1"/>
    <x v="6"/>
    <x v="5"/>
    <n v="289167"/>
    <d v="2023-03-18T00:00:00"/>
    <m/>
    <m/>
    <n v="2.5"/>
    <x v="0"/>
    <x v="2"/>
    <s v="Normal"/>
  </r>
  <r>
    <s v="DEAL-01156"/>
    <x v="9"/>
    <s v="CLI-0203"/>
    <x v="2"/>
    <x v="6"/>
    <x v="5"/>
    <n v="125873"/>
    <d v="2024-01-18T00:00:00"/>
    <m/>
    <m/>
    <n v="1.3"/>
    <x v="2"/>
    <x v="5"/>
    <s v="Normal"/>
  </r>
  <r>
    <s v="DEAL-02493"/>
    <x v="5"/>
    <s v="CLI-0267"/>
    <x v="3"/>
    <x v="6"/>
    <x v="5"/>
    <n v="94582"/>
    <d v="2024-07-29T00:00:00"/>
    <m/>
    <m/>
    <n v="7.5"/>
    <x v="2"/>
    <x v="8"/>
    <s v="Normal"/>
  </r>
  <r>
    <s v="DEAL-00360"/>
    <x v="15"/>
    <s v="CLI-0253"/>
    <x v="1"/>
    <x v="4"/>
    <x v="4"/>
    <n v="11502"/>
    <d v="2023-01-18T00:00:00"/>
    <m/>
    <m/>
    <n v="5.4"/>
    <x v="1"/>
    <x v="2"/>
    <s v="Normal"/>
  </r>
  <r>
    <s v="DEAL-00869"/>
    <x v="1"/>
    <s v="CLI-0070"/>
    <x v="3"/>
    <x v="5"/>
    <x v="0"/>
    <n v="29811"/>
    <d v="2025-03-28T00:00:00"/>
    <d v="2025-04-20T00:00:00"/>
    <n v="23"/>
    <m/>
    <x v="0"/>
    <x v="4"/>
    <s v="Normal"/>
  </r>
  <r>
    <s v="DEAL-01016"/>
    <x v="10"/>
    <s v="CLI-0131"/>
    <x v="2"/>
    <x v="1"/>
    <x v="3"/>
    <n v="304950"/>
    <d v="2024-07-10T00:00:00"/>
    <d v="2024-11-17T00:00:00"/>
    <n v="130"/>
    <n v="14.1"/>
    <x v="1"/>
    <x v="8"/>
    <s v="Normal"/>
  </r>
  <r>
    <s v="DEAL-00788"/>
    <x v="8"/>
    <s v="CLI-0223"/>
    <x v="5"/>
    <x v="4"/>
    <x v="2"/>
    <n v="319777"/>
    <d v="2025-03-24T00:00:00"/>
    <m/>
    <m/>
    <n v="3.7"/>
    <x v="1"/>
    <x v="4"/>
    <s v="Normal"/>
  </r>
  <r>
    <s v="DEAL-01956"/>
    <x v="15"/>
    <s v="CLI-0118"/>
    <x v="3"/>
    <x v="6"/>
    <x v="0"/>
    <n v="451024"/>
    <d v="2023-05-29T00:00:00"/>
    <d v="2023-08-13T00:00:00"/>
    <n v="76"/>
    <n v="0.5"/>
    <x v="0"/>
    <x v="1"/>
    <s v="Normal"/>
  </r>
  <r>
    <s v="DEAL-01339"/>
    <x v="7"/>
    <s v="CLI-0255"/>
    <x v="4"/>
    <x v="7"/>
    <x v="0"/>
    <n v="428759"/>
    <d v="2023-06-12T00:00:00"/>
    <d v="2023-08-03T00:00:00"/>
    <n v="52"/>
    <n v="3.4"/>
    <x v="3"/>
    <x v="1"/>
    <s v="Normal"/>
  </r>
  <r>
    <s v="DEAL-02015"/>
    <x v="12"/>
    <s v="CLI-0268"/>
    <x v="1"/>
    <x v="6"/>
    <x v="3"/>
    <n v="194102"/>
    <d v="2024-02-23T00:00:00"/>
    <d v="2024-07-15T00:00:00"/>
    <n v="143"/>
    <n v="17.5"/>
    <x v="3"/>
    <x v="5"/>
    <s v="Normal"/>
  </r>
  <r>
    <s v="DEAL-00640"/>
    <x v="14"/>
    <s v="CLI-0243"/>
    <x v="3"/>
    <x v="1"/>
    <x v="4"/>
    <n v="398021"/>
    <d v="2024-11-28T00:00:00"/>
    <m/>
    <m/>
    <n v="10.7"/>
    <x v="2"/>
    <x v="3"/>
    <s v="Normal"/>
  </r>
  <r>
    <s v="DEAL-02185"/>
    <x v="9"/>
    <s v="CLI-0180"/>
    <x v="3"/>
    <x v="4"/>
    <x v="4"/>
    <n v="212157"/>
    <d v="2024-11-15T00:00:00"/>
    <m/>
    <m/>
    <n v="4.9000000000000004"/>
    <x v="3"/>
    <x v="3"/>
    <s v="Normal"/>
  </r>
  <r>
    <s v="DEAL-00812"/>
    <x v="15"/>
    <s v="CLI-0233"/>
    <x v="4"/>
    <x v="2"/>
    <x v="2"/>
    <n v="350606"/>
    <d v="2025-01-25T00:00:00"/>
    <m/>
    <m/>
    <m/>
    <x v="1"/>
    <x v="4"/>
    <s v="Normal"/>
  </r>
  <r>
    <s v="DEAL-01989"/>
    <x v="10"/>
    <s v="CLI-0279"/>
    <x v="2"/>
    <x v="6"/>
    <x v="3"/>
    <n v="119505"/>
    <d v="2024-05-19T00:00:00"/>
    <d v="2024-09-22T00:00:00"/>
    <n v="126"/>
    <n v="24.8"/>
    <x v="1"/>
    <x v="7"/>
    <s v="Normal"/>
  </r>
  <r>
    <s v="DEAL-00481"/>
    <x v="2"/>
    <s v="CLI-0136"/>
    <x v="1"/>
    <x v="4"/>
    <x v="2"/>
    <n v="236631"/>
    <d v="2023-03-30T00:00:00"/>
    <m/>
    <m/>
    <n v="13"/>
    <x v="3"/>
    <x v="2"/>
    <s v="Normal"/>
  </r>
  <r>
    <s v="DEAL-01410"/>
    <x v="11"/>
    <s v="CLI-0224"/>
    <x v="5"/>
    <x v="6"/>
    <x v="3"/>
    <n v="22565"/>
    <d v="2023-08-01T00:00:00"/>
    <d v="2023-10-31T00:00:00"/>
    <n v="91"/>
    <n v="9.6"/>
    <x v="0"/>
    <x v="6"/>
    <s v="Normal"/>
  </r>
  <r>
    <s v="DEAL-00210"/>
    <x v="5"/>
    <s v="CLI-0142"/>
    <x v="1"/>
    <x v="0"/>
    <x v="2"/>
    <n v="159178"/>
    <d v="2025-01-02T00:00:00"/>
    <m/>
    <m/>
    <m/>
    <x v="0"/>
    <x v="4"/>
    <s v="Normal"/>
  </r>
  <r>
    <s v="DEAL-01717"/>
    <x v="0"/>
    <s v="CLI-0264"/>
    <x v="2"/>
    <x v="7"/>
    <x v="3"/>
    <n v="308386"/>
    <d v="2024-08-01T00:00:00"/>
    <d v="2024-12-18T00:00:00"/>
    <n v="139"/>
    <n v="5.7"/>
    <x v="1"/>
    <x v="8"/>
    <s v="Normal"/>
  </r>
  <r>
    <s v="DEAL-01611"/>
    <x v="7"/>
    <s v="CLI-0089"/>
    <x v="0"/>
    <x v="7"/>
    <x v="4"/>
    <n v="408867"/>
    <d v="2023-10-05T00:00:00"/>
    <m/>
    <m/>
    <n v="2.2999999999999998"/>
    <x v="3"/>
    <x v="0"/>
    <s v="Normal"/>
  </r>
  <r>
    <s v="DEAL-01509"/>
    <x v="11"/>
    <s v="CLI-0236"/>
    <x v="5"/>
    <x v="3"/>
    <x v="4"/>
    <n v="284686"/>
    <d v="2024-08-13T00:00:00"/>
    <m/>
    <m/>
    <n v="9.6"/>
    <x v="3"/>
    <x v="8"/>
    <s v="Normal"/>
  </r>
  <r>
    <s v="DEAL-01639"/>
    <x v="7"/>
    <s v="CLI-0095"/>
    <x v="4"/>
    <x v="3"/>
    <x v="3"/>
    <n v="347300"/>
    <d v="2024-08-07T00:00:00"/>
    <d v="2024-11-01T00:00:00"/>
    <n v="86"/>
    <n v="19.899999999999999"/>
    <x v="2"/>
    <x v="8"/>
    <s v="Normal"/>
  </r>
  <r>
    <s v="DEAL-00895"/>
    <x v="8"/>
    <s v="CLI-0181"/>
    <x v="1"/>
    <x v="7"/>
    <x v="5"/>
    <n v="208657"/>
    <d v="2024-08-07T00:00:00"/>
    <m/>
    <m/>
    <n v="14.1"/>
    <x v="3"/>
    <x v="8"/>
    <s v="Normal"/>
  </r>
  <r>
    <s v="DEAL-00693"/>
    <x v="1"/>
    <s v="CLI-0197"/>
    <x v="0"/>
    <x v="2"/>
    <x v="1"/>
    <n v="338265"/>
    <d v="2023-09-16T00:00:00"/>
    <m/>
    <m/>
    <m/>
    <x v="3"/>
    <x v="6"/>
    <s v="Normal"/>
  </r>
  <r>
    <s v="DEAL-01870"/>
    <x v="11"/>
    <s v="CLI-0072"/>
    <x v="1"/>
    <x v="3"/>
    <x v="3"/>
    <n v="127549"/>
    <d v="2023-05-22T00:00:00"/>
    <d v="2023-09-14T00:00:00"/>
    <n v="115"/>
    <n v="4"/>
    <x v="1"/>
    <x v="1"/>
    <s v="Normal"/>
  </r>
  <r>
    <s v="DEAL-01206"/>
    <x v="12"/>
    <s v="CLI-0276"/>
    <x v="0"/>
    <x v="6"/>
    <x v="3"/>
    <n v="468919"/>
    <d v="2023-07-01T00:00:00"/>
    <d v="2023-08-21T00:00:00"/>
    <n v="51"/>
    <n v="10.5"/>
    <x v="1"/>
    <x v="6"/>
    <s v="Normal"/>
  </r>
  <r>
    <s v="DEAL-00109"/>
    <x v="6"/>
    <s v="CLI-0260"/>
    <x v="2"/>
    <x v="0"/>
    <x v="5"/>
    <n v="448823"/>
    <d v="2023-01-15T00:00:00"/>
    <m/>
    <m/>
    <n v="11"/>
    <x v="1"/>
    <x v="2"/>
    <s v="Normal"/>
  </r>
  <r>
    <s v="DEAL-00410"/>
    <x v="12"/>
    <s v="CLI-0231"/>
    <x v="1"/>
    <x v="4"/>
    <x v="2"/>
    <n v="448064"/>
    <d v="2024-11-06T00:00:00"/>
    <m/>
    <m/>
    <n v="9.6999999999999993"/>
    <x v="3"/>
    <x v="3"/>
    <s v="Normal"/>
  </r>
  <r>
    <s v="DEAL-01180"/>
    <x v="8"/>
    <s v="CLI-0205"/>
    <x v="4"/>
    <x v="3"/>
    <x v="3"/>
    <n v="123344"/>
    <d v="2023-04-02T00:00:00"/>
    <d v="2023-06-04T00:00:00"/>
    <n v="63"/>
    <n v="0.9"/>
    <x v="0"/>
    <x v="1"/>
    <s v="Normal"/>
  </r>
  <r>
    <s v="DEAL-00876"/>
    <x v="14"/>
    <s v="CLI-0266"/>
    <x v="2"/>
    <x v="0"/>
    <x v="4"/>
    <n v="443307"/>
    <d v="2023-10-29T00:00:00"/>
    <m/>
    <m/>
    <m/>
    <x v="1"/>
    <x v="0"/>
    <s v="Normal"/>
  </r>
  <r>
    <s v="DEAL-02108"/>
    <x v="14"/>
    <s v="CLI-0099"/>
    <x v="1"/>
    <x v="7"/>
    <x v="0"/>
    <n v="478035"/>
    <d v="2023-10-19T00:00:00"/>
    <d v="2024-03-22T00:00:00"/>
    <n v="155"/>
    <n v="8.5"/>
    <x v="0"/>
    <x v="0"/>
    <s v="Normal"/>
  </r>
  <r>
    <s v="DEAL-00603"/>
    <x v="0"/>
    <s v="CLI-0206"/>
    <x v="3"/>
    <x v="6"/>
    <x v="2"/>
    <n v="111382"/>
    <d v="2023-12-25T00:00:00"/>
    <m/>
    <m/>
    <n v="1.1000000000000001"/>
    <x v="2"/>
    <x v="0"/>
    <s v="Normal"/>
  </r>
  <r>
    <s v="DEAL-00528"/>
    <x v="14"/>
    <s v="CLI-0215"/>
    <x v="0"/>
    <x v="4"/>
    <x v="5"/>
    <n v="370073"/>
    <d v="2023-08-06T00:00:00"/>
    <m/>
    <m/>
    <n v="13.7"/>
    <x v="0"/>
    <x v="6"/>
    <s v="Normal"/>
  </r>
  <r>
    <s v="DEAL-01070"/>
    <x v="14"/>
    <s v="CLI-0089"/>
    <x v="4"/>
    <x v="6"/>
    <x v="3"/>
    <n v="212195"/>
    <d v="2024-03-12T00:00:00"/>
    <d v="2024-04-04T00:00:00"/>
    <n v="23"/>
    <n v="8.3000000000000007"/>
    <x v="3"/>
    <x v="5"/>
    <s v="Normal"/>
  </r>
  <r>
    <s v="DEAL-02187"/>
    <x v="0"/>
    <s v="CLI-0271"/>
    <x v="0"/>
    <x v="6"/>
    <x v="3"/>
    <n v="289770"/>
    <d v="2023-08-30T00:00:00"/>
    <d v="2023-11-27T00:00:00"/>
    <n v="89"/>
    <n v="6.3"/>
    <x v="3"/>
    <x v="6"/>
    <s v="Normal"/>
  </r>
  <r>
    <s v="DEAL-00691"/>
    <x v="1"/>
    <s v="CLI-0190"/>
    <x v="5"/>
    <x v="7"/>
    <x v="2"/>
    <n v="181472"/>
    <d v="2024-02-07T00:00:00"/>
    <m/>
    <m/>
    <m/>
    <x v="3"/>
    <x v="5"/>
    <s v="Normal"/>
  </r>
  <r>
    <s v="DEAL-00771"/>
    <x v="15"/>
    <s v="CLI-0147"/>
    <x v="5"/>
    <x v="7"/>
    <x v="5"/>
    <n v="406243"/>
    <d v="2023-10-19T00:00:00"/>
    <m/>
    <m/>
    <n v="5"/>
    <x v="3"/>
    <x v="0"/>
    <s v="Normal"/>
  </r>
  <r>
    <s v="DEAL-02201"/>
    <x v="13"/>
    <s v="CLI-0131"/>
    <x v="1"/>
    <x v="3"/>
    <x v="2"/>
    <n v="267549"/>
    <d v="2023-05-26T00:00:00"/>
    <m/>
    <m/>
    <m/>
    <x v="0"/>
    <x v="1"/>
    <s v="Normal"/>
  </r>
  <r>
    <s v="DEAL-01287"/>
    <x v="10"/>
    <s v="CLI-0260"/>
    <x v="0"/>
    <x v="7"/>
    <x v="4"/>
    <n v="36858"/>
    <d v="2024-01-20T00:00:00"/>
    <m/>
    <m/>
    <n v="1.2"/>
    <x v="2"/>
    <x v="5"/>
    <s v="Normal"/>
  </r>
  <r>
    <s v="DEAL-00607"/>
    <x v="15"/>
    <s v="CLI-0173"/>
    <x v="2"/>
    <x v="3"/>
    <x v="3"/>
    <n v="463596"/>
    <d v="2025-01-11T00:00:00"/>
    <d v="2025-04-06T00:00:00"/>
    <n v="85"/>
    <n v="16"/>
    <x v="2"/>
    <x v="4"/>
    <s v="Normal"/>
  </r>
  <r>
    <s v="DEAL-01401"/>
    <x v="11"/>
    <s v="CLI-0035"/>
    <x v="3"/>
    <x v="1"/>
    <x v="2"/>
    <n v="1820974"/>
    <d v="2024-03-28T00:00:00"/>
    <m/>
    <m/>
    <m/>
    <x v="1"/>
    <x v="5"/>
    <s v="High Outlier"/>
  </r>
  <r>
    <s v="DEAL-02243"/>
    <x v="15"/>
    <s v="CLI-0011"/>
    <x v="1"/>
    <x v="1"/>
    <x v="3"/>
    <n v="394327"/>
    <d v="2023-04-29T00:00:00"/>
    <d v="2023-06-27T00:00:00"/>
    <n v="59"/>
    <n v="4.8"/>
    <x v="3"/>
    <x v="1"/>
    <s v="Normal"/>
  </r>
  <r>
    <s v="DEAL-00839"/>
    <x v="1"/>
    <s v="CLI-0152"/>
    <x v="2"/>
    <x v="5"/>
    <x v="3"/>
    <n v="48104"/>
    <d v="2025-02-02T00:00:00"/>
    <d v="2025-04-12T00:00:00"/>
    <n v="69"/>
    <n v="4.4000000000000004"/>
    <x v="1"/>
    <x v="4"/>
    <s v="Normal"/>
  </r>
  <r>
    <s v="DEAL-01963"/>
    <x v="3"/>
    <s v="CLI-0184"/>
    <x v="5"/>
    <x v="6"/>
    <x v="3"/>
    <n v="82177"/>
    <d v="2025-03-05T00:00:00"/>
    <d v="2025-04-27T00:00:00"/>
    <n v="53"/>
    <n v="24.2"/>
    <x v="0"/>
    <x v="4"/>
    <s v="Normal"/>
  </r>
  <r>
    <s v="DEAL-01301"/>
    <x v="9"/>
    <s v="CLI-0270"/>
    <x v="2"/>
    <x v="4"/>
    <x v="2"/>
    <n v="273191"/>
    <d v="2023-01-06T00:00:00"/>
    <m/>
    <m/>
    <n v="5.8"/>
    <x v="2"/>
    <x v="2"/>
    <s v="Normal"/>
  </r>
  <r>
    <s v="DEAL-00996"/>
    <x v="9"/>
    <s v="CLI-0098"/>
    <x v="3"/>
    <x v="7"/>
    <x v="3"/>
    <n v="53328"/>
    <d v="2025-02-28T00:00:00"/>
    <d v="2025-04-02T00:00:00"/>
    <n v="33"/>
    <n v="8.3000000000000007"/>
    <x v="1"/>
    <x v="4"/>
    <s v="Normal"/>
  </r>
  <r>
    <s v="DEAL-00330"/>
    <x v="4"/>
    <s v="CLI-0234"/>
    <x v="0"/>
    <x v="6"/>
    <x v="0"/>
    <n v="291242"/>
    <d v="2023-04-22T00:00:00"/>
    <d v="2023-08-27T00:00:00"/>
    <n v="127"/>
    <m/>
    <x v="0"/>
    <x v="1"/>
    <s v="Normal"/>
  </r>
  <r>
    <s v="DEAL-01297"/>
    <x v="9"/>
    <s v="CLI-0288"/>
    <x v="4"/>
    <x v="5"/>
    <x v="2"/>
    <n v="179270"/>
    <d v="2025-02-26T00:00:00"/>
    <m/>
    <m/>
    <n v="3.1"/>
    <x v="0"/>
    <x v="4"/>
    <s v="Normal"/>
  </r>
  <r>
    <s v="DEAL-00426"/>
    <x v="13"/>
    <s v="CLI-0192"/>
    <x v="0"/>
    <x v="3"/>
    <x v="1"/>
    <n v="82204"/>
    <d v="2023-10-18T00:00:00"/>
    <m/>
    <m/>
    <n v="11.8"/>
    <x v="1"/>
    <x v="0"/>
    <s v="Normal"/>
  </r>
  <r>
    <s v="DEAL-01322"/>
    <x v="11"/>
    <s v="CLI-0041"/>
    <x v="3"/>
    <x v="1"/>
    <x v="3"/>
    <n v="26242"/>
    <d v="2024-05-11T00:00:00"/>
    <d v="2024-09-12T00:00:00"/>
    <n v="124"/>
    <n v="23.6"/>
    <x v="3"/>
    <x v="7"/>
    <s v="Normal"/>
  </r>
  <r>
    <s v="DEAL-01711"/>
    <x v="15"/>
    <s v="CLI-0266"/>
    <x v="3"/>
    <x v="2"/>
    <x v="3"/>
    <n v="388681"/>
    <d v="2023-11-05T00:00:00"/>
    <d v="2023-12-15T00:00:00"/>
    <n v="40"/>
    <n v="22.4"/>
    <x v="0"/>
    <x v="0"/>
    <s v="Normal"/>
  </r>
  <r>
    <s v="DEAL-02157"/>
    <x v="5"/>
    <s v="CLI-0127"/>
    <x v="2"/>
    <x v="4"/>
    <x v="0"/>
    <n v="438571"/>
    <d v="2023-02-07T00:00:00"/>
    <d v="2023-05-23T00:00:00"/>
    <n v="105"/>
    <m/>
    <x v="1"/>
    <x v="2"/>
    <s v="Normal"/>
  </r>
  <r>
    <s v="DEAL-01620"/>
    <x v="1"/>
    <s v="CLI-0219"/>
    <x v="5"/>
    <x v="1"/>
    <x v="4"/>
    <n v="407996"/>
    <d v="2024-10-10T00:00:00"/>
    <m/>
    <m/>
    <n v="13.6"/>
    <x v="2"/>
    <x v="3"/>
    <s v="Normal"/>
  </r>
  <r>
    <s v="DEAL-02497"/>
    <x v="13"/>
    <s v="CLI-0041"/>
    <x v="2"/>
    <x v="7"/>
    <x v="0"/>
    <n v="377337"/>
    <d v="2023-03-04T00:00:00"/>
    <d v="2023-04-28T00:00:00"/>
    <n v="55"/>
    <m/>
    <x v="2"/>
    <x v="2"/>
    <s v="Normal"/>
  </r>
  <r>
    <s v="DEAL-00750"/>
    <x v="11"/>
    <s v="CLI-0191"/>
    <x v="4"/>
    <x v="4"/>
    <x v="4"/>
    <n v="382823"/>
    <d v="2023-03-03T00:00:00"/>
    <m/>
    <m/>
    <m/>
    <x v="2"/>
    <x v="2"/>
    <s v="Normal"/>
  </r>
  <r>
    <s v="DEAL-01931"/>
    <x v="15"/>
    <s v="CLI-0129"/>
    <x v="2"/>
    <x v="4"/>
    <x v="0"/>
    <n v="207090"/>
    <d v="2023-08-18T00:00:00"/>
    <d v="2023-11-04T00:00:00"/>
    <n v="78"/>
    <m/>
    <x v="3"/>
    <x v="6"/>
    <s v="Normal"/>
  </r>
  <r>
    <s v="DEAL-00861"/>
    <x v="13"/>
    <s v="CLI-0165"/>
    <x v="2"/>
    <x v="7"/>
    <x v="5"/>
    <n v="438585"/>
    <d v="2023-10-10T00:00:00"/>
    <m/>
    <m/>
    <m/>
    <x v="0"/>
    <x v="0"/>
    <s v="Normal"/>
  </r>
  <r>
    <s v="DEAL-00522"/>
    <x v="2"/>
    <s v="CLI-0297"/>
    <x v="4"/>
    <x v="5"/>
    <x v="5"/>
    <n v="254971"/>
    <d v="2024-01-17T00:00:00"/>
    <m/>
    <m/>
    <n v="8.5"/>
    <x v="3"/>
    <x v="5"/>
    <s v="Normal"/>
  </r>
  <r>
    <s v="DEAL-00817"/>
    <x v="15"/>
    <s v="CLI-0034"/>
    <x v="0"/>
    <x v="1"/>
    <x v="2"/>
    <n v="70375"/>
    <d v="2024-05-31T00:00:00"/>
    <m/>
    <m/>
    <n v="9.6999999999999993"/>
    <x v="2"/>
    <x v="7"/>
    <s v="Normal"/>
  </r>
  <r>
    <s v="DEAL-00580"/>
    <x v="8"/>
    <s v="CLI-0091"/>
    <x v="5"/>
    <x v="6"/>
    <x v="0"/>
    <n v="220483"/>
    <d v="2023-01-07T00:00:00"/>
    <d v="2023-06-30T00:00:00"/>
    <n v="174"/>
    <m/>
    <x v="0"/>
    <x v="2"/>
    <s v="Normal"/>
  </r>
  <r>
    <s v="DEAL-02489"/>
    <x v="7"/>
    <s v="CLI-0233"/>
    <x v="5"/>
    <x v="1"/>
    <x v="0"/>
    <n v="96300"/>
    <d v="2024-11-20T00:00:00"/>
    <d v="2025-05-03T00:00:00"/>
    <n v="164"/>
    <m/>
    <x v="2"/>
    <x v="3"/>
    <s v="Normal"/>
  </r>
  <r>
    <s v="DEAL-00884"/>
    <x v="12"/>
    <s v="CLI-0011"/>
    <x v="3"/>
    <x v="2"/>
    <x v="2"/>
    <n v="287459"/>
    <d v="2023-05-05T00:00:00"/>
    <m/>
    <m/>
    <n v="10.4"/>
    <x v="3"/>
    <x v="1"/>
    <s v="Normal"/>
  </r>
  <r>
    <s v="DEAL-01822"/>
    <x v="2"/>
    <s v="CLI-0016"/>
    <x v="2"/>
    <x v="4"/>
    <x v="3"/>
    <n v="217156"/>
    <d v="2025-02-04T00:00:00"/>
    <d v="2025-07-18T00:00:00"/>
    <n v="164"/>
    <n v="9.1"/>
    <x v="1"/>
    <x v="4"/>
    <s v="Normal"/>
  </r>
  <r>
    <s v="DEAL-01990"/>
    <x v="9"/>
    <s v="CLI-0055"/>
    <x v="3"/>
    <x v="2"/>
    <x v="4"/>
    <n v="422364"/>
    <d v="2023-08-13T00:00:00"/>
    <m/>
    <m/>
    <m/>
    <x v="2"/>
    <x v="6"/>
    <s v="Normal"/>
  </r>
  <r>
    <s v="DEAL-00950"/>
    <x v="11"/>
    <s v="CLI-0238"/>
    <x v="5"/>
    <x v="7"/>
    <x v="3"/>
    <n v="464417"/>
    <d v="2023-12-15T00:00:00"/>
    <d v="2024-05-28T00:00:00"/>
    <n v="165"/>
    <n v="7.8"/>
    <x v="3"/>
    <x v="0"/>
    <s v="Normal"/>
  </r>
  <r>
    <s v="DEAL-01379"/>
    <x v="8"/>
    <s v="CLI-0041"/>
    <x v="3"/>
    <x v="5"/>
    <x v="0"/>
    <n v="461713"/>
    <d v="2023-03-12T00:00:00"/>
    <d v="2023-08-05T00:00:00"/>
    <n v="146"/>
    <m/>
    <x v="1"/>
    <x v="2"/>
    <s v="Normal"/>
  </r>
  <r>
    <s v="DEAL-02279"/>
    <x v="12"/>
    <s v="CLI-0138"/>
    <x v="2"/>
    <x v="1"/>
    <x v="3"/>
    <n v="387265"/>
    <d v="2024-02-15T00:00:00"/>
    <d v="2024-05-04T00:00:00"/>
    <n v="79"/>
    <n v="9.9"/>
    <x v="2"/>
    <x v="5"/>
    <s v="Normal"/>
  </r>
  <r>
    <s v="DEAL-01007"/>
    <x v="7"/>
    <s v="CLI-0290"/>
    <x v="0"/>
    <x v="3"/>
    <x v="4"/>
    <n v="480423"/>
    <d v="2023-01-04T00:00:00"/>
    <m/>
    <m/>
    <m/>
    <x v="3"/>
    <x v="2"/>
    <s v="Normal"/>
  </r>
  <r>
    <s v="DEAL-00164"/>
    <x v="14"/>
    <s v="CLI-0233"/>
    <x v="0"/>
    <x v="4"/>
    <x v="2"/>
    <n v="232183"/>
    <d v="2023-09-10T00:00:00"/>
    <m/>
    <m/>
    <n v="14.4"/>
    <x v="1"/>
    <x v="6"/>
    <s v="Normal"/>
  </r>
  <r>
    <s v="DEAL-00171"/>
    <x v="1"/>
    <s v="CLI-0001"/>
    <x v="3"/>
    <x v="3"/>
    <x v="0"/>
    <n v="493976"/>
    <d v="2024-09-18T00:00:00"/>
    <d v="2025-03-12T00:00:00"/>
    <n v="175"/>
    <n v="1.3"/>
    <x v="2"/>
    <x v="8"/>
    <s v="Normal"/>
  </r>
  <r>
    <s v="DEAL-00587"/>
    <x v="6"/>
    <s v="CLI-0163"/>
    <x v="4"/>
    <x v="7"/>
    <x v="3"/>
    <n v="480459"/>
    <d v="2023-05-25T00:00:00"/>
    <d v="2023-08-11T00:00:00"/>
    <n v="78"/>
    <n v="0.2"/>
    <x v="1"/>
    <x v="1"/>
    <s v="Normal"/>
  </r>
  <r>
    <s v="DEAL-01925"/>
    <x v="15"/>
    <s v="CLI-0172"/>
    <x v="3"/>
    <x v="1"/>
    <x v="3"/>
    <n v="434729"/>
    <d v="2023-01-24T00:00:00"/>
    <d v="2023-04-28T00:00:00"/>
    <n v="94"/>
    <n v="19.7"/>
    <x v="3"/>
    <x v="2"/>
    <s v="Normal"/>
  </r>
  <r>
    <s v="DEAL-01795"/>
    <x v="8"/>
    <s v="CLI-0238"/>
    <x v="1"/>
    <x v="2"/>
    <x v="5"/>
    <n v="454599"/>
    <d v="2023-04-15T00:00:00"/>
    <m/>
    <m/>
    <m/>
    <x v="2"/>
    <x v="1"/>
    <s v="Normal"/>
  </r>
  <r>
    <s v="DEAL-00086"/>
    <x v="13"/>
    <s v="CLI-0130"/>
    <x v="5"/>
    <x v="1"/>
    <x v="0"/>
    <n v="236380"/>
    <d v="2024-10-29T00:00:00"/>
    <d v="2025-01-21T00:00:00"/>
    <n v="84"/>
    <m/>
    <x v="0"/>
    <x v="3"/>
    <s v="Normal"/>
  </r>
  <r>
    <s v="DEAL-01239"/>
    <x v="15"/>
    <s v="CLI-0220"/>
    <x v="0"/>
    <x v="0"/>
    <x v="3"/>
    <n v="492788"/>
    <d v="2024-03-03T00:00:00"/>
    <d v="2024-04-22T00:00:00"/>
    <n v="50"/>
    <n v="3.1"/>
    <x v="0"/>
    <x v="5"/>
    <s v="Normal"/>
  </r>
  <r>
    <s v="DEAL-00454"/>
    <x v="2"/>
    <s v="CLI-0177"/>
    <x v="5"/>
    <x v="6"/>
    <x v="5"/>
    <n v="74160"/>
    <d v="2023-03-20T00:00:00"/>
    <m/>
    <m/>
    <n v="3.8"/>
    <x v="0"/>
    <x v="2"/>
    <s v="Normal"/>
  </r>
  <r>
    <s v="DEAL-01050"/>
    <x v="5"/>
    <s v="CLI-0037"/>
    <x v="3"/>
    <x v="6"/>
    <x v="5"/>
    <n v="339015"/>
    <d v="2024-05-21T00:00:00"/>
    <m/>
    <m/>
    <n v="14.9"/>
    <x v="1"/>
    <x v="7"/>
    <s v="Normal"/>
  </r>
  <r>
    <s v="DEAL-01151"/>
    <x v="10"/>
    <s v="CLI-0031"/>
    <x v="2"/>
    <x v="1"/>
    <x v="3"/>
    <n v="309376"/>
    <d v="2024-06-16T00:00:00"/>
    <d v="2024-08-02T00:00:00"/>
    <n v="47"/>
    <n v="18.5"/>
    <x v="3"/>
    <x v="7"/>
    <s v="Normal"/>
  </r>
  <r>
    <s v="DEAL-02421"/>
    <x v="8"/>
    <s v="CLI-0104"/>
    <x v="0"/>
    <x v="6"/>
    <x v="3"/>
    <n v="280306"/>
    <d v="2023-08-02T00:00:00"/>
    <d v="2024-01-08T00:00:00"/>
    <n v="159"/>
    <n v="24.3"/>
    <x v="2"/>
    <x v="6"/>
    <s v="Normal"/>
  </r>
  <r>
    <s v="DEAL-01367"/>
    <x v="15"/>
    <s v="CLI-0223"/>
    <x v="3"/>
    <x v="1"/>
    <x v="3"/>
    <n v="426211"/>
    <d v="2024-02-18T00:00:00"/>
    <d v="2024-05-10T00:00:00"/>
    <n v="82"/>
    <n v="18.2"/>
    <x v="2"/>
    <x v="5"/>
    <s v="Normal"/>
  </r>
  <r>
    <s v="DEAL-02179"/>
    <x v="1"/>
    <s v="CLI-0075"/>
    <x v="5"/>
    <x v="1"/>
    <x v="2"/>
    <n v="110529"/>
    <d v="2023-07-21T00:00:00"/>
    <m/>
    <m/>
    <n v="6.5"/>
    <x v="3"/>
    <x v="6"/>
    <s v="Normal"/>
  </r>
  <r>
    <s v="DEAL-02470"/>
    <x v="13"/>
    <s v="CLI-0051"/>
    <x v="2"/>
    <x v="7"/>
    <x v="3"/>
    <n v="436814"/>
    <d v="2023-09-03T00:00:00"/>
    <d v="2024-02-08T00:00:00"/>
    <n v="158"/>
    <n v="24"/>
    <x v="2"/>
    <x v="6"/>
    <s v="Normal"/>
  </r>
  <r>
    <s v="DEAL-00942"/>
    <x v="12"/>
    <s v="CLI-0226"/>
    <x v="1"/>
    <x v="6"/>
    <x v="2"/>
    <n v="296634"/>
    <d v="2024-05-29T00:00:00"/>
    <m/>
    <m/>
    <n v="14.5"/>
    <x v="1"/>
    <x v="7"/>
    <s v="Normal"/>
  </r>
  <r>
    <s v="DEAL-02468"/>
    <x v="5"/>
    <s v="CLI-0011"/>
    <x v="3"/>
    <x v="4"/>
    <x v="3"/>
    <n v="467671"/>
    <d v="2023-01-04T00:00:00"/>
    <d v="2023-02-18T00:00:00"/>
    <n v="45"/>
    <n v="3.9"/>
    <x v="0"/>
    <x v="2"/>
    <s v="Normal"/>
  </r>
  <r>
    <s v="DEAL-00901"/>
    <x v="13"/>
    <s v="CLI-0140"/>
    <x v="5"/>
    <x v="5"/>
    <x v="2"/>
    <n v="94981"/>
    <d v="2023-09-10T00:00:00"/>
    <m/>
    <m/>
    <n v="10"/>
    <x v="0"/>
    <x v="6"/>
    <s v="Normal"/>
  </r>
  <r>
    <s v="DEAL-00629"/>
    <x v="0"/>
    <s v="CLI-0188"/>
    <x v="4"/>
    <x v="5"/>
    <x v="5"/>
    <n v="310933"/>
    <d v="2024-03-27T00:00:00"/>
    <m/>
    <m/>
    <n v="10.6"/>
    <x v="1"/>
    <x v="5"/>
    <s v="Normal"/>
  </r>
  <r>
    <s v="DEAL-00558"/>
    <x v="0"/>
    <s v="CLI-0150"/>
    <x v="3"/>
    <x v="7"/>
    <x v="4"/>
    <n v="16326"/>
    <d v="2025-01-08T00:00:00"/>
    <m/>
    <m/>
    <n v="7.6"/>
    <x v="0"/>
    <x v="4"/>
    <s v="Normal"/>
  </r>
  <r>
    <s v="DEAL-01854"/>
    <x v="13"/>
    <s v="CLI-0268"/>
    <x v="4"/>
    <x v="7"/>
    <x v="0"/>
    <n v="198085"/>
    <d v="2024-06-30T00:00:00"/>
    <d v="2024-11-21T00:00:00"/>
    <n v="144"/>
    <n v="11.4"/>
    <x v="0"/>
    <x v="7"/>
    <s v="Normal"/>
  </r>
  <r>
    <s v="DEAL-00431"/>
    <x v="5"/>
    <s v="CLI-0146"/>
    <x v="5"/>
    <x v="7"/>
    <x v="1"/>
    <n v="453079"/>
    <d v="2024-02-17T00:00:00"/>
    <m/>
    <m/>
    <n v="10.1"/>
    <x v="0"/>
    <x v="5"/>
    <s v="Normal"/>
  </r>
  <r>
    <s v="DEAL-01562"/>
    <x v="6"/>
    <s v="CLI-0002"/>
    <x v="3"/>
    <x v="2"/>
    <x v="3"/>
    <n v="88112"/>
    <d v="2024-11-22T00:00:00"/>
    <d v="2025-03-14T00:00:00"/>
    <n v="112"/>
    <n v="20.2"/>
    <x v="2"/>
    <x v="3"/>
    <s v="Normal"/>
  </r>
  <r>
    <s v="DEAL-01882"/>
    <x v="1"/>
    <s v="CLI-0222"/>
    <x v="3"/>
    <x v="3"/>
    <x v="5"/>
    <n v="93684"/>
    <d v="2024-03-03T00:00:00"/>
    <m/>
    <m/>
    <m/>
    <x v="1"/>
    <x v="5"/>
    <s v="Normal"/>
  </r>
  <r>
    <s v="DEAL-01732"/>
    <x v="8"/>
    <s v="CLI-0059"/>
    <x v="3"/>
    <x v="2"/>
    <x v="4"/>
    <n v="213109"/>
    <d v="2023-08-04T00:00:00"/>
    <m/>
    <m/>
    <n v="4.4000000000000004"/>
    <x v="3"/>
    <x v="6"/>
    <s v="Normal"/>
  </r>
  <r>
    <s v="DEAL-00368"/>
    <x v="3"/>
    <s v="CLI-0300"/>
    <x v="5"/>
    <x v="3"/>
    <x v="3"/>
    <n v="172067"/>
    <d v="2023-07-26T00:00:00"/>
    <d v="2024-01-20T00:00:00"/>
    <n v="178"/>
    <n v="6"/>
    <x v="3"/>
    <x v="6"/>
    <s v="Normal"/>
  </r>
  <r>
    <s v="DEAL-00141"/>
    <x v="15"/>
    <s v="CLI-0164"/>
    <x v="3"/>
    <x v="2"/>
    <x v="2"/>
    <n v="319005"/>
    <d v="2024-11-20T00:00:00"/>
    <m/>
    <m/>
    <m/>
    <x v="2"/>
    <x v="3"/>
    <s v="Normal"/>
  </r>
  <r>
    <s v="DEAL-00715"/>
    <x v="9"/>
    <s v="CLI-0082"/>
    <x v="3"/>
    <x v="3"/>
    <x v="2"/>
    <n v="202243"/>
    <d v="2024-03-16T00:00:00"/>
    <m/>
    <m/>
    <n v="0.3"/>
    <x v="2"/>
    <x v="5"/>
    <s v="Normal"/>
  </r>
  <r>
    <s v="DEAL-00284"/>
    <x v="15"/>
    <s v="CLI-0040"/>
    <x v="2"/>
    <x v="2"/>
    <x v="2"/>
    <n v="318443"/>
    <d v="2023-02-09T00:00:00"/>
    <m/>
    <m/>
    <m/>
    <x v="1"/>
    <x v="2"/>
    <s v="Normal"/>
  </r>
  <r>
    <s v="DEAL-01531"/>
    <x v="10"/>
    <s v="CLI-0266"/>
    <x v="3"/>
    <x v="2"/>
    <x v="3"/>
    <n v="872105"/>
    <d v="2024-12-06T00:00:00"/>
    <d v="2025-01-26T00:00:00"/>
    <n v="51"/>
    <n v="9.8000000000000007"/>
    <x v="3"/>
    <x v="3"/>
    <s v="Normal"/>
  </r>
  <r>
    <s v="DEAL-01202"/>
    <x v="3"/>
    <s v="CLI-0215"/>
    <x v="5"/>
    <x v="4"/>
    <x v="0"/>
    <n v="303608"/>
    <d v="2024-07-18T00:00:00"/>
    <d v="2024-10-25T00:00:00"/>
    <n v="99"/>
    <n v="1.7"/>
    <x v="3"/>
    <x v="8"/>
    <s v="Normal"/>
  </r>
  <r>
    <s v="DEAL-01899"/>
    <x v="1"/>
    <s v="CLI-0241"/>
    <x v="4"/>
    <x v="0"/>
    <x v="4"/>
    <n v="419456"/>
    <d v="2025-02-24T00:00:00"/>
    <m/>
    <m/>
    <n v="3.4"/>
    <x v="0"/>
    <x v="4"/>
    <s v="Normal"/>
  </r>
  <r>
    <s v="DEAL-01826"/>
    <x v="3"/>
    <s v="CLI-0099"/>
    <x v="0"/>
    <x v="7"/>
    <x v="5"/>
    <n v="268888"/>
    <d v="2024-04-22T00:00:00"/>
    <m/>
    <m/>
    <m/>
    <x v="0"/>
    <x v="7"/>
    <s v="Normal"/>
  </r>
  <r>
    <s v="DEAL-02095"/>
    <x v="9"/>
    <s v="CLI-0280"/>
    <x v="5"/>
    <x v="3"/>
    <x v="4"/>
    <n v="199584"/>
    <d v="2024-10-26T00:00:00"/>
    <m/>
    <m/>
    <m/>
    <x v="0"/>
    <x v="3"/>
    <s v="Normal"/>
  </r>
  <r>
    <s v="DEAL-00703"/>
    <x v="7"/>
    <s v="CLI-0191"/>
    <x v="4"/>
    <x v="1"/>
    <x v="5"/>
    <n v="460736"/>
    <d v="2023-05-29T00:00:00"/>
    <m/>
    <m/>
    <n v="9"/>
    <x v="1"/>
    <x v="1"/>
    <s v="Normal"/>
  </r>
  <r>
    <s v="DEAL-00470"/>
    <x v="8"/>
    <s v="CLI-0212"/>
    <x v="3"/>
    <x v="7"/>
    <x v="0"/>
    <n v="182325"/>
    <d v="2025-02-25T00:00:00"/>
    <d v="2025-06-12T00:00:00"/>
    <n v="107"/>
    <n v="4.7"/>
    <x v="1"/>
    <x v="4"/>
    <s v="Normal"/>
  </r>
  <r>
    <s v="DEAL-02396"/>
    <x v="13"/>
    <s v="CLI-0037"/>
    <x v="1"/>
    <x v="7"/>
    <x v="2"/>
    <n v="32800"/>
    <d v="2024-09-22T00:00:00"/>
    <m/>
    <m/>
    <m/>
    <x v="0"/>
    <x v="8"/>
    <s v="Normal"/>
  </r>
  <r>
    <s v="DEAL-00494"/>
    <x v="15"/>
    <s v="CLI-0256"/>
    <x v="4"/>
    <x v="3"/>
    <x v="3"/>
    <n v="294005"/>
    <d v="2023-06-05T00:00:00"/>
    <d v="2023-07-14T00:00:00"/>
    <n v="39"/>
    <n v="19.8"/>
    <x v="1"/>
    <x v="1"/>
    <s v="Normal"/>
  </r>
  <r>
    <s v="DEAL-01277"/>
    <x v="1"/>
    <s v="CLI-0177"/>
    <x v="2"/>
    <x v="7"/>
    <x v="4"/>
    <n v="285629"/>
    <d v="2023-12-29T00:00:00"/>
    <m/>
    <m/>
    <n v="0.2"/>
    <x v="1"/>
    <x v="0"/>
    <s v="Normal"/>
  </r>
  <r>
    <s v="DEAL-01980"/>
    <x v="10"/>
    <s v="CLI-0143"/>
    <x v="5"/>
    <x v="0"/>
    <x v="3"/>
    <n v="348997"/>
    <d v="2024-04-15T00:00:00"/>
    <d v="2024-05-16T00:00:00"/>
    <n v="31"/>
    <n v="10.1"/>
    <x v="1"/>
    <x v="7"/>
    <s v="Normal"/>
  </r>
  <r>
    <s v="DEAL-01349"/>
    <x v="1"/>
    <s v="CLI-0075"/>
    <x v="5"/>
    <x v="1"/>
    <x v="4"/>
    <n v="268643"/>
    <d v="2023-02-23T00:00:00"/>
    <m/>
    <m/>
    <n v="4.7"/>
    <x v="3"/>
    <x v="2"/>
    <s v="Normal"/>
  </r>
  <r>
    <s v="DEAL-01955"/>
    <x v="8"/>
    <s v="CLI-0050"/>
    <x v="3"/>
    <x v="4"/>
    <x v="0"/>
    <n v="230636"/>
    <d v="2023-08-08T00:00:00"/>
    <d v="2023-11-10T00:00:00"/>
    <n v="94"/>
    <n v="2.5"/>
    <x v="0"/>
    <x v="6"/>
    <s v="Normal"/>
  </r>
  <r>
    <s v="DEAL-01677"/>
    <x v="5"/>
    <s v="CLI-0118"/>
    <x v="0"/>
    <x v="2"/>
    <x v="0"/>
    <n v="55605"/>
    <d v="2023-03-07T00:00:00"/>
    <d v="2023-08-31T00:00:00"/>
    <n v="177"/>
    <n v="7.9"/>
    <x v="1"/>
    <x v="2"/>
    <s v="Normal"/>
  </r>
  <r>
    <s v="DEAL-02022"/>
    <x v="2"/>
    <s v="CLI-0019"/>
    <x v="0"/>
    <x v="5"/>
    <x v="0"/>
    <n v="32067"/>
    <d v="2025-03-01T00:00:00"/>
    <d v="2025-05-22T00:00:00"/>
    <n v="82"/>
    <n v="0.8"/>
    <x v="1"/>
    <x v="4"/>
    <s v="Normal"/>
  </r>
  <r>
    <s v="DEAL-01554"/>
    <x v="7"/>
    <s v="CLI-0249"/>
    <x v="1"/>
    <x v="6"/>
    <x v="3"/>
    <n v="458096"/>
    <d v="2024-05-21T00:00:00"/>
    <d v="2024-07-30T00:00:00"/>
    <n v="70"/>
    <n v="9.8000000000000007"/>
    <x v="2"/>
    <x v="7"/>
    <s v="Normal"/>
  </r>
  <r>
    <s v="DEAL-02126"/>
    <x v="10"/>
    <s v="CLI-0286"/>
    <x v="3"/>
    <x v="2"/>
    <x v="4"/>
    <n v="264788"/>
    <d v="2025-03-03T00:00:00"/>
    <m/>
    <m/>
    <n v="4"/>
    <x v="3"/>
    <x v="4"/>
    <s v="Normal"/>
  </r>
  <r>
    <s v="DEAL-02281"/>
    <x v="9"/>
    <s v="CLI-0266"/>
    <x v="5"/>
    <x v="2"/>
    <x v="0"/>
    <n v="255377"/>
    <d v="2025-01-28T00:00:00"/>
    <d v="2025-04-23T00:00:00"/>
    <n v="85"/>
    <m/>
    <x v="2"/>
    <x v="4"/>
    <s v="Normal"/>
  </r>
  <r>
    <s v="DEAL-02275"/>
    <x v="7"/>
    <s v="CLI-0198"/>
    <x v="0"/>
    <x v="4"/>
    <x v="3"/>
    <n v="326859"/>
    <d v="2024-04-26T00:00:00"/>
    <d v="2024-06-24T00:00:00"/>
    <n v="59"/>
    <n v="17.7"/>
    <x v="1"/>
    <x v="7"/>
    <s v="Normal"/>
  </r>
  <r>
    <s v="DEAL-00249"/>
    <x v="2"/>
    <s v="CLI-0034"/>
    <x v="0"/>
    <x v="0"/>
    <x v="1"/>
    <n v="427129"/>
    <d v="2023-05-10T00:00:00"/>
    <m/>
    <m/>
    <n v="12.8"/>
    <x v="0"/>
    <x v="1"/>
    <s v="Normal"/>
  </r>
  <r>
    <s v="DEAL-00370"/>
    <x v="9"/>
    <s v="CLI-0130"/>
    <x v="0"/>
    <x v="6"/>
    <x v="0"/>
    <n v="274020"/>
    <d v="2025-03-04T00:00:00"/>
    <d v="2025-04-26T00:00:00"/>
    <n v="53"/>
    <n v="11.9"/>
    <x v="3"/>
    <x v="4"/>
    <s v="Normal"/>
  </r>
  <r>
    <s v="DEAL-00045"/>
    <x v="7"/>
    <s v="CLI-0133"/>
    <x v="4"/>
    <x v="4"/>
    <x v="4"/>
    <n v="316943"/>
    <d v="2024-12-13T00:00:00"/>
    <m/>
    <m/>
    <n v="8.1999999999999993"/>
    <x v="2"/>
    <x v="3"/>
    <s v="Normal"/>
  </r>
  <r>
    <s v="DEAL-00265"/>
    <x v="5"/>
    <s v="CLI-0010"/>
    <x v="2"/>
    <x v="3"/>
    <x v="4"/>
    <n v="466413"/>
    <d v="2024-10-05T00:00:00"/>
    <m/>
    <m/>
    <n v="8.1"/>
    <x v="3"/>
    <x v="3"/>
    <s v="Normal"/>
  </r>
  <r>
    <s v="DEAL-00240"/>
    <x v="3"/>
    <s v="CLI-0042"/>
    <x v="5"/>
    <x v="4"/>
    <x v="5"/>
    <n v="450810"/>
    <d v="2024-08-09T00:00:00"/>
    <m/>
    <m/>
    <n v="1.9"/>
    <x v="2"/>
    <x v="8"/>
    <s v="Normal"/>
  </r>
  <r>
    <s v="DEAL-00218"/>
    <x v="11"/>
    <s v="CLI-0037"/>
    <x v="1"/>
    <x v="4"/>
    <x v="4"/>
    <n v="334379"/>
    <d v="2025-02-14T00:00:00"/>
    <m/>
    <m/>
    <n v="0.8"/>
    <x v="1"/>
    <x v="4"/>
    <s v="Normal"/>
  </r>
  <r>
    <s v="DEAL-00637"/>
    <x v="10"/>
    <s v="CLI-0054"/>
    <x v="4"/>
    <x v="0"/>
    <x v="3"/>
    <n v="489851"/>
    <d v="2023-07-01T00:00:00"/>
    <d v="2023-10-23T00:00:00"/>
    <n v="114"/>
    <n v="9.3000000000000007"/>
    <x v="0"/>
    <x v="6"/>
    <s v="Normal"/>
  </r>
  <r>
    <s v="DEAL-00096"/>
    <x v="14"/>
    <s v="CLI-0062"/>
    <x v="4"/>
    <x v="7"/>
    <x v="5"/>
    <n v="447387"/>
    <d v="2023-01-17T00:00:00"/>
    <m/>
    <m/>
    <m/>
    <x v="3"/>
    <x v="2"/>
    <s v="Normal"/>
  </r>
  <r>
    <s v="DEAL-00342"/>
    <x v="10"/>
    <s v="CLI-0024"/>
    <x v="4"/>
    <x v="2"/>
    <x v="2"/>
    <n v="498286"/>
    <d v="2025-03-20T00:00:00"/>
    <m/>
    <m/>
    <n v="0.3"/>
    <x v="1"/>
    <x v="4"/>
    <s v="Normal"/>
  </r>
  <r>
    <s v="DEAL-01406"/>
    <x v="7"/>
    <s v="CLI-0121"/>
    <x v="0"/>
    <x v="6"/>
    <x v="5"/>
    <n v="148099"/>
    <d v="2024-04-29T00:00:00"/>
    <m/>
    <m/>
    <m/>
    <x v="1"/>
    <x v="7"/>
    <s v="Normal"/>
  </r>
  <r>
    <s v="DEAL-01662"/>
    <x v="4"/>
    <s v="CLI-0238"/>
    <x v="5"/>
    <x v="6"/>
    <x v="0"/>
    <n v="25978"/>
    <d v="2024-10-08T00:00:00"/>
    <d v="2024-12-31T00:00:00"/>
    <n v="84"/>
    <n v="12"/>
    <x v="3"/>
    <x v="3"/>
    <s v="Normal"/>
  </r>
  <r>
    <s v="DEAL-00963"/>
    <x v="12"/>
    <s v="CLI-0259"/>
    <x v="5"/>
    <x v="1"/>
    <x v="0"/>
    <n v="199807"/>
    <d v="2023-10-02T00:00:00"/>
    <d v="2023-10-29T00:00:00"/>
    <n v="27"/>
    <m/>
    <x v="2"/>
    <x v="0"/>
    <s v="Normal"/>
  </r>
  <r>
    <s v="DEAL-00552"/>
    <x v="11"/>
    <s v="CLI-0136"/>
    <x v="5"/>
    <x v="1"/>
    <x v="0"/>
    <n v="486514"/>
    <d v="2024-04-18T00:00:00"/>
    <d v="2024-05-20T00:00:00"/>
    <n v="32"/>
    <n v="0.5"/>
    <x v="0"/>
    <x v="7"/>
    <s v="Normal"/>
  </r>
  <r>
    <s v="DEAL-00208"/>
    <x v="11"/>
    <s v="CLI-0008"/>
    <x v="0"/>
    <x v="1"/>
    <x v="3"/>
    <n v="93900"/>
    <d v="2025-03-26T00:00:00"/>
    <d v="2025-08-26T00:00:00"/>
    <n v="153"/>
    <n v="6"/>
    <x v="2"/>
    <x v="4"/>
    <s v="Normal"/>
  </r>
  <r>
    <s v="DEAL-01517"/>
    <x v="11"/>
    <s v="CLI-0212"/>
    <x v="2"/>
    <x v="6"/>
    <x v="5"/>
    <n v="327064"/>
    <d v="2023-01-05T00:00:00"/>
    <m/>
    <m/>
    <n v="12.2"/>
    <x v="3"/>
    <x v="2"/>
    <s v="Normal"/>
  </r>
  <r>
    <s v="DEAL-02104"/>
    <x v="15"/>
    <s v="CLI-0232"/>
    <x v="5"/>
    <x v="7"/>
    <x v="5"/>
    <n v="70360"/>
    <d v="2023-11-30T00:00:00"/>
    <m/>
    <m/>
    <n v="11.1"/>
    <x v="1"/>
    <x v="0"/>
    <s v="Normal"/>
  </r>
  <r>
    <s v="DEAL-01038"/>
    <x v="14"/>
    <s v="CLI-0223"/>
    <x v="4"/>
    <x v="1"/>
    <x v="0"/>
    <n v="150024"/>
    <d v="2024-04-23T00:00:00"/>
    <d v="2024-08-15T00:00:00"/>
    <n v="114"/>
    <m/>
    <x v="2"/>
    <x v="7"/>
    <s v="Normal"/>
  </r>
  <r>
    <s v="DEAL-00864"/>
    <x v="12"/>
    <s v="CLI-0088"/>
    <x v="3"/>
    <x v="8"/>
    <x v="0"/>
    <n v="454636"/>
    <d v="2024-07-10T00:00:00"/>
    <d v="2024-10-14T00:00:00"/>
    <n v="96"/>
    <n v="5.0999999999999996"/>
    <x v="0"/>
    <x v="8"/>
    <s v="Normal"/>
  </r>
  <r>
    <s v="DEAL-00393"/>
    <x v="0"/>
    <s v="CLI-0147"/>
    <x v="3"/>
    <x v="6"/>
    <x v="3"/>
    <n v="355640"/>
    <d v="2023-03-26T00:00:00"/>
    <d v="2023-05-16T00:00:00"/>
    <n v="51"/>
    <n v="16"/>
    <x v="3"/>
    <x v="2"/>
    <s v="Normal"/>
  </r>
  <r>
    <s v="DEAL-01786"/>
    <x v="8"/>
    <s v="CLI-0015"/>
    <x v="5"/>
    <x v="1"/>
    <x v="3"/>
    <n v="478302"/>
    <d v="2024-03-11T00:00:00"/>
    <d v="2024-06-11T00:00:00"/>
    <n v="92"/>
    <n v="1.1000000000000001"/>
    <x v="2"/>
    <x v="5"/>
    <s v="Normal"/>
  </r>
  <r>
    <s v="DEAL-02420"/>
    <x v="12"/>
    <s v="CLI-0069"/>
    <x v="2"/>
    <x v="4"/>
    <x v="3"/>
    <n v="134630"/>
    <d v="2024-07-02T00:00:00"/>
    <d v="2024-11-05T00:00:00"/>
    <n v="126"/>
    <n v="8.5"/>
    <x v="3"/>
    <x v="8"/>
    <s v="Normal"/>
  </r>
  <r>
    <s v="DEAL-01063"/>
    <x v="7"/>
    <s v="CLI-0079"/>
    <x v="5"/>
    <x v="6"/>
    <x v="5"/>
    <n v="120897"/>
    <d v="2024-04-06T00:00:00"/>
    <m/>
    <m/>
    <n v="8.1999999999999993"/>
    <x v="1"/>
    <x v="7"/>
    <s v="Normal"/>
  </r>
  <r>
    <s v="DEAL-00421"/>
    <x v="1"/>
    <s v="CLI-0249"/>
    <x v="0"/>
    <x v="1"/>
    <x v="0"/>
    <n v="416074"/>
    <d v="2024-09-02T00:00:00"/>
    <d v="2025-01-18T00:00:00"/>
    <n v="138"/>
    <n v="10.3"/>
    <x v="3"/>
    <x v="8"/>
    <s v="Normal"/>
  </r>
  <r>
    <s v="DEAL-00057"/>
    <x v="10"/>
    <s v="CLI-0267"/>
    <x v="2"/>
    <x v="3"/>
    <x v="3"/>
    <n v="262442"/>
    <d v="2024-04-16T00:00:00"/>
    <d v="2024-09-15T00:00:00"/>
    <n v="152"/>
    <n v="11.6"/>
    <x v="0"/>
    <x v="7"/>
    <s v="Normal"/>
  </r>
  <r>
    <s v="DEAL-00987"/>
    <x v="9"/>
    <s v="CLI-0090"/>
    <x v="2"/>
    <x v="1"/>
    <x v="5"/>
    <n v="49032"/>
    <d v="2024-12-25T00:00:00"/>
    <m/>
    <m/>
    <n v="13.2"/>
    <x v="2"/>
    <x v="3"/>
    <s v="Normal"/>
  </r>
  <r>
    <s v="DEAL-01319"/>
    <x v="13"/>
    <s v="CLI-0243"/>
    <x v="0"/>
    <x v="7"/>
    <x v="1"/>
    <n v="355099"/>
    <d v="2024-02-13T00:00:00"/>
    <m/>
    <m/>
    <n v="2.2000000000000002"/>
    <x v="3"/>
    <x v="5"/>
    <s v="Normal"/>
  </r>
  <r>
    <s v="DEAL-01318"/>
    <x v="12"/>
    <s v="CLI-0137"/>
    <x v="5"/>
    <x v="0"/>
    <x v="1"/>
    <n v="114932"/>
    <d v="2025-02-02T00:00:00"/>
    <m/>
    <m/>
    <n v="2.8"/>
    <x v="3"/>
    <x v="4"/>
    <s v="Normal"/>
  </r>
  <r>
    <s v="DEAL-02479"/>
    <x v="10"/>
    <s v="CLI-0192"/>
    <x v="2"/>
    <x v="7"/>
    <x v="0"/>
    <n v="36906"/>
    <d v="2025-01-28T00:00:00"/>
    <d v="2025-03-09T00:00:00"/>
    <n v="40"/>
    <n v="6"/>
    <x v="0"/>
    <x v="4"/>
    <s v="Normal"/>
  </r>
  <r>
    <s v="DEAL-01400"/>
    <x v="10"/>
    <s v="CLI-0060"/>
    <x v="1"/>
    <x v="6"/>
    <x v="3"/>
    <n v="328490"/>
    <d v="2023-02-17T00:00:00"/>
    <d v="2023-05-05T00:00:00"/>
    <n v="77"/>
    <n v="1.1000000000000001"/>
    <x v="0"/>
    <x v="2"/>
    <s v="Normal"/>
  </r>
  <r>
    <s v="DEAL-00500"/>
    <x v="8"/>
    <s v="CLI-0059"/>
    <x v="1"/>
    <x v="2"/>
    <x v="5"/>
    <n v="460181"/>
    <d v="2025-01-20T00:00:00"/>
    <m/>
    <m/>
    <m/>
    <x v="3"/>
    <x v="4"/>
    <s v="Normal"/>
  </r>
  <r>
    <s v="DEAL-00757"/>
    <x v="11"/>
    <s v="CLI-0162"/>
    <x v="3"/>
    <x v="0"/>
    <x v="5"/>
    <n v="90351"/>
    <d v="2024-12-15T00:00:00"/>
    <m/>
    <m/>
    <n v="8.1"/>
    <x v="0"/>
    <x v="3"/>
    <s v="Normal"/>
  </r>
  <r>
    <s v="DEAL-00356"/>
    <x v="6"/>
    <s v="CLI-0034"/>
    <x v="1"/>
    <x v="7"/>
    <x v="3"/>
    <n v="160473"/>
    <d v="2023-04-17T00:00:00"/>
    <d v="2023-07-10T00:00:00"/>
    <n v="84"/>
    <n v="16.5"/>
    <x v="2"/>
    <x v="1"/>
    <s v="Normal"/>
  </r>
  <r>
    <s v="DEAL-02361"/>
    <x v="10"/>
    <s v="CLI-0277"/>
    <x v="4"/>
    <x v="1"/>
    <x v="0"/>
    <n v="436123"/>
    <d v="2023-06-25T00:00:00"/>
    <d v="2023-09-14T00:00:00"/>
    <n v="81"/>
    <m/>
    <x v="3"/>
    <x v="1"/>
    <s v="Normal"/>
  </r>
  <r>
    <s v="DEAL-00466"/>
    <x v="3"/>
    <s v="CLI-0005"/>
    <x v="5"/>
    <x v="2"/>
    <x v="4"/>
    <n v="50606"/>
    <d v="2023-11-30T00:00:00"/>
    <m/>
    <m/>
    <n v="8.6"/>
    <x v="0"/>
    <x v="0"/>
    <s v="Normal"/>
  </r>
  <r>
    <s v="DEAL-00527"/>
    <x v="13"/>
    <s v="CLI-0272"/>
    <x v="3"/>
    <x v="5"/>
    <x v="2"/>
    <n v="52139"/>
    <d v="2023-07-28T00:00:00"/>
    <m/>
    <m/>
    <n v="6.5"/>
    <x v="1"/>
    <x v="6"/>
    <s v="Normal"/>
  </r>
  <r>
    <s v="DEAL-00529"/>
    <x v="9"/>
    <s v="CLI-0298"/>
    <x v="3"/>
    <x v="6"/>
    <x v="3"/>
    <n v="480821"/>
    <d v="2024-11-21T00:00:00"/>
    <d v="2025-03-24T00:00:00"/>
    <n v="123"/>
    <n v="13.4"/>
    <x v="2"/>
    <x v="3"/>
    <s v="Normal"/>
  </r>
  <r>
    <s v="DEAL-02301"/>
    <x v="5"/>
    <s v="CLI-0102"/>
    <x v="5"/>
    <x v="5"/>
    <x v="0"/>
    <n v="435908"/>
    <d v="2023-07-13T00:00:00"/>
    <d v="2023-09-21T00:00:00"/>
    <n v="70"/>
    <m/>
    <x v="1"/>
    <x v="6"/>
    <s v="Normal"/>
  </r>
  <r>
    <s v="DEAL-02132"/>
    <x v="1"/>
    <s v="CLI-0047"/>
    <x v="0"/>
    <x v="3"/>
    <x v="5"/>
    <n v="338156"/>
    <d v="2023-07-12T00:00:00"/>
    <m/>
    <m/>
    <n v="13.7"/>
    <x v="0"/>
    <x v="6"/>
    <s v="Normal"/>
  </r>
  <r>
    <s v="DEAL-00834"/>
    <x v="10"/>
    <s v="CLI-0256"/>
    <x v="4"/>
    <x v="0"/>
    <x v="2"/>
    <n v="329680"/>
    <d v="2023-05-18T00:00:00"/>
    <m/>
    <m/>
    <m/>
    <x v="3"/>
    <x v="1"/>
    <s v="Normal"/>
  </r>
  <r>
    <s v="DEAL-01000"/>
    <x v="1"/>
    <s v="CLI-0214"/>
    <x v="0"/>
    <x v="3"/>
    <x v="2"/>
    <n v="245397"/>
    <d v="2023-12-27T00:00:00"/>
    <m/>
    <m/>
    <n v="1.2"/>
    <x v="1"/>
    <x v="0"/>
    <s v="Normal"/>
  </r>
  <r>
    <s v="DEAL-02116"/>
    <x v="0"/>
    <s v="CLI-0015"/>
    <x v="1"/>
    <x v="6"/>
    <x v="1"/>
    <n v="311860"/>
    <d v="2024-06-14T00:00:00"/>
    <m/>
    <m/>
    <n v="14.7"/>
    <x v="3"/>
    <x v="7"/>
    <s v="Normal"/>
  </r>
  <r>
    <s v="DEAL-01116"/>
    <x v="9"/>
    <s v="CLI-0296"/>
    <x v="2"/>
    <x v="0"/>
    <x v="0"/>
    <n v="102961"/>
    <d v="2023-07-31T00:00:00"/>
    <d v="2023-12-21T00:00:00"/>
    <n v="143"/>
    <n v="5.8"/>
    <x v="1"/>
    <x v="6"/>
    <s v="Normal"/>
  </r>
  <r>
    <s v="DEAL-02199"/>
    <x v="9"/>
    <s v="CLI-0250"/>
    <x v="0"/>
    <x v="1"/>
    <x v="2"/>
    <n v="112836"/>
    <d v="2023-07-13T00:00:00"/>
    <m/>
    <m/>
    <n v="10.6"/>
    <x v="3"/>
    <x v="6"/>
    <s v="Normal"/>
  </r>
  <r>
    <s v="DEAL-01165"/>
    <x v="8"/>
    <s v="CLI-0147"/>
    <x v="1"/>
    <x v="7"/>
    <x v="2"/>
    <n v="149251"/>
    <d v="2024-01-18T00:00:00"/>
    <m/>
    <m/>
    <m/>
    <x v="3"/>
    <x v="5"/>
    <s v="Normal"/>
  </r>
  <r>
    <s v="DEAL-01792"/>
    <x v="13"/>
    <s v="CLI-0078"/>
    <x v="5"/>
    <x v="4"/>
    <x v="2"/>
    <n v="174034"/>
    <d v="2023-11-11T00:00:00"/>
    <m/>
    <m/>
    <m/>
    <x v="3"/>
    <x v="0"/>
    <s v="Normal"/>
  </r>
  <r>
    <s v="DEAL-02225"/>
    <x v="10"/>
    <s v="CLI-0147"/>
    <x v="5"/>
    <x v="5"/>
    <x v="2"/>
    <n v="451178"/>
    <d v="2023-10-18T00:00:00"/>
    <m/>
    <m/>
    <m/>
    <x v="3"/>
    <x v="0"/>
    <s v="Normal"/>
  </r>
  <r>
    <s v="DEAL-00125"/>
    <x v="8"/>
    <s v="CLI-0050"/>
    <x v="1"/>
    <x v="2"/>
    <x v="0"/>
    <n v="83097"/>
    <d v="2023-04-30T00:00:00"/>
    <d v="2023-08-01T00:00:00"/>
    <n v="93"/>
    <m/>
    <x v="2"/>
    <x v="1"/>
    <s v="Normal"/>
  </r>
  <r>
    <s v="DEAL-00881"/>
    <x v="14"/>
    <s v="CLI-0191"/>
    <x v="4"/>
    <x v="0"/>
    <x v="5"/>
    <n v="379458"/>
    <d v="2023-08-30T00:00:00"/>
    <m/>
    <m/>
    <m/>
    <x v="2"/>
    <x v="6"/>
    <s v="Normal"/>
  </r>
  <r>
    <s v="DEAL-02452"/>
    <x v="2"/>
    <s v="CLI-0198"/>
    <x v="5"/>
    <x v="5"/>
    <x v="2"/>
    <n v="480569"/>
    <d v="2023-09-02T00:00:00"/>
    <m/>
    <m/>
    <n v="1.3"/>
    <x v="3"/>
    <x v="6"/>
    <s v="Normal"/>
  </r>
  <r>
    <s v="DEAL-01477"/>
    <x v="2"/>
    <s v="CLI-0155"/>
    <x v="3"/>
    <x v="5"/>
    <x v="0"/>
    <n v="101283"/>
    <d v="2024-06-08T00:00:00"/>
    <d v="2024-06-24T00:00:00"/>
    <n v="16"/>
    <n v="4.0999999999999996"/>
    <x v="1"/>
    <x v="7"/>
    <s v="Normal"/>
  </r>
  <r>
    <s v="DEAL-00009"/>
    <x v="7"/>
    <s v="CLI-0223"/>
    <x v="0"/>
    <x v="5"/>
    <x v="3"/>
    <n v="32117"/>
    <d v="2024-07-16T00:00:00"/>
    <d v="2024-12-11T00:00:00"/>
    <n v="148"/>
    <n v="12"/>
    <x v="2"/>
    <x v="8"/>
    <s v="Normal"/>
  </r>
  <r>
    <s v="DEAL-00188"/>
    <x v="2"/>
    <s v="CLI-0034"/>
    <x v="3"/>
    <x v="7"/>
    <x v="3"/>
    <n v="284250"/>
    <d v="2024-08-05T00:00:00"/>
    <d v="2024-09-01T00:00:00"/>
    <n v="27"/>
    <n v="22.9"/>
    <x v="3"/>
    <x v="8"/>
    <s v="Normal"/>
  </r>
  <r>
    <s v="DEAL-00323"/>
    <x v="10"/>
    <s v="CLI-0013"/>
    <x v="0"/>
    <x v="4"/>
    <x v="0"/>
    <n v="223130"/>
    <d v="2023-04-03T00:00:00"/>
    <d v="2023-09-27T00:00:00"/>
    <n v="177"/>
    <n v="10.9"/>
    <x v="1"/>
    <x v="1"/>
    <s v="Normal"/>
  </r>
  <r>
    <s v="DEAL-00180"/>
    <x v="13"/>
    <s v="CLI-0068"/>
    <x v="0"/>
    <x v="2"/>
    <x v="5"/>
    <n v="68977"/>
    <d v="2023-06-01T00:00:00"/>
    <m/>
    <m/>
    <m/>
    <x v="2"/>
    <x v="1"/>
    <s v="Normal"/>
  </r>
  <r>
    <s v="DEAL-00429"/>
    <x v="2"/>
    <s v="CLI-0075"/>
    <x v="0"/>
    <x v="2"/>
    <x v="5"/>
    <n v="207114"/>
    <d v="2024-03-23T00:00:00"/>
    <m/>
    <m/>
    <n v="1.4"/>
    <x v="2"/>
    <x v="5"/>
    <s v="Normal"/>
  </r>
  <r>
    <s v="DEAL-00679"/>
    <x v="11"/>
    <s v="CLI-0010"/>
    <x v="2"/>
    <x v="5"/>
    <x v="3"/>
    <n v="52628"/>
    <d v="2024-04-18T00:00:00"/>
    <d v="2024-10-04T00:00:00"/>
    <n v="169"/>
    <n v="23.7"/>
    <x v="2"/>
    <x v="7"/>
    <s v="Normal"/>
  </r>
  <r>
    <s v="DEAL-02231"/>
    <x v="2"/>
    <s v="CLI-0153"/>
    <x v="0"/>
    <x v="6"/>
    <x v="4"/>
    <n v="446479"/>
    <d v="2024-12-02T00:00:00"/>
    <m/>
    <m/>
    <n v="4.7"/>
    <x v="2"/>
    <x v="3"/>
    <s v="Normal"/>
  </r>
  <r>
    <s v="DEAL-02302"/>
    <x v="14"/>
    <s v="CLI-0050"/>
    <x v="1"/>
    <x v="4"/>
    <x v="4"/>
    <n v="241527"/>
    <d v="2023-09-06T00:00:00"/>
    <m/>
    <m/>
    <n v="8.5"/>
    <x v="2"/>
    <x v="6"/>
    <s v="Normal"/>
  </r>
  <r>
    <s v="DEAL-01302"/>
    <x v="7"/>
    <s v="CLI-0134"/>
    <x v="5"/>
    <x v="3"/>
    <x v="4"/>
    <n v="351044"/>
    <d v="2025-03-01T00:00:00"/>
    <m/>
    <m/>
    <n v="8.6999999999999993"/>
    <x v="1"/>
    <x v="4"/>
    <s v="Normal"/>
  </r>
  <r>
    <s v="DEAL-02133"/>
    <x v="9"/>
    <s v="CLI-0118"/>
    <x v="1"/>
    <x v="3"/>
    <x v="3"/>
    <n v="77558"/>
    <d v="2024-07-15T00:00:00"/>
    <d v="2024-08-23T00:00:00"/>
    <n v="39"/>
    <n v="1"/>
    <x v="3"/>
    <x v="8"/>
    <s v="Normal"/>
  </r>
  <r>
    <s v="DEAL-02147"/>
    <x v="15"/>
    <s v="CLI-0204"/>
    <x v="2"/>
    <x v="3"/>
    <x v="4"/>
    <n v="106435"/>
    <d v="2024-12-17T00:00:00"/>
    <m/>
    <m/>
    <m/>
    <x v="1"/>
    <x v="3"/>
    <s v="Normal"/>
  </r>
  <r>
    <s v="DEAL-02413"/>
    <x v="14"/>
    <s v="CLI-0114"/>
    <x v="5"/>
    <x v="4"/>
    <x v="3"/>
    <n v="93029"/>
    <d v="2023-12-01T00:00:00"/>
    <d v="2024-05-12T00:00:00"/>
    <n v="163"/>
    <n v="8.4"/>
    <x v="1"/>
    <x v="0"/>
    <s v="Normal"/>
  </r>
  <r>
    <s v="DEAL-00530"/>
    <x v="0"/>
    <s v="CLI-0039"/>
    <x v="3"/>
    <x v="1"/>
    <x v="2"/>
    <n v="272907"/>
    <d v="2024-09-17T00:00:00"/>
    <m/>
    <m/>
    <n v="9"/>
    <x v="3"/>
    <x v="8"/>
    <s v="Normal"/>
  </r>
  <r>
    <s v="DEAL-01481"/>
    <x v="5"/>
    <s v="CLI-0079"/>
    <x v="2"/>
    <x v="5"/>
    <x v="1"/>
    <n v="164922"/>
    <d v="2024-09-06T00:00:00"/>
    <m/>
    <m/>
    <m/>
    <x v="2"/>
    <x v="8"/>
    <s v="Normal"/>
  </r>
  <r>
    <s v="DEAL-02232"/>
    <x v="3"/>
    <s v="CLI-0233"/>
    <x v="0"/>
    <x v="1"/>
    <x v="2"/>
    <n v="239946"/>
    <d v="2023-11-21T00:00:00"/>
    <m/>
    <m/>
    <m/>
    <x v="1"/>
    <x v="0"/>
    <s v="Normal"/>
  </r>
  <r>
    <s v="DEAL-00244"/>
    <x v="12"/>
    <s v="CLI-0183"/>
    <x v="2"/>
    <x v="0"/>
    <x v="0"/>
    <n v="344897"/>
    <d v="2023-08-24T00:00:00"/>
    <d v="2024-01-05T00:00:00"/>
    <n v="134"/>
    <n v="3.6"/>
    <x v="2"/>
    <x v="6"/>
    <s v="Normal"/>
  </r>
  <r>
    <s v="DEAL-00030"/>
    <x v="1"/>
    <s v="CLI-0075"/>
    <x v="4"/>
    <x v="3"/>
    <x v="4"/>
    <n v="335584"/>
    <d v="2023-10-22T00:00:00"/>
    <m/>
    <m/>
    <n v="0.2"/>
    <x v="3"/>
    <x v="0"/>
    <s v="Normal"/>
  </r>
  <r>
    <s v="DEAL-01414"/>
    <x v="0"/>
    <s v="CLI-0190"/>
    <x v="4"/>
    <x v="5"/>
    <x v="2"/>
    <n v="457082"/>
    <d v="2025-02-06T00:00:00"/>
    <m/>
    <m/>
    <n v="0.4"/>
    <x v="0"/>
    <x v="4"/>
    <s v="Normal"/>
  </r>
  <r>
    <s v="DEAL-00644"/>
    <x v="15"/>
    <s v="CLI-0074"/>
    <x v="4"/>
    <x v="2"/>
    <x v="1"/>
    <n v="138857"/>
    <d v="2023-10-22T00:00:00"/>
    <m/>
    <m/>
    <m/>
    <x v="2"/>
    <x v="0"/>
    <s v="Normal"/>
  </r>
  <r>
    <s v="DEAL-01970"/>
    <x v="1"/>
    <s v="CLI-0069"/>
    <x v="1"/>
    <x v="0"/>
    <x v="5"/>
    <n v="441652"/>
    <d v="2023-10-13T00:00:00"/>
    <m/>
    <m/>
    <n v="13.6"/>
    <x v="0"/>
    <x v="0"/>
    <s v="Normal"/>
  </r>
  <r>
    <s v="DEAL-01253"/>
    <x v="5"/>
    <s v="CLI-0118"/>
    <x v="0"/>
    <x v="1"/>
    <x v="1"/>
    <n v="1945320"/>
    <d v="2024-03-21T00:00:00"/>
    <m/>
    <m/>
    <m/>
    <x v="0"/>
    <x v="5"/>
    <s v="High Outlier"/>
  </r>
  <r>
    <s v="DEAL-02325"/>
    <x v="5"/>
    <s v="CLI-0154"/>
    <x v="0"/>
    <x v="2"/>
    <x v="2"/>
    <n v="45712"/>
    <d v="2024-10-22T00:00:00"/>
    <m/>
    <m/>
    <n v="12.5"/>
    <x v="0"/>
    <x v="3"/>
    <s v="Normal"/>
  </r>
  <r>
    <s v="DEAL-01687"/>
    <x v="2"/>
    <s v="CLI-0110"/>
    <x v="5"/>
    <x v="1"/>
    <x v="2"/>
    <n v="346250"/>
    <d v="2023-10-23T00:00:00"/>
    <m/>
    <m/>
    <m/>
    <x v="3"/>
    <x v="0"/>
    <s v="Normal"/>
  </r>
  <r>
    <s v="DEAL-02313"/>
    <x v="5"/>
    <s v="CLI-0215"/>
    <x v="3"/>
    <x v="5"/>
    <x v="2"/>
    <n v="393963"/>
    <d v="2023-12-28T00:00:00"/>
    <m/>
    <m/>
    <n v="7.2"/>
    <x v="2"/>
    <x v="0"/>
    <s v="Normal"/>
  </r>
  <r>
    <s v="DEAL-01816"/>
    <x v="10"/>
    <s v="CLI-0080"/>
    <x v="0"/>
    <x v="5"/>
    <x v="2"/>
    <n v="221926"/>
    <d v="2023-08-08T00:00:00"/>
    <m/>
    <m/>
    <n v="10.8"/>
    <x v="0"/>
    <x v="6"/>
    <s v="Normal"/>
  </r>
  <r>
    <s v="DEAL-01257"/>
    <x v="8"/>
    <s v="CLI-0026"/>
    <x v="0"/>
    <x v="3"/>
    <x v="4"/>
    <n v="222242"/>
    <d v="2024-07-21T00:00:00"/>
    <m/>
    <m/>
    <m/>
    <x v="1"/>
    <x v="8"/>
    <s v="Normal"/>
  </r>
  <r>
    <s v="DEAL-01276"/>
    <x v="13"/>
    <s v="CLI-0134"/>
    <x v="3"/>
    <x v="2"/>
    <x v="5"/>
    <n v="29541"/>
    <d v="2023-10-15T00:00:00"/>
    <m/>
    <m/>
    <n v="6"/>
    <x v="0"/>
    <x v="0"/>
    <s v="Normal"/>
  </r>
  <r>
    <s v="DEAL-01932"/>
    <x v="8"/>
    <s v="CLI-0110"/>
    <x v="3"/>
    <x v="2"/>
    <x v="2"/>
    <n v="433685"/>
    <d v="2024-02-18T00:00:00"/>
    <m/>
    <m/>
    <m/>
    <x v="0"/>
    <x v="5"/>
    <s v="Normal"/>
  </r>
  <r>
    <s v="DEAL-00832"/>
    <x v="14"/>
    <s v="CLI-0194"/>
    <x v="2"/>
    <x v="3"/>
    <x v="1"/>
    <n v="106903"/>
    <d v="2023-01-28T00:00:00"/>
    <m/>
    <m/>
    <m/>
    <x v="3"/>
    <x v="2"/>
    <s v="Normal"/>
  </r>
  <r>
    <s v="DEAL-00758"/>
    <x v="9"/>
    <s v="CLI-0287"/>
    <x v="1"/>
    <x v="4"/>
    <x v="3"/>
    <n v="495555"/>
    <d v="2024-03-22T00:00:00"/>
    <d v="2024-07-18T00:00:00"/>
    <n v="118"/>
    <n v="3.9"/>
    <x v="0"/>
    <x v="5"/>
    <s v="Normal"/>
  </r>
  <r>
    <s v="DEAL-00150"/>
    <x v="7"/>
    <s v="CLI-0288"/>
    <x v="1"/>
    <x v="2"/>
    <x v="5"/>
    <n v="457926"/>
    <d v="2023-02-27T00:00:00"/>
    <m/>
    <m/>
    <n v="5.9"/>
    <x v="0"/>
    <x v="2"/>
    <s v="Normal"/>
  </r>
  <r>
    <s v="DEAL-02456"/>
    <x v="11"/>
    <s v="CLI-0074"/>
    <x v="3"/>
    <x v="7"/>
    <x v="2"/>
    <n v="499112"/>
    <d v="2023-08-07T00:00:00"/>
    <m/>
    <m/>
    <m/>
    <x v="1"/>
    <x v="6"/>
    <s v="Normal"/>
  </r>
  <r>
    <s v="DEAL-01397"/>
    <x v="6"/>
    <s v="CLI-0066"/>
    <x v="3"/>
    <x v="0"/>
    <x v="5"/>
    <n v="367175"/>
    <d v="2023-04-28T00:00:00"/>
    <m/>
    <m/>
    <n v="14"/>
    <x v="3"/>
    <x v="1"/>
    <s v="Normal"/>
  </r>
  <r>
    <s v="DEAL-01142"/>
    <x v="9"/>
    <s v="CLI-0187"/>
    <x v="2"/>
    <x v="7"/>
    <x v="4"/>
    <n v="423910"/>
    <d v="2023-05-02T00:00:00"/>
    <m/>
    <m/>
    <n v="5.3"/>
    <x v="0"/>
    <x v="1"/>
    <s v="Normal"/>
  </r>
  <r>
    <s v="DEAL-01235"/>
    <x v="9"/>
    <s v="CLI-0195"/>
    <x v="0"/>
    <x v="4"/>
    <x v="2"/>
    <n v="24321"/>
    <d v="2023-03-04T00:00:00"/>
    <m/>
    <m/>
    <n v="12.4"/>
    <x v="2"/>
    <x v="2"/>
    <s v="Normal"/>
  </r>
  <r>
    <s v="DEAL-00128"/>
    <x v="14"/>
    <s v="CLI-0256"/>
    <x v="2"/>
    <x v="7"/>
    <x v="4"/>
    <n v="391682"/>
    <d v="2024-03-10T00:00:00"/>
    <m/>
    <m/>
    <n v="10.9"/>
    <x v="3"/>
    <x v="5"/>
    <s v="Normal"/>
  </r>
  <r>
    <s v="DEAL-00886"/>
    <x v="12"/>
    <s v="CLI-0211"/>
    <x v="2"/>
    <x v="3"/>
    <x v="0"/>
    <n v="463002"/>
    <d v="2024-06-02T00:00:00"/>
    <d v="2024-10-01T00:00:00"/>
    <n v="121"/>
    <n v="6.7"/>
    <x v="2"/>
    <x v="7"/>
    <s v="Normal"/>
  </r>
  <r>
    <s v="DEAL-00152"/>
    <x v="6"/>
    <s v="CLI-0096"/>
    <x v="4"/>
    <x v="0"/>
    <x v="4"/>
    <n v="349782"/>
    <d v="2023-03-28T00:00:00"/>
    <m/>
    <m/>
    <m/>
    <x v="2"/>
    <x v="2"/>
    <s v="Normal"/>
  </r>
  <r>
    <s v="DEAL-01278"/>
    <x v="14"/>
    <s v="CLI-0020"/>
    <x v="1"/>
    <x v="5"/>
    <x v="0"/>
    <n v="363001"/>
    <d v="2023-07-22T00:00:00"/>
    <d v="2023-11-19T00:00:00"/>
    <n v="120"/>
    <n v="9.6"/>
    <x v="2"/>
    <x v="6"/>
    <s v="Normal"/>
  </r>
  <r>
    <s v="DEAL-01690"/>
    <x v="14"/>
    <s v="CLI-0201"/>
    <x v="2"/>
    <x v="2"/>
    <x v="2"/>
    <n v="208828"/>
    <d v="2024-08-19T00:00:00"/>
    <m/>
    <m/>
    <n v="13.5"/>
    <x v="2"/>
    <x v="8"/>
    <s v="Normal"/>
  </r>
  <r>
    <s v="DEAL-01913"/>
    <x v="9"/>
    <s v="CLI-0016"/>
    <x v="1"/>
    <x v="0"/>
    <x v="0"/>
    <n v="42559"/>
    <d v="2024-04-21T00:00:00"/>
    <d v="2024-05-13T00:00:00"/>
    <n v="22"/>
    <m/>
    <x v="3"/>
    <x v="7"/>
    <s v="Normal"/>
  </r>
  <r>
    <s v="DEAL-00634"/>
    <x v="12"/>
    <s v="CLI-0245"/>
    <x v="1"/>
    <x v="3"/>
    <x v="5"/>
    <n v="31827"/>
    <d v="2023-04-02T00:00:00"/>
    <m/>
    <m/>
    <n v="4.5999999999999996"/>
    <x v="1"/>
    <x v="1"/>
    <s v="Normal"/>
  </r>
  <r>
    <s v="DEAL-01877"/>
    <x v="10"/>
    <s v="CLI-0290"/>
    <x v="3"/>
    <x v="5"/>
    <x v="5"/>
    <n v="459747"/>
    <d v="2024-08-13T00:00:00"/>
    <m/>
    <m/>
    <m/>
    <x v="0"/>
    <x v="8"/>
    <s v="Normal"/>
  </r>
  <r>
    <s v="DEAL-01247"/>
    <x v="7"/>
    <s v="CLI-0189"/>
    <x v="0"/>
    <x v="2"/>
    <x v="3"/>
    <n v="41745"/>
    <d v="2023-01-26T00:00:00"/>
    <d v="2023-02-28T00:00:00"/>
    <n v="33"/>
    <n v="22.1"/>
    <x v="3"/>
    <x v="2"/>
    <s v="Normal"/>
  </r>
  <r>
    <s v="DEAL-01774"/>
    <x v="13"/>
    <s v="CLI-0267"/>
    <x v="5"/>
    <x v="4"/>
    <x v="5"/>
    <n v="452750"/>
    <d v="2025-01-20T00:00:00"/>
    <m/>
    <m/>
    <n v="14.6"/>
    <x v="3"/>
    <x v="4"/>
    <s v="Normal"/>
  </r>
  <r>
    <s v="DEAL-02076"/>
    <x v="6"/>
    <s v="CLI-0096"/>
    <x v="5"/>
    <x v="6"/>
    <x v="3"/>
    <n v="428641"/>
    <d v="2023-12-09T00:00:00"/>
    <d v="2024-05-04T00:00:00"/>
    <n v="147"/>
    <n v="18.5"/>
    <x v="0"/>
    <x v="0"/>
    <s v="Normal"/>
  </r>
  <r>
    <s v="DEAL-02282"/>
    <x v="5"/>
    <s v="CLI-0147"/>
    <x v="2"/>
    <x v="0"/>
    <x v="3"/>
    <n v="236384"/>
    <d v="2023-10-10T00:00:00"/>
    <d v="2023-11-02T00:00:00"/>
    <n v="23"/>
    <n v="20"/>
    <x v="1"/>
    <x v="0"/>
    <s v="Normal"/>
  </r>
  <r>
    <s v="DEAL-01574"/>
    <x v="6"/>
    <s v="CLI-0126"/>
    <x v="4"/>
    <x v="2"/>
    <x v="4"/>
    <n v="94789"/>
    <d v="2024-03-13T00:00:00"/>
    <m/>
    <m/>
    <n v="2.1"/>
    <x v="3"/>
    <x v="5"/>
    <s v="Normal"/>
  </r>
  <r>
    <s v="DEAL-01738"/>
    <x v="6"/>
    <s v="CLI-0142"/>
    <x v="0"/>
    <x v="0"/>
    <x v="3"/>
    <n v="11209"/>
    <d v="2023-12-19T00:00:00"/>
    <d v="2024-02-05T00:00:00"/>
    <n v="48"/>
    <n v="10.9"/>
    <x v="0"/>
    <x v="0"/>
    <s v="Normal"/>
  </r>
  <r>
    <s v="DEAL-00306"/>
    <x v="7"/>
    <s v="CLI-0098"/>
    <x v="0"/>
    <x v="6"/>
    <x v="2"/>
    <n v="286742"/>
    <d v="2023-10-17T00:00:00"/>
    <m/>
    <m/>
    <m/>
    <x v="0"/>
    <x v="0"/>
    <s v="Normal"/>
  </r>
  <r>
    <s v="DEAL-01694"/>
    <x v="14"/>
    <s v="CLI-0200"/>
    <x v="3"/>
    <x v="1"/>
    <x v="0"/>
    <n v="255523"/>
    <d v="2023-12-11T00:00:00"/>
    <d v="2024-04-06T00:00:00"/>
    <n v="117"/>
    <m/>
    <x v="0"/>
    <x v="0"/>
    <s v="Normal"/>
  </r>
  <r>
    <s v="DEAL-00625"/>
    <x v="12"/>
    <s v="CLI-0039"/>
    <x v="3"/>
    <x v="3"/>
    <x v="3"/>
    <n v="269509"/>
    <d v="2023-12-06T00:00:00"/>
    <d v="2024-01-12T00:00:00"/>
    <n v="37"/>
    <n v="10.1"/>
    <x v="0"/>
    <x v="0"/>
    <s v="Normal"/>
  </r>
  <r>
    <s v="DEAL-01193"/>
    <x v="6"/>
    <s v="CLI-0091"/>
    <x v="3"/>
    <x v="8"/>
    <x v="3"/>
    <n v="11760"/>
    <d v="2024-08-08T00:00:00"/>
    <d v="2025-01-15T00:00:00"/>
    <n v="160"/>
    <n v="3"/>
    <x v="3"/>
    <x v="8"/>
    <s v="Normal"/>
  </r>
  <r>
    <s v="DEAL-01753"/>
    <x v="13"/>
    <s v="CLI-0212"/>
    <x v="5"/>
    <x v="0"/>
    <x v="3"/>
    <n v="316965"/>
    <d v="2023-06-15T00:00:00"/>
    <d v="2023-11-28T00:00:00"/>
    <n v="166"/>
    <n v="8.6"/>
    <x v="2"/>
    <x v="1"/>
    <s v="Normal"/>
  </r>
  <r>
    <s v="DEAL-00273"/>
    <x v="0"/>
    <s v="CLI-0117"/>
    <x v="1"/>
    <x v="7"/>
    <x v="3"/>
    <n v="203451"/>
    <d v="2023-08-12T00:00:00"/>
    <d v="2023-12-10T00:00:00"/>
    <n v="120"/>
    <n v="15"/>
    <x v="3"/>
    <x v="6"/>
    <s v="Normal"/>
  </r>
  <r>
    <s v="DEAL-02379"/>
    <x v="8"/>
    <s v="CLI-0212"/>
    <x v="4"/>
    <x v="2"/>
    <x v="1"/>
    <n v="303743"/>
    <d v="2023-04-02T00:00:00"/>
    <m/>
    <m/>
    <n v="5.0999999999999996"/>
    <x v="1"/>
    <x v="1"/>
    <s v="Normal"/>
  </r>
  <r>
    <s v="DEAL-02009"/>
    <x v="8"/>
    <s v="CLI-0177"/>
    <x v="5"/>
    <x v="3"/>
    <x v="3"/>
    <n v="213943"/>
    <d v="2023-03-31T00:00:00"/>
    <d v="2023-09-03T00:00:00"/>
    <n v="156"/>
    <n v="13.6"/>
    <x v="2"/>
    <x v="2"/>
    <s v="Normal"/>
  </r>
  <r>
    <s v="DEAL-00087"/>
    <x v="7"/>
    <s v="CLI-0100"/>
    <x v="3"/>
    <x v="1"/>
    <x v="3"/>
    <n v="104328"/>
    <d v="2023-01-11T00:00:00"/>
    <d v="2023-01-28T00:00:00"/>
    <n v="17"/>
    <n v="0.3"/>
    <x v="3"/>
    <x v="2"/>
    <s v="Normal"/>
  </r>
  <r>
    <s v="DEAL-02055"/>
    <x v="10"/>
    <s v="CLI-0253"/>
    <x v="5"/>
    <x v="5"/>
    <x v="5"/>
    <n v="161239"/>
    <d v="2023-02-16T00:00:00"/>
    <m/>
    <m/>
    <m/>
    <x v="3"/>
    <x v="2"/>
    <s v="Normal"/>
  </r>
  <r>
    <s v="DEAL-01934"/>
    <x v="10"/>
    <s v="CLI-0148"/>
    <x v="0"/>
    <x v="0"/>
    <x v="3"/>
    <n v="212754"/>
    <d v="2024-12-28T00:00:00"/>
    <d v="2025-06-22T00:00:00"/>
    <n v="176"/>
    <n v="2.9"/>
    <x v="2"/>
    <x v="3"/>
    <s v="Normal"/>
  </r>
  <r>
    <s v="DEAL-01526"/>
    <x v="5"/>
    <s v="CLI-0270"/>
    <x v="0"/>
    <x v="0"/>
    <x v="0"/>
    <n v="844566"/>
    <d v="2024-01-06T00:00:00"/>
    <d v="2024-04-02T00:00:00"/>
    <n v="87"/>
    <m/>
    <x v="3"/>
    <x v="5"/>
    <s v="Normal"/>
  </r>
  <r>
    <s v="DEAL-01642"/>
    <x v="5"/>
    <s v="CLI-0127"/>
    <x v="2"/>
    <x v="4"/>
    <x v="1"/>
    <n v="371462"/>
    <d v="2024-05-28T00:00:00"/>
    <m/>
    <m/>
    <n v="8.5"/>
    <x v="2"/>
    <x v="7"/>
    <s v="Normal"/>
  </r>
  <r>
    <s v="DEAL-02067"/>
    <x v="8"/>
    <s v="CLI-0150"/>
    <x v="4"/>
    <x v="4"/>
    <x v="1"/>
    <n v="127411"/>
    <d v="2023-12-09T00:00:00"/>
    <m/>
    <m/>
    <n v="4.5999999999999996"/>
    <x v="2"/>
    <x v="0"/>
    <s v="Normal"/>
  </r>
  <r>
    <s v="DEAL-00573"/>
    <x v="3"/>
    <s v="CLI-0226"/>
    <x v="3"/>
    <x v="1"/>
    <x v="3"/>
    <n v="388150"/>
    <d v="2023-02-17T00:00:00"/>
    <d v="2023-06-11T00:00:00"/>
    <n v="114"/>
    <n v="22.7"/>
    <x v="0"/>
    <x v="2"/>
    <s v="Normal"/>
  </r>
  <r>
    <s v="DEAL-00966"/>
    <x v="6"/>
    <s v="CLI-0051"/>
    <x v="4"/>
    <x v="2"/>
    <x v="2"/>
    <n v="16614"/>
    <d v="2023-03-04T00:00:00"/>
    <m/>
    <m/>
    <m/>
    <x v="0"/>
    <x v="2"/>
    <s v="Normal"/>
  </r>
  <r>
    <s v="DEAL-02471"/>
    <x v="7"/>
    <s v="CLI-0105"/>
    <x v="2"/>
    <x v="8"/>
    <x v="2"/>
    <n v="120355"/>
    <d v="2024-08-29T00:00:00"/>
    <m/>
    <m/>
    <n v="4"/>
    <x v="2"/>
    <x v="8"/>
    <s v="Normal"/>
  </r>
  <r>
    <s v="DEAL-02084"/>
    <x v="13"/>
    <s v="CLI-0185"/>
    <x v="0"/>
    <x v="4"/>
    <x v="1"/>
    <n v="56550"/>
    <d v="2024-10-05T00:00:00"/>
    <m/>
    <m/>
    <m/>
    <x v="3"/>
    <x v="3"/>
    <s v="Normal"/>
  </r>
  <r>
    <s v="DEAL-01018"/>
    <x v="11"/>
    <s v="CLI-0140"/>
    <x v="4"/>
    <x v="7"/>
    <x v="5"/>
    <n v="252937"/>
    <d v="2024-12-12T00:00:00"/>
    <m/>
    <m/>
    <m/>
    <x v="0"/>
    <x v="3"/>
    <s v="Normal"/>
  </r>
  <r>
    <s v="DEAL-02170"/>
    <x v="1"/>
    <s v="CLI-0293"/>
    <x v="4"/>
    <x v="1"/>
    <x v="2"/>
    <n v="219576"/>
    <d v="2023-10-06T00:00:00"/>
    <m/>
    <m/>
    <n v="3.4"/>
    <x v="2"/>
    <x v="0"/>
    <s v="Normal"/>
  </r>
  <r>
    <s v="DEAL-00263"/>
    <x v="2"/>
    <s v="CLI-0190"/>
    <x v="4"/>
    <x v="5"/>
    <x v="2"/>
    <n v="442318"/>
    <d v="2023-09-10T00:00:00"/>
    <m/>
    <m/>
    <n v="7.9"/>
    <x v="0"/>
    <x v="6"/>
    <s v="Normal"/>
  </r>
  <r>
    <s v="DEAL-01483"/>
    <x v="4"/>
    <s v="CLI-0297"/>
    <x v="3"/>
    <x v="4"/>
    <x v="3"/>
    <n v="317426"/>
    <d v="2023-02-16T00:00:00"/>
    <d v="2023-05-19T00:00:00"/>
    <n v="92"/>
    <n v="23.4"/>
    <x v="2"/>
    <x v="2"/>
    <s v="Normal"/>
  </r>
  <r>
    <s v="DEAL-00692"/>
    <x v="12"/>
    <s v="CLI-0223"/>
    <x v="3"/>
    <x v="5"/>
    <x v="4"/>
    <n v="213136"/>
    <d v="2025-01-30T00:00:00"/>
    <m/>
    <m/>
    <m/>
    <x v="2"/>
    <x v="4"/>
    <s v="Normal"/>
  </r>
  <r>
    <s v="DEAL-00146"/>
    <x v="8"/>
    <s v="CLI-0046"/>
    <x v="1"/>
    <x v="6"/>
    <x v="0"/>
    <n v="278128"/>
    <d v="2025-02-25T00:00:00"/>
    <d v="2025-07-06T00:00:00"/>
    <n v="131"/>
    <n v="3.8"/>
    <x v="1"/>
    <x v="4"/>
    <s v="Normal"/>
  </r>
  <r>
    <s v="DEAL-00769"/>
    <x v="0"/>
    <s v="CLI-0063"/>
    <x v="2"/>
    <x v="3"/>
    <x v="3"/>
    <n v="341107"/>
    <d v="2023-12-18T00:00:00"/>
    <d v="2024-06-07T00:00:00"/>
    <n v="172"/>
    <n v="0.1"/>
    <x v="0"/>
    <x v="0"/>
    <s v="Normal"/>
  </r>
  <r>
    <s v="DEAL-02222"/>
    <x v="15"/>
    <s v="CLI-0276"/>
    <x v="5"/>
    <x v="6"/>
    <x v="5"/>
    <n v="70282"/>
    <d v="2023-05-01T00:00:00"/>
    <m/>
    <m/>
    <n v="7.5"/>
    <x v="3"/>
    <x v="1"/>
    <s v="Normal"/>
  </r>
  <r>
    <s v="DEAL-00843"/>
    <x v="13"/>
    <s v="CLI-0132"/>
    <x v="0"/>
    <x v="4"/>
    <x v="3"/>
    <n v="159822"/>
    <d v="2023-01-17T00:00:00"/>
    <d v="2023-05-27T00:00:00"/>
    <n v="130"/>
    <n v="14.6"/>
    <x v="1"/>
    <x v="2"/>
    <s v="Normal"/>
  </r>
  <r>
    <s v="DEAL-00674"/>
    <x v="1"/>
    <s v="CLI-0036"/>
    <x v="0"/>
    <x v="0"/>
    <x v="4"/>
    <n v="328151"/>
    <d v="2024-03-19T00:00:00"/>
    <m/>
    <m/>
    <n v="6.5"/>
    <x v="0"/>
    <x v="5"/>
    <s v="Normal"/>
  </r>
  <r>
    <s v="DEAL-00831"/>
    <x v="14"/>
    <s v="CLI-0290"/>
    <x v="3"/>
    <x v="6"/>
    <x v="3"/>
    <n v="128341"/>
    <d v="2024-02-21T00:00:00"/>
    <d v="2024-03-15T00:00:00"/>
    <n v="23"/>
    <n v="23.9"/>
    <x v="0"/>
    <x v="5"/>
    <s v="Normal"/>
  </r>
  <r>
    <s v="DEAL-02112"/>
    <x v="1"/>
    <s v="CLI-0160"/>
    <x v="4"/>
    <x v="1"/>
    <x v="2"/>
    <n v="201122"/>
    <d v="2023-09-04T00:00:00"/>
    <m/>
    <m/>
    <n v="11.9"/>
    <x v="2"/>
    <x v="6"/>
    <s v="Normal"/>
  </r>
  <r>
    <s v="DEAL-01665"/>
    <x v="12"/>
    <s v="CLI-0219"/>
    <x v="1"/>
    <x v="5"/>
    <x v="0"/>
    <n v="280537"/>
    <d v="2024-01-25T00:00:00"/>
    <d v="2024-02-20T00:00:00"/>
    <n v="26"/>
    <n v="0.4"/>
    <x v="1"/>
    <x v="5"/>
    <s v="Normal"/>
  </r>
  <r>
    <s v="DEAL-00770"/>
    <x v="9"/>
    <s v="CLI-0072"/>
    <x v="1"/>
    <x v="7"/>
    <x v="5"/>
    <n v="476399"/>
    <d v="2024-08-27T00:00:00"/>
    <m/>
    <m/>
    <n v="9.1999999999999993"/>
    <x v="0"/>
    <x v="8"/>
    <s v="Normal"/>
  </r>
  <r>
    <s v="DEAL-01636"/>
    <x v="5"/>
    <s v="CLI-0114"/>
    <x v="5"/>
    <x v="2"/>
    <x v="3"/>
    <n v="148918"/>
    <d v="2025-03-02T00:00:00"/>
    <d v="2025-06-20T00:00:00"/>
    <n v="110"/>
    <n v="17.100000000000001"/>
    <x v="1"/>
    <x v="4"/>
    <s v="Normal"/>
  </r>
  <r>
    <s v="DEAL-01673"/>
    <x v="11"/>
    <s v="CLI-0258"/>
    <x v="2"/>
    <x v="6"/>
    <x v="3"/>
    <n v="183921"/>
    <d v="2024-11-07T00:00:00"/>
    <d v="2024-12-30T00:00:00"/>
    <n v="53"/>
    <n v="4.2"/>
    <x v="1"/>
    <x v="3"/>
    <s v="Normal"/>
  </r>
  <r>
    <s v="DEAL-00730"/>
    <x v="3"/>
    <s v="CLI-0082"/>
    <x v="3"/>
    <x v="4"/>
    <x v="2"/>
    <n v="430111"/>
    <d v="2023-02-12T00:00:00"/>
    <m/>
    <m/>
    <m/>
    <x v="2"/>
    <x v="2"/>
    <s v="Normal"/>
  </r>
  <r>
    <s v="DEAL-01959"/>
    <x v="3"/>
    <s v="CLI-0031"/>
    <x v="2"/>
    <x v="5"/>
    <x v="5"/>
    <n v="380531"/>
    <d v="2023-08-08T00:00:00"/>
    <m/>
    <m/>
    <n v="10.5"/>
    <x v="3"/>
    <x v="6"/>
    <s v="Normal"/>
  </r>
  <r>
    <s v="DEAL-00027"/>
    <x v="9"/>
    <s v="CLI-0222"/>
    <x v="4"/>
    <x v="2"/>
    <x v="5"/>
    <n v="35853"/>
    <d v="2023-09-26T00:00:00"/>
    <m/>
    <m/>
    <n v="1.3"/>
    <x v="1"/>
    <x v="6"/>
    <s v="Normal"/>
  </r>
  <r>
    <s v="DEAL-00877"/>
    <x v="12"/>
    <s v="CLI-0206"/>
    <x v="3"/>
    <x v="0"/>
    <x v="5"/>
    <n v="482655"/>
    <d v="2023-04-16T00:00:00"/>
    <m/>
    <m/>
    <m/>
    <x v="3"/>
    <x v="1"/>
    <s v="Normal"/>
  </r>
  <r>
    <s v="DEAL-00080"/>
    <x v="5"/>
    <s v="CLI-0244"/>
    <x v="0"/>
    <x v="3"/>
    <x v="5"/>
    <n v="278783"/>
    <d v="2024-08-10T00:00:00"/>
    <m/>
    <m/>
    <n v="11"/>
    <x v="2"/>
    <x v="8"/>
    <s v="Normal"/>
  </r>
  <r>
    <s v="DEAL-01493"/>
    <x v="0"/>
    <s v="CLI-0091"/>
    <x v="0"/>
    <x v="0"/>
    <x v="5"/>
    <n v="292000"/>
    <d v="2024-12-14T00:00:00"/>
    <m/>
    <m/>
    <m/>
    <x v="3"/>
    <x v="3"/>
    <s v="Normal"/>
  </r>
  <r>
    <s v="DEAL-01469"/>
    <x v="10"/>
    <s v="CLI-0242"/>
    <x v="3"/>
    <x v="7"/>
    <x v="1"/>
    <n v="184544"/>
    <d v="2023-05-10T00:00:00"/>
    <m/>
    <m/>
    <n v="11.8"/>
    <x v="3"/>
    <x v="1"/>
    <s v="Normal"/>
  </r>
  <r>
    <s v="DEAL-01503"/>
    <x v="2"/>
    <s v="CLI-0298"/>
    <x v="4"/>
    <x v="6"/>
    <x v="5"/>
    <n v="411571"/>
    <d v="2023-01-13T00:00:00"/>
    <m/>
    <m/>
    <n v="5.9"/>
    <x v="1"/>
    <x v="2"/>
    <s v="Normal"/>
  </r>
  <r>
    <s v="DEAL-01263"/>
    <x v="15"/>
    <s v="CLI-0152"/>
    <x v="5"/>
    <x v="6"/>
    <x v="4"/>
    <n v="433966"/>
    <d v="2023-01-28T00:00:00"/>
    <m/>
    <m/>
    <n v="0.1"/>
    <x v="2"/>
    <x v="2"/>
    <s v="Normal"/>
  </r>
  <r>
    <s v="DEAL-00700"/>
    <x v="5"/>
    <s v="CLI-0289"/>
    <x v="5"/>
    <x v="2"/>
    <x v="3"/>
    <n v="385164"/>
    <d v="2023-02-18T00:00:00"/>
    <d v="2023-05-17T00:00:00"/>
    <n v="88"/>
    <n v="15"/>
    <x v="0"/>
    <x v="2"/>
    <s v="Normal"/>
  </r>
  <r>
    <s v="DEAL-00509"/>
    <x v="6"/>
    <s v="CLI-0053"/>
    <x v="1"/>
    <x v="2"/>
    <x v="2"/>
    <n v="449693"/>
    <d v="2024-06-27T00:00:00"/>
    <m/>
    <m/>
    <n v="1.2"/>
    <x v="1"/>
    <x v="7"/>
    <s v="Normal"/>
  </r>
  <r>
    <s v="DEAL-01594"/>
    <x v="10"/>
    <s v="CLI-0076"/>
    <x v="5"/>
    <x v="4"/>
    <x v="1"/>
    <n v="246801"/>
    <d v="2024-06-09T00:00:00"/>
    <m/>
    <m/>
    <n v="2.4"/>
    <x v="1"/>
    <x v="7"/>
    <s v="Normal"/>
  </r>
  <r>
    <s v="DEAL-00387"/>
    <x v="7"/>
    <s v="CLI-0054"/>
    <x v="2"/>
    <x v="0"/>
    <x v="4"/>
    <n v="248356"/>
    <d v="2023-04-28T00:00:00"/>
    <m/>
    <m/>
    <n v="2.9"/>
    <x v="3"/>
    <x v="1"/>
    <s v="Normal"/>
  </r>
  <r>
    <s v="DEAL-02125"/>
    <x v="3"/>
    <s v="CLI-0065"/>
    <x v="1"/>
    <x v="5"/>
    <x v="3"/>
    <n v="312272"/>
    <d v="2023-05-30T00:00:00"/>
    <d v="2023-08-15T00:00:00"/>
    <n v="77"/>
    <n v="16.2"/>
    <x v="1"/>
    <x v="1"/>
    <s v="Normal"/>
  </r>
  <r>
    <s v="DEAL-00548"/>
    <x v="2"/>
    <s v="CLI-0138"/>
    <x v="3"/>
    <x v="5"/>
    <x v="2"/>
    <n v="11749"/>
    <d v="2023-12-09T00:00:00"/>
    <m/>
    <m/>
    <n v="11.4"/>
    <x v="3"/>
    <x v="0"/>
    <s v="Normal"/>
  </r>
  <r>
    <s v="DEAL-01264"/>
    <x v="9"/>
    <s v="CLI-0041"/>
    <x v="4"/>
    <x v="1"/>
    <x v="3"/>
    <n v="460919"/>
    <d v="2023-01-11T00:00:00"/>
    <d v="2023-04-17T00:00:00"/>
    <n v="96"/>
    <n v="5.2"/>
    <x v="1"/>
    <x v="2"/>
    <s v="Normal"/>
  </r>
  <r>
    <s v="DEAL-02447"/>
    <x v="1"/>
    <s v="CLI-0222"/>
    <x v="1"/>
    <x v="2"/>
    <x v="0"/>
    <n v="344478"/>
    <d v="2023-07-16T00:00:00"/>
    <d v="2023-12-15T00:00:00"/>
    <n v="152"/>
    <m/>
    <x v="1"/>
    <x v="6"/>
    <s v="Normal"/>
  </r>
  <r>
    <s v="DEAL-00270"/>
    <x v="11"/>
    <s v="CLI-0271"/>
    <x v="2"/>
    <x v="8"/>
    <x v="2"/>
    <n v="1591455"/>
    <d v="2025-02-24T00:00:00"/>
    <m/>
    <m/>
    <m/>
    <x v="1"/>
    <x v="4"/>
    <s v="High Outlier"/>
  </r>
  <r>
    <s v="DEAL-00028"/>
    <x v="6"/>
    <s v="CLI-0001"/>
    <x v="3"/>
    <x v="0"/>
    <x v="4"/>
    <n v="149595"/>
    <d v="2023-11-28T00:00:00"/>
    <m/>
    <m/>
    <n v="10.3"/>
    <x v="3"/>
    <x v="0"/>
    <s v="Normal"/>
  </r>
  <r>
    <s v="DEAL-01467"/>
    <x v="8"/>
    <s v="CLI-0197"/>
    <x v="0"/>
    <x v="2"/>
    <x v="0"/>
    <n v="96367"/>
    <d v="2024-06-27T00:00:00"/>
    <d v="2024-12-10T00:00:00"/>
    <n v="166"/>
    <n v="12.4"/>
    <x v="0"/>
    <x v="7"/>
    <s v="Normal"/>
  </r>
  <r>
    <s v="DEAL-02194"/>
    <x v="11"/>
    <s v="CLI-0271"/>
    <x v="5"/>
    <x v="5"/>
    <x v="3"/>
    <n v="278062"/>
    <d v="2024-01-26T00:00:00"/>
    <d v="2024-07-24T00:00:00"/>
    <n v="180"/>
    <n v="16.8"/>
    <x v="1"/>
    <x v="5"/>
    <s v="Normal"/>
  </r>
  <r>
    <s v="DEAL-01668"/>
    <x v="10"/>
    <s v="CLI-0060"/>
    <x v="2"/>
    <x v="6"/>
    <x v="2"/>
    <n v="375563"/>
    <d v="2024-09-20T00:00:00"/>
    <m/>
    <m/>
    <m/>
    <x v="1"/>
    <x v="8"/>
    <s v="Normal"/>
  </r>
  <r>
    <s v="DEAL-02120"/>
    <x v="10"/>
    <s v="CLI-0201"/>
    <x v="3"/>
    <x v="3"/>
    <x v="5"/>
    <n v="166750"/>
    <d v="2023-04-05T00:00:00"/>
    <m/>
    <m/>
    <m/>
    <x v="0"/>
    <x v="1"/>
    <s v="Normal"/>
  </r>
  <r>
    <s v="DEAL-00698"/>
    <x v="15"/>
    <s v="CLI-0284"/>
    <x v="3"/>
    <x v="4"/>
    <x v="2"/>
    <n v="207879"/>
    <d v="2024-05-24T00:00:00"/>
    <m/>
    <m/>
    <n v="6.5"/>
    <x v="1"/>
    <x v="7"/>
    <s v="Normal"/>
  </r>
  <r>
    <s v="DEAL-00565"/>
    <x v="5"/>
    <s v="CLI-0290"/>
    <x v="5"/>
    <x v="2"/>
    <x v="2"/>
    <n v="15034"/>
    <d v="2023-04-25T00:00:00"/>
    <m/>
    <m/>
    <n v="10.8"/>
    <x v="1"/>
    <x v="1"/>
    <s v="Normal"/>
  </r>
  <r>
    <s v="DEAL-02455"/>
    <x v="6"/>
    <s v="CLI-0147"/>
    <x v="0"/>
    <x v="6"/>
    <x v="2"/>
    <n v="337736"/>
    <d v="2024-03-24T00:00:00"/>
    <m/>
    <m/>
    <n v="5.8"/>
    <x v="1"/>
    <x v="5"/>
    <s v="Normal"/>
  </r>
  <r>
    <s v="DEAL-00084"/>
    <x v="7"/>
    <s v="CLI-0064"/>
    <x v="1"/>
    <x v="5"/>
    <x v="4"/>
    <n v="395016"/>
    <d v="2023-02-25T00:00:00"/>
    <m/>
    <m/>
    <n v="9.6"/>
    <x v="3"/>
    <x v="2"/>
    <s v="Normal"/>
  </r>
  <r>
    <s v="DEAL-01641"/>
    <x v="1"/>
    <s v="CLI-0177"/>
    <x v="2"/>
    <x v="6"/>
    <x v="0"/>
    <n v="340981"/>
    <d v="2024-11-18T00:00:00"/>
    <d v="2024-12-06T00:00:00"/>
    <n v="18"/>
    <n v="0.6"/>
    <x v="3"/>
    <x v="3"/>
    <s v="Normal"/>
  </r>
  <r>
    <s v="DEAL-00286"/>
    <x v="4"/>
    <s v="CLI-0150"/>
    <x v="1"/>
    <x v="5"/>
    <x v="2"/>
    <n v="248797"/>
    <d v="2023-05-31T00:00:00"/>
    <m/>
    <m/>
    <n v="3.8"/>
    <x v="1"/>
    <x v="1"/>
    <s v="Normal"/>
  </r>
  <r>
    <s v="DEAL-00201"/>
    <x v="14"/>
    <s v="CLI-0136"/>
    <x v="4"/>
    <x v="4"/>
    <x v="3"/>
    <n v="32004"/>
    <d v="2023-06-21T00:00:00"/>
    <d v="2023-12-14T00:00:00"/>
    <n v="176"/>
    <n v="5.0999999999999996"/>
    <x v="2"/>
    <x v="1"/>
    <s v="Normal"/>
  </r>
  <r>
    <s v="DEAL-01316"/>
    <x v="6"/>
    <s v="CLI-0169"/>
    <x v="3"/>
    <x v="1"/>
    <x v="2"/>
    <n v="319334"/>
    <d v="2024-09-07T00:00:00"/>
    <m/>
    <m/>
    <m/>
    <x v="1"/>
    <x v="8"/>
    <s v="Normal"/>
  </r>
  <r>
    <s v="DEAL-01015"/>
    <x v="10"/>
    <s v="CLI-0056"/>
    <x v="5"/>
    <x v="7"/>
    <x v="4"/>
    <n v="89412"/>
    <d v="2023-04-30T00:00:00"/>
    <m/>
    <m/>
    <n v="1.3"/>
    <x v="1"/>
    <x v="1"/>
    <s v="Normal"/>
  </r>
  <r>
    <s v="DEAL-00477"/>
    <x v="12"/>
    <s v="CLI-0130"/>
    <x v="3"/>
    <x v="7"/>
    <x v="5"/>
    <n v="35316"/>
    <d v="2024-06-21T00:00:00"/>
    <m/>
    <m/>
    <n v="8.6999999999999993"/>
    <x v="0"/>
    <x v="7"/>
    <s v="Normal"/>
  </r>
  <r>
    <s v="DEAL-02107"/>
    <x v="9"/>
    <s v="CLI-0031"/>
    <x v="0"/>
    <x v="4"/>
    <x v="4"/>
    <n v="279648"/>
    <d v="2023-10-23T00:00:00"/>
    <m/>
    <m/>
    <n v="11"/>
    <x v="1"/>
    <x v="0"/>
    <s v="Normal"/>
  </r>
  <r>
    <s v="DEAL-01490"/>
    <x v="13"/>
    <s v="CLI-0285"/>
    <x v="1"/>
    <x v="4"/>
    <x v="3"/>
    <n v="337652"/>
    <d v="2023-05-16T00:00:00"/>
    <d v="2023-08-01T00:00:00"/>
    <n v="77"/>
    <n v="2.8"/>
    <x v="0"/>
    <x v="1"/>
    <s v="Normal"/>
  </r>
  <r>
    <s v="DEAL-00274"/>
    <x v="5"/>
    <s v="CLI-0007"/>
    <x v="0"/>
    <x v="4"/>
    <x v="5"/>
    <n v="340759"/>
    <d v="2024-11-25T00:00:00"/>
    <m/>
    <m/>
    <n v="13.9"/>
    <x v="1"/>
    <x v="3"/>
    <s v="Normal"/>
  </r>
  <r>
    <s v="DEAL-02014"/>
    <x v="2"/>
    <s v="CLI-0064"/>
    <x v="0"/>
    <x v="2"/>
    <x v="2"/>
    <n v="489202"/>
    <d v="2024-11-03T00:00:00"/>
    <m/>
    <m/>
    <m/>
    <x v="3"/>
    <x v="3"/>
    <s v="Normal"/>
  </r>
  <r>
    <s v="DEAL-00857"/>
    <x v="5"/>
    <s v="CLI-0090"/>
    <x v="4"/>
    <x v="7"/>
    <x v="1"/>
    <n v="284717"/>
    <d v="2023-09-27T00:00:00"/>
    <m/>
    <m/>
    <m/>
    <x v="1"/>
    <x v="6"/>
    <s v="Normal"/>
  </r>
  <r>
    <s v="DEAL-01803"/>
    <x v="2"/>
    <s v="CLI-0198"/>
    <x v="4"/>
    <x v="0"/>
    <x v="2"/>
    <n v="157274"/>
    <d v="2025-02-12T00:00:00"/>
    <m/>
    <m/>
    <m/>
    <x v="3"/>
    <x v="4"/>
    <s v="Normal"/>
  </r>
  <r>
    <s v="DEAL-02011"/>
    <x v="13"/>
    <s v="CLI-0034"/>
    <x v="3"/>
    <x v="3"/>
    <x v="5"/>
    <n v="309184"/>
    <d v="2024-11-20T00:00:00"/>
    <m/>
    <m/>
    <n v="5.8"/>
    <x v="1"/>
    <x v="3"/>
    <s v="Normal"/>
  </r>
  <r>
    <s v="DEAL-01629"/>
    <x v="8"/>
    <s v="CLI-0080"/>
    <x v="1"/>
    <x v="0"/>
    <x v="5"/>
    <n v="466808"/>
    <d v="2024-05-17T00:00:00"/>
    <m/>
    <m/>
    <m/>
    <x v="0"/>
    <x v="7"/>
    <s v="Normal"/>
  </r>
  <r>
    <s v="DEAL-01645"/>
    <x v="15"/>
    <s v="CLI-0028"/>
    <x v="1"/>
    <x v="5"/>
    <x v="2"/>
    <n v="189879"/>
    <d v="2024-08-23T00:00:00"/>
    <m/>
    <m/>
    <n v="5.6"/>
    <x v="3"/>
    <x v="8"/>
    <s v="Normal"/>
  </r>
  <r>
    <s v="DEAL-01197"/>
    <x v="3"/>
    <s v="CLI-0030"/>
    <x v="5"/>
    <x v="1"/>
    <x v="3"/>
    <n v="182871"/>
    <d v="2025-02-16T00:00:00"/>
    <d v="2025-07-27T00:00:00"/>
    <n v="161"/>
    <n v="7.7"/>
    <x v="3"/>
    <x v="4"/>
    <s v="Normal"/>
  </r>
  <r>
    <s v="DEAL-00182"/>
    <x v="13"/>
    <s v="CLI-0026"/>
    <x v="1"/>
    <x v="4"/>
    <x v="2"/>
    <n v="319507"/>
    <d v="2023-04-19T00:00:00"/>
    <m/>
    <m/>
    <m/>
    <x v="3"/>
    <x v="1"/>
    <s v="Normal"/>
  </r>
  <r>
    <s v="DEAL-00462"/>
    <x v="12"/>
    <s v="CLI-0042"/>
    <x v="4"/>
    <x v="7"/>
    <x v="5"/>
    <n v="178290"/>
    <d v="2023-07-03T00:00:00"/>
    <m/>
    <m/>
    <m/>
    <x v="3"/>
    <x v="6"/>
    <s v="Normal"/>
  </r>
  <r>
    <s v="DEAL-00245"/>
    <x v="1"/>
    <s v="CLI-0111"/>
    <x v="0"/>
    <x v="8"/>
    <x v="1"/>
    <n v="25737"/>
    <d v="2023-05-26T00:00:00"/>
    <m/>
    <m/>
    <m/>
    <x v="2"/>
    <x v="1"/>
    <s v="Normal"/>
  </r>
  <r>
    <s v="DEAL-00314"/>
    <x v="3"/>
    <s v="CLI-0037"/>
    <x v="5"/>
    <x v="7"/>
    <x v="2"/>
    <n v="295436"/>
    <d v="2024-11-04T00:00:00"/>
    <m/>
    <m/>
    <n v="0"/>
    <x v="2"/>
    <x v="3"/>
    <s v="Normal"/>
  </r>
  <r>
    <s v="DEAL-01282"/>
    <x v="2"/>
    <s v="CLI-0203"/>
    <x v="3"/>
    <x v="2"/>
    <x v="2"/>
    <n v="414485"/>
    <d v="2025-02-26T00:00:00"/>
    <m/>
    <m/>
    <m/>
    <x v="2"/>
    <x v="4"/>
    <s v="Normal"/>
  </r>
  <r>
    <s v="DEAL-02488"/>
    <x v="11"/>
    <s v="CLI-0122"/>
    <x v="2"/>
    <x v="4"/>
    <x v="0"/>
    <n v="211869"/>
    <d v="2024-05-03T00:00:00"/>
    <d v="2024-06-27T00:00:00"/>
    <n v="55"/>
    <n v="1"/>
    <x v="3"/>
    <x v="7"/>
    <s v="Normal"/>
  </r>
  <r>
    <s v="DEAL-01455"/>
    <x v="1"/>
    <s v="CLI-0083"/>
    <x v="3"/>
    <x v="4"/>
    <x v="2"/>
    <n v="72511"/>
    <d v="2024-06-30T00:00:00"/>
    <m/>
    <m/>
    <n v="6.9"/>
    <x v="2"/>
    <x v="7"/>
    <s v="Normal"/>
  </r>
  <r>
    <s v="DEAL-00732"/>
    <x v="10"/>
    <s v="CLI-0008"/>
    <x v="0"/>
    <x v="0"/>
    <x v="4"/>
    <n v="300303"/>
    <d v="2025-02-19T00:00:00"/>
    <m/>
    <m/>
    <n v="3.3"/>
    <x v="0"/>
    <x v="4"/>
    <s v="Normal"/>
  </r>
  <r>
    <s v="DEAL-02390"/>
    <x v="3"/>
    <s v="CLI-0187"/>
    <x v="0"/>
    <x v="2"/>
    <x v="2"/>
    <n v="66288"/>
    <d v="2024-03-06T00:00:00"/>
    <m/>
    <m/>
    <n v="14.4"/>
    <x v="1"/>
    <x v="5"/>
    <s v="Normal"/>
  </r>
  <r>
    <s v="DEAL-00773"/>
    <x v="4"/>
    <s v="CLI-0138"/>
    <x v="3"/>
    <x v="6"/>
    <x v="1"/>
    <n v="35041"/>
    <d v="2023-10-08T00:00:00"/>
    <m/>
    <m/>
    <n v="8"/>
    <x v="0"/>
    <x v="0"/>
    <s v="Normal"/>
  </r>
  <r>
    <s v="DEAL-01482"/>
    <x v="9"/>
    <s v="CLI-0085"/>
    <x v="0"/>
    <x v="0"/>
    <x v="5"/>
    <n v="481779"/>
    <d v="2024-09-10T00:00:00"/>
    <m/>
    <m/>
    <n v="3.1"/>
    <x v="3"/>
    <x v="8"/>
    <s v="Normal"/>
  </r>
  <r>
    <s v="DEAL-02168"/>
    <x v="3"/>
    <s v="CLI-0015"/>
    <x v="1"/>
    <x v="1"/>
    <x v="5"/>
    <n v="26597"/>
    <d v="2023-05-25T00:00:00"/>
    <m/>
    <m/>
    <n v="13.5"/>
    <x v="3"/>
    <x v="1"/>
    <s v="Normal"/>
  </r>
  <r>
    <s v="DEAL-01052"/>
    <x v="4"/>
    <s v="CLI-0249"/>
    <x v="1"/>
    <x v="0"/>
    <x v="0"/>
    <n v="87782"/>
    <d v="2024-10-17T00:00:00"/>
    <d v="2025-02-22T00:00:00"/>
    <n v="128"/>
    <n v="9.1999999999999993"/>
    <x v="1"/>
    <x v="3"/>
    <s v="Normal"/>
  </r>
  <r>
    <s v="DEAL-01327"/>
    <x v="1"/>
    <s v="CLI-0265"/>
    <x v="5"/>
    <x v="4"/>
    <x v="5"/>
    <n v="280341"/>
    <d v="2023-08-04T00:00:00"/>
    <m/>
    <m/>
    <m/>
    <x v="1"/>
    <x v="6"/>
    <s v="Normal"/>
  </r>
  <r>
    <s v="DEAL-00612"/>
    <x v="0"/>
    <s v="CLI-0048"/>
    <x v="2"/>
    <x v="3"/>
    <x v="2"/>
    <n v="376532"/>
    <d v="2023-09-27T00:00:00"/>
    <m/>
    <m/>
    <m/>
    <x v="2"/>
    <x v="6"/>
    <s v="Normal"/>
  </r>
  <r>
    <s v="DEAL-01678"/>
    <x v="15"/>
    <s v="CLI-0044"/>
    <x v="5"/>
    <x v="2"/>
    <x v="2"/>
    <n v="185450"/>
    <d v="2024-09-19T00:00:00"/>
    <m/>
    <m/>
    <n v="6.1"/>
    <x v="3"/>
    <x v="8"/>
    <s v="Normal"/>
  </r>
  <r>
    <s v="DEAL-00619"/>
    <x v="12"/>
    <s v="CLI-0094"/>
    <x v="2"/>
    <x v="1"/>
    <x v="2"/>
    <n v="495231"/>
    <d v="2023-11-24T00:00:00"/>
    <m/>
    <m/>
    <m/>
    <x v="1"/>
    <x v="0"/>
    <s v="Normal"/>
  </r>
  <r>
    <s v="DEAL-00956"/>
    <x v="2"/>
    <s v="CLI-0223"/>
    <x v="2"/>
    <x v="5"/>
    <x v="0"/>
    <n v="106639"/>
    <d v="2023-12-11T00:00:00"/>
    <d v="2024-03-09T00:00:00"/>
    <n v="89"/>
    <n v="5.9"/>
    <x v="2"/>
    <x v="0"/>
    <s v="Normal"/>
  </r>
  <r>
    <s v="DEAL-02119"/>
    <x v="7"/>
    <s v="CLI-0198"/>
    <x v="5"/>
    <x v="0"/>
    <x v="5"/>
    <n v="158544"/>
    <d v="2024-04-05T00:00:00"/>
    <m/>
    <m/>
    <n v="7.8"/>
    <x v="0"/>
    <x v="7"/>
    <s v="Normal"/>
  </r>
  <r>
    <s v="DEAL-00444"/>
    <x v="5"/>
    <s v="CLI-0269"/>
    <x v="1"/>
    <x v="4"/>
    <x v="4"/>
    <n v="434677"/>
    <d v="2023-01-06T00:00:00"/>
    <m/>
    <m/>
    <n v="5.4"/>
    <x v="3"/>
    <x v="2"/>
    <s v="Normal"/>
  </r>
  <r>
    <s v="DEAL-01721"/>
    <x v="4"/>
    <s v="CLI-0090"/>
    <x v="3"/>
    <x v="0"/>
    <x v="3"/>
    <n v="202967"/>
    <d v="2025-02-13T00:00:00"/>
    <d v="2025-07-06T00:00:00"/>
    <n v="143"/>
    <n v="4.8"/>
    <x v="3"/>
    <x v="4"/>
    <s v="Normal"/>
  </r>
  <r>
    <s v="DEAL-02311"/>
    <x v="1"/>
    <s v="CLI-0151"/>
    <x v="0"/>
    <x v="4"/>
    <x v="3"/>
    <n v="452042"/>
    <d v="2024-02-10T00:00:00"/>
    <d v="2024-07-19T00:00:00"/>
    <n v="160"/>
    <n v="9"/>
    <x v="2"/>
    <x v="5"/>
    <s v="Normal"/>
  </r>
  <r>
    <s v="DEAL-00630"/>
    <x v="5"/>
    <s v="CLI-0168"/>
    <x v="5"/>
    <x v="4"/>
    <x v="3"/>
    <n v="173402"/>
    <d v="2023-04-21T00:00:00"/>
    <d v="2023-08-03T00:00:00"/>
    <n v="104"/>
    <n v="14.8"/>
    <x v="1"/>
    <x v="1"/>
    <s v="Normal"/>
  </r>
  <r>
    <s v="DEAL-00491"/>
    <x v="12"/>
    <s v="CLI-0114"/>
    <x v="4"/>
    <x v="3"/>
    <x v="5"/>
    <n v="199843"/>
    <d v="2023-06-10T00:00:00"/>
    <m/>
    <m/>
    <n v="12.6"/>
    <x v="1"/>
    <x v="1"/>
    <s v="Normal"/>
  </r>
  <r>
    <s v="DEAL-01610"/>
    <x v="5"/>
    <s v="CLI-0209"/>
    <x v="1"/>
    <x v="0"/>
    <x v="3"/>
    <n v="42155"/>
    <d v="2023-09-09T00:00:00"/>
    <d v="2023-11-10T00:00:00"/>
    <n v="62"/>
    <n v="10.8"/>
    <x v="2"/>
    <x v="6"/>
    <s v="Normal"/>
  </r>
  <r>
    <s v="DEAL-02287"/>
    <x v="12"/>
    <s v="CLI-0179"/>
    <x v="1"/>
    <x v="1"/>
    <x v="3"/>
    <n v="400358"/>
    <d v="2024-11-11T00:00:00"/>
    <d v="2025-01-29T00:00:00"/>
    <n v="79"/>
    <n v="16.3"/>
    <x v="1"/>
    <x v="3"/>
    <s v="Normal"/>
  </r>
  <r>
    <s v="DEAL-02322"/>
    <x v="10"/>
    <s v="CLI-0187"/>
    <x v="5"/>
    <x v="6"/>
    <x v="1"/>
    <n v="35269"/>
    <d v="2024-06-09T00:00:00"/>
    <m/>
    <m/>
    <n v="5.9"/>
    <x v="0"/>
    <x v="7"/>
    <s v="Normal"/>
  </r>
  <r>
    <s v="DEAL-02359"/>
    <x v="5"/>
    <s v="CLI-0006"/>
    <x v="5"/>
    <x v="2"/>
    <x v="4"/>
    <n v="241172"/>
    <d v="2023-11-27T00:00:00"/>
    <m/>
    <m/>
    <n v="3.2"/>
    <x v="0"/>
    <x v="0"/>
    <s v="Normal"/>
  </r>
  <r>
    <s v="DEAL-01043"/>
    <x v="11"/>
    <s v="CLI-0265"/>
    <x v="3"/>
    <x v="0"/>
    <x v="3"/>
    <n v="92529"/>
    <d v="2023-04-30T00:00:00"/>
    <d v="2023-07-31T00:00:00"/>
    <n v="92"/>
    <n v="22.2"/>
    <x v="1"/>
    <x v="1"/>
    <s v="Normal"/>
  </r>
  <r>
    <s v="DEAL-01184"/>
    <x v="5"/>
    <s v="CLI-0204"/>
    <x v="4"/>
    <x v="5"/>
    <x v="0"/>
    <n v="489127"/>
    <d v="2025-01-17T00:00:00"/>
    <d v="2025-02-05T00:00:00"/>
    <n v="19"/>
    <n v="4.5999999999999996"/>
    <x v="0"/>
    <x v="4"/>
    <s v="Normal"/>
  </r>
  <r>
    <s v="DEAL-01403"/>
    <x v="7"/>
    <s v="CLI-0167"/>
    <x v="5"/>
    <x v="7"/>
    <x v="3"/>
    <n v="156882"/>
    <d v="2023-11-15T00:00:00"/>
    <d v="2024-03-03T00:00:00"/>
    <n v="109"/>
    <n v="13.4"/>
    <x v="3"/>
    <x v="0"/>
    <s v="Normal"/>
  </r>
  <r>
    <s v="DEAL-00979"/>
    <x v="8"/>
    <s v="CLI-0100"/>
    <x v="2"/>
    <x v="2"/>
    <x v="3"/>
    <n v="896630"/>
    <d v="2024-03-22T00:00:00"/>
    <d v="2024-07-25T00:00:00"/>
    <n v="125"/>
    <n v="16.7"/>
    <x v="0"/>
    <x v="5"/>
    <s v="Normal"/>
  </r>
  <r>
    <s v="DEAL-02306"/>
    <x v="15"/>
    <s v="CLI-0194"/>
    <x v="3"/>
    <x v="1"/>
    <x v="4"/>
    <n v="276659"/>
    <d v="2024-10-04T00:00:00"/>
    <m/>
    <m/>
    <n v="7.6"/>
    <x v="0"/>
    <x v="3"/>
    <s v="Normal"/>
  </r>
  <r>
    <s v="DEAL-00406"/>
    <x v="13"/>
    <s v="CLI-0061"/>
    <x v="0"/>
    <x v="2"/>
    <x v="5"/>
    <n v="346119"/>
    <d v="2023-05-05T00:00:00"/>
    <m/>
    <m/>
    <n v="12.6"/>
    <x v="3"/>
    <x v="1"/>
    <s v="Normal"/>
  </r>
  <r>
    <s v="DEAL-00051"/>
    <x v="1"/>
    <s v="CLI-0090"/>
    <x v="0"/>
    <x v="1"/>
    <x v="0"/>
    <n v="35706"/>
    <d v="2023-07-02T00:00:00"/>
    <d v="2023-08-27T00:00:00"/>
    <n v="56"/>
    <n v="9.1999999999999993"/>
    <x v="1"/>
    <x v="6"/>
    <s v="Normal"/>
  </r>
  <r>
    <s v="DEAL-00329"/>
    <x v="3"/>
    <s v="CLI-0192"/>
    <x v="2"/>
    <x v="0"/>
    <x v="1"/>
    <n v="279651"/>
    <d v="2024-02-25T00:00:00"/>
    <m/>
    <m/>
    <n v="1.9"/>
    <x v="1"/>
    <x v="5"/>
    <s v="Normal"/>
  </r>
  <r>
    <s v="DEAL-01325"/>
    <x v="2"/>
    <s v="CLI-0288"/>
    <x v="0"/>
    <x v="4"/>
    <x v="3"/>
    <n v="176717"/>
    <d v="2023-03-16T00:00:00"/>
    <d v="2023-05-19T00:00:00"/>
    <n v="64"/>
    <n v="15.5"/>
    <x v="0"/>
    <x v="2"/>
    <s v="Normal"/>
  </r>
  <r>
    <s v="DEAL-01715"/>
    <x v="9"/>
    <s v="CLI-0183"/>
    <x v="0"/>
    <x v="6"/>
    <x v="5"/>
    <n v="354336"/>
    <d v="2024-05-28T00:00:00"/>
    <m/>
    <m/>
    <n v="5.8"/>
    <x v="3"/>
    <x v="7"/>
    <s v="Normal"/>
  </r>
  <r>
    <s v="DEAL-01666"/>
    <x v="2"/>
    <s v="CLI-0067"/>
    <x v="0"/>
    <x v="2"/>
    <x v="0"/>
    <n v="219263"/>
    <d v="2024-09-13T00:00:00"/>
    <d v="2024-12-24T00:00:00"/>
    <n v="102"/>
    <m/>
    <x v="3"/>
    <x v="8"/>
    <s v="Normal"/>
  </r>
  <r>
    <s v="DEAL-00473"/>
    <x v="10"/>
    <s v="CLI-0063"/>
    <x v="2"/>
    <x v="3"/>
    <x v="4"/>
    <n v="229480"/>
    <d v="2024-07-21T00:00:00"/>
    <m/>
    <m/>
    <n v="10.7"/>
    <x v="3"/>
    <x v="8"/>
    <s v="Normal"/>
  </r>
  <r>
    <s v="DEAL-02258"/>
    <x v="7"/>
    <s v="CLI-0196"/>
    <x v="5"/>
    <x v="2"/>
    <x v="2"/>
    <n v="367969"/>
    <d v="2023-01-06T00:00:00"/>
    <m/>
    <m/>
    <n v="8.8000000000000007"/>
    <x v="3"/>
    <x v="2"/>
    <s v="Normal"/>
  </r>
  <r>
    <s v="DEAL-02006"/>
    <x v="12"/>
    <s v="CLI-0208"/>
    <x v="5"/>
    <x v="0"/>
    <x v="3"/>
    <n v="279535"/>
    <d v="2024-01-07T00:00:00"/>
    <d v="2024-07-01T00:00:00"/>
    <n v="176"/>
    <n v="2.2999999999999998"/>
    <x v="0"/>
    <x v="5"/>
    <s v="Normal"/>
  </r>
  <r>
    <s v="DEAL-00935"/>
    <x v="10"/>
    <s v="CLI-0139"/>
    <x v="5"/>
    <x v="8"/>
    <x v="5"/>
    <n v="240872"/>
    <d v="2024-01-18T00:00:00"/>
    <m/>
    <m/>
    <m/>
    <x v="1"/>
    <x v="5"/>
    <s v="Normal"/>
  </r>
  <r>
    <s v="DEAL-02486"/>
    <x v="13"/>
    <s v="CLI-0098"/>
    <x v="1"/>
    <x v="5"/>
    <x v="3"/>
    <n v="480728"/>
    <d v="2024-11-07T00:00:00"/>
    <d v="2025-03-31T00:00:00"/>
    <n v="144"/>
    <n v="11.3"/>
    <x v="3"/>
    <x v="3"/>
    <s v="Normal"/>
  </r>
  <r>
    <s v="DEAL-00054"/>
    <x v="5"/>
    <s v="CLI-0011"/>
    <x v="3"/>
    <x v="8"/>
    <x v="5"/>
    <n v="341275"/>
    <d v="2023-07-04T00:00:00"/>
    <m/>
    <m/>
    <m/>
    <x v="2"/>
    <x v="6"/>
    <s v="Normal"/>
  </r>
  <r>
    <s v="DEAL-01084"/>
    <x v="14"/>
    <s v="CLI-0087"/>
    <x v="2"/>
    <x v="6"/>
    <x v="3"/>
    <n v="293258"/>
    <d v="2023-02-03T00:00:00"/>
    <d v="2023-07-09T00:00:00"/>
    <n v="156"/>
    <n v="24.7"/>
    <x v="2"/>
    <x v="2"/>
    <s v="Normal"/>
  </r>
  <r>
    <s v="DEAL-00581"/>
    <x v="12"/>
    <s v="CLI-0281"/>
    <x v="5"/>
    <x v="2"/>
    <x v="3"/>
    <n v="115031"/>
    <d v="2024-08-11T00:00:00"/>
    <d v="2024-11-24T00:00:00"/>
    <n v="105"/>
    <n v="17.899999999999999"/>
    <x v="1"/>
    <x v="8"/>
    <s v="Normal"/>
  </r>
  <r>
    <s v="DEAL-00068"/>
    <x v="6"/>
    <s v="CLI-0041"/>
    <x v="1"/>
    <x v="1"/>
    <x v="3"/>
    <n v="472633"/>
    <d v="2024-05-14T00:00:00"/>
    <d v="2024-06-05T00:00:00"/>
    <n v="22"/>
    <n v="2.8"/>
    <x v="0"/>
    <x v="7"/>
    <s v="Normal"/>
  </r>
  <r>
    <s v="DEAL-02149"/>
    <x v="15"/>
    <s v="CLI-0268"/>
    <x v="1"/>
    <x v="0"/>
    <x v="1"/>
    <n v="377759"/>
    <d v="2023-02-28T00:00:00"/>
    <m/>
    <m/>
    <n v="10.3"/>
    <x v="3"/>
    <x v="2"/>
    <s v="Normal"/>
  </r>
  <r>
    <s v="DEAL-01846"/>
    <x v="0"/>
    <s v="CLI-0106"/>
    <x v="0"/>
    <x v="0"/>
    <x v="5"/>
    <n v="237928"/>
    <d v="2023-05-25T00:00:00"/>
    <m/>
    <m/>
    <n v="12.7"/>
    <x v="3"/>
    <x v="1"/>
    <s v="Normal"/>
  </r>
  <r>
    <s v="DEAL-01439"/>
    <x v="10"/>
    <s v="CLI-0229"/>
    <x v="2"/>
    <x v="5"/>
    <x v="2"/>
    <n v="187605"/>
    <d v="2023-06-10T00:00:00"/>
    <m/>
    <m/>
    <n v="9.6"/>
    <x v="0"/>
    <x v="1"/>
    <s v="Normal"/>
  </r>
  <r>
    <s v="DEAL-00859"/>
    <x v="9"/>
    <s v="CLI-0271"/>
    <x v="4"/>
    <x v="5"/>
    <x v="1"/>
    <n v="69045"/>
    <d v="2024-03-08T00:00:00"/>
    <m/>
    <m/>
    <n v="3.6"/>
    <x v="2"/>
    <x v="5"/>
    <s v="Normal"/>
  </r>
  <r>
    <s v="DEAL-01073"/>
    <x v="3"/>
    <s v="CLI-0009"/>
    <x v="5"/>
    <x v="7"/>
    <x v="0"/>
    <n v="335459"/>
    <d v="2024-08-06T00:00:00"/>
    <d v="2024-11-14T00:00:00"/>
    <n v="100"/>
    <m/>
    <x v="0"/>
    <x v="8"/>
    <s v="Normal"/>
  </r>
  <r>
    <s v="DEAL-00160"/>
    <x v="12"/>
    <s v="CLI-0089"/>
    <x v="2"/>
    <x v="2"/>
    <x v="5"/>
    <n v="238659"/>
    <d v="2023-02-07T00:00:00"/>
    <m/>
    <m/>
    <m/>
    <x v="3"/>
    <x v="2"/>
    <s v="Normal"/>
  </r>
  <r>
    <s v="DEAL-00835"/>
    <x v="5"/>
    <s v="CLI-0149"/>
    <x v="4"/>
    <x v="7"/>
    <x v="4"/>
    <n v="218143"/>
    <d v="2023-12-18T00:00:00"/>
    <m/>
    <m/>
    <n v="12.6"/>
    <x v="0"/>
    <x v="0"/>
    <s v="Normal"/>
  </r>
  <r>
    <s v="DEAL-01416"/>
    <x v="0"/>
    <s v="CLI-0247"/>
    <x v="3"/>
    <x v="3"/>
    <x v="4"/>
    <n v="455136"/>
    <d v="2023-05-17T00:00:00"/>
    <m/>
    <m/>
    <n v="10.199999999999999"/>
    <x v="2"/>
    <x v="1"/>
    <s v="Normal"/>
  </r>
  <r>
    <s v="DEAL-01567"/>
    <x v="12"/>
    <s v="CLI-0068"/>
    <x v="2"/>
    <x v="5"/>
    <x v="1"/>
    <n v="335811"/>
    <d v="2024-03-10T00:00:00"/>
    <m/>
    <m/>
    <m/>
    <x v="0"/>
    <x v="5"/>
    <s v="Normal"/>
  </r>
  <r>
    <s v="DEAL-01634"/>
    <x v="9"/>
    <s v="CLI-0156"/>
    <x v="3"/>
    <x v="1"/>
    <x v="2"/>
    <n v="231081"/>
    <d v="2025-01-01T00:00:00"/>
    <m/>
    <m/>
    <n v="12.6"/>
    <x v="0"/>
    <x v="4"/>
    <s v="Normal"/>
  </r>
  <r>
    <s v="DEAL-00468"/>
    <x v="10"/>
    <s v="CLI-0147"/>
    <x v="4"/>
    <x v="4"/>
    <x v="3"/>
    <n v="433642"/>
    <d v="2025-01-02T00:00:00"/>
    <d v="2025-05-27T00:00:00"/>
    <n v="145"/>
    <n v="17.8"/>
    <x v="1"/>
    <x v="4"/>
    <s v="Normal"/>
  </r>
  <r>
    <s v="DEAL-02402"/>
    <x v="5"/>
    <s v="CLI-0031"/>
    <x v="0"/>
    <x v="4"/>
    <x v="3"/>
    <n v="71114"/>
    <d v="2023-03-15T00:00:00"/>
    <d v="2023-05-25T00:00:00"/>
    <n v="71"/>
    <n v="8.4"/>
    <x v="1"/>
    <x v="2"/>
    <s v="Normal"/>
  </r>
  <r>
    <s v="DEAL-01075"/>
    <x v="4"/>
    <s v="CLI-0226"/>
    <x v="1"/>
    <x v="7"/>
    <x v="2"/>
    <n v="246396"/>
    <d v="2024-08-11T00:00:00"/>
    <m/>
    <m/>
    <n v="13.2"/>
    <x v="2"/>
    <x v="8"/>
    <s v="Normal"/>
  </r>
  <r>
    <s v="DEAL-00685"/>
    <x v="6"/>
    <s v="CLI-0039"/>
    <x v="0"/>
    <x v="3"/>
    <x v="3"/>
    <n v="179876"/>
    <d v="2024-08-05T00:00:00"/>
    <d v="2024-08-30T00:00:00"/>
    <n v="25"/>
    <n v="1.4"/>
    <x v="1"/>
    <x v="8"/>
    <s v="Normal"/>
  </r>
  <r>
    <s v="DEAL-01595"/>
    <x v="5"/>
    <s v="CLI-0049"/>
    <x v="1"/>
    <x v="3"/>
    <x v="3"/>
    <n v="261898"/>
    <d v="2024-04-03T00:00:00"/>
    <d v="2024-08-30T00:00:00"/>
    <n v="149"/>
    <n v="19.8"/>
    <x v="2"/>
    <x v="7"/>
    <s v="Normal"/>
  </r>
  <r>
    <s v="DEAL-00204"/>
    <x v="9"/>
    <s v="CLI-0211"/>
    <x v="2"/>
    <x v="6"/>
    <x v="0"/>
    <n v="456898"/>
    <d v="2024-11-29T00:00:00"/>
    <d v="2025-03-16T00:00:00"/>
    <n v="107"/>
    <n v="6.6"/>
    <x v="3"/>
    <x v="3"/>
    <s v="Normal"/>
  </r>
  <r>
    <s v="DEAL-01289"/>
    <x v="5"/>
    <s v="CLI-0107"/>
    <x v="4"/>
    <x v="5"/>
    <x v="5"/>
    <n v="494705"/>
    <d v="2024-08-13T00:00:00"/>
    <m/>
    <m/>
    <m/>
    <x v="2"/>
    <x v="8"/>
    <s v="Normal"/>
  </r>
  <r>
    <s v="DEAL-00031"/>
    <x v="15"/>
    <s v="CLI-0116"/>
    <x v="3"/>
    <x v="0"/>
    <x v="5"/>
    <n v="403402"/>
    <d v="2024-05-09T00:00:00"/>
    <m/>
    <m/>
    <n v="9.3000000000000007"/>
    <x v="3"/>
    <x v="7"/>
    <s v="Normal"/>
  </r>
  <r>
    <s v="DEAL-02058"/>
    <x v="6"/>
    <s v="CLI-0082"/>
    <x v="3"/>
    <x v="5"/>
    <x v="4"/>
    <n v="104888"/>
    <d v="2024-10-22T00:00:00"/>
    <m/>
    <m/>
    <m/>
    <x v="1"/>
    <x v="3"/>
    <s v="Normal"/>
  </r>
  <r>
    <s v="DEAL-01047"/>
    <x v="15"/>
    <s v="CLI-0272"/>
    <x v="3"/>
    <x v="2"/>
    <x v="5"/>
    <n v="79235"/>
    <d v="2024-02-14T00:00:00"/>
    <m/>
    <m/>
    <n v="10.199999999999999"/>
    <x v="1"/>
    <x v="5"/>
    <s v="Normal"/>
  </r>
  <r>
    <s v="DEAL-02002"/>
    <x v="8"/>
    <s v="CLI-0023"/>
    <x v="4"/>
    <x v="2"/>
    <x v="1"/>
    <n v="267215"/>
    <d v="2023-02-24T00:00:00"/>
    <m/>
    <m/>
    <n v="2.2000000000000002"/>
    <x v="3"/>
    <x v="2"/>
    <s v="Normal"/>
  </r>
  <r>
    <s v="DEAL-00121"/>
    <x v="0"/>
    <s v="CLI-0221"/>
    <x v="0"/>
    <x v="7"/>
    <x v="3"/>
    <n v="34808"/>
    <d v="2023-10-19T00:00:00"/>
    <d v="2024-02-27T00:00:00"/>
    <n v="131"/>
    <n v="15.5"/>
    <x v="1"/>
    <x v="0"/>
    <s v="Normal"/>
  </r>
  <r>
    <s v="DEAL-02268"/>
    <x v="4"/>
    <s v="CLI-0132"/>
    <x v="5"/>
    <x v="1"/>
    <x v="3"/>
    <n v="70365"/>
    <d v="2023-05-26T00:00:00"/>
    <d v="2023-08-27T00:00:00"/>
    <n v="93"/>
    <n v="19.399999999999999"/>
    <x v="0"/>
    <x v="1"/>
    <s v="Normal"/>
  </r>
  <r>
    <s v="DEAL-02060"/>
    <x v="5"/>
    <s v="CLI-0192"/>
    <x v="5"/>
    <x v="5"/>
    <x v="3"/>
    <n v="29232"/>
    <d v="2024-02-15T00:00:00"/>
    <d v="2024-06-10T00:00:00"/>
    <n v="116"/>
    <n v="6.8"/>
    <x v="2"/>
    <x v="5"/>
    <s v="Normal"/>
  </r>
  <r>
    <s v="DEAL-00828"/>
    <x v="11"/>
    <s v="CLI-0194"/>
    <x v="5"/>
    <x v="5"/>
    <x v="3"/>
    <n v="154406"/>
    <d v="2023-05-18T00:00:00"/>
    <d v="2023-09-29T00:00:00"/>
    <n v="134"/>
    <n v="17.399999999999999"/>
    <x v="2"/>
    <x v="1"/>
    <s v="Normal"/>
  </r>
  <r>
    <s v="DEAL-00257"/>
    <x v="8"/>
    <s v="CLI-0145"/>
    <x v="2"/>
    <x v="6"/>
    <x v="4"/>
    <n v="245914"/>
    <d v="2023-01-31T00:00:00"/>
    <m/>
    <m/>
    <n v="5.6"/>
    <x v="1"/>
    <x v="2"/>
    <s v="Normal"/>
  </r>
  <r>
    <s v="DEAL-01788"/>
    <x v="12"/>
    <s v="CLI-0202"/>
    <x v="1"/>
    <x v="2"/>
    <x v="5"/>
    <n v="1219562"/>
    <d v="2023-04-12T00:00:00"/>
    <m/>
    <m/>
    <n v="5.7"/>
    <x v="0"/>
    <x v="1"/>
    <s v="High Outlier"/>
  </r>
  <r>
    <s v="DEAL-01101"/>
    <x v="12"/>
    <s v="CLI-0132"/>
    <x v="1"/>
    <x v="1"/>
    <x v="1"/>
    <n v="411651"/>
    <d v="2023-07-14T00:00:00"/>
    <m/>
    <m/>
    <n v="11.8"/>
    <x v="2"/>
    <x v="6"/>
    <s v="Normal"/>
  </r>
  <r>
    <s v="DEAL-00397"/>
    <x v="8"/>
    <s v="CLI-0032"/>
    <x v="3"/>
    <x v="3"/>
    <x v="2"/>
    <n v="125218"/>
    <d v="2024-12-09T00:00:00"/>
    <m/>
    <m/>
    <m/>
    <x v="0"/>
    <x v="3"/>
    <s v="Normal"/>
  </r>
  <r>
    <s v="DEAL-01502"/>
    <x v="11"/>
    <s v="CLI-0200"/>
    <x v="4"/>
    <x v="7"/>
    <x v="5"/>
    <n v="366848"/>
    <d v="2023-05-28T00:00:00"/>
    <m/>
    <m/>
    <m/>
    <x v="1"/>
    <x v="1"/>
    <s v="Normal"/>
  </r>
  <r>
    <s v="DEAL-00749"/>
    <x v="10"/>
    <s v="CLI-0173"/>
    <x v="4"/>
    <x v="7"/>
    <x v="2"/>
    <n v="278729"/>
    <d v="2023-02-11T00:00:00"/>
    <m/>
    <m/>
    <n v="14"/>
    <x v="0"/>
    <x v="2"/>
    <s v="Normal"/>
  </r>
  <r>
    <s v="DEAL-02499"/>
    <x v="3"/>
    <s v="CLI-0074"/>
    <x v="2"/>
    <x v="0"/>
    <x v="3"/>
    <n v="1419979"/>
    <d v="2023-07-02T00:00:00"/>
    <d v="2023-11-11T00:00:00"/>
    <n v="132"/>
    <n v="18"/>
    <x v="3"/>
    <x v="6"/>
    <s v="High Outlier"/>
  </r>
  <r>
    <s v="DEAL-01244"/>
    <x v="7"/>
    <s v="CLI-0272"/>
    <x v="2"/>
    <x v="4"/>
    <x v="4"/>
    <n v="49327"/>
    <d v="2024-01-15T00:00:00"/>
    <m/>
    <m/>
    <n v="9.8000000000000007"/>
    <x v="3"/>
    <x v="5"/>
    <s v="Normal"/>
  </r>
  <r>
    <s v="DEAL-02073"/>
    <x v="7"/>
    <s v="CLI-0130"/>
    <x v="2"/>
    <x v="2"/>
    <x v="4"/>
    <n v="433821"/>
    <d v="2024-02-28T00:00:00"/>
    <m/>
    <m/>
    <n v="0.1"/>
    <x v="0"/>
    <x v="5"/>
    <s v="Normal"/>
  </r>
  <r>
    <s v="DEAL-02121"/>
    <x v="1"/>
    <s v="CLI-0056"/>
    <x v="0"/>
    <x v="7"/>
    <x v="3"/>
    <n v="145086"/>
    <d v="2024-07-26T00:00:00"/>
    <d v="2024-09-28T00:00:00"/>
    <n v="64"/>
    <n v="19.100000000000001"/>
    <x v="0"/>
    <x v="8"/>
    <s v="Normal"/>
  </r>
  <r>
    <s v="DEAL-00781"/>
    <x v="4"/>
    <s v="CLI-0174"/>
    <x v="5"/>
    <x v="2"/>
    <x v="2"/>
    <n v="346869"/>
    <d v="2023-02-12T00:00:00"/>
    <m/>
    <m/>
    <m/>
    <x v="2"/>
    <x v="2"/>
    <s v="Normal"/>
  </r>
  <r>
    <s v="DEAL-01746"/>
    <x v="13"/>
    <s v="CLI-0039"/>
    <x v="5"/>
    <x v="2"/>
    <x v="2"/>
    <n v="369019"/>
    <d v="2023-01-22T00:00:00"/>
    <m/>
    <m/>
    <m/>
    <x v="3"/>
    <x v="2"/>
    <s v="Normal"/>
  </r>
  <r>
    <s v="DEAL-02292"/>
    <x v="10"/>
    <s v="CLI-0249"/>
    <x v="1"/>
    <x v="6"/>
    <x v="4"/>
    <n v="169774"/>
    <d v="2025-01-10T00:00:00"/>
    <m/>
    <m/>
    <n v="4.0999999999999996"/>
    <x v="1"/>
    <x v="4"/>
    <s v="Normal"/>
  </r>
  <r>
    <s v="DEAL-01260"/>
    <x v="9"/>
    <s v="CLI-0080"/>
    <x v="4"/>
    <x v="5"/>
    <x v="4"/>
    <n v="270263"/>
    <d v="2023-03-19T00:00:00"/>
    <m/>
    <m/>
    <n v="7.2"/>
    <x v="2"/>
    <x v="2"/>
    <s v="Normal"/>
  </r>
  <r>
    <s v="DEAL-01474"/>
    <x v="6"/>
    <s v="CLI-0243"/>
    <x v="1"/>
    <x v="3"/>
    <x v="2"/>
    <n v="230399"/>
    <d v="2023-08-28T00:00:00"/>
    <m/>
    <m/>
    <m/>
    <x v="0"/>
    <x v="6"/>
    <s v="Normal"/>
  </r>
  <r>
    <s v="DEAL-00701"/>
    <x v="10"/>
    <s v="CLI-0028"/>
    <x v="1"/>
    <x v="5"/>
    <x v="2"/>
    <n v="345184"/>
    <d v="2023-06-28T00:00:00"/>
    <m/>
    <m/>
    <n v="8.6999999999999993"/>
    <x v="2"/>
    <x v="1"/>
    <s v="Normal"/>
  </r>
  <r>
    <s v="DEAL-01354"/>
    <x v="15"/>
    <s v="CLI-0066"/>
    <x v="1"/>
    <x v="6"/>
    <x v="2"/>
    <n v="399857"/>
    <d v="2025-01-05T00:00:00"/>
    <m/>
    <m/>
    <m/>
    <x v="2"/>
    <x v="4"/>
    <s v="Normal"/>
  </r>
  <r>
    <s v="DEAL-02482"/>
    <x v="14"/>
    <s v="CLI-0268"/>
    <x v="0"/>
    <x v="3"/>
    <x v="1"/>
    <n v="143147"/>
    <d v="2024-09-08T00:00:00"/>
    <m/>
    <m/>
    <n v="7.3"/>
    <x v="0"/>
    <x v="8"/>
    <s v="Normal"/>
  </r>
  <r>
    <s v="DEAL-00554"/>
    <x v="7"/>
    <s v="CLI-0064"/>
    <x v="2"/>
    <x v="4"/>
    <x v="4"/>
    <n v="454108"/>
    <d v="2024-08-16T00:00:00"/>
    <m/>
    <m/>
    <m/>
    <x v="1"/>
    <x v="8"/>
    <s v="Normal"/>
  </r>
  <r>
    <s v="DEAL-00247"/>
    <x v="12"/>
    <s v="CLI-0136"/>
    <x v="0"/>
    <x v="0"/>
    <x v="2"/>
    <n v="135907"/>
    <d v="2024-01-17T00:00:00"/>
    <m/>
    <m/>
    <n v="9.9"/>
    <x v="0"/>
    <x v="5"/>
    <s v="Normal"/>
  </r>
  <r>
    <s v="DEAL-01860"/>
    <x v="6"/>
    <s v="CLI-0041"/>
    <x v="1"/>
    <x v="4"/>
    <x v="3"/>
    <n v="393004"/>
    <d v="2024-09-10T00:00:00"/>
    <d v="2025-03-07T00:00:00"/>
    <n v="178"/>
    <n v="22.1"/>
    <x v="1"/>
    <x v="8"/>
    <s v="Normal"/>
  </r>
  <r>
    <s v="DEAL-00363"/>
    <x v="3"/>
    <s v="CLI-0042"/>
    <x v="5"/>
    <x v="6"/>
    <x v="4"/>
    <n v="105642"/>
    <d v="2023-05-24T00:00:00"/>
    <m/>
    <m/>
    <n v="11.2"/>
    <x v="2"/>
    <x v="1"/>
    <s v="Normal"/>
  </r>
  <r>
    <s v="DEAL-02150"/>
    <x v="0"/>
    <s v="CLI-0171"/>
    <x v="2"/>
    <x v="0"/>
    <x v="0"/>
    <n v="207023"/>
    <d v="2024-05-26T00:00:00"/>
    <d v="2024-06-17T00:00:00"/>
    <n v="22"/>
    <m/>
    <x v="2"/>
    <x v="7"/>
    <s v="Normal"/>
  </r>
  <r>
    <s v="DEAL-01901"/>
    <x v="13"/>
    <s v="CLI-0127"/>
    <x v="5"/>
    <x v="7"/>
    <x v="3"/>
    <n v="214988"/>
    <d v="2023-03-22T00:00:00"/>
    <d v="2023-06-15T00:00:00"/>
    <n v="85"/>
    <n v="15.3"/>
    <x v="3"/>
    <x v="2"/>
    <s v="Normal"/>
  </r>
  <r>
    <s v="DEAL-02207"/>
    <x v="11"/>
    <s v="CLI-0094"/>
    <x v="2"/>
    <x v="4"/>
    <x v="2"/>
    <n v="298438"/>
    <d v="2024-04-01T00:00:00"/>
    <m/>
    <m/>
    <n v="9.6"/>
    <x v="1"/>
    <x v="7"/>
    <s v="Normal"/>
  </r>
  <r>
    <s v="DEAL-01597"/>
    <x v="15"/>
    <s v="CLI-0010"/>
    <x v="5"/>
    <x v="4"/>
    <x v="0"/>
    <n v="477342"/>
    <d v="2024-03-19T00:00:00"/>
    <d v="2024-04-22T00:00:00"/>
    <n v="34"/>
    <n v="9.5"/>
    <x v="2"/>
    <x v="5"/>
    <s v="Normal"/>
  </r>
  <r>
    <s v="DEAL-01082"/>
    <x v="2"/>
    <s v="CLI-0158"/>
    <x v="5"/>
    <x v="7"/>
    <x v="4"/>
    <n v="374780"/>
    <d v="2024-02-02T00:00:00"/>
    <m/>
    <m/>
    <m/>
    <x v="2"/>
    <x v="5"/>
    <s v="Normal"/>
  </r>
  <r>
    <s v="DEAL-01456"/>
    <x v="12"/>
    <s v="CLI-0291"/>
    <x v="2"/>
    <x v="2"/>
    <x v="3"/>
    <n v="203201"/>
    <d v="2023-10-29T00:00:00"/>
    <d v="2024-03-01T00:00:00"/>
    <n v="124"/>
    <n v="1.8"/>
    <x v="3"/>
    <x v="0"/>
    <s v="Normal"/>
  </r>
  <r>
    <s v="DEAL-01066"/>
    <x v="12"/>
    <s v="CLI-0155"/>
    <x v="3"/>
    <x v="2"/>
    <x v="3"/>
    <n v="363868"/>
    <d v="2024-04-16T00:00:00"/>
    <d v="2024-07-26T00:00:00"/>
    <n v="101"/>
    <n v="24.1"/>
    <x v="0"/>
    <x v="7"/>
    <s v="Normal"/>
  </r>
  <r>
    <s v="DEAL-00060"/>
    <x v="8"/>
    <s v="CLI-0133"/>
    <x v="0"/>
    <x v="8"/>
    <x v="5"/>
    <n v="101757"/>
    <d v="2025-03-14T00:00:00"/>
    <m/>
    <m/>
    <m/>
    <x v="3"/>
    <x v="4"/>
    <s v="Normal"/>
  </r>
  <r>
    <s v="DEAL-02041"/>
    <x v="10"/>
    <s v="CLI-0035"/>
    <x v="1"/>
    <x v="4"/>
    <x v="3"/>
    <n v="155313"/>
    <d v="2024-10-18T00:00:00"/>
    <d v="2024-11-21T00:00:00"/>
    <n v="34"/>
    <n v="0.8"/>
    <x v="0"/>
    <x v="3"/>
    <s v="Normal"/>
  </r>
  <r>
    <s v="DEAL-00434"/>
    <x v="3"/>
    <s v="CLI-0055"/>
    <x v="4"/>
    <x v="0"/>
    <x v="4"/>
    <n v="258377"/>
    <d v="2024-06-01T00:00:00"/>
    <m/>
    <m/>
    <m/>
    <x v="3"/>
    <x v="7"/>
    <s v="Normal"/>
  </r>
  <r>
    <s v="DEAL-00256"/>
    <x v="13"/>
    <s v="CLI-0163"/>
    <x v="1"/>
    <x v="5"/>
    <x v="0"/>
    <n v="129316"/>
    <d v="2025-02-06T00:00:00"/>
    <d v="2025-04-15T00:00:00"/>
    <n v="68"/>
    <n v="7.7"/>
    <x v="0"/>
    <x v="4"/>
    <s v="Normal"/>
  </r>
  <r>
    <s v="DEAL-02266"/>
    <x v="14"/>
    <s v="CLI-0040"/>
    <x v="2"/>
    <x v="5"/>
    <x v="0"/>
    <n v="481825"/>
    <d v="2024-08-26T00:00:00"/>
    <d v="2024-10-15T00:00:00"/>
    <n v="50"/>
    <n v="12.5"/>
    <x v="1"/>
    <x v="8"/>
    <s v="Normal"/>
  </r>
  <r>
    <s v="DEAL-01962"/>
    <x v="13"/>
    <s v="CLI-0023"/>
    <x v="0"/>
    <x v="7"/>
    <x v="3"/>
    <n v="175025"/>
    <d v="2023-12-13T00:00:00"/>
    <d v="2024-05-21T00:00:00"/>
    <n v="160"/>
    <n v="10.3"/>
    <x v="0"/>
    <x v="0"/>
    <s v="Normal"/>
  </r>
  <r>
    <s v="DEAL-00574"/>
    <x v="13"/>
    <s v="CLI-0274"/>
    <x v="4"/>
    <x v="1"/>
    <x v="2"/>
    <n v="203697"/>
    <d v="2023-10-19T00:00:00"/>
    <m/>
    <m/>
    <m/>
    <x v="3"/>
    <x v="0"/>
    <s v="Normal"/>
  </r>
  <r>
    <s v="DEAL-00821"/>
    <x v="2"/>
    <s v="CLI-0007"/>
    <x v="5"/>
    <x v="6"/>
    <x v="3"/>
    <n v="299691"/>
    <d v="2024-10-02T00:00:00"/>
    <d v="2025-02-14T00:00:00"/>
    <n v="135"/>
    <n v="5.2"/>
    <x v="0"/>
    <x v="3"/>
    <s v="Normal"/>
  </r>
  <r>
    <s v="DEAL-00613"/>
    <x v="9"/>
    <s v="CLI-0248"/>
    <x v="4"/>
    <x v="1"/>
    <x v="2"/>
    <n v="292190"/>
    <d v="2023-08-22T00:00:00"/>
    <m/>
    <m/>
    <n v="4.7"/>
    <x v="3"/>
    <x v="6"/>
    <s v="Normal"/>
  </r>
  <r>
    <s v="DEAL-02267"/>
    <x v="4"/>
    <s v="CLI-0148"/>
    <x v="2"/>
    <x v="4"/>
    <x v="4"/>
    <n v="214153"/>
    <d v="2023-07-09T00:00:00"/>
    <m/>
    <m/>
    <m/>
    <x v="1"/>
    <x v="6"/>
    <s v="Normal"/>
  </r>
  <r>
    <s v="DEAL-02184"/>
    <x v="10"/>
    <s v="CLI-0132"/>
    <x v="1"/>
    <x v="7"/>
    <x v="3"/>
    <n v="238505"/>
    <d v="2024-05-30T00:00:00"/>
    <d v="2024-10-23T00:00:00"/>
    <n v="146"/>
    <n v="9.8000000000000007"/>
    <x v="2"/>
    <x v="7"/>
    <s v="Normal"/>
  </r>
  <r>
    <s v="DEAL-01988"/>
    <x v="15"/>
    <s v="CLI-0267"/>
    <x v="0"/>
    <x v="4"/>
    <x v="4"/>
    <n v="381243"/>
    <d v="2024-05-08T00:00:00"/>
    <m/>
    <m/>
    <n v="11.4"/>
    <x v="3"/>
    <x v="7"/>
    <s v="Normal"/>
  </r>
  <r>
    <s v="DEAL-00327"/>
    <x v="1"/>
    <s v="CLI-0178"/>
    <x v="4"/>
    <x v="7"/>
    <x v="2"/>
    <n v="163902"/>
    <d v="2023-01-03T00:00:00"/>
    <m/>
    <m/>
    <n v="11.1"/>
    <x v="1"/>
    <x v="2"/>
    <s v="Normal"/>
  </r>
  <r>
    <s v="DEAL-00105"/>
    <x v="12"/>
    <s v="CLI-0091"/>
    <x v="4"/>
    <x v="4"/>
    <x v="3"/>
    <n v="494893"/>
    <d v="2023-06-11T00:00:00"/>
    <d v="2023-07-03T00:00:00"/>
    <n v="22"/>
    <n v="2.9"/>
    <x v="1"/>
    <x v="1"/>
    <s v="Normal"/>
  </r>
  <r>
    <s v="DEAL-02151"/>
    <x v="7"/>
    <s v="CLI-0231"/>
    <x v="0"/>
    <x v="8"/>
    <x v="0"/>
    <n v="185137"/>
    <d v="2024-01-13T00:00:00"/>
    <d v="2024-05-26T00:00:00"/>
    <n v="134"/>
    <n v="7.5"/>
    <x v="0"/>
    <x v="5"/>
    <s v="Normal"/>
  </r>
  <r>
    <s v="DEAL-01849"/>
    <x v="3"/>
    <s v="CLI-0118"/>
    <x v="2"/>
    <x v="7"/>
    <x v="4"/>
    <n v="226464"/>
    <d v="2023-06-24T00:00:00"/>
    <m/>
    <m/>
    <n v="7.7"/>
    <x v="2"/>
    <x v="1"/>
    <s v="Normal"/>
  </r>
  <r>
    <s v="DEAL-02417"/>
    <x v="11"/>
    <s v="CLI-0268"/>
    <x v="5"/>
    <x v="5"/>
    <x v="0"/>
    <n v="485495"/>
    <d v="2023-12-02T00:00:00"/>
    <d v="2024-01-16T00:00:00"/>
    <n v="45"/>
    <n v="7"/>
    <x v="2"/>
    <x v="0"/>
    <s v="Normal"/>
  </r>
  <r>
    <s v="DEAL-01880"/>
    <x v="13"/>
    <s v="CLI-0095"/>
    <x v="5"/>
    <x v="0"/>
    <x v="2"/>
    <n v="330655"/>
    <d v="2024-03-22T00:00:00"/>
    <m/>
    <m/>
    <n v="9"/>
    <x v="3"/>
    <x v="5"/>
    <s v="Normal"/>
  </r>
  <r>
    <s v="DEAL-01658"/>
    <x v="5"/>
    <s v="CLI-0036"/>
    <x v="0"/>
    <x v="1"/>
    <x v="2"/>
    <n v="223268"/>
    <d v="2024-12-25T00:00:00"/>
    <m/>
    <m/>
    <n v="6.5"/>
    <x v="2"/>
    <x v="3"/>
    <s v="Normal"/>
  </r>
  <r>
    <s v="DEAL-00824"/>
    <x v="9"/>
    <s v="CLI-0117"/>
    <x v="3"/>
    <x v="6"/>
    <x v="3"/>
    <n v="164744"/>
    <d v="2024-06-18T00:00:00"/>
    <d v="2024-11-26T00:00:00"/>
    <n v="161"/>
    <n v="16.7"/>
    <x v="2"/>
    <x v="7"/>
    <s v="Normal"/>
  </r>
  <r>
    <s v="DEAL-00880"/>
    <x v="13"/>
    <s v="CLI-0135"/>
    <x v="2"/>
    <x v="7"/>
    <x v="3"/>
    <n v="1443027"/>
    <d v="2024-10-05T00:00:00"/>
    <d v="2025-03-28T00:00:00"/>
    <n v="174"/>
    <n v="16.899999999999999"/>
    <x v="3"/>
    <x v="3"/>
    <s v="High Outlier"/>
  </r>
  <r>
    <s v="DEAL-00016"/>
    <x v="3"/>
    <s v="CLI-0130"/>
    <x v="5"/>
    <x v="4"/>
    <x v="1"/>
    <n v="78039"/>
    <d v="2023-02-02T00:00:00"/>
    <m/>
    <m/>
    <n v="3"/>
    <x v="3"/>
    <x v="2"/>
    <s v="Normal"/>
  </r>
  <r>
    <s v="DEAL-02046"/>
    <x v="15"/>
    <s v="CLI-0140"/>
    <x v="3"/>
    <x v="1"/>
    <x v="4"/>
    <n v="71213"/>
    <d v="2024-04-22T00:00:00"/>
    <m/>
    <m/>
    <n v="14.5"/>
    <x v="1"/>
    <x v="7"/>
    <s v="Normal"/>
  </r>
  <r>
    <s v="DEAL-00496"/>
    <x v="11"/>
    <s v="CLI-0247"/>
    <x v="2"/>
    <x v="7"/>
    <x v="0"/>
    <n v="289552"/>
    <d v="2024-01-27T00:00:00"/>
    <d v="2024-02-15T00:00:00"/>
    <n v="19"/>
    <n v="10.9"/>
    <x v="3"/>
    <x v="5"/>
    <s v="Normal"/>
  </r>
  <r>
    <s v="DEAL-02474"/>
    <x v="14"/>
    <s v="CLI-0182"/>
    <x v="0"/>
    <x v="7"/>
    <x v="5"/>
    <n v="372216"/>
    <d v="2023-04-20T00:00:00"/>
    <m/>
    <m/>
    <n v="10.4"/>
    <x v="0"/>
    <x v="1"/>
    <s v="Normal"/>
  </r>
  <r>
    <s v="DEAL-02114"/>
    <x v="5"/>
    <s v="CLI-0139"/>
    <x v="4"/>
    <x v="7"/>
    <x v="0"/>
    <n v="399974"/>
    <d v="2023-01-31T00:00:00"/>
    <d v="2023-06-23T00:00:00"/>
    <n v="143"/>
    <m/>
    <x v="3"/>
    <x v="2"/>
    <s v="Normal"/>
  </r>
  <r>
    <s v="DEAL-01087"/>
    <x v="8"/>
    <s v="CLI-0215"/>
    <x v="3"/>
    <x v="0"/>
    <x v="4"/>
    <n v="90382"/>
    <d v="2023-08-28T00:00:00"/>
    <m/>
    <m/>
    <m/>
    <x v="2"/>
    <x v="6"/>
    <s v="Normal"/>
  </r>
  <r>
    <s v="DEAL-01412"/>
    <x v="3"/>
    <s v="CLI-0175"/>
    <x v="1"/>
    <x v="4"/>
    <x v="2"/>
    <n v="299308"/>
    <d v="2023-10-21T00:00:00"/>
    <m/>
    <m/>
    <m/>
    <x v="2"/>
    <x v="0"/>
    <s v="Normal"/>
  </r>
  <r>
    <s v="DEAL-00078"/>
    <x v="13"/>
    <s v="CLI-0019"/>
    <x v="2"/>
    <x v="0"/>
    <x v="3"/>
    <n v="151164"/>
    <d v="2024-07-13T00:00:00"/>
    <d v="2024-12-22T00:00:00"/>
    <n v="162"/>
    <n v="24.5"/>
    <x v="0"/>
    <x v="8"/>
    <s v="Normal"/>
  </r>
  <r>
    <s v="DEAL-00752"/>
    <x v="11"/>
    <s v="CLI-0142"/>
    <x v="5"/>
    <x v="4"/>
    <x v="0"/>
    <n v="90389"/>
    <d v="2024-01-22T00:00:00"/>
    <d v="2024-04-30T00:00:00"/>
    <n v="99"/>
    <n v="6.6"/>
    <x v="2"/>
    <x v="5"/>
    <s v="Normal"/>
  </r>
  <r>
    <s v="DEAL-01312"/>
    <x v="12"/>
    <s v="CLI-0247"/>
    <x v="1"/>
    <x v="3"/>
    <x v="0"/>
    <n v="468072"/>
    <d v="2024-12-19T00:00:00"/>
    <d v="2025-03-13T00:00:00"/>
    <n v="84"/>
    <n v="13.5"/>
    <x v="3"/>
    <x v="3"/>
    <s v="Normal"/>
  </r>
  <r>
    <s v="DEAL-01745"/>
    <x v="7"/>
    <s v="CLI-0019"/>
    <x v="2"/>
    <x v="8"/>
    <x v="2"/>
    <n v="1208311"/>
    <d v="2025-02-17T00:00:00"/>
    <m/>
    <m/>
    <n v="2.7"/>
    <x v="3"/>
    <x v="4"/>
    <s v="High Outlier"/>
  </r>
  <r>
    <s v="DEAL-01587"/>
    <x v="12"/>
    <s v="CLI-0165"/>
    <x v="2"/>
    <x v="0"/>
    <x v="5"/>
    <n v="220130"/>
    <d v="2025-01-29T00:00:00"/>
    <m/>
    <m/>
    <n v="6"/>
    <x v="0"/>
    <x v="4"/>
    <s v="Normal"/>
  </r>
  <r>
    <s v="DEAL-02436"/>
    <x v="7"/>
    <s v="CLI-0197"/>
    <x v="4"/>
    <x v="4"/>
    <x v="5"/>
    <n v="223630"/>
    <d v="2024-12-08T00:00:00"/>
    <m/>
    <m/>
    <n v="11.3"/>
    <x v="0"/>
    <x v="3"/>
    <s v="Normal"/>
  </r>
  <r>
    <s v="DEAL-00598"/>
    <x v="0"/>
    <s v="CLI-0296"/>
    <x v="4"/>
    <x v="4"/>
    <x v="5"/>
    <n v="165039"/>
    <d v="2023-12-22T00:00:00"/>
    <m/>
    <m/>
    <n v="4.5999999999999996"/>
    <x v="3"/>
    <x v="0"/>
    <s v="Normal"/>
  </r>
  <r>
    <s v="DEAL-02164"/>
    <x v="9"/>
    <s v="CLI-0280"/>
    <x v="1"/>
    <x v="5"/>
    <x v="1"/>
    <n v="323641"/>
    <d v="2025-03-05T00:00:00"/>
    <m/>
    <m/>
    <n v="8.1999999999999993"/>
    <x v="0"/>
    <x v="4"/>
    <s v="Normal"/>
  </r>
  <r>
    <s v="DEAL-01234"/>
    <x v="13"/>
    <s v="CLI-0225"/>
    <x v="2"/>
    <x v="5"/>
    <x v="4"/>
    <n v="1419993"/>
    <d v="2025-03-16T00:00:00"/>
    <m/>
    <m/>
    <n v="4.4000000000000004"/>
    <x v="2"/>
    <x v="4"/>
    <s v="High Outlier"/>
  </r>
  <r>
    <s v="DEAL-00814"/>
    <x v="14"/>
    <s v="CLI-0220"/>
    <x v="3"/>
    <x v="0"/>
    <x v="3"/>
    <n v="56862"/>
    <d v="2024-10-01T00:00:00"/>
    <d v="2025-02-06T00:00:00"/>
    <n v="128"/>
    <n v="18"/>
    <x v="3"/>
    <x v="3"/>
    <s v="Normal"/>
  </r>
  <r>
    <s v="DEAL-00339"/>
    <x v="11"/>
    <s v="CLI-0177"/>
    <x v="0"/>
    <x v="1"/>
    <x v="3"/>
    <n v="199469"/>
    <d v="2024-08-26T00:00:00"/>
    <d v="2025-01-23T00:00:00"/>
    <n v="150"/>
    <n v="6"/>
    <x v="2"/>
    <x v="8"/>
    <s v="Normal"/>
  </r>
  <r>
    <s v="DEAL-01445"/>
    <x v="4"/>
    <s v="CLI-0191"/>
    <x v="2"/>
    <x v="7"/>
    <x v="2"/>
    <n v="222577"/>
    <d v="2023-07-15T00:00:00"/>
    <m/>
    <m/>
    <n v="9"/>
    <x v="2"/>
    <x v="6"/>
    <s v="Normal"/>
  </r>
  <r>
    <s v="DEAL-01444"/>
    <x v="9"/>
    <s v="CLI-0065"/>
    <x v="0"/>
    <x v="6"/>
    <x v="3"/>
    <n v="320458"/>
    <d v="2025-03-12T00:00:00"/>
    <d v="2025-07-18T00:00:00"/>
    <n v="128"/>
    <n v="8.1"/>
    <x v="2"/>
    <x v="4"/>
    <s v="Normal"/>
  </r>
  <r>
    <s v="DEAL-00517"/>
    <x v="14"/>
    <s v="CLI-0045"/>
    <x v="1"/>
    <x v="4"/>
    <x v="5"/>
    <n v="252748"/>
    <d v="2023-04-03T00:00:00"/>
    <m/>
    <m/>
    <m/>
    <x v="2"/>
    <x v="1"/>
    <s v="Normal"/>
  </r>
  <r>
    <s v="DEAL-01424"/>
    <x v="14"/>
    <s v="CLI-0100"/>
    <x v="0"/>
    <x v="0"/>
    <x v="1"/>
    <n v="468672"/>
    <d v="2023-10-24T00:00:00"/>
    <m/>
    <m/>
    <n v="0.2"/>
    <x v="1"/>
    <x v="0"/>
    <s v="Normal"/>
  </r>
  <r>
    <s v="DEAL-02352"/>
    <x v="6"/>
    <s v="CLI-0149"/>
    <x v="5"/>
    <x v="7"/>
    <x v="2"/>
    <n v="365115"/>
    <d v="2024-08-22T00:00:00"/>
    <m/>
    <m/>
    <n v="8.4"/>
    <x v="0"/>
    <x v="8"/>
    <s v="Normal"/>
  </r>
  <r>
    <s v="DEAL-00626"/>
    <x v="1"/>
    <s v="CLI-0148"/>
    <x v="3"/>
    <x v="4"/>
    <x v="2"/>
    <n v="103014"/>
    <d v="2023-09-16T00:00:00"/>
    <m/>
    <m/>
    <m/>
    <x v="0"/>
    <x v="6"/>
    <s v="Normal"/>
  </r>
  <r>
    <s v="DEAL-01196"/>
    <x v="11"/>
    <s v="CLI-0048"/>
    <x v="1"/>
    <x v="0"/>
    <x v="4"/>
    <n v="72254"/>
    <d v="2025-01-10T00:00:00"/>
    <m/>
    <m/>
    <n v="12.5"/>
    <x v="3"/>
    <x v="4"/>
    <s v="Normal"/>
  </r>
  <r>
    <s v="DEAL-02023"/>
    <x v="14"/>
    <s v="CLI-0174"/>
    <x v="0"/>
    <x v="1"/>
    <x v="2"/>
    <n v="385572"/>
    <d v="2024-07-07T00:00:00"/>
    <m/>
    <m/>
    <n v="0.1"/>
    <x v="3"/>
    <x v="8"/>
    <s v="Normal"/>
  </r>
  <r>
    <s v="DEAL-00615"/>
    <x v="7"/>
    <s v="CLI-0203"/>
    <x v="0"/>
    <x v="5"/>
    <x v="2"/>
    <n v="374713"/>
    <d v="2023-04-06T00:00:00"/>
    <m/>
    <m/>
    <n v="1.4"/>
    <x v="0"/>
    <x v="1"/>
    <s v="Normal"/>
  </r>
  <r>
    <s v="DEAL-00736"/>
    <x v="5"/>
    <s v="CLI-0220"/>
    <x v="0"/>
    <x v="5"/>
    <x v="3"/>
    <n v="325072"/>
    <d v="2024-11-30T00:00:00"/>
    <d v="2025-03-21T00:00:00"/>
    <n v="111"/>
    <n v="10.1"/>
    <x v="1"/>
    <x v="3"/>
    <s v="Normal"/>
  </r>
  <r>
    <s v="DEAL-00207"/>
    <x v="14"/>
    <s v="CLI-0188"/>
    <x v="1"/>
    <x v="6"/>
    <x v="3"/>
    <n v="471884"/>
    <d v="2023-02-07T00:00:00"/>
    <d v="2023-07-09T00:00:00"/>
    <n v="152"/>
    <n v="18.100000000000001"/>
    <x v="1"/>
    <x v="2"/>
    <s v="Normal"/>
  </r>
  <r>
    <s v="DEAL-00921"/>
    <x v="7"/>
    <s v="CLI-0241"/>
    <x v="2"/>
    <x v="4"/>
    <x v="4"/>
    <n v="25981"/>
    <d v="2023-04-21T00:00:00"/>
    <m/>
    <m/>
    <n v="14.6"/>
    <x v="0"/>
    <x v="1"/>
    <s v="Normal"/>
  </r>
  <r>
    <s v="DEAL-00199"/>
    <x v="2"/>
    <s v="CLI-0277"/>
    <x v="3"/>
    <x v="3"/>
    <x v="0"/>
    <n v="198107"/>
    <d v="2024-01-01T00:00:00"/>
    <d v="2024-02-25T00:00:00"/>
    <n v="55"/>
    <n v="12.9"/>
    <x v="3"/>
    <x v="5"/>
    <s v="Normal"/>
  </r>
  <r>
    <s v="DEAL-02429"/>
    <x v="2"/>
    <s v="CLI-0217"/>
    <x v="4"/>
    <x v="7"/>
    <x v="2"/>
    <n v="446198"/>
    <d v="2025-03-17T00:00:00"/>
    <m/>
    <m/>
    <n v="7"/>
    <x v="3"/>
    <x v="4"/>
    <s v="Normal"/>
  </r>
  <r>
    <s v="DEAL-02386"/>
    <x v="0"/>
    <s v="CLI-0237"/>
    <x v="0"/>
    <x v="2"/>
    <x v="2"/>
    <n v="197213"/>
    <d v="2023-12-05T00:00:00"/>
    <m/>
    <m/>
    <m/>
    <x v="2"/>
    <x v="0"/>
    <s v="Normal"/>
  </r>
  <r>
    <s v="DEAL-01284"/>
    <x v="6"/>
    <s v="CLI-0203"/>
    <x v="5"/>
    <x v="3"/>
    <x v="2"/>
    <n v="255162"/>
    <d v="2024-06-12T00:00:00"/>
    <m/>
    <m/>
    <n v="6.5"/>
    <x v="3"/>
    <x v="7"/>
    <s v="Normal"/>
  </r>
  <r>
    <s v="DEAL-01224"/>
    <x v="4"/>
    <s v="CLI-0111"/>
    <x v="3"/>
    <x v="7"/>
    <x v="5"/>
    <n v="363231"/>
    <d v="2024-07-16T00:00:00"/>
    <m/>
    <m/>
    <n v="5.5"/>
    <x v="3"/>
    <x v="8"/>
    <s v="Normal"/>
  </r>
  <r>
    <s v="DEAL-01413"/>
    <x v="10"/>
    <s v="CLI-0077"/>
    <x v="1"/>
    <x v="7"/>
    <x v="3"/>
    <n v="116637"/>
    <d v="2024-04-05T00:00:00"/>
    <d v="2024-07-02T00:00:00"/>
    <n v="88"/>
    <n v="24.9"/>
    <x v="1"/>
    <x v="7"/>
    <s v="Normal"/>
  </r>
  <r>
    <s v="DEAL-00600"/>
    <x v="11"/>
    <s v="CLI-0075"/>
    <x v="0"/>
    <x v="5"/>
    <x v="4"/>
    <n v="96840"/>
    <d v="2024-09-25T00:00:00"/>
    <m/>
    <m/>
    <n v="3.4"/>
    <x v="1"/>
    <x v="8"/>
    <s v="Normal"/>
  </r>
  <r>
    <s v="DEAL-00551"/>
    <x v="14"/>
    <s v="CLI-0186"/>
    <x v="0"/>
    <x v="5"/>
    <x v="2"/>
    <n v="478947"/>
    <d v="2024-08-14T00:00:00"/>
    <m/>
    <m/>
    <m/>
    <x v="0"/>
    <x v="8"/>
    <s v="Normal"/>
  </r>
  <r>
    <s v="DEAL-01387"/>
    <x v="7"/>
    <s v="CLI-0293"/>
    <x v="2"/>
    <x v="7"/>
    <x v="5"/>
    <n v="251317"/>
    <d v="2024-01-10T00:00:00"/>
    <m/>
    <m/>
    <m/>
    <x v="2"/>
    <x v="5"/>
    <s v="Normal"/>
  </r>
  <r>
    <s v="DEAL-01178"/>
    <x v="9"/>
    <s v="CLI-0282"/>
    <x v="2"/>
    <x v="2"/>
    <x v="3"/>
    <n v="99042"/>
    <d v="2023-06-05T00:00:00"/>
    <d v="2023-06-28T00:00:00"/>
    <n v="23"/>
    <n v="8.4"/>
    <x v="1"/>
    <x v="1"/>
    <s v="Normal"/>
  </r>
  <r>
    <s v="DEAL-02252"/>
    <x v="11"/>
    <s v="CLI-0091"/>
    <x v="3"/>
    <x v="3"/>
    <x v="3"/>
    <n v="307976"/>
    <d v="2023-02-22T00:00:00"/>
    <d v="2023-07-08T00:00:00"/>
    <n v="136"/>
    <n v="21"/>
    <x v="0"/>
    <x v="2"/>
    <s v="Normal"/>
  </r>
  <r>
    <s v="DEAL-02259"/>
    <x v="10"/>
    <s v="CLI-0074"/>
    <x v="3"/>
    <x v="0"/>
    <x v="2"/>
    <n v="336120"/>
    <d v="2024-02-07T00:00:00"/>
    <m/>
    <m/>
    <m/>
    <x v="0"/>
    <x v="5"/>
    <s v="Normal"/>
  </r>
  <r>
    <s v="DEAL-02462"/>
    <x v="6"/>
    <s v="CLI-0147"/>
    <x v="4"/>
    <x v="4"/>
    <x v="2"/>
    <n v="331117"/>
    <d v="2023-07-24T00:00:00"/>
    <m/>
    <m/>
    <n v="7.7"/>
    <x v="3"/>
    <x v="6"/>
    <s v="Normal"/>
  </r>
  <r>
    <s v="DEAL-00957"/>
    <x v="7"/>
    <s v="CLI-0020"/>
    <x v="3"/>
    <x v="5"/>
    <x v="4"/>
    <n v="89773"/>
    <d v="2025-02-19T00:00:00"/>
    <m/>
    <m/>
    <n v="12"/>
    <x v="0"/>
    <x v="4"/>
    <s v="Normal"/>
  </r>
  <r>
    <s v="DEAL-02070"/>
    <x v="10"/>
    <s v="CLI-0152"/>
    <x v="2"/>
    <x v="2"/>
    <x v="3"/>
    <n v="310047"/>
    <d v="2024-11-13T00:00:00"/>
    <d v="2025-01-26T00:00:00"/>
    <n v="74"/>
    <n v="4.5"/>
    <x v="3"/>
    <x v="3"/>
    <s v="Normal"/>
  </r>
  <r>
    <s v="DEAL-02056"/>
    <x v="8"/>
    <s v="CLI-0251"/>
    <x v="5"/>
    <x v="3"/>
    <x v="0"/>
    <n v="1744701"/>
    <d v="2023-07-31T00:00:00"/>
    <d v="2023-09-14T00:00:00"/>
    <n v="45"/>
    <n v="11"/>
    <x v="1"/>
    <x v="6"/>
    <s v="High Outlier"/>
  </r>
  <r>
    <s v="DEAL-00627"/>
    <x v="3"/>
    <s v="CLI-0126"/>
    <x v="2"/>
    <x v="8"/>
    <x v="5"/>
    <n v="20695"/>
    <d v="2023-03-04T00:00:00"/>
    <m/>
    <m/>
    <m/>
    <x v="2"/>
    <x v="2"/>
    <s v="Normal"/>
  </r>
  <r>
    <s v="DEAL-02393"/>
    <x v="2"/>
    <s v="CLI-0090"/>
    <x v="0"/>
    <x v="4"/>
    <x v="2"/>
    <n v="390228"/>
    <d v="2024-08-19T00:00:00"/>
    <m/>
    <m/>
    <n v="1"/>
    <x v="2"/>
    <x v="8"/>
    <s v="Normal"/>
  </r>
  <r>
    <s v="DEAL-00458"/>
    <x v="1"/>
    <s v="CLI-0239"/>
    <x v="2"/>
    <x v="3"/>
    <x v="0"/>
    <n v="211674"/>
    <d v="2023-08-18T00:00:00"/>
    <d v="2023-10-24T00:00:00"/>
    <n v="67"/>
    <n v="9.9"/>
    <x v="2"/>
    <x v="6"/>
    <s v="Normal"/>
  </r>
  <r>
    <s v="DEAL-01742"/>
    <x v="11"/>
    <s v="CLI-0003"/>
    <x v="1"/>
    <x v="2"/>
    <x v="5"/>
    <n v="24372"/>
    <d v="2023-02-13T00:00:00"/>
    <m/>
    <m/>
    <n v="3.4"/>
    <x v="1"/>
    <x v="2"/>
    <s v="Normal"/>
  </r>
  <r>
    <s v="DEAL-00129"/>
    <x v="11"/>
    <s v="CLI-0131"/>
    <x v="4"/>
    <x v="6"/>
    <x v="1"/>
    <n v="224675"/>
    <d v="2023-10-07T00:00:00"/>
    <m/>
    <m/>
    <n v="6.2"/>
    <x v="1"/>
    <x v="0"/>
    <s v="Normal"/>
  </r>
  <r>
    <s v="DEAL-01341"/>
    <x v="5"/>
    <s v="CLI-0126"/>
    <x v="1"/>
    <x v="0"/>
    <x v="5"/>
    <n v="230842"/>
    <d v="2024-05-12T00:00:00"/>
    <m/>
    <m/>
    <n v="12.1"/>
    <x v="1"/>
    <x v="7"/>
    <s v="Normal"/>
  </r>
  <r>
    <s v="DEAL-01758"/>
    <x v="11"/>
    <s v="CLI-0242"/>
    <x v="3"/>
    <x v="3"/>
    <x v="3"/>
    <n v="128695"/>
    <d v="2024-06-30T00:00:00"/>
    <d v="2024-12-27T00:00:00"/>
    <n v="180"/>
    <n v="7.4"/>
    <x v="2"/>
    <x v="7"/>
    <s v="Normal"/>
  </r>
  <r>
    <s v="DEAL-00250"/>
    <x v="7"/>
    <s v="CLI-0117"/>
    <x v="3"/>
    <x v="6"/>
    <x v="3"/>
    <n v="348203"/>
    <d v="2024-01-19T00:00:00"/>
    <d v="2024-06-09T00:00:00"/>
    <n v="142"/>
    <n v="4.5"/>
    <x v="2"/>
    <x v="5"/>
    <s v="Normal"/>
  </r>
  <r>
    <s v="DEAL-00870"/>
    <x v="11"/>
    <s v="CLI-0004"/>
    <x v="1"/>
    <x v="5"/>
    <x v="2"/>
    <n v="327507"/>
    <d v="2025-01-23T00:00:00"/>
    <m/>
    <m/>
    <n v="9.1"/>
    <x v="3"/>
    <x v="4"/>
    <s v="Normal"/>
  </r>
  <r>
    <s v="DEAL-02337"/>
    <x v="8"/>
    <s v="CLI-0130"/>
    <x v="0"/>
    <x v="0"/>
    <x v="5"/>
    <n v="468580"/>
    <d v="2023-06-23T00:00:00"/>
    <m/>
    <m/>
    <m/>
    <x v="3"/>
    <x v="1"/>
    <s v="Normal"/>
  </r>
  <r>
    <s v="DEAL-01426"/>
    <x v="3"/>
    <s v="CLI-0137"/>
    <x v="3"/>
    <x v="6"/>
    <x v="5"/>
    <n v="226296"/>
    <d v="2023-04-17T00:00:00"/>
    <m/>
    <m/>
    <m/>
    <x v="3"/>
    <x v="1"/>
    <s v="Normal"/>
  </r>
  <r>
    <s v="DEAL-01866"/>
    <x v="10"/>
    <s v="CLI-0258"/>
    <x v="0"/>
    <x v="3"/>
    <x v="5"/>
    <n v="327702"/>
    <d v="2024-08-09T00:00:00"/>
    <m/>
    <m/>
    <n v="14.5"/>
    <x v="2"/>
    <x v="8"/>
    <s v="Normal"/>
  </r>
  <r>
    <s v="DEAL-02233"/>
    <x v="3"/>
    <s v="CLI-0204"/>
    <x v="5"/>
    <x v="7"/>
    <x v="0"/>
    <n v="105930"/>
    <d v="2023-05-17T00:00:00"/>
    <d v="2023-07-20T00:00:00"/>
    <n v="64"/>
    <m/>
    <x v="2"/>
    <x v="1"/>
    <s v="Normal"/>
  </r>
  <r>
    <s v="DEAL-01695"/>
    <x v="7"/>
    <s v="CLI-0040"/>
    <x v="2"/>
    <x v="0"/>
    <x v="3"/>
    <n v="174665"/>
    <d v="2023-05-29T00:00:00"/>
    <d v="2023-10-28T00:00:00"/>
    <n v="152"/>
    <n v="9.3000000000000007"/>
    <x v="3"/>
    <x v="1"/>
    <s v="Normal"/>
  </r>
  <r>
    <s v="DEAL-01881"/>
    <x v="0"/>
    <s v="CLI-0268"/>
    <x v="1"/>
    <x v="0"/>
    <x v="5"/>
    <n v="343024"/>
    <d v="2023-03-16T00:00:00"/>
    <m/>
    <m/>
    <m/>
    <x v="0"/>
    <x v="2"/>
    <s v="Normal"/>
  </r>
  <r>
    <s v="DEAL-01511"/>
    <x v="11"/>
    <s v="CLI-0110"/>
    <x v="2"/>
    <x v="7"/>
    <x v="5"/>
    <n v="194687"/>
    <d v="2023-07-21T00:00:00"/>
    <m/>
    <m/>
    <n v="0.6"/>
    <x v="3"/>
    <x v="6"/>
    <s v="Normal"/>
  </r>
  <r>
    <s v="DEAL-00543"/>
    <x v="8"/>
    <s v="CLI-0071"/>
    <x v="0"/>
    <x v="1"/>
    <x v="3"/>
    <n v="89575"/>
    <d v="2025-01-30T00:00:00"/>
    <d v="2025-06-21T00:00:00"/>
    <n v="142"/>
    <n v="17.399999999999999"/>
    <x v="0"/>
    <x v="4"/>
    <s v="Normal"/>
  </r>
  <r>
    <s v="DEAL-01552"/>
    <x v="2"/>
    <s v="CLI-0160"/>
    <x v="1"/>
    <x v="6"/>
    <x v="5"/>
    <n v="268446"/>
    <d v="2024-01-06T00:00:00"/>
    <m/>
    <m/>
    <m/>
    <x v="2"/>
    <x v="5"/>
    <s v="Normal"/>
  </r>
  <r>
    <s v="DEAL-00860"/>
    <x v="8"/>
    <s v="CLI-0092"/>
    <x v="4"/>
    <x v="0"/>
    <x v="4"/>
    <n v="48973"/>
    <d v="2024-07-12T00:00:00"/>
    <m/>
    <m/>
    <m/>
    <x v="3"/>
    <x v="8"/>
    <s v="Normal"/>
  </r>
  <r>
    <s v="DEAL-00883"/>
    <x v="0"/>
    <s v="CLI-0088"/>
    <x v="2"/>
    <x v="1"/>
    <x v="1"/>
    <n v="335462"/>
    <d v="2023-06-03T00:00:00"/>
    <m/>
    <m/>
    <n v="10.5"/>
    <x v="3"/>
    <x v="1"/>
    <s v="Normal"/>
  </r>
  <r>
    <s v="DEAL-02332"/>
    <x v="9"/>
    <s v="CLI-0221"/>
    <x v="3"/>
    <x v="5"/>
    <x v="0"/>
    <n v="452376"/>
    <d v="2023-02-17T00:00:00"/>
    <d v="2023-08-10T00:00:00"/>
    <n v="174"/>
    <n v="14.9"/>
    <x v="3"/>
    <x v="2"/>
    <s v="Normal"/>
  </r>
  <r>
    <s v="DEAL-02092"/>
    <x v="7"/>
    <s v="CLI-0026"/>
    <x v="1"/>
    <x v="3"/>
    <x v="0"/>
    <n v="470136"/>
    <d v="2023-05-13T00:00:00"/>
    <d v="2023-09-27T00:00:00"/>
    <n v="137"/>
    <m/>
    <x v="3"/>
    <x v="1"/>
    <s v="Normal"/>
  </r>
  <r>
    <s v="DEAL-01900"/>
    <x v="12"/>
    <s v="CLI-0275"/>
    <x v="2"/>
    <x v="4"/>
    <x v="3"/>
    <n v="482126"/>
    <d v="2023-01-05T00:00:00"/>
    <d v="2023-06-04T00:00:00"/>
    <n v="150"/>
    <n v="12.4"/>
    <x v="3"/>
    <x v="2"/>
    <s v="Normal"/>
  </r>
  <r>
    <s v="DEAL-00193"/>
    <x v="6"/>
    <s v="CLI-0116"/>
    <x v="3"/>
    <x v="4"/>
    <x v="2"/>
    <n v="252968"/>
    <d v="2024-03-08T00:00:00"/>
    <m/>
    <m/>
    <m/>
    <x v="1"/>
    <x v="5"/>
    <s v="Normal"/>
  </r>
  <r>
    <s v="DEAL-01124"/>
    <x v="5"/>
    <s v="CLI-0219"/>
    <x v="2"/>
    <x v="7"/>
    <x v="3"/>
    <n v="84826"/>
    <d v="2024-02-26T00:00:00"/>
    <d v="2024-06-28T00:00:00"/>
    <n v="123"/>
    <n v="24.9"/>
    <x v="3"/>
    <x v="5"/>
    <s v="Normal"/>
  </r>
  <r>
    <s v="DEAL-00155"/>
    <x v="12"/>
    <s v="CLI-0270"/>
    <x v="5"/>
    <x v="0"/>
    <x v="2"/>
    <n v="34920"/>
    <d v="2024-08-10T00:00:00"/>
    <m/>
    <m/>
    <m/>
    <x v="3"/>
    <x v="8"/>
    <s v="Normal"/>
  </r>
  <r>
    <s v="DEAL-02130"/>
    <x v="12"/>
    <s v="CLI-0182"/>
    <x v="3"/>
    <x v="3"/>
    <x v="1"/>
    <n v="89128"/>
    <d v="2024-12-02T00:00:00"/>
    <m/>
    <m/>
    <n v="7.7"/>
    <x v="0"/>
    <x v="3"/>
    <s v="Normal"/>
  </r>
  <r>
    <s v="DEAL-02227"/>
    <x v="8"/>
    <s v="CLI-0104"/>
    <x v="4"/>
    <x v="2"/>
    <x v="1"/>
    <n v="138833"/>
    <d v="2025-02-16T00:00:00"/>
    <m/>
    <m/>
    <m/>
    <x v="1"/>
    <x v="4"/>
    <s v="Normal"/>
  </r>
  <r>
    <s v="DEAL-01154"/>
    <x v="0"/>
    <s v="CLI-0078"/>
    <x v="3"/>
    <x v="1"/>
    <x v="3"/>
    <n v="455079"/>
    <d v="2025-03-04T00:00:00"/>
    <d v="2025-04-08T00:00:00"/>
    <n v="35"/>
    <n v="15.2"/>
    <x v="0"/>
    <x v="4"/>
    <s v="Normal"/>
  </r>
  <r>
    <s v="DEAL-00887"/>
    <x v="11"/>
    <s v="CLI-0222"/>
    <x v="1"/>
    <x v="7"/>
    <x v="5"/>
    <n v="188014"/>
    <d v="2024-03-08T00:00:00"/>
    <m/>
    <m/>
    <n v="14.5"/>
    <x v="2"/>
    <x v="5"/>
    <s v="Normal"/>
  </r>
  <r>
    <s v="DEAL-00014"/>
    <x v="10"/>
    <s v="CLI-0114"/>
    <x v="3"/>
    <x v="4"/>
    <x v="5"/>
    <n v="245606"/>
    <d v="2023-09-27T00:00:00"/>
    <m/>
    <m/>
    <n v="8.1"/>
    <x v="0"/>
    <x v="6"/>
    <s v="Normal"/>
  </r>
  <r>
    <s v="DEAL-01760"/>
    <x v="6"/>
    <s v="CLI-0292"/>
    <x v="3"/>
    <x v="1"/>
    <x v="2"/>
    <n v="90630"/>
    <d v="2023-08-15T00:00:00"/>
    <m/>
    <m/>
    <n v="6.2"/>
    <x v="3"/>
    <x v="6"/>
    <s v="Normal"/>
  </r>
  <r>
    <s v="DEAL-00539"/>
    <x v="10"/>
    <s v="CLI-0210"/>
    <x v="2"/>
    <x v="6"/>
    <x v="1"/>
    <n v="401520"/>
    <d v="2024-10-30T00:00:00"/>
    <m/>
    <m/>
    <m/>
    <x v="0"/>
    <x v="3"/>
    <s v="Normal"/>
  </r>
  <r>
    <s v="DEAL-02334"/>
    <x v="2"/>
    <s v="CLI-0270"/>
    <x v="5"/>
    <x v="0"/>
    <x v="4"/>
    <n v="395890"/>
    <d v="2023-07-11T00:00:00"/>
    <m/>
    <m/>
    <n v="10.7"/>
    <x v="2"/>
    <x v="6"/>
    <s v="Normal"/>
  </r>
  <r>
    <s v="DEAL-01348"/>
    <x v="11"/>
    <s v="CLI-0070"/>
    <x v="1"/>
    <x v="4"/>
    <x v="3"/>
    <n v="322078"/>
    <d v="2024-10-06T00:00:00"/>
    <d v="2025-01-18T00:00:00"/>
    <n v="104"/>
    <n v="7.1"/>
    <x v="2"/>
    <x v="3"/>
    <s v="Normal"/>
  </r>
  <r>
    <s v="DEAL-00064"/>
    <x v="5"/>
    <s v="CLI-0203"/>
    <x v="5"/>
    <x v="4"/>
    <x v="4"/>
    <n v="193667"/>
    <d v="2023-10-05T00:00:00"/>
    <m/>
    <m/>
    <n v="2.1"/>
    <x v="2"/>
    <x v="0"/>
    <s v="Normal"/>
  </r>
  <r>
    <s v="DEAL-01741"/>
    <x v="9"/>
    <s v="CLI-0003"/>
    <x v="4"/>
    <x v="1"/>
    <x v="4"/>
    <n v="242818"/>
    <d v="2023-11-06T00:00:00"/>
    <m/>
    <m/>
    <n v="14.6"/>
    <x v="3"/>
    <x v="0"/>
    <s v="Normal"/>
  </r>
  <r>
    <s v="DEAL-00555"/>
    <x v="0"/>
    <s v="CLI-0221"/>
    <x v="3"/>
    <x v="7"/>
    <x v="1"/>
    <n v="346611"/>
    <d v="2024-04-14T00:00:00"/>
    <m/>
    <m/>
    <n v="13.5"/>
    <x v="1"/>
    <x v="7"/>
    <s v="Normal"/>
  </r>
  <r>
    <s v="DEAL-01163"/>
    <x v="13"/>
    <s v="CLI-0200"/>
    <x v="5"/>
    <x v="0"/>
    <x v="5"/>
    <n v="105268"/>
    <d v="2023-06-12T00:00:00"/>
    <m/>
    <m/>
    <n v="8.1999999999999993"/>
    <x v="0"/>
    <x v="1"/>
    <s v="Normal"/>
  </r>
  <r>
    <s v="DEAL-00377"/>
    <x v="1"/>
    <s v="CLI-0257"/>
    <x v="4"/>
    <x v="4"/>
    <x v="4"/>
    <n v="66805"/>
    <d v="2024-02-11T00:00:00"/>
    <m/>
    <m/>
    <m/>
    <x v="2"/>
    <x v="5"/>
    <s v="Normal"/>
  </r>
  <r>
    <s v="DEAL-01583"/>
    <x v="11"/>
    <s v="CLI-0266"/>
    <x v="1"/>
    <x v="7"/>
    <x v="3"/>
    <n v="234610"/>
    <d v="2023-02-17T00:00:00"/>
    <d v="2023-03-14T00:00:00"/>
    <n v="25"/>
    <n v="3.2"/>
    <x v="2"/>
    <x v="2"/>
    <s v="Normal"/>
  </r>
  <r>
    <s v="DEAL-02129"/>
    <x v="6"/>
    <s v="CLI-0144"/>
    <x v="1"/>
    <x v="7"/>
    <x v="0"/>
    <n v="148395"/>
    <d v="2024-02-29T00:00:00"/>
    <d v="2024-05-11T00:00:00"/>
    <n v="72"/>
    <n v="0.5"/>
    <x v="2"/>
    <x v="5"/>
    <s v="Normal"/>
  </r>
  <r>
    <s v="DEAL-00493"/>
    <x v="15"/>
    <s v="CLI-0224"/>
    <x v="4"/>
    <x v="7"/>
    <x v="3"/>
    <n v="436243"/>
    <d v="2024-11-02T00:00:00"/>
    <d v="2025-02-27T00:00:00"/>
    <n v="117"/>
    <n v="18.5"/>
    <x v="2"/>
    <x v="3"/>
    <s v="Normal"/>
  </r>
  <r>
    <s v="DEAL-00145"/>
    <x v="10"/>
    <s v="CLI-0051"/>
    <x v="4"/>
    <x v="1"/>
    <x v="0"/>
    <n v="187540"/>
    <d v="2024-02-18T00:00:00"/>
    <d v="2024-04-04T00:00:00"/>
    <n v="46"/>
    <n v="6.4"/>
    <x v="2"/>
    <x v="5"/>
    <s v="Normal"/>
  </r>
  <r>
    <s v="DEAL-01310"/>
    <x v="4"/>
    <s v="CLI-0008"/>
    <x v="0"/>
    <x v="2"/>
    <x v="2"/>
    <n v="438009"/>
    <d v="2023-03-02T00:00:00"/>
    <m/>
    <m/>
    <n v="3.7"/>
    <x v="0"/>
    <x v="2"/>
    <s v="Normal"/>
  </r>
  <r>
    <s v="DEAL-00136"/>
    <x v="9"/>
    <s v="CLI-0070"/>
    <x v="2"/>
    <x v="1"/>
    <x v="2"/>
    <n v="200090"/>
    <d v="2024-03-28T00:00:00"/>
    <m/>
    <m/>
    <n v="13.3"/>
    <x v="2"/>
    <x v="5"/>
    <s v="Normal"/>
  </r>
  <r>
    <s v="DEAL-00855"/>
    <x v="7"/>
    <s v="CLI-0273"/>
    <x v="4"/>
    <x v="1"/>
    <x v="4"/>
    <n v="156695"/>
    <d v="2024-05-22T00:00:00"/>
    <m/>
    <m/>
    <n v="6.6"/>
    <x v="0"/>
    <x v="7"/>
    <s v="Normal"/>
  </r>
  <r>
    <s v="DEAL-02204"/>
    <x v="0"/>
    <s v="CLI-0125"/>
    <x v="3"/>
    <x v="4"/>
    <x v="1"/>
    <n v="327889"/>
    <d v="2023-07-30T00:00:00"/>
    <m/>
    <m/>
    <n v="3.6"/>
    <x v="3"/>
    <x v="6"/>
    <s v="Normal"/>
  </r>
  <r>
    <s v="DEAL-01108"/>
    <x v="2"/>
    <s v="CLI-0199"/>
    <x v="4"/>
    <x v="4"/>
    <x v="5"/>
    <n v="147438"/>
    <d v="2023-03-01T00:00:00"/>
    <m/>
    <m/>
    <n v="5.8"/>
    <x v="1"/>
    <x v="2"/>
    <s v="Normal"/>
  </r>
  <r>
    <s v="DEAL-02394"/>
    <x v="2"/>
    <s v="CLI-0187"/>
    <x v="2"/>
    <x v="7"/>
    <x v="3"/>
    <n v="85696"/>
    <d v="2024-08-21T00:00:00"/>
    <d v="2024-09-06T00:00:00"/>
    <n v="16"/>
    <n v="1.8"/>
    <x v="2"/>
    <x v="8"/>
    <s v="Normal"/>
  </r>
  <r>
    <s v="DEAL-02365"/>
    <x v="9"/>
    <s v="CLI-0154"/>
    <x v="4"/>
    <x v="6"/>
    <x v="1"/>
    <n v="486983"/>
    <d v="2023-02-23T00:00:00"/>
    <m/>
    <m/>
    <n v="2.8"/>
    <x v="1"/>
    <x v="2"/>
    <s v="Normal"/>
  </r>
  <r>
    <s v="DEAL-00353"/>
    <x v="0"/>
    <s v="CLI-0080"/>
    <x v="5"/>
    <x v="7"/>
    <x v="3"/>
    <n v="74527"/>
    <d v="2023-02-15T00:00:00"/>
    <d v="2023-03-28T00:00:00"/>
    <n v="41"/>
    <n v="2.6"/>
    <x v="0"/>
    <x v="2"/>
    <s v="Normal"/>
  </r>
  <r>
    <s v="DEAL-01505"/>
    <x v="11"/>
    <s v="CLI-0212"/>
    <x v="3"/>
    <x v="6"/>
    <x v="3"/>
    <n v="415397"/>
    <d v="2024-07-10T00:00:00"/>
    <d v="2024-09-15T00:00:00"/>
    <n v="67"/>
    <n v="18.8"/>
    <x v="0"/>
    <x v="8"/>
    <s v="Normal"/>
  </r>
  <r>
    <s v="DEAL-01622"/>
    <x v="2"/>
    <s v="CLI-0296"/>
    <x v="4"/>
    <x v="0"/>
    <x v="1"/>
    <n v="409519"/>
    <d v="2024-08-25T00:00:00"/>
    <m/>
    <m/>
    <m/>
    <x v="0"/>
    <x v="8"/>
    <s v="Normal"/>
  </r>
  <r>
    <s v="DEAL-00262"/>
    <x v="1"/>
    <s v="CLI-0220"/>
    <x v="3"/>
    <x v="0"/>
    <x v="2"/>
    <n v="438813"/>
    <d v="2024-05-01T00:00:00"/>
    <m/>
    <m/>
    <n v="2.4"/>
    <x v="2"/>
    <x v="7"/>
    <s v="Normal"/>
  </r>
  <r>
    <s v="DEAL-00849"/>
    <x v="10"/>
    <s v="CLI-0188"/>
    <x v="2"/>
    <x v="4"/>
    <x v="0"/>
    <n v="483038"/>
    <d v="2024-09-16T00:00:00"/>
    <d v="2025-01-20T00:00:00"/>
    <n v="126"/>
    <n v="8.1999999999999993"/>
    <x v="1"/>
    <x v="8"/>
    <s v="Normal"/>
  </r>
  <r>
    <s v="DEAL-01504"/>
    <x v="12"/>
    <s v="CLI-0055"/>
    <x v="2"/>
    <x v="0"/>
    <x v="1"/>
    <n v="45317"/>
    <d v="2025-03-23T00:00:00"/>
    <m/>
    <m/>
    <m/>
    <x v="3"/>
    <x v="4"/>
    <s v="Normal"/>
  </r>
  <r>
    <s v="DEAL-01971"/>
    <x v="13"/>
    <s v="CLI-0244"/>
    <x v="4"/>
    <x v="2"/>
    <x v="1"/>
    <n v="301601"/>
    <d v="2023-04-16T00:00:00"/>
    <m/>
    <m/>
    <n v="1.9"/>
    <x v="2"/>
    <x v="1"/>
    <s v="Normal"/>
  </r>
  <r>
    <s v="DEAL-02434"/>
    <x v="5"/>
    <s v="CLI-0100"/>
    <x v="4"/>
    <x v="0"/>
    <x v="3"/>
    <n v="83149"/>
    <d v="2024-07-09T00:00:00"/>
    <d v="2024-11-15T00:00:00"/>
    <n v="129"/>
    <n v="24.7"/>
    <x v="0"/>
    <x v="8"/>
    <s v="Normal"/>
  </r>
  <r>
    <s v="DEAL-00858"/>
    <x v="4"/>
    <s v="CLI-0009"/>
    <x v="0"/>
    <x v="5"/>
    <x v="4"/>
    <n v="490153"/>
    <d v="2023-04-22T00:00:00"/>
    <m/>
    <m/>
    <n v="7"/>
    <x v="0"/>
    <x v="1"/>
    <s v="Normal"/>
  </r>
  <r>
    <s v="DEAL-01093"/>
    <x v="10"/>
    <s v="CLI-0041"/>
    <x v="0"/>
    <x v="3"/>
    <x v="2"/>
    <n v="345449"/>
    <d v="2024-07-03T00:00:00"/>
    <m/>
    <m/>
    <n v="13.1"/>
    <x v="0"/>
    <x v="8"/>
    <s v="Normal"/>
  </r>
  <r>
    <s v="DEAL-00203"/>
    <x v="14"/>
    <s v="CLI-0071"/>
    <x v="0"/>
    <x v="5"/>
    <x v="1"/>
    <n v="205263"/>
    <d v="2024-02-29T00:00:00"/>
    <m/>
    <m/>
    <n v="5.4"/>
    <x v="1"/>
    <x v="5"/>
    <s v="Normal"/>
  </r>
  <r>
    <s v="DEAL-00571"/>
    <x v="5"/>
    <s v="CLI-0061"/>
    <x v="2"/>
    <x v="8"/>
    <x v="3"/>
    <n v="221854"/>
    <d v="2024-02-23T00:00:00"/>
    <d v="2024-06-07T00:00:00"/>
    <n v="105"/>
    <n v="3.5"/>
    <x v="0"/>
    <x v="5"/>
    <s v="Normal"/>
  </r>
  <r>
    <s v="DEAL-00925"/>
    <x v="6"/>
    <s v="CLI-0034"/>
    <x v="4"/>
    <x v="1"/>
    <x v="5"/>
    <n v="285049"/>
    <d v="2023-05-22T00:00:00"/>
    <m/>
    <m/>
    <n v="10.5"/>
    <x v="3"/>
    <x v="1"/>
    <s v="Normal"/>
  </r>
  <r>
    <s v="DEAL-01099"/>
    <x v="8"/>
    <s v="CLI-0144"/>
    <x v="5"/>
    <x v="6"/>
    <x v="3"/>
    <n v="110850"/>
    <d v="2025-01-27T00:00:00"/>
    <d v="2025-02-11T00:00:00"/>
    <n v="15"/>
    <n v="20.399999999999999"/>
    <x v="1"/>
    <x v="4"/>
    <s v="Normal"/>
  </r>
  <r>
    <s v="DEAL-01086"/>
    <x v="2"/>
    <s v="CLI-0095"/>
    <x v="0"/>
    <x v="3"/>
    <x v="4"/>
    <n v="291312"/>
    <d v="2024-01-11T00:00:00"/>
    <m/>
    <m/>
    <m/>
    <x v="2"/>
    <x v="5"/>
    <s v="Normal"/>
  </r>
  <r>
    <s v="DEAL-00362"/>
    <x v="9"/>
    <s v="CLI-0159"/>
    <x v="1"/>
    <x v="3"/>
    <x v="3"/>
    <n v="232669"/>
    <d v="2024-12-19T00:00:00"/>
    <d v="2025-01-30T00:00:00"/>
    <n v="42"/>
    <n v="1.8"/>
    <x v="1"/>
    <x v="3"/>
    <s v="Normal"/>
  </r>
  <r>
    <s v="DEAL-01888"/>
    <x v="6"/>
    <s v="CLI-0027"/>
    <x v="3"/>
    <x v="2"/>
    <x v="0"/>
    <n v="90296"/>
    <d v="2023-06-08T00:00:00"/>
    <d v="2023-10-03T00:00:00"/>
    <n v="117"/>
    <m/>
    <x v="1"/>
    <x v="1"/>
    <s v="Normal"/>
  </r>
  <r>
    <s v="DEAL-02007"/>
    <x v="4"/>
    <s v="CLI-0225"/>
    <x v="3"/>
    <x v="2"/>
    <x v="1"/>
    <n v="227492"/>
    <d v="2025-02-28T00:00:00"/>
    <m/>
    <m/>
    <n v="10.6"/>
    <x v="3"/>
    <x v="4"/>
    <s v="Normal"/>
  </r>
  <r>
    <s v="DEAL-00290"/>
    <x v="9"/>
    <s v="CLI-0169"/>
    <x v="0"/>
    <x v="5"/>
    <x v="3"/>
    <n v="113819"/>
    <d v="2024-05-29T00:00:00"/>
    <d v="2024-07-11T00:00:00"/>
    <n v="43"/>
    <n v="20.399999999999999"/>
    <x v="1"/>
    <x v="7"/>
    <s v="Normal"/>
  </r>
  <r>
    <s v="DEAL-00196"/>
    <x v="5"/>
    <s v="CLI-0299"/>
    <x v="5"/>
    <x v="4"/>
    <x v="2"/>
    <n v="349896"/>
    <d v="2024-04-29T00:00:00"/>
    <m/>
    <m/>
    <n v="1.8"/>
    <x v="2"/>
    <x v="7"/>
    <s v="Normal"/>
  </r>
  <r>
    <s v="DEAL-01704"/>
    <x v="2"/>
    <s v="CLI-0191"/>
    <x v="2"/>
    <x v="7"/>
    <x v="0"/>
    <n v="128861"/>
    <d v="2024-11-19T00:00:00"/>
    <d v="2025-01-30T00:00:00"/>
    <n v="72"/>
    <n v="10.7"/>
    <x v="0"/>
    <x v="3"/>
    <s v="Normal"/>
  </r>
  <r>
    <s v="DEAL-00195"/>
    <x v="5"/>
    <s v="CLI-0114"/>
    <x v="0"/>
    <x v="3"/>
    <x v="5"/>
    <n v="264856"/>
    <d v="2025-01-12T00:00:00"/>
    <m/>
    <m/>
    <n v="9.1999999999999993"/>
    <x v="0"/>
    <x v="4"/>
    <s v="Normal"/>
  </r>
  <r>
    <s v="DEAL-01683"/>
    <x v="12"/>
    <s v="CLI-0206"/>
    <x v="2"/>
    <x v="6"/>
    <x v="0"/>
    <n v="264788"/>
    <d v="2023-12-21T00:00:00"/>
    <d v="2024-03-28T00:00:00"/>
    <n v="98"/>
    <m/>
    <x v="1"/>
    <x v="0"/>
    <s v="Normal"/>
  </r>
  <r>
    <s v="DEAL-01685"/>
    <x v="5"/>
    <s v="CLI-0123"/>
    <x v="4"/>
    <x v="4"/>
    <x v="5"/>
    <n v="90298"/>
    <d v="2023-12-24T00:00:00"/>
    <m/>
    <m/>
    <n v="6.1"/>
    <x v="1"/>
    <x v="0"/>
    <s v="Normal"/>
  </r>
  <r>
    <s v="DEAL-01545"/>
    <x v="10"/>
    <s v="CLI-0054"/>
    <x v="4"/>
    <x v="2"/>
    <x v="4"/>
    <n v="419316"/>
    <d v="2024-05-09T00:00:00"/>
    <m/>
    <m/>
    <m/>
    <x v="3"/>
    <x v="7"/>
    <s v="Normal"/>
  </r>
  <r>
    <s v="DEAL-01449"/>
    <x v="14"/>
    <s v="CLI-0220"/>
    <x v="1"/>
    <x v="7"/>
    <x v="5"/>
    <n v="62633"/>
    <d v="2024-07-30T00:00:00"/>
    <m/>
    <m/>
    <n v="8.1999999999999993"/>
    <x v="3"/>
    <x v="8"/>
    <s v="Normal"/>
  </r>
  <r>
    <s v="DEAL-01973"/>
    <x v="10"/>
    <s v="CLI-0058"/>
    <x v="0"/>
    <x v="1"/>
    <x v="3"/>
    <n v="422706"/>
    <d v="2024-07-08T00:00:00"/>
    <d v="2024-09-12T00:00:00"/>
    <n v="66"/>
    <n v="12.1"/>
    <x v="0"/>
    <x v="8"/>
    <s v="Normal"/>
  </r>
  <r>
    <s v="DEAL-00727"/>
    <x v="8"/>
    <s v="CLI-0143"/>
    <x v="2"/>
    <x v="5"/>
    <x v="4"/>
    <n v="388925"/>
    <d v="2024-10-15T00:00:00"/>
    <m/>
    <m/>
    <n v="3.7"/>
    <x v="2"/>
    <x v="3"/>
    <s v="Normal"/>
  </r>
  <r>
    <s v="DEAL-01114"/>
    <x v="0"/>
    <s v="CLI-0193"/>
    <x v="5"/>
    <x v="1"/>
    <x v="4"/>
    <n v="217633"/>
    <d v="2023-04-09T00:00:00"/>
    <m/>
    <m/>
    <n v="0.1"/>
    <x v="2"/>
    <x v="1"/>
    <s v="Normal"/>
  </r>
  <r>
    <s v="DEAL-01432"/>
    <x v="11"/>
    <s v="CLI-0101"/>
    <x v="3"/>
    <x v="0"/>
    <x v="5"/>
    <n v="110895"/>
    <d v="2023-06-28T00:00:00"/>
    <m/>
    <m/>
    <n v="5.5"/>
    <x v="3"/>
    <x v="1"/>
    <s v="Normal"/>
  </r>
  <r>
    <s v="DEAL-02487"/>
    <x v="5"/>
    <s v="CLI-0274"/>
    <x v="2"/>
    <x v="1"/>
    <x v="5"/>
    <n v="104916"/>
    <d v="2023-09-11T00:00:00"/>
    <m/>
    <m/>
    <m/>
    <x v="3"/>
    <x v="6"/>
    <s v="Normal"/>
  </r>
  <r>
    <s v="DEAL-00712"/>
    <x v="9"/>
    <s v="CLI-0266"/>
    <x v="1"/>
    <x v="3"/>
    <x v="0"/>
    <n v="243009"/>
    <d v="2023-07-05T00:00:00"/>
    <d v="2023-11-15T00:00:00"/>
    <n v="133"/>
    <n v="8.5"/>
    <x v="3"/>
    <x v="6"/>
    <s v="Normal"/>
  </r>
  <r>
    <s v="DEAL-00289"/>
    <x v="15"/>
    <s v="CLI-0189"/>
    <x v="1"/>
    <x v="7"/>
    <x v="1"/>
    <n v="98289"/>
    <d v="2023-01-02T00:00:00"/>
    <m/>
    <m/>
    <n v="1.5"/>
    <x v="0"/>
    <x v="2"/>
    <s v="Normal"/>
  </r>
  <r>
    <s v="DEAL-01903"/>
    <x v="8"/>
    <s v="CLI-0076"/>
    <x v="2"/>
    <x v="4"/>
    <x v="1"/>
    <n v="71111"/>
    <d v="2023-02-28T00:00:00"/>
    <m/>
    <m/>
    <n v="13.7"/>
    <x v="3"/>
    <x v="2"/>
    <s v="Normal"/>
  </r>
  <r>
    <s v="DEAL-01825"/>
    <x v="13"/>
    <s v="CLI-0103"/>
    <x v="5"/>
    <x v="5"/>
    <x v="3"/>
    <n v="111301"/>
    <d v="2023-11-07T00:00:00"/>
    <d v="2024-02-26T00:00:00"/>
    <n v="111"/>
    <n v="15.6"/>
    <x v="0"/>
    <x v="0"/>
    <s v="Normal"/>
  </r>
  <r>
    <s v="DEAL-00427"/>
    <x v="15"/>
    <s v="CLI-0156"/>
    <x v="2"/>
    <x v="4"/>
    <x v="2"/>
    <n v="26848"/>
    <d v="2023-12-30T00:00:00"/>
    <m/>
    <m/>
    <n v="3.7"/>
    <x v="0"/>
    <x v="0"/>
    <s v="Normal"/>
  </r>
  <r>
    <s v="DEAL-01935"/>
    <x v="3"/>
    <s v="CLI-0203"/>
    <x v="3"/>
    <x v="1"/>
    <x v="0"/>
    <n v="371590"/>
    <d v="2025-01-26T00:00:00"/>
    <d v="2025-05-14T00:00:00"/>
    <n v="108"/>
    <n v="14"/>
    <x v="1"/>
    <x v="4"/>
    <s v="Normal"/>
  </r>
  <r>
    <s v="DEAL-00178"/>
    <x v="2"/>
    <s v="CLI-0161"/>
    <x v="0"/>
    <x v="3"/>
    <x v="0"/>
    <n v="271730"/>
    <d v="2023-10-15T00:00:00"/>
    <d v="2024-01-30T00:00:00"/>
    <n v="107"/>
    <n v="4.2"/>
    <x v="2"/>
    <x v="0"/>
    <s v="Normal"/>
  </r>
  <r>
    <s v="DEAL-00958"/>
    <x v="12"/>
    <s v="CLI-0299"/>
    <x v="5"/>
    <x v="4"/>
    <x v="2"/>
    <n v="64345"/>
    <d v="2023-10-15T00:00:00"/>
    <m/>
    <m/>
    <m/>
    <x v="2"/>
    <x v="0"/>
    <s v="Normal"/>
  </r>
  <r>
    <s v="DEAL-01252"/>
    <x v="1"/>
    <s v="CLI-0211"/>
    <x v="4"/>
    <x v="5"/>
    <x v="3"/>
    <n v="386714"/>
    <d v="2024-02-09T00:00:00"/>
    <d v="2024-08-07T00:00:00"/>
    <n v="180"/>
    <n v="4.3"/>
    <x v="1"/>
    <x v="5"/>
    <s v="Normal"/>
  </r>
  <r>
    <s v="DEAL-00798"/>
    <x v="10"/>
    <s v="CLI-0076"/>
    <x v="4"/>
    <x v="8"/>
    <x v="3"/>
    <n v="283693"/>
    <d v="2023-04-12T00:00:00"/>
    <d v="2023-07-05T00:00:00"/>
    <n v="84"/>
    <n v="12.9"/>
    <x v="2"/>
    <x v="1"/>
    <s v="Normal"/>
  </r>
  <r>
    <s v="DEAL-00402"/>
    <x v="5"/>
    <s v="CLI-0135"/>
    <x v="3"/>
    <x v="4"/>
    <x v="2"/>
    <n v="325517"/>
    <d v="2023-08-11T00:00:00"/>
    <m/>
    <m/>
    <m/>
    <x v="3"/>
    <x v="6"/>
    <s v="Normal"/>
  </r>
  <r>
    <s v="DEAL-02298"/>
    <x v="3"/>
    <s v="CLI-0074"/>
    <x v="3"/>
    <x v="2"/>
    <x v="2"/>
    <n v="128091"/>
    <d v="2023-11-14T00:00:00"/>
    <m/>
    <m/>
    <m/>
    <x v="0"/>
    <x v="0"/>
    <s v="Normal"/>
  </r>
  <r>
    <s v="DEAL-01967"/>
    <x v="9"/>
    <s v="CLI-0230"/>
    <x v="5"/>
    <x v="1"/>
    <x v="3"/>
    <n v="312200"/>
    <d v="2024-12-27T00:00:00"/>
    <d v="2025-02-11T00:00:00"/>
    <n v="46"/>
    <n v="4.5"/>
    <x v="2"/>
    <x v="3"/>
    <s v="Normal"/>
  </r>
  <r>
    <s v="DEAL-00455"/>
    <x v="1"/>
    <s v="CLI-0253"/>
    <x v="2"/>
    <x v="7"/>
    <x v="0"/>
    <n v="419053"/>
    <d v="2024-10-31T00:00:00"/>
    <d v="2025-01-16T00:00:00"/>
    <n v="77"/>
    <n v="4"/>
    <x v="3"/>
    <x v="3"/>
    <s v="Normal"/>
  </r>
  <r>
    <s v="DEAL-02000"/>
    <x v="9"/>
    <s v="CLI-0089"/>
    <x v="3"/>
    <x v="2"/>
    <x v="2"/>
    <n v="90060"/>
    <d v="2023-12-27T00:00:00"/>
    <m/>
    <m/>
    <n v="8.5"/>
    <x v="0"/>
    <x v="0"/>
    <s v="Normal"/>
  </r>
  <r>
    <s v="DEAL-00561"/>
    <x v="10"/>
    <s v="CLI-0042"/>
    <x v="1"/>
    <x v="0"/>
    <x v="3"/>
    <n v="200610"/>
    <d v="2024-02-13T00:00:00"/>
    <d v="2024-08-06T00:00:00"/>
    <n v="175"/>
    <n v="8.1999999999999993"/>
    <x v="3"/>
    <x v="5"/>
    <s v="Normal"/>
  </r>
  <r>
    <s v="DEAL-00194"/>
    <x v="13"/>
    <s v="CLI-0138"/>
    <x v="5"/>
    <x v="0"/>
    <x v="4"/>
    <n v="308545"/>
    <d v="2024-02-06T00:00:00"/>
    <m/>
    <m/>
    <m/>
    <x v="0"/>
    <x v="5"/>
    <s v="Normal"/>
  </r>
  <r>
    <s v="DEAL-02034"/>
    <x v="0"/>
    <s v="CLI-0242"/>
    <x v="4"/>
    <x v="6"/>
    <x v="0"/>
    <n v="159784"/>
    <d v="2024-06-21T00:00:00"/>
    <d v="2024-12-14T00:00:00"/>
    <n v="176"/>
    <m/>
    <x v="0"/>
    <x v="7"/>
    <s v="Normal"/>
  </r>
  <r>
    <s v="DEAL-02010"/>
    <x v="10"/>
    <s v="CLI-0178"/>
    <x v="5"/>
    <x v="0"/>
    <x v="0"/>
    <n v="153360"/>
    <d v="2023-09-28T00:00:00"/>
    <d v="2024-01-11T00:00:00"/>
    <n v="105"/>
    <n v="12.3"/>
    <x v="1"/>
    <x v="6"/>
    <s v="Normal"/>
  </r>
  <r>
    <s v="DEAL-01149"/>
    <x v="5"/>
    <s v="CLI-0070"/>
    <x v="5"/>
    <x v="0"/>
    <x v="3"/>
    <n v="368486"/>
    <d v="2023-06-17T00:00:00"/>
    <d v="2023-07-26T00:00:00"/>
    <n v="39"/>
    <n v="13.5"/>
    <x v="0"/>
    <x v="1"/>
    <s v="Normal"/>
  </r>
  <r>
    <s v="DEAL-01041"/>
    <x v="2"/>
    <s v="CLI-0263"/>
    <x v="4"/>
    <x v="1"/>
    <x v="4"/>
    <n v="219243"/>
    <d v="2023-11-27T00:00:00"/>
    <m/>
    <m/>
    <n v="11.8"/>
    <x v="0"/>
    <x v="0"/>
    <s v="Normal"/>
  </r>
  <r>
    <s v="DEAL-01829"/>
    <x v="4"/>
    <s v="CLI-0017"/>
    <x v="2"/>
    <x v="0"/>
    <x v="2"/>
    <n v="338034"/>
    <d v="2023-03-09T00:00:00"/>
    <m/>
    <m/>
    <n v="6.2"/>
    <x v="2"/>
    <x v="2"/>
    <s v="Normal"/>
  </r>
  <r>
    <s v="DEAL-01049"/>
    <x v="13"/>
    <s v="CLI-0043"/>
    <x v="2"/>
    <x v="5"/>
    <x v="3"/>
    <n v="44452"/>
    <d v="2023-11-24T00:00:00"/>
    <d v="2024-04-05T00:00:00"/>
    <n v="133"/>
    <n v="23.6"/>
    <x v="3"/>
    <x v="0"/>
    <s v="Normal"/>
  </r>
  <r>
    <s v="DEAL-02418"/>
    <x v="6"/>
    <s v="CLI-0249"/>
    <x v="2"/>
    <x v="6"/>
    <x v="3"/>
    <n v="82176"/>
    <d v="2023-06-20T00:00:00"/>
    <d v="2023-08-08T00:00:00"/>
    <n v="49"/>
    <n v="20.100000000000001"/>
    <x v="0"/>
    <x v="1"/>
    <s v="Normal"/>
  </r>
  <r>
    <s v="DEAL-01592"/>
    <x v="12"/>
    <s v="CLI-0105"/>
    <x v="4"/>
    <x v="3"/>
    <x v="2"/>
    <n v="125285"/>
    <d v="2024-09-09T00:00:00"/>
    <m/>
    <m/>
    <m/>
    <x v="1"/>
    <x v="8"/>
    <s v="Normal"/>
  </r>
  <r>
    <s v="DEAL-02485"/>
    <x v="10"/>
    <s v="CLI-0119"/>
    <x v="4"/>
    <x v="3"/>
    <x v="5"/>
    <n v="401023"/>
    <d v="2023-04-23T00:00:00"/>
    <m/>
    <m/>
    <n v="10.6"/>
    <x v="2"/>
    <x v="1"/>
    <s v="Normal"/>
  </r>
  <r>
    <s v="DEAL-00572"/>
    <x v="0"/>
    <s v="CLI-0166"/>
    <x v="0"/>
    <x v="1"/>
    <x v="1"/>
    <n v="234132"/>
    <d v="2023-11-30T00:00:00"/>
    <m/>
    <m/>
    <n v="8.4"/>
    <x v="1"/>
    <x v="0"/>
    <s v="Normal"/>
  </r>
  <r>
    <s v="DEAL-01712"/>
    <x v="9"/>
    <s v="CLI-0150"/>
    <x v="4"/>
    <x v="7"/>
    <x v="3"/>
    <n v="137837"/>
    <d v="2023-11-28T00:00:00"/>
    <d v="2024-02-19T00:00:00"/>
    <n v="83"/>
    <n v="22.5"/>
    <x v="3"/>
    <x v="0"/>
    <s v="Normal"/>
  </r>
  <r>
    <s v="DEAL-01427"/>
    <x v="6"/>
    <s v="CLI-0209"/>
    <x v="0"/>
    <x v="6"/>
    <x v="2"/>
    <n v="183365"/>
    <d v="2023-02-24T00:00:00"/>
    <m/>
    <m/>
    <n v="6.1"/>
    <x v="3"/>
    <x v="2"/>
    <s v="Normal"/>
  </r>
  <r>
    <s v="DEAL-01682"/>
    <x v="12"/>
    <s v="CLI-0132"/>
    <x v="4"/>
    <x v="7"/>
    <x v="1"/>
    <n v="116944"/>
    <d v="2023-11-04T00:00:00"/>
    <m/>
    <m/>
    <m/>
    <x v="2"/>
    <x v="0"/>
    <s v="Normal"/>
  </r>
  <r>
    <s v="DEAL-02093"/>
    <x v="0"/>
    <s v="CLI-0062"/>
    <x v="0"/>
    <x v="0"/>
    <x v="3"/>
    <n v="53362"/>
    <d v="2025-02-01T00:00:00"/>
    <d v="2025-06-28T00:00:00"/>
    <n v="147"/>
    <n v="15.6"/>
    <x v="2"/>
    <x v="4"/>
    <s v="Normal"/>
  </r>
  <r>
    <s v="DEAL-02082"/>
    <x v="15"/>
    <s v="CLI-0165"/>
    <x v="2"/>
    <x v="1"/>
    <x v="5"/>
    <n v="465789"/>
    <d v="2024-10-08T00:00:00"/>
    <m/>
    <m/>
    <m/>
    <x v="2"/>
    <x v="3"/>
    <s v="Normal"/>
  </r>
  <r>
    <s v="DEAL-01308"/>
    <x v="2"/>
    <s v="CLI-0110"/>
    <x v="0"/>
    <x v="8"/>
    <x v="3"/>
    <n v="106406"/>
    <d v="2023-12-09T00:00:00"/>
    <d v="2024-05-05T00:00:00"/>
    <n v="148"/>
    <n v="21.9"/>
    <x v="3"/>
    <x v="0"/>
    <s v="Normal"/>
  </r>
  <r>
    <s v="DEAL-01103"/>
    <x v="3"/>
    <s v="CLI-0128"/>
    <x v="0"/>
    <x v="4"/>
    <x v="4"/>
    <n v="326977"/>
    <d v="2024-10-31T00:00:00"/>
    <m/>
    <m/>
    <n v="5.5"/>
    <x v="1"/>
    <x v="3"/>
    <s v="Normal"/>
  </r>
  <r>
    <s v="DEAL-00378"/>
    <x v="0"/>
    <s v="CLI-0046"/>
    <x v="4"/>
    <x v="7"/>
    <x v="5"/>
    <n v="295779"/>
    <d v="2024-04-26T00:00:00"/>
    <m/>
    <m/>
    <m/>
    <x v="3"/>
    <x v="7"/>
    <s v="Normal"/>
  </r>
  <r>
    <s v="DEAL-00293"/>
    <x v="5"/>
    <s v="CLI-0055"/>
    <x v="0"/>
    <x v="2"/>
    <x v="5"/>
    <n v="186700"/>
    <d v="2023-12-11T00:00:00"/>
    <m/>
    <m/>
    <n v="5.6"/>
    <x v="2"/>
    <x v="0"/>
    <s v="Normal"/>
  </r>
  <r>
    <s v="DEAL-01347"/>
    <x v="7"/>
    <s v="CLI-0135"/>
    <x v="0"/>
    <x v="7"/>
    <x v="0"/>
    <n v="319610"/>
    <d v="2023-02-14T00:00:00"/>
    <d v="2023-05-21T00:00:00"/>
    <n v="96"/>
    <n v="8.4"/>
    <x v="2"/>
    <x v="2"/>
    <s v="Normal"/>
  </r>
  <r>
    <s v="DEAL-00425"/>
    <x v="5"/>
    <s v="CLI-0208"/>
    <x v="1"/>
    <x v="5"/>
    <x v="2"/>
    <n v="161131"/>
    <d v="2023-10-29T00:00:00"/>
    <m/>
    <m/>
    <m/>
    <x v="2"/>
    <x v="0"/>
    <s v="Normal"/>
  </r>
  <r>
    <s v="DEAL-01332"/>
    <x v="14"/>
    <s v="CLI-0047"/>
    <x v="4"/>
    <x v="7"/>
    <x v="1"/>
    <n v="138885"/>
    <d v="2025-03-31T00:00:00"/>
    <m/>
    <m/>
    <n v="0.2"/>
    <x v="2"/>
    <x v="4"/>
    <s v="Normal"/>
  </r>
  <r>
    <s v="DEAL-00147"/>
    <x v="14"/>
    <s v="CLI-0152"/>
    <x v="3"/>
    <x v="6"/>
    <x v="3"/>
    <n v="181419"/>
    <d v="2024-09-28T00:00:00"/>
    <d v="2025-03-21T00:00:00"/>
    <n v="174"/>
    <n v="1.9"/>
    <x v="0"/>
    <x v="8"/>
    <s v="Normal"/>
  </r>
  <r>
    <s v="DEAL-00649"/>
    <x v="0"/>
    <s v="CLI-0223"/>
    <x v="2"/>
    <x v="6"/>
    <x v="5"/>
    <n v="247141"/>
    <d v="2024-02-02T00:00:00"/>
    <m/>
    <m/>
    <n v="7"/>
    <x v="0"/>
    <x v="5"/>
    <s v="Normal"/>
  </r>
  <r>
    <s v="DEAL-00780"/>
    <x v="6"/>
    <s v="CLI-0025"/>
    <x v="5"/>
    <x v="6"/>
    <x v="4"/>
    <n v="109690"/>
    <d v="2024-05-10T00:00:00"/>
    <m/>
    <m/>
    <n v="11.6"/>
    <x v="3"/>
    <x v="7"/>
    <s v="Normal"/>
  </r>
  <r>
    <s v="DEAL-02100"/>
    <x v="1"/>
    <s v="CLI-0267"/>
    <x v="5"/>
    <x v="2"/>
    <x v="0"/>
    <n v="317711"/>
    <d v="2025-02-05T00:00:00"/>
    <d v="2025-03-30T00:00:00"/>
    <n v="53"/>
    <n v="10.8"/>
    <x v="2"/>
    <x v="4"/>
    <s v="Normal"/>
  </r>
  <r>
    <s v="DEAL-02290"/>
    <x v="10"/>
    <s v="CLI-0012"/>
    <x v="4"/>
    <x v="3"/>
    <x v="4"/>
    <n v="497875"/>
    <d v="2024-05-21T00:00:00"/>
    <m/>
    <m/>
    <n v="12.2"/>
    <x v="3"/>
    <x v="7"/>
    <s v="Normal"/>
  </r>
  <r>
    <s v="DEAL-01556"/>
    <x v="1"/>
    <s v="CLI-0137"/>
    <x v="0"/>
    <x v="0"/>
    <x v="0"/>
    <n v="392101"/>
    <d v="2024-09-03T00:00:00"/>
    <d v="2024-12-13T00:00:00"/>
    <n v="101"/>
    <m/>
    <x v="2"/>
    <x v="8"/>
    <s v="Normal"/>
  </r>
  <r>
    <s v="DEAL-01744"/>
    <x v="10"/>
    <s v="CLI-0038"/>
    <x v="2"/>
    <x v="0"/>
    <x v="3"/>
    <n v="376827"/>
    <d v="2025-03-31T00:00:00"/>
    <d v="2025-05-25T00:00:00"/>
    <n v="55"/>
    <n v="14.2"/>
    <x v="0"/>
    <x v="4"/>
    <s v="Normal"/>
  </r>
  <r>
    <s v="DEAL-01344"/>
    <x v="9"/>
    <s v="CLI-0003"/>
    <x v="1"/>
    <x v="4"/>
    <x v="3"/>
    <n v="234885"/>
    <d v="2023-01-09T00:00:00"/>
    <d v="2023-07-02T00:00:00"/>
    <n v="174"/>
    <n v="3"/>
    <x v="1"/>
    <x v="2"/>
    <s v="Normal"/>
  </r>
  <r>
    <s v="DEAL-00441"/>
    <x v="0"/>
    <s v="CLI-0130"/>
    <x v="1"/>
    <x v="4"/>
    <x v="5"/>
    <n v="366160"/>
    <d v="2025-02-17T00:00:00"/>
    <m/>
    <m/>
    <n v="3.5"/>
    <x v="1"/>
    <x v="4"/>
    <s v="Normal"/>
  </r>
  <r>
    <s v="DEAL-00190"/>
    <x v="6"/>
    <s v="CLI-0187"/>
    <x v="0"/>
    <x v="2"/>
    <x v="3"/>
    <n v="245902"/>
    <d v="2023-09-29T00:00:00"/>
    <d v="2024-01-09T00:00:00"/>
    <n v="102"/>
    <n v="21.8"/>
    <x v="1"/>
    <x v="6"/>
    <s v="Normal"/>
  </r>
  <r>
    <s v="DEAL-01766"/>
    <x v="7"/>
    <s v="CLI-0223"/>
    <x v="0"/>
    <x v="5"/>
    <x v="5"/>
    <n v="266319"/>
    <d v="2025-01-25T00:00:00"/>
    <m/>
    <m/>
    <n v="10.6"/>
    <x v="3"/>
    <x v="4"/>
    <s v="Normal"/>
  </r>
  <r>
    <s v="DEAL-00108"/>
    <x v="13"/>
    <s v="CLI-0093"/>
    <x v="3"/>
    <x v="4"/>
    <x v="0"/>
    <n v="250427"/>
    <d v="2025-02-17T00:00:00"/>
    <d v="2025-05-30T00:00:00"/>
    <n v="102"/>
    <m/>
    <x v="1"/>
    <x v="4"/>
    <s v="Normal"/>
  </r>
  <r>
    <s v="DEAL-00269"/>
    <x v="9"/>
    <s v="CLI-0005"/>
    <x v="1"/>
    <x v="3"/>
    <x v="3"/>
    <n v="90476"/>
    <d v="2023-07-02T00:00:00"/>
    <d v="2023-09-10T00:00:00"/>
    <n v="70"/>
    <n v="22.3"/>
    <x v="1"/>
    <x v="6"/>
    <s v="Normal"/>
  </r>
  <r>
    <s v="DEAL-00740"/>
    <x v="9"/>
    <s v="CLI-0232"/>
    <x v="3"/>
    <x v="6"/>
    <x v="2"/>
    <n v="490228"/>
    <d v="2024-02-24T00:00:00"/>
    <m/>
    <m/>
    <n v="4.7"/>
    <x v="1"/>
    <x v="5"/>
    <s v="Normal"/>
  </r>
  <r>
    <s v="DEAL-00745"/>
    <x v="14"/>
    <s v="CLI-0055"/>
    <x v="0"/>
    <x v="6"/>
    <x v="3"/>
    <n v="284449"/>
    <d v="2023-06-20T00:00:00"/>
    <d v="2023-11-10T00:00:00"/>
    <n v="143"/>
    <n v="3.2"/>
    <x v="3"/>
    <x v="1"/>
    <s v="Normal"/>
  </r>
  <r>
    <s v="DEAL-00930"/>
    <x v="9"/>
    <s v="CLI-0290"/>
    <x v="2"/>
    <x v="7"/>
    <x v="0"/>
    <n v="264290"/>
    <d v="2023-09-30T00:00:00"/>
    <d v="2023-12-17T00:00:00"/>
    <n v="78"/>
    <n v="2.6"/>
    <x v="1"/>
    <x v="6"/>
    <s v="Normal"/>
  </r>
  <r>
    <s v="DEAL-00847"/>
    <x v="14"/>
    <s v="CLI-0086"/>
    <x v="2"/>
    <x v="4"/>
    <x v="5"/>
    <n v="228997"/>
    <d v="2023-02-01T00:00:00"/>
    <m/>
    <m/>
    <m/>
    <x v="1"/>
    <x v="2"/>
    <s v="Normal"/>
  </r>
  <r>
    <s v="DEAL-00090"/>
    <x v="12"/>
    <s v="CLI-0014"/>
    <x v="0"/>
    <x v="5"/>
    <x v="3"/>
    <n v="155378"/>
    <d v="2024-01-27T00:00:00"/>
    <d v="2024-05-20T00:00:00"/>
    <n v="114"/>
    <n v="1.5"/>
    <x v="2"/>
    <x v="5"/>
    <s v="Normal"/>
  </r>
  <r>
    <s v="DEAL-01696"/>
    <x v="1"/>
    <s v="CLI-0188"/>
    <x v="2"/>
    <x v="7"/>
    <x v="3"/>
    <n v="199857"/>
    <d v="2023-04-11T00:00:00"/>
    <d v="2023-08-08T00:00:00"/>
    <n v="119"/>
    <n v="3.9"/>
    <x v="2"/>
    <x v="1"/>
    <s v="Normal"/>
  </r>
  <r>
    <s v="DEAL-01679"/>
    <x v="10"/>
    <s v="CLI-0050"/>
    <x v="5"/>
    <x v="6"/>
    <x v="2"/>
    <n v="323970"/>
    <d v="2025-01-09T00:00:00"/>
    <m/>
    <m/>
    <n v="0.1"/>
    <x v="1"/>
    <x v="4"/>
    <s v="Normal"/>
  </r>
  <r>
    <s v="DEAL-00272"/>
    <x v="7"/>
    <s v="CLI-0154"/>
    <x v="5"/>
    <x v="8"/>
    <x v="0"/>
    <n v="217127"/>
    <d v="2023-05-04T00:00:00"/>
    <d v="2023-07-17T00:00:00"/>
    <n v="74"/>
    <m/>
    <x v="0"/>
    <x v="1"/>
    <s v="Normal"/>
  </r>
  <r>
    <s v="DEAL-00085"/>
    <x v="14"/>
    <s v="CLI-0207"/>
    <x v="3"/>
    <x v="6"/>
    <x v="3"/>
    <n v="214509"/>
    <d v="2023-05-29T00:00:00"/>
    <d v="2023-10-26T00:00:00"/>
    <n v="150"/>
    <n v="0.3"/>
    <x v="0"/>
    <x v="1"/>
    <s v="Normal"/>
  </r>
  <r>
    <s v="DEAL-01891"/>
    <x v="0"/>
    <s v="CLI-0037"/>
    <x v="3"/>
    <x v="7"/>
    <x v="4"/>
    <n v="368986"/>
    <d v="2024-01-18T00:00:00"/>
    <m/>
    <m/>
    <m/>
    <x v="0"/>
    <x v="5"/>
    <s v="Normal"/>
  </r>
  <r>
    <s v="DEAL-01998"/>
    <x v="7"/>
    <s v="CLI-0078"/>
    <x v="3"/>
    <x v="1"/>
    <x v="1"/>
    <n v="238543"/>
    <d v="2025-01-24T00:00:00"/>
    <m/>
    <m/>
    <n v="9.6999999999999993"/>
    <x v="3"/>
    <x v="4"/>
    <s v="Normal"/>
  </r>
  <r>
    <s v="DEAL-00285"/>
    <x v="10"/>
    <s v="CLI-0196"/>
    <x v="5"/>
    <x v="2"/>
    <x v="3"/>
    <n v="203032"/>
    <d v="2024-10-28T00:00:00"/>
    <d v="2025-02-18T00:00:00"/>
    <n v="113"/>
    <n v="18.399999999999999"/>
    <x v="1"/>
    <x v="3"/>
    <s v="Normal"/>
  </r>
  <r>
    <s v="DEAL-00038"/>
    <x v="9"/>
    <s v="CLI-0192"/>
    <x v="3"/>
    <x v="5"/>
    <x v="2"/>
    <n v="302206"/>
    <d v="2025-01-06T00:00:00"/>
    <m/>
    <m/>
    <n v="1.8"/>
    <x v="1"/>
    <x v="4"/>
    <s v="Normal"/>
  </r>
  <r>
    <s v="DEAL-01434"/>
    <x v="2"/>
    <s v="CLI-0265"/>
    <x v="5"/>
    <x v="6"/>
    <x v="2"/>
    <n v="150311"/>
    <d v="2023-02-25T00:00:00"/>
    <m/>
    <m/>
    <n v="10.9"/>
    <x v="2"/>
    <x v="2"/>
    <s v="Normal"/>
  </r>
  <r>
    <s v="DEAL-00097"/>
    <x v="11"/>
    <s v="CLI-0296"/>
    <x v="1"/>
    <x v="5"/>
    <x v="3"/>
    <n v="132151"/>
    <d v="2023-02-07T00:00:00"/>
    <d v="2023-03-30T00:00:00"/>
    <n v="51"/>
    <n v="0.5"/>
    <x v="3"/>
    <x v="2"/>
    <s v="Normal"/>
  </r>
  <r>
    <s v="DEAL-01813"/>
    <x v="10"/>
    <s v="CLI-0195"/>
    <x v="2"/>
    <x v="4"/>
    <x v="4"/>
    <n v="473977"/>
    <d v="2023-04-20T00:00:00"/>
    <m/>
    <m/>
    <n v="8.6"/>
    <x v="3"/>
    <x v="1"/>
    <s v="Normal"/>
  </r>
  <r>
    <s v="DEAL-00345"/>
    <x v="11"/>
    <s v="CLI-0044"/>
    <x v="3"/>
    <x v="0"/>
    <x v="1"/>
    <n v="134894"/>
    <d v="2024-10-16T00:00:00"/>
    <m/>
    <m/>
    <n v="2.2000000000000002"/>
    <x v="1"/>
    <x v="3"/>
    <s v="Normal"/>
  </r>
  <r>
    <s v="DEAL-00974"/>
    <x v="6"/>
    <s v="CLI-0120"/>
    <x v="5"/>
    <x v="8"/>
    <x v="0"/>
    <n v="281099"/>
    <d v="2023-02-20T00:00:00"/>
    <d v="2023-08-01T00:00:00"/>
    <n v="162"/>
    <m/>
    <x v="3"/>
    <x v="2"/>
    <s v="Normal"/>
  </r>
  <r>
    <s v="DEAL-00226"/>
    <x v="2"/>
    <s v="CLI-0228"/>
    <x v="0"/>
    <x v="0"/>
    <x v="5"/>
    <n v="277559"/>
    <d v="2023-06-15T00:00:00"/>
    <m/>
    <m/>
    <n v="11.1"/>
    <x v="2"/>
    <x v="1"/>
    <s v="Normal"/>
  </r>
  <r>
    <s v="DEAL-01186"/>
    <x v="9"/>
    <s v="CLI-0204"/>
    <x v="0"/>
    <x v="1"/>
    <x v="5"/>
    <n v="193896"/>
    <d v="2023-02-07T00:00:00"/>
    <m/>
    <m/>
    <m/>
    <x v="3"/>
    <x v="2"/>
    <s v="Normal"/>
  </r>
  <r>
    <s v="DEAL-01159"/>
    <x v="11"/>
    <s v="CLI-0274"/>
    <x v="5"/>
    <x v="4"/>
    <x v="1"/>
    <n v="181830"/>
    <d v="2023-05-19T00:00:00"/>
    <m/>
    <m/>
    <n v="4.5"/>
    <x v="1"/>
    <x v="1"/>
    <s v="Normal"/>
  </r>
  <r>
    <s v="DEAL-00478"/>
    <x v="9"/>
    <s v="CLI-0183"/>
    <x v="1"/>
    <x v="0"/>
    <x v="2"/>
    <n v="155886"/>
    <d v="2024-09-22T00:00:00"/>
    <m/>
    <m/>
    <n v="4.7"/>
    <x v="1"/>
    <x v="8"/>
    <s v="Normal"/>
  </r>
  <r>
    <s v="DEAL-01271"/>
    <x v="3"/>
    <s v="CLI-0233"/>
    <x v="3"/>
    <x v="1"/>
    <x v="3"/>
    <n v="357963"/>
    <d v="2024-02-20T00:00:00"/>
    <d v="2024-04-18T00:00:00"/>
    <n v="58"/>
    <n v="24.7"/>
    <x v="0"/>
    <x v="5"/>
    <s v="Normal"/>
  </r>
  <r>
    <s v="DEAL-00463"/>
    <x v="1"/>
    <s v="CLI-0103"/>
    <x v="3"/>
    <x v="6"/>
    <x v="1"/>
    <n v="51705"/>
    <d v="2024-09-16T00:00:00"/>
    <m/>
    <m/>
    <n v="8.3000000000000007"/>
    <x v="0"/>
    <x v="8"/>
    <s v="Normal"/>
  </r>
  <r>
    <s v="DEAL-00632"/>
    <x v="10"/>
    <s v="CLI-0267"/>
    <x v="1"/>
    <x v="4"/>
    <x v="3"/>
    <n v="57685"/>
    <d v="2023-11-25T00:00:00"/>
    <d v="2024-04-22T00:00:00"/>
    <n v="149"/>
    <n v="17.600000000000001"/>
    <x v="0"/>
    <x v="0"/>
    <s v="Normal"/>
  </r>
  <r>
    <s v="DEAL-01378"/>
    <x v="13"/>
    <s v="CLI-0053"/>
    <x v="5"/>
    <x v="2"/>
    <x v="2"/>
    <n v="422560"/>
    <d v="2024-06-27T00:00:00"/>
    <m/>
    <m/>
    <m/>
    <x v="3"/>
    <x v="7"/>
    <s v="Normal"/>
  </r>
  <r>
    <s v="DEAL-01852"/>
    <x v="15"/>
    <s v="CLI-0295"/>
    <x v="2"/>
    <x v="6"/>
    <x v="4"/>
    <n v="188185"/>
    <d v="2024-11-23T00:00:00"/>
    <m/>
    <m/>
    <n v="3"/>
    <x v="3"/>
    <x v="3"/>
    <s v="Normal"/>
  </r>
  <r>
    <s v="DEAL-00578"/>
    <x v="11"/>
    <s v="CLI-0281"/>
    <x v="5"/>
    <x v="2"/>
    <x v="2"/>
    <n v="184982"/>
    <d v="2025-01-22T00:00:00"/>
    <m/>
    <m/>
    <m/>
    <x v="3"/>
    <x v="4"/>
    <s v="Normal"/>
  </r>
  <r>
    <s v="DEAL-01527"/>
    <x v="3"/>
    <s v="CLI-0242"/>
    <x v="4"/>
    <x v="4"/>
    <x v="1"/>
    <n v="218124"/>
    <d v="2023-06-05T00:00:00"/>
    <m/>
    <m/>
    <m/>
    <x v="3"/>
    <x v="1"/>
    <s v="Normal"/>
  </r>
  <r>
    <s v="DEAL-01815"/>
    <x v="5"/>
    <s v="CLI-0285"/>
    <x v="1"/>
    <x v="1"/>
    <x v="2"/>
    <n v="94808"/>
    <d v="2023-04-22T00:00:00"/>
    <m/>
    <m/>
    <n v="7.2"/>
    <x v="1"/>
    <x v="1"/>
    <s v="Normal"/>
  </r>
  <r>
    <s v="DEAL-02370"/>
    <x v="0"/>
    <s v="CLI-0150"/>
    <x v="0"/>
    <x v="1"/>
    <x v="5"/>
    <n v="311351"/>
    <d v="2024-09-07T00:00:00"/>
    <m/>
    <m/>
    <n v="9.6"/>
    <x v="1"/>
    <x v="8"/>
    <s v="Normal"/>
  </r>
  <r>
    <s v="DEAL-00939"/>
    <x v="11"/>
    <s v="CLI-0020"/>
    <x v="3"/>
    <x v="2"/>
    <x v="2"/>
    <n v="478589"/>
    <d v="2024-07-20T00:00:00"/>
    <m/>
    <m/>
    <n v="8.4"/>
    <x v="0"/>
    <x v="8"/>
    <s v="Normal"/>
  </r>
  <r>
    <s v="DEAL-02392"/>
    <x v="15"/>
    <s v="CLI-0158"/>
    <x v="5"/>
    <x v="0"/>
    <x v="5"/>
    <n v="412868"/>
    <d v="2024-01-19T00:00:00"/>
    <m/>
    <m/>
    <n v="8.1999999999999993"/>
    <x v="3"/>
    <x v="5"/>
    <s v="Normal"/>
  </r>
  <r>
    <s v="DEAL-00287"/>
    <x v="10"/>
    <s v="CLI-0239"/>
    <x v="2"/>
    <x v="4"/>
    <x v="5"/>
    <n v="108997"/>
    <d v="2023-06-19T00:00:00"/>
    <m/>
    <m/>
    <m/>
    <x v="2"/>
    <x v="1"/>
    <s v="Normal"/>
  </r>
  <r>
    <s v="DEAL-00501"/>
    <x v="15"/>
    <s v="CLI-0065"/>
    <x v="3"/>
    <x v="0"/>
    <x v="2"/>
    <n v="69592"/>
    <d v="2024-03-10T00:00:00"/>
    <m/>
    <m/>
    <n v="7.4"/>
    <x v="0"/>
    <x v="5"/>
    <s v="Normal"/>
  </r>
  <r>
    <s v="DEAL-00317"/>
    <x v="6"/>
    <s v="CLI-0273"/>
    <x v="5"/>
    <x v="0"/>
    <x v="1"/>
    <n v="394132"/>
    <d v="2024-10-10T00:00:00"/>
    <m/>
    <m/>
    <m/>
    <x v="2"/>
    <x v="3"/>
    <s v="Normal"/>
  </r>
  <r>
    <s v="DEAL-01358"/>
    <x v="8"/>
    <s v="CLI-0017"/>
    <x v="3"/>
    <x v="6"/>
    <x v="0"/>
    <n v="479641"/>
    <d v="2024-01-21T00:00:00"/>
    <d v="2024-07-12T00:00:00"/>
    <n v="173"/>
    <m/>
    <x v="0"/>
    <x v="5"/>
    <s v="Normal"/>
  </r>
  <r>
    <s v="DEAL-01146"/>
    <x v="15"/>
    <s v="CLI-0035"/>
    <x v="2"/>
    <x v="3"/>
    <x v="4"/>
    <n v="305973"/>
    <d v="2023-12-31T00:00:00"/>
    <m/>
    <m/>
    <n v="6.4"/>
    <x v="2"/>
    <x v="0"/>
    <s v="Normal"/>
  </r>
  <r>
    <s v="DEAL-02249"/>
    <x v="10"/>
    <s v="CLI-0106"/>
    <x v="3"/>
    <x v="5"/>
    <x v="3"/>
    <n v="282645"/>
    <d v="2024-09-14T00:00:00"/>
    <d v="2025-01-14T00:00:00"/>
    <n v="122"/>
    <n v="14.5"/>
    <x v="3"/>
    <x v="8"/>
    <s v="Normal"/>
  </r>
  <r>
    <s v="DEAL-00511"/>
    <x v="12"/>
    <s v="CLI-0216"/>
    <x v="1"/>
    <x v="6"/>
    <x v="4"/>
    <n v="303493"/>
    <d v="2023-07-15T00:00:00"/>
    <m/>
    <m/>
    <m/>
    <x v="3"/>
    <x v="6"/>
    <s v="Normal"/>
  </r>
  <r>
    <s v="DEAL-01515"/>
    <x v="1"/>
    <s v="CLI-0150"/>
    <x v="0"/>
    <x v="0"/>
    <x v="2"/>
    <n v="143999"/>
    <d v="2024-07-06T00:00:00"/>
    <m/>
    <m/>
    <n v="1"/>
    <x v="2"/>
    <x v="8"/>
    <s v="Normal"/>
  </r>
  <r>
    <s v="DEAL-01182"/>
    <x v="15"/>
    <s v="CLI-0093"/>
    <x v="1"/>
    <x v="6"/>
    <x v="3"/>
    <n v="270035"/>
    <d v="2023-06-21T00:00:00"/>
    <d v="2023-11-23T00:00:00"/>
    <n v="155"/>
    <n v="24.1"/>
    <x v="0"/>
    <x v="1"/>
    <s v="Normal"/>
  </r>
  <r>
    <s v="DEAL-01021"/>
    <x v="3"/>
    <s v="CLI-0100"/>
    <x v="0"/>
    <x v="2"/>
    <x v="3"/>
    <n v="256648"/>
    <d v="2024-12-08T00:00:00"/>
    <d v="2025-01-16T00:00:00"/>
    <n v="39"/>
    <n v="12.9"/>
    <x v="3"/>
    <x v="3"/>
    <s v="Normal"/>
  </r>
  <r>
    <s v="DEAL-00166"/>
    <x v="0"/>
    <s v="CLI-0068"/>
    <x v="2"/>
    <x v="3"/>
    <x v="0"/>
    <n v="216032"/>
    <d v="2023-09-19T00:00:00"/>
    <d v="2023-12-20T00:00:00"/>
    <n v="92"/>
    <m/>
    <x v="1"/>
    <x v="6"/>
    <s v="Normal"/>
  </r>
  <r>
    <s v="DEAL-00177"/>
    <x v="6"/>
    <s v="CLI-0031"/>
    <x v="3"/>
    <x v="3"/>
    <x v="5"/>
    <n v="146467"/>
    <d v="2024-05-19T00:00:00"/>
    <m/>
    <m/>
    <n v="14"/>
    <x v="1"/>
    <x v="7"/>
    <s v="Normal"/>
  </r>
  <r>
    <s v="DEAL-02247"/>
    <x v="9"/>
    <s v="CLI-0207"/>
    <x v="1"/>
    <x v="5"/>
    <x v="1"/>
    <n v="416294"/>
    <d v="2024-11-26T00:00:00"/>
    <m/>
    <m/>
    <n v="9.5"/>
    <x v="1"/>
    <x v="3"/>
    <s v="Normal"/>
  </r>
  <r>
    <s v="DEAL-00464"/>
    <x v="1"/>
    <s v="CLI-0174"/>
    <x v="3"/>
    <x v="0"/>
    <x v="3"/>
    <n v="87018"/>
    <d v="2024-11-02T00:00:00"/>
    <d v="2024-11-29T00:00:00"/>
    <n v="27"/>
    <n v="16.399999999999999"/>
    <x v="1"/>
    <x v="3"/>
    <s v="Normal"/>
  </r>
  <r>
    <s v="DEAL-00513"/>
    <x v="7"/>
    <s v="CLI-0077"/>
    <x v="5"/>
    <x v="8"/>
    <x v="0"/>
    <n v="496316"/>
    <d v="2024-09-14T00:00:00"/>
    <d v="2025-03-09T00:00:00"/>
    <n v="176"/>
    <n v="2.6"/>
    <x v="3"/>
    <x v="8"/>
    <s v="Normal"/>
  </r>
  <r>
    <s v="DEAL-00608"/>
    <x v="3"/>
    <s v="CLI-0042"/>
    <x v="4"/>
    <x v="2"/>
    <x v="4"/>
    <n v="269510"/>
    <d v="2024-03-20T00:00:00"/>
    <m/>
    <m/>
    <m/>
    <x v="0"/>
    <x v="5"/>
    <s v="Normal"/>
  </r>
  <r>
    <s v="DEAL-00413"/>
    <x v="2"/>
    <s v="CLI-0019"/>
    <x v="1"/>
    <x v="4"/>
    <x v="4"/>
    <n v="469379"/>
    <d v="2023-04-23T00:00:00"/>
    <m/>
    <m/>
    <n v="3.6"/>
    <x v="1"/>
    <x v="1"/>
    <s v="Normal"/>
  </r>
  <r>
    <s v="DEAL-02200"/>
    <x v="7"/>
    <s v="CLI-0011"/>
    <x v="4"/>
    <x v="4"/>
    <x v="1"/>
    <n v="225336"/>
    <d v="2023-12-17T00:00:00"/>
    <m/>
    <m/>
    <m/>
    <x v="0"/>
    <x v="0"/>
    <s v="Normal"/>
  </r>
  <r>
    <s v="DEAL-01691"/>
    <x v="12"/>
    <s v="CLI-0279"/>
    <x v="1"/>
    <x v="7"/>
    <x v="4"/>
    <n v="411518"/>
    <d v="2024-04-27T00:00:00"/>
    <m/>
    <m/>
    <m/>
    <x v="0"/>
    <x v="7"/>
    <s v="Normal"/>
  </r>
  <r>
    <s v="DEAL-01958"/>
    <x v="10"/>
    <s v="CLI-0051"/>
    <x v="5"/>
    <x v="2"/>
    <x v="5"/>
    <n v="29564"/>
    <d v="2024-01-02T00:00:00"/>
    <m/>
    <m/>
    <m/>
    <x v="3"/>
    <x v="5"/>
    <s v="Normal"/>
  </r>
  <r>
    <s v="DEAL-00432"/>
    <x v="7"/>
    <s v="CLI-0041"/>
    <x v="0"/>
    <x v="4"/>
    <x v="3"/>
    <n v="306455"/>
    <d v="2023-12-06T00:00:00"/>
    <d v="2024-01-05T00:00:00"/>
    <n v="30"/>
    <n v="14.6"/>
    <x v="3"/>
    <x v="0"/>
    <s v="Normal"/>
  </r>
  <r>
    <s v="DEAL-00225"/>
    <x v="11"/>
    <s v="CLI-0280"/>
    <x v="5"/>
    <x v="2"/>
    <x v="1"/>
    <n v="436059"/>
    <d v="2024-09-27T00:00:00"/>
    <m/>
    <m/>
    <n v="4.3"/>
    <x v="3"/>
    <x v="8"/>
    <s v="Normal"/>
  </r>
  <r>
    <s v="DEAL-00891"/>
    <x v="9"/>
    <s v="CLI-0248"/>
    <x v="1"/>
    <x v="8"/>
    <x v="2"/>
    <n v="481266"/>
    <d v="2024-03-27T00:00:00"/>
    <m/>
    <m/>
    <m/>
    <x v="0"/>
    <x v="5"/>
    <s v="Normal"/>
  </r>
  <r>
    <s v="DEAL-01671"/>
    <x v="5"/>
    <s v="CLI-0054"/>
    <x v="0"/>
    <x v="4"/>
    <x v="5"/>
    <n v="405043"/>
    <d v="2024-04-15T00:00:00"/>
    <m/>
    <m/>
    <n v="12.1"/>
    <x v="2"/>
    <x v="7"/>
    <s v="Normal"/>
  </r>
  <r>
    <s v="DEAL-00115"/>
    <x v="5"/>
    <s v="CLI-0097"/>
    <x v="0"/>
    <x v="1"/>
    <x v="4"/>
    <n v="302967"/>
    <d v="2024-07-28T00:00:00"/>
    <m/>
    <m/>
    <m/>
    <x v="2"/>
    <x v="8"/>
    <s v="Normal"/>
  </r>
  <r>
    <s v="DEAL-00238"/>
    <x v="15"/>
    <s v="CLI-0117"/>
    <x v="3"/>
    <x v="3"/>
    <x v="0"/>
    <n v="241692"/>
    <d v="2024-09-17T00:00:00"/>
    <d v="2025-03-11T00:00:00"/>
    <n v="175"/>
    <m/>
    <x v="3"/>
    <x v="8"/>
    <s v="Normal"/>
  </r>
  <r>
    <s v="DEAL-01828"/>
    <x v="6"/>
    <s v="CLI-0245"/>
    <x v="4"/>
    <x v="2"/>
    <x v="2"/>
    <n v="344535"/>
    <d v="2025-01-05T00:00:00"/>
    <m/>
    <m/>
    <m/>
    <x v="1"/>
    <x v="4"/>
    <s v="Normal"/>
  </r>
  <r>
    <s v="DEAL-02496"/>
    <x v="13"/>
    <s v="CLI-0014"/>
    <x v="3"/>
    <x v="5"/>
    <x v="2"/>
    <n v="384313"/>
    <d v="2025-03-26T00:00:00"/>
    <m/>
    <m/>
    <n v="6.5"/>
    <x v="0"/>
    <x v="4"/>
    <s v="Normal"/>
  </r>
  <r>
    <s v="DEAL-00158"/>
    <x v="14"/>
    <s v="CLI-0212"/>
    <x v="1"/>
    <x v="6"/>
    <x v="0"/>
    <n v="390955"/>
    <d v="2024-06-18T00:00:00"/>
    <d v="2024-08-23T00:00:00"/>
    <n v="66"/>
    <m/>
    <x v="2"/>
    <x v="7"/>
    <s v="Normal"/>
  </r>
  <r>
    <s v="DEAL-00395"/>
    <x v="0"/>
    <s v="CLI-0122"/>
    <x v="2"/>
    <x v="1"/>
    <x v="3"/>
    <n v="246390"/>
    <d v="2023-07-04T00:00:00"/>
    <d v="2023-10-03T00:00:00"/>
    <n v="91"/>
    <n v="4.5"/>
    <x v="3"/>
    <x v="6"/>
    <s v="Normal"/>
  </r>
  <r>
    <s v="DEAL-01068"/>
    <x v="7"/>
    <s v="CLI-0131"/>
    <x v="3"/>
    <x v="0"/>
    <x v="4"/>
    <n v="33949"/>
    <d v="2024-08-23T00:00:00"/>
    <m/>
    <m/>
    <n v="1"/>
    <x v="2"/>
    <x v="8"/>
    <s v="Normal"/>
  </r>
  <r>
    <s v="DEAL-01930"/>
    <x v="7"/>
    <s v="CLI-0103"/>
    <x v="5"/>
    <x v="8"/>
    <x v="4"/>
    <n v="54639"/>
    <d v="2025-01-05T00:00:00"/>
    <m/>
    <m/>
    <n v="0.7"/>
    <x v="1"/>
    <x v="4"/>
    <s v="Normal"/>
  </r>
  <r>
    <s v="DEAL-00902"/>
    <x v="1"/>
    <s v="CLI-0281"/>
    <x v="3"/>
    <x v="0"/>
    <x v="4"/>
    <n v="24721"/>
    <d v="2025-02-09T00:00:00"/>
    <m/>
    <m/>
    <m/>
    <x v="2"/>
    <x v="4"/>
    <s v="Normal"/>
  </r>
  <r>
    <s v="DEAL-00259"/>
    <x v="9"/>
    <s v="CLI-0284"/>
    <x v="0"/>
    <x v="6"/>
    <x v="0"/>
    <n v="117062"/>
    <d v="2023-03-07T00:00:00"/>
    <d v="2023-08-05T00:00:00"/>
    <n v="151"/>
    <n v="7.1"/>
    <x v="0"/>
    <x v="2"/>
    <s v="Normal"/>
  </r>
  <r>
    <s v="DEAL-00391"/>
    <x v="11"/>
    <s v="CLI-0044"/>
    <x v="1"/>
    <x v="8"/>
    <x v="3"/>
    <n v="338895"/>
    <d v="2024-07-20T00:00:00"/>
    <d v="2024-09-13T00:00:00"/>
    <n v="55"/>
    <n v="5.0999999999999996"/>
    <x v="3"/>
    <x v="8"/>
    <s v="Normal"/>
  </r>
  <r>
    <s v="DEAL-02145"/>
    <x v="0"/>
    <s v="CLI-0026"/>
    <x v="2"/>
    <x v="1"/>
    <x v="3"/>
    <n v="127582"/>
    <d v="2023-07-27T00:00:00"/>
    <d v="2023-10-10T00:00:00"/>
    <n v="75"/>
    <n v="12"/>
    <x v="2"/>
    <x v="6"/>
    <s v="Normal"/>
  </r>
  <r>
    <s v="DEAL-01797"/>
    <x v="0"/>
    <s v="CLI-0087"/>
    <x v="3"/>
    <x v="2"/>
    <x v="5"/>
    <n v="164094"/>
    <d v="2024-05-12T00:00:00"/>
    <m/>
    <m/>
    <m/>
    <x v="0"/>
    <x v="7"/>
    <s v="Normal"/>
  </r>
  <r>
    <s v="DEAL-01838"/>
    <x v="7"/>
    <s v="CLI-0290"/>
    <x v="2"/>
    <x v="2"/>
    <x v="1"/>
    <n v="382498"/>
    <d v="2023-06-01T00:00:00"/>
    <m/>
    <m/>
    <n v="14.4"/>
    <x v="0"/>
    <x v="1"/>
    <s v="Normal"/>
  </r>
  <r>
    <s v="DEAL-00563"/>
    <x v="5"/>
    <s v="CLI-0121"/>
    <x v="5"/>
    <x v="7"/>
    <x v="1"/>
    <n v="109622"/>
    <d v="2023-03-07T00:00:00"/>
    <m/>
    <m/>
    <m/>
    <x v="2"/>
    <x v="2"/>
    <s v="Normal"/>
  </r>
  <r>
    <s v="DEAL-02047"/>
    <x v="2"/>
    <s v="CLI-0222"/>
    <x v="0"/>
    <x v="0"/>
    <x v="5"/>
    <n v="286439"/>
    <d v="2024-04-28T00:00:00"/>
    <m/>
    <m/>
    <n v="2.4"/>
    <x v="0"/>
    <x v="7"/>
    <s v="Normal"/>
  </r>
  <r>
    <s v="DEAL-00696"/>
    <x v="6"/>
    <s v="CLI-0028"/>
    <x v="4"/>
    <x v="7"/>
    <x v="2"/>
    <n v="21741"/>
    <d v="2023-02-05T00:00:00"/>
    <m/>
    <m/>
    <n v="13.5"/>
    <x v="2"/>
    <x v="2"/>
    <s v="Normal"/>
  </r>
  <r>
    <s v="DEAL-00112"/>
    <x v="13"/>
    <s v="CLI-0267"/>
    <x v="1"/>
    <x v="7"/>
    <x v="4"/>
    <n v="250796"/>
    <d v="2025-02-04T00:00:00"/>
    <m/>
    <m/>
    <n v="8.8000000000000007"/>
    <x v="0"/>
    <x v="4"/>
    <s v="Normal"/>
  </r>
  <r>
    <s v="DEAL-00618"/>
    <x v="1"/>
    <s v="CLI-0221"/>
    <x v="2"/>
    <x v="6"/>
    <x v="5"/>
    <n v="307840"/>
    <d v="2023-07-10T00:00:00"/>
    <m/>
    <m/>
    <n v="12.7"/>
    <x v="0"/>
    <x v="6"/>
    <s v="Normal"/>
  </r>
  <r>
    <s v="DEAL-02472"/>
    <x v="13"/>
    <s v="CLI-0260"/>
    <x v="2"/>
    <x v="7"/>
    <x v="3"/>
    <n v="160723"/>
    <d v="2024-11-02T00:00:00"/>
    <d v="2025-01-18T00:00:00"/>
    <n v="77"/>
    <n v="14.8"/>
    <x v="3"/>
    <x v="3"/>
    <s v="Normal"/>
  </r>
  <r>
    <s v="DEAL-00302"/>
    <x v="11"/>
    <s v="CLI-0154"/>
    <x v="2"/>
    <x v="8"/>
    <x v="2"/>
    <n v="201377"/>
    <d v="2025-03-26T00:00:00"/>
    <m/>
    <m/>
    <n v="1.9"/>
    <x v="1"/>
    <x v="4"/>
    <s v="Normal"/>
  </r>
  <r>
    <s v="DEAL-01573"/>
    <x v="7"/>
    <s v="CLI-0120"/>
    <x v="1"/>
    <x v="2"/>
    <x v="5"/>
    <n v="365574"/>
    <d v="2023-11-25T00:00:00"/>
    <m/>
    <m/>
    <m/>
    <x v="3"/>
    <x v="0"/>
    <s v="Normal"/>
  </r>
  <r>
    <s v="DEAL-00948"/>
    <x v="13"/>
    <s v="CLI-0282"/>
    <x v="5"/>
    <x v="3"/>
    <x v="0"/>
    <n v="252076"/>
    <d v="2023-05-29T00:00:00"/>
    <d v="2023-07-07T00:00:00"/>
    <n v="39"/>
    <n v="6.6"/>
    <x v="3"/>
    <x v="1"/>
    <s v="Normal"/>
  </r>
  <r>
    <s v="DEAL-01352"/>
    <x v="13"/>
    <s v="CLI-0216"/>
    <x v="5"/>
    <x v="2"/>
    <x v="5"/>
    <n v="205779"/>
    <d v="2023-09-19T00:00:00"/>
    <m/>
    <m/>
    <m/>
    <x v="2"/>
    <x v="6"/>
    <s v="Normal"/>
  </r>
  <r>
    <s v="DEAL-00856"/>
    <x v="9"/>
    <s v="CLI-0255"/>
    <x v="2"/>
    <x v="5"/>
    <x v="5"/>
    <n v="993083"/>
    <d v="2025-02-02T00:00:00"/>
    <m/>
    <m/>
    <n v="13.1"/>
    <x v="0"/>
    <x v="4"/>
    <s v="High Outlier"/>
  </r>
  <r>
    <s v="DEAL-01088"/>
    <x v="10"/>
    <s v="CLI-0213"/>
    <x v="3"/>
    <x v="3"/>
    <x v="4"/>
    <n v="142979"/>
    <d v="2024-03-27T00:00:00"/>
    <m/>
    <m/>
    <n v="1"/>
    <x v="0"/>
    <x v="5"/>
    <s v="Normal"/>
  </r>
  <r>
    <s v="DEAL-02016"/>
    <x v="11"/>
    <s v="CLI-0090"/>
    <x v="3"/>
    <x v="0"/>
    <x v="4"/>
    <n v="78693"/>
    <d v="2024-03-01T00:00:00"/>
    <m/>
    <m/>
    <n v="10.7"/>
    <x v="3"/>
    <x v="5"/>
    <s v="Normal"/>
  </r>
  <r>
    <s v="DEAL-00575"/>
    <x v="9"/>
    <s v="CLI-0043"/>
    <x v="5"/>
    <x v="7"/>
    <x v="5"/>
    <n v="304564"/>
    <d v="2023-09-09T00:00:00"/>
    <m/>
    <m/>
    <n v="4.9000000000000004"/>
    <x v="2"/>
    <x v="6"/>
    <s v="Normal"/>
  </r>
  <r>
    <s v="DEAL-02172"/>
    <x v="11"/>
    <s v="CLI-0218"/>
    <x v="5"/>
    <x v="6"/>
    <x v="3"/>
    <n v="336343"/>
    <d v="2023-08-08T00:00:00"/>
    <d v="2023-10-01T00:00:00"/>
    <n v="54"/>
    <n v="21.6"/>
    <x v="1"/>
    <x v="6"/>
    <s v="Normal"/>
  </r>
  <r>
    <s v="DEAL-01756"/>
    <x v="12"/>
    <s v="CLI-0202"/>
    <x v="1"/>
    <x v="2"/>
    <x v="4"/>
    <n v="494444"/>
    <d v="2024-12-26T00:00:00"/>
    <m/>
    <m/>
    <n v="11.8"/>
    <x v="2"/>
    <x v="3"/>
    <s v="Normal"/>
  </r>
  <r>
    <s v="DEAL-01061"/>
    <x v="5"/>
    <s v="CLI-0098"/>
    <x v="1"/>
    <x v="1"/>
    <x v="2"/>
    <n v="174537"/>
    <d v="2025-03-20T00:00:00"/>
    <m/>
    <m/>
    <n v="7.1"/>
    <x v="2"/>
    <x v="4"/>
    <s v="Normal"/>
  </r>
  <r>
    <s v="DEAL-01953"/>
    <x v="13"/>
    <s v="CLI-0223"/>
    <x v="0"/>
    <x v="2"/>
    <x v="2"/>
    <n v="472256"/>
    <d v="2024-12-11T00:00:00"/>
    <m/>
    <m/>
    <m/>
    <x v="1"/>
    <x v="3"/>
    <s v="Normal"/>
  </r>
  <r>
    <s v="DEAL-01307"/>
    <x v="13"/>
    <s v="CLI-0208"/>
    <x v="4"/>
    <x v="5"/>
    <x v="3"/>
    <n v="135885"/>
    <d v="2024-04-12T00:00:00"/>
    <d v="2024-05-11T00:00:00"/>
    <n v="29"/>
    <n v="20.100000000000001"/>
    <x v="0"/>
    <x v="7"/>
    <s v="Normal"/>
  </r>
  <r>
    <s v="DEAL-00605"/>
    <x v="14"/>
    <s v="CLI-0187"/>
    <x v="4"/>
    <x v="2"/>
    <x v="4"/>
    <n v="471492"/>
    <d v="2025-01-07T00:00:00"/>
    <m/>
    <m/>
    <m/>
    <x v="3"/>
    <x v="4"/>
    <s v="Normal"/>
  </r>
  <r>
    <s v="DEAL-01304"/>
    <x v="11"/>
    <s v="CLI-0297"/>
    <x v="5"/>
    <x v="4"/>
    <x v="5"/>
    <n v="220822"/>
    <d v="2023-06-19T00:00:00"/>
    <m/>
    <m/>
    <n v="9"/>
    <x v="1"/>
    <x v="1"/>
    <s v="Normal"/>
  </r>
  <r>
    <s v="DEAL-00510"/>
    <x v="15"/>
    <s v="CLI-0273"/>
    <x v="2"/>
    <x v="2"/>
    <x v="5"/>
    <n v="423644"/>
    <d v="2023-05-04T00:00:00"/>
    <m/>
    <m/>
    <n v="8.4"/>
    <x v="2"/>
    <x v="1"/>
    <s v="Normal"/>
  </r>
  <r>
    <s v="DEAL-01613"/>
    <x v="2"/>
    <s v="CLI-0199"/>
    <x v="5"/>
    <x v="7"/>
    <x v="4"/>
    <n v="269518"/>
    <d v="2024-09-27T00:00:00"/>
    <m/>
    <m/>
    <n v="8.1"/>
    <x v="1"/>
    <x v="8"/>
    <s v="Normal"/>
  </r>
  <r>
    <s v="DEAL-00216"/>
    <x v="10"/>
    <s v="CLI-0222"/>
    <x v="2"/>
    <x v="2"/>
    <x v="3"/>
    <n v="447090"/>
    <d v="2025-02-19T00:00:00"/>
    <d v="2025-04-10T00:00:00"/>
    <n v="50"/>
    <n v="11.5"/>
    <x v="0"/>
    <x v="4"/>
    <s v="Normal"/>
  </r>
  <r>
    <s v="DEAL-01251"/>
    <x v="9"/>
    <s v="CLI-0059"/>
    <x v="1"/>
    <x v="5"/>
    <x v="0"/>
    <n v="268608"/>
    <d v="2023-03-31T00:00:00"/>
    <d v="2023-05-25T00:00:00"/>
    <n v="55"/>
    <n v="1.8"/>
    <x v="2"/>
    <x v="2"/>
    <s v="Normal"/>
  </r>
  <r>
    <s v="DEAL-00515"/>
    <x v="7"/>
    <s v="CLI-0070"/>
    <x v="0"/>
    <x v="1"/>
    <x v="0"/>
    <n v="98716"/>
    <d v="2024-08-23T00:00:00"/>
    <d v="2024-12-09T00:00:00"/>
    <n v="108"/>
    <n v="14.1"/>
    <x v="3"/>
    <x v="8"/>
    <s v="Normal"/>
  </r>
  <r>
    <s v="DEAL-00995"/>
    <x v="1"/>
    <s v="CLI-0056"/>
    <x v="0"/>
    <x v="5"/>
    <x v="5"/>
    <n v="156291"/>
    <d v="2025-02-23T00:00:00"/>
    <m/>
    <m/>
    <n v="1.7"/>
    <x v="3"/>
    <x v="4"/>
    <s v="Normal"/>
  </r>
  <r>
    <s v="DEAL-02401"/>
    <x v="7"/>
    <s v="CLI-0237"/>
    <x v="4"/>
    <x v="6"/>
    <x v="2"/>
    <n v="315275"/>
    <d v="2023-02-14T00:00:00"/>
    <m/>
    <m/>
    <n v="8.5"/>
    <x v="1"/>
    <x v="2"/>
    <s v="Normal"/>
  </r>
  <r>
    <s v="DEAL-01187"/>
    <x v="1"/>
    <s v="CLI-0079"/>
    <x v="3"/>
    <x v="6"/>
    <x v="5"/>
    <n v="222128"/>
    <d v="2024-12-20T00:00:00"/>
    <m/>
    <m/>
    <n v="4.3"/>
    <x v="0"/>
    <x v="3"/>
    <s v="Normal"/>
  </r>
  <r>
    <s v="DEAL-00449"/>
    <x v="12"/>
    <s v="CLI-0099"/>
    <x v="3"/>
    <x v="2"/>
    <x v="1"/>
    <n v="305623"/>
    <d v="2024-12-20T00:00:00"/>
    <m/>
    <m/>
    <n v="12.5"/>
    <x v="2"/>
    <x v="3"/>
    <s v="Normal"/>
  </r>
  <r>
    <s v="DEAL-02117"/>
    <x v="12"/>
    <s v="CLI-0008"/>
    <x v="3"/>
    <x v="4"/>
    <x v="1"/>
    <n v="203684"/>
    <d v="2023-06-27T00:00:00"/>
    <m/>
    <m/>
    <n v="0.7"/>
    <x v="3"/>
    <x v="1"/>
    <s v="Normal"/>
  </r>
  <r>
    <s v="DEAL-00113"/>
    <x v="12"/>
    <s v="CLI-0031"/>
    <x v="1"/>
    <x v="2"/>
    <x v="3"/>
    <n v="10714"/>
    <d v="2023-03-14T00:00:00"/>
    <d v="2023-07-05T00:00:00"/>
    <n v="113"/>
    <n v="8.3000000000000007"/>
    <x v="3"/>
    <x v="2"/>
    <s v="Normal"/>
  </r>
  <r>
    <s v="DEAL-01241"/>
    <x v="11"/>
    <s v="CLI-0030"/>
    <x v="3"/>
    <x v="2"/>
    <x v="4"/>
    <n v="229215"/>
    <d v="2023-12-02T00:00:00"/>
    <m/>
    <m/>
    <n v="8.9"/>
    <x v="2"/>
    <x v="0"/>
    <s v="Normal"/>
  </r>
  <r>
    <s v="DEAL-00590"/>
    <x v="14"/>
    <s v="CLI-0107"/>
    <x v="1"/>
    <x v="5"/>
    <x v="0"/>
    <n v="34379"/>
    <d v="2025-02-19T00:00:00"/>
    <d v="2025-08-06T00:00:00"/>
    <n v="168"/>
    <m/>
    <x v="2"/>
    <x v="4"/>
    <s v="Normal"/>
  </r>
  <r>
    <s v="DEAL-00704"/>
    <x v="12"/>
    <s v="CLI-0220"/>
    <x v="1"/>
    <x v="6"/>
    <x v="1"/>
    <n v="229664"/>
    <d v="2024-05-28T00:00:00"/>
    <m/>
    <m/>
    <n v="8.1999999999999993"/>
    <x v="3"/>
    <x v="7"/>
    <s v="Normal"/>
  </r>
  <r>
    <s v="DEAL-00011"/>
    <x v="15"/>
    <s v="CLI-0006"/>
    <x v="3"/>
    <x v="1"/>
    <x v="3"/>
    <n v="140402"/>
    <d v="2023-04-04T00:00:00"/>
    <d v="2023-09-24T00:00:00"/>
    <n v="173"/>
    <n v="24.2"/>
    <x v="3"/>
    <x v="1"/>
    <s v="Normal"/>
  </r>
  <r>
    <s v="DEAL-00955"/>
    <x v="14"/>
    <s v="CLI-0071"/>
    <x v="5"/>
    <x v="3"/>
    <x v="5"/>
    <n v="420264"/>
    <d v="2025-02-25T00:00:00"/>
    <m/>
    <m/>
    <m/>
    <x v="3"/>
    <x v="4"/>
    <s v="Normal"/>
  </r>
  <r>
    <s v="DEAL-00107"/>
    <x v="6"/>
    <s v="CLI-0076"/>
    <x v="3"/>
    <x v="2"/>
    <x v="4"/>
    <n v="205813"/>
    <d v="2025-01-07T00:00:00"/>
    <m/>
    <m/>
    <n v="2.9"/>
    <x v="2"/>
    <x v="4"/>
    <s v="Normal"/>
  </r>
  <r>
    <s v="DEAL-02062"/>
    <x v="9"/>
    <s v="CLI-0144"/>
    <x v="3"/>
    <x v="4"/>
    <x v="1"/>
    <n v="213842"/>
    <d v="2024-04-23T00:00:00"/>
    <m/>
    <m/>
    <m/>
    <x v="3"/>
    <x v="7"/>
    <s v="Normal"/>
  </r>
  <r>
    <s v="DEAL-00170"/>
    <x v="8"/>
    <s v="CLI-0133"/>
    <x v="2"/>
    <x v="5"/>
    <x v="2"/>
    <n v="370430"/>
    <d v="2023-12-02T00:00:00"/>
    <m/>
    <m/>
    <m/>
    <x v="0"/>
    <x v="0"/>
    <s v="Normal"/>
  </r>
  <r>
    <s v="DEAL-01464"/>
    <x v="3"/>
    <s v="CLI-0267"/>
    <x v="3"/>
    <x v="5"/>
    <x v="1"/>
    <n v="223722"/>
    <d v="2024-05-28T00:00:00"/>
    <m/>
    <m/>
    <m/>
    <x v="1"/>
    <x v="7"/>
    <s v="Normal"/>
  </r>
  <r>
    <s v="DEAL-00508"/>
    <x v="9"/>
    <s v="CLI-0046"/>
    <x v="4"/>
    <x v="1"/>
    <x v="1"/>
    <n v="37362"/>
    <d v="2024-03-26T00:00:00"/>
    <m/>
    <m/>
    <n v="6.4"/>
    <x v="2"/>
    <x v="5"/>
    <s v="Normal"/>
  </r>
  <r>
    <s v="DEAL-00428"/>
    <x v="2"/>
    <s v="CLI-0210"/>
    <x v="5"/>
    <x v="7"/>
    <x v="4"/>
    <n v="238493"/>
    <d v="2023-11-27T00:00:00"/>
    <m/>
    <m/>
    <m/>
    <x v="1"/>
    <x v="0"/>
    <s v="Normal"/>
  </r>
  <r>
    <s v="DEAL-01317"/>
    <x v="1"/>
    <s v="CLI-0128"/>
    <x v="5"/>
    <x v="2"/>
    <x v="3"/>
    <n v="246422"/>
    <d v="2024-01-17T00:00:00"/>
    <d v="2024-05-22T00:00:00"/>
    <n v="126"/>
    <n v="3"/>
    <x v="2"/>
    <x v="5"/>
    <s v="Normal"/>
  </r>
  <r>
    <s v="DEAL-02478"/>
    <x v="5"/>
    <s v="CLI-0084"/>
    <x v="4"/>
    <x v="7"/>
    <x v="4"/>
    <n v="139534"/>
    <d v="2023-04-30T00:00:00"/>
    <m/>
    <m/>
    <m/>
    <x v="2"/>
    <x v="1"/>
    <s v="Normal"/>
  </r>
  <r>
    <s v="DEAL-02144"/>
    <x v="5"/>
    <s v="CLI-0269"/>
    <x v="3"/>
    <x v="3"/>
    <x v="2"/>
    <n v="458892"/>
    <d v="2023-03-08T00:00:00"/>
    <m/>
    <m/>
    <n v="4.8"/>
    <x v="3"/>
    <x v="2"/>
    <s v="Normal"/>
  </r>
  <r>
    <s v="DEAL-02261"/>
    <x v="9"/>
    <s v="CLI-0041"/>
    <x v="2"/>
    <x v="6"/>
    <x v="2"/>
    <n v="111386"/>
    <d v="2024-09-11T00:00:00"/>
    <m/>
    <m/>
    <n v="13"/>
    <x v="2"/>
    <x v="8"/>
    <s v="Normal"/>
  </r>
  <r>
    <s v="DEAL-00564"/>
    <x v="5"/>
    <s v="CLI-0067"/>
    <x v="2"/>
    <x v="4"/>
    <x v="5"/>
    <n v="419685"/>
    <d v="2025-03-19T00:00:00"/>
    <m/>
    <m/>
    <m/>
    <x v="3"/>
    <x v="4"/>
    <s v="Normal"/>
  </r>
  <r>
    <s v="DEAL-01661"/>
    <x v="3"/>
    <s v="CLI-0223"/>
    <x v="5"/>
    <x v="5"/>
    <x v="2"/>
    <n v="273956"/>
    <d v="2023-06-05T00:00:00"/>
    <m/>
    <m/>
    <n v="10.3"/>
    <x v="0"/>
    <x v="1"/>
    <s v="Normal"/>
  </r>
  <r>
    <s v="DEAL-01265"/>
    <x v="7"/>
    <s v="CLI-0160"/>
    <x v="5"/>
    <x v="2"/>
    <x v="5"/>
    <n v="320000"/>
    <d v="2023-05-24T00:00:00"/>
    <m/>
    <m/>
    <n v="3.9"/>
    <x v="1"/>
    <x v="1"/>
    <s v="Normal"/>
  </r>
  <r>
    <s v="DEAL-02052"/>
    <x v="0"/>
    <s v="CLI-0283"/>
    <x v="3"/>
    <x v="7"/>
    <x v="3"/>
    <n v="499075"/>
    <d v="2024-09-29T00:00:00"/>
    <d v="2025-02-01T00:00:00"/>
    <n v="125"/>
    <n v="11.7"/>
    <x v="3"/>
    <x v="8"/>
    <s v="Normal"/>
  </r>
  <r>
    <s v="DEAL-01834"/>
    <x v="8"/>
    <s v="CLI-0104"/>
    <x v="1"/>
    <x v="3"/>
    <x v="3"/>
    <n v="487021"/>
    <d v="2023-06-20T00:00:00"/>
    <d v="2023-11-05T00:00:00"/>
    <n v="138"/>
    <n v="23.2"/>
    <x v="3"/>
    <x v="1"/>
    <s v="Normal"/>
  </r>
  <r>
    <s v="DEAL-01295"/>
    <x v="14"/>
    <s v="CLI-0236"/>
    <x v="0"/>
    <x v="6"/>
    <x v="3"/>
    <n v="410997"/>
    <d v="2024-02-16T00:00:00"/>
    <d v="2024-06-23T00:00:00"/>
    <n v="128"/>
    <n v="9.8000000000000007"/>
    <x v="1"/>
    <x v="5"/>
    <s v="Normal"/>
  </r>
  <r>
    <s v="DEAL-00874"/>
    <x v="13"/>
    <s v="CLI-0128"/>
    <x v="1"/>
    <x v="5"/>
    <x v="3"/>
    <n v="425448"/>
    <d v="2023-02-23T00:00:00"/>
    <d v="2023-05-17T00:00:00"/>
    <n v="83"/>
    <n v="16.600000000000001"/>
    <x v="2"/>
    <x v="2"/>
    <s v="Normal"/>
  </r>
  <r>
    <s v="DEAL-01588"/>
    <x v="14"/>
    <s v="CLI-0095"/>
    <x v="2"/>
    <x v="4"/>
    <x v="4"/>
    <n v="453582"/>
    <d v="2024-05-04T00:00:00"/>
    <m/>
    <m/>
    <n v="11.2"/>
    <x v="3"/>
    <x v="7"/>
    <s v="Normal"/>
  </r>
  <r>
    <s v="DEAL-01667"/>
    <x v="8"/>
    <s v="CLI-0024"/>
    <x v="2"/>
    <x v="7"/>
    <x v="4"/>
    <n v="59161"/>
    <d v="2023-12-04T00:00:00"/>
    <m/>
    <m/>
    <n v="9.4"/>
    <x v="1"/>
    <x v="0"/>
    <s v="Normal"/>
  </r>
  <r>
    <s v="DEAL-02412"/>
    <x v="11"/>
    <s v="CLI-0066"/>
    <x v="2"/>
    <x v="2"/>
    <x v="3"/>
    <n v="25739"/>
    <d v="2023-08-03T00:00:00"/>
    <d v="2024-01-28T00:00:00"/>
    <n v="178"/>
    <n v="9.6"/>
    <x v="1"/>
    <x v="6"/>
    <s v="Normal"/>
  </r>
  <r>
    <s v="DEAL-01407"/>
    <x v="2"/>
    <s v="CLI-0219"/>
    <x v="4"/>
    <x v="6"/>
    <x v="4"/>
    <n v="80628"/>
    <d v="2024-05-06T00:00:00"/>
    <m/>
    <m/>
    <n v="3.3"/>
    <x v="1"/>
    <x v="7"/>
    <s v="Normal"/>
  </r>
  <r>
    <s v="DEAL-01356"/>
    <x v="15"/>
    <s v="CLI-0067"/>
    <x v="2"/>
    <x v="4"/>
    <x v="5"/>
    <n v="138115"/>
    <d v="2024-10-19T00:00:00"/>
    <m/>
    <m/>
    <m/>
    <x v="3"/>
    <x v="3"/>
    <s v="Normal"/>
  </r>
  <r>
    <s v="DEAL-00894"/>
    <x v="14"/>
    <s v="CLI-0188"/>
    <x v="4"/>
    <x v="5"/>
    <x v="3"/>
    <n v="221825"/>
    <d v="2023-03-31T00:00:00"/>
    <d v="2023-08-09T00:00:00"/>
    <n v="131"/>
    <n v="4.5"/>
    <x v="2"/>
    <x v="2"/>
    <s v="Normal"/>
  </r>
  <r>
    <s v="DEAL-01466"/>
    <x v="12"/>
    <s v="CLI-0114"/>
    <x v="0"/>
    <x v="2"/>
    <x v="3"/>
    <n v="70724"/>
    <d v="2025-03-11T00:00:00"/>
    <d v="2025-04-21T00:00:00"/>
    <n v="41"/>
    <n v="23.4"/>
    <x v="2"/>
    <x v="4"/>
    <s v="Normal"/>
  </r>
  <r>
    <s v="DEAL-01940"/>
    <x v="4"/>
    <s v="CLI-0152"/>
    <x v="0"/>
    <x v="2"/>
    <x v="3"/>
    <n v="142582"/>
    <d v="2025-03-30T00:00:00"/>
    <d v="2025-06-13T00:00:00"/>
    <n v="75"/>
    <n v="8.1"/>
    <x v="0"/>
    <x v="4"/>
    <s v="Normal"/>
  </r>
  <r>
    <s v="DEAL-00037"/>
    <x v="2"/>
    <s v="CLI-0030"/>
    <x v="0"/>
    <x v="2"/>
    <x v="5"/>
    <n v="118400"/>
    <d v="2024-08-17T00:00:00"/>
    <m/>
    <m/>
    <n v="8.1"/>
    <x v="1"/>
    <x v="8"/>
    <s v="Normal"/>
  </r>
  <r>
    <s v="DEAL-01132"/>
    <x v="10"/>
    <s v="CLI-0232"/>
    <x v="2"/>
    <x v="2"/>
    <x v="5"/>
    <n v="273535"/>
    <d v="2025-01-08T00:00:00"/>
    <m/>
    <m/>
    <n v="13.7"/>
    <x v="0"/>
    <x v="4"/>
    <s v="Normal"/>
  </r>
  <r>
    <s v="DEAL-01565"/>
    <x v="6"/>
    <s v="CLI-0153"/>
    <x v="2"/>
    <x v="5"/>
    <x v="5"/>
    <n v="66441"/>
    <d v="2023-07-24T00:00:00"/>
    <m/>
    <m/>
    <m/>
    <x v="3"/>
    <x v="6"/>
    <s v="Normal"/>
  </r>
  <r>
    <s v="DEAL-01478"/>
    <x v="1"/>
    <s v="CLI-0189"/>
    <x v="5"/>
    <x v="4"/>
    <x v="2"/>
    <n v="187228"/>
    <d v="2023-10-16T00:00:00"/>
    <m/>
    <m/>
    <n v="12.7"/>
    <x v="3"/>
    <x v="0"/>
    <s v="Normal"/>
  </r>
  <r>
    <s v="DEAL-01979"/>
    <x v="3"/>
    <s v="CLI-0103"/>
    <x v="4"/>
    <x v="5"/>
    <x v="3"/>
    <n v="222954"/>
    <d v="2024-08-22T00:00:00"/>
    <d v="2024-09-21T00:00:00"/>
    <n v="30"/>
    <n v="16.600000000000001"/>
    <x v="0"/>
    <x v="8"/>
    <s v="Normal"/>
  </r>
  <r>
    <s v="DEAL-01680"/>
    <x v="1"/>
    <s v="CLI-0136"/>
    <x v="2"/>
    <x v="0"/>
    <x v="3"/>
    <n v="55016"/>
    <d v="2023-12-02T00:00:00"/>
    <d v="2024-05-12T00:00:00"/>
    <n v="162"/>
    <n v="16"/>
    <x v="1"/>
    <x v="0"/>
    <s v="Normal"/>
  </r>
  <r>
    <s v="DEAL-01145"/>
    <x v="0"/>
    <s v="CLI-0199"/>
    <x v="0"/>
    <x v="6"/>
    <x v="4"/>
    <n v="368755"/>
    <d v="2023-07-05T00:00:00"/>
    <m/>
    <m/>
    <n v="1.8"/>
    <x v="0"/>
    <x v="6"/>
    <s v="Normal"/>
  </r>
  <r>
    <s v="DEAL-02321"/>
    <x v="9"/>
    <s v="CLI-0098"/>
    <x v="4"/>
    <x v="7"/>
    <x v="5"/>
    <n v="110892"/>
    <d v="2024-11-27T00:00:00"/>
    <m/>
    <m/>
    <n v="3.6"/>
    <x v="0"/>
    <x v="3"/>
    <s v="Normal"/>
  </r>
  <r>
    <s v="DEAL-00998"/>
    <x v="13"/>
    <s v="CLI-0223"/>
    <x v="0"/>
    <x v="6"/>
    <x v="1"/>
    <n v="235059"/>
    <d v="2024-08-25T00:00:00"/>
    <m/>
    <m/>
    <n v="8.1999999999999993"/>
    <x v="2"/>
    <x v="8"/>
    <s v="Normal"/>
  </r>
  <r>
    <s v="DEAL-01259"/>
    <x v="0"/>
    <s v="CLI-0065"/>
    <x v="3"/>
    <x v="7"/>
    <x v="3"/>
    <n v="57430"/>
    <d v="2024-08-16T00:00:00"/>
    <d v="2024-09-14T00:00:00"/>
    <n v="29"/>
    <n v="8.3000000000000007"/>
    <x v="0"/>
    <x v="8"/>
    <s v="Normal"/>
  </r>
  <r>
    <s v="DEAL-00628"/>
    <x v="13"/>
    <s v="CLI-0083"/>
    <x v="0"/>
    <x v="6"/>
    <x v="2"/>
    <n v="429450"/>
    <d v="2024-07-30T00:00:00"/>
    <m/>
    <m/>
    <m/>
    <x v="1"/>
    <x v="8"/>
    <s v="Normal"/>
  </r>
  <r>
    <s v="DEAL-01819"/>
    <x v="0"/>
    <s v="CLI-0141"/>
    <x v="5"/>
    <x v="0"/>
    <x v="3"/>
    <n v="478999"/>
    <d v="2024-09-15T00:00:00"/>
    <d v="2025-01-07T00:00:00"/>
    <n v="114"/>
    <n v="0.8"/>
    <x v="3"/>
    <x v="8"/>
    <s v="Normal"/>
  </r>
  <r>
    <s v="DEAL-00652"/>
    <x v="11"/>
    <s v="CLI-0173"/>
    <x v="3"/>
    <x v="2"/>
    <x v="1"/>
    <n v="118240"/>
    <d v="2024-11-14T00:00:00"/>
    <m/>
    <m/>
    <n v="2.6"/>
    <x v="1"/>
    <x v="3"/>
    <s v="Normal"/>
  </r>
  <r>
    <s v="DEAL-01270"/>
    <x v="9"/>
    <s v="CLI-0127"/>
    <x v="0"/>
    <x v="0"/>
    <x v="0"/>
    <n v="344311"/>
    <d v="2025-01-24T00:00:00"/>
    <d v="2025-05-14T00:00:00"/>
    <n v="110"/>
    <m/>
    <x v="1"/>
    <x v="4"/>
    <s v="Normal"/>
  </r>
  <r>
    <s v="DEAL-00279"/>
    <x v="14"/>
    <s v="CLI-0111"/>
    <x v="4"/>
    <x v="2"/>
    <x v="1"/>
    <n v="110907"/>
    <d v="2023-05-25T00:00:00"/>
    <m/>
    <m/>
    <m/>
    <x v="1"/>
    <x v="1"/>
    <s v="Normal"/>
  </r>
  <r>
    <s v="DEAL-02109"/>
    <x v="3"/>
    <s v="CLI-0024"/>
    <x v="2"/>
    <x v="5"/>
    <x v="4"/>
    <n v="305509"/>
    <d v="2024-03-07T00:00:00"/>
    <m/>
    <m/>
    <n v="9.9"/>
    <x v="1"/>
    <x v="5"/>
    <s v="Normal"/>
  </r>
  <r>
    <s v="DEAL-02103"/>
    <x v="13"/>
    <s v="CLI-0175"/>
    <x v="4"/>
    <x v="6"/>
    <x v="3"/>
    <n v="456898"/>
    <d v="2023-12-03T00:00:00"/>
    <d v="2024-03-04T00:00:00"/>
    <n v="92"/>
    <n v="12.5"/>
    <x v="0"/>
    <x v="0"/>
    <s v="Normal"/>
  </r>
  <r>
    <s v="DEAL-01092"/>
    <x v="15"/>
    <s v="CLI-0056"/>
    <x v="0"/>
    <x v="2"/>
    <x v="3"/>
    <n v="63262"/>
    <d v="2024-05-02T00:00:00"/>
    <d v="2024-10-28T00:00:00"/>
    <n v="179"/>
    <n v="12.4"/>
    <x v="2"/>
    <x v="7"/>
    <s v="Normal"/>
  </r>
  <r>
    <s v="DEAL-02324"/>
    <x v="8"/>
    <s v="CLI-0237"/>
    <x v="4"/>
    <x v="0"/>
    <x v="3"/>
    <n v="153168"/>
    <d v="2024-07-28T00:00:00"/>
    <d v="2024-12-28T00:00:00"/>
    <n v="153"/>
    <n v="16.399999999999999"/>
    <x v="3"/>
    <x v="8"/>
    <s v="Normal"/>
  </r>
  <r>
    <s v="DEAL-00304"/>
    <x v="3"/>
    <s v="CLI-0141"/>
    <x v="1"/>
    <x v="2"/>
    <x v="3"/>
    <n v="123091"/>
    <d v="2024-12-22T00:00:00"/>
    <d v="2025-04-12T00:00:00"/>
    <n v="111"/>
    <n v="20.3"/>
    <x v="1"/>
    <x v="3"/>
    <s v="Normal"/>
  </r>
  <r>
    <s v="DEAL-00792"/>
    <x v="1"/>
    <s v="CLI-0119"/>
    <x v="4"/>
    <x v="0"/>
    <x v="4"/>
    <n v="31079"/>
    <d v="2023-09-13T00:00:00"/>
    <m/>
    <m/>
    <n v="11.2"/>
    <x v="0"/>
    <x v="6"/>
    <s v="Normal"/>
  </r>
  <r>
    <s v="DEAL-01362"/>
    <x v="11"/>
    <s v="CLI-0167"/>
    <x v="4"/>
    <x v="3"/>
    <x v="1"/>
    <n v="446384"/>
    <d v="2023-10-19T00:00:00"/>
    <m/>
    <m/>
    <m/>
    <x v="1"/>
    <x v="0"/>
    <s v="Normal"/>
  </r>
  <r>
    <s v="DEAL-00802"/>
    <x v="0"/>
    <s v="CLI-0192"/>
    <x v="5"/>
    <x v="3"/>
    <x v="3"/>
    <n v="64102"/>
    <d v="2023-05-21T00:00:00"/>
    <d v="2023-08-03T00:00:00"/>
    <n v="74"/>
    <n v="1.1000000000000001"/>
    <x v="0"/>
    <x v="1"/>
    <s v="Normal"/>
  </r>
  <r>
    <s v="DEAL-01256"/>
    <x v="13"/>
    <s v="CLI-0075"/>
    <x v="3"/>
    <x v="1"/>
    <x v="1"/>
    <n v="90721"/>
    <d v="2024-10-29T00:00:00"/>
    <m/>
    <m/>
    <n v="12.1"/>
    <x v="3"/>
    <x v="3"/>
    <s v="Normal"/>
  </r>
  <r>
    <s v="DEAL-01908"/>
    <x v="11"/>
    <s v="CLI-0182"/>
    <x v="1"/>
    <x v="2"/>
    <x v="0"/>
    <n v="471152"/>
    <d v="2023-09-26T00:00:00"/>
    <d v="2024-01-29T00:00:00"/>
    <n v="125"/>
    <n v="2.7"/>
    <x v="3"/>
    <x v="6"/>
    <s v="Normal"/>
  </r>
  <r>
    <s v="DEAL-01676"/>
    <x v="14"/>
    <s v="CLI-0131"/>
    <x v="3"/>
    <x v="4"/>
    <x v="4"/>
    <n v="343540"/>
    <d v="2024-05-04T00:00:00"/>
    <m/>
    <m/>
    <n v="4.8"/>
    <x v="2"/>
    <x v="7"/>
    <s v="Normal"/>
  </r>
  <r>
    <s v="DEAL-00227"/>
    <x v="15"/>
    <s v="CLI-0103"/>
    <x v="0"/>
    <x v="6"/>
    <x v="4"/>
    <n v="274671"/>
    <d v="2023-11-22T00:00:00"/>
    <m/>
    <m/>
    <n v="13.3"/>
    <x v="2"/>
    <x v="0"/>
    <s v="Normal"/>
  </r>
  <r>
    <s v="DEAL-01342"/>
    <x v="12"/>
    <s v="CLI-0019"/>
    <x v="2"/>
    <x v="3"/>
    <x v="2"/>
    <n v="17135"/>
    <d v="2024-01-29T00:00:00"/>
    <m/>
    <m/>
    <n v="1.1000000000000001"/>
    <x v="3"/>
    <x v="5"/>
    <s v="Normal"/>
  </r>
  <r>
    <s v="DEAL-01707"/>
    <x v="2"/>
    <s v="CLI-0243"/>
    <x v="3"/>
    <x v="6"/>
    <x v="2"/>
    <n v="315803"/>
    <d v="2023-05-10T00:00:00"/>
    <m/>
    <m/>
    <n v="10.1"/>
    <x v="1"/>
    <x v="1"/>
    <s v="Normal"/>
  </r>
  <r>
    <s v="DEAL-00040"/>
    <x v="2"/>
    <s v="CLI-0033"/>
    <x v="5"/>
    <x v="0"/>
    <x v="5"/>
    <n v="131064"/>
    <d v="2024-01-03T00:00:00"/>
    <m/>
    <m/>
    <n v="1.2"/>
    <x v="1"/>
    <x v="5"/>
    <s v="Normal"/>
  </r>
  <r>
    <s v="DEAL-02214"/>
    <x v="11"/>
    <s v="CLI-0078"/>
    <x v="2"/>
    <x v="6"/>
    <x v="3"/>
    <n v="391636"/>
    <d v="2023-09-11T00:00:00"/>
    <d v="2024-03-04T00:00:00"/>
    <n v="175"/>
    <n v="2.7"/>
    <x v="0"/>
    <x v="6"/>
    <s v="Normal"/>
  </r>
  <r>
    <s v="DEAL-00100"/>
    <x v="3"/>
    <s v="CLI-0141"/>
    <x v="3"/>
    <x v="6"/>
    <x v="4"/>
    <n v="203948"/>
    <d v="2024-03-25T00:00:00"/>
    <m/>
    <m/>
    <n v="3.7"/>
    <x v="1"/>
    <x v="5"/>
    <s v="Normal"/>
  </r>
  <r>
    <s v="DEAL-01334"/>
    <x v="11"/>
    <s v="CLI-0028"/>
    <x v="5"/>
    <x v="6"/>
    <x v="3"/>
    <n v="156119"/>
    <d v="2024-12-11T00:00:00"/>
    <d v="2024-12-31T00:00:00"/>
    <n v="20"/>
    <n v="13.4"/>
    <x v="3"/>
    <x v="3"/>
    <s v="Normal"/>
  </r>
  <r>
    <s v="DEAL-02400"/>
    <x v="14"/>
    <s v="CLI-0227"/>
    <x v="0"/>
    <x v="4"/>
    <x v="0"/>
    <n v="366544"/>
    <d v="2024-02-05T00:00:00"/>
    <d v="2024-07-02T00:00:00"/>
    <n v="148"/>
    <n v="1.1000000000000001"/>
    <x v="0"/>
    <x v="5"/>
    <s v="Normal"/>
  </r>
  <r>
    <s v="DEAL-00790"/>
    <x v="14"/>
    <s v="CLI-0047"/>
    <x v="3"/>
    <x v="3"/>
    <x v="2"/>
    <n v="331523"/>
    <d v="2023-07-17T00:00:00"/>
    <m/>
    <m/>
    <m/>
    <x v="1"/>
    <x v="6"/>
    <s v="Normal"/>
  </r>
  <r>
    <s v="DEAL-00334"/>
    <x v="6"/>
    <s v="CLI-0224"/>
    <x v="5"/>
    <x v="5"/>
    <x v="3"/>
    <n v="107968"/>
    <d v="2025-02-24T00:00:00"/>
    <d v="2025-04-09T00:00:00"/>
    <n v="44"/>
    <n v="24.9"/>
    <x v="1"/>
    <x v="4"/>
    <s v="Normal"/>
  </r>
  <r>
    <s v="DEAL-01399"/>
    <x v="13"/>
    <s v="CLI-0049"/>
    <x v="2"/>
    <x v="3"/>
    <x v="0"/>
    <n v="34681"/>
    <d v="2023-05-16T00:00:00"/>
    <d v="2023-07-26T00:00:00"/>
    <n v="71"/>
    <n v="2.2000000000000002"/>
    <x v="0"/>
    <x v="1"/>
    <s v="Normal"/>
  </r>
  <r>
    <s v="DEAL-00312"/>
    <x v="15"/>
    <s v="CLI-0116"/>
    <x v="3"/>
    <x v="6"/>
    <x v="3"/>
    <n v="20352"/>
    <d v="2024-07-03T00:00:00"/>
    <d v="2024-11-30T00:00:00"/>
    <n v="150"/>
    <n v="13"/>
    <x v="3"/>
    <x v="8"/>
    <s v="Normal"/>
  </r>
  <r>
    <s v="DEAL-02431"/>
    <x v="12"/>
    <s v="CLI-0123"/>
    <x v="3"/>
    <x v="3"/>
    <x v="5"/>
    <n v="154857"/>
    <d v="2023-04-20T00:00:00"/>
    <m/>
    <m/>
    <n v="8.6"/>
    <x v="0"/>
    <x v="1"/>
    <s v="Normal"/>
  </r>
  <r>
    <s v="DEAL-02450"/>
    <x v="9"/>
    <s v="CLI-0056"/>
    <x v="5"/>
    <x v="4"/>
    <x v="5"/>
    <n v="464984"/>
    <d v="2023-05-06T00:00:00"/>
    <m/>
    <m/>
    <m/>
    <x v="2"/>
    <x v="1"/>
    <s v="Normal"/>
  </r>
  <r>
    <s v="DEAL-01923"/>
    <x v="6"/>
    <s v="CLI-0041"/>
    <x v="1"/>
    <x v="0"/>
    <x v="3"/>
    <n v="149439"/>
    <d v="2023-12-22T00:00:00"/>
    <d v="2024-06-16T00:00:00"/>
    <n v="177"/>
    <n v="12"/>
    <x v="2"/>
    <x v="0"/>
    <s v="Normal"/>
  </r>
  <r>
    <s v="DEAL-01208"/>
    <x v="2"/>
    <s v="CLI-0277"/>
    <x v="0"/>
    <x v="6"/>
    <x v="1"/>
    <n v="224870"/>
    <d v="2023-06-17T00:00:00"/>
    <m/>
    <m/>
    <n v="14.1"/>
    <x v="1"/>
    <x v="1"/>
    <s v="Normal"/>
  </r>
  <r>
    <s v="DEAL-00414"/>
    <x v="8"/>
    <s v="CLI-0251"/>
    <x v="4"/>
    <x v="4"/>
    <x v="2"/>
    <n v="121183"/>
    <d v="2024-05-29T00:00:00"/>
    <m/>
    <m/>
    <n v="6.5"/>
    <x v="0"/>
    <x v="7"/>
    <s v="Normal"/>
  </r>
  <r>
    <s v="DEAL-01802"/>
    <x v="5"/>
    <s v="CLI-0172"/>
    <x v="1"/>
    <x v="1"/>
    <x v="3"/>
    <n v="208372"/>
    <d v="2024-11-23T00:00:00"/>
    <d v="2025-05-10T00:00:00"/>
    <n v="168"/>
    <n v="7.6"/>
    <x v="0"/>
    <x v="3"/>
    <s v="Normal"/>
  </r>
  <r>
    <s v="DEAL-02013"/>
    <x v="13"/>
    <s v="CLI-0055"/>
    <x v="5"/>
    <x v="3"/>
    <x v="4"/>
    <n v="464967"/>
    <d v="2024-09-28T00:00:00"/>
    <m/>
    <m/>
    <n v="4.4000000000000004"/>
    <x v="2"/>
    <x v="8"/>
    <s v="Normal"/>
  </r>
  <r>
    <s v="DEAL-00217"/>
    <x v="3"/>
    <s v="CLI-0069"/>
    <x v="2"/>
    <x v="0"/>
    <x v="0"/>
    <n v="187732"/>
    <d v="2024-11-17T00:00:00"/>
    <d v="2025-03-25T00:00:00"/>
    <n v="128"/>
    <n v="9.6999999999999993"/>
    <x v="3"/>
    <x v="3"/>
    <s v="Normal"/>
  </r>
  <r>
    <s v="DEAL-02154"/>
    <x v="5"/>
    <s v="CLI-0247"/>
    <x v="5"/>
    <x v="3"/>
    <x v="3"/>
    <n v="45254"/>
    <d v="2023-02-20T00:00:00"/>
    <d v="2023-03-19T00:00:00"/>
    <n v="27"/>
    <n v="24.9"/>
    <x v="0"/>
    <x v="2"/>
    <s v="Normal"/>
  </r>
  <r>
    <s v="DEAL-02180"/>
    <x v="12"/>
    <s v="CLI-0243"/>
    <x v="0"/>
    <x v="6"/>
    <x v="3"/>
    <n v="470989"/>
    <d v="2023-04-30T00:00:00"/>
    <d v="2023-09-04T00:00:00"/>
    <n v="127"/>
    <n v="2.5"/>
    <x v="2"/>
    <x v="1"/>
    <s v="Normal"/>
  </r>
  <r>
    <s v="DEAL-01701"/>
    <x v="6"/>
    <s v="CLI-0086"/>
    <x v="4"/>
    <x v="1"/>
    <x v="5"/>
    <n v="419255"/>
    <d v="2024-07-16T00:00:00"/>
    <m/>
    <m/>
    <n v="11.6"/>
    <x v="0"/>
    <x v="8"/>
    <s v="Normal"/>
  </r>
  <r>
    <s v="DEAL-00231"/>
    <x v="2"/>
    <s v="CLI-0002"/>
    <x v="3"/>
    <x v="4"/>
    <x v="3"/>
    <n v="337804"/>
    <d v="2025-01-05T00:00:00"/>
    <d v="2025-03-17T00:00:00"/>
    <n v="71"/>
    <n v="12.3"/>
    <x v="2"/>
    <x v="4"/>
    <s v="Normal"/>
  </r>
  <r>
    <s v="DEAL-01722"/>
    <x v="12"/>
    <s v="CLI-0281"/>
    <x v="4"/>
    <x v="2"/>
    <x v="2"/>
    <n v="491441"/>
    <d v="2024-08-10T00:00:00"/>
    <m/>
    <m/>
    <n v="3.3"/>
    <x v="2"/>
    <x v="8"/>
    <s v="Normal"/>
  </r>
  <r>
    <s v="DEAL-01499"/>
    <x v="12"/>
    <s v="CLI-0172"/>
    <x v="2"/>
    <x v="6"/>
    <x v="3"/>
    <n v="104016"/>
    <d v="2023-08-25T00:00:00"/>
    <d v="2023-11-29T00:00:00"/>
    <n v="96"/>
    <n v="15.3"/>
    <x v="1"/>
    <x v="6"/>
    <s v="Normal"/>
  </r>
  <r>
    <s v="DEAL-01320"/>
    <x v="0"/>
    <s v="CLI-0107"/>
    <x v="0"/>
    <x v="4"/>
    <x v="4"/>
    <n v="1883359"/>
    <d v="2024-08-11T00:00:00"/>
    <m/>
    <m/>
    <m/>
    <x v="0"/>
    <x v="8"/>
    <s v="High Outlier"/>
  </r>
  <r>
    <s v="DEAL-01728"/>
    <x v="3"/>
    <s v="CLI-0163"/>
    <x v="3"/>
    <x v="3"/>
    <x v="4"/>
    <n v="102823"/>
    <d v="2025-03-21T00:00:00"/>
    <m/>
    <m/>
    <n v="6.3"/>
    <x v="0"/>
    <x v="4"/>
    <s v="Normal"/>
  </r>
  <r>
    <s v="DEAL-00666"/>
    <x v="15"/>
    <s v="CLI-0066"/>
    <x v="2"/>
    <x v="1"/>
    <x v="3"/>
    <n v="110998"/>
    <d v="2023-07-22T00:00:00"/>
    <d v="2023-12-10T00:00:00"/>
    <n v="141"/>
    <n v="4.7"/>
    <x v="2"/>
    <x v="6"/>
    <s v="Normal"/>
  </r>
  <r>
    <s v="DEAL-02498"/>
    <x v="6"/>
    <s v="CLI-0174"/>
    <x v="2"/>
    <x v="1"/>
    <x v="4"/>
    <n v="417062"/>
    <d v="2024-03-24T00:00:00"/>
    <m/>
    <m/>
    <m/>
    <x v="0"/>
    <x v="5"/>
    <s v="Normal"/>
  </r>
  <r>
    <s v="DEAL-01077"/>
    <x v="12"/>
    <s v="CLI-0260"/>
    <x v="5"/>
    <x v="7"/>
    <x v="1"/>
    <n v="92676"/>
    <d v="2023-01-09T00:00:00"/>
    <m/>
    <m/>
    <n v="15"/>
    <x v="0"/>
    <x v="2"/>
    <s v="Normal"/>
  </r>
  <r>
    <s v="DEAL-02198"/>
    <x v="6"/>
    <s v="CLI-0256"/>
    <x v="3"/>
    <x v="4"/>
    <x v="4"/>
    <n v="1482318"/>
    <d v="2024-08-15T00:00:00"/>
    <m/>
    <m/>
    <n v="5.4"/>
    <x v="2"/>
    <x v="8"/>
    <s v="High Outlier"/>
  </r>
  <r>
    <s v="DEAL-02017"/>
    <x v="15"/>
    <s v="CLI-0113"/>
    <x v="4"/>
    <x v="5"/>
    <x v="5"/>
    <n v="421778"/>
    <d v="2023-07-17T00:00:00"/>
    <m/>
    <m/>
    <m/>
    <x v="3"/>
    <x v="6"/>
    <s v="Normal"/>
  </r>
  <r>
    <s v="DEAL-00357"/>
    <x v="13"/>
    <s v="CLI-0034"/>
    <x v="1"/>
    <x v="5"/>
    <x v="2"/>
    <n v="214786"/>
    <d v="2025-03-26T00:00:00"/>
    <m/>
    <m/>
    <n v="11.8"/>
    <x v="3"/>
    <x v="4"/>
    <s v="Normal"/>
  </r>
  <r>
    <s v="DEAL-00665"/>
    <x v="5"/>
    <s v="CLI-0065"/>
    <x v="4"/>
    <x v="5"/>
    <x v="4"/>
    <n v="401152"/>
    <d v="2023-07-10T00:00:00"/>
    <m/>
    <m/>
    <n v="1.4"/>
    <x v="3"/>
    <x v="6"/>
    <s v="Normal"/>
  </r>
  <r>
    <s v="DEAL-00975"/>
    <x v="10"/>
    <s v="CLI-0047"/>
    <x v="4"/>
    <x v="4"/>
    <x v="3"/>
    <n v="212343"/>
    <d v="2024-01-24T00:00:00"/>
    <d v="2024-03-08T00:00:00"/>
    <n v="44"/>
    <n v="0.7"/>
    <x v="0"/>
    <x v="5"/>
    <s v="Normal"/>
  </r>
  <r>
    <s v="DEAL-00341"/>
    <x v="15"/>
    <s v="CLI-0098"/>
    <x v="3"/>
    <x v="5"/>
    <x v="1"/>
    <n v="110509"/>
    <d v="2024-12-29T00:00:00"/>
    <m/>
    <m/>
    <n v="3.8"/>
    <x v="2"/>
    <x v="3"/>
    <s v="Normal"/>
  </r>
  <r>
    <s v="DEAL-01150"/>
    <x v="7"/>
    <s v="CLI-0232"/>
    <x v="2"/>
    <x v="7"/>
    <x v="3"/>
    <n v="279798"/>
    <d v="2023-11-01T00:00:00"/>
    <d v="2024-04-22T00:00:00"/>
    <n v="173"/>
    <n v="22.5"/>
    <x v="0"/>
    <x v="0"/>
    <s v="Normal"/>
  </r>
  <r>
    <s v="DEAL-00639"/>
    <x v="12"/>
    <s v="CLI-0230"/>
    <x v="0"/>
    <x v="3"/>
    <x v="3"/>
    <n v="217339"/>
    <d v="2025-02-24T00:00:00"/>
    <d v="2025-07-03T00:00:00"/>
    <n v="129"/>
    <n v="17.2"/>
    <x v="3"/>
    <x v="4"/>
    <s v="Normal"/>
  </r>
  <r>
    <s v="DEAL-02408"/>
    <x v="13"/>
    <s v="CLI-0056"/>
    <x v="3"/>
    <x v="1"/>
    <x v="2"/>
    <n v="118047"/>
    <d v="2023-12-28T00:00:00"/>
    <m/>
    <m/>
    <n v="7.4"/>
    <x v="2"/>
    <x v="0"/>
    <s v="Normal"/>
  </r>
  <r>
    <s v="DEAL-01213"/>
    <x v="2"/>
    <s v="CLI-0185"/>
    <x v="3"/>
    <x v="3"/>
    <x v="0"/>
    <n v="355990"/>
    <d v="2025-03-31T00:00:00"/>
    <d v="2025-06-26T00:00:00"/>
    <n v="87"/>
    <m/>
    <x v="0"/>
    <x v="4"/>
    <s v="Normal"/>
  </r>
  <r>
    <s v="DEAL-00622"/>
    <x v="11"/>
    <s v="CLI-0077"/>
    <x v="0"/>
    <x v="2"/>
    <x v="0"/>
    <n v="87531"/>
    <d v="2023-12-29T00:00:00"/>
    <d v="2024-01-29T00:00:00"/>
    <n v="31"/>
    <m/>
    <x v="3"/>
    <x v="0"/>
    <s v="Normal"/>
  </r>
  <r>
    <s v="DEAL-01790"/>
    <x v="7"/>
    <s v="CLI-0077"/>
    <x v="0"/>
    <x v="7"/>
    <x v="5"/>
    <n v="26436"/>
    <d v="2025-02-01T00:00:00"/>
    <m/>
    <m/>
    <n v="10.8"/>
    <x v="1"/>
    <x v="4"/>
    <s v="Normal"/>
  </r>
  <r>
    <s v="DEAL-01216"/>
    <x v="2"/>
    <s v="CLI-0156"/>
    <x v="1"/>
    <x v="7"/>
    <x v="1"/>
    <n v="390741"/>
    <d v="2023-01-31T00:00:00"/>
    <m/>
    <m/>
    <n v="1.8"/>
    <x v="2"/>
    <x v="2"/>
    <s v="Normal"/>
  </r>
  <r>
    <s v="DEAL-01624"/>
    <x v="1"/>
    <s v="CLI-0219"/>
    <x v="2"/>
    <x v="3"/>
    <x v="1"/>
    <n v="146766"/>
    <d v="2023-03-26T00:00:00"/>
    <m/>
    <m/>
    <n v="1.2"/>
    <x v="1"/>
    <x v="2"/>
    <s v="Normal"/>
  </r>
  <r>
    <s v="DEAL-00039"/>
    <x v="6"/>
    <s v="CLI-0135"/>
    <x v="0"/>
    <x v="2"/>
    <x v="3"/>
    <n v="440806"/>
    <d v="2025-01-26T00:00:00"/>
    <d v="2025-04-21T00:00:00"/>
    <n v="85"/>
    <n v="4.7"/>
    <x v="1"/>
    <x v="4"/>
    <s v="Normal"/>
  </r>
  <r>
    <s v="DEAL-00699"/>
    <x v="3"/>
    <s v="CLI-0093"/>
    <x v="1"/>
    <x v="7"/>
    <x v="3"/>
    <n v="116272"/>
    <d v="2023-01-25T00:00:00"/>
    <d v="2023-04-19T00:00:00"/>
    <n v="84"/>
    <n v="4.7"/>
    <x v="0"/>
    <x v="2"/>
    <s v="Normal"/>
  </r>
  <r>
    <s v="DEAL-00638"/>
    <x v="7"/>
    <s v="CLI-0276"/>
    <x v="2"/>
    <x v="7"/>
    <x v="4"/>
    <n v="470681"/>
    <d v="2023-10-07T00:00:00"/>
    <m/>
    <m/>
    <m/>
    <x v="0"/>
    <x v="0"/>
    <s v="Normal"/>
  </r>
  <r>
    <s v="DEAL-00585"/>
    <x v="15"/>
    <s v="CLI-0030"/>
    <x v="0"/>
    <x v="8"/>
    <x v="2"/>
    <n v="120272"/>
    <d v="2025-03-29T00:00:00"/>
    <m/>
    <m/>
    <n v="7.6"/>
    <x v="3"/>
    <x v="4"/>
    <s v="Normal"/>
  </r>
  <r>
    <s v="DEAL-00914"/>
    <x v="14"/>
    <s v="CLI-0044"/>
    <x v="3"/>
    <x v="8"/>
    <x v="4"/>
    <n v="198227"/>
    <d v="2024-07-06T00:00:00"/>
    <m/>
    <m/>
    <n v="5.5"/>
    <x v="1"/>
    <x v="8"/>
    <s v="Normal"/>
  </r>
  <r>
    <s v="DEAL-01468"/>
    <x v="8"/>
    <s v="CLI-0118"/>
    <x v="5"/>
    <x v="3"/>
    <x v="5"/>
    <n v="253459"/>
    <d v="2023-01-30T00:00:00"/>
    <m/>
    <m/>
    <n v="1.9"/>
    <x v="3"/>
    <x v="2"/>
    <s v="Normal"/>
  </r>
  <r>
    <s v="DEAL-01857"/>
    <x v="0"/>
    <s v="CLI-0115"/>
    <x v="1"/>
    <x v="7"/>
    <x v="3"/>
    <n v="255228"/>
    <d v="2023-05-27T00:00:00"/>
    <d v="2023-10-02T00:00:00"/>
    <n v="128"/>
    <n v="8.1"/>
    <x v="3"/>
    <x v="1"/>
    <s v="Normal"/>
  </r>
  <r>
    <s v="DEAL-00024"/>
    <x v="6"/>
    <s v="CLI-0081"/>
    <x v="3"/>
    <x v="4"/>
    <x v="3"/>
    <n v="425710"/>
    <d v="2024-05-14T00:00:00"/>
    <d v="2024-10-23T00:00:00"/>
    <n v="162"/>
    <n v="2.4"/>
    <x v="2"/>
    <x v="7"/>
    <s v="Normal"/>
  </r>
  <r>
    <s v="DEAL-02375"/>
    <x v="12"/>
    <s v="CLI-0048"/>
    <x v="1"/>
    <x v="0"/>
    <x v="5"/>
    <n v="247584"/>
    <d v="2024-08-27T00:00:00"/>
    <m/>
    <m/>
    <n v="5"/>
    <x v="0"/>
    <x v="8"/>
    <s v="Normal"/>
  </r>
  <r>
    <s v="DEAL-02102"/>
    <x v="3"/>
    <s v="CLI-0129"/>
    <x v="0"/>
    <x v="5"/>
    <x v="0"/>
    <n v="201433"/>
    <d v="2024-12-03T00:00:00"/>
    <d v="2025-04-04T00:00:00"/>
    <n v="122"/>
    <n v="11.8"/>
    <x v="3"/>
    <x v="3"/>
    <s v="Normal"/>
  </r>
  <r>
    <s v="DEAL-00134"/>
    <x v="3"/>
    <s v="CLI-0225"/>
    <x v="3"/>
    <x v="8"/>
    <x v="0"/>
    <n v="443492"/>
    <d v="2025-03-30T00:00:00"/>
    <d v="2025-06-30T00:00:00"/>
    <n v="92"/>
    <n v="10.5"/>
    <x v="2"/>
    <x v="4"/>
    <s v="Normal"/>
  </r>
  <r>
    <s v="DEAL-00142"/>
    <x v="6"/>
    <s v="CLI-0050"/>
    <x v="0"/>
    <x v="4"/>
    <x v="5"/>
    <n v="282486"/>
    <d v="2025-02-19T00:00:00"/>
    <m/>
    <m/>
    <m/>
    <x v="3"/>
    <x v="4"/>
    <s v="Normal"/>
  </r>
  <r>
    <s v="DEAL-02362"/>
    <x v="0"/>
    <s v="CLI-0067"/>
    <x v="5"/>
    <x v="6"/>
    <x v="0"/>
    <n v="171763"/>
    <d v="2023-02-18T00:00:00"/>
    <d v="2023-08-14T00:00:00"/>
    <n v="177"/>
    <n v="4"/>
    <x v="0"/>
    <x v="2"/>
    <s v="Normal"/>
  </r>
  <r>
    <s v="DEAL-01250"/>
    <x v="10"/>
    <s v="CLI-0033"/>
    <x v="0"/>
    <x v="3"/>
    <x v="4"/>
    <n v="193392"/>
    <d v="2024-09-19T00:00:00"/>
    <m/>
    <m/>
    <n v="12.3"/>
    <x v="3"/>
    <x v="8"/>
    <s v="Normal"/>
  </r>
  <r>
    <s v="DEAL-00657"/>
    <x v="14"/>
    <s v="CLI-0228"/>
    <x v="2"/>
    <x v="5"/>
    <x v="3"/>
    <n v="317324"/>
    <d v="2024-01-07T00:00:00"/>
    <d v="2024-05-13T00:00:00"/>
    <n v="127"/>
    <n v="4.5"/>
    <x v="3"/>
    <x v="5"/>
    <s v="Normal"/>
  </r>
  <r>
    <s v="DEAL-02481"/>
    <x v="5"/>
    <s v="CLI-0002"/>
    <x v="3"/>
    <x v="1"/>
    <x v="4"/>
    <n v="376050"/>
    <d v="2024-02-11T00:00:00"/>
    <m/>
    <m/>
    <n v="0.6"/>
    <x v="2"/>
    <x v="5"/>
    <s v="Normal"/>
  </r>
  <r>
    <s v="DEAL-00309"/>
    <x v="7"/>
    <s v="CLI-0126"/>
    <x v="5"/>
    <x v="6"/>
    <x v="0"/>
    <n v="338714"/>
    <d v="2023-09-08T00:00:00"/>
    <d v="2023-10-01T00:00:00"/>
    <n v="23"/>
    <n v="5.9"/>
    <x v="1"/>
    <x v="6"/>
    <s v="Normal"/>
  </r>
  <r>
    <s v="DEAL-00566"/>
    <x v="13"/>
    <s v="CLI-0137"/>
    <x v="2"/>
    <x v="7"/>
    <x v="5"/>
    <n v="102553"/>
    <d v="2024-05-09T00:00:00"/>
    <m/>
    <m/>
    <n v="7.7"/>
    <x v="2"/>
    <x v="7"/>
    <s v="Normal"/>
  </r>
  <r>
    <s v="DEAL-00344"/>
    <x v="0"/>
    <s v="CLI-0155"/>
    <x v="4"/>
    <x v="5"/>
    <x v="5"/>
    <n v="320437"/>
    <d v="2025-03-20T00:00:00"/>
    <m/>
    <m/>
    <n v="7.7"/>
    <x v="2"/>
    <x v="4"/>
    <s v="Normal"/>
  </r>
  <r>
    <s v="DEAL-02467"/>
    <x v="2"/>
    <s v="CLI-0117"/>
    <x v="3"/>
    <x v="5"/>
    <x v="2"/>
    <n v="407639"/>
    <d v="2023-06-10T00:00:00"/>
    <m/>
    <m/>
    <n v="0.1"/>
    <x v="3"/>
    <x v="1"/>
    <s v="Normal"/>
  </r>
  <r>
    <s v="DEAL-00850"/>
    <x v="4"/>
    <s v="CLI-0289"/>
    <x v="1"/>
    <x v="7"/>
    <x v="1"/>
    <n v="298680"/>
    <d v="2024-01-23T00:00:00"/>
    <m/>
    <m/>
    <n v="5.2"/>
    <x v="1"/>
    <x v="5"/>
    <s v="Normal"/>
  </r>
  <r>
    <s v="DEAL-01343"/>
    <x v="14"/>
    <s v="CLI-0111"/>
    <x v="3"/>
    <x v="6"/>
    <x v="5"/>
    <n v="35385"/>
    <d v="2023-02-23T00:00:00"/>
    <m/>
    <m/>
    <m/>
    <x v="0"/>
    <x v="2"/>
    <s v="Normal"/>
  </r>
  <r>
    <s v="DEAL-00043"/>
    <x v="6"/>
    <s v="CLI-0001"/>
    <x v="5"/>
    <x v="3"/>
    <x v="5"/>
    <n v="246773"/>
    <d v="2023-02-13T00:00:00"/>
    <m/>
    <m/>
    <m/>
    <x v="0"/>
    <x v="2"/>
    <s v="Normal"/>
  </r>
  <r>
    <s v="DEAL-00044"/>
    <x v="12"/>
    <s v="CLI-0160"/>
    <x v="3"/>
    <x v="7"/>
    <x v="2"/>
    <n v="473679"/>
    <d v="2023-10-20T00:00:00"/>
    <m/>
    <m/>
    <n v="6.9"/>
    <x v="3"/>
    <x v="0"/>
    <s v="Normal"/>
  </r>
  <r>
    <s v="DEAL-00047"/>
    <x v="3"/>
    <s v="CLI-0209"/>
    <x v="1"/>
    <x v="6"/>
    <x v="3"/>
    <n v="278260"/>
    <d v="2023-06-13T00:00:00"/>
    <d v="2023-10-02T00:00:00"/>
    <n v="111"/>
    <n v="1.1000000000000001"/>
    <x v="1"/>
    <x v="1"/>
    <s v="Normal"/>
  </r>
  <r>
    <s v="DEAL-01960"/>
    <x v="6"/>
    <s v="CLI-0078"/>
    <x v="3"/>
    <x v="6"/>
    <x v="1"/>
    <n v="280740"/>
    <d v="2024-02-14T00:00:00"/>
    <m/>
    <m/>
    <m/>
    <x v="2"/>
    <x v="5"/>
    <s v="Normal"/>
  </r>
  <r>
    <s v="DEAL-01865"/>
    <x v="2"/>
    <s v="CLI-0105"/>
    <x v="0"/>
    <x v="2"/>
    <x v="3"/>
    <n v="307819"/>
    <d v="2024-02-05T00:00:00"/>
    <d v="2024-02-27T00:00:00"/>
    <n v="22"/>
    <n v="18.3"/>
    <x v="1"/>
    <x v="5"/>
    <s v="Normal"/>
  </r>
  <r>
    <s v="DEAL-01876"/>
    <x v="8"/>
    <s v="CLI-0014"/>
    <x v="0"/>
    <x v="1"/>
    <x v="1"/>
    <n v="223851"/>
    <d v="2023-12-07T00:00:00"/>
    <m/>
    <m/>
    <n v="6.4"/>
    <x v="0"/>
    <x v="0"/>
    <s v="Normal"/>
  </r>
  <r>
    <s v="DEAL-02490"/>
    <x v="11"/>
    <s v="CLI-0131"/>
    <x v="0"/>
    <x v="0"/>
    <x v="5"/>
    <n v="128966"/>
    <d v="2025-03-24T00:00:00"/>
    <m/>
    <m/>
    <n v="4.2"/>
    <x v="0"/>
    <x v="4"/>
    <s v="Normal"/>
  </r>
  <r>
    <s v="DEAL-00283"/>
    <x v="8"/>
    <s v="CLI-0153"/>
    <x v="1"/>
    <x v="2"/>
    <x v="4"/>
    <n v="490316"/>
    <d v="2023-01-14T00:00:00"/>
    <m/>
    <m/>
    <n v="12.9"/>
    <x v="2"/>
    <x v="2"/>
    <s v="Normal"/>
  </r>
  <r>
    <s v="DEAL-00722"/>
    <x v="12"/>
    <s v="CLI-0263"/>
    <x v="2"/>
    <x v="5"/>
    <x v="4"/>
    <n v="283289"/>
    <d v="2025-03-02T00:00:00"/>
    <m/>
    <m/>
    <n v="1.1000000000000001"/>
    <x v="0"/>
    <x v="4"/>
    <s v="Normal"/>
  </r>
  <r>
    <s v="DEAL-02036"/>
    <x v="2"/>
    <s v="CLI-0128"/>
    <x v="5"/>
    <x v="6"/>
    <x v="5"/>
    <n v="34102"/>
    <d v="2024-01-14T00:00:00"/>
    <m/>
    <m/>
    <n v="5.7"/>
    <x v="0"/>
    <x v="5"/>
    <s v="Normal"/>
  </r>
  <r>
    <s v="DEAL-00292"/>
    <x v="14"/>
    <s v="CLI-0267"/>
    <x v="1"/>
    <x v="4"/>
    <x v="1"/>
    <n v="149502"/>
    <d v="2023-01-08T00:00:00"/>
    <m/>
    <m/>
    <n v="10"/>
    <x v="3"/>
    <x v="2"/>
    <s v="Normal"/>
  </r>
  <r>
    <s v="DEAL-00664"/>
    <x v="1"/>
    <s v="CLI-0270"/>
    <x v="4"/>
    <x v="3"/>
    <x v="3"/>
    <n v="188852"/>
    <d v="2024-09-24T00:00:00"/>
    <d v="2024-10-27T00:00:00"/>
    <n v="33"/>
    <n v="15.7"/>
    <x v="0"/>
    <x v="8"/>
    <s v="Normal"/>
  </r>
  <r>
    <s v="DEAL-01485"/>
    <x v="13"/>
    <s v="CLI-0155"/>
    <x v="1"/>
    <x v="1"/>
    <x v="2"/>
    <n v="207542"/>
    <d v="2023-12-15T00:00:00"/>
    <m/>
    <m/>
    <n v="5.6"/>
    <x v="2"/>
    <x v="0"/>
    <s v="Normal"/>
  </r>
  <r>
    <s v="DEAL-01885"/>
    <x v="11"/>
    <s v="CLI-0244"/>
    <x v="0"/>
    <x v="8"/>
    <x v="2"/>
    <n v="229721"/>
    <d v="2024-08-16T00:00:00"/>
    <m/>
    <m/>
    <n v="4.9000000000000004"/>
    <x v="2"/>
    <x v="8"/>
    <s v="Normal"/>
  </r>
  <r>
    <s v="DEAL-02341"/>
    <x v="1"/>
    <s v="CLI-0097"/>
    <x v="0"/>
    <x v="0"/>
    <x v="2"/>
    <n v="386379"/>
    <d v="2023-03-28T00:00:00"/>
    <m/>
    <m/>
    <m/>
    <x v="1"/>
    <x v="2"/>
    <s v="Normal"/>
  </r>
  <r>
    <s v="DEAL-02391"/>
    <x v="15"/>
    <s v="CLI-0087"/>
    <x v="2"/>
    <x v="0"/>
    <x v="1"/>
    <n v="315729"/>
    <d v="2024-03-23T00:00:00"/>
    <m/>
    <m/>
    <n v="8.5"/>
    <x v="1"/>
    <x v="5"/>
    <s v="Normal"/>
  </r>
  <r>
    <s v="DEAL-02403"/>
    <x v="3"/>
    <s v="CLI-0060"/>
    <x v="3"/>
    <x v="1"/>
    <x v="2"/>
    <n v="221859"/>
    <d v="2023-05-12T00:00:00"/>
    <m/>
    <m/>
    <m/>
    <x v="0"/>
    <x v="1"/>
    <s v="Normal"/>
  </r>
  <r>
    <s v="DEAL-02425"/>
    <x v="6"/>
    <s v="CLI-0127"/>
    <x v="2"/>
    <x v="2"/>
    <x v="1"/>
    <n v="345858"/>
    <d v="2024-10-06T00:00:00"/>
    <m/>
    <m/>
    <n v="10.4"/>
    <x v="2"/>
    <x v="3"/>
    <s v="Normal"/>
  </r>
  <r>
    <s v="DEAL-01100"/>
    <x v="4"/>
    <s v="CLI-0115"/>
    <x v="0"/>
    <x v="2"/>
    <x v="5"/>
    <n v="314145"/>
    <d v="2023-01-13T00:00:00"/>
    <m/>
    <m/>
    <m/>
    <x v="1"/>
    <x v="2"/>
    <s v="Normal"/>
  </r>
  <r>
    <s v="DEAL-00352"/>
    <x v="7"/>
    <s v="CLI-0254"/>
    <x v="4"/>
    <x v="3"/>
    <x v="0"/>
    <n v="65752"/>
    <d v="2023-12-13T00:00:00"/>
    <d v="2024-01-18T00:00:00"/>
    <n v="36"/>
    <n v="7.2"/>
    <x v="0"/>
    <x v="0"/>
    <s v="Normal"/>
  </r>
  <r>
    <s v="DEAL-00089"/>
    <x v="9"/>
    <s v="CLI-0092"/>
    <x v="1"/>
    <x v="5"/>
    <x v="0"/>
    <n v="374722"/>
    <d v="2023-10-29T00:00:00"/>
    <d v="2024-03-11T00:00:00"/>
    <n v="134"/>
    <n v="1.1000000000000001"/>
    <x v="2"/>
    <x v="0"/>
    <s v="Normal"/>
  </r>
  <r>
    <s v="DEAL-00118"/>
    <x v="6"/>
    <s v="CLI-0039"/>
    <x v="0"/>
    <x v="4"/>
    <x v="4"/>
    <n v="154673"/>
    <d v="2023-06-01T00:00:00"/>
    <m/>
    <m/>
    <n v="7.4"/>
    <x v="3"/>
    <x v="1"/>
    <s v="Normal"/>
  </r>
  <r>
    <s v="DEAL-00842"/>
    <x v="10"/>
    <s v="CLI-0134"/>
    <x v="3"/>
    <x v="6"/>
    <x v="1"/>
    <n v="132550"/>
    <d v="2024-09-21T00:00:00"/>
    <m/>
    <m/>
    <m/>
    <x v="2"/>
    <x v="8"/>
    <s v="Normal"/>
  </r>
  <r>
    <s v="DEAL-01944"/>
    <x v="5"/>
    <s v="CLI-0228"/>
    <x v="1"/>
    <x v="6"/>
    <x v="2"/>
    <n v="198986"/>
    <d v="2023-04-30T00:00:00"/>
    <m/>
    <m/>
    <m/>
    <x v="3"/>
    <x v="1"/>
    <s v="Normal"/>
  </r>
  <r>
    <s v="DEAL-00785"/>
    <x v="2"/>
    <s v="CLI-0281"/>
    <x v="3"/>
    <x v="4"/>
    <x v="0"/>
    <n v="498327"/>
    <d v="2024-09-05T00:00:00"/>
    <d v="2024-10-15T00:00:00"/>
    <n v="40"/>
    <m/>
    <x v="2"/>
    <x v="8"/>
    <s v="Normal"/>
  </r>
  <r>
    <s v="DEAL-00439"/>
    <x v="5"/>
    <s v="CLI-0126"/>
    <x v="2"/>
    <x v="5"/>
    <x v="2"/>
    <n v="409826"/>
    <d v="2024-02-08T00:00:00"/>
    <m/>
    <m/>
    <n v="1"/>
    <x v="0"/>
    <x v="5"/>
    <s v="Normal"/>
  </r>
  <r>
    <s v="DEAL-00122"/>
    <x v="1"/>
    <s v="CLI-0284"/>
    <x v="3"/>
    <x v="0"/>
    <x v="4"/>
    <n v="176003"/>
    <d v="2024-03-27T00:00:00"/>
    <m/>
    <m/>
    <m/>
    <x v="3"/>
    <x v="5"/>
    <s v="Normal"/>
  </r>
  <r>
    <s v="DEAL-02389"/>
    <x v="12"/>
    <s v="CLI-0150"/>
    <x v="2"/>
    <x v="3"/>
    <x v="4"/>
    <n v="1090695"/>
    <d v="2025-03-30T00:00:00"/>
    <m/>
    <m/>
    <m/>
    <x v="0"/>
    <x v="4"/>
    <s v="High Outlier"/>
  </r>
  <r>
    <s v="DEAL-02234"/>
    <x v="15"/>
    <s v="CLI-0072"/>
    <x v="1"/>
    <x v="5"/>
    <x v="5"/>
    <n v="25864"/>
    <d v="2024-05-22T00:00:00"/>
    <m/>
    <m/>
    <n v="4.7"/>
    <x v="3"/>
    <x v="7"/>
    <s v="Normal"/>
  </r>
  <r>
    <s v="DEAL-02440"/>
    <x v="11"/>
    <s v="CLI-0287"/>
    <x v="4"/>
    <x v="5"/>
    <x v="2"/>
    <n v="323051"/>
    <d v="2023-06-29T00:00:00"/>
    <m/>
    <m/>
    <n v="5.7"/>
    <x v="0"/>
    <x v="1"/>
    <s v="Normal"/>
  </r>
  <r>
    <s v="DEAL-01227"/>
    <x v="3"/>
    <s v="CLI-0135"/>
    <x v="4"/>
    <x v="4"/>
    <x v="3"/>
    <n v="479053"/>
    <d v="2023-05-29T00:00:00"/>
    <d v="2023-09-20T00:00:00"/>
    <n v="114"/>
    <n v="12"/>
    <x v="3"/>
    <x v="1"/>
    <s v="Normal"/>
  </r>
  <r>
    <s v="DEAL-00416"/>
    <x v="0"/>
    <s v="CLI-0032"/>
    <x v="4"/>
    <x v="3"/>
    <x v="5"/>
    <n v="135182"/>
    <d v="2023-04-14T00:00:00"/>
    <m/>
    <m/>
    <n v="4.0999999999999996"/>
    <x v="0"/>
    <x v="1"/>
    <s v="Normal"/>
  </r>
  <r>
    <s v="DEAL-00120"/>
    <x v="5"/>
    <s v="CLI-0148"/>
    <x v="1"/>
    <x v="1"/>
    <x v="5"/>
    <n v="359099"/>
    <d v="2024-07-15T00:00:00"/>
    <m/>
    <m/>
    <n v="6.7"/>
    <x v="1"/>
    <x v="8"/>
    <s v="Normal"/>
  </r>
  <r>
    <s v="DEAL-00251"/>
    <x v="14"/>
    <s v="CLI-0212"/>
    <x v="5"/>
    <x v="6"/>
    <x v="3"/>
    <n v="424514"/>
    <d v="2023-02-07T00:00:00"/>
    <d v="2023-04-16T00:00:00"/>
    <n v="68"/>
    <n v="5.0999999999999996"/>
    <x v="1"/>
    <x v="2"/>
    <s v="Normal"/>
  </r>
  <r>
    <s v="DEAL-01160"/>
    <x v="12"/>
    <s v="CLI-0003"/>
    <x v="2"/>
    <x v="0"/>
    <x v="2"/>
    <n v="220793"/>
    <d v="2024-03-26T00:00:00"/>
    <m/>
    <m/>
    <n v="1.2"/>
    <x v="0"/>
    <x v="5"/>
    <s v="Normal"/>
  </r>
  <r>
    <s v="DEAL-01793"/>
    <x v="14"/>
    <s v="CLI-0045"/>
    <x v="5"/>
    <x v="6"/>
    <x v="2"/>
    <n v="152328"/>
    <d v="2024-02-01T00:00:00"/>
    <m/>
    <m/>
    <n v="2.2999999999999998"/>
    <x v="1"/>
    <x v="5"/>
    <s v="Normal"/>
  </r>
  <r>
    <s v="DEAL-00782"/>
    <x v="8"/>
    <s v="CLI-0256"/>
    <x v="1"/>
    <x v="3"/>
    <x v="0"/>
    <n v="461939"/>
    <d v="2023-05-18T00:00:00"/>
    <d v="2023-06-26T00:00:00"/>
    <n v="39"/>
    <m/>
    <x v="1"/>
    <x v="1"/>
    <s v="Normal"/>
  </r>
  <r>
    <s v="DEAL-00959"/>
    <x v="2"/>
    <s v="CLI-0233"/>
    <x v="5"/>
    <x v="6"/>
    <x v="0"/>
    <n v="13208"/>
    <d v="2024-07-03T00:00:00"/>
    <d v="2024-07-21T00:00:00"/>
    <n v="18"/>
    <n v="8.8000000000000007"/>
    <x v="0"/>
    <x v="8"/>
    <s v="Normal"/>
  </r>
  <r>
    <s v="DEAL-01054"/>
    <x v="13"/>
    <s v="CLI-0060"/>
    <x v="3"/>
    <x v="6"/>
    <x v="3"/>
    <n v="423092"/>
    <d v="2025-02-21T00:00:00"/>
    <d v="2025-07-15T00:00:00"/>
    <n v="144"/>
    <n v="20.7"/>
    <x v="1"/>
    <x v="4"/>
    <s v="Normal"/>
  </r>
  <r>
    <s v="DEAL-00753"/>
    <x v="5"/>
    <s v="CLI-0239"/>
    <x v="0"/>
    <x v="6"/>
    <x v="4"/>
    <n v="33075"/>
    <d v="2023-05-17T00:00:00"/>
    <m/>
    <m/>
    <n v="2.9"/>
    <x v="0"/>
    <x v="1"/>
    <s v="Normal"/>
  </r>
  <r>
    <s v="DEAL-00479"/>
    <x v="10"/>
    <s v="CLI-0051"/>
    <x v="0"/>
    <x v="7"/>
    <x v="0"/>
    <n v="405034"/>
    <d v="2023-08-26T00:00:00"/>
    <d v="2023-11-20T00:00:00"/>
    <n v="86"/>
    <n v="3.1"/>
    <x v="1"/>
    <x v="6"/>
    <s v="Normal"/>
  </r>
  <r>
    <s v="DEAL-01060"/>
    <x v="11"/>
    <s v="CLI-0295"/>
    <x v="4"/>
    <x v="1"/>
    <x v="4"/>
    <n v="475818"/>
    <d v="2023-08-14T00:00:00"/>
    <m/>
    <m/>
    <m/>
    <x v="3"/>
    <x v="6"/>
    <s v="Normal"/>
  </r>
  <r>
    <s v="DEAL-00061"/>
    <x v="11"/>
    <s v="CLI-0284"/>
    <x v="3"/>
    <x v="1"/>
    <x v="0"/>
    <n v="394010"/>
    <d v="2023-11-14T00:00:00"/>
    <d v="2024-02-20T00:00:00"/>
    <n v="98"/>
    <n v="13.1"/>
    <x v="1"/>
    <x v="0"/>
    <s v="Normal"/>
  </r>
  <r>
    <s v="DEAL-01605"/>
    <x v="6"/>
    <s v="CLI-0168"/>
    <x v="4"/>
    <x v="6"/>
    <x v="4"/>
    <n v="323646"/>
    <d v="2023-09-22T00:00:00"/>
    <m/>
    <m/>
    <m/>
    <x v="2"/>
    <x v="6"/>
    <s v="Normal"/>
  </r>
  <r>
    <s v="DEAL-01936"/>
    <x v="3"/>
    <s v="CLI-0243"/>
    <x v="5"/>
    <x v="5"/>
    <x v="1"/>
    <n v="446328"/>
    <d v="2024-05-18T00:00:00"/>
    <m/>
    <m/>
    <m/>
    <x v="1"/>
    <x v="7"/>
    <s v="Normal"/>
  </r>
  <r>
    <s v="DEAL-00294"/>
    <x v="6"/>
    <s v="CLI-0077"/>
    <x v="0"/>
    <x v="1"/>
    <x v="3"/>
    <n v="11617"/>
    <d v="2024-12-16T00:00:00"/>
    <d v="2025-04-12T00:00:00"/>
    <n v="117"/>
    <n v="22.2"/>
    <x v="1"/>
    <x v="3"/>
    <s v="Normal"/>
  </r>
  <r>
    <s v="DEAL-00813"/>
    <x v="10"/>
    <s v="CLI-0160"/>
    <x v="5"/>
    <x v="4"/>
    <x v="4"/>
    <n v="299552"/>
    <d v="2024-06-21T00:00:00"/>
    <m/>
    <m/>
    <m/>
    <x v="2"/>
    <x v="7"/>
    <s v="Normal"/>
  </r>
  <r>
    <s v="DEAL-01922"/>
    <x v="6"/>
    <s v="CLI-0150"/>
    <x v="1"/>
    <x v="0"/>
    <x v="4"/>
    <n v="275194"/>
    <d v="2024-05-09T00:00:00"/>
    <m/>
    <m/>
    <m/>
    <x v="2"/>
    <x v="7"/>
    <s v="Normal"/>
  </r>
  <r>
    <s v="DEAL-00117"/>
    <x v="11"/>
    <s v="CLI-0065"/>
    <x v="2"/>
    <x v="7"/>
    <x v="5"/>
    <n v="203014"/>
    <d v="2024-12-10T00:00:00"/>
    <m/>
    <m/>
    <n v="12.1"/>
    <x v="3"/>
    <x v="3"/>
    <s v="Normal"/>
  </r>
  <r>
    <s v="DEAL-01211"/>
    <x v="8"/>
    <s v="CLI-0217"/>
    <x v="4"/>
    <x v="6"/>
    <x v="0"/>
    <n v="67070"/>
    <d v="2023-11-07T00:00:00"/>
    <d v="2024-03-29T00:00:00"/>
    <n v="143"/>
    <n v="14.9"/>
    <x v="1"/>
    <x v="0"/>
    <s v="Normal"/>
  </r>
  <r>
    <s v="DEAL-01761"/>
    <x v="10"/>
    <s v="CLI-0236"/>
    <x v="4"/>
    <x v="1"/>
    <x v="4"/>
    <n v="136734"/>
    <d v="2024-12-28T00:00:00"/>
    <m/>
    <m/>
    <n v="1.7"/>
    <x v="1"/>
    <x v="3"/>
    <s v="Normal"/>
  </r>
  <r>
    <s v="DEAL-00157"/>
    <x v="6"/>
    <s v="CLI-0137"/>
    <x v="5"/>
    <x v="2"/>
    <x v="3"/>
    <n v="297080"/>
    <d v="2023-01-20T00:00:00"/>
    <d v="2023-07-14T00:00:00"/>
    <n v="175"/>
    <n v="21.6"/>
    <x v="0"/>
    <x v="2"/>
    <s v="Normal"/>
  </r>
  <r>
    <s v="DEAL-01451"/>
    <x v="3"/>
    <s v="CLI-0269"/>
    <x v="4"/>
    <x v="7"/>
    <x v="3"/>
    <n v="493760"/>
    <d v="2023-02-09T00:00:00"/>
    <d v="2023-04-03T00:00:00"/>
    <n v="53"/>
    <n v="20.8"/>
    <x v="0"/>
    <x v="2"/>
    <s v="Normal"/>
  </r>
  <r>
    <s v="DEAL-00540"/>
    <x v="2"/>
    <s v="CLI-0151"/>
    <x v="5"/>
    <x v="0"/>
    <x v="3"/>
    <n v="35601"/>
    <d v="2024-04-29T00:00:00"/>
    <d v="2024-07-08T00:00:00"/>
    <n v="70"/>
    <n v="10.9"/>
    <x v="1"/>
    <x v="7"/>
    <s v="Normal"/>
  </r>
  <r>
    <s v="DEAL-02031"/>
    <x v="8"/>
    <s v="CLI-0194"/>
    <x v="4"/>
    <x v="6"/>
    <x v="3"/>
    <n v="372970"/>
    <d v="2023-09-26T00:00:00"/>
    <d v="2024-01-06T00:00:00"/>
    <n v="102"/>
    <n v="14.9"/>
    <x v="1"/>
    <x v="6"/>
    <s v="Normal"/>
  </r>
  <r>
    <s v="DEAL-02372"/>
    <x v="0"/>
    <s v="CLI-0071"/>
    <x v="2"/>
    <x v="3"/>
    <x v="0"/>
    <n v="288260"/>
    <d v="2024-07-18T00:00:00"/>
    <d v="2025-01-10T00:00:00"/>
    <n v="176"/>
    <n v="9.5"/>
    <x v="3"/>
    <x v="8"/>
    <s v="Normal"/>
  </r>
  <r>
    <s v="DEAL-00645"/>
    <x v="11"/>
    <s v="CLI-0070"/>
    <x v="5"/>
    <x v="5"/>
    <x v="3"/>
    <n v="178640"/>
    <d v="2023-05-27T00:00:00"/>
    <d v="2023-07-07T00:00:00"/>
    <n v="41"/>
    <n v="0.1"/>
    <x v="3"/>
    <x v="1"/>
    <s v="Normal"/>
  </r>
  <r>
    <s v="DEAL-01924"/>
    <x v="9"/>
    <s v="CLI-0133"/>
    <x v="2"/>
    <x v="3"/>
    <x v="1"/>
    <n v="183325"/>
    <d v="2024-06-27T00:00:00"/>
    <m/>
    <m/>
    <n v="5.3"/>
    <x v="1"/>
    <x v="7"/>
    <s v="Normal"/>
  </r>
  <r>
    <s v="DEAL-01974"/>
    <x v="5"/>
    <s v="CLI-0103"/>
    <x v="4"/>
    <x v="0"/>
    <x v="1"/>
    <n v="82624"/>
    <d v="2023-11-30T00:00:00"/>
    <m/>
    <m/>
    <n v="5.7"/>
    <x v="0"/>
    <x v="0"/>
    <s v="Normal"/>
  </r>
  <r>
    <s v="DEAL-01874"/>
    <x v="0"/>
    <s v="CLI-0006"/>
    <x v="4"/>
    <x v="5"/>
    <x v="5"/>
    <n v="393998"/>
    <d v="2023-01-15T00:00:00"/>
    <m/>
    <m/>
    <n v="12.6"/>
    <x v="0"/>
    <x v="2"/>
    <s v="Normal"/>
  </r>
  <r>
    <s v="DEAL-00775"/>
    <x v="9"/>
    <s v="CLI-0282"/>
    <x v="1"/>
    <x v="0"/>
    <x v="1"/>
    <n v="235181"/>
    <d v="2024-10-24T00:00:00"/>
    <m/>
    <m/>
    <n v="3.7"/>
    <x v="3"/>
    <x v="3"/>
    <s v="Normal"/>
  </r>
  <r>
    <s v="DEAL-00299"/>
    <x v="10"/>
    <s v="CLI-0281"/>
    <x v="2"/>
    <x v="7"/>
    <x v="4"/>
    <n v="145071"/>
    <d v="2024-11-17T00:00:00"/>
    <m/>
    <m/>
    <m/>
    <x v="0"/>
    <x v="3"/>
    <s v="Normal"/>
  </r>
  <r>
    <s v="DEAL-00516"/>
    <x v="15"/>
    <s v="CLI-0121"/>
    <x v="4"/>
    <x v="5"/>
    <x v="2"/>
    <n v="154454"/>
    <d v="2024-12-06T00:00:00"/>
    <m/>
    <m/>
    <m/>
    <x v="3"/>
    <x v="3"/>
    <s v="Normal"/>
  </r>
  <r>
    <s v="DEAL-02459"/>
    <x v="15"/>
    <s v="CLI-0164"/>
    <x v="2"/>
    <x v="6"/>
    <x v="4"/>
    <n v="206789"/>
    <d v="2025-02-08T00:00:00"/>
    <m/>
    <m/>
    <n v="14.6"/>
    <x v="2"/>
    <x v="4"/>
    <s v="Normal"/>
  </r>
  <r>
    <s v="DEAL-00702"/>
    <x v="10"/>
    <s v="CLI-0174"/>
    <x v="1"/>
    <x v="6"/>
    <x v="2"/>
    <n v="236341"/>
    <d v="2023-09-17T00:00:00"/>
    <m/>
    <m/>
    <n v="13.3"/>
    <x v="2"/>
    <x v="6"/>
    <s v="Normal"/>
  </r>
  <r>
    <s v="DEAL-02336"/>
    <x v="3"/>
    <s v="CLI-0190"/>
    <x v="2"/>
    <x v="2"/>
    <x v="5"/>
    <n v="69212"/>
    <d v="2024-04-24T00:00:00"/>
    <m/>
    <m/>
    <n v="11.9"/>
    <x v="0"/>
    <x v="7"/>
    <s v="Normal"/>
  </r>
  <r>
    <s v="DEAL-01479"/>
    <x v="6"/>
    <s v="CLI-0217"/>
    <x v="3"/>
    <x v="7"/>
    <x v="4"/>
    <n v="247071"/>
    <d v="2025-02-20T00:00:00"/>
    <m/>
    <m/>
    <n v="3.2"/>
    <x v="2"/>
    <x v="4"/>
    <s v="Normal"/>
  </r>
  <r>
    <s v="DEAL-01859"/>
    <x v="4"/>
    <s v="CLI-0099"/>
    <x v="4"/>
    <x v="0"/>
    <x v="2"/>
    <n v="236819"/>
    <d v="2023-03-14T00:00:00"/>
    <m/>
    <m/>
    <n v="1.9"/>
    <x v="1"/>
    <x v="2"/>
    <s v="Normal"/>
  </r>
  <r>
    <s v="DEAL-01212"/>
    <x v="2"/>
    <s v="CLI-0244"/>
    <x v="0"/>
    <x v="6"/>
    <x v="0"/>
    <n v="405260"/>
    <d v="2023-06-06T00:00:00"/>
    <d v="2023-07-19T00:00:00"/>
    <n v="43"/>
    <n v="5"/>
    <x v="2"/>
    <x v="1"/>
    <s v="Normal"/>
  </r>
  <r>
    <s v="DEAL-02407"/>
    <x v="4"/>
    <s v="CLI-0033"/>
    <x v="4"/>
    <x v="6"/>
    <x v="4"/>
    <n v="367655"/>
    <d v="2024-06-20T00:00:00"/>
    <m/>
    <m/>
    <n v="5.4"/>
    <x v="0"/>
    <x v="7"/>
    <s v="Normal"/>
  </r>
  <r>
    <s v="DEAL-01460"/>
    <x v="6"/>
    <s v="CLI-0030"/>
    <x v="0"/>
    <x v="0"/>
    <x v="0"/>
    <n v="26056"/>
    <d v="2024-08-28T00:00:00"/>
    <d v="2025-02-19T00:00:00"/>
    <n v="175"/>
    <n v="5.0999999999999996"/>
    <x v="0"/>
    <x v="8"/>
    <s v="Normal"/>
  </r>
  <r>
    <s v="DEAL-01104"/>
    <x v="10"/>
    <s v="CLI-0135"/>
    <x v="3"/>
    <x v="3"/>
    <x v="4"/>
    <n v="176590"/>
    <d v="2024-11-11T00:00:00"/>
    <m/>
    <m/>
    <n v="10.5"/>
    <x v="0"/>
    <x v="3"/>
    <s v="Normal"/>
  </r>
  <r>
    <s v="DEAL-01820"/>
    <x v="1"/>
    <s v="CLI-0013"/>
    <x v="0"/>
    <x v="2"/>
    <x v="3"/>
    <n v="72097"/>
    <d v="2023-05-05T00:00:00"/>
    <d v="2023-08-27T00:00:00"/>
    <n v="114"/>
    <n v="0.6"/>
    <x v="1"/>
    <x v="1"/>
    <s v="Normal"/>
  </r>
  <r>
    <s v="DEAL-00673"/>
    <x v="13"/>
    <s v="CLI-0289"/>
    <x v="1"/>
    <x v="5"/>
    <x v="4"/>
    <n v="106421"/>
    <d v="2023-01-17T00:00:00"/>
    <m/>
    <m/>
    <m/>
    <x v="2"/>
    <x v="2"/>
    <s v="Normal"/>
  </r>
  <r>
    <s v="DEAL-00367"/>
    <x v="6"/>
    <s v="CLI-0191"/>
    <x v="4"/>
    <x v="1"/>
    <x v="3"/>
    <n v="112094"/>
    <d v="2023-04-17T00:00:00"/>
    <d v="2023-05-21T00:00:00"/>
    <n v="34"/>
    <n v="19.5"/>
    <x v="2"/>
    <x v="1"/>
    <s v="Normal"/>
  </r>
  <r>
    <s v="DEAL-00081"/>
    <x v="15"/>
    <s v="CLI-0197"/>
    <x v="1"/>
    <x v="7"/>
    <x v="1"/>
    <n v="258072"/>
    <d v="2024-08-09T00:00:00"/>
    <m/>
    <m/>
    <n v="0.8"/>
    <x v="3"/>
    <x v="8"/>
    <s v="Normal"/>
  </r>
  <r>
    <s v="DEAL-00602"/>
    <x v="15"/>
    <s v="CLI-0103"/>
    <x v="1"/>
    <x v="7"/>
    <x v="4"/>
    <n v="394544"/>
    <d v="2023-03-10T00:00:00"/>
    <m/>
    <m/>
    <n v="0.9"/>
    <x v="1"/>
    <x v="2"/>
    <s v="Normal"/>
  </r>
  <r>
    <s v="DEAL-01454"/>
    <x v="8"/>
    <s v="CLI-0287"/>
    <x v="4"/>
    <x v="4"/>
    <x v="3"/>
    <n v="70820"/>
    <d v="2023-05-19T00:00:00"/>
    <d v="2023-06-28T00:00:00"/>
    <n v="40"/>
    <n v="7.7"/>
    <x v="3"/>
    <x v="1"/>
    <s v="Normal"/>
  </r>
  <r>
    <s v="DEAL-00725"/>
    <x v="2"/>
    <s v="CLI-0104"/>
    <x v="5"/>
    <x v="0"/>
    <x v="2"/>
    <n v="484905"/>
    <d v="2023-09-03T00:00:00"/>
    <m/>
    <m/>
    <n v="8.5"/>
    <x v="2"/>
    <x v="6"/>
    <s v="Normal"/>
  </r>
  <r>
    <s v="DEAL-01376"/>
    <x v="1"/>
    <s v="CLI-0146"/>
    <x v="4"/>
    <x v="5"/>
    <x v="2"/>
    <n v="211426"/>
    <d v="2023-01-08T00:00:00"/>
    <m/>
    <m/>
    <n v="1.5"/>
    <x v="2"/>
    <x v="2"/>
    <s v="Normal"/>
  </r>
  <r>
    <s v="DEAL-01807"/>
    <x v="0"/>
    <s v="CLI-0291"/>
    <x v="2"/>
    <x v="7"/>
    <x v="2"/>
    <n v="338931"/>
    <d v="2024-06-21T00:00:00"/>
    <m/>
    <m/>
    <n v="6.7"/>
    <x v="1"/>
    <x v="7"/>
    <s v="Normal"/>
  </r>
  <r>
    <s v="DEAL-01539"/>
    <x v="11"/>
    <s v="CLI-0262"/>
    <x v="4"/>
    <x v="7"/>
    <x v="4"/>
    <n v="231349"/>
    <d v="2024-04-30T00:00:00"/>
    <m/>
    <m/>
    <n v="15"/>
    <x v="2"/>
    <x v="7"/>
    <s v="Normal"/>
  </r>
  <r>
    <s v="DEAL-01692"/>
    <x v="13"/>
    <s v="CLI-0265"/>
    <x v="0"/>
    <x v="3"/>
    <x v="5"/>
    <n v="373821"/>
    <d v="2023-04-26T00:00:00"/>
    <m/>
    <m/>
    <n v="5.2"/>
    <x v="0"/>
    <x v="1"/>
    <s v="Normal"/>
  </r>
  <r>
    <s v="DEAL-02138"/>
    <x v="6"/>
    <s v="CLI-0020"/>
    <x v="2"/>
    <x v="8"/>
    <x v="2"/>
    <n v="32667"/>
    <d v="2023-07-26T00:00:00"/>
    <m/>
    <m/>
    <n v="6"/>
    <x v="2"/>
    <x v="6"/>
    <s v="Normal"/>
  </r>
  <r>
    <s v="DEAL-00206"/>
    <x v="1"/>
    <s v="CLI-0197"/>
    <x v="1"/>
    <x v="1"/>
    <x v="0"/>
    <n v="14143"/>
    <d v="2024-06-24T00:00:00"/>
    <d v="2024-12-12T00:00:00"/>
    <n v="171"/>
    <n v="10.5"/>
    <x v="1"/>
    <x v="7"/>
    <s v="Normal"/>
  </r>
  <r>
    <s v="DEAL-02040"/>
    <x v="0"/>
    <s v="CLI-0245"/>
    <x v="1"/>
    <x v="5"/>
    <x v="4"/>
    <n v="76519"/>
    <d v="2024-12-29T00:00:00"/>
    <m/>
    <m/>
    <n v="1.9"/>
    <x v="1"/>
    <x v="3"/>
    <s v="Normal"/>
  </r>
  <r>
    <s v="DEAL-00670"/>
    <x v="13"/>
    <s v="CLI-0022"/>
    <x v="0"/>
    <x v="1"/>
    <x v="3"/>
    <n v="327459"/>
    <d v="2023-03-09T00:00:00"/>
    <d v="2023-08-16T00:00:00"/>
    <n v="160"/>
    <n v="21"/>
    <x v="0"/>
    <x v="2"/>
    <s v="Normal"/>
  </r>
  <r>
    <s v="DEAL-00499"/>
    <x v="15"/>
    <s v="CLI-0222"/>
    <x v="3"/>
    <x v="3"/>
    <x v="2"/>
    <n v="306386"/>
    <d v="2023-01-06T00:00:00"/>
    <m/>
    <m/>
    <m/>
    <x v="0"/>
    <x v="2"/>
    <s v="Normal"/>
  </r>
  <r>
    <s v="DEAL-00920"/>
    <x v="12"/>
    <s v="CLI-0056"/>
    <x v="5"/>
    <x v="0"/>
    <x v="4"/>
    <n v="219001"/>
    <d v="2023-04-03T00:00:00"/>
    <m/>
    <m/>
    <n v="7.3"/>
    <x v="3"/>
    <x v="1"/>
    <s v="Normal"/>
  </r>
  <r>
    <s v="DEAL-02271"/>
    <x v="13"/>
    <s v="CLI-0248"/>
    <x v="4"/>
    <x v="6"/>
    <x v="1"/>
    <n v="271472"/>
    <d v="2024-01-22T00:00:00"/>
    <m/>
    <m/>
    <m/>
    <x v="1"/>
    <x v="5"/>
    <s v="Normal"/>
  </r>
  <r>
    <s v="DEAL-01335"/>
    <x v="8"/>
    <s v="CLI-0079"/>
    <x v="2"/>
    <x v="7"/>
    <x v="3"/>
    <n v="381874"/>
    <d v="2023-07-28T00:00:00"/>
    <d v="2023-10-11T00:00:00"/>
    <n v="75"/>
    <n v="10.4"/>
    <x v="1"/>
    <x v="6"/>
    <s v="Normal"/>
  </r>
  <r>
    <s v="DEAL-00761"/>
    <x v="9"/>
    <s v="CLI-0004"/>
    <x v="0"/>
    <x v="1"/>
    <x v="3"/>
    <n v="55885"/>
    <d v="2023-11-14T00:00:00"/>
    <d v="2024-02-21T00:00:00"/>
    <n v="99"/>
    <n v="24.9"/>
    <x v="3"/>
    <x v="0"/>
    <s v="Normal"/>
  </r>
  <r>
    <s v="DEAL-00985"/>
    <x v="1"/>
    <s v="CLI-0083"/>
    <x v="5"/>
    <x v="1"/>
    <x v="0"/>
    <n v="48188"/>
    <d v="2024-01-05T00:00:00"/>
    <d v="2024-04-14T00:00:00"/>
    <n v="100"/>
    <m/>
    <x v="0"/>
    <x v="5"/>
    <s v="Normal"/>
  </r>
  <r>
    <s v="DEAL-00973"/>
    <x v="0"/>
    <s v="CLI-0208"/>
    <x v="1"/>
    <x v="0"/>
    <x v="5"/>
    <n v="95319"/>
    <d v="2023-09-01T00:00:00"/>
    <m/>
    <m/>
    <m/>
    <x v="3"/>
    <x v="6"/>
    <s v="Normal"/>
  </r>
  <r>
    <s v="DEAL-00818"/>
    <x v="7"/>
    <s v="CLI-0019"/>
    <x v="5"/>
    <x v="2"/>
    <x v="2"/>
    <n v="283794"/>
    <d v="2023-03-20T00:00:00"/>
    <m/>
    <m/>
    <n v="2.2999999999999998"/>
    <x v="2"/>
    <x v="2"/>
    <s v="Normal"/>
  </r>
  <r>
    <s v="DEAL-01179"/>
    <x v="3"/>
    <s v="CLI-0001"/>
    <x v="0"/>
    <x v="0"/>
    <x v="2"/>
    <n v="295056"/>
    <d v="2023-01-11T00:00:00"/>
    <m/>
    <m/>
    <n v="5.0999999999999996"/>
    <x v="2"/>
    <x v="2"/>
    <s v="Normal"/>
  </r>
  <r>
    <s v="DEAL-01547"/>
    <x v="13"/>
    <s v="CLI-0083"/>
    <x v="1"/>
    <x v="5"/>
    <x v="2"/>
    <n v="321618"/>
    <d v="2023-07-05T00:00:00"/>
    <m/>
    <m/>
    <n v="7.8"/>
    <x v="0"/>
    <x v="6"/>
    <s v="Normal"/>
  </r>
  <r>
    <s v="DEAL-01236"/>
    <x v="11"/>
    <s v="CLI-0013"/>
    <x v="2"/>
    <x v="3"/>
    <x v="4"/>
    <n v="265158"/>
    <d v="2023-08-22T00:00:00"/>
    <m/>
    <m/>
    <n v="8"/>
    <x v="0"/>
    <x v="6"/>
    <s v="Normal"/>
  </r>
  <r>
    <s v="DEAL-01448"/>
    <x v="12"/>
    <s v="CLI-0224"/>
    <x v="5"/>
    <x v="7"/>
    <x v="3"/>
    <n v="27766"/>
    <d v="2023-03-25T00:00:00"/>
    <d v="2023-05-28T00:00:00"/>
    <n v="64"/>
    <n v="6.8"/>
    <x v="2"/>
    <x v="2"/>
    <s v="Normal"/>
  </r>
  <r>
    <s v="DEAL-01705"/>
    <x v="15"/>
    <s v="CLI-0212"/>
    <x v="5"/>
    <x v="3"/>
    <x v="4"/>
    <n v="412466"/>
    <d v="2024-11-14T00:00:00"/>
    <m/>
    <m/>
    <m/>
    <x v="0"/>
    <x v="3"/>
    <s v="Normal"/>
  </r>
  <r>
    <s v="DEAL-00408"/>
    <x v="12"/>
    <s v="CLI-0242"/>
    <x v="4"/>
    <x v="3"/>
    <x v="0"/>
    <n v="49343"/>
    <d v="2024-12-05T00:00:00"/>
    <d v="2025-05-25T00:00:00"/>
    <n v="171"/>
    <n v="5.7"/>
    <x v="1"/>
    <x v="3"/>
    <s v="Normal"/>
  </r>
  <r>
    <s v="DEAL-00332"/>
    <x v="14"/>
    <s v="CLI-0036"/>
    <x v="2"/>
    <x v="5"/>
    <x v="2"/>
    <n v="410761"/>
    <d v="2024-02-14T00:00:00"/>
    <m/>
    <m/>
    <n v="7.5"/>
    <x v="0"/>
    <x v="5"/>
    <s v="Normal"/>
  </r>
  <r>
    <s v="DEAL-00908"/>
    <x v="13"/>
    <s v="CLI-0043"/>
    <x v="1"/>
    <x v="5"/>
    <x v="4"/>
    <n v="92525"/>
    <d v="2024-12-04T00:00:00"/>
    <m/>
    <m/>
    <n v="13.9"/>
    <x v="0"/>
    <x v="3"/>
    <s v="Normal"/>
  </r>
  <r>
    <s v="DEAL-01896"/>
    <x v="15"/>
    <s v="CLI-0114"/>
    <x v="4"/>
    <x v="4"/>
    <x v="1"/>
    <n v="363674"/>
    <d v="2024-04-26T00:00:00"/>
    <m/>
    <m/>
    <n v="5.5"/>
    <x v="0"/>
    <x v="7"/>
    <s v="Normal"/>
  </r>
  <r>
    <s v="DEAL-00254"/>
    <x v="11"/>
    <s v="CLI-0282"/>
    <x v="1"/>
    <x v="4"/>
    <x v="3"/>
    <n v="495808"/>
    <d v="2023-05-02T00:00:00"/>
    <d v="2023-06-04T00:00:00"/>
    <n v="33"/>
    <n v="13.7"/>
    <x v="2"/>
    <x v="1"/>
    <s v="Normal"/>
  </r>
  <r>
    <s v="DEAL-01057"/>
    <x v="0"/>
    <s v="CLI-0284"/>
    <x v="3"/>
    <x v="5"/>
    <x v="0"/>
    <n v="1022571"/>
    <d v="2025-02-11T00:00:00"/>
    <d v="2025-07-31T00:00:00"/>
    <n v="170"/>
    <n v="15"/>
    <x v="1"/>
    <x v="4"/>
    <s v="High Outlier"/>
  </r>
  <r>
    <s v="DEAL-01363"/>
    <x v="15"/>
    <s v="CLI-0043"/>
    <x v="3"/>
    <x v="2"/>
    <x v="2"/>
    <n v="254770"/>
    <d v="2023-03-19T00:00:00"/>
    <m/>
    <m/>
    <n v="6.2"/>
    <x v="3"/>
    <x v="2"/>
    <s v="Normal"/>
  </r>
  <r>
    <s v="DEAL-01655"/>
    <x v="10"/>
    <s v="CLI-0031"/>
    <x v="5"/>
    <x v="2"/>
    <x v="3"/>
    <n v="136962"/>
    <d v="2023-02-23T00:00:00"/>
    <d v="2023-08-07T00:00:00"/>
    <n v="165"/>
    <n v="2.5"/>
    <x v="3"/>
    <x v="2"/>
    <s v="Normal"/>
  </r>
  <r>
    <s v="DEAL-01028"/>
    <x v="6"/>
    <s v="CLI-0262"/>
    <x v="4"/>
    <x v="0"/>
    <x v="4"/>
    <n v="47244"/>
    <d v="2024-10-29T00:00:00"/>
    <m/>
    <m/>
    <n v="2.4"/>
    <x v="0"/>
    <x v="3"/>
    <s v="Normal"/>
  </r>
  <r>
    <s v="DEAL-00535"/>
    <x v="5"/>
    <s v="CLI-0276"/>
    <x v="3"/>
    <x v="2"/>
    <x v="2"/>
    <n v="253669"/>
    <d v="2023-05-05T00:00:00"/>
    <m/>
    <m/>
    <n v="13"/>
    <x v="3"/>
    <x v="1"/>
    <s v="Normal"/>
  </r>
  <r>
    <s v="DEAL-01957"/>
    <x v="6"/>
    <s v="CLI-0141"/>
    <x v="5"/>
    <x v="6"/>
    <x v="3"/>
    <n v="383141"/>
    <d v="2024-02-07T00:00:00"/>
    <d v="2024-04-21T00:00:00"/>
    <n v="74"/>
    <n v="2.2000000000000002"/>
    <x v="3"/>
    <x v="5"/>
    <s v="Normal"/>
  </r>
  <r>
    <s v="DEAL-01628"/>
    <x v="15"/>
    <s v="CLI-0251"/>
    <x v="3"/>
    <x v="6"/>
    <x v="1"/>
    <n v="445913"/>
    <d v="2024-08-24T00:00:00"/>
    <m/>
    <m/>
    <n v="2.5"/>
    <x v="0"/>
    <x v="8"/>
    <s v="Normal"/>
  </r>
  <r>
    <s v="DEAL-00442"/>
    <x v="6"/>
    <s v="CLI-0046"/>
    <x v="4"/>
    <x v="3"/>
    <x v="3"/>
    <n v="70017"/>
    <d v="2025-02-06T00:00:00"/>
    <d v="2025-03-11T00:00:00"/>
    <n v="33"/>
    <n v="9.4"/>
    <x v="3"/>
    <x v="4"/>
    <s v="Normal"/>
  </r>
  <r>
    <s v="DEAL-01233"/>
    <x v="10"/>
    <s v="CLI-0235"/>
    <x v="0"/>
    <x v="4"/>
    <x v="4"/>
    <n v="320522"/>
    <d v="2024-07-30T00:00:00"/>
    <m/>
    <m/>
    <m/>
    <x v="2"/>
    <x v="8"/>
    <s v="Normal"/>
  </r>
  <r>
    <s v="DEAL-01808"/>
    <x v="15"/>
    <s v="CLI-0245"/>
    <x v="4"/>
    <x v="5"/>
    <x v="3"/>
    <n v="222085"/>
    <d v="2023-03-14T00:00:00"/>
    <d v="2023-03-30T00:00:00"/>
    <n v="16"/>
    <n v="0.4"/>
    <x v="1"/>
    <x v="2"/>
    <s v="Normal"/>
  </r>
  <r>
    <s v="DEAL-00394"/>
    <x v="9"/>
    <s v="CLI-0084"/>
    <x v="0"/>
    <x v="5"/>
    <x v="1"/>
    <n v="269126"/>
    <d v="2023-08-01T00:00:00"/>
    <m/>
    <m/>
    <n v="5.9"/>
    <x v="3"/>
    <x v="6"/>
    <s v="Normal"/>
  </r>
  <r>
    <s v="DEAL-00873"/>
    <x v="9"/>
    <s v="CLI-0185"/>
    <x v="2"/>
    <x v="2"/>
    <x v="3"/>
    <n v="90695"/>
    <d v="2023-05-13T00:00:00"/>
    <d v="2023-08-17T00:00:00"/>
    <n v="96"/>
    <n v="4.9000000000000004"/>
    <x v="3"/>
    <x v="1"/>
    <s v="Normal"/>
  </r>
  <r>
    <s v="DEAL-00006"/>
    <x v="11"/>
    <s v="CLI-0219"/>
    <x v="3"/>
    <x v="4"/>
    <x v="2"/>
    <n v="75556"/>
    <d v="2025-01-14T00:00:00"/>
    <m/>
    <m/>
    <m/>
    <x v="3"/>
    <x v="4"/>
    <s v="Normal"/>
  </r>
  <r>
    <s v="DEAL-02356"/>
    <x v="2"/>
    <s v="CLI-0170"/>
    <x v="0"/>
    <x v="4"/>
    <x v="3"/>
    <n v="473485"/>
    <d v="2023-11-10T00:00:00"/>
    <d v="2024-01-16T00:00:00"/>
    <n v="67"/>
    <n v="7.3"/>
    <x v="1"/>
    <x v="0"/>
    <s v="Normal"/>
  </r>
  <r>
    <s v="DEAL-00982"/>
    <x v="5"/>
    <s v="CLI-0142"/>
    <x v="5"/>
    <x v="6"/>
    <x v="4"/>
    <n v="328207"/>
    <d v="2023-01-16T00:00:00"/>
    <m/>
    <m/>
    <n v="7.9"/>
    <x v="3"/>
    <x v="2"/>
    <s v="Normal"/>
  </r>
  <r>
    <s v="DEAL-02079"/>
    <x v="8"/>
    <s v="CLI-0152"/>
    <x v="3"/>
    <x v="2"/>
    <x v="3"/>
    <n v="193184"/>
    <d v="2023-02-03T00:00:00"/>
    <d v="2023-06-21T00:00:00"/>
    <n v="138"/>
    <n v="9.4"/>
    <x v="1"/>
    <x v="2"/>
    <s v="Normal"/>
  </r>
  <r>
    <s v="DEAL-01650"/>
    <x v="15"/>
    <s v="CLI-0285"/>
    <x v="2"/>
    <x v="7"/>
    <x v="0"/>
    <n v="463261"/>
    <d v="2023-11-06T00:00:00"/>
    <d v="2023-12-15T00:00:00"/>
    <n v="39"/>
    <n v="14.5"/>
    <x v="3"/>
    <x v="0"/>
    <s v="Normal"/>
  </r>
  <r>
    <s v="DEAL-01513"/>
    <x v="6"/>
    <s v="CLI-0033"/>
    <x v="5"/>
    <x v="0"/>
    <x v="5"/>
    <n v="63912"/>
    <d v="2023-04-20T00:00:00"/>
    <m/>
    <m/>
    <n v="5.5"/>
    <x v="0"/>
    <x v="1"/>
    <s v="Normal"/>
  </r>
  <r>
    <s v="DEAL-00173"/>
    <x v="14"/>
    <s v="CLI-0044"/>
    <x v="3"/>
    <x v="0"/>
    <x v="4"/>
    <n v="461903"/>
    <d v="2023-09-30T00:00:00"/>
    <m/>
    <m/>
    <n v="4.3"/>
    <x v="1"/>
    <x v="6"/>
    <s v="Normal"/>
  </r>
  <r>
    <s v="DEAL-01516"/>
    <x v="8"/>
    <s v="CLI-0017"/>
    <x v="3"/>
    <x v="5"/>
    <x v="2"/>
    <n v="213369"/>
    <d v="2023-05-26T00:00:00"/>
    <m/>
    <m/>
    <n v="1.4"/>
    <x v="0"/>
    <x v="1"/>
    <s v="Normal"/>
  </r>
  <r>
    <s v="DEAL-00350"/>
    <x v="9"/>
    <s v="CLI-0061"/>
    <x v="1"/>
    <x v="0"/>
    <x v="1"/>
    <n v="47774"/>
    <d v="2024-04-10T00:00:00"/>
    <m/>
    <m/>
    <n v="13.6"/>
    <x v="3"/>
    <x v="7"/>
    <s v="Normal"/>
  </r>
  <r>
    <s v="DEAL-00592"/>
    <x v="5"/>
    <s v="CLI-0130"/>
    <x v="2"/>
    <x v="2"/>
    <x v="3"/>
    <n v="456676"/>
    <d v="2023-05-09T00:00:00"/>
    <d v="2023-07-19T00:00:00"/>
    <n v="71"/>
    <n v="20.100000000000001"/>
    <x v="1"/>
    <x v="1"/>
    <s v="Normal"/>
  </r>
  <r>
    <s v="DEAL-00229"/>
    <x v="11"/>
    <s v="CLI-0118"/>
    <x v="2"/>
    <x v="4"/>
    <x v="3"/>
    <n v="350313"/>
    <d v="2024-07-05T00:00:00"/>
    <d v="2024-07-27T00:00:00"/>
    <n v="22"/>
    <n v="20.399999999999999"/>
    <x v="0"/>
    <x v="8"/>
    <s v="Normal"/>
  </r>
  <r>
    <s v="DEAL-02206"/>
    <x v="2"/>
    <s v="CLI-0047"/>
    <x v="0"/>
    <x v="4"/>
    <x v="3"/>
    <n v="491136"/>
    <d v="2023-03-11T00:00:00"/>
    <d v="2023-08-01T00:00:00"/>
    <n v="143"/>
    <n v="1.9"/>
    <x v="2"/>
    <x v="2"/>
    <s v="Normal"/>
  </r>
  <r>
    <s v="DEAL-01968"/>
    <x v="5"/>
    <s v="CLI-0242"/>
    <x v="0"/>
    <x v="8"/>
    <x v="3"/>
    <n v="398958"/>
    <d v="2024-05-02T00:00:00"/>
    <d v="2024-08-15T00:00:00"/>
    <n v="105"/>
    <n v="3.3"/>
    <x v="2"/>
    <x v="7"/>
    <s v="Normal"/>
  </r>
  <r>
    <s v="DEAL-00460"/>
    <x v="10"/>
    <s v="CLI-0245"/>
    <x v="5"/>
    <x v="2"/>
    <x v="2"/>
    <n v="387078"/>
    <d v="2024-06-15T00:00:00"/>
    <m/>
    <m/>
    <n v="3.9"/>
    <x v="0"/>
    <x v="7"/>
    <s v="Normal"/>
  </r>
  <r>
    <s v="DEAL-01996"/>
    <x v="5"/>
    <s v="CLI-0211"/>
    <x v="5"/>
    <x v="1"/>
    <x v="3"/>
    <n v="147926"/>
    <d v="2023-05-16T00:00:00"/>
    <d v="2023-10-12T00:00:00"/>
    <n v="149"/>
    <n v="5.3"/>
    <x v="3"/>
    <x v="1"/>
    <s v="Normal"/>
  </r>
  <r>
    <s v="DEAL-01067"/>
    <x v="7"/>
    <s v="CLI-0095"/>
    <x v="1"/>
    <x v="7"/>
    <x v="4"/>
    <n v="325945"/>
    <d v="2025-02-27T00:00:00"/>
    <m/>
    <m/>
    <n v="5.7"/>
    <x v="3"/>
    <x v="4"/>
    <s v="Normal"/>
  </r>
  <r>
    <s v="DEAL-01907"/>
    <x v="12"/>
    <s v="CLI-0084"/>
    <x v="2"/>
    <x v="7"/>
    <x v="3"/>
    <n v="293027"/>
    <d v="2023-11-09T00:00:00"/>
    <d v="2024-03-01T00:00:00"/>
    <n v="113"/>
    <n v="4.4000000000000004"/>
    <x v="1"/>
    <x v="0"/>
    <s v="Normal"/>
  </r>
  <r>
    <s v="DEAL-01731"/>
    <x v="14"/>
    <s v="CLI-0056"/>
    <x v="4"/>
    <x v="4"/>
    <x v="4"/>
    <n v="263816"/>
    <d v="2024-08-12T00:00:00"/>
    <m/>
    <m/>
    <n v="7.1"/>
    <x v="0"/>
    <x v="8"/>
    <s v="Normal"/>
  </r>
  <r>
    <s v="DEAL-00058"/>
    <x v="5"/>
    <s v="CLI-0299"/>
    <x v="5"/>
    <x v="3"/>
    <x v="4"/>
    <n v="369395"/>
    <d v="2025-03-25T00:00:00"/>
    <m/>
    <m/>
    <n v="5.3"/>
    <x v="2"/>
    <x v="4"/>
    <s v="Normal"/>
  </r>
  <r>
    <s v="DEAL-00922"/>
    <x v="3"/>
    <s v="CLI-0224"/>
    <x v="4"/>
    <x v="2"/>
    <x v="3"/>
    <n v="184136"/>
    <d v="2023-02-18T00:00:00"/>
    <d v="2023-05-17T00:00:00"/>
    <n v="88"/>
    <n v="13.3"/>
    <x v="2"/>
    <x v="2"/>
    <s v="Normal"/>
  </r>
  <r>
    <s v="DEAL-01422"/>
    <x v="11"/>
    <s v="CLI-0128"/>
    <x v="2"/>
    <x v="5"/>
    <x v="4"/>
    <n v="487419"/>
    <d v="2024-08-09T00:00:00"/>
    <m/>
    <m/>
    <n v="0"/>
    <x v="1"/>
    <x v="8"/>
    <s v="Normal"/>
  </r>
  <r>
    <s v="DEAL-01847"/>
    <x v="6"/>
    <s v="CLI-0088"/>
    <x v="5"/>
    <x v="6"/>
    <x v="3"/>
    <n v="257068"/>
    <d v="2023-11-09T00:00:00"/>
    <d v="2023-11-26T00:00:00"/>
    <n v="17"/>
    <n v="21.5"/>
    <x v="2"/>
    <x v="0"/>
    <s v="Normal"/>
  </r>
  <r>
    <s v="DEAL-02310"/>
    <x v="6"/>
    <s v="CLI-0134"/>
    <x v="0"/>
    <x v="4"/>
    <x v="2"/>
    <n v="402463"/>
    <d v="2023-07-25T00:00:00"/>
    <m/>
    <m/>
    <n v="5"/>
    <x v="0"/>
    <x v="6"/>
    <s v="Normal"/>
  </r>
  <r>
    <s v="DEAL-00219"/>
    <x v="7"/>
    <s v="CLI-0207"/>
    <x v="3"/>
    <x v="3"/>
    <x v="2"/>
    <n v="117901"/>
    <d v="2024-12-23T00:00:00"/>
    <m/>
    <m/>
    <n v="12.6"/>
    <x v="3"/>
    <x v="3"/>
    <s v="Normal"/>
  </r>
  <r>
    <s v="DEAL-02169"/>
    <x v="0"/>
    <s v="CLI-0228"/>
    <x v="5"/>
    <x v="1"/>
    <x v="5"/>
    <n v="194726"/>
    <d v="2023-07-10T00:00:00"/>
    <m/>
    <m/>
    <m/>
    <x v="1"/>
    <x v="6"/>
    <s v="Normal"/>
  </r>
  <r>
    <s v="DEAL-01585"/>
    <x v="8"/>
    <s v="CLI-0278"/>
    <x v="4"/>
    <x v="4"/>
    <x v="3"/>
    <n v="428668"/>
    <d v="2024-01-06T00:00:00"/>
    <d v="2024-03-27T00:00:00"/>
    <n v="81"/>
    <n v="10.5"/>
    <x v="0"/>
    <x v="5"/>
    <s v="Normal"/>
  </r>
  <r>
    <s v="DEAL-01447"/>
    <x v="6"/>
    <s v="CLI-0036"/>
    <x v="3"/>
    <x v="0"/>
    <x v="2"/>
    <n v="324615"/>
    <d v="2023-04-18T00:00:00"/>
    <m/>
    <m/>
    <m/>
    <x v="2"/>
    <x v="1"/>
    <s v="Normal"/>
  </r>
  <r>
    <s v="DEAL-01225"/>
    <x v="2"/>
    <s v="CLI-0197"/>
    <x v="3"/>
    <x v="0"/>
    <x v="0"/>
    <n v="107634"/>
    <d v="2023-05-05T00:00:00"/>
    <d v="2023-08-28T00:00:00"/>
    <n v="115"/>
    <n v="11.8"/>
    <x v="0"/>
    <x v="1"/>
    <s v="Normal"/>
  </r>
  <r>
    <s v="DEAL-01164"/>
    <x v="9"/>
    <s v="CLI-0055"/>
    <x v="4"/>
    <x v="6"/>
    <x v="3"/>
    <n v="144440"/>
    <d v="2024-12-22T00:00:00"/>
    <d v="2025-04-21T00:00:00"/>
    <n v="120"/>
    <n v="22.3"/>
    <x v="0"/>
    <x v="3"/>
    <s v="Normal"/>
  </r>
  <r>
    <s v="DEAL-01727"/>
    <x v="13"/>
    <s v="CLI-0199"/>
    <x v="2"/>
    <x v="7"/>
    <x v="4"/>
    <n v="180182"/>
    <d v="2024-11-02T00:00:00"/>
    <m/>
    <m/>
    <n v="12.6"/>
    <x v="0"/>
    <x v="3"/>
    <s v="Normal"/>
  </r>
  <r>
    <s v="DEAL-02291"/>
    <x v="15"/>
    <s v="CLI-0112"/>
    <x v="4"/>
    <x v="0"/>
    <x v="5"/>
    <n v="356244"/>
    <d v="2023-04-14T00:00:00"/>
    <m/>
    <m/>
    <m/>
    <x v="2"/>
    <x v="1"/>
    <s v="Normal"/>
  </r>
  <r>
    <s v="DEAL-00094"/>
    <x v="8"/>
    <s v="CLI-0197"/>
    <x v="2"/>
    <x v="3"/>
    <x v="3"/>
    <n v="349253"/>
    <d v="2024-07-01T00:00:00"/>
    <d v="2024-10-11T00:00:00"/>
    <n v="102"/>
    <n v="11.5"/>
    <x v="2"/>
    <x v="8"/>
    <s v="Normal"/>
  </r>
  <r>
    <s v="DEAL-02395"/>
    <x v="10"/>
    <s v="CLI-0206"/>
    <x v="2"/>
    <x v="2"/>
    <x v="5"/>
    <n v="183137"/>
    <d v="2023-01-10T00:00:00"/>
    <m/>
    <m/>
    <n v="11.8"/>
    <x v="0"/>
    <x v="2"/>
    <s v="Normal"/>
  </r>
  <r>
    <s v="DEAL-00169"/>
    <x v="14"/>
    <s v="CLI-0153"/>
    <x v="4"/>
    <x v="6"/>
    <x v="4"/>
    <n v="170194"/>
    <d v="2023-03-26T00:00:00"/>
    <m/>
    <m/>
    <m/>
    <x v="1"/>
    <x v="2"/>
    <s v="Normal"/>
  </r>
  <r>
    <s v="DEAL-01895"/>
    <x v="14"/>
    <s v="CLI-0103"/>
    <x v="1"/>
    <x v="1"/>
    <x v="1"/>
    <n v="900800"/>
    <d v="2023-06-02T00:00:00"/>
    <m/>
    <m/>
    <m/>
    <x v="0"/>
    <x v="1"/>
    <s v="Normal"/>
  </r>
  <r>
    <s v="DEAL-00222"/>
    <x v="9"/>
    <s v="CLI-0056"/>
    <x v="0"/>
    <x v="7"/>
    <x v="2"/>
    <n v="443974"/>
    <d v="2023-02-23T00:00:00"/>
    <m/>
    <m/>
    <n v="3"/>
    <x v="1"/>
    <x v="2"/>
    <s v="Normal"/>
  </r>
  <r>
    <s v="DEAL-00929"/>
    <x v="14"/>
    <s v="CLI-0162"/>
    <x v="1"/>
    <x v="4"/>
    <x v="4"/>
    <n v="319496"/>
    <d v="2023-05-04T00:00:00"/>
    <m/>
    <m/>
    <n v="12.2"/>
    <x v="2"/>
    <x v="1"/>
    <s v="Normal"/>
  </r>
  <r>
    <s v="DEAL-00069"/>
    <x v="5"/>
    <s v="CLI-0185"/>
    <x v="3"/>
    <x v="4"/>
    <x v="2"/>
    <n v="384484"/>
    <d v="2023-11-30T00:00:00"/>
    <m/>
    <m/>
    <m/>
    <x v="2"/>
    <x v="0"/>
    <s v="Normal"/>
  </r>
  <r>
    <s v="DEAL-00760"/>
    <x v="1"/>
    <s v="CLI-0190"/>
    <x v="4"/>
    <x v="8"/>
    <x v="1"/>
    <n v="1933238"/>
    <d v="2024-03-14T00:00:00"/>
    <m/>
    <m/>
    <m/>
    <x v="1"/>
    <x v="5"/>
    <s v="High Outlier"/>
  </r>
  <r>
    <s v="DEAL-01589"/>
    <x v="10"/>
    <s v="CLI-0245"/>
    <x v="1"/>
    <x v="6"/>
    <x v="0"/>
    <n v="168296"/>
    <d v="2024-02-05T00:00:00"/>
    <d v="2024-05-27T00:00:00"/>
    <n v="112"/>
    <n v="6.4"/>
    <x v="3"/>
    <x v="5"/>
    <s v="Normal"/>
  </r>
  <r>
    <s v="DEAL-01069"/>
    <x v="5"/>
    <s v="CLI-0106"/>
    <x v="0"/>
    <x v="2"/>
    <x v="1"/>
    <n v="1682617"/>
    <d v="2024-07-28T00:00:00"/>
    <m/>
    <m/>
    <n v="7"/>
    <x v="0"/>
    <x v="8"/>
    <s v="High Outlier"/>
  </r>
  <r>
    <s v="DEAL-02248"/>
    <x v="9"/>
    <s v="CLI-0068"/>
    <x v="2"/>
    <x v="2"/>
    <x v="5"/>
    <n v="153082"/>
    <d v="2024-10-01T00:00:00"/>
    <m/>
    <m/>
    <n v="3.2"/>
    <x v="1"/>
    <x v="3"/>
    <s v="Normal"/>
  </r>
  <r>
    <s v="DEAL-01905"/>
    <x v="14"/>
    <s v="CLI-0023"/>
    <x v="1"/>
    <x v="7"/>
    <x v="3"/>
    <n v="456390"/>
    <d v="2025-02-16T00:00:00"/>
    <d v="2025-03-13T00:00:00"/>
    <n v="25"/>
    <n v="3.7"/>
    <x v="0"/>
    <x v="4"/>
    <s v="Normal"/>
  </r>
  <r>
    <s v="DEAL-02038"/>
    <x v="1"/>
    <s v="CLI-0107"/>
    <x v="4"/>
    <x v="1"/>
    <x v="3"/>
    <n v="283930"/>
    <d v="2023-11-13T00:00:00"/>
    <d v="2024-04-29T00:00:00"/>
    <n v="168"/>
    <n v="1.6"/>
    <x v="1"/>
    <x v="0"/>
    <s v="Normal"/>
  </r>
  <r>
    <s v="DEAL-01458"/>
    <x v="6"/>
    <s v="CLI-0006"/>
    <x v="1"/>
    <x v="6"/>
    <x v="0"/>
    <n v="107279"/>
    <d v="2024-02-21T00:00:00"/>
    <d v="2024-07-25T00:00:00"/>
    <n v="155"/>
    <m/>
    <x v="2"/>
    <x v="5"/>
    <s v="Normal"/>
  </r>
  <r>
    <s v="DEAL-00803"/>
    <x v="7"/>
    <s v="CLI-0047"/>
    <x v="2"/>
    <x v="5"/>
    <x v="4"/>
    <n v="122477"/>
    <d v="2023-04-10T00:00:00"/>
    <m/>
    <m/>
    <m/>
    <x v="0"/>
    <x v="1"/>
    <s v="Normal"/>
  </r>
  <r>
    <s v="DEAL-01649"/>
    <x v="2"/>
    <s v="CLI-0084"/>
    <x v="4"/>
    <x v="3"/>
    <x v="0"/>
    <n v="401278"/>
    <d v="2023-06-20T00:00:00"/>
    <d v="2023-08-31T00:00:00"/>
    <n v="72"/>
    <m/>
    <x v="2"/>
    <x v="1"/>
    <s v="Normal"/>
  </r>
  <r>
    <s v="DEAL-01653"/>
    <x v="1"/>
    <s v="CLI-0136"/>
    <x v="2"/>
    <x v="2"/>
    <x v="2"/>
    <n v="335495"/>
    <d v="2024-07-04T00:00:00"/>
    <m/>
    <m/>
    <n v="3.1"/>
    <x v="1"/>
    <x v="8"/>
    <s v="Normal"/>
  </r>
  <r>
    <s v="DEAL-00005"/>
    <x v="6"/>
    <s v="CLI-0145"/>
    <x v="4"/>
    <x v="8"/>
    <x v="4"/>
    <n v="67858"/>
    <d v="2024-09-24T00:00:00"/>
    <m/>
    <m/>
    <n v="6.8"/>
    <x v="0"/>
    <x v="8"/>
    <s v="Normal"/>
  </r>
  <r>
    <s v="DEAL-00411"/>
    <x v="7"/>
    <s v="CLI-0290"/>
    <x v="2"/>
    <x v="6"/>
    <x v="4"/>
    <n v="64806"/>
    <d v="2024-08-27T00:00:00"/>
    <m/>
    <m/>
    <n v="11.4"/>
    <x v="2"/>
    <x v="8"/>
    <s v="Normal"/>
  </r>
  <r>
    <s v="DEAL-00646"/>
    <x v="3"/>
    <s v="CLI-0162"/>
    <x v="1"/>
    <x v="3"/>
    <x v="5"/>
    <n v="1799142"/>
    <d v="2024-08-08T00:00:00"/>
    <m/>
    <m/>
    <m/>
    <x v="0"/>
    <x v="8"/>
    <s v="High Outlier"/>
  </r>
  <r>
    <s v="DEAL-00675"/>
    <x v="3"/>
    <s v="CLI-0014"/>
    <x v="1"/>
    <x v="2"/>
    <x v="3"/>
    <n v="84175"/>
    <d v="2024-05-21T00:00:00"/>
    <d v="2024-07-30T00:00:00"/>
    <n v="70"/>
    <n v="0.3"/>
    <x v="2"/>
    <x v="7"/>
    <s v="Normal"/>
  </r>
  <r>
    <s v="DEAL-01014"/>
    <x v="4"/>
    <s v="CLI-0015"/>
    <x v="4"/>
    <x v="3"/>
    <x v="5"/>
    <n v="347196"/>
    <d v="2024-03-07T00:00:00"/>
    <m/>
    <m/>
    <m/>
    <x v="1"/>
    <x v="5"/>
    <s v="Normal"/>
  </r>
  <r>
    <s v="DEAL-00015"/>
    <x v="8"/>
    <s v="CLI-0017"/>
    <x v="0"/>
    <x v="4"/>
    <x v="3"/>
    <n v="292568"/>
    <d v="2023-07-14T00:00:00"/>
    <d v="2023-12-10T00:00:00"/>
    <n v="149"/>
    <n v="19.100000000000001"/>
    <x v="1"/>
    <x v="6"/>
    <s v="Normal"/>
  </r>
  <r>
    <s v="DEAL-00623"/>
    <x v="9"/>
    <s v="CLI-0052"/>
    <x v="3"/>
    <x v="2"/>
    <x v="2"/>
    <n v="375536"/>
    <d v="2023-12-05T00:00:00"/>
    <m/>
    <m/>
    <n v="3.5"/>
    <x v="0"/>
    <x v="0"/>
    <s v="Normal"/>
  </r>
  <r>
    <s v="DEAL-02366"/>
    <x v="12"/>
    <s v="CLI-0060"/>
    <x v="3"/>
    <x v="5"/>
    <x v="4"/>
    <n v="100519"/>
    <d v="2024-02-05T00:00:00"/>
    <m/>
    <m/>
    <m/>
    <x v="2"/>
    <x v="5"/>
    <s v="Normal"/>
  </r>
  <r>
    <s v="DEAL-01331"/>
    <x v="3"/>
    <s v="CLI-0010"/>
    <x v="0"/>
    <x v="2"/>
    <x v="2"/>
    <n v="386603"/>
    <d v="2024-02-06T00:00:00"/>
    <m/>
    <m/>
    <m/>
    <x v="3"/>
    <x v="5"/>
    <s v="Normal"/>
  </r>
  <r>
    <s v="DEAL-00071"/>
    <x v="3"/>
    <s v="CLI-0123"/>
    <x v="2"/>
    <x v="4"/>
    <x v="5"/>
    <n v="252697"/>
    <d v="2023-04-10T00:00:00"/>
    <m/>
    <m/>
    <m/>
    <x v="0"/>
    <x v="1"/>
    <s v="Normal"/>
  </r>
  <r>
    <s v="DEAL-00943"/>
    <x v="0"/>
    <s v="CLI-0183"/>
    <x v="2"/>
    <x v="5"/>
    <x v="0"/>
    <n v="217192"/>
    <d v="2025-02-09T00:00:00"/>
    <d v="2025-07-08T00:00:00"/>
    <n v="149"/>
    <n v="8.6"/>
    <x v="3"/>
    <x v="4"/>
    <s v="Normal"/>
  </r>
  <r>
    <s v="DEAL-01133"/>
    <x v="13"/>
    <s v="CLI-0050"/>
    <x v="1"/>
    <x v="0"/>
    <x v="2"/>
    <n v="475859"/>
    <d v="2023-02-18T00:00:00"/>
    <m/>
    <m/>
    <n v="3.5"/>
    <x v="2"/>
    <x v="2"/>
    <s v="Normal"/>
  </r>
  <r>
    <s v="DEAL-01656"/>
    <x v="2"/>
    <s v="CLI-0079"/>
    <x v="4"/>
    <x v="7"/>
    <x v="3"/>
    <n v="56200"/>
    <d v="2023-03-27T00:00:00"/>
    <d v="2023-07-05T00:00:00"/>
    <n v="100"/>
    <n v="8.9"/>
    <x v="1"/>
    <x v="2"/>
    <s v="Normal"/>
  </r>
  <r>
    <s v="DEAL-01134"/>
    <x v="13"/>
    <s v="CLI-0061"/>
    <x v="2"/>
    <x v="7"/>
    <x v="3"/>
    <n v="231217"/>
    <d v="2024-02-15T00:00:00"/>
    <d v="2024-06-04T00:00:00"/>
    <n v="110"/>
    <n v="23.5"/>
    <x v="0"/>
    <x v="5"/>
    <s v="Normal"/>
  </r>
  <r>
    <s v="DEAL-00647"/>
    <x v="5"/>
    <s v="CLI-0137"/>
    <x v="0"/>
    <x v="2"/>
    <x v="5"/>
    <n v="481113"/>
    <d v="2024-07-03T00:00:00"/>
    <m/>
    <m/>
    <m/>
    <x v="2"/>
    <x v="8"/>
    <s v="Normal"/>
  </r>
  <r>
    <s v="DEAL-00570"/>
    <x v="14"/>
    <s v="CLI-0104"/>
    <x v="2"/>
    <x v="7"/>
    <x v="4"/>
    <n v="147811"/>
    <d v="2023-11-07T00:00:00"/>
    <m/>
    <m/>
    <n v="5.6"/>
    <x v="2"/>
    <x v="0"/>
    <s v="Normal"/>
  </r>
  <r>
    <s v="DEAL-01386"/>
    <x v="11"/>
    <s v="CLI-0254"/>
    <x v="3"/>
    <x v="1"/>
    <x v="5"/>
    <n v="330090"/>
    <d v="2023-01-18T00:00:00"/>
    <m/>
    <m/>
    <n v="7"/>
    <x v="1"/>
    <x v="2"/>
    <s v="Normal"/>
  </r>
  <r>
    <s v="DEAL-01147"/>
    <x v="14"/>
    <s v="CLI-0068"/>
    <x v="1"/>
    <x v="6"/>
    <x v="0"/>
    <n v="320635"/>
    <d v="2024-08-25T00:00:00"/>
    <d v="2024-09-25T00:00:00"/>
    <n v="31"/>
    <n v="3.4"/>
    <x v="1"/>
    <x v="8"/>
    <s v="Normal"/>
  </r>
  <r>
    <s v="DEAL-01129"/>
    <x v="3"/>
    <s v="CLI-0167"/>
    <x v="4"/>
    <x v="0"/>
    <x v="0"/>
    <n v="431788"/>
    <d v="2024-05-09T00:00:00"/>
    <d v="2024-08-10T00:00:00"/>
    <n v="93"/>
    <m/>
    <x v="0"/>
    <x v="7"/>
    <s v="Normal"/>
  </r>
  <r>
    <s v="DEAL-00417"/>
    <x v="10"/>
    <s v="CLI-0212"/>
    <x v="2"/>
    <x v="0"/>
    <x v="4"/>
    <n v="116732"/>
    <d v="2023-10-22T00:00:00"/>
    <m/>
    <m/>
    <m/>
    <x v="3"/>
    <x v="0"/>
    <s v="Normal"/>
  </r>
  <r>
    <s v="DEAL-02042"/>
    <x v="1"/>
    <s v="CLI-0156"/>
    <x v="1"/>
    <x v="2"/>
    <x v="0"/>
    <n v="262556"/>
    <d v="2024-07-11T00:00:00"/>
    <d v="2024-09-02T00:00:00"/>
    <n v="53"/>
    <n v="4.5999999999999996"/>
    <x v="3"/>
    <x v="8"/>
    <s v="Normal"/>
  </r>
  <r>
    <s v="DEAL-00906"/>
    <x v="10"/>
    <s v="CLI-0184"/>
    <x v="4"/>
    <x v="5"/>
    <x v="3"/>
    <n v="97807"/>
    <d v="2025-01-17T00:00:00"/>
    <d v="2025-07-01T00:00:00"/>
    <n v="165"/>
    <n v="16.600000000000001"/>
    <x v="3"/>
    <x v="4"/>
    <s v="Normal"/>
  </r>
  <r>
    <s v="DEAL-00940"/>
    <x v="12"/>
    <s v="CLI-0189"/>
    <x v="3"/>
    <x v="7"/>
    <x v="3"/>
    <n v="473872"/>
    <d v="2024-03-07T00:00:00"/>
    <d v="2024-09-01T00:00:00"/>
    <n v="178"/>
    <n v="15.2"/>
    <x v="0"/>
    <x v="5"/>
    <s v="Normal"/>
  </r>
  <r>
    <s v="DEAL-01937"/>
    <x v="7"/>
    <s v="CLI-0153"/>
    <x v="2"/>
    <x v="6"/>
    <x v="3"/>
    <n v="472268"/>
    <d v="2023-07-27T00:00:00"/>
    <d v="2023-08-17T00:00:00"/>
    <n v="21"/>
    <n v="19.399999999999999"/>
    <x v="1"/>
    <x v="6"/>
    <s v="Normal"/>
  </r>
  <r>
    <s v="DEAL-00248"/>
    <x v="10"/>
    <s v="CLI-0177"/>
    <x v="3"/>
    <x v="0"/>
    <x v="5"/>
    <n v="374041"/>
    <d v="2024-09-05T00:00:00"/>
    <m/>
    <m/>
    <n v="6.4"/>
    <x v="3"/>
    <x v="8"/>
    <s v="Normal"/>
  </r>
  <r>
    <s v="DEAL-00872"/>
    <x v="9"/>
    <s v="CLI-0152"/>
    <x v="5"/>
    <x v="2"/>
    <x v="2"/>
    <n v="419074"/>
    <d v="2024-09-20T00:00:00"/>
    <m/>
    <m/>
    <n v="1"/>
    <x v="0"/>
    <x v="8"/>
    <s v="Normal"/>
  </r>
  <r>
    <s v="DEAL-00720"/>
    <x v="1"/>
    <s v="CLI-0243"/>
    <x v="2"/>
    <x v="4"/>
    <x v="5"/>
    <n v="139534"/>
    <d v="2024-02-28T00:00:00"/>
    <m/>
    <m/>
    <n v="12.6"/>
    <x v="1"/>
    <x v="5"/>
    <s v="Normal"/>
  </r>
  <r>
    <s v="DEAL-02437"/>
    <x v="0"/>
    <s v="CLI-0060"/>
    <x v="3"/>
    <x v="3"/>
    <x v="5"/>
    <n v="192583"/>
    <d v="2024-07-26T00:00:00"/>
    <m/>
    <m/>
    <n v="1.2"/>
    <x v="1"/>
    <x v="8"/>
    <s v="Normal"/>
  </r>
  <r>
    <s v="DEAL-00624"/>
    <x v="8"/>
    <s v="CLI-0111"/>
    <x v="5"/>
    <x v="3"/>
    <x v="3"/>
    <n v="197878"/>
    <d v="2025-03-04T00:00:00"/>
    <d v="2025-04-06T00:00:00"/>
    <n v="33"/>
    <n v="13.2"/>
    <x v="1"/>
    <x v="4"/>
    <s v="Normal"/>
  </r>
  <r>
    <s v="DEAL-00682"/>
    <x v="11"/>
    <s v="CLI-0129"/>
    <x v="0"/>
    <x v="0"/>
    <x v="3"/>
    <n v="231769"/>
    <d v="2023-01-12T00:00:00"/>
    <d v="2023-04-13T00:00:00"/>
    <n v="91"/>
    <n v="3.6"/>
    <x v="3"/>
    <x v="2"/>
    <s v="Normal"/>
  </r>
  <r>
    <s v="DEAL-02078"/>
    <x v="8"/>
    <s v="CLI-0261"/>
    <x v="2"/>
    <x v="2"/>
    <x v="4"/>
    <n v="1372299"/>
    <d v="2024-11-26T00:00:00"/>
    <m/>
    <m/>
    <n v="12.5"/>
    <x v="0"/>
    <x v="3"/>
    <s v="High Outlier"/>
  </r>
  <r>
    <s v="DEAL-00487"/>
    <x v="12"/>
    <s v="CLI-0245"/>
    <x v="2"/>
    <x v="2"/>
    <x v="2"/>
    <n v="357297"/>
    <d v="2023-06-30T00:00:00"/>
    <m/>
    <m/>
    <n v="7"/>
    <x v="3"/>
    <x v="1"/>
    <s v="Normal"/>
  </r>
  <r>
    <s v="DEAL-01791"/>
    <x v="0"/>
    <s v="CLI-0055"/>
    <x v="5"/>
    <x v="2"/>
    <x v="4"/>
    <n v="207922"/>
    <d v="2023-08-08T00:00:00"/>
    <m/>
    <m/>
    <n v="0.2"/>
    <x v="2"/>
    <x v="6"/>
    <s v="Normal"/>
  </r>
  <r>
    <s v="DEAL-01383"/>
    <x v="10"/>
    <s v="CLI-0230"/>
    <x v="3"/>
    <x v="7"/>
    <x v="2"/>
    <n v="90140"/>
    <d v="2023-04-23T00:00:00"/>
    <m/>
    <m/>
    <n v="3.1"/>
    <x v="2"/>
    <x v="1"/>
    <s v="Normal"/>
  </r>
  <r>
    <s v="DEAL-01884"/>
    <x v="13"/>
    <s v="CLI-0128"/>
    <x v="3"/>
    <x v="5"/>
    <x v="4"/>
    <n v="356152"/>
    <d v="2024-12-11T00:00:00"/>
    <m/>
    <m/>
    <m/>
    <x v="3"/>
    <x v="3"/>
    <s v="Normal"/>
  </r>
  <r>
    <s v="DEAL-00325"/>
    <x v="15"/>
    <s v="CLI-0111"/>
    <x v="1"/>
    <x v="6"/>
    <x v="3"/>
    <n v="403041"/>
    <d v="2025-01-26T00:00:00"/>
    <d v="2025-06-25T00:00:00"/>
    <n v="150"/>
    <n v="1.1000000000000001"/>
    <x v="0"/>
    <x v="4"/>
    <s v="Normal"/>
  </r>
  <r>
    <s v="DEAL-01618"/>
    <x v="7"/>
    <s v="CLI-0258"/>
    <x v="5"/>
    <x v="0"/>
    <x v="0"/>
    <n v="144927"/>
    <d v="2024-01-15T00:00:00"/>
    <d v="2024-02-25T00:00:00"/>
    <n v="41"/>
    <n v="11.1"/>
    <x v="2"/>
    <x v="5"/>
    <s v="Normal"/>
  </r>
  <r>
    <s v="DEAL-01984"/>
    <x v="12"/>
    <s v="CLI-0149"/>
    <x v="1"/>
    <x v="7"/>
    <x v="3"/>
    <n v="217076"/>
    <d v="2023-05-17T00:00:00"/>
    <d v="2023-09-18T00:00:00"/>
    <n v="124"/>
    <n v="9"/>
    <x v="2"/>
    <x v="1"/>
    <s v="Normal"/>
  </r>
  <r>
    <s v="DEAL-02210"/>
    <x v="9"/>
    <s v="CLI-0012"/>
    <x v="1"/>
    <x v="2"/>
    <x v="3"/>
    <n v="86934"/>
    <d v="2023-05-11T00:00:00"/>
    <d v="2023-07-24T00:00:00"/>
    <n v="74"/>
    <n v="8.9"/>
    <x v="0"/>
    <x v="1"/>
    <s v="Normal"/>
  </r>
  <r>
    <s v="DEAL-00829"/>
    <x v="1"/>
    <s v="CLI-0004"/>
    <x v="3"/>
    <x v="0"/>
    <x v="0"/>
    <n v="119543"/>
    <d v="2023-12-30T00:00:00"/>
    <d v="2024-03-03T00:00:00"/>
    <n v="64"/>
    <n v="3.9"/>
    <x v="3"/>
    <x v="0"/>
    <s v="Normal"/>
  </r>
  <r>
    <s v="DEAL-02197"/>
    <x v="1"/>
    <s v="CLI-0047"/>
    <x v="2"/>
    <x v="2"/>
    <x v="2"/>
    <n v="389172"/>
    <d v="2025-03-03T00:00:00"/>
    <m/>
    <m/>
    <n v="13.5"/>
    <x v="0"/>
    <x v="4"/>
    <s v="Normal"/>
  </r>
  <r>
    <s v="DEAL-00373"/>
    <x v="11"/>
    <s v="CLI-0027"/>
    <x v="2"/>
    <x v="4"/>
    <x v="5"/>
    <n v="98980"/>
    <d v="2023-06-15T00:00:00"/>
    <m/>
    <m/>
    <n v="1"/>
    <x v="2"/>
    <x v="1"/>
    <s v="Normal"/>
  </r>
  <r>
    <s v="DEAL-00474"/>
    <x v="15"/>
    <s v="CLI-0075"/>
    <x v="4"/>
    <x v="5"/>
    <x v="5"/>
    <n v="287510"/>
    <d v="2024-03-08T00:00:00"/>
    <m/>
    <m/>
    <n v="5.3"/>
    <x v="1"/>
    <x v="5"/>
    <s v="Normal"/>
  </r>
  <r>
    <s v="DEAL-00905"/>
    <x v="10"/>
    <s v="CLI-0229"/>
    <x v="1"/>
    <x v="4"/>
    <x v="3"/>
    <n v="458363"/>
    <d v="2023-11-25T00:00:00"/>
    <d v="2024-01-07T00:00:00"/>
    <n v="43"/>
    <n v="8.6999999999999993"/>
    <x v="1"/>
    <x v="0"/>
    <s v="Normal"/>
  </r>
  <r>
    <s v="DEAL-00036"/>
    <x v="8"/>
    <s v="CLI-0061"/>
    <x v="1"/>
    <x v="5"/>
    <x v="1"/>
    <n v="210386"/>
    <d v="2024-11-25T00:00:00"/>
    <m/>
    <m/>
    <n v="9.1999999999999993"/>
    <x v="1"/>
    <x v="3"/>
    <s v="Normal"/>
  </r>
  <r>
    <s v="DEAL-00168"/>
    <x v="15"/>
    <s v="CLI-0144"/>
    <x v="5"/>
    <x v="4"/>
    <x v="2"/>
    <n v="325682"/>
    <d v="2024-07-14T00:00:00"/>
    <m/>
    <m/>
    <n v="11.1"/>
    <x v="3"/>
    <x v="8"/>
    <s v="Normal"/>
  </r>
  <r>
    <s v="DEAL-01192"/>
    <x v="15"/>
    <s v="CLI-0288"/>
    <x v="1"/>
    <x v="5"/>
    <x v="0"/>
    <n v="198365"/>
    <d v="2023-01-02T00:00:00"/>
    <d v="2023-03-11T00:00:00"/>
    <n v="68"/>
    <m/>
    <x v="0"/>
    <x v="2"/>
    <s v="Normal"/>
  </r>
  <r>
    <s v="DEAL-02048"/>
    <x v="15"/>
    <s v="CLI-0242"/>
    <x v="5"/>
    <x v="5"/>
    <x v="5"/>
    <n v="269598"/>
    <d v="2024-12-24T00:00:00"/>
    <m/>
    <m/>
    <n v="10.4"/>
    <x v="3"/>
    <x v="3"/>
    <s v="Normal"/>
  </r>
  <r>
    <s v="DEAL-00819"/>
    <x v="14"/>
    <s v="CLI-0097"/>
    <x v="5"/>
    <x v="6"/>
    <x v="5"/>
    <n v="33145"/>
    <d v="2023-01-03T00:00:00"/>
    <m/>
    <m/>
    <n v="9.9"/>
    <x v="0"/>
    <x v="2"/>
    <s v="Normal"/>
  </r>
  <r>
    <s v="DEAL-00288"/>
    <x v="5"/>
    <s v="CLI-0101"/>
    <x v="1"/>
    <x v="6"/>
    <x v="3"/>
    <n v="494610"/>
    <d v="2023-04-02T00:00:00"/>
    <d v="2023-05-14T00:00:00"/>
    <n v="42"/>
    <n v="19.399999999999999"/>
    <x v="2"/>
    <x v="1"/>
    <s v="Normal"/>
  </r>
  <r>
    <s v="DEAL-02124"/>
    <x v="13"/>
    <s v="CLI-0284"/>
    <x v="1"/>
    <x v="6"/>
    <x v="3"/>
    <n v="315836"/>
    <d v="2024-07-22T00:00:00"/>
    <d v="2024-12-28T00:00:00"/>
    <n v="159"/>
    <n v="6.7"/>
    <x v="0"/>
    <x v="8"/>
    <s v="Normal"/>
  </r>
  <r>
    <s v="DEAL-02257"/>
    <x v="2"/>
    <s v="CLI-0243"/>
    <x v="2"/>
    <x v="1"/>
    <x v="1"/>
    <n v="426963"/>
    <d v="2023-05-05T00:00:00"/>
    <m/>
    <m/>
    <n v="14.2"/>
    <x v="3"/>
    <x v="1"/>
    <s v="Normal"/>
  </r>
  <r>
    <s v="DEAL-01652"/>
    <x v="5"/>
    <s v="CLI-0281"/>
    <x v="0"/>
    <x v="3"/>
    <x v="3"/>
    <n v="283948"/>
    <d v="2024-11-24T00:00:00"/>
    <d v="2024-12-28T00:00:00"/>
    <n v="34"/>
    <n v="24.3"/>
    <x v="0"/>
    <x v="3"/>
    <s v="Normal"/>
  </r>
  <r>
    <s v="DEAL-02460"/>
    <x v="13"/>
    <s v="CLI-0233"/>
    <x v="1"/>
    <x v="1"/>
    <x v="5"/>
    <n v="489088"/>
    <d v="2024-01-23T00:00:00"/>
    <m/>
    <m/>
    <n v="2.2999999999999998"/>
    <x v="2"/>
    <x v="5"/>
    <s v="Normal"/>
  </r>
  <r>
    <s v="DEAL-01600"/>
    <x v="3"/>
    <s v="CLI-0095"/>
    <x v="1"/>
    <x v="3"/>
    <x v="5"/>
    <n v="233356"/>
    <d v="2023-12-23T00:00:00"/>
    <m/>
    <m/>
    <n v="2.8"/>
    <x v="1"/>
    <x v="0"/>
    <s v="Normal"/>
  </r>
  <r>
    <s v="DEAL-01640"/>
    <x v="15"/>
    <s v="CLI-0054"/>
    <x v="1"/>
    <x v="7"/>
    <x v="2"/>
    <n v="285426"/>
    <d v="2025-03-30T00:00:00"/>
    <m/>
    <m/>
    <n v="5"/>
    <x v="2"/>
    <x v="4"/>
    <s v="Normal"/>
  </r>
  <r>
    <s v="DEAL-00023"/>
    <x v="2"/>
    <s v="CLI-0114"/>
    <x v="5"/>
    <x v="5"/>
    <x v="1"/>
    <n v="251366"/>
    <d v="2023-05-22T00:00:00"/>
    <m/>
    <m/>
    <n v="4"/>
    <x v="1"/>
    <x v="1"/>
    <s v="Normal"/>
  </r>
  <r>
    <s v="DEAL-02026"/>
    <x v="1"/>
    <s v="CLI-0167"/>
    <x v="3"/>
    <x v="3"/>
    <x v="4"/>
    <n v="197263"/>
    <d v="2025-02-02T00:00:00"/>
    <m/>
    <m/>
    <n v="7.6"/>
    <x v="1"/>
    <x v="4"/>
    <s v="Normal"/>
  </r>
  <r>
    <s v="DEAL-01759"/>
    <x v="7"/>
    <s v="CLI-0078"/>
    <x v="1"/>
    <x v="3"/>
    <x v="5"/>
    <n v="14972"/>
    <d v="2024-03-05T00:00:00"/>
    <m/>
    <m/>
    <n v="10.5"/>
    <x v="0"/>
    <x v="5"/>
    <s v="Normal"/>
  </r>
  <r>
    <s v="DEAL-01031"/>
    <x v="11"/>
    <s v="CLI-0021"/>
    <x v="2"/>
    <x v="6"/>
    <x v="5"/>
    <n v="404863"/>
    <d v="2023-02-11T00:00:00"/>
    <m/>
    <m/>
    <n v="5.7"/>
    <x v="1"/>
    <x v="2"/>
    <s v="Normal"/>
  </r>
  <r>
    <s v="DEAL-01392"/>
    <x v="11"/>
    <s v="CLI-0266"/>
    <x v="4"/>
    <x v="6"/>
    <x v="0"/>
    <n v="133504"/>
    <d v="2025-01-12T00:00:00"/>
    <d v="2025-03-04T00:00:00"/>
    <n v="51"/>
    <n v="7.1"/>
    <x v="3"/>
    <x v="4"/>
    <s v="Normal"/>
  </r>
  <r>
    <s v="DEAL-01167"/>
    <x v="5"/>
    <s v="CLI-0298"/>
    <x v="3"/>
    <x v="3"/>
    <x v="5"/>
    <n v="311535"/>
    <d v="2024-03-04T00:00:00"/>
    <m/>
    <m/>
    <m/>
    <x v="3"/>
    <x v="5"/>
    <s v="Normal"/>
  </r>
  <r>
    <s v="DEAL-01166"/>
    <x v="9"/>
    <s v="CLI-0230"/>
    <x v="2"/>
    <x v="0"/>
    <x v="2"/>
    <n v="499489"/>
    <d v="2023-04-15T00:00:00"/>
    <m/>
    <m/>
    <m/>
    <x v="2"/>
    <x v="1"/>
    <s v="Normal"/>
  </r>
  <r>
    <s v="DEAL-00056"/>
    <x v="3"/>
    <s v="CLI-0101"/>
    <x v="0"/>
    <x v="1"/>
    <x v="3"/>
    <n v="69683"/>
    <d v="2023-12-16T00:00:00"/>
    <d v="2024-04-10T00:00:00"/>
    <n v="116"/>
    <n v="15.4"/>
    <x v="3"/>
    <x v="0"/>
    <s v="Normal"/>
  </r>
  <r>
    <s v="DEAL-02191"/>
    <x v="4"/>
    <s v="CLI-0126"/>
    <x v="3"/>
    <x v="7"/>
    <x v="3"/>
    <n v="37136"/>
    <d v="2023-08-12T00:00:00"/>
    <d v="2023-09-05T00:00:00"/>
    <n v="24"/>
    <n v="9.3000000000000007"/>
    <x v="3"/>
    <x v="6"/>
    <s v="Normal"/>
  </r>
  <r>
    <s v="DEAL-02353"/>
    <x v="5"/>
    <s v="CLI-0005"/>
    <x v="5"/>
    <x v="6"/>
    <x v="3"/>
    <n v="222473"/>
    <d v="2023-06-09T00:00:00"/>
    <d v="2023-10-23T00:00:00"/>
    <n v="136"/>
    <n v="24.3"/>
    <x v="1"/>
    <x v="1"/>
    <s v="Normal"/>
  </r>
  <r>
    <s v="DEAL-01523"/>
    <x v="7"/>
    <s v="CLI-0221"/>
    <x v="1"/>
    <x v="2"/>
    <x v="0"/>
    <n v="59249"/>
    <d v="2025-03-13T00:00:00"/>
    <d v="2025-07-15T00:00:00"/>
    <n v="124"/>
    <n v="10.199999999999999"/>
    <x v="0"/>
    <x v="4"/>
    <s v="Normal"/>
  </r>
  <r>
    <s v="DEAL-01203"/>
    <x v="8"/>
    <s v="CLI-0142"/>
    <x v="4"/>
    <x v="7"/>
    <x v="3"/>
    <n v="477798"/>
    <d v="2023-02-02T00:00:00"/>
    <d v="2023-03-04T00:00:00"/>
    <n v="30"/>
    <n v="4.3"/>
    <x v="3"/>
    <x v="2"/>
    <s v="Normal"/>
  </r>
  <r>
    <s v="DEAL-01338"/>
    <x v="9"/>
    <s v="CLI-0062"/>
    <x v="2"/>
    <x v="4"/>
    <x v="1"/>
    <n v="291602"/>
    <d v="2023-12-13T00:00:00"/>
    <m/>
    <m/>
    <n v="8.4"/>
    <x v="0"/>
    <x v="0"/>
    <s v="Normal"/>
  </r>
  <r>
    <s v="DEAL-01811"/>
    <x v="12"/>
    <s v="CLI-0265"/>
    <x v="5"/>
    <x v="7"/>
    <x v="5"/>
    <n v="280933"/>
    <d v="2023-01-13T00:00:00"/>
    <m/>
    <m/>
    <m/>
    <x v="3"/>
    <x v="2"/>
    <s v="Normal"/>
  </r>
  <r>
    <s v="DEAL-02035"/>
    <x v="9"/>
    <s v="CLI-0229"/>
    <x v="3"/>
    <x v="2"/>
    <x v="0"/>
    <n v="54460"/>
    <d v="2024-02-04T00:00:00"/>
    <d v="2024-05-28T00:00:00"/>
    <n v="114"/>
    <n v="10.8"/>
    <x v="3"/>
    <x v="5"/>
    <s v="Normal"/>
  </r>
  <r>
    <s v="DEAL-00934"/>
    <x v="14"/>
    <s v="CLI-0219"/>
    <x v="1"/>
    <x v="7"/>
    <x v="0"/>
    <n v="276452"/>
    <d v="2023-03-14T00:00:00"/>
    <d v="2023-08-15T00:00:00"/>
    <n v="154"/>
    <n v="13.4"/>
    <x v="1"/>
    <x v="2"/>
    <s v="Normal"/>
  </r>
  <r>
    <s v="DEAL-01283"/>
    <x v="1"/>
    <s v="CLI-0062"/>
    <x v="5"/>
    <x v="7"/>
    <x v="2"/>
    <n v="408907"/>
    <d v="2023-06-19T00:00:00"/>
    <m/>
    <m/>
    <m/>
    <x v="2"/>
    <x v="1"/>
    <s v="Normal"/>
  </r>
  <r>
    <s v="DEAL-00098"/>
    <x v="7"/>
    <s v="CLI-0160"/>
    <x v="0"/>
    <x v="4"/>
    <x v="5"/>
    <n v="99490"/>
    <d v="2023-03-07T00:00:00"/>
    <m/>
    <m/>
    <m/>
    <x v="0"/>
    <x v="2"/>
    <s v="Normal"/>
  </r>
  <r>
    <s v="DEAL-01590"/>
    <x v="14"/>
    <s v="CLI-0237"/>
    <x v="4"/>
    <x v="7"/>
    <x v="4"/>
    <n v="361767"/>
    <d v="2023-07-10T00:00:00"/>
    <m/>
    <m/>
    <m/>
    <x v="0"/>
    <x v="6"/>
    <s v="Normal"/>
  </r>
  <r>
    <s v="DEAL-00871"/>
    <x v="11"/>
    <s v="CLI-0132"/>
    <x v="2"/>
    <x v="3"/>
    <x v="3"/>
    <n v="241423"/>
    <d v="2023-07-03T00:00:00"/>
    <d v="2023-09-16T00:00:00"/>
    <n v="75"/>
    <n v="10"/>
    <x v="0"/>
    <x v="6"/>
    <s v="Normal"/>
  </r>
  <r>
    <s v="DEAL-00953"/>
    <x v="13"/>
    <s v="CLI-0160"/>
    <x v="4"/>
    <x v="7"/>
    <x v="3"/>
    <n v="166611"/>
    <d v="2024-08-17T00:00:00"/>
    <d v="2024-11-04T00:00:00"/>
    <n v="79"/>
    <n v="7.3"/>
    <x v="0"/>
    <x v="8"/>
    <s v="Normal"/>
  </r>
  <r>
    <s v="DEAL-00390"/>
    <x v="7"/>
    <s v="CLI-0061"/>
    <x v="4"/>
    <x v="6"/>
    <x v="4"/>
    <n v="343590"/>
    <d v="2025-01-15T00:00:00"/>
    <m/>
    <m/>
    <n v="2.6"/>
    <x v="1"/>
    <x v="4"/>
    <s v="Normal"/>
  </r>
  <r>
    <s v="DEAL-02373"/>
    <x v="7"/>
    <s v="CLI-0057"/>
    <x v="2"/>
    <x v="3"/>
    <x v="0"/>
    <n v="181260"/>
    <d v="2025-03-27T00:00:00"/>
    <d v="2025-05-24T00:00:00"/>
    <n v="58"/>
    <m/>
    <x v="0"/>
    <x v="4"/>
    <s v="Normal"/>
  </r>
  <r>
    <s v="DEAL-02160"/>
    <x v="14"/>
    <s v="CLI-0138"/>
    <x v="5"/>
    <x v="0"/>
    <x v="2"/>
    <n v="332027"/>
    <d v="2024-11-13T00:00:00"/>
    <m/>
    <m/>
    <n v="10.199999999999999"/>
    <x v="2"/>
    <x v="3"/>
    <s v="Normal"/>
  </r>
  <r>
    <s v="DEAL-01131"/>
    <x v="12"/>
    <s v="CLI-0255"/>
    <x v="4"/>
    <x v="1"/>
    <x v="3"/>
    <n v="19063"/>
    <d v="2024-01-02T00:00:00"/>
    <d v="2024-04-25T00:00:00"/>
    <n v="114"/>
    <n v="13.9"/>
    <x v="1"/>
    <x v="5"/>
    <s v="Normal"/>
  </r>
  <r>
    <s v="DEAL-01033"/>
    <x v="0"/>
    <s v="CLI-0045"/>
    <x v="2"/>
    <x v="1"/>
    <x v="1"/>
    <n v="349331"/>
    <d v="2023-06-21T00:00:00"/>
    <m/>
    <m/>
    <m/>
    <x v="1"/>
    <x v="1"/>
    <s v="Normal"/>
  </r>
  <r>
    <s v="DEAL-02273"/>
    <x v="6"/>
    <s v="CLI-0017"/>
    <x v="5"/>
    <x v="2"/>
    <x v="2"/>
    <n v="468744"/>
    <d v="2024-01-02T00:00:00"/>
    <m/>
    <m/>
    <n v="13.4"/>
    <x v="2"/>
    <x v="5"/>
    <s v="Normal"/>
  </r>
  <r>
    <s v="DEAL-02285"/>
    <x v="5"/>
    <s v="CLI-0061"/>
    <x v="4"/>
    <x v="1"/>
    <x v="1"/>
    <n v="111112"/>
    <d v="2024-04-13T00:00:00"/>
    <m/>
    <m/>
    <n v="14"/>
    <x v="1"/>
    <x v="7"/>
    <s v="Normal"/>
  </r>
  <r>
    <s v="DEAL-02069"/>
    <x v="10"/>
    <s v="CLI-0137"/>
    <x v="2"/>
    <x v="3"/>
    <x v="2"/>
    <n v="339693"/>
    <d v="2024-11-05T00:00:00"/>
    <m/>
    <m/>
    <n v="9"/>
    <x v="2"/>
    <x v="3"/>
    <s v="Normal"/>
  </r>
  <r>
    <s v="DEAL-01747"/>
    <x v="8"/>
    <s v="CLI-0201"/>
    <x v="4"/>
    <x v="6"/>
    <x v="2"/>
    <n v="271247"/>
    <d v="2024-11-05T00:00:00"/>
    <m/>
    <m/>
    <m/>
    <x v="2"/>
    <x v="3"/>
    <s v="Normal"/>
  </r>
  <r>
    <s v="DEAL-01004"/>
    <x v="10"/>
    <s v="CLI-0142"/>
    <x v="0"/>
    <x v="3"/>
    <x v="1"/>
    <n v="460851"/>
    <d v="2024-12-17T00:00:00"/>
    <m/>
    <m/>
    <m/>
    <x v="3"/>
    <x v="3"/>
    <s v="Normal"/>
  </r>
  <r>
    <s v="DEAL-01076"/>
    <x v="15"/>
    <s v="CLI-0181"/>
    <x v="3"/>
    <x v="5"/>
    <x v="4"/>
    <n v="321071"/>
    <d v="2024-03-06T00:00:00"/>
    <m/>
    <m/>
    <n v="1.9"/>
    <x v="1"/>
    <x v="5"/>
    <s v="Normal"/>
  </r>
  <r>
    <s v="DEAL-00001"/>
    <x v="1"/>
    <s v="CLI-0178"/>
    <x v="0"/>
    <x v="2"/>
    <x v="4"/>
    <n v="375755"/>
    <d v="2024-08-28T00:00:00"/>
    <m/>
    <m/>
    <n v="9"/>
    <x v="0"/>
    <x v="8"/>
    <s v="Normal"/>
  </r>
  <r>
    <s v="DEAL-00827"/>
    <x v="13"/>
    <s v="CLI-0075"/>
    <x v="2"/>
    <x v="6"/>
    <x v="2"/>
    <n v="425285"/>
    <d v="2023-10-25T00:00:00"/>
    <m/>
    <m/>
    <n v="7.7"/>
    <x v="3"/>
    <x v="0"/>
    <s v="Normal"/>
  </r>
  <r>
    <s v="DEAL-01274"/>
    <x v="6"/>
    <s v="CLI-0197"/>
    <x v="3"/>
    <x v="4"/>
    <x v="5"/>
    <n v="159443"/>
    <d v="2023-01-20T00:00:00"/>
    <m/>
    <m/>
    <n v="10.8"/>
    <x v="3"/>
    <x v="2"/>
    <s v="Normal"/>
  </r>
  <r>
    <s v="DEAL-01787"/>
    <x v="10"/>
    <s v="CLI-0022"/>
    <x v="5"/>
    <x v="3"/>
    <x v="0"/>
    <n v="353839"/>
    <d v="2024-08-25T00:00:00"/>
    <d v="2024-10-16T00:00:00"/>
    <n v="52"/>
    <n v="0.5"/>
    <x v="2"/>
    <x v="8"/>
    <s v="Normal"/>
  </r>
  <r>
    <s v="DEAL-00381"/>
    <x v="14"/>
    <s v="CLI-0147"/>
    <x v="1"/>
    <x v="5"/>
    <x v="0"/>
    <n v="239000"/>
    <d v="2024-12-10T00:00:00"/>
    <d v="2025-05-20T00:00:00"/>
    <n v="161"/>
    <n v="0.1"/>
    <x v="1"/>
    <x v="3"/>
    <s v="Normal"/>
  </r>
  <r>
    <s v="DEAL-01032"/>
    <x v="8"/>
    <s v="CLI-0236"/>
    <x v="0"/>
    <x v="7"/>
    <x v="3"/>
    <n v="420634"/>
    <d v="2024-11-02T00:00:00"/>
    <d v="2024-11-26T00:00:00"/>
    <n v="24"/>
    <n v="10.8"/>
    <x v="1"/>
    <x v="3"/>
    <s v="Normal"/>
  </r>
  <r>
    <s v="DEAL-01647"/>
    <x v="10"/>
    <s v="CLI-0086"/>
    <x v="4"/>
    <x v="7"/>
    <x v="1"/>
    <n v="45249"/>
    <d v="2023-04-01T00:00:00"/>
    <m/>
    <m/>
    <n v="8"/>
    <x v="2"/>
    <x v="1"/>
    <s v="Normal"/>
  </r>
  <r>
    <s v="DEAL-02426"/>
    <x v="0"/>
    <s v="CLI-0100"/>
    <x v="2"/>
    <x v="2"/>
    <x v="5"/>
    <n v="176538"/>
    <d v="2024-04-06T00:00:00"/>
    <m/>
    <m/>
    <m/>
    <x v="0"/>
    <x v="7"/>
    <s v="Normal"/>
  </r>
  <r>
    <s v="DEAL-02080"/>
    <x v="5"/>
    <s v="CLI-0145"/>
    <x v="3"/>
    <x v="8"/>
    <x v="4"/>
    <n v="325010"/>
    <d v="2025-01-28T00:00:00"/>
    <m/>
    <m/>
    <n v="7.9"/>
    <x v="2"/>
    <x v="4"/>
    <s v="Normal"/>
  </r>
  <r>
    <s v="DEAL-01972"/>
    <x v="3"/>
    <s v="CLI-0017"/>
    <x v="4"/>
    <x v="7"/>
    <x v="0"/>
    <n v="417993"/>
    <d v="2024-08-02T00:00:00"/>
    <d v="2024-11-02T00:00:00"/>
    <n v="92"/>
    <n v="1.3"/>
    <x v="2"/>
    <x v="8"/>
    <s v="Normal"/>
  </r>
  <r>
    <s v="DEAL-01110"/>
    <x v="15"/>
    <s v="CLI-0223"/>
    <x v="1"/>
    <x v="4"/>
    <x v="5"/>
    <n v="389700"/>
    <d v="2023-10-31T00:00:00"/>
    <m/>
    <m/>
    <m/>
    <x v="1"/>
    <x v="0"/>
    <s v="Normal"/>
  </r>
  <r>
    <s v="DEAL-01199"/>
    <x v="6"/>
    <s v="CLI-0173"/>
    <x v="2"/>
    <x v="5"/>
    <x v="3"/>
    <n v="60064"/>
    <d v="2023-05-22T00:00:00"/>
    <d v="2023-08-13T00:00:00"/>
    <n v="83"/>
    <n v="18"/>
    <x v="1"/>
    <x v="1"/>
    <s v="Normal"/>
  </r>
  <r>
    <s v="DEAL-00135"/>
    <x v="8"/>
    <s v="CLI-0267"/>
    <x v="2"/>
    <x v="1"/>
    <x v="0"/>
    <n v="95474"/>
    <d v="2023-06-08T00:00:00"/>
    <d v="2023-10-29T00:00:00"/>
    <n v="143"/>
    <n v="2.8"/>
    <x v="3"/>
    <x v="1"/>
    <s v="Normal"/>
  </r>
  <r>
    <s v="DEAL-00968"/>
    <x v="13"/>
    <s v="CLI-0025"/>
    <x v="5"/>
    <x v="4"/>
    <x v="3"/>
    <n v="217795"/>
    <d v="2024-06-01T00:00:00"/>
    <d v="2024-08-28T00:00:00"/>
    <n v="88"/>
    <n v="1.7"/>
    <x v="0"/>
    <x v="7"/>
    <s v="Normal"/>
  </r>
  <r>
    <s v="DEAL-02025"/>
    <x v="3"/>
    <s v="CLI-0044"/>
    <x v="5"/>
    <x v="6"/>
    <x v="1"/>
    <n v="347232"/>
    <d v="2023-03-25T00:00:00"/>
    <m/>
    <m/>
    <n v="13.5"/>
    <x v="1"/>
    <x v="2"/>
    <s v="Normal"/>
  </r>
  <r>
    <s v="DEAL-02333"/>
    <x v="2"/>
    <s v="CLI-0045"/>
    <x v="1"/>
    <x v="4"/>
    <x v="4"/>
    <n v="117424"/>
    <d v="2024-01-25T00:00:00"/>
    <m/>
    <m/>
    <m/>
    <x v="2"/>
    <x v="5"/>
    <s v="Normal"/>
  </r>
  <r>
    <s v="DEAL-01763"/>
    <x v="12"/>
    <s v="CLI-0295"/>
    <x v="3"/>
    <x v="5"/>
    <x v="5"/>
    <n v="344166"/>
    <d v="2025-03-23T00:00:00"/>
    <m/>
    <m/>
    <n v="14.4"/>
    <x v="2"/>
    <x v="4"/>
    <s v="Normal"/>
  </r>
  <r>
    <s v="DEAL-00415"/>
    <x v="15"/>
    <s v="CLI-0280"/>
    <x v="3"/>
    <x v="7"/>
    <x v="4"/>
    <n v="102612"/>
    <d v="2024-06-26T00:00:00"/>
    <m/>
    <m/>
    <n v="9.1"/>
    <x v="3"/>
    <x v="7"/>
    <s v="Normal"/>
  </r>
  <r>
    <s v="DEAL-01709"/>
    <x v="2"/>
    <s v="CLI-0201"/>
    <x v="2"/>
    <x v="1"/>
    <x v="3"/>
    <n v="104824"/>
    <d v="2023-11-21T00:00:00"/>
    <d v="2024-02-15T00:00:00"/>
    <n v="86"/>
    <n v="1.9"/>
    <x v="3"/>
    <x v="0"/>
    <s v="Normal"/>
  </r>
  <r>
    <s v="DEAL-01540"/>
    <x v="12"/>
    <s v="CLI-0267"/>
    <x v="2"/>
    <x v="2"/>
    <x v="3"/>
    <n v="61534"/>
    <d v="2024-05-05T00:00:00"/>
    <d v="2024-08-29T00:00:00"/>
    <n v="116"/>
    <n v="3.1"/>
    <x v="1"/>
    <x v="7"/>
    <s v="Normal"/>
  </r>
  <r>
    <s v="DEAL-00833"/>
    <x v="1"/>
    <s v="CLI-0006"/>
    <x v="5"/>
    <x v="3"/>
    <x v="4"/>
    <n v="207809"/>
    <d v="2024-10-14T00:00:00"/>
    <m/>
    <m/>
    <m/>
    <x v="2"/>
    <x v="3"/>
    <s v="Normal"/>
  </r>
  <r>
    <s v="DEAL-01976"/>
    <x v="3"/>
    <s v="CLI-0270"/>
    <x v="0"/>
    <x v="6"/>
    <x v="2"/>
    <n v="210186"/>
    <d v="2023-03-25T00:00:00"/>
    <m/>
    <m/>
    <n v="14.5"/>
    <x v="1"/>
    <x v="2"/>
    <s v="Normal"/>
  </r>
  <r>
    <s v="DEAL-00506"/>
    <x v="6"/>
    <s v="CLI-0108"/>
    <x v="5"/>
    <x v="0"/>
    <x v="1"/>
    <n v="89912"/>
    <d v="2023-08-10T00:00:00"/>
    <m/>
    <m/>
    <m/>
    <x v="3"/>
    <x v="6"/>
    <s v="Normal"/>
  </r>
  <r>
    <s v="DEAL-02250"/>
    <x v="9"/>
    <s v="CLI-0228"/>
    <x v="4"/>
    <x v="2"/>
    <x v="2"/>
    <n v="96577"/>
    <d v="2023-07-18T00:00:00"/>
    <m/>
    <m/>
    <n v="13.4"/>
    <x v="0"/>
    <x v="6"/>
    <s v="Normal"/>
  </r>
  <r>
    <s v="DEAL-00276"/>
    <x v="2"/>
    <s v="CLI-0268"/>
    <x v="1"/>
    <x v="6"/>
    <x v="3"/>
    <n v="334935"/>
    <d v="2023-05-21T00:00:00"/>
    <d v="2023-09-08T00:00:00"/>
    <n v="110"/>
    <n v="5.0999999999999996"/>
    <x v="0"/>
    <x v="1"/>
    <s v="Normal"/>
  </r>
  <r>
    <s v="DEAL-02143"/>
    <x v="5"/>
    <s v="CLI-0231"/>
    <x v="3"/>
    <x v="5"/>
    <x v="0"/>
    <n v="380285"/>
    <d v="2023-02-02T00:00:00"/>
    <d v="2023-03-26T00:00:00"/>
    <n v="52"/>
    <m/>
    <x v="2"/>
    <x v="2"/>
    <s v="Normal"/>
  </r>
  <r>
    <s v="DEAL-00962"/>
    <x v="12"/>
    <s v="CLI-0207"/>
    <x v="4"/>
    <x v="2"/>
    <x v="5"/>
    <n v="439392"/>
    <d v="2024-01-13T00:00:00"/>
    <m/>
    <m/>
    <n v="14.8"/>
    <x v="1"/>
    <x v="5"/>
    <s v="Normal"/>
  </r>
  <r>
    <s v="DEAL-02457"/>
    <x v="13"/>
    <s v="CLI-0271"/>
    <x v="2"/>
    <x v="5"/>
    <x v="3"/>
    <n v="477749"/>
    <d v="2025-02-26T00:00:00"/>
    <d v="2025-03-16T00:00:00"/>
    <n v="18"/>
    <n v="5.2"/>
    <x v="0"/>
    <x v="4"/>
    <s v="Normal"/>
  </r>
  <r>
    <s v="DEAL-00838"/>
    <x v="15"/>
    <s v="CLI-0130"/>
    <x v="4"/>
    <x v="5"/>
    <x v="2"/>
    <n v="888412"/>
    <d v="2023-07-17T00:00:00"/>
    <m/>
    <m/>
    <m/>
    <x v="1"/>
    <x v="6"/>
    <s v="Normal"/>
  </r>
  <r>
    <s v="DEAL-01396"/>
    <x v="7"/>
    <s v="CLI-0062"/>
    <x v="3"/>
    <x v="6"/>
    <x v="3"/>
    <n v="120151"/>
    <d v="2024-07-17T00:00:00"/>
    <d v="2024-12-10T00:00:00"/>
    <n v="146"/>
    <n v="5.0999999999999996"/>
    <x v="3"/>
    <x v="8"/>
    <s v="Normal"/>
  </r>
  <r>
    <s v="DEAL-00379"/>
    <x v="12"/>
    <s v="CLI-0127"/>
    <x v="2"/>
    <x v="2"/>
    <x v="4"/>
    <n v="120883"/>
    <d v="2025-02-15T00:00:00"/>
    <m/>
    <m/>
    <m/>
    <x v="1"/>
    <x v="4"/>
    <s v="Normal"/>
  </r>
  <r>
    <s v="DEAL-00621"/>
    <x v="15"/>
    <s v="CLI-0114"/>
    <x v="3"/>
    <x v="2"/>
    <x v="2"/>
    <n v="448626"/>
    <d v="2024-09-25T00:00:00"/>
    <m/>
    <m/>
    <n v="6.6"/>
    <x v="3"/>
    <x v="8"/>
    <s v="Normal"/>
  </r>
  <r>
    <s v="DEAL-01486"/>
    <x v="8"/>
    <s v="CLI-0254"/>
    <x v="0"/>
    <x v="3"/>
    <x v="3"/>
    <n v="313755"/>
    <d v="2023-05-27T00:00:00"/>
    <d v="2023-08-08T00:00:00"/>
    <n v="73"/>
    <n v="19.8"/>
    <x v="2"/>
    <x v="1"/>
    <s v="Normal"/>
  </r>
  <r>
    <s v="DEAL-01737"/>
    <x v="12"/>
    <s v="CLI-0261"/>
    <x v="4"/>
    <x v="5"/>
    <x v="4"/>
    <n v="319008"/>
    <d v="2023-09-16T00:00:00"/>
    <m/>
    <m/>
    <m/>
    <x v="0"/>
    <x v="6"/>
    <s v="Normal"/>
  </r>
  <r>
    <s v="DEAL-01171"/>
    <x v="6"/>
    <s v="CLI-0026"/>
    <x v="2"/>
    <x v="2"/>
    <x v="1"/>
    <n v="141632"/>
    <d v="2025-01-04T00:00:00"/>
    <m/>
    <m/>
    <m/>
    <x v="3"/>
    <x v="4"/>
    <s v="Normal"/>
  </r>
  <r>
    <s v="DEAL-00138"/>
    <x v="13"/>
    <s v="CLI-0156"/>
    <x v="4"/>
    <x v="3"/>
    <x v="3"/>
    <n v="279210"/>
    <d v="2024-04-25T00:00:00"/>
    <d v="2024-06-09T00:00:00"/>
    <n v="45"/>
    <n v="1.1000000000000001"/>
    <x v="2"/>
    <x v="7"/>
    <s v="Normal"/>
  </r>
  <r>
    <s v="DEAL-01162"/>
    <x v="1"/>
    <s v="CLI-0053"/>
    <x v="2"/>
    <x v="0"/>
    <x v="5"/>
    <n v="307847"/>
    <d v="2023-12-22T00:00:00"/>
    <m/>
    <m/>
    <m/>
    <x v="0"/>
    <x v="0"/>
    <s v="Normal"/>
  </r>
  <r>
    <s v="DEAL-01839"/>
    <x v="11"/>
    <s v="CLI-0004"/>
    <x v="1"/>
    <x v="5"/>
    <x v="4"/>
    <n v="26058"/>
    <d v="2024-07-10T00:00:00"/>
    <m/>
    <m/>
    <n v="0.6"/>
    <x v="1"/>
    <x v="8"/>
    <s v="Normal"/>
  </r>
  <r>
    <s v="DEAL-00067"/>
    <x v="15"/>
    <s v="CLI-0057"/>
    <x v="4"/>
    <x v="2"/>
    <x v="2"/>
    <n v="347860"/>
    <d v="2024-04-21T00:00:00"/>
    <m/>
    <m/>
    <n v="7.1"/>
    <x v="1"/>
    <x v="7"/>
    <s v="Normal"/>
  </r>
  <r>
    <s v="DEAL-00583"/>
    <x v="0"/>
    <s v="CLI-0110"/>
    <x v="0"/>
    <x v="3"/>
    <x v="4"/>
    <n v="481271"/>
    <d v="2023-05-07T00:00:00"/>
    <m/>
    <m/>
    <n v="12.5"/>
    <x v="0"/>
    <x v="1"/>
    <s v="Normal"/>
  </r>
  <r>
    <s v="DEAL-01541"/>
    <x v="10"/>
    <s v="CLI-0002"/>
    <x v="4"/>
    <x v="4"/>
    <x v="3"/>
    <n v="217886"/>
    <d v="2025-03-12T00:00:00"/>
    <d v="2025-09-06T00:00:00"/>
    <n v="178"/>
    <n v="23.1"/>
    <x v="1"/>
    <x v="4"/>
    <s v="Normal"/>
  </r>
  <r>
    <s v="DEAL-01473"/>
    <x v="9"/>
    <s v="CLI-0185"/>
    <x v="1"/>
    <x v="3"/>
    <x v="3"/>
    <n v="326010"/>
    <d v="2024-08-03T00:00:00"/>
    <d v="2025-01-28T00:00:00"/>
    <n v="178"/>
    <n v="7.5"/>
    <x v="1"/>
    <x v="8"/>
    <s v="Normal"/>
  </r>
  <r>
    <s v="DEAL-01948"/>
    <x v="13"/>
    <s v="CLI-0235"/>
    <x v="4"/>
    <x v="7"/>
    <x v="0"/>
    <n v="258905"/>
    <d v="2023-12-20T00:00:00"/>
    <d v="2024-01-18T00:00:00"/>
    <n v="29"/>
    <n v="7.4"/>
    <x v="1"/>
    <x v="0"/>
    <s v="Normal"/>
  </r>
  <r>
    <s v="DEAL-01754"/>
    <x v="1"/>
    <s v="CLI-0300"/>
    <x v="5"/>
    <x v="2"/>
    <x v="1"/>
    <n v="325381"/>
    <d v="2023-01-20T00:00:00"/>
    <m/>
    <m/>
    <n v="13.6"/>
    <x v="0"/>
    <x v="2"/>
    <s v="Normal"/>
  </r>
  <r>
    <s v="DEAL-02045"/>
    <x v="2"/>
    <s v="CLI-0216"/>
    <x v="3"/>
    <x v="6"/>
    <x v="4"/>
    <n v="378192"/>
    <d v="2024-06-19T00:00:00"/>
    <m/>
    <m/>
    <m/>
    <x v="0"/>
    <x v="7"/>
    <s v="Normal"/>
  </r>
  <r>
    <s v="DEAL-02024"/>
    <x v="10"/>
    <s v="CLI-0256"/>
    <x v="1"/>
    <x v="5"/>
    <x v="3"/>
    <n v="350612"/>
    <d v="2023-03-02T00:00:00"/>
    <d v="2023-06-24T00:00:00"/>
    <n v="114"/>
    <n v="20.8"/>
    <x v="3"/>
    <x v="2"/>
    <s v="Normal"/>
  </r>
  <r>
    <s v="DEAL-00233"/>
    <x v="4"/>
    <s v="CLI-0081"/>
    <x v="3"/>
    <x v="7"/>
    <x v="4"/>
    <n v="365456"/>
    <d v="2024-12-10T00:00:00"/>
    <m/>
    <m/>
    <n v="10.199999999999999"/>
    <x v="0"/>
    <x v="3"/>
    <s v="Normal"/>
  </r>
  <r>
    <s v="DEAL-02152"/>
    <x v="9"/>
    <s v="CLI-0042"/>
    <x v="2"/>
    <x v="1"/>
    <x v="2"/>
    <n v="352125"/>
    <d v="2023-07-06T00:00:00"/>
    <m/>
    <m/>
    <n v="6.8"/>
    <x v="1"/>
    <x v="6"/>
    <s v="Normal"/>
  </r>
  <r>
    <s v="DEAL-00588"/>
    <x v="5"/>
    <s v="CLI-0279"/>
    <x v="1"/>
    <x v="7"/>
    <x v="2"/>
    <n v="227514"/>
    <d v="2024-03-05T00:00:00"/>
    <m/>
    <m/>
    <n v="2.6"/>
    <x v="1"/>
    <x v="5"/>
    <s v="Normal"/>
  </r>
  <r>
    <s v="DEAL-01381"/>
    <x v="10"/>
    <s v="CLI-0187"/>
    <x v="0"/>
    <x v="5"/>
    <x v="0"/>
    <n v="278799"/>
    <d v="2023-03-04T00:00:00"/>
    <d v="2023-05-02T00:00:00"/>
    <n v="59"/>
    <n v="10.4"/>
    <x v="1"/>
    <x v="2"/>
    <s v="Normal"/>
  </r>
  <r>
    <s v="DEAL-00026"/>
    <x v="5"/>
    <s v="CLI-0034"/>
    <x v="0"/>
    <x v="0"/>
    <x v="4"/>
    <n v="363178"/>
    <d v="2024-02-07T00:00:00"/>
    <m/>
    <m/>
    <n v="14.6"/>
    <x v="3"/>
    <x v="5"/>
    <s v="Normal"/>
  </r>
  <r>
    <s v="DEAL-01898"/>
    <x v="12"/>
    <s v="CLI-0276"/>
    <x v="1"/>
    <x v="5"/>
    <x v="1"/>
    <n v="53715"/>
    <d v="2023-04-26T00:00:00"/>
    <m/>
    <m/>
    <n v="5.2"/>
    <x v="0"/>
    <x v="1"/>
    <s v="Normal"/>
  </r>
  <r>
    <s v="DEAL-01946"/>
    <x v="10"/>
    <s v="CLI-0015"/>
    <x v="2"/>
    <x v="4"/>
    <x v="1"/>
    <n v="353510"/>
    <d v="2024-07-15T00:00:00"/>
    <m/>
    <m/>
    <m/>
    <x v="3"/>
    <x v="8"/>
    <s v="Normal"/>
  </r>
  <r>
    <s v="DEAL-00123"/>
    <x v="14"/>
    <s v="CLI-0178"/>
    <x v="3"/>
    <x v="7"/>
    <x v="4"/>
    <n v="23067"/>
    <d v="2024-05-26T00:00:00"/>
    <m/>
    <m/>
    <n v="11.5"/>
    <x v="2"/>
    <x v="7"/>
    <s v="Normal"/>
  </r>
  <r>
    <s v="DEAL-02367"/>
    <x v="6"/>
    <s v="CLI-0228"/>
    <x v="5"/>
    <x v="2"/>
    <x v="5"/>
    <n v="146979"/>
    <d v="2023-03-05T00:00:00"/>
    <m/>
    <m/>
    <m/>
    <x v="2"/>
    <x v="2"/>
    <s v="Normal"/>
  </r>
  <r>
    <s v="DEAL-00083"/>
    <x v="12"/>
    <s v="CLI-0277"/>
    <x v="2"/>
    <x v="5"/>
    <x v="3"/>
    <n v="461943"/>
    <d v="2023-03-28T00:00:00"/>
    <d v="2023-05-19T00:00:00"/>
    <n v="52"/>
    <n v="20.5"/>
    <x v="0"/>
    <x v="2"/>
    <s v="Normal"/>
  </r>
  <r>
    <s v="DEAL-01599"/>
    <x v="11"/>
    <s v="CLI-0218"/>
    <x v="4"/>
    <x v="0"/>
    <x v="5"/>
    <n v="371623"/>
    <d v="2024-10-25T00:00:00"/>
    <m/>
    <m/>
    <n v="8.6999999999999993"/>
    <x v="0"/>
    <x v="3"/>
    <s v="Normal"/>
  </r>
  <r>
    <s v="DEAL-00384"/>
    <x v="7"/>
    <s v="CLI-0019"/>
    <x v="4"/>
    <x v="1"/>
    <x v="3"/>
    <n v="18488"/>
    <d v="2023-11-11T00:00:00"/>
    <d v="2024-04-02T00:00:00"/>
    <n v="143"/>
    <n v="3.1"/>
    <x v="0"/>
    <x v="0"/>
    <s v="Normal"/>
  </r>
  <r>
    <s v="DEAL-00260"/>
    <x v="7"/>
    <s v="CLI-0114"/>
    <x v="3"/>
    <x v="3"/>
    <x v="3"/>
    <n v="326336"/>
    <d v="2023-07-11T00:00:00"/>
    <d v="2023-09-14T00:00:00"/>
    <n v="65"/>
    <n v="24.1"/>
    <x v="2"/>
    <x v="6"/>
    <s v="Normal"/>
  </r>
  <r>
    <s v="DEAL-00453"/>
    <x v="6"/>
    <s v="CLI-0147"/>
    <x v="5"/>
    <x v="3"/>
    <x v="0"/>
    <n v="17811"/>
    <d v="2023-09-13T00:00:00"/>
    <d v="2023-10-12T00:00:00"/>
    <n v="29"/>
    <m/>
    <x v="3"/>
    <x v="6"/>
    <s v="Normal"/>
  </r>
  <r>
    <s v="DEAL-02463"/>
    <x v="9"/>
    <s v="CLI-0223"/>
    <x v="0"/>
    <x v="4"/>
    <x v="0"/>
    <n v="228320"/>
    <d v="2024-05-18T00:00:00"/>
    <d v="2024-10-19T00:00:00"/>
    <n v="154"/>
    <n v="4.8"/>
    <x v="1"/>
    <x v="7"/>
    <s v="Normal"/>
  </r>
  <r>
    <s v="DEAL-01617"/>
    <x v="0"/>
    <s v="CLI-0295"/>
    <x v="3"/>
    <x v="7"/>
    <x v="3"/>
    <n v="460186"/>
    <d v="2023-01-03T00:00:00"/>
    <d v="2023-04-24T00:00:00"/>
    <n v="111"/>
    <n v="4.4000000000000004"/>
    <x v="1"/>
    <x v="2"/>
    <s v="Normal"/>
  </r>
  <r>
    <s v="DEAL-02454"/>
    <x v="8"/>
    <s v="CLI-0068"/>
    <x v="4"/>
    <x v="6"/>
    <x v="3"/>
    <n v="274107"/>
    <d v="2024-03-23T00:00:00"/>
    <d v="2024-05-12T00:00:00"/>
    <n v="50"/>
    <n v="3.7"/>
    <x v="2"/>
    <x v="5"/>
    <s v="Normal"/>
  </r>
  <r>
    <s v="DEAL-02427"/>
    <x v="15"/>
    <s v="CLI-0071"/>
    <x v="0"/>
    <x v="6"/>
    <x v="0"/>
    <n v="352780"/>
    <d v="2025-02-03T00:00:00"/>
    <d v="2025-04-20T00:00:00"/>
    <n v="76"/>
    <n v="0.8"/>
    <x v="0"/>
    <x v="4"/>
    <s v="Normal"/>
  </r>
  <r>
    <s v="DEAL-02473"/>
    <x v="13"/>
    <s v="CLI-0201"/>
    <x v="1"/>
    <x v="2"/>
    <x v="3"/>
    <n v="185416"/>
    <d v="2023-11-19T00:00:00"/>
    <d v="2024-01-03T00:00:00"/>
    <n v="45"/>
    <n v="22.8"/>
    <x v="0"/>
    <x v="0"/>
    <s v="Normal"/>
  </r>
  <r>
    <s v="DEAL-02491"/>
    <x v="6"/>
    <s v="CLI-0235"/>
    <x v="4"/>
    <x v="2"/>
    <x v="3"/>
    <n v="238173"/>
    <d v="2023-09-19T00:00:00"/>
    <d v="2023-12-08T00:00:00"/>
    <n v="80"/>
    <n v="23"/>
    <x v="3"/>
    <x v="6"/>
    <s v="Normal"/>
  </r>
  <r>
    <s v="DEAL-02293"/>
    <x v="0"/>
    <s v="CLI-0277"/>
    <x v="5"/>
    <x v="0"/>
    <x v="0"/>
    <n v="194972"/>
    <d v="2023-06-09T00:00:00"/>
    <d v="2023-09-05T00:00:00"/>
    <n v="88"/>
    <m/>
    <x v="1"/>
    <x v="1"/>
    <s v="Normal"/>
  </r>
  <r>
    <s v="DEAL-01991"/>
    <x v="12"/>
    <s v="CLI-0013"/>
    <x v="1"/>
    <x v="2"/>
    <x v="3"/>
    <n v="394486"/>
    <d v="2023-02-24T00:00:00"/>
    <d v="2023-03-12T00:00:00"/>
    <n v="16"/>
    <n v="14.6"/>
    <x v="1"/>
    <x v="2"/>
    <s v="Normal"/>
  </r>
  <r>
    <s v="DEAL-01431"/>
    <x v="13"/>
    <s v="CLI-0109"/>
    <x v="3"/>
    <x v="5"/>
    <x v="4"/>
    <n v="102327"/>
    <d v="2024-01-22T00:00:00"/>
    <m/>
    <m/>
    <m/>
    <x v="3"/>
    <x v="5"/>
    <s v="Normal"/>
  </r>
  <r>
    <s v="DEAL-00167"/>
    <x v="8"/>
    <s v="CLI-0285"/>
    <x v="4"/>
    <x v="7"/>
    <x v="0"/>
    <n v="441592"/>
    <d v="2024-05-18T00:00:00"/>
    <d v="2024-09-30T00:00:00"/>
    <n v="135"/>
    <n v="13.9"/>
    <x v="0"/>
    <x v="7"/>
    <s v="Normal"/>
  </r>
  <r>
    <s v="DEAL-02075"/>
    <x v="1"/>
    <s v="CLI-0147"/>
    <x v="0"/>
    <x v="0"/>
    <x v="0"/>
    <n v="490145"/>
    <d v="2024-02-25T00:00:00"/>
    <d v="2024-05-20T00:00:00"/>
    <n v="85"/>
    <m/>
    <x v="1"/>
    <x v="5"/>
    <s v="Normal"/>
  </r>
  <r>
    <s v="DEAL-02230"/>
    <x v="9"/>
    <s v="CLI-0270"/>
    <x v="1"/>
    <x v="7"/>
    <x v="2"/>
    <n v="349072"/>
    <d v="2025-03-13T00:00:00"/>
    <m/>
    <m/>
    <n v="13.9"/>
    <x v="1"/>
    <x v="4"/>
    <s v="Normal"/>
  </r>
  <r>
    <s v="DEAL-00786"/>
    <x v="5"/>
    <s v="CLI-0066"/>
    <x v="3"/>
    <x v="3"/>
    <x v="2"/>
    <n v="451171"/>
    <d v="2025-02-11T00:00:00"/>
    <m/>
    <m/>
    <n v="8.1"/>
    <x v="2"/>
    <x v="4"/>
    <s v="Normal"/>
  </r>
  <r>
    <s v="DEAL-00911"/>
    <x v="9"/>
    <s v="CLI-0106"/>
    <x v="1"/>
    <x v="7"/>
    <x v="3"/>
    <n v="64331"/>
    <d v="2025-03-14T00:00:00"/>
    <d v="2025-06-09T00:00:00"/>
    <n v="87"/>
    <n v="2.2999999999999998"/>
    <x v="3"/>
    <x v="4"/>
    <s v="Normal"/>
  </r>
  <r>
    <s v="DEAL-00933"/>
    <x v="12"/>
    <s v="CLI-0190"/>
    <x v="3"/>
    <x v="1"/>
    <x v="3"/>
    <n v="403701"/>
    <d v="2024-06-09T00:00:00"/>
    <d v="2024-11-23T00:00:00"/>
    <n v="167"/>
    <n v="24.8"/>
    <x v="0"/>
    <x v="7"/>
    <s v="Normal"/>
  </r>
  <r>
    <s v="DEAL-01056"/>
    <x v="12"/>
    <s v="CLI-0289"/>
    <x v="1"/>
    <x v="7"/>
    <x v="5"/>
    <n v="145408"/>
    <d v="2024-05-04T00:00:00"/>
    <m/>
    <m/>
    <n v="3"/>
    <x v="2"/>
    <x v="7"/>
    <s v="Normal"/>
  </r>
  <r>
    <s v="DEAL-02326"/>
    <x v="7"/>
    <s v="CLI-0008"/>
    <x v="4"/>
    <x v="8"/>
    <x v="3"/>
    <n v="469621"/>
    <d v="2025-03-29T00:00:00"/>
    <d v="2025-04-20T00:00:00"/>
    <n v="22"/>
    <n v="5.4"/>
    <x v="2"/>
    <x v="4"/>
    <s v="Normal"/>
  </r>
  <r>
    <s v="DEAL-01040"/>
    <x v="12"/>
    <s v="CLI-0198"/>
    <x v="2"/>
    <x v="0"/>
    <x v="0"/>
    <n v="76308"/>
    <d v="2023-12-18T00:00:00"/>
    <d v="2024-03-15T00:00:00"/>
    <n v="88"/>
    <n v="8"/>
    <x v="2"/>
    <x v="0"/>
    <s v="Normal"/>
  </r>
  <r>
    <s v="DEAL-00456"/>
    <x v="5"/>
    <s v="CLI-0267"/>
    <x v="0"/>
    <x v="4"/>
    <x v="4"/>
    <n v="81896"/>
    <d v="2024-06-17T00:00:00"/>
    <m/>
    <m/>
    <n v="3.5"/>
    <x v="1"/>
    <x v="7"/>
    <s v="Normal"/>
  </r>
  <r>
    <s v="DEAL-00291"/>
    <x v="0"/>
    <s v="CLI-0276"/>
    <x v="2"/>
    <x v="2"/>
    <x v="3"/>
    <n v="337376"/>
    <d v="2024-10-13T00:00:00"/>
    <d v="2024-12-09T00:00:00"/>
    <n v="57"/>
    <n v="2.1"/>
    <x v="3"/>
    <x v="3"/>
    <s v="Normal"/>
  </r>
  <r>
    <s v="DEAL-01436"/>
    <x v="6"/>
    <s v="CLI-0031"/>
    <x v="0"/>
    <x v="4"/>
    <x v="2"/>
    <n v="410572"/>
    <d v="2023-06-11T00:00:00"/>
    <m/>
    <m/>
    <m/>
    <x v="3"/>
    <x v="1"/>
    <s v="Normal"/>
  </r>
  <r>
    <s v="DEAL-02305"/>
    <x v="5"/>
    <s v="CLI-0184"/>
    <x v="0"/>
    <x v="5"/>
    <x v="4"/>
    <n v="408536"/>
    <d v="2024-12-25T00:00:00"/>
    <m/>
    <m/>
    <m/>
    <x v="1"/>
    <x v="3"/>
    <s v="Normal"/>
  </r>
  <r>
    <s v="DEAL-01755"/>
    <x v="2"/>
    <s v="CLI-0041"/>
    <x v="0"/>
    <x v="2"/>
    <x v="3"/>
    <n v="315567"/>
    <d v="2024-01-30T00:00:00"/>
    <d v="2024-03-18T00:00:00"/>
    <n v="48"/>
    <n v="2"/>
    <x v="1"/>
    <x v="5"/>
    <s v="Normal"/>
  </r>
  <r>
    <s v="DEAL-02464"/>
    <x v="8"/>
    <s v="CLI-0080"/>
    <x v="3"/>
    <x v="8"/>
    <x v="4"/>
    <n v="120865"/>
    <d v="2024-08-08T00:00:00"/>
    <m/>
    <m/>
    <m/>
    <x v="2"/>
    <x v="8"/>
    <s v="Normal"/>
  </r>
  <r>
    <s v="DEAL-02203"/>
    <x v="5"/>
    <s v="CLI-0081"/>
    <x v="3"/>
    <x v="1"/>
    <x v="0"/>
    <n v="171065"/>
    <d v="2025-01-29T00:00:00"/>
    <d v="2025-05-05T00:00:00"/>
    <n v="96"/>
    <m/>
    <x v="1"/>
    <x v="4"/>
    <s v="Normal"/>
  </r>
  <r>
    <s v="DEAL-00990"/>
    <x v="1"/>
    <s v="CLI-0202"/>
    <x v="3"/>
    <x v="5"/>
    <x v="0"/>
    <n v="330353"/>
    <d v="2025-01-08T00:00:00"/>
    <d v="2025-04-04T00:00:00"/>
    <n v="86"/>
    <n v="1.3"/>
    <x v="1"/>
    <x v="4"/>
    <s v="Normal"/>
  </r>
  <r>
    <s v="DEAL-02156"/>
    <x v="3"/>
    <s v="CLI-0025"/>
    <x v="5"/>
    <x v="1"/>
    <x v="2"/>
    <n v="353952"/>
    <d v="2024-09-06T00:00:00"/>
    <m/>
    <m/>
    <n v="13.6"/>
    <x v="3"/>
    <x v="8"/>
    <s v="Normal"/>
  </r>
  <r>
    <s v="DEAL-01823"/>
    <x v="13"/>
    <s v="CLI-0073"/>
    <x v="2"/>
    <x v="3"/>
    <x v="1"/>
    <n v="359600"/>
    <d v="2025-03-26T00:00:00"/>
    <m/>
    <m/>
    <n v="12.3"/>
    <x v="3"/>
    <x v="4"/>
    <s v="Normal"/>
  </r>
  <r>
    <s v="DEAL-02053"/>
    <x v="7"/>
    <s v="CLI-0210"/>
    <x v="3"/>
    <x v="7"/>
    <x v="2"/>
    <n v="324389"/>
    <d v="2025-01-26T00:00:00"/>
    <m/>
    <m/>
    <n v="10.7"/>
    <x v="0"/>
    <x v="4"/>
    <s v="Normal"/>
  </r>
  <r>
    <s v="DEAL-01981"/>
    <x v="13"/>
    <s v="CLI-0145"/>
    <x v="1"/>
    <x v="2"/>
    <x v="1"/>
    <n v="406892"/>
    <d v="2023-01-22T00:00:00"/>
    <m/>
    <m/>
    <n v="6.7"/>
    <x v="0"/>
    <x v="2"/>
    <s v="Normal"/>
  </r>
  <r>
    <s v="DEAL-00695"/>
    <x v="3"/>
    <s v="CLI-0041"/>
    <x v="4"/>
    <x v="3"/>
    <x v="3"/>
    <n v="1375104"/>
    <d v="2023-01-01T00:00:00"/>
    <d v="2023-04-03T00:00:00"/>
    <n v="92"/>
    <n v="18.2"/>
    <x v="1"/>
    <x v="2"/>
    <s v="High Outlier"/>
  </r>
  <r>
    <s v="DEAL-00371"/>
    <x v="10"/>
    <s v="CLI-0184"/>
    <x v="1"/>
    <x v="0"/>
    <x v="0"/>
    <n v="433349"/>
    <d v="2023-05-25T00:00:00"/>
    <d v="2023-07-20T00:00:00"/>
    <n v="56"/>
    <n v="7.5"/>
    <x v="2"/>
    <x v="1"/>
    <s v="Normal"/>
  </r>
  <r>
    <s v="DEAL-01453"/>
    <x v="13"/>
    <s v="CLI-0279"/>
    <x v="0"/>
    <x v="0"/>
    <x v="1"/>
    <n v="42182"/>
    <d v="2024-08-02T00:00:00"/>
    <m/>
    <m/>
    <m/>
    <x v="3"/>
    <x v="8"/>
    <s v="Normal"/>
  </r>
  <r>
    <s v="DEAL-01157"/>
    <x v="15"/>
    <s v="CLI-0180"/>
    <x v="1"/>
    <x v="3"/>
    <x v="3"/>
    <n v="360715"/>
    <d v="2023-05-10T00:00:00"/>
    <d v="2023-09-03T00:00:00"/>
    <n v="116"/>
    <n v="18.600000000000001"/>
    <x v="3"/>
    <x v="1"/>
    <s v="Normal"/>
  </r>
  <r>
    <s v="DEAL-00498"/>
    <x v="14"/>
    <s v="CLI-0266"/>
    <x v="3"/>
    <x v="4"/>
    <x v="4"/>
    <n v="333217"/>
    <d v="2024-06-19T00:00:00"/>
    <m/>
    <m/>
    <n v="10.8"/>
    <x v="1"/>
    <x v="7"/>
    <s v="Normal"/>
  </r>
  <r>
    <s v="DEAL-01437"/>
    <x v="2"/>
    <s v="CLI-0098"/>
    <x v="0"/>
    <x v="0"/>
    <x v="4"/>
    <n v="455118"/>
    <d v="2024-01-15T00:00:00"/>
    <m/>
    <m/>
    <n v="2.4"/>
    <x v="2"/>
    <x v="5"/>
    <s v="Normal"/>
  </r>
  <r>
    <s v="DEAL-02385"/>
    <x v="14"/>
    <s v="CLI-0114"/>
    <x v="5"/>
    <x v="3"/>
    <x v="3"/>
    <n v="368693"/>
    <d v="2023-02-02T00:00:00"/>
    <d v="2023-07-15T00:00:00"/>
    <n v="163"/>
    <n v="10.4"/>
    <x v="0"/>
    <x v="2"/>
    <s v="Normal"/>
  </r>
  <r>
    <s v="DEAL-00800"/>
    <x v="13"/>
    <s v="CLI-0281"/>
    <x v="1"/>
    <x v="6"/>
    <x v="5"/>
    <n v="10765"/>
    <d v="2023-07-11T00:00:00"/>
    <m/>
    <m/>
    <n v="1.6"/>
    <x v="0"/>
    <x v="6"/>
    <s v="Normal"/>
  </r>
  <r>
    <s v="DEAL-01231"/>
    <x v="8"/>
    <s v="CLI-0259"/>
    <x v="0"/>
    <x v="4"/>
    <x v="1"/>
    <n v="1048494"/>
    <d v="2025-02-18T00:00:00"/>
    <m/>
    <m/>
    <n v="4.0999999999999996"/>
    <x v="2"/>
    <x v="4"/>
    <s v="High Outlier"/>
  </r>
  <r>
    <s v="DEAL-00541"/>
    <x v="10"/>
    <s v="CLI-0063"/>
    <x v="1"/>
    <x v="7"/>
    <x v="2"/>
    <n v="223481"/>
    <d v="2025-03-11T00:00:00"/>
    <m/>
    <m/>
    <m/>
    <x v="2"/>
    <x v="4"/>
    <s v="Normal"/>
  </r>
  <r>
    <s v="DEAL-00538"/>
    <x v="1"/>
    <s v="CLI-0209"/>
    <x v="5"/>
    <x v="2"/>
    <x v="1"/>
    <n v="181226"/>
    <d v="2023-05-31T00:00:00"/>
    <m/>
    <m/>
    <n v="9.1"/>
    <x v="3"/>
    <x v="1"/>
    <s v="Normal"/>
  </r>
  <r>
    <s v="DEAL-01942"/>
    <x v="15"/>
    <s v="CLI-0169"/>
    <x v="2"/>
    <x v="6"/>
    <x v="5"/>
    <n v="55709"/>
    <d v="2023-09-02T00:00:00"/>
    <m/>
    <m/>
    <m/>
    <x v="3"/>
    <x v="6"/>
    <s v="Normal"/>
  </r>
  <r>
    <s v="DEAL-02355"/>
    <x v="10"/>
    <s v="CLI-0148"/>
    <x v="3"/>
    <x v="6"/>
    <x v="4"/>
    <n v="99824"/>
    <d v="2024-06-24T00:00:00"/>
    <m/>
    <m/>
    <m/>
    <x v="1"/>
    <x v="7"/>
    <s v="Normal"/>
  </r>
  <r>
    <s v="DEAL-01254"/>
    <x v="13"/>
    <s v="CLI-0051"/>
    <x v="4"/>
    <x v="3"/>
    <x v="3"/>
    <n v="493585"/>
    <d v="2023-06-25T00:00:00"/>
    <d v="2023-12-09T00:00:00"/>
    <n v="167"/>
    <n v="4.7"/>
    <x v="3"/>
    <x v="1"/>
    <s v="Normal"/>
  </r>
  <r>
    <s v="DEAL-01644"/>
    <x v="7"/>
    <s v="CLI-0069"/>
    <x v="5"/>
    <x v="2"/>
    <x v="3"/>
    <n v="157148"/>
    <d v="2025-01-20T00:00:00"/>
    <d v="2025-07-03T00:00:00"/>
    <n v="164"/>
    <n v="16.8"/>
    <x v="0"/>
    <x v="4"/>
    <s v="Normal"/>
  </r>
  <r>
    <s v="DEAL-00232"/>
    <x v="5"/>
    <s v="CLI-0279"/>
    <x v="4"/>
    <x v="0"/>
    <x v="0"/>
    <n v="344724"/>
    <d v="2023-10-12T00:00:00"/>
    <d v="2024-03-20T00:00:00"/>
    <n v="160"/>
    <m/>
    <x v="1"/>
    <x v="0"/>
    <s v="Normal"/>
  </r>
  <r>
    <s v="DEAL-01889"/>
    <x v="7"/>
    <s v="CLI-0159"/>
    <x v="0"/>
    <x v="4"/>
    <x v="2"/>
    <n v="10686"/>
    <d v="2024-05-19T00:00:00"/>
    <m/>
    <m/>
    <n v="1.1000000000000001"/>
    <x v="0"/>
    <x v="7"/>
    <s v="Normal"/>
  </r>
  <r>
    <s v="DEAL-00239"/>
    <x v="12"/>
    <s v="CLI-0135"/>
    <x v="3"/>
    <x v="3"/>
    <x v="5"/>
    <n v="253379"/>
    <d v="2024-09-27T00:00:00"/>
    <m/>
    <m/>
    <n v="9.3000000000000007"/>
    <x v="3"/>
    <x v="8"/>
    <s v="Normal"/>
  </r>
  <r>
    <s v="DEAL-00928"/>
    <x v="12"/>
    <s v="CLI-0073"/>
    <x v="4"/>
    <x v="7"/>
    <x v="3"/>
    <n v="273106"/>
    <d v="2024-08-26T00:00:00"/>
    <d v="2024-11-25T00:00:00"/>
    <n v="91"/>
    <n v="14.9"/>
    <x v="0"/>
    <x v="8"/>
    <s v="Normal"/>
  </r>
  <r>
    <s v="DEAL-00742"/>
    <x v="14"/>
    <s v="CLI-0114"/>
    <x v="0"/>
    <x v="8"/>
    <x v="4"/>
    <n v="498715"/>
    <d v="2025-03-16T00:00:00"/>
    <m/>
    <m/>
    <n v="0.1"/>
    <x v="2"/>
    <x v="4"/>
    <s v="Normal"/>
  </r>
  <r>
    <s v="DEAL-02461"/>
    <x v="11"/>
    <s v="CLI-0223"/>
    <x v="5"/>
    <x v="6"/>
    <x v="1"/>
    <n v="210618"/>
    <d v="2025-03-03T00:00:00"/>
    <m/>
    <m/>
    <m/>
    <x v="3"/>
    <x v="4"/>
    <s v="Normal"/>
  </r>
  <r>
    <s v="DEAL-01632"/>
    <x v="1"/>
    <s v="CLI-0021"/>
    <x v="3"/>
    <x v="2"/>
    <x v="5"/>
    <n v="284821"/>
    <d v="2024-05-01T00:00:00"/>
    <m/>
    <m/>
    <m/>
    <x v="2"/>
    <x v="7"/>
    <s v="Normal"/>
  </r>
  <r>
    <s v="DEAL-01037"/>
    <x v="8"/>
    <s v="CLI-0077"/>
    <x v="0"/>
    <x v="0"/>
    <x v="4"/>
    <n v="146703"/>
    <d v="2023-02-05T00:00:00"/>
    <m/>
    <m/>
    <m/>
    <x v="3"/>
    <x v="2"/>
    <s v="Normal"/>
  </r>
  <r>
    <s v="DEAL-02378"/>
    <x v="9"/>
    <s v="CLI-0141"/>
    <x v="5"/>
    <x v="6"/>
    <x v="2"/>
    <n v="94991"/>
    <d v="2024-10-01T00:00:00"/>
    <m/>
    <m/>
    <m/>
    <x v="3"/>
    <x v="3"/>
    <s v="Normal"/>
  </r>
  <r>
    <s v="DEAL-00923"/>
    <x v="3"/>
    <s v="CLI-0156"/>
    <x v="4"/>
    <x v="3"/>
    <x v="5"/>
    <n v="105276"/>
    <d v="2024-06-24T00:00:00"/>
    <m/>
    <m/>
    <n v="10.1"/>
    <x v="0"/>
    <x v="7"/>
    <s v="Normal"/>
  </r>
  <r>
    <s v="DEAL-01074"/>
    <x v="1"/>
    <s v="CLI-0004"/>
    <x v="1"/>
    <x v="0"/>
    <x v="2"/>
    <n v="144950"/>
    <d v="2025-03-21T00:00:00"/>
    <m/>
    <m/>
    <n v="13.5"/>
    <x v="0"/>
    <x v="4"/>
    <s v="Normal"/>
  </r>
  <r>
    <s v="DEAL-00717"/>
    <x v="9"/>
    <s v="CLI-0027"/>
    <x v="5"/>
    <x v="5"/>
    <x v="3"/>
    <n v="243885"/>
    <d v="2024-07-13T00:00:00"/>
    <d v="2024-10-31T00:00:00"/>
    <n v="110"/>
    <n v="11.9"/>
    <x v="1"/>
    <x v="8"/>
    <s v="Normal"/>
  </r>
  <r>
    <s v="DEAL-01507"/>
    <x v="10"/>
    <s v="CLI-0289"/>
    <x v="5"/>
    <x v="5"/>
    <x v="1"/>
    <n v="204233"/>
    <d v="2023-10-14T00:00:00"/>
    <m/>
    <m/>
    <n v="8.5"/>
    <x v="3"/>
    <x v="0"/>
    <s v="Normal"/>
  </r>
  <r>
    <s v="DEAL-01083"/>
    <x v="0"/>
    <s v="CLI-0285"/>
    <x v="3"/>
    <x v="8"/>
    <x v="1"/>
    <n v="140369"/>
    <d v="2024-04-13T00:00:00"/>
    <m/>
    <m/>
    <m/>
    <x v="1"/>
    <x v="7"/>
    <s v="Normal"/>
  </r>
  <r>
    <s v="DEAL-02235"/>
    <x v="14"/>
    <s v="CLI-0300"/>
    <x v="0"/>
    <x v="7"/>
    <x v="3"/>
    <n v="441197"/>
    <d v="2023-05-15T00:00:00"/>
    <d v="2023-08-29T00:00:00"/>
    <n v="106"/>
    <n v="17.600000000000001"/>
    <x v="0"/>
    <x v="1"/>
    <s v="Normal"/>
  </r>
  <r>
    <s v="DEAL-01703"/>
    <x v="0"/>
    <s v="CLI-0204"/>
    <x v="4"/>
    <x v="0"/>
    <x v="4"/>
    <n v="191092"/>
    <d v="2025-02-10T00:00:00"/>
    <m/>
    <m/>
    <m/>
    <x v="2"/>
    <x v="4"/>
    <s v="Normal"/>
  </r>
  <r>
    <s v="DEAL-01258"/>
    <x v="10"/>
    <s v="CLI-0250"/>
    <x v="0"/>
    <x v="0"/>
    <x v="2"/>
    <n v="95569"/>
    <d v="2023-05-16T00:00:00"/>
    <m/>
    <m/>
    <n v="0.1"/>
    <x v="2"/>
    <x v="1"/>
    <s v="Normal"/>
  </r>
  <r>
    <s v="DEAL-02328"/>
    <x v="3"/>
    <s v="CLI-0075"/>
    <x v="2"/>
    <x v="3"/>
    <x v="4"/>
    <n v="74064"/>
    <d v="2024-03-12T00:00:00"/>
    <m/>
    <m/>
    <m/>
    <x v="3"/>
    <x v="5"/>
    <s v="Normal"/>
  </r>
  <r>
    <s v="DEAL-01638"/>
    <x v="13"/>
    <s v="CLI-0251"/>
    <x v="3"/>
    <x v="3"/>
    <x v="0"/>
    <n v="261667"/>
    <d v="2023-12-30T00:00:00"/>
    <d v="2024-02-03T00:00:00"/>
    <n v="35"/>
    <m/>
    <x v="3"/>
    <x v="0"/>
    <s v="Normal"/>
  </r>
  <r>
    <s v="DEAL-02343"/>
    <x v="0"/>
    <s v="CLI-0108"/>
    <x v="4"/>
    <x v="6"/>
    <x v="0"/>
    <n v="455556"/>
    <d v="2023-02-01T00:00:00"/>
    <d v="2023-03-06T00:00:00"/>
    <n v="33"/>
    <n v="8.9"/>
    <x v="1"/>
    <x v="2"/>
    <s v="Normal"/>
  </r>
  <r>
    <s v="DEAL-01670"/>
    <x v="12"/>
    <s v="CLI-0019"/>
    <x v="5"/>
    <x v="3"/>
    <x v="4"/>
    <n v="18743"/>
    <d v="2023-05-05T00:00:00"/>
    <m/>
    <m/>
    <n v="11.4"/>
    <x v="2"/>
    <x v="1"/>
    <s v="Normal"/>
  </r>
  <r>
    <s v="DEAL-02166"/>
    <x v="14"/>
    <s v="CLI-0060"/>
    <x v="2"/>
    <x v="1"/>
    <x v="0"/>
    <n v="14233"/>
    <d v="2024-08-04T00:00:00"/>
    <d v="2024-10-28T00:00:00"/>
    <n v="85"/>
    <n v="12.2"/>
    <x v="3"/>
    <x v="8"/>
    <s v="Normal"/>
  </r>
  <r>
    <s v="DEAL-01619"/>
    <x v="8"/>
    <s v="CLI-0245"/>
    <x v="3"/>
    <x v="7"/>
    <x v="4"/>
    <n v="304660"/>
    <d v="2024-09-27T00:00:00"/>
    <m/>
    <m/>
    <n v="14.2"/>
    <x v="2"/>
    <x v="8"/>
    <s v="Normal"/>
  </r>
  <r>
    <s v="DEAL-00900"/>
    <x v="13"/>
    <s v="CLI-0001"/>
    <x v="0"/>
    <x v="7"/>
    <x v="0"/>
    <n v="312833"/>
    <d v="2025-03-04T00:00:00"/>
    <d v="2025-07-24T00:00:00"/>
    <n v="142"/>
    <m/>
    <x v="0"/>
    <x v="4"/>
    <s v="Normal"/>
  </r>
  <r>
    <s v="DEAL-00191"/>
    <x v="2"/>
    <s v="CLI-0041"/>
    <x v="2"/>
    <x v="3"/>
    <x v="1"/>
    <n v="1800592"/>
    <d v="2024-04-16T00:00:00"/>
    <m/>
    <m/>
    <n v="10.4"/>
    <x v="0"/>
    <x v="7"/>
    <s v="High Outlier"/>
  </r>
  <r>
    <s v="DEAL-01141"/>
    <x v="8"/>
    <s v="CLI-0286"/>
    <x v="5"/>
    <x v="3"/>
    <x v="2"/>
    <n v="324198"/>
    <d v="2024-04-03T00:00:00"/>
    <m/>
    <m/>
    <m/>
    <x v="1"/>
    <x v="7"/>
    <s v="Normal"/>
  </r>
  <r>
    <s v="DEAL-02330"/>
    <x v="12"/>
    <s v="CLI-0066"/>
    <x v="2"/>
    <x v="6"/>
    <x v="0"/>
    <n v="451919"/>
    <d v="2023-08-06T00:00:00"/>
    <d v="2023-10-04T00:00:00"/>
    <n v="59"/>
    <n v="12.7"/>
    <x v="2"/>
    <x v="6"/>
    <s v="Normal"/>
  </r>
  <r>
    <s v="DEAL-01883"/>
    <x v="14"/>
    <s v="CLI-0093"/>
    <x v="3"/>
    <x v="2"/>
    <x v="3"/>
    <n v="175442"/>
    <d v="2024-07-27T00:00:00"/>
    <d v="2024-11-01T00:00:00"/>
    <n v="97"/>
    <n v="13.5"/>
    <x v="0"/>
    <x v="8"/>
    <s v="Normal"/>
  </r>
  <r>
    <s v="DEAL-02376"/>
    <x v="8"/>
    <s v="CLI-0296"/>
    <x v="3"/>
    <x v="2"/>
    <x v="0"/>
    <n v="142124"/>
    <d v="2025-02-06T00:00:00"/>
    <d v="2025-05-22T00:00:00"/>
    <n v="105"/>
    <n v="11.2"/>
    <x v="1"/>
    <x v="4"/>
    <s v="Normal"/>
  </r>
  <r>
    <s v="DEAL-01631"/>
    <x v="4"/>
    <s v="CLI-0075"/>
    <x v="4"/>
    <x v="4"/>
    <x v="0"/>
    <n v="84083"/>
    <d v="2024-08-14T00:00:00"/>
    <d v="2024-12-03T00:00:00"/>
    <n v="111"/>
    <n v="1.3"/>
    <x v="1"/>
    <x v="8"/>
    <s v="Normal"/>
  </r>
  <r>
    <s v="DEAL-01091"/>
    <x v="12"/>
    <s v="CLI-0119"/>
    <x v="1"/>
    <x v="3"/>
    <x v="1"/>
    <n v="386281"/>
    <d v="2023-06-17T00:00:00"/>
    <m/>
    <m/>
    <m/>
    <x v="3"/>
    <x v="1"/>
    <s v="Normal"/>
  </r>
  <r>
    <s v="DEAL-01582"/>
    <x v="15"/>
    <s v="CLI-0135"/>
    <x v="3"/>
    <x v="6"/>
    <x v="3"/>
    <n v="134549"/>
    <d v="2024-11-23T00:00:00"/>
    <d v="2024-12-30T00:00:00"/>
    <n v="37"/>
    <n v="17.5"/>
    <x v="1"/>
    <x v="3"/>
    <s v="Normal"/>
  </r>
  <r>
    <s v="DEAL-00033"/>
    <x v="7"/>
    <s v="CLI-0158"/>
    <x v="4"/>
    <x v="3"/>
    <x v="2"/>
    <n v="473157"/>
    <d v="2023-08-25T00:00:00"/>
    <m/>
    <m/>
    <n v="14.7"/>
    <x v="3"/>
    <x v="6"/>
    <s v="Normal"/>
  </r>
  <r>
    <s v="DEAL-00774"/>
    <x v="12"/>
    <s v="CLI-0295"/>
    <x v="5"/>
    <x v="3"/>
    <x v="5"/>
    <n v="314179"/>
    <d v="2024-11-08T00:00:00"/>
    <m/>
    <m/>
    <n v="8.3000000000000007"/>
    <x v="1"/>
    <x v="3"/>
    <s v="Normal"/>
  </r>
  <r>
    <s v="DEAL-02483"/>
    <x v="7"/>
    <s v="CLI-0138"/>
    <x v="2"/>
    <x v="3"/>
    <x v="2"/>
    <n v="318524"/>
    <d v="2023-02-10T00:00:00"/>
    <m/>
    <m/>
    <n v="8.6"/>
    <x v="3"/>
    <x v="2"/>
    <s v="Normal"/>
  </r>
  <r>
    <s v="DEAL-00484"/>
    <x v="7"/>
    <s v="CLI-0156"/>
    <x v="0"/>
    <x v="2"/>
    <x v="4"/>
    <n v="436701"/>
    <d v="2024-05-23T00:00:00"/>
    <m/>
    <m/>
    <m/>
    <x v="3"/>
    <x v="7"/>
    <s v="Normal"/>
  </r>
  <r>
    <s v="DEAL-00924"/>
    <x v="11"/>
    <s v="CLI-0083"/>
    <x v="0"/>
    <x v="0"/>
    <x v="0"/>
    <n v="431345"/>
    <d v="2023-07-25T00:00:00"/>
    <d v="2024-01-11T00:00:00"/>
    <n v="170"/>
    <n v="12.3"/>
    <x v="0"/>
    <x v="6"/>
    <s v="Normal"/>
  </r>
  <r>
    <s v="DEAL-02032"/>
    <x v="8"/>
    <s v="CLI-0001"/>
    <x v="1"/>
    <x v="3"/>
    <x v="5"/>
    <n v="84270"/>
    <d v="2023-10-08T00:00:00"/>
    <m/>
    <m/>
    <m/>
    <x v="3"/>
    <x v="0"/>
    <s v="Normal"/>
  </r>
  <r>
    <s v="DEAL-01608"/>
    <x v="10"/>
    <s v="CLI-0145"/>
    <x v="0"/>
    <x v="4"/>
    <x v="2"/>
    <n v="276454"/>
    <d v="2023-07-31T00:00:00"/>
    <m/>
    <m/>
    <n v="3.2"/>
    <x v="1"/>
    <x v="6"/>
    <s v="Normal"/>
  </r>
  <r>
    <s v="DEAL-02068"/>
    <x v="2"/>
    <s v="CLI-0248"/>
    <x v="5"/>
    <x v="5"/>
    <x v="3"/>
    <n v="147126"/>
    <d v="2024-09-10T00:00:00"/>
    <d v="2024-09-28T00:00:00"/>
    <n v="18"/>
    <n v="21.6"/>
    <x v="0"/>
    <x v="8"/>
    <s v="Normal"/>
  </r>
  <r>
    <s v="DEAL-00553"/>
    <x v="2"/>
    <s v="CLI-0116"/>
    <x v="4"/>
    <x v="3"/>
    <x v="2"/>
    <n v="443981"/>
    <d v="2023-10-27T00:00:00"/>
    <m/>
    <m/>
    <n v="12.2"/>
    <x v="3"/>
    <x v="0"/>
    <s v="Normal"/>
  </r>
  <r>
    <s v="DEAL-01604"/>
    <x v="5"/>
    <s v="CLI-0155"/>
    <x v="0"/>
    <x v="4"/>
    <x v="3"/>
    <n v="451997"/>
    <d v="2023-09-18T00:00:00"/>
    <d v="2024-02-06T00:00:00"/>
    <n v="141"/>
    <n v="22.5"/>
    <x v="3"/>
    <x v="6"/>
    <s v="Normal"/>
  </r>
  <r>
    <s v="DEAL-01219"/>
    <x v="14"/>
    <s v="CLI-0164"/>
    <x v="5"/>
    <x v="2"/>
    <x v="3"/>
    <n v="300862"/>
    <d v="2025-03-10T00:00:00"/>
    <d v="2025-04-20T00:00:00"/>
    <n v="41"/>
    <n v="18.899999999999999"/>
    <x v="1"/>
    <x v="4"/>
    <s v="Normal"/>
  </r>
  <r>
    <s v="DEAL-00336"/>
    <x v="6"/>
    <s v="CLI-0115"/>
    <x v="5"/>
    <x v="0"/>
    <x v="1"/>
    <n v="36715"/>
    <d v="2024-06-21T00:00:00"/>
    <m/>
    <m/>
    <n v="4.5999999999999996"/>
    <x v="1"/>
    <x v="7"/>
    <s v="Normal"/>
  </r>
  <r>
    <s v="DEAL-02331"/>
    <x v="12"/>
    <s v="CLI-0287"/>
    <x v="4"/>
    <x v="1"/>
    <x v="0"/>
    <n v="173900"/>
    <d v="2024-05-19T00:00:00"/>
    <d v="2024-08-19T00:00:00"/>
    <n v="92"/>
    <n v="1.7"/>
    <x v="3"/>
    <x v="7"/>
    <s v="Normal"/>
  </r>
  <r>
    <s v="DEAL-02094"/>
    <x v="11"/>
    <s v="CLI-0181"/>
    <x v="1"/>
    <x v="1"/>
    <x v="0"/>
    <n v="318084"/>
    <d v="2023-07-24T00:00:00"/>
    <d v="2023-09-24T00:00:00"/>
    <n v="62"/>
    <n v="0.5"/>
    <x v="2"/>
    <x v="6"/>
    <s v="Normal"/>
  </r>
  <r>
    <s v="DEAL-02241"/>
    <x v="9"/>
    <s v="CLI-0028"/>
    <x v="4"/>
    <x v="0"/>
    <x v="3"/>
    <n v="373092"/>
    <d v="2023-11-01T00:00:00"/>
    <d v="2024-01-18T00:00:00"/>
    <n v="78"/>
    <n v="14.9"/>
    <x v="2"/>
    <x v="0"/>
    <s v="Normal"/>
  </r>
  <r>
    <s v="DEAL-01596"/>
    <x v="5"/>
    <s v="CLI-0275"/>
    <x v="5"/>
    <x v="3"/>
    <x v="2"/>
    <n v="497513"/>
    <d v="2023-04-20T00:00:00"/>
    <m/>
    <m/>
    <m/>
    <x v="0"/>
    <x v="1"/>
    <s v="Normal"/>
  </r>
  <r>
    <s v="DEAL-01279"/>
    <x v="9"/>
    <s v="CLI-0186"/>
    <x v="1"/>
    <x v="4"/>
    <x v="2"/>
    <n v="154714"/>
    <d v="2023-10-22T00:00:00"/>
    <m/>
    <m/>
    <n v="1.7"/>
    <x v="0"/>
    <x v="0"/>
    <s v="Normal"/>
  </r>
  <r>
    <s v="DEAL-02236"/>
    <x v="10"/>
    <s v="CLI-0141"/>
    <x v="5"/>
    <x v="6"/>
    <x v="2"/>
    <n v="317914"/>
    <d v="2023-11-10T00:00:00"/>
    <m/>
    <m/>
    <n v="6.4"/>
    <x v="3"/>
    <x v="0"/>
    <s v="Normal"/>
  </r>
  <r>
    <s v="DEAL-00854"/>
    <x v="5"/>
    <s v="CLI-0247"/>
    <x v="4"/>
    <x v="7"/>
    <x v="3"/>
    <n v="48358"/>
    <d v="2023-11-26T00:00:00"/>
    <d v="2023-12-24T00:00:00"/>
    <n v="28"/>
    <n v="19.3"/>
    <x v="1"/>
    <x v="0"/>
    <s v="Normal"/>
  </r>
  <r>
    <s v="DEAL-00268"/>
    <x v="3"/>
    <s v="CLI-0190"/>
    <x v="5"/>
    <x v="0"/>
    <x v="3"/>
    <n v="239493"/>
    <d v="2023-10-13T00:00:00"/>
    <d v="2023-12-08T00:00:00"/>
    <n v="56"/>
    <n v="0.5"/>
    <x v="3"/>
    <x v="0"/>
    <s v="Normal"/>
  </r>
  <r>
    <s v="DEAL-00970"/>
    <x v="11"/>
    <s v="CLI-0041"/>
    <x v="4"/>
    <x v="1"/>
    <x v="4"/>
    <n v="322347"/>
    <d v="2024-07-03T00:00:00"/>
    <m/>
    <m/>
    <n v="6.8"/>
    <x v="2"/>
    <x v="8"/>
    <s v="Normal"/>
  </r>
  <r>
    <s v="DEAL-00518"/>
    <x v="12"/>
    <s v="CLI-0213"/>
    <x v="3"/>
    <x v="1"/>
    <x v="5"/>
    <n v="469904"/>
    <d v="2023-09-10T00:00:00"/>
    <m/>
    <m/>
    <n v="4.5999999999999996"/>
    <x v="1"/>
    <x v="6"/>
    <s v="Normal"/>
  </r>
  <r>
    <s v="DEAL-00008"/>
    <x v="2"/>
    <s v="CLI-0238"/>
    <x v="4"/>
    <x v="4"/>
    <x v="0"/>
    <n v="384699"/>
    <d v="2025-02-28T00:00:00"/>
    <d v="2025-07-06T00:00:00"/>
    <n v="128"/>
    <m/>
    <x v="3"/>
    <x v="4"/>
    <s v="Normal"/>
  </r>
  <r>
    <s v="DEAL-01298"/>
    <x v="11"/>
    <s v="CLI-0280"/>
    <x v="0"/>
    <x v="7"/>
    <x v="4"/>
    <n v="317920"/>
    <d v="2023-01-31T00:00:00"/>
    <m/>
    <m/>
    <n v="3.1"/>
    <x v="1"/>
    <x v="2"/>
    <s v="Normal"/>
  </r>
  <r>
    <s v="DEAL-01950"/>
    <x v="12"/>
    <s v="CLI-0080"/>
    <x v="0"/>
    <x v="2"/>
    <x v="0"/>
    <n v="26240"/>
    <d v="2025-02-16T00:00:00"/>
    <d v="2025-07-27T00:00:00"/>
    <n v="161"/>
    <m/>
    <x v="0"/>
    <x v="4"/>
    <s v="Normal"/>
  </r>
  <r>
    <s v="DEAL-01055"/>
    <x v="9"/>
    <s v="CLI-0052"/>
    <x v="4"/>
    <x v="1"/>
    <x v="3"/>
    <n v="441817"/>
    <d v="2023-08-16T00:00:00"/>
    <d v="2024-01-20T00:00:00"/>
    <n v="157"/>
    <n v="15.8"/>
    <x v="1"/>
    <x v="6"/>
    <s v="Normal"/>
  </r>
  <r>
    <s v="DEAL-01230"/>
    <x v="8"/>
    <s v="CLI-0218"/>
    <x v="2"/>
    <x v="2"/>
    <x v="3"/>
    <n v="410372"/>
    <d v="2024-07-17T00:00:00"/>
    <d v="2024-11-08T00:00:00"/>
    <n v="114"/>
    <n v="10.1"/>
    <x v="1"/>
    <x v="8"/>
    <s v="Normal"/>
  </r>
  <r>
    <s v="DEAL-00237"/>
    <x v="8"/>
    <s v="CLI-0244"/>
    <x v="0"/>
    <x v="0"/>
    <x v="0"/>
    <n v="416716"/>
    <d v="2024-03-25T00:00:00"/>
    <d v="2024-05-03T00:00:00"/>
    <n v="39"/>
    <m/>
    <x v="3"/>
    <x v="5"/>
    <s v="Normal"/>
  </r>
  <r>
    <s v="DEAL-00338"/>
    <x v="8"/>
    <s v="CLI-0300"/>
    <x v="0"/>
    <x v="2"/>
    <x v="2"/>
    <n v="327992"/>
    <d v="2023-07-09T00:00:00"/>
    <m/>
    <m/>
    <n v="3.8"/>
    <x v="2"/>
    <x v="6"/>
    <s v="Normal"/>
  </r>
  <r>
    <s v="DEAL-02213"/>
    <x v="2"/>
    <s v="CLI-0158"/>
    <x v="4"/>
    <x v="7"/>
    <x v="2"/>
    <n v="397587"/>
    <d v="2024-06-06T00:00:00"/>
    <m/>
    <m/>
    <m/>
    <x v="0"/>
    <x v="7"/>
    <s v="Normal"/>
  </r>
  <r>
    <s v="DEAL-02451"/>
    <x v="10"/>
    <s v="CLI-0162"/>
    <x v="3"/>
    <x v="3"/>
    <x v="0"/>
    <n v="410708"/>
    <d v="2024-02-06T00:00:00"/>
    <d v="2024-04-08T00:00:00"/>
    <n v="62"/>
    <m/>
    <x v="3"/>
    <x v="5"/>
    <s v="Normal"/>
  </r>
  <r>
    <s v="DEAL-00642"/>
    <x v="12"/>
    <s v="CLI-0243"/>
    <x v="3"/>
    <x v="6"/>
    <x v="3"/>
    <n v="239695"/>
    <d v="2024-03-28T00:00:00"/>
    <d v="2024-09-11T00:00:00"/>
    <n v="167"/>
    <n v="16.600000000000001"/>
    <x v="1"/>
    <x v="5"/>
    <s v="Normal"/>
  </r>
  <r>
    <s v="DEAL-02263"/>
    <x v="12"/>
    <s v="CLI-0027"/>
    <x v="4"/>
    <x v="6"/>
    <x v="3"/>
    <n v="238985"/>
    <d v="2023-06-04T00:00:00"/>
    <d v="2023-10-06T00:00:00"/>
    <n v="124"/>
    <n v="2.2999999999999998"/>
    <x v="0"/>
    <x v="1"/>
    <s v="Normal"/>
  </r>
  <r>
    <s v="DEAL-01775"/>
    <x v="2"/>
    <s v="CLI-0108"/>
    <x v="4"/>
    <x v="2"/>
    <x v="4"/>
    <n v="372810"/>
    <d v="2025-02-13T00:00:00"/>
    <m/>
    <m/>
    <n v="4.7"/>
    <x v="3"/>
    <x v="4"/>
    <s v="Normal"/>
  </r>
  <r>
    <s v="DEAL-01489"/>
    <x v="8"/>
    <s v="CLI-0169"/>
    <x v="1"/>
    <x v="2"/>
    <x v="3"/>
    <n v="408283"/>
    <d v="2023-05-09T00:00:00"/>
    <d v="2023-05-30T00:00:00"/>
    <n v="21"/>
    <n v="4"/>
    <x v="3"/>
    <x v="1"/>
    <s v="Normal"/>
  </r>
  <r>
    <s v="DEAL-01716"/>
    <x v="1"/>
    <s v="CLI-0187"/>
    <x v="1"/>
    <x v="1"/>
    <x v="3"/>
    <n v="144586"/>
    <d v="2024-04-23T00:00:00"/>
    <d v="2024-07-23T00:00:00"/>
    <n v="91"/>
    <n v="15.3"/>
    <x v="0"/>
    <x v="7"/>
    <s v="Normal"/>
  </r>
  <r>
    <s v="DEAL-01126"/>
    <x v="12"/>
    <s v="CLI-0129"/>
    <x v="0"/>
    <x v="4"/>
    <x v="2"/>
    <n v="137156"/>
    <d v="2024-04-14T00:00:00"/>
    <m/>
    <m/>
    <n v="7.8"/>
    <x v="1"/>
    <x v="7"/>
    <s v="Normal"/>
  </r>
  <r>
    <s v="DEAL-01752"/>
    <x v="3"/>
    <s v="CLI-0001"/>
    <x v="3"/>
    <x v="3"/>
    <x v="4"/>
    <n v="304833"/>
    <d v="2025-01-11T00:00:00"/>
    <m/>
    <m/>
    <m/>
    <x v="1"/>
    <x v="4"/>
    <s v="Normal"/>
  </r>
  <r>
    <s v="DEAL-00595"/>
    <x v="13"/>
    <s v="CLI-0273"/>
    <x v="1"/>
    <x v="3"/>
    <x v="3"/>
    <n v="134691"/>
    <d v="2023-11-27T00:00:00"/>
    <d v="2023-12-14T00:00:00"/>
    <n v="17"/>
    <n v="12.1"/>
    <x v="2"/>
    <x v="0"/>
    <s v="Normal"/>
  </r>
  <r>
    <s v="DEAL-00994"/>
    <x v="14"/>
    <s v="CLI-0166"/>
    <x v="1"/>
    <x v="4"/>
    <x v="0"/>
    <n v="310942"/>
    <d v="2024-07-29T00:00:00"/>
    <d v="2024-11-04T00:00:00"/>
    <n v="98"/>
    <n v="3.4"/>
    <x v="0"/>
    <x v="8"/>
    <s v="Normal"/>
  </r>
  <r>
    <s v="DEAL-00448"/>
    <x v="3"/>
    <s v="CLI-0265"/>
    <x v="2"/>
    <x v="7"/>
    <x v="3"/>
    <n v="26921"/>
    <d v="2023-09-25T00:00:00"/>
    <d v="2023-11-30T00:00:00"/>
    <n v="66"/>
    <n v="19.100000000000001"/>
    <x v="1"/>
    <x v="6"/>
    <s v="Normal"/>
  </r>
  <r>
    <s v="DEAL-00372"/>
    <x v="5"/>
    <s v="CLI-0192"/>
    <x v="4"/>
    <x v="6"/>
    <x v="4"/>
    <n v="330018"/>
    <d v="2023-06-06T00:00:00"/>
    <m/>
    <m/>
    <n v="8.5"/>
    <x v="3"/>
    <x v="1"/>
    <s v="Normal"/>
  </r>
  <r>
    <s v="DEAL-02297"/>
    <x v="7"/>
    <s v="CLI-0208"/>
    <x v="3"/>
    <x v="0"/>
    <x v="3"/>
    <n v="378366"/>
    <d v="2023-05-13T00:00:00"/>
    <d v="2023-09-30T00:00:00"/>
    <n v="140"/>
    <n v="16.100000000000001"/>
    <x v="0"/>
    <x v="1"/>
    <s v="Normal"/>
  </r>
  <r>
    <s v="DEAL-00707"/>
    <x v="2"/>
    <s v="CLI-0261"/>
    <x v="2"/>
    <x v="7"/>
    <x v="3"/>
    <n v="294146"/>
    <d v="2023-07-15T00:00:00"/>
    <d v="2023-08-05T00:00:00"/>
    <n v="21"/>
    <n v="7.4"/>
    <x v="1"/>
    <x v="6"/>
    <s v="Normal"/>
  </r>
  <r>
    <s v="DEAL-00153"/>
    <x v="13"/>
    <s v="CLI-0293"/>
    <x v="1"/>
    <x v="6"/>
    <x v="5"/>
    <n v="482598"/>
    <d v="2023-01-21T00:00:00"/>
    <m/>
    <m/>
    <n v="10.4"/>
    <x v="2"/>
    <x v="2"/>
    <s v="Normal"/>
  </r>
  <r>
    <s v="DEAL-01262"/>
    <x v="3"/>
    <s v="CLI-0287"/>
    <x v="0"/>
    <x v="0"/>
    <x v="3"/>
    <n v="77165"/>
    <d v="2023-10-08T00:00:00"/>
    <d v="2024-02-21T00:00:00"/>
    <n v="136"/>
    <n v="16.7"/>
    <x v="0"/>
    <x v="0"/>
    <s v="Normal"/>
  </r>
  <r>
    <s v="DEAL-02381"/>
    <x v="2"/>
    <s v="CLI-0177"/>
    <x v="1"/>
    <x v="6"/>
    <x v="3"/>
    <n v="21411"/>
    <d v="2024-06-07T00:00:00"/>
    <d v="2024-09-20T00:00:00"/>
    <n v="105"/>
    <n v="9.9"/>
    <x v="1"/>
    <x v="7"/>
    <s v="Normal"/>
  </r>
  <r>
    <s v="DEAL-02380"/>
    <x v="14"/>
    <s v="CLI-0109"/>
    <x v="3"/>
    <x v="1"/>
    <x v="1"/>
    <n v="115757"/>
    <d v="2024-09-14T00:00:00"/>
    <m/>
    <m/>
    <n v="13.1"/>
    <x v="1"/>
    <x v="8"/>
    <s v="Normal"/>
  </r>
  <r>
    <s v="DEAL-02205"/>
    <x v="0"/>
    <s v="CLI-0244"/>
    <x v="2"/>
    <x v="8"/>
    <x v="3"/>
    <n v="314855"/>
    <d v="2024-11-20T00:00:00"/>
    <d v="2024-12-11T00:00:00"/>
    <n v="21"/>
    <n v="20.399999999999999"/>
    <x v="3"/>
    <x v="3"/>
    <s v="Normal"/>
  </r>
  <r>
    <s v="DEAL-02050"/>
    <x v="14"/>
    <s v="CLI-0231"/>
    <x v="1"/>
    <x v="4"/>
    <x v="2"/>
    <n v="148059"/>
    <d v="2024-10-12T00:00:00"/>
    <m/>
    <m/>
    <m/>
    <x v="0"/>
    <x v="3"/>
    <s v="Normal"/>
  </r>
  <r>
    <s v="DEAL-00320"/>
    <x v="1"/>
    <s v="CLI-0118"/>
    <x v="4"/>
    <x v="1"/>
    <x v="3"/>
    <n v="463717"/>
    <d v="2023-10-05T00:00:00"/>
    <d v="2024-03-23T00:00:00"/>
    <n v="170"/>
    <n v="1.2"/>
    <x v="2"/>
    <x v="0"/>
    <s v="Normal"/>
  </r>
  <r>
    <s v="DEAL-01654"/>
    <x v="11"/>
    <s v="CLI-0183"/>
    <x v="1"/>
    <x v="3"/>
    <x v="0"/>
    <n v="289377"/>
    <d v="2023-09-22T00:00:00"/>
    <d v="2024-01-13T00:00:00"/>
    <n v="113"/>
    <n v="1.9"/>
    <x v="1"/>
    <x v="6"/>
    <s v="Normal"/>
  </r>
  <r>
    <s v="DEAL-01183"/>
    <x v="4"/>
    <s v="CLI-0244"/>
    <x v="3"/>
    <x v="0"/>
    <x v="3"/>
    <n v="163687"/>
    <d v="2023-05-15T00:00:00"/>
    <d v="2023-07-16T00:00:00"/>
    <n v="62"/>
    <n v="2.2999999999999998"/>
    <x v="0"/>
    <x v="1"/>
    <s v="Normal"/>
  </r>
  <r>
    <s v="DEAL-01977"/>
    <x v="2"/>
    <s v="CLI-0073"/>
    <x v="1"/>
    <x v="7"/>
    <x v="0"/>
    <n v="266624"/>
    <d v="2025-01-19T00:00:00"/>
    <d v="2025-06-15T00:00:00"/>
    <n v="147"/>
    <n v="12.9"/>
    <x v="1"/>
    <x v="4"/>
    <s v="Normal"/>
  </r>
  <r>
    <s v="DEAL-01887"/>
    <x v="2"/>
    <s v="CLI-0202"/>
    <x v="2"/>
    <x v="7"/>
    <x v="1"/>
    <n v="11889"/>
    <d v="2024-12-16T00:00:00"/>
    <m/>
    <m/>
    <n v="9.1"/>
    <x v="0"/>
    <x v="3"/>
    <s v="Normal"/>
  </r>
  <r>
    <s v="DEAL-00469"/>
    <x v="9"/>
    <s v="CLI-0238"/>
    <x v="1"/>
    <x v="4"/>
    <x v="0"/>
    <n v="127745"/>
    <d v="2024-08-11T00:00:00"/>
    <d v="2025-02-03T00:00:00"/>
    <n v="176"/>
    <n v="6.3"/>
    <x v="3"/>
    <x v="8"/>
    <s v="Normal"/>
  </r>
  <r>
    <s v="DEAL-00837"/>
    <x v="11"/>
    <s v="CLI-0147"/>
    <x v="2"/>
    <x v="3"/>
    <x v="3"/>
    <n v="340552"/>
    <d v="2025-03-22T00:00:00"/>
    <d v="2025-07-01T00:00:00"/>
    <n v="101"/>
    <n v="23.4"/>
    <x v="0"/>
    <x v="4"/>
    <s v="Normal"/>
  </r>
  <r>
    <s v="DEAL-01591"/>
    <x v="10"/>
    <s v="CLI-0256"/>
    <x v="0"/>
    <x v="2"/>
    <x v="1"/>
    <n v="141204"/>
    <d v="2024-01-22T00:00:00"/>
    <m/>
    <m/>
    <n v="8.1"/>
    <x v="0"/>
    <x v="5"/>
    <s v="Normal"/>
  </r>
  <r>
    <s v="DEAL-00567"/>
    <x v="7"/>
    <s v="CLI-0181"/>
    <x v="5"/>
    <x v="7"/>
    <x v="3"/>
    <n v="68442"/>
    <d v="2023-07-06T00:00:00"/>
    <d v="2023-11-22T00:00:00"/>
    <n v="139"/>
    <n v="22.3"/>
    <x v="0"/>
    <x v="6"/>
    <s v="Normal"/>
  </r>
  <r>
    <s v="DEAL-02342"/>
    <x v="10"/>
    <s v="CLI-0292"/>
    <x v="5"/>
    <x v="5"/>
    <x v="5"/>
    <n v="71763"/>
    <d v="2024-07-14T00:00:00"/>
    <m/>
    <m/>
    <m/>
    <x v="2"/>
    <x v="8"/>
    <s v="Normal"/>
  </r>
  <r>
    <s v="DEAL-01855"/>
    <x v="1"/>
    <s v="CLI-0016"/>
    <x v="3"/>
    <x v="0"/>
    <x v="2"/>
    <n v="378321"/>
    <d v="2024-12-09T00:00:00"/>
    <m/>
    <m/>
    <n v="11.5"/>
    <x v="2"/>
    <x v="3"/>
    <s v="Normal"/>
  </r>
  <r>
    <s v="DEAL-01496"/>
    <x v="6"/>
    <s v="CLI-0214"/>
    <x v="3"/>
    <x v="1"/>
    <x v="1"/>
    <n v="85759"/>
    <d v="2023-10-14T00:00:00"/>
    <m/>
    <m/>
    <n v="4.7"/>
    <x v="1"/>
    <x v="0"/>
    <s v="Normal"/>
  </r>
  <r>
    <s v="DEAL-00480"/>
    <x v="11"/>
    <s v="CLI-0116"/>
    <x v="3"/>
    <x v="3"/>
    <x v="5"/>
    <n v="441173"/>
    <d v="2023-07-28T00:00:00"/>
    <m/>
    <m/>
    <n v="4.2"/>
    <x v="0"/>
    <x v="6"/>
    <s v="Normal"/>
  </r>
  <r>
    <s v="DEAL-00450"/>
    <x v="5"/>
    <s v="CLI-0278"/>
    <x v="5"/>
    <x v="2"/>
    <x v="0"/>
    <n v="151824"/>
    <d v="2023-04-17T00:00:00"/>
    <d v="2023-05-11T00:00:00"/>
    <n v="24"/>
    <n v="3.4"/>
    <x v="0"/>
    <x v="1"/>
    <s v="Normal"/>
  </r>
  <r>
    <s v="DEAL-00497"/>
    <x v="12"/>
    <s v="CLI-0105"/>
    <x v="2"/>
    <x v="1"/>
    <x v="5"/>
    <n v="67120"/>
    <d v="2023-12-07T00:00:00"/>
    <m/>
    <m/>
    <n v="2.2000000000000002"/>
    <x v="3"/>
    <x v="0"/>
    <s v="Normal"/>
  </r>
  <r>
    <s v="DEAL-00677"/>
    <x v="14"/>
    <s v="CLI-0031"/>
    <x v="2"/>
    <x v="0"/>
    <x v="4"/>
    <n v="181023"/>
    <d v="2023-11-17T00:00:00"/>
    <m/>
    <m/>
    <n v="9.5"/>
    <x v="0"/>
    <x v="0"/>
    <s v="Normal"/>
  </r>
  <r>
    <s v="DEAL-00796"/>
    <x v="2"/>
    <s v="CLI-0169"/>
    <x v="2"/>
    <x v="3"/>
    <x v="5"/>
    <n v="409839"/>
    <d v="2024-08-23T00:00:00"/>
    <m/>
    <m/>
    <n v="6.8"/>
    <x v="1"/>
    <x v="8"/>
    <s v="Normal"/>
  </r>
  <r>
    <s v="DEAL-02255"/>
    <x v="11"/>
    <s v="CLI-0262"/>
    <x v="0"/>
    <x v="1"/>
    <x v="4"/>
    <n v="322585"/>
    <d v="2024-12-17T00:00:00"/>
    <m/>
    <m/>
    <n v="4.9000000000000004"/>
    <x v="3"/>
    <x v="3"/>
    <s v="Normal"/>
  </r>
  <r>
    <s v="DEAL-01299"/>
    <x v="8"/>
    <s v="CLI-0210"/>
    <x v="1"/>
    <x v="3"/>
    <x v="4"/>
    <n v="198110"/>
    <d v="2024-09-17T00:00:00"/>
    <m/>
    <m/>
    <n v="14.7"/>
    <x v="0"/>
    <x v="8"/>
    <s v="Normal"/>
  </r>
  <r>
    <s v="DEAL-01606"/>
    <x v="12"/>
    <s v="CLI-0286"/>
    <x v="5"/>
    <x v="0"/>
    <x v="1"/>
    <n v="414652"/>
    <d v="2024-09-04T00:00:00"/>
    <m/>
    <m/>
    <n v="6"/>
    <x v="2"/>
    <x v="8"/>
    <s v="Normal"/>
  </r>
  <r>
    <s v="DEAL-01501"/>
    <x v="1"/>
    <s v="CLI-0111"/>
    <x v="0"/>
    <x v="1"/>
    <x v="0"/>
    <n v="389080"/>
    <d v="2023-05-21T00:00:00"/>
    <d v="2023-09-08T00:00:00"/>
    <n v="110"/>
    <n v="7.8"/>
    <x v="3"/>
    <x v="1"/>
    <s v="Normal"/>
  </r>
  <r>
    <s v="DEAL-02240"/>
    <x v="13"/>
    <s v="CLI-0064"/>
    <x v="5"/>
    <x v="5"/>
    <x v="2"/>
    <n v="81342"/>
    <d v="2025-03-24T00:00:00"/>
    <m/>
    <m/>
    <n v="1.6"/>
    <x v="1"/>
    <x v="4"/>
    <s v="Normal"/>
  </r>
  <r>
    <s v="DEAL-02347"/>
    <x v="14"/>
    <s v="CLI-0074"/>
    <x v="2"/>
    <x v="4"/>
    <x v="5"/>
    <n v="187381"/>
    <d v="2024-08-01T00:00:00"/>
    <m/>
    <m/>
    <m/>
    <x v="0"/>
    <x v="8"/>
    <s v="Normal"/>
  </r>
  <r>
    <s v="DEAL-01123"/>
    <x v="0"/>
    <s v="CLI-0101"/>
    <x v="5"/>
    <x v="5"/>
    <x v="2"/>
    <n v="127186"/>
    <d v="2024-11-18T00:00:00"/>
    <m/>
    <m/>
    <n v="6.5"/>
    <x v="0"/>
    <x v="3"/>
    <s v="Normal"/>
  </r>
  <r>
    <s v="DEAL-01089"/>
    <x v="14"/>
    <s v="CLI-0088"/>
    <x v="3"/>
    <x v="2"/>
    <x v="3"/>
    <n v="192123"/>
    <d v="2023-11-19T00:00:00"/>
    <d v="2024-02-05T00:00:00"/>
    <n v="78"/>
    <n v="1.4"/>
    <x v="2"/>
    <x v="0"/>
    <s v="Normal"/>
  </r>
  <r>
    <s v="DEAL-02167"/>
    <x v="14"/>
    <s v="CLI-0221"/>
    <x v="5"/>
    <x v="4"/>
    <x v="5"/>
    <n v="116870"/>
    <d v="2023-05-09T00:00:00"/>
    <m/>
    <m/>
    <m/>
    <x v="2"/>
    <x v="1"/>
    <s v="Normal"/>
  </r>
  <r>
    <s v="DEAL-01586"/>
    <x v="1"/>
    <s v="CLI-0032"/>
    <x v="5"/>
    <x v="5"/>
    <x v="5"/>
    <n v="271366"/>
    <d v="2024-03-25T00:00:00"/>
    <m/>
    <m/>
    <n v="6.7"/>
    <x v="3"/>
    <x v="5"/>
    <s v="Normal"/>
  </r>
  <r>
    <s v="DEAL-01205"/>
    <x v="3"/>
    <s v="CLI-0096"/>
    <x v="4"/>
    <x v="5"/>
    <x v="1"/>
    <n v="484191"/>
    <d v="2024-06-29T00:00:00"/>
    <m/>
    <m/>
    <m/>
    <x v="0"/>
    <x v="7"/>
    <s v="Normal"/>
  </r>
  <r>
    <s v="DEAL-00163"/>
    <x v="12"/>
    <s v="CLI-0009"/>
    <x v="0"/>
    <x v="6"/>
    <x v="3"/>
    <n v="400048"/>
    <d v="2024-03-09T00:00:00"/>
    <d v="2024-05-18T00:00:00"/>
    <n v="70"/>
    <n v="4.4000000000000004"/>
    <x v="2"/>
    <x v="5"/>
    <s v="Normal"/>
  </r>
  <r>
    <s v="DEAL-02246"/>
    <x v="4"/>
    <s v="CLI-0241"/>
    <x v="4"/>
    <x v="4"/>
    <x v="4"/>
    <n v="208061"/>
    <d v="2023-03-23T00:00:00"/>
    <m/>
    <m/>
    <n v="14.4"/>
    <x v="2"/>
    <x v="2"/>
    <s v="Normal"/>
  </r>
  <r>
    <s v="DEAL-01566"/>
    <x v="8"/>
    <s v="CLI-0046"/>
    <x v="0"/>
    <x v="6"/>
    <x v="3"/>
    <n v="409767"/>
    <d v="2023-06-20T00:00:00"/>
    <d v="2023-10-21T00:00:00"/>
    <n v="123"/>
    <n v="2.5"/>
    <x v="0"/>
    <x v="1"/>
    <s v="Normal"/>
  </r>
  <r>
    <s v="DEAL-00520"/>
    <x v="8"/>
    <s v="CLI-0087"/>
    <x v="0"/>
    <x v="1"/>
    <x v="3"/>
    <n v="284225"/>
    <d v="2024-10-08T00:00:00"/>
    <d v="2024-12-05T00:00:00"/>
    <n v="58"/>
    <n v="20.9"/>
    <x v="0"/>
    <x v="3"/>
    <s v="Normal"/>
  </r>
  <r>
    <s v="DEAL-02176"/>
    <x v="0"/>
    <s v="CLI-0231"/>
    <x v="3"/>
    <x v="7"/>
    <x v="2"/>
    <n v="488711"/>
    <d v="2025-03-31T00:00:00"/>
    <m/>
    <m/>
    <n v="9.4"/>
    <x v="2"/>
    <x v="4"/>
    <s v="Normal"/>
  </r>
  <r>
    <s v="DEAL-01008"/>
    <x v="15"/>
    <s v="CLI-0026"/>
    <x v="4"/>
    <x v="4"/>
    <x v="5"/>
    <n v="338655"/>
    <d v="2023-04-07T00:00:00"/>
    <m/>
    <m/>
    <n v="14.3"/>
    <x v="2"/>
    <x v="1"/>
    <s v="Normal"/>
  </r>
  <r>
    <s v="DEAL-01218"/>
    <x v="5"/>
    <s v="CLI-0240"/>
    <x v="5"/>
    <x v="3"/>
    <x v="1"/>
    <n v="433408"/>
    <d v="2023-01-14T00:00:00"/>
    <m/>
    <m/>
    <n v="3.1"/>
    <x v="0"/>
    <x v="2"/>
    <s v="Normal"/>
  </r>
  <r>
    <s v="DEAL-00997"/>
    <x v="0"/>
    <s v="CLI-0041"/>
    <x v="4"/>
    <x v="2"/>
    <x v="0"/>
    <n v="121849"/>
    <d v="2025-03-13T00:00:00"/>
    <d v="2025-06-28T00:00:00"/>
    <n v="107"/>
    <n v="7.9"/>
    <x v="1"/>
    <x v="4"/>
    <s v="Normal"/>
  </r>
  <r>
    <s v="DEAL-01614"/>
    <x v="9"/>
    <s v="CLI-0234"/>
    <x v="0"/>
    <x v="4"/>
    <x v="3"/>
    <n v="336940"/>
    <d v="2023-07-03T00:00:00"/>
    <d v="2023-10-24T00:00:00"/>
    <n v="113"/>
    <n v="16.7"/>
    <x v="3"/>
    <x v="6"/>
    <s v="Normal"/>
  </r>
  <r>
    <s v="DEAL-01394"/>
    <x v="14"/>
    <s v="CLI-0240"/>
    <x v="5"/>
    <x v="1"/>
    <x v="3"/>
    <n v="47015"/>
    <d v="2024-03-31T00:00:00"/>
    <d v="2024-07-31T00:00:00"/>
    <n v="122"/>
    <n v="7.8"/>
    <x v="3"/>
    <x v="5"/>
    <s v="Normal"/>
  </r>
  <r>
    <s v="DEAL-01139"/>
    <x v="14"/>
    <s v="CLI-0174"/>
    <x v="3"/>
    <x v="6"/>
    <x v="3"/>
    <n v="291055"/>
    <d v="2025-01-19T00:00:00"/>
    <d v="2025-04-07T00:00:00"/>
    <n v="78"/>
    <n v="13.9"/>
    <x v="2"/>
    <x v="4"/>
    <s v="Normal"/>
  </r>
  <r>
    <s v="DEAL-02476"/>
    <x v="2"/>
    <s v="CLI-0247"/>
    <x v="5"/>
    <x v="6"/>
    <x v="2"/>
    <n v="12575"/>
    <d v="2023-08-13T00:00:00"/>
    <m/>
    <m/>
    <n v="5.9"/>
    <x v="2"/>
    <x v="6"/>
    <s v="Normal"/>
  </r>
  <r>
    <s v="DEAL-01152"/>
    <x v="14"/>
    <s v="CLI-0116"/>
    <x v="5"/>
    <x v="4"/>
    <x v="3"/>
    <n v="166887"/>
    <d v="2023-07-12T00:00:00"/>
    <d v="2024-01-06T00:00:00"/>
    <n v="178"/>
    <n v="21.5"/>
    <x v="3"/>
    <x v="6"/>
    <s v="Normal"/>
  </r>
  <r>
    <s v="DEAL-02127"/>
    <x v="15"/>
    <s v="CLI-0055"/>
    <x v="0"/>
    <x v="2"/>
    <x v="5"/>
    <n v="36978"/>
    <d v="2025-03-17T00:00:00"/>
    <m/>
    <m/>
    <n v="4.9000000000000004"/>
    <x v="2"/>
    <x v="4"/>
    <s v="Normal"/>
  </r>
  <r>
    <s v="DEAL-00223"/>
    <x v="3"/>
    <s v="CLI-0212"/>
    <x v="4"/>
    <x v="1"/>
    <x v="5"/>
    <n v="223425"/>
    <d v="2023-01-30T00:00:00"/>
    <m/>
    <m/>
    <m/>
    <x v="3"/>
    <x v="2"/>
    <s v="Normal"/>
  </r>
  <r>
    <s v="DEAL-02153"/>
    <x v="1"/>
    <s v="CLI-0239"/>
    <x v="1"/>
    <x v="8"/>
    <x v="4"/>
    <n v="238647"/>
    <d v="2023-01-21T00:00:00"/>
    <m/>
    <m/>
    <m/>
    <x v="1"/>
    <x v="2"/>
    <s v="Normal"/>
  </r>
  <r>
    <s v="DEAL-01085"/>
    <x v="2"/>
    <s v="CLI-0238"/>
    <x v="5"/>
    <x v="3"/>
    <x v="4"/>
    <n v="431903"/>
    <d v="2024-10-24T00:00:00"/>
    <m/>
    <m/>
    <n v="9.9"/>
    <x v="2"/>
    <x v="3"/>
    <s v="Normal"/>
  </r>
  <r>
    <s v="DEAL-01751"/>
    <x v="11"/>
    <s v="CLI-0274"/>
    <x v="5"/>
    <x v="8"/>
    <x v="1"/>
    <n v="201355"/>
    <d v="2023-04-20T00:00:00"/>
    <m/>
    <m/>
    <n v="8.5"/>
    <x v="0"/>
    <x v="1"/>
    <s v="Normal"/>
  </r>
  <r>
    <s v="DEAL-00025"/>
    <x v="12"/>
    <s v="CLI-0080"/>
    <x v="0"/>
    <x v="1"/>
    <x v="0"/>
    <n v="237700"/>
    <d v="2023-05-04T00:00:00"/>
    <d v="2023-07-16T00:00:00"/>
    <n v="73"/>
    <n v="12.7"/>
    <x v="0"/>
    <x v="1"/>
    <s v="Normal"/>
  </r>
  <r>
    <s v="DEAL-01333"/>
    <x v="12"/>
    <s v="CLI-0020"/>
    <x v="5"/>
    <x v="5"/>
    <x v="4"/>
    <n v="431670"/>
    <d v="2024-11-28T00:00:00"/>
    <m/>
    <m/>
    <n v="3.1"/>
    <x v="1"/>
    <x v="3"/>
    <s v="Normal"/>
  </r>
  <r>
    <s v="DEAL-00228"/>
    <x v="4"/>
    <s v="CLI-0135"/>
    <x v="0"/>
    <x v="8"/>
    <x v="5"/>
    <n v="324317"/>
    <d v="2024-12-09T00:00:00"/>
    <m/>
    <m/>
    <n v="2"/>
    <x v="0"/>
    <x v="3"/>
    <s v="Normal"/>
  </r>
  <r>
    <s v="DEAL-02226"/>
    <x v="3"/>
    <s v="CLI-0060"/>
    <x v="2"/>
    <x v="7"/>
    <x v="4"/>
    <n v="139740"/>
    <d v="2023-09-28T00:00:00"/>
    <m/>
    <m/>
    <n v="13.8"/>
    <x v="2"/>
    <x v="6"/>
    <s v="Normal"/>
  </r>
  <r>
    <s v="DEAL-00694"/>
    <x v="14"/>
    <s v="CLI-0229"/>
    <x v="1"/>
    <x v="1"/>
    <x v="5"/>
    <n v="214867"/>
    <d v="2023-06-19T00:00:00"/>
    <m/>
    <m/>
    <n v="13.8"/>
    <x v="2"/>
    <x v="1"/>
    <s v="Normal"/>
  </r>
  <r>
    <s v="DEAL-01388"/>
    <x v="10"/>
    <s v="CLI-0260"/>
    <x v="1"/>
    <x v="5"/>
    <x v="4"/>
    <n v="272595"/>
    <d v="2025-01-11T00:00:00"/>
    <m/>
    <m/>
    <n v="1.9"/>
    <x v="0"/>
    <x v="4"/>
    <s v="Normal"/>
  </r>
  <r>
    <s v="DEAL-01524"/>
    <x v="8"/>
    <s v="CLI-0128"/>
    <x v="2"/>
    <x v="2"/>
    <x v="2"/>
    <n v="31334"/>
    <d v="2025-01-10T00:00:00"/>
    <m/>
    <m/>
    <n v="10.199999999999999"/>
    <x v="1"/>
    <x v="4"/>
    <s v="Normal"/>
  </r>
  <r>
    <s v="DEAL-02444"/>
    <x v="13"/>
    <s v="CLI-0021"/>
    <x v="4"/>
    <x v="6"/>
    <x v="3"/>
    <n v="453768"/>
    <d v="2023-01-10T00:00:00"/>
    <d v="2023-06-29T00:00:00"/>
    <n v="170"/>
    <n v="12.6"/>
    <x v="1"/>
    <x v="2"/>
    <s v="Normal"/>
  </r>
  <r>
    <s v="DEAL-00636"/>
    <x v="0"/>
    <s v="CLI-0164"/>
    <x v="2"/>
    <x v="5"/>
    <x v="0"/>
    <n v="383508"/>
    <d v="2025-01-01T00:00:00"/>
    <d v="2025-03-09T00:00:00"/>
    <n v="67"/>
    <n v="8.6"/>
    <x v="3"/>
    <x v="4"/>
    <s v="Normal"/>
  </r>
  <r>
    <s v="DEAL-00826"/>
    <x v="8"/>
    <s v="CLI-0040"/>
    <x v="0"/>
    <x v="3"/>
    <x v="4"/>
    <n v="423484"/>
    <d v="2024-11-22T00:00:00"/>
    <m/>
    <m/>
    <n v="5.5"/>
    <x v="1"/>
    <x v="3"/>
    <s v="Normal"/>
  </r>
  <r>
    <s v="DEAL-00648"/>
    <x v="2"/>
    <s v="CLI-0193"/>
    <x v="0"/>
    <x v="3"/>
    <x v="2"/>
    <n v="167211"/>
    <d v="2024-04-15T00:00:00"/>
    <m/>
    <m/>
    <n v="6.2"/>
    <x v="1"/>
    <x v="7"/>
    <s v="Normal"/>
  </r>
  <r>
    <s v="DEAL-02202"/>
    <x v="12"/>
    <s v="CLI-0257"/>
    <x v="4"/>
    <x v="0"/>
    <x v="0"/>
    <n v="443092"/>
    <d v="2023-08-10T00:00:00"/>
    <d v="2024-02-03T00:00:00"/>
    <n v="177"/>
    <n v="1.7"/>
    <x v="0"/>
    <x v="6"/>
    <s v="Normal"/>
  </r>
  <r>
    <s v="DEAL-01106"/>
    <x v="0"/>
    <s v="CLI-0041"/>
    <x v="3"/>
    <x v="3"/>
    <x v="1"/>
    <n v="310887"/>
    <d v="2023-08-18T00:00:00"/>
    <m/>
    <m/>
    <m/>
    <x v="3"/>
    <x v="6"/>
    <s v="Normal"/>
  </r>
  <r>
    <s v="DEAL-01470"/>
    <x v="6"/>
    <s v="CLI-0091"/>
    <x v="0"/>
    <x v="5"/>
    <x v="5"/>
    <n v="101900"/>
    <d v="2024-06-06T00:00:00"/>
    <m/>
    <m/>
    <n v="10.1"/>
    <x v="1"/>
    <x v="7"/>
    <s v="Normal"/>
  </r>
  <r>
    <s v="DEAL-01119"/>
    <x v="15"/>
    <s v="CLI-0198"/>
    <x v="5"/>
    <x v="2"/>
    <x v="2"/>
    <n v="410689"/>
    <d v="2024-12-18T00:00:00"/>
    <m/>
    <m/>
    <n v="0.3"/>
    <x v="0"/>
    <x v="3"/>
    <s v="Normal"/>
  </r>
  <r>
    <s v="DEAL-02245"/>
    <x v="10"/>
    <s v="CLI-0177"/>
    <x v="2"/>
    <x v="6"/>
    <x v="4"/>
    <n v="224252"/>
    <d v="2023-10-05T00:00:00"/>
    <m/>
    <m/>
    <n v="10.7"/>
    <x v="2"/>
    <x v="0"/>
    <s v="Normal"/>
  </r>
  <r>
    <s v="DEAL-00101"/>
    <x v="12"/>
    <s v="CLI-0120"/>
    <x v="4"/>
    <x v="2"/>
    <x v="1"/>
    <n v="13787"/>
    <d v="2023-04-02T00:00:00"/>
    <m/>
    <m/>
    <n v="10.6"/>
    <x v="2"/>
    <x v="1"/>
    <s v="Normal"/>
  </r>
  <r>
    <s v="DEAL-01550"/>
    <x v="13"/>
    <s v="CLI-0042"/>
    <x v="2"/>
    <x v="0"/>
    <x v="1"/>
    <n v="81356"/>
    <d v="2025-03-15T00:00:00"/>
    <m/>
    <m/>
    <n v="2.6"/>
    <x v="0"/>
    <x v="4"/>
    <s v="Normal"/>
  </r>
  <r>
    <s v="DEAL-01548"/>
    <x v="0"/>
    <s v="CLI-0070"/>
    <x v="3"/>
    <x v="0"/>
    <x v="1"/>
    <n v="63307"/>
    <d v="2023-06-03T00:00:00"/>
    <m/>
    <m/>
    <m/>
    <x v="0"/>
    <x v="1"/>
    <s v="Normal"/>
  </r>
  <r>
    <s v="DEAL-01128"/>
    <x v="13"/>
    <s v="CLI-0250"/>
    <x v="2"/>
    <x v="5"/>
    <x v="0"/>
    <n v="30491"/>
    <d v="2023-10-24T00:00:00"/>
    <d v="2024-03-28T00:00:00"/>
    <n v="156"/>
    <n v="0.9"/>
    <x v="1"/>
    <x v="0"/>
    <s v="Normal"/>
  </r>
  <r>
    <s v="DEAL-02140"/>
    <x v="14"/>
    <s v="CLI-0009"/>
    <x v="4"/>
    <x v="8"/>
    <x v="1"/>
    <n v="196775"/>
    <d v="2024-12-02T00:00:00"/>
    <m/>
    <m/>
    <n v="13.8"/>
    <x v="3"/>
    <x v="3"/>
    <s v="Normal"/>
  </r>
  <r>
    <s v="DEAL-00021"/>
    <x v="8"/>
    <s v="CLI-0028"/>
    <x v="2"/>
    <x v="6"/>
    <x v="3"/>
    <n v="179581"/>
    <d v="2024-07-30T00:00:00"/>
    <d v="2024-12-31T00:00:00"/>
    <n v="154"/>
    <n v="19.100000000000001"/>
    <x v="2"/>
    <x v="8"/>
    <s v="Normal"/>
  </r>
  <r>
    <s v="DEAL-00211"/>
    <x v="5"/>
    <s v="CLI-0246"/>
    <x v="0"/>
    <x v="2"/>
    <x v="1"/>
    <n v="383104"/>
    <d v="2024-02-26T00:00:00"/>
    <m/>
    <m/>
    <m/>
    <x v="1"/>
    <x v="5"/>
    <s v="Normal"/>
  </r>
  <r>
    <s v="DEAL-02384"/>
    <x v="3"/>
    <s v="CLI-0134"/>
    <x v="1"/>
    <x v="7"/>
    <x v="4"/>
    <n v="352198"/>
    <d v="2024-03-16T00:00:00"/>
    <m/>
    <m/>
    <m/>
    <x v="3"/>
    <x v="5"/>
    <s v="Normal"/>
  </r>
  <r>
    <s v="DEAL-01065"/>
    <x v="5"/>
    <s v="CLI-0255"/>
    <x v="2"/>
    <x v="2"/>
    <x v="2"/>
    <n v="306953"/>
    <d v="2024-04-30T00:00:00"/>
    <m/>
    <m/>
    <m/>
    <x v="0"/>
    <x v="7"/>
    <s v="Normal"/>
  </r>
  <r>
    <s v="DEAL-01519"/>
    <x v="9"/>
    <s v="CLI-0038"/>
    <x v="0"/>
    <x v="7"/>
    <x v="2"/>
    <n v="1941623"/>
    <d v="2024-04-23T00:00:00"/>
    <m/>
    <m/>
    <n v="12.3"/>
    <x v="3"/>
    <x v="7"/>
    <s v="High Outlier"/>
  </r>
  <r>
    <s v="DEAL-01402"/>
    <x v="3"/>
    <s v="CLI-0014"/>
    <x v="0"/>
    <x v="1"/>
    <x v="3"/>
    <n v="367221"/>
    <d v="2023-11-22T00:00:00"/>
    <d v="2024-03-28T00:00:00"/>
    <n v="127"/>
    <n v="0.8"/>
    <x v="1"/>
    <x v="0"/>
    <s v="Normal"/>
  </r>
  <r>
    <s v="DEAL-00932"/>
    <x v="1"/>
    <s v="CLI-0178"/>
    <x v="3"/>
    <x v="4"/>
    <x v="1"/>
    <n v="38795"/>
    <d v="2024-11-07T00:00:00"/>
    <m/>
    <m/>
    <m/>
    <x v="2"/>
    <x v="3"/>
    <s v="Normal"/>
  </r>
  <r>
    <s v="DEAL-00070"/>
    <x v="5"/>
    <s v="CLI-0226"/>
    <x v="5"/>
    <x v="5"/>
    <x v="0"/>
    <n v="211230"/>
    <d v="2023-08-02T00:00:00"/>
    <d v="2024-01-15T00:00:00"/>
    <n v="166"/>
    <n v="14.7"/>
    <x v="2"/>
    <x v="6"/>
    <s v="Normal"/>
  </r>
  <r>
    <s v="DEAL-00658"/>
    <x v="10"/>
    <s v="CLI-0126"/>
    <x v="4"/>
    <x v="1"/>
    <x v="1"/>
    <n v="80749"/>
    <d v="2024-11-24T00:00:00"/>
    <m/>
    <m/>
    <m/>
    <x v="1"/>
    <x v="3"/>
    <s v="Normal"/>
  </r>
  <r>
    <s v="DEAL-00738"/>
    <x v="6"/>
    <s v="CLI-0240"/>
    <x v="2"/>
    <x v="4"/>
    <x v="2"/>
    <n v="192572"/>
    <d v="2024-01-11T00:00:00"/>
    <m/>
    <m/>
    <m/>
    <x v="1"/>
    <x v="5"/>
    <s v="Normal"/>
  </r>
  <r>
    <s v="DEAL-01385"/>
    <x v="5"/>
    <s v="CLI-0047"/>
    <x v="4"/>
    <x v="5"/>
    <x v="3"/>
    <n v="1326332"/>
    <d v="2023-10-04T00:00:00"/>
    <d v="2023-11-25T00:00:00"/>
    <n v="52"/>
    <n v="20.2"/>
    <x v="3"/>
    <x v="0"/>
    <s v="High Outlier"/>
  </r>
  <r>
    <s v="DEAL-00568"/>
    <x v="7"/>
    <s v="CLI-0197"/>
    <x v="4"/>
    <x v="2"/>
    <x v="2"/>
    <n v="370164"/>
    <d v="2023-07-07T00:00:00"/>
    <m/>
    <m/>
    <m/>
    <x v="1"/>
    <x v="6"/>
    <s v="Normal"/>
  </r>
  <r>
    <s v="DEAL-01801"/>
    <x v="13"/>
    <s v="CLI-0239"/>
    <x v="4"/>
    <x v="3"/>
    <x v="2"/>
    <n v="497944"/>
    <d v="2023-04-05T00:00:00"/>
    <m/>
    <m/>
    <n v="13.1"/>
    <x v="3"/>
    <x v="1"/>
    <s v="Normal"/>
  </r>
  <r>
    <s v="DEAL-01557"/>
    <x v="13"/>
    <s v="CLI-0006"/>
    <x v="3"/>
    <x v="7"/>
    <x v="2"/>
    <n v="96604"/>
    <d v="2023-01-09T00:00:00"/>
    <m/>
    <m/>
    <m/>
    <x v="1"/>
    <x v="2"/>
    <s v="Normal"/>
  </r>
  <r>
    <s v="DEAL-01022"/>
    <x v="14"/>
    <s v="CLI-0233"/>
    <x v="1"/>
    <x v="0"/>
    <x v="1"/>
    <n v="206837"/>
    <d v="2023-06-08T00:00:00"/>
    <m/>
    <m/>
    <n v="7.6"/>
    <x v="1"/>
    <x v="1"/>
    <s v="Normal"/>
  </r>
  <r>
    <s v="DEAL-00635"/>
    <x v="13"/>
    <s v="CLI-0197"/>
    <x v="2"/>
    <x v="0"/>
    <x v="2"/>
    <n v="291943"/>
    <d v="2024-12-01T00:00:00"/>
    <m/>
    <m/>
    <n v="13.1"/>
    <x v="1"/>
    <x v="3"/>
    <s v="Normal"/>
  </r>
  <r>
    <s v="DEAL-02494"/>
    <x v="2"/>
    <s v="CLI-0100"/>
    <x v="1"/>
    <x v="2"/>
    <x v="5"/>
    <n v="398419"/>
    <d v="2024-01-19T00:00:00"/>
    <m/>
    <m/>
    <n v="1.7"/>
    <x v="0"/>
    <x v="5"/>
    <s v="Normal"/>
  </r>
  <r>
    <s v="DEAL-01558"/>
    <x v="5"/>
    <s v="CLI-0176"/>
    <x v="1"/>
    <x v="2"/>
    <x v="2"/>
    <n v="489554"/>
    <d v="2023-05-26T00:00:00"/>
    <m/>
    <m/>
    <n v="12.7"/>
    <x v="2"/>
    <x v="1"/>
    <s v="Normal"/>
  </r>
  <r>
    <s v="DEAL-00841"/>
    <x v="2"/>
    <s v="CLI-0097"/>
    <x v="4"/>
    <x v="0"/>
    <x v="2"/>
    <n v="1906897"/>
    <d v="2024-04-03T00:00:00"/>
    <m/>
    <m/>
    <n v="11.7"/>
    <x v="1"/>
    <x v="7"/>
    <s v="High Outlier"/>
  </r>
  <r>
    <s v="DEAL-01537"/>
    <x v="11"/>
    <s v="CLI-0243"/>
    <x v="0"/>
    <x v="7"/>
    <x v="3"/>
    <n v="478781"/>
    <d v="2023-09-20T00:00:00"/>
    <d v="2024-01-30T00:00:00"/>
    <n v="132"/>
    <n v="21.8"/>
    <x v="1"/>
    <x v="6"/>
    <s v="Normal"/>
  </r>
  <r>
    <s v="DEAL-00993"/>
    <x v="13"/>
    <s v="CLI-0127"/>
    <x v="3"/>
    <x v="2"/>
    <x v="1"/>
    <n v="308588"/>
    <d v="2023-02-14T00:00:00"/>
    <m/>
    <m/>
    <m/>
    <x v="0"/>
    <x v="2"/>
    <s v="Normal"/>
  </r>
  <r>
    <s v="DEAL-01733"/>
    <x v="2"/>
    <s v="CLI-0228"/>
    <x v="5"/>
    <x v="1"/>
    <x v="3"/>
    <n v="15980"/>
    <d v="2024-01-24T00:00:00"/>
    <d v="2024-07-08T00:00:00"/>
    <n v="166"/>
    <n v="4.5"/>
    <x v="0"/>
    <x v="5"/>
    <s v="Normal"/>
  </r>
  <r>
    <s v="DEAL-00840"/>
    <x v="6"/>
    <s v="CLI-0263"/>
    <x v="5"/>
    <x v="5"/>
    <x v="2"/>
    <n v="67028"/>
    <d v="2024-05-11T00:00:00"/>
    <m/>
    <m/>
    <n v="6.4"/>
    <x v="1"/>
    <x v="7"/>
    <s v="Normal"/>
  </r>
  <r>
    <s v="DEAL-01226"/>
    <x v="7"/>
    <s v="CLI-0163"/>
    <x v="4"/>
    <x v="6"/>
    <x v="3"/>
    <n v="367690"/>
    <d v="2023-03-09T00:00:00"/>
    <d v="2023-07-13T00:00:00"/>
    <n v="126"/>
    <n v="3"/>
    <x v="2"/>
    <x v="2"/>
    <s v="Normal"/>
  </r>
  <r>
    <s v="DEAL-00719"/>
    <x v="0"/>
    <s v="CLI-0267"/>
    <x v="3"/>
    <x v="0"/>
    <x v="3"/>
    <n v="260754"/>
    <d v="2023-04-12T00:00:00"/>
    <d v="2023-06-10T00:00:00"/>
    <n v="59"/>
    <n v="15.8"/>
    <x v="3"/>
    <x v="1"/>
    <s v="Normal"/>
  </r>
  <r>
    <s v="DEAL-00398"/>
    <x v="7"/>
    <s v="CLI-0232"/>
    <x v="2"/>
    <x v="2"/>
    <x v="2"/>
    <n v="219684"/>
    <d v="2023-09-14T00:00:00"/>
    <m/>
    <m/>
    <n v="2.6"/>
    <x v="2"/>
    <x v="6"/>
    <s v="Normal"/>
  </r>
  <r>
    <s v="DEAL-02244"/>
    <x v="1"/>
    <s v="CLI-0273"/>
    <x v="2"/>
    <x v="4"/>
    <x v="5"/>
    <n v="79584"/>
    <d v="2024-11-30T00:00:00"/>
    <m/>
    <m/>
    <m/>
    <x v="1"/>
    <x v="3"/>
    <s v="Normal"/>
  </r>
  <r>
    <s v="DEAL-00768"/>
    <x v="9"/>
    <s v="CLI-0111"/>
    <x v="3"/>
    <x v="7"/>
    <x v="2"/>
    <n v="265272"/>
    <d v="2023-12-09T00:00:00"/>
    <m/>
    <m/>
    <n v="2.2000000000000002"/>
    <x v="1"/>
    <x v="0"/>
    <s v="Normal"/>
  </r>
  <r>
    <s v="DEAL-00213"/>
    <x v="15"/>
    <s v="CLI-0296"/>
    <x v="3"/>
    <x v="4"/>
    <x v="3"/>
    <n v="248777"/>
    <d v="2025-02-03T00:00:00"/>
    <d v="2025-03-30T00:00:00"/>
    <n v="55"/>
    <n v="9.1999999999999993"/>
    <x v="3"/>
    <x v="4"/>
    <s v="Normal"/>
  </r>
  <r>
    <s v="DEAL-02091"/>
    <x v="11"/>
    <s v="CLI-0143"/>
    <x v="5"/>
    <x v="7"/>
    <x v="2"/>
    <n v="393124"/>
    <d v="2023-07-20T00:00:00"/>
    <m/>
    <m/>
    <m/>
    <x v="2"/>
    <x v="6"/>
    <s v="Normal"/>
  </r>
  <r>
    <s v="DEAL-01255"/>
    <x v="10"/>
    <s v="CLI-0268"/>
    <x v="5"/>
    <x v="3"/>
    <x v="2"/>
    <n v="294276"/>
    <d v="2023-02-05T00:00:00"/>
    <m/>
    <m/>
    <m/>
    <x v="1"/>
    <x v="2"/>
    <s v="Normal"/>
  </r>
  <r>
    <s v="DEAL-02304"/>
    <x v="3"/>
    <s v="CLI-0176"/>
    <x v="4"/>
    <x v="7"/>
    <x v="3"/>
    <n v="109399"/>
    <d v="2023-08-09T00:00:00"/>
    <d v="2023-12-02T00:00:00"/>
    <n v="115"/>
    <n v="6.3"/>
    <x v="1"/>
    <x v="6"/>
    <s v="Normal"/>
  </r>
  <r>
    <s v="DEAL-02228"/>
    <x v="2"/>
    <s v="CLI-0150"/>
    <x v="1"/>
    <x v="1"/>
    <x v="4"/>
    <n v="82389"/>
    <d v="2024-10-26T00:00:00"/>
    <m/>
    <m/>
    <m/>
    <x v="3"/>
    <x v="3"/>
    <s v="Normal"/>
  </r>
  <r>
    <s v="DEAL-01113"/>
    <x v="11"/>
    <s v="CLI-0023"/>
    <x v="4"/>
    <x v="3"/>
    <x v="1"/>
    <n v="468848"/>
    <d v="2024-02-24T00:00:00"/>
    <m/>
    <m/>
    <n v="0.3"/>
    <x v="1"/>
    <x v="5"/>
    <s v="Normal"/>
  </r>
  <r>
    <s v="DEAL-00295"/>
    <x v="4"/>
    <s v="CLI-0020"/>
    <x v="0"/>
    <x v="2"/>
    <x v="3"/>
    <n v="355440"/>
    <d v="2024-06-11T00:00:00"/>
    <d v="2024-10-09T00:00:00"/>
    <n v="120"/>
    <n v="0.1"/>
    <x v="2"/>
    <x v="7"/>
    <s v="Normal"/>
  </r>
  <r>
    <s v="DEAL-00731"/>
    <x v="6"/>
    <s v="CLI-0143"/>
    <x v="4"/>
    <x v="3"/>
    <x v="1"/>
    <n v="187002"/>
    <d v="2025-01-06T00:00:00"/>
    <m/>
    <m/>
    <n v="4.2"/>
    <x v="1"/>
    <x v="4"/>
    <s v="Normal"/>
  </r>
  <r>
    <s v="DEAL-00483"/>
    <x v="15"/>
    <s v="CLI-0055"/>
    <x v="0"/>
    <x v="0"/>
    <x v="3"/>
    <n v="356622"/>
    <d v="2024-10-03T00:00:00"/>
    <d v="2024-10-27T00:00:00"/>
    <n v="24"/>
    <n v="15.7"/>
    <x v="1"/>
    <x v="3"/>
    <s v="Normal"/>
  </r>
  <r>
    <s v="DEAL-02049"/>
    <x v="8"/>
    <s v="CLI-0095"/>
    <x v="4"/>
    <x v="0"/>
    <x v="3"/>
    <n v="214485"/>
    <d v="2024-09-10T00:00:00"/>
    <d v="2024-11-12T00:00:00"/>
    <n v="63"/>
    <n v="19.399999999999999"/>
    <x v="1"/>
    <x v="8"/>
    <s v="Normal"/>
  </r>
  <r>
    <s v="DEAL-01246"/>
    <x v="5"/>
    <s v="CLI-0199"/>
    <x v="3"/>
    <x v="5"/>
    <x v="4"/>
    <n v="481066"/>
    <d v="2024-02-28T00:00:00"/>
    <m/>
    <m/>
    <n v="14.9"/>
    <x v="3"/>
    <x v="5"/>
    <s v="Normal"/>
  </r>
  <r>
    <s v="DEAL-00364"/>
    <x v="7"/>
    <s v="CLI-0042"/>
    <x v="0"/>
    <x v="4"/>
    <x v="4"/>
    <n v="471980"/>
    <d v="2024-09-10T00:00:00"/>
    <m/>
    <m/>
    <n v="11.3"/>
    <x v="3"/>
    <x v="8"/>
    <s v="Normal"/>
  </r>
  <r>
    <s v="DEAL-02495"/>
    <x v="1"/>
    <s v="CLI-0135"/>
    <x v="0"/>
    <x v="2"/>
    <x v="3"/>
    <n v="202007"/>
    <d v="2024-04-17T00:00:00"/>
    <d v="2024-09-22T00:00:00"/>
    <n v="158"/>
    <n v="23.5"/>
    <x v="1"/>
    <x v="7"/>
    <s v="Normal"/>
  </r>
  <r>
    <s v="DEAL-01121"/>
    <x v="5"/>
    <s v="CLI-0214"/>
    <x v="2"/>
    <x v="4"/>
    <x v="5"/>
    <n v="273804"/>
    <d v="2023-12-27T00:00:00"/>
    <m/>
    <m/>
    <n v="14.5"/>
    <x v="1"/>
    <x v="0"/>
    <s v="Normal"/>
  </r>
  <r>
    <s v="DEAL-00303"/>
    <x v="8"/>
    <s v="CLI-0076"/>
    <x v="0"/>
    <x v="0"/>
    <x v="5"/>
    <n v="248962"/>
    <d v="2023-10-18T00:00:00"/>
    <m/>
    <m/>
    <n v="2.2000000000000002"/>
    <x v="3"/>
    <x v="0"/>
    <s v="Normal"/>
  </r>
  <r>
    <s v="DEAL-02438"/>
    <x v="14"/>
    <s v="CLI-0263"/>
    <x v="2"/>
    <x v="3"/>
    <x v="2"/>
    <n v="444743"/>
    <d v="2024-04-08T00:00:00"/>
    <m/>
    <m/>
    <n v="7.4"/>
    <x v="1"/>
    <x v="7"/>
    <s v="Normal"/>
  </r>
  <r>
    <s v="DEAL-01366"/>
    <x v="12"/>
    <s v="CLI-0241"/>
    <x v="5"/>
    <x v="8"/>
    <x v="2"/>
    <n v="230330"/>
    <d v="2024-08-05T00:00:00"/>
    <m/>
    <m/>
    <n v="13.9"/>
    <x v="0"/>
    <x v="8"/>
    <s v="Normal"/>
  </r>
  <r>
    <s v="DEAL-00012"/>
    <x v="12"/>
    <s v="CLI-0041"/>
    <x v="3"/>
    <x v="2"/>
    <x v="4"/>
    <n v="302736"/>
    <d v="2025-02-13T00:00:00"/>
    <m/>
    <m/>
    <n v="5.2"/>
    <x v="1"/>
    <x v="4"/>
    <s v="Normal"/>
  </r>
  <r>
    <s v="DEAL-01581"/>
    <x v="3"/>
    <s v="CLI-0277"/>
    <x v="5"/>
    <x v="5"/>
    <x v="2"/>
    <n v="133756"/>
    <d v="2025-02-28T00:00:00"/>
    <m/>
    <m/>
    <m/>
    <x v="3"/>
    <x v="4"/>
    <s v="Normal"/>
  </r>
  <r>
    <s v="DEAL-00896"/>
    <x v="14"/>
    <s v="CLI-0238"/>
    <x v="1"/>
    <x v="0"/>
    <x v="3"/>
    <n v="215780"/>
    <d v="2023-07-06T00:00:00"/>
    <d v="2023-11-10T00:00:00"/>
    <n v="127"/>
    <n v="16.100000000000001"/>
    <x v="1"/>
    <x v="6"/>
    <s v="Normal"/>
  </r>
  <r>
    <s v="DEAL-00053"/>
    <x v="8"/>
    <s v="CLI-0206"/>
    <x v="2"/>
    <x v="0"/>
    <x v="3"/>
    <n v="330892"/>
    <d v="2024-08-08T00:00:00"/>
    <d v="2025-01-31T00:00:00"/>
    <n v="176"/>
    <n v="2.2000000000000002"/>
    <x v="2"/>
    <x v="8"/>
    <s v="Normal"/>
  </r>
  <r>
    <s v="DEAL-01369"/>
    <x v="5"/>
    <s v="CLI-0132"/>
    <x v="2"/>
    <x v="3"/>
    <x v="5"/>
    <n v="335174"/>
    <d v="2023-11-18T00:00:00"/>
    <m/>
    <m/>
    <m/>
    <x v="1"/>
    <x v="0"/>
    <s v="Normal"/>
  </r>
  <r>
    <s v="DEAL-01005"/>
    <x v="10"/>
    <s v="CLI-0216"/>
    <x v="1"/>
    <x v="7"/>
    <x v="2"/>
    <n v="476929"/>
    <d v="2023-02-02T00:00:00"/>
    <m/>
    <m/>
    <m/>
    <x v="0"/>
    <x v="2"/>
    <s v="Normal"/>
  </r>
  <r>
    <s v="DEAL-01140"/>
    <x v="2"/>
    <s v="CLI-0007"/>
    <x v="1"/>
    <x v="1"/>
    <x v="4"/>
    <n v="460477"/>
    <d v="2024-02-20T00:00:00"/>
    <m/>
    <m/>
    <n v="1.7"/>
    <x v="0"/>
    <x v="5"/>
    <s v="Normal"/>
  </r>
  <r>
    <s v="DEAL-00662"/>
    <x v="1"/>
    <s v="CLI-0020"/>
    <x v="2"/>
    <x v="1"/>
    <x v="4"/>
    <n v="191529"/>
    <d v="2024-07-19T00:00:00"/>
    <m/>
    <m/>
    <m/>
    <x v="3"/>
    <x v="8"/>
    <s v="Normal"/>
  </r>
  <r>
    <s v="DEAL-01120"/>
    <x v="12"/>
    <s v="CLI-0031"/>
    <x v="5"/>
    <x v="5"/>
    <x v="1"/>
    <n v="481258"/>
    <d v="2024-06-19T00:00:00"/>
    <m/>
    <m/>
    <n v="1.5"/>
    <x v="2"/>
    <x v="7"/>
    <s v="Normal"/>
  </r>
  <r>
    <s v="DEAL-02277"/>
    <x v="2"/>
    <s v="CLI-0201"/>
    <x v="5"/>
    <x v="7"/>
    <x v="0"/>
    <n v="194080"/>
    <d v="2025-03-25T00:00:00"/>
    <d v="2025-08-10T00:00:00"/>
    <n v="138"/>
    <n v="12.5"/>
    <x v="3"/>
    <x v="4"/>
    <s v="Normal"/>
  </r>
  <r>
    <s v="DEAL-00266"/>
    <x v="14"/>
    <s v="CLI-0135"/>
    <x v="5"/>
    <x v="4"/>
    <x v="0"/>
    <n v="50125"/>
    <d v="2024-05-31T00:00:00"/>
    <d v="2024-09-06T00:00:00"/>
    <n v="98"/>
    <m/>
    <x v="3"/>
    <x v="7"/>
    <s v="Normal"/>
  </r>
  <r>
    <s v="DEAL-00741"/>
    <x v="12"/>
    <s v="CLI-0169"/>
    <x v="0"/>
    <x v="2"/>
    <x v="0"/>
    <n v="479196"/>
    <d v="2023-01-18T00:00:00"/>
    <d v="2023-03-24T00:00:00"/>
    <n v="65"/>
    <n v="1.2"/>
    <x v="2"/>
    <x v="2"/>
    <s v="Normal"/>
  </r>
  <r>
    <s v="DEAL-01781"/>
    <x v="6"/>
    <s v="CLI-0263"/>
    <x v="2"/>
    <x v="1"/>
    <x v="1"/>
    <n v="438500"/>
    <d v="2024-03-06T00:00:00"/>
    <m/>
    <m/>
    <m/>
    <x v="2"/>
    <x v="5"/>
    <s v="Normal"/>
  </r>
  <r>
    <s v="DEAL-01419"/>
    <x v="6"/>
    <s v="CLI-0286"/>
    <x v="4"/>
    <x v="6"/>
    <x v="4"/>
    <n v="404059"/>
    <d v="2023-08-12T00:00:00"/>
    <m/>
    <m/>
    <n v="1"/>
    <x v="2"/>
    <x v="6"/>
    <s v="Normal"/>
  </r>
  <r>
    <s v="DEAL-02371"/>
    <x v="15"/>
    <s v="CLI-0274"/>
    <x v="4"/>
    <x v="1"/>
    <x v="5"/>
    <n v="327322"/>
    <d v="2024-11-19T00:00:00"/>
    <m/>
    <m/>
    <n v="8"/>
    <x v="2"/>
    <x v="3"/>
    <s v="Normal"/>
  </r>
  <r>
    <s v="DEAL-00318"/>
    <x v="9"/>
    <s v="CLI-0122"/>
    <x v="3"/>
    <x v="1"/>
    <x v="0"/>
    <n v="237345"/>
    <d v="2024-09-10T00:00:00"/>
    <d v="2024-11-27T00:00:00"/>
    <n v="78"/>
    <m/>
    <x v="0"/>
    <x v="8"/>
    <s v="Normal"/>
  </r>
  <r>
    <s v="DEAL-01576"/>
    <x v="9"/>
    <s v="CLI-0142"/>
    <x v="5"/>
    <x v="2"/>
    <x v="5"/>
    <n v="241772"/>
    <d v="2023-12-21T00:00:00"/>
    <m/>
    <m/>
    <n v="12.8"/>
    <x v="3"/>
    <x v="0"/>
    <s v="Normal"/>
  </r>
  <r>
    <s v="DEAL-01229"/>
    <x v="11"/>
    <s v="CLI-0117"/>
    <x v="3"/>
    <x v="3"/>
    <x v="1"/>
    <n v="488609"/>
    <d v="2024-03-11T00:00:00"/>
    <m/>
    <m/>
    <n v="9"/>
    <x v="3"/>
    <x v="5"/>
    <s v="Normal"/>
  </r>
  <r>
    <s v="DEAL-01143"/>
    <x v="0"/>
    <s v="CLI-0195"/>
    <x v="0"/>
    <x v="0"/>
    <x v="5"/>
    <n v="290135"/>
    <d v="2023-07-19T00:00:00"/>
    <m/>
    <m/>
    <m/>
    <x v="3"/>
    <x v="6"/>
    <s v="Normal"/>
  </r>
  <r>
    <s v="DEAL-00689"/>
    <x v="7"/>
    <s v="CLI-0052"/>
    <x v="4"/>
    <x v="7"/>
    <x v="5"/>
    <n v="361085"/>
    <d v="2024-02-29T00:00:00"/>
    <m/>
    <m/>
    <m/>
    <x v="3"/>
    <x v="5"/>
    <s v="Normal"/>
  </r>
  <r>
    <s v="DEAL-00747"/>
    <x v="1"/>
    <s v="CLI-0147"/>
    <x v="1"/>
    <x v="5"/>
    <x v="3"/>
    <n v="168320"/>
    <d v="2023-05-26T00:00:00"/>
    <d v="2023-06-14T00:00:00"/>
    <n v="19"/>
    <n v="22.6"/>
    <x v="2"/>
    <x v="1"/>
    <s v="Normal"/>
  </r>
  <r>
    <s v="DEAL-01365"/>
    <x v="7"/>
    <s v="CLI-0245"/>
    <x v="4"/>
    <x v="3"/>
    <x v="3"/>
    <n v="424756"/>
    <d v="2025-01-15T00:00:00"/>
    <d v="2025-02-12T00:00:00"/>
    <n v="28"/>
    <n v="12.4"/>
    <x v="3"/>
    <x v="4"/>
    <s v="Normal"/>
  </r>
  <r>
    <s v="DEAL-02430"/>
    <x v="10"/>
    <s v="CLI-0107"/>
    <x v="2"/>
    <x v="0"/>
    <x v="5"/>
    <n v="177890"/>
    <d v="2024-03-27T00:00:00"/>
    <m/>
    <m/>
    <n v="13.8"/>
    <x v="2"/>
    <x v="5"/>
    <s v="Normal"/>
  </r>
  <r>
    <s v="DEAL-00969"/>
    <x v="10"/>
    <s v="CLI-0158"/>
    <x v="0"/>
    <x v="7"/>
    <x v="2"/>
    <n v="442984"/>
    <d v="2024-07-01T00:00:00"/>
    <m/>
    <m/>
    <n v="13.2"/>
    <x v="0"/>
    <x v="8"/>
    <s v="Normal"/>
  </r>
  <r>
    <s v="DEAL-01812"/>
    <x v="12"/>
    <s v="CLI-0057"/>
    <x v="4"/>
    <x v="4"/>
    <x v="2"/>
    <n v="411195"/>
    <d v="2024-10-31T00:00:00"/>
    <m/>
    <m/>
    <n v="7.2"/>
    <x v="2"/>
    <x v="3"/>
    <s v="Normal"/>
  </r>
  <r>
    <s v="DEAL-01542"/>
    <x v="14"/>
    <s v="CLI-0151"/>
    <x v="1"/>
    <x v="3"/>
    <x v="5"/>
    <n v="370598"/>
    <d v="2024-10-21T00:00:00"/>
    <m/>
    <m/>
    <n v="6"/>
    <x v="2"/>
    <x v="3"/>
    <s v="Normal"/>
  </r>
  <r>
    <s v="DEAL-00848"/>
    <x v="11"/>
    <s v="CLI-0033"/>
    <x v="3"/>
    <x v="1"/>
    <x v="3"/>
    <n v="325831"/>
    <d v="2024-10-27T00:00:00"/>
    <d v="2025-01-12T00:00:00"/>
    <n v="77"/>
    <n v="13"/>
    <x v="3"/>
    <x v="3"/>
    <s v="Normal"/>
  </r>
  <r>
    <s v="DEAL-01917"/>
    <x v="1"/>
    <s v="CLI-0060"/>
    <x v="0"/>
    <x v="6"/>
    <x v="2"/>
    <n v="195408"/>
    <d v="2024-12-26T00:00:00"/>
    <m/>
    <m/>
    <m/>
    <x v="3"/>
    <x v="3"/>
    <s v="Normal"/>
  </r>
  <r>
    <s v="DEAL-02139"/>
    <x v="2"/>
    <s v="CLI-0091"/>
    <x v="0"/>
    <x v="1"/>
    <x v="2"/>
    <n v="230718"/>
    <d v="2023-05-23T00:00:00"/>
    <m/>
    <m/>
    <n v="13.4"/>
    <x v="0"/>
    <x v="1"/>
    <s v="Normal"/>
  </r>
  <r>
    <s v="DEAL-01851"/>
    <x v="9"/>
    <s v="CLI-0008"/>
    <x v="4"/>
    <x v="1"/>
    <x v="5"/>
    <n v="297439"/>
    <d v="2024-04-11T00:00:00"/>
    <m/>
    <m/>
    <n v="9.6999999999999993"/>
    <x v="1"/>
    <x v="7"/>
    <s v="Normal"/>
  </r>
  <r>
    <s v="DEAL-00130"/>
    <x v="14"/>
    <s v="CLI-0183"/>
    <x v="0"/>
    <x v="7"/>
    <x v="5"/>
    <n v="397897"/>
    <d v="2023-01-28T00:00:00"/>
    <m/>
    <m/>
    <m/>
    <x v="2"/>
    <x v="2"/>
    <s v="Normal"/>
  </r>
  <r>
    <s v="DEAL-02448"/>
    <x v="10"/>
    <s v="CLI-0076"/>
    <x v="2"/>
    <x v="4"/>
    <x v="2"/>
    <n v="358700"/>
    <d v="2024-11-18T00:00:00"/>
    <m/>
    <m/>
    <m/>
    <x v="0"/>
    <x v="3"/>
    <s v="Normal"/>
  </r>
  <r>
    <s v="DEAL-01324"/>
    <x v="6"/>
    <s v="CLI-0069"/>
    <x v="4"/>
    <x v="8"/>
    <x v="5"/>
    <n v="261811"/>
    <d v="2025-02-21T00:00:00"/>
    <m/>
    <m/>
    <n v="9.8000000000000007"/>
    <x v="2"/>
    <x v="4"/>
    <s v="Normal"/>
  </r>
  <r>
    <s v="DEAL-01281"/>
    <x v="14"/>
    <s v="CLI-0281"/>
    <x v="0"/>
    <x v="4"/>
    <x v="5"/>
    <n v="981493"/>
    <d v="2024-05-21T00:00:00"/>
    <m/>
    <m/>
    <n v="9.3000000000000007"/>
    <x v="1"/>
    <x v="7"/>
    <s v="High Outlier"/>
  </r>
  <r>
    <s v="DEAL-01435"/>
    <x v="14"/>
    <s v="CLI-0226"/>
    <x v="0"/>
    <x v="1"/>
    <x v="4"/>
    <n v="257410"/>
    <d v="2023-12-31T00:00:00"/>
    <m/>
    <m/>
    <n v="6.1"/>
    <x v="2"/>
    <x v="0"/>
    <s v="Normal"/>
  </r>
  <r>
    <s v="DEAL-00354"/>
    <x v="6"/>
    <s v="CLI-0053"/>
    <x v="3"/>
    <x v="1"/>
    <x v="3"/>
    <n v="128428"/>
    <d v="2024-12-01T00:00:00"/>
    <d v="2025-03-24T00:00:00"/>
    <n v="113"/>
    <n v="17.899999999999999"/>
    <x v="3"/>
    <x v="3"/>
    <s v="Normal"/>
  </r>
  <r>
    <s v="DEAL-00545"/>
    <x v="9"/>
    <s v="CLI-0249"/>
    <x v="5"/>
    <x v="6"/>
    <x v="2"/>
    <n v="411048"/>
    <d v="2023-10-18T00:00:00"/>
    <m/>
    <m/>
    <n v="8.3000000000000007"/>
    <x v="1"/>
    <x v="0"/>
    <s v="Normal"/>
  </r>
  <r>
    <s v="DEAL-01078"/>
    <x v="14"/>
    <s v="CLI-0242"/>
    <x v="2"/>
    <x v="1"/>
    <x v="2"/>
    <n v="456497"/>
    <d v="2023-07-17T00:00:00"/>
    <m/>
    <m/>
    <n v="4.3"/>
    <x v="0"/>
    <x v="6"/>
    <s v="Normal"/>
  </r>
  <r>
    <s v="DEAL-00139"/>
    <x v="10"/>
    <s v="CLI-0090"/>
    <x v="3"/>
    <x v="0"/>
    <x v="4"/>
    <n v="194304"/>
    <d v="2023-05-30T00:00:00"/>
    <m/>
    <m/>
    <n v="12.7"/>
    <x v="2"/>
    <x v="1"/>
    <s v="Normal"/>
  </r>
  <r>
    <s v="DEAL-01714"/>
    <x v="3"/>
    <s v="CLI-0146"/>
    <x v="3"/>
    <x v="2"/>
    <x v="2"/>
    <n v="398215"/>
    <d v="2023-01-03T00:00:00"/>
    <m/>
    <m/>
    <n v="7.2"/>
    <x v="3"/>
    <x v="2"/>
    <s v="Normal"/>
  </r>
  <r>
    <s v="DEAL-01520"/>
    <x v="10"/>
    <s v="CLI-0199"/>
    <x v="1"/>
    <x v="2"/>
    <x v="3"/>
    <n v="127314"/>
    <d v="2025-01-02T00:00:00"/>
    <d v="2025-02-28T00:00:00"/>
    <n v="57"/>
    <n v="19.8"/>
    <x v="0"/>
    <x v="4"/>
    <s v="Normal"/>
  </r>
  <r>
    <s v="DEAL-01420"/>
    <x v="7"/>
    <s v="CLI-0131"/>
    <x v="0"/>
    <x v="5"/>
    <x v="3"/>
    <n v="264786"/>
    <d v="2024-01-20T00:00:00"/>
    <d v="2024-04-11T00:00:00"/>
    <n v="82"/>
    <n v="7.5"/>
    <x v="3"/>
    <x v="5"/>
    <s v="Normal"/>
  </r>
  <r>
    <s v="DEAL-02358"/>
    <x v="0"/>
    <s v="CLI-0129"/>
    <x v="4"/>
    <x v="1"/>
    <x v="1"/>
    <n v="337176"/>
    <d v="2024-02-22T00:00:00"/>
    <m/>
    <m/>
    <n v="4.0999999999999996"/>
    <x v="1"/>
    <x v="5"/>
    <s v="Normal"/>
  </r>
  <r>
    <s v="DEAL-01840"/>
    <x v="5"/>
    <s v="CLI-0075"/>
    <x v="1"/>
    <x v="7"/>
    <x v="0"/>
    <n v="302877"/>
    <d v="2024-04-22T00:00:00"/>
    <d v="2024-07-03T00:00:00"/>
    <n v="72"/>
    <m/>
    <x v="3"/>
    <x v="7"/>
    <s v="Normal"/>
  </r>
  <r>
    <s v="DEAL-01024"/>
    <x v="0"/>
    <s v="CLI-0153"/>
    <x v="1"/>
    <x v="5"/>
    <x v="1"/>
    <n v="56494"/>
    <d v="2024-05-13T00:00:00"/>
    <m/>
    <m/>
    <n v="14.8"/>
    <x v="1"/>
    <x v="7"/>
    <s v="Normal"/>
  </r>
  <r>
    <s v="DEAL-00737"/>
    <x v="2"/>
    <s v="CLI-0105"/>
    <x v="2"/>
    <x v="2"/>
    <x v="0"/>
    <n v="369919"/>
    <d v="2023-09-07T00:00:00"/>
    <d v="2024-03-05T00:00:00"/>
    <n v="180"/>
    <n v="6.8"/>
    <x v="0"/>
    <x v="6"/>
    <s v="Normal"/>
  </r>
  <r>
    <s v="DEAL-02338"/>
    <x v="3"/>
    <s v="CLI-0221"/>
    <x v="1"/>
    <x v="1"/>
    <x v="4"/>
    <n v="459382"/>
    <d v="2024-11-20T00:00:00"/>
    <m/>
    <m/>
    <n v="0.2"/>
    <x v="3"/>
    <x v="3"/>
    <s v="Normal"/>
  </r>
  <r>
    <s v="DEAL-00589"/>
    <x v="10"/>
    <s v="CLI-0136"/>
    <x v="3"/>
    <x v="8"/>
    <x v="5"/>
    <n v="170466"/>
    <d v="2024-01-18T00:00:00"/>
    <m/>
    <m/>
    <m/>
    <x v="2"/>
    <x v="5"/>
    <s v="Normal"/>
  </r>
  <r>
    <s v="DEAL-01098"/>
    <x v="14"/>
    <s v="CLI-0229"/>
    <x v="1"/>
    <x v="7"/>
    <x v="4"/>
    <n v="302320"/>
    <d v="2023-06-17T00:00:00"/>
    <m/>
    <m/>
    <n v="0.3"/>
    <x v="1"/>
    <x v="1"/>
    <s v="Normal"/>
  </r>
  <r>
    <s v="DEAL-02383"/>
    <x v="3"/>
    <s v="CLI-0117"/>
    <x v="2"/>
    <x v="4"/>
    <x v="3"/>
    <n v="432261"/>
    <d v="2023-09-09T00:00:00"/>
    <d v="2023-11-14T00:00:00"/>
    <n v="66"/>
    <n v="18.399999999999999"/>
    <x v="1"/>
    <x v="6"/>
    <s v="Normal"/>
  </r>
  <r>
    <s v="DEAL-01553"/>
    <x v="6"/>
    <s v="CLI-0211"/>
    <x v="5"/>
    <x v="6"/>
    <x v="2"/>
    <n v="468226"/>
    <d v="2024-11-13T00:00:00"/>
    <m/>
    <m/>
    <m/>
    <x v="1"/>
    <x v="3"/>
    <s v="Normal"/>
  </r>
  <r>
    <s v="DEAL-00890"/>
    <x v="11"/>
    <s v="CLI-0143"/>
    <x v="1"/>
    <x v="6"/>
    <x v="5"/>
    <n v="105498"/>
    <d v="2023-10-18T00:00:00"/>
    <m/>
    <m/>
    <n v="4.5"/>
    <x v="0"/>
    <x v="0"/>
    <s v="Normal"/>
  </r>
  <r>
    <s v="DEAL-02218"/>
    <x v="2"/>
    <s v="CLI-0084"/>
    <x v="4"/>
    <x v="2"/>
    <x v="3"/>
    <n v="491503"/>
    <d v="2024-08-30T00:00:00"/>
    <d v="2024-12-28T00:00:00"/>
    <n v="120"/>
    <n v="17.5"/>
    <x v="1"/>
    <x v="8"/>
    <s v="Normal"/>
  </r>
  <r>
    <s v="DEAL-01910"/>
    <x v="11"/>
    <s v="CLI-0276"/>
    <x v="2"/>
    <x v="7"/>
    <x v="0"/>
    <n v="133522"/>
    <d v="2023-04-29T00:00:00"/>
    <d v="2023-10-17T00:00:00"/>
    <n v="171"/>
    <n v="2"/>
    <x v="1"/>
    <x v="1"/>
    <s v="Normal"/>
  </r>
  <r>
    <s v="DEAL-00041"/>
    <x v="8"/>
    <s v="CLI-0155"/>
    <x v="2"/>
    <x v="2"/>
    <x v="5"/>
    <n v="95871"/>
    <d v="2023-02-03T00:00:00"/>
    <m/>
    <m/>
    <n v="6.1"/>
    <x v="2"/>
    <x v="2"/>
    <s v="Normal"/>
  </r>
  <r>
    <s v="DEAL-00862"/>
    <x v="14"/>
    <s v="CLI-0233"/>
    <x v="4"/>
    <x v="5"/>
    <x v="0"/>
    <n v="398453"/>
    <d v="2024-11-14T00:00:00"/>
    <d v="2025-04-09T00:00:00"/>
    <n v="146"/>
    <m/>
    <x v="1"/>
    <x v="3"/>
    <s v="Normal"/>
  </r>
  <r>
    <s v="DEAL-00537"/>
    <x v="0"/>
    <s v="CLI-0114"/>
    <x v="4"/>
    <x v="4"/>
    <x v="4"/>
    <n v="85835"/>
    <d v="2024-03-17T00:00:00"/>
    <m/>
    <m/>
    <n v="13.4"/>
    <x v="0"/>
    <x v="5"/>
    <s v="Normal"/>
  </r>
  <r>
    <s v="DEAL-00965"/>
    <x v="3"/>
    <s v="CLI-0138"/>
    <x v="2"/>
    <x v="6"/>
    <x v="3"/>
    <n v="137347"/>
    <d v="2024-10-22T00:00:00"/>
    <d v="2025-04-19T00:00:00"/>
    <n v="179"/>
    <n v="4.2"/>
    <x v="1"/>
    <x v="3"/>
    <s v="Normal"/>
  </r>
  <r>
    <s v="DEAL-02142"/>
    <x v="0"/>
    <s v="CLI-0105"/>
    <x v="4"/>
    <x v="1"/>
    <x v="2"/>
    <n v="157784"/>
    <d v="2024-12-18T00:00:00"/>
    <m/>
    <m/>
    <m/>
    <x v="0"/>
    <x v="3"/>
    <s v="Normal"/>
  </r>
  <r>
    <s v="DEAL-01172"/>
    <x v="7"/>
    <s v="CLI-0122"/>
    <x v="4"/>
    <x v="5"/>
    <x v="5"/>
    <n v="217564"/>
    <d v="2023-09-28T00:00:00"/>
    <m/>
    <m/>
    <n v="11.8"/>
    <x v="2"/>
    <x v="6"/>
    <s v="Normal"/>
  </r>
  <r>
    <s v="DEAL-02251"/>
    <x v="4"/>
    <s v="CLI-0148"/>
    <x v="3"/>
    <x v="2"/>
    <x v="1"/>
    <n v="483224"/>
    <d v="2023-09-12T00:00:00"/>
    <m/>
    <m/>
    <m/>
    <x v="1"/>
    <x v="6"/>
    <s v="Normal"/>
  </r>
  <r>
    <s v="DEAL-00801"/>
    <x v="7"/>
    <s v="CLI-0049"/>
    <x v="1"/>
    <x v="1"/>
    <x v="1"/>
    <n v="257387"/>
    <d v="2023-09-08T00:00:00"/>
    <m/>
    <m/>
    <n v="4.9000000000000004"/>
    <x v="2"/>
    <x v="6"/>
    <s v="Normal"/>
  </r>
  <r>
    <s v="DEAL-01892"/>
    <x v="5"/>
    <s v="CLI-0103"/>
    <x v="1"/>
    <x v="7"/>
    <x v="5"/>
    <n v="283835"/>
    <d v="2024-12-20T00:00:00"/>
    <m/>
    <m/>
    <m/>
    <x v="0"/>
    <x v="3"/>
    <s v="Normal"/>
  </r>
  <r>
    <s v="DEAL-00435"/>
    <x v="0"/>
    <s v="CLI-0282"/>
    <x v="0"/>
    <x v="2"/>
    <x v="0"/>
    <n v="333568"/>
    <d v="2023-05-30T00:00:00"/>
    <d v="2023-11-23T00:00:00"/>
    <n v="177"/>
    <n v="2.1"/>
    <x v="1"/>
    <x v="1"/>
    <s v="Normal"/>
  </r>
  <r>
    <s v="DEAL-00215"/>
    <x v="10"/>
    <s v="CLI-0295"/>
    <x v="0"/>
    <x v="0"/>
    <x v="4"/>
    <n v="397795"/>
    <d v="2023-05-06T00:00:00"/>
    <m/>
    <m/>
    <m/>
    <x v="3"/>
    <x v="1"/>
    <s v="Normal"/>
  </r>
  <r>
    <s v="DEAL-02484"/>
    <x v="1"/>
    <s v="CLI-0222"/>
    <x v="5"/>
    <x v="2"/>
    <x v="0"/>
    <n v="132166"/>
    <d v="2023-04-07T00:00:00"/>
    <d v="2023-04-30T00:00:00"/>
    <n v="23"/>
    <m/>
    <x v="2"/>
    <x v="1"/>
    <s v="Normal"/>
  </r>
  <r>
    <s v="DEAL-01872"/>
    <x v="5"/>
    <s v="CLI-0242"/>
    <x v="4"/>
    <x v="0"/>
    <x v="3"/>
    <n v="174607"/>
    <d v="2024-12-12T00:00:00"/>
    <d v="2025-04-21T00:00:00"/>
    <n v="130"/>
    <n v="1"/>
    <x v="1"/>
    <x v="3"/>
    <s v="Normal"/>
  </r>
  <r>
    <s v="DEAL-02155"/>
    <x v="8"/>
    <s v="CLI-0209"/>
    <x v="2"/>
    <x v="2"/>
    <x v="3"/>
    <n v="456241"/>
    <d v="2023-02-20T00:00:00"/>
    <d v="2023-03-28T00:00:00"/>
    <n v="36"/>
    <n v="14.7"/>
    <x v="1"/>
    <x v="2"/>
    <s v="Normal"/>
  </r>
  <r>
    <s v="DEAL-02044"/>
    <x v="9"/>
    <s v="CLI-0223"/>
    <x v="3"/>
    <x v="6"/>
    <x v="2"/>
    <n v="252831"/>
    <d v="2024-09-23T00:00:00"/>
    <m/>
    <m/>
    <n v="11.3"/>
    <x v="1"/>
    <x v="8"/>
    <s v="Normal"/>
  </r>
  <r>
    <s v="DEAL-00261"/>
    <x v="14"/>
    <s v="CLI-0077"/>
    <x v="0"/>
    <x v="3"/>
    <x v="4"/>
    <n v="460734"/>
    <d v="2024-02-05T00:00:00"/>
    <m/>
    <m/>
    <m/>
    <x v="0"/>
    <x v="5"/>
    <s v="Normal"/>
  </r>
  <r>
    <s v="DEAL-01346"/>
    <x v="8"/>
    <s v="CLI-0105"/>
    <x v="4"/>
    <x v="5"/>
    <x v="0"/>
    <n v="31841"/>
    <d v="2025-01-03T00:00:00"/>
    <d v="2025-06-03T00:00:00"/>
    <n v="151"/>
    <n v="2"/>
    <x v="2"/>
    <x v="4"/>
    <s v="Normal"/>
  </r>
  <r>
    <s v="DEAL-00102"/>
    <x v="15"/>
    <s v="CLI-0172"/>
    <x v="3"/>
    <x v="5"/>
    <x v="3"/>
    <n v="284248"/>
    <d v="2023-09-02T00:00:00"/>
    <d v="2023-10-31T00:00:00"/>
    <n v="59"/>
    <n v="0.9"/>
    <x v="1"/>
    <x v="6"/>
    <s v="Normal"/>
  </r>
  <r>
    <s v="DEAL-00020"/>
    <x v="7"/>
    <s v="CLI-0296"/>
    <x v="1"/>
    <x v="6"/>
    <x v="0"/>
    <n v="97456"/>
    <d v="2024-07-17T00:00:00"/>
    <d v="2024-11-11T00:00:00"/>
    <n v="117"/>
    <n v="9.9"/>
    <x v="0"/>
    <x v="8"/>
    <s v="Normal"/>
  </r>
  <r>
    <s v="DEAL-00980"/>
    <x v="6"/>
    <s v="CLI-0031"/>
    <x v="0"/>
    <x v="4"/>
    <x v="3"/>
    <n v="379140"/>
    <d v="2023-08-19T00:00:00"/>
    <d v="2023-11-14T00:00:00"/>
    <n v="87"/>
    <n v="11.2"/>
    <x v="2"/>
    <x v="6"/>
    <s v="Normal"/>
  </r>
  <r>
    <s v="DEAL-00375"/>
    <x v="14"/>
    <s v="CLI-0241"/>
    <x v="5"/>
    <x v="1"/>
    <x v="2"/>
    <n v="367669"/>
    <d v="2024-04-05T00:00:00"/>
    <m/>
    <m/>
    <n v="3.9"/>
    <x v="3"/>
    <x v="7"/>
    <s v="Normal"/>
  </r>
  <r>
    <s v="DEAL-01125"/>
    <x v="13"/>
    <s v="CLI-0181"/>
    <x v="4"/>
    <x v="2"/>
    <x v="2"/>
    <n v="366366"/>
    <d v="2024-07-26T00:00:00"/>
    <m/>
    <m/>
    <n v="5.3"/>
    <x v="2"/>
    <x v="8"/>
    <s v="Normal"/>
  </r>
  <r>
    <s v="DEAL-01894"/>
    <x v="9"/>
    <s v="CLI-0232"/>
    <x v="2"/>
    <x v="4"/>
    <x v="3"/>
    <n v="181716"/>
    <d v="2023-04-04T00:00:00"/>
    <d v="2023-04-27T00:00:00"/>
    <n v="23"/>
    <n v="14.3"/>
    <x v="3"/>
    <x v="1"/>
    <s v="Normal"/>
  </r>
  <r>
    <s v="DEAL-01994"/>
    <x v="6"/>
    <s v="CLI-0001"/>
    <x v="1"/>
    <x v="6"/>
    <x v="5"/>
    <n v="478527"/>
    <d v="2024-10-04T00:00:00"/>
    <m/>
    <m/>
    <n v="5.8"/>
    <x v="2"/>
    <x v="3"/>
    <s v="Normal"/>
  </r>
  <r>
    <s v="DEAL-02043"/>
    <x v="0"/>
    <s v="CLI-0184"/>
    <x v="3"/>
    <x v="2"/>
    <x v="3"/>
    <n v="306668"/>
    <d v="2025-02-02T00:00:00"/>
    <d v="2025-06-29T00:00:00"/>
    <n v="147"/>
    <n v="2.7"/>
    <x v="3"/>
    <x v="4"/>
    <s v="Normal"/>
  </r>
  <r>
    <s v="DEAL-02101"/>
    <x v="3"/>
    <s v="CLI-0147"/>
    <x v="3"/>
    <x v="2"/>
    <x v="4"/>
    <n v="365724"/>
    <d v="2024-06-11T00:00:00"/>
    <m/>
    <m/>
    <n v="13.1"/>
    <x v="2"/>
    <x v="7"/>
    <s v="Normal"/>
  </r>
  <r>
    <s v="DEAL-01232"/>
    <x v="12"/>
    <s v="CLI-0262"/>
    <x v="2"/>
    <x v="4"/>
    <x v="2"/>
    <n v="139384"/>
    <d v="2023-11-25T00:00:00"/>
    <m/>
    <m/>
    <n v="11.2"/>
    <x v="3"/>
    <x v="0"/>
    <s v="Normal"/>
  </r>
  <r>
    <s v="DEAL-02475"/>
    <x v="0"/>
    <s v="CLI-0166"/>
    <x v="0"/>
    <x v="6"/>
    <x v="5"/>
    <n v="476440"/>
    <d v="2023-10-11T00:00:00"/>
    <m/>
    <m/>
    <n v="13.7"/>
    <x v="2"/>
    <x v="0"/>
    <s v="Normal"/>
  </r>
  <r>
    <s v="DEAL-01248"/>
    <x v="10"/>
    <s v="CLI-0197"/>
    <x v="2"/>
    <x v="3"/>
    <x v="0"/>
    <n v="868992"/>
    <d v="2023-10-26T00:00:00"/>
    <d v="2024-04-07T00:00:00"/>
    <n v="164"/>
    <n v="2.8"/>
    <x v="1"/>
    <x v="0"/>
    <s v="Normal"/>
  </r>
  <r>
    <s v="DEAL-00787"/>
    <x v="6"/>
    <s v="CLI-0097"/>
    <x v="0"/>
    <x v="6"/>
    <x v="1"/>
    <n v="184727"/>
    <d v="2023-02-23T00:00:00"/>
    <m/>
    <m/>
    <m/>
    <x v="3"/>
    <x v="2"/>
    <s v="Normal"/>
  </r>
  <r>
    <s v="DEAL-01689"/>
    <x v="9"/>
    <s v="CLI-0126"/>
    <x v="3"/>
    <x v="4"/>
    <x v="2"/>
    <n v="154489"/>
    <d v="2023-07-02T00:00:00"/>
    <m/>
    <m/>
    <n v="7.8"/>
    <x v="1"/>
    <x v="6"/>
    <s v="Normal"/>
  </r>
  <r>
    <s v="DEAL-01204"/>
    <x v="9"/>
    <s v="CLI-0181"/>
    <x v="3"/>
    <x v="5"/>
    <x v="5"/>
    <n v="25531"/>
    <d v="2025-02-02T00:00:00"/>
    <m/>
    <m/>
    <m/>
    <x v="1"/>
    <x v="4"/>
    <s v="Normal"/>
  </r>
  <r>
    <s v="DEAL-02314"/>
    <x v="0"/>
    <s v="CLI-0267"/>
    <x v="2"/>
    <x v="6"/>
    <x v="1"/>
    <n v="46745"/>
    <d v="2024-03-15T00:00:00"/>
    <m/>
    <m/>
    <m/>
    <x v="0"/>
    <x v="5"/>
    <s v="Normal"/>
  </r>
  <r>
    <s v="DEAL-01818"/>
    <x v="1"/>
    <s v="CLI-0206"/>
    <x v="2"/>
    <x v="1"/>
    <x v="0"/>
    <n v="137717"/>
    <d v="2023-06-07T00:00:00"/>
    <d v="2023-10-22T00:00:00"/>
    <n v="137"/>
    <n v="5.8"/>
    <x v="3"/>
    <x v="1"/>
    <s v="Normal"/>
  </r>
  <r>
    <s v="DEAL-00183"/>
    <x v="7"/>
    <s v="CLI-0212"/>
    <x v="5"/>
    <x v="3"/>
    <x v="2"/>
    <n v="32988"/>
    <d v="2024-04-08T00:00:00"/>
    <m/>
    <m/>
    <n v="4.9000000000000004"/>
    <x v="1"/>
    <x v="7"/>
    <s v="Normal"/>
  </r>
  <r>
    <s v="DEAL-01886"/>
    <x v="1"/>
    <s v="CLI-0115"/>
    <x v="1"/>
    <x v="6"/>
    <x v="0"/>
    <n v="149077"/>
    <d v="2024-12-12T00:00:00"/>
    <d v="2025-06-05T00:00:00"/>
    <n v="175"/>
    <n v="12.2"/>
    <x v="2"/>
    <x v="3"/>
    <s v="Normal"/>
  </r>
  <r>
    <s v="DEAL-00076"/>
    <x v="0"/>
    <s v="CLI-0103"/>
    <x v="2"/>
    <x v="1"/>
    <x v="3"/>
    <n v="90880"/>
    <d v="2024-11-17T00:00:00"/>
    <d v="2025-01-03T00:00:00"/>
    <n v="47"/>
    <n v="1.8"/>
    <x v="3"/>
    <x v="3"/>
    <s v="Normal"/>
  </r>
  <r>
    <s v="DEAL-01578"/>
    <x v="2"/>
    <s v="CLI-0216"/>
    <x v="4"/>
    <x v="5"/>
    <x v="5"/>
    <n v="273716"/>
    <d v="2025-02-18T00:00:00"/>
    <m/>
    <m/>
    <m/>
    <x v="3"/>
    <x v="4"/>
    <s v="Normal"/>
  </r>
  <r>
    <s v="DEAL-01463"/>
    <x v="9"/>
    <s v="CLI-0144"/>
    <x v="4"/>
    <x v="2"/>
    <x v="3"/>
    <n v="63795"/>
    <d v="2023-01-04T00:00:00"/>
    <d v="2023-07-01T00:00:00"/>
    <n v="178"/>
    <n v="10.3"/>
    <x v="3"/>
    <x v="2"/>
    <s v="Normal"/>
  </r>
  <r>
    <s v="DEAL-01198"/>
    <x v="13"/>
    <s v="CLI-0015"/>
    <x v="0"/>
    <x v="0"/>
    <x v="2"/>
    <n v="135395"/>
    <d v="2024-02-25T00:00:00"/>
    <m/>
    <m/>
    <n v="0.4"/>
    <x v="2"/>
    <x v="5"/>
    <s v="Normal"/>
  </r>
  <r>
    <s v="DEAL-02175"/>
    <x v="0"/>
    <s v="CLI-0071"/>
    <x v="1"/>
    <x v="7"/>
    <x v="3"/>
    <n v="336622"/>
    <d v="2023-06-23T00:00:00"/>
    <d v="2023-08-13T00:00:00"/>
    <n v="51"/>
    <n v="14.2"/>
    <x v="3"/>
    <x v="1"/>
    <s v="Normal"/>
  </r>
  <r>
    <s v="DEAL-01059"/>
    <x v="4"/>
    <s v="CLI-0267"/>
    <x v="3"/>
    <x v="4"/>
    <x v="0"/>
    <n v="70156"/>
    <d v="2023-10-06T00:00:00"/>
    <d v="2024-01-30T00:00:00"/>
    <n v="116"/>
    <m/>
    <x v="1"/>
    <x v="0"/>
    <s v="Normal"/>
  </r>
  <r>
    <s v="DEAL-02208"/>
    <x v="14"/>
    <s v="CLI-0213"/>
    <x v="3"/>
    <x v="5"/>
    <x v="0"/>
    <n v="156855"/>
    <d v="2023-11-15T00:00:00"/>
    <d v="2024-04-04T00:00:00"/>
    <n v="141"/>
    <n v="10.9"/>
    <x v="1"/>
    <x v="0"/>
    <s v="Normal"/>
  </r>
  <r>
    <s v="DEAL-00739"/>
    <x v="5"/>
    <s v="CLI-0003"/>
    <x v="3"/>
    <x v="3"/>
    <x v="0"/>
    <n v="201140"/>
    <d v="2023-08-23T00:00:00"/>
    <d v="2023-09-30T00:00:00"/>
    <n v="38"/>
    <n v="2.4"/>
    <x v="3"/>
    <x v="6"/>
    <s v="Normal"/>
  </r>
  <r>
    <s v="DEAL-01904"/>
    <x v="10"/>
    <s v="CLI-0060"/>
    <x v="5"/>
    <x v="1"/>
    <x v="5"/>
    <n v="439133"/>
    <d v="2023-09-06T00:00:00"/>
    <m/>
    <m/>
    <n v="5.4"/>
    <x v="3"/>
    <x v="6"/>
    <s v="Normal"/>
  </r>
  <r>
    <s v="DEAL-02159"/>
    <x v="10"/>
    <s v="CLI-0209"/>
    <x v="2"/>
    <x v="2"/>
    <x v="4"/>
    <n v="293818"/>
    <d v="2023-05-14T00:00:00"/>
    <m/>
    <m/>
    <n v="11"/>
    <x v="0"/>
    <x v="1"/>
    <s v="Normal"/>
  </r>
  <r>
    <s v="DEAL-01428"/>
    <x v="0"/>
    <s v="CLI-0058"/>
    <x v="1"/>
    <x v="4"/>
    <x v="2"/>
    <n v="148033"/>
    <d v="2025-01-30T00:00:00"/>
    <m/>
    <m/>
    <n v="2.9"/>
    <x v="3"/>
    <x v="4"/>
    <s v="Normal"/>
  </r>
  <r>
    <s v="DEAL-00961"/>
    <x v="6"/>
    <s v="CLI-0270"/>
    <x v="3"/>
    <x v="4"/>
    <x v="0"/>
    <n v="38034"/>
    <d v="2023-09-15T00:00:00"/>
    <d v="2023-11-27T00:00:00"/>
    <n v="73"/>
    <n v="13.3"/>
    <x v="0"/>
    <x v="6"/>
    <s v="Normal"/>
  </r>
  <r>
    <s v="DEAL-02283"/>
    <x v="5"/>
    <s v="CLI-0168"/>
    <x v="3"/>
    <x v="8"/>
    <x v="3"/>
    <n v="55990"/>
    <d v="2023-02-26T00:00:00"/>
    <d v="2023-05-01T00:00:00"/>
    <n v="64"/>
    <n v="17.399999999999999"/>
    <x v="1"/>
    <x v="2"/>
    <s v="Normal"/>
  </r>
  <r>
    <s v="DEAL-00903"/>
    <x v="11"/>
    <s v="CLI-0145"/>
    <x v="3"/>
    <x v="3"/>
    <x v="0"/>
    <n v="149099"/>
    <d v="2024-05-15T00:00:00"/>
    <d v="2024-11-01T00:00:00"/>
    <n v="170"/>
    <n v="10.3"/>
    <x v="0"/>
    <x v="7"/>
    <s v="Normal"/>
  </r>
  <r>
    <s v="DEAL-02211"/>
    <x v="12"/>
    <s v="CLI-0005"/>
    <x v="1"/>
    <x v="2"/>
    <x v="3"/>
    <n v="485121"/>
    <d v="2024-04-09T00:00:00"/>
    <d v="2024-08-27T00:00:00"/>
    <n v="140"/>
    <n v="18.399999999999999"/>
    <x v="2"/>
    <x v="7"/>
    <s v="Normal"/>
  </r>
  <r>
    <s v="DEAL-01115"/>
    <x v="10"/>
    <s v="CLI-0277"/>
    <x v="5"/>
    <x v="3"/>
    <x v="0"/>
    <n v="300010"/>
    <d v="2024-03-03T00:00:00"/>
    <d v="2024-08-22T00:00:00"/>
    <n v="172"/>
    <n v="11.7"/>
    <x v="3"/>
    <x v="5"/>
    <s v="Normal"/>
  </r>
  <r>
    <s v="DEAL-01806"/>
    <x v="6"/>
    <s v="CLI-0201"/>
    <x v="0"/>
    <x v="2"/>
    <x v="4"/>
    <n v="410855"/>
    <d v="2023-12-02T00:00:00"/>
    <m/>
    <m/>
    <n v="9.9"/>
    <x v="2"/>
    <x v="0"/>
    <s v="Normal"/>
  </r>
  <r>
    <s v="DEAL-01190"/>
    <x v="12"/>
    <s v="CLI-0134"/>
    <x v="3"/>
    <x v="6"/>
    <x v="3"/>
    <n v="392920"/>
    <d v="2023-07-22T00:00:00"/>
    <d v="2023-10-28T00:00:00"/>
    <n v="98"/>
    <n v="7"/>
    <x v="2"/>
    <x v="6"/>
    <s v="Normal"/>
  </r>
  <r>
    <s v="DEAL-00650"/>
    <x v="15"/>
    <s v="CLI-0154"/>
    <x v="5"/>
    <x v="0"/>
    <x v="0"/>
    <n v="392366"/>
    <d v="2024-09-25T00:00:00"/>
    <d v="2025-01-11T00:00:00"/>
    <n v="108"/>
    <n v="8.1999999999999993"/>
    <x v="0"/>
    <x v="8"/>
    <s v="Normal"/>
  </r>
  <r>
    <s v="DEAL-01735"/>
    <x v="1"/>
    <s v="CLI-0285"/>
    <x v="3"/>
    <x v="6"/>
    <x v="4"/>
    <n v="255595"/>
    <d v="2025-02-02T00:00:00"/>
    <m/>
    <m/>
    <n v="12.1"/>
    <x v="3"/>
    <x v="4"/>
    <s v="Normal"/>
  </r>
  <r>
    <s v="DEAL-01651"/>
    <x v="11"/>
    <s v="CLI-0040"/>
    <x v="3"/>
    <x v="7"/>
    <x v="0"/>
    <n v="229366"/>
    <d v="2024-07-01T00:00:00"/>
    <d v="2024-08-05T00:00:00"/>
    <n v="35"/>
    <n v="14.3"/>
    <x v="2"/>
    <x v="8"/>
    <s v="Normal"/>
  </r>
  <r>
    <s v="DEAL-00335"/>
    <x v="12"/>
    <s v="CLI-0271"/>
    <x v="1"/>
    <x v="5"/>
    <x v="4"/>
    <n v="458199"/>
    <d v="2024-10-11T00:00:00"/>
    <m/>
    <m/>
    <m/>
    <x v="0"/>
    <x v="3"/>
    <s v="Normal"/>
  </r>
  <r>
    <s v="DEAL-01288"/>
    <x v="14"/>
    <s v="CLI-0016"/>
    <x v="1"/>
    <x v="6"/>
    <x v="3"/>
    <n v="221881"/>
    <d v="2025-03-11T00:00:00"/>
    <d v="2025-04-12T00:00:00"/>
    <n v="32"/>
    <n v="7.4"/>
    <x v="3"/>
    <x v="4"/>
    <s v="Normal"/>
  </r>
  <r>
    <s v="DEAL-02066"/>
    <x v="0"/>
    <s v="CLI-0103"/>
    <x v="4"/>
    <x v="7"/>
    <x v="4"/>
    <n v="422416"/>
    <d v="2023-05-14T00:00:00"/>
    <m/>
    <m/>
    <n v="2.9"/>
    <x v="3"/>
    <x v="1"/>
    <s v="Normal"/>
  </r>
  <r>
    <s v="DEAL-00328"/>
    <x v="11"/>
    <s v="CLI-0195"/>
    <x v="2"/>
    <x v="2"/>
    <x v="1"/>
    <n v="13088"/>
    <d v="2023-12-03T00:00:00"/>
    <m/>
    <m/>
    <m/>
    <x v="2"/>
    <x v="0"/>
    <s v="Normal"/>
  </r>
  <r>
    <s v="DEAL-00748"/>
    <x v="10"/>
    <s v="CLI-0143"/>
    <x v="2"/>
    <x v="5"/>
    <x v="2"/>
    <n v="36920"/>
    <d v="2023-05-30T00:00:00"/>
    <m/>
    <m/>
    <n v="13.5"/>
    <x v="2"/>
    <x v="1"/>
    <s v="Normal"/>
  </r>
  <r>
    <s v="DEAL-00852"/>
    <x v="2"/>
    <s v="CLI-0263"/>
    <x v="0"/>
    <x v="3"/>
    <x v="0"/>
    <n v="446485"/>
    <d v="2024-05-04T00:00:00"/>
    <d v="2024-07-15T00:00:00"/>
    <n v="72"/>
    <n v="10"/>
    <x v="0"/>
    <x v="7"/>
    <s v="Normal"/>
  </r>
  <r>
    <s v="DEAL-01800"/>
    <x v="1"/>
    <s v="CLI-0136"/>
    <x v="5"/>
    <x v="3"/>
    <x v="3"/>
    <n v="209365"/>
    <d v="2024-10-08T00:00:00"/>
    <d v="2025-03-22T00:00:00"/>
    <n v="165"/>
    <n v="23"/>
    <x v="3"/>
    <x v="3"/>
    <s v="Normal"/>
  </r>
  <r>
    <s v="DEAL-00505"/>
    <x v="9"/>
    <s v="CLI-0243"/>
    <x v="0"/>
    <x v="0"/>
    <x v="2"/>
    <n v="17407"/>
    <d v="2023-10-09T00:00:00"/>
    <m/>
    <m/>
    <n v="4.3"/>
    <x v="0"/>
    <x v="0"/>
    <s v="Normal"/>
  </r>
  <r>
    <s v="DEAL-01918"/>
    <x v="9"/>
    <s v="CLI-0126"/>
    <x v="3"/>
    <x v="4"/>
    <x v="0"/>
    <n v="489655"/>
    <d v="2024-12-22T00:00:00"/>
    <d v="2025-05-24T00:00:00"/>
    <n v="153"/>
    <n v="8.8000000000000007"/>
    <x v="2"/>
    <x v="3"/>
    <s v="Normal"/>
  </r>
  <r>
    <s v="DEAL-02188"/>
    <x v="15"/>
    <s v="CLI-0137"/>
    <x v="2"/>
    <x v="5"/>
    <x v="0"/>
    <n v="259882"/>
    <d v="2024-10-06T00:00:00"/>
    <d v="2024-12-22T00:00:00"/>
    <n v="77"/>
    <n v="2.4"/>
    <x v="2"/>
    <x v="3"/>
    <s v="Normal"/>
  </r>
  <r>
    <s v="DEAL-01978"/>
    <x v="2"/>
    <s v="CLI-0203"/>
    <x v="1"/>
    <x v="2"/>
    <x v="5"/>
    <n v="39625"/>
    <d v="2024-07-27T00:00:00"/>
    <m/>
    <m/>
    <n v="13.3"/>
    <x v="2"/>
    <x v="8"/>
    <s v="Normal"/>
  </r>
  <r>
    <s v="DEAL-01534"/>
    <x v="1"/>
    <s v="CLI-0104"/>
    <x v="5"/>
    <x v="0"/>
    <x v="1"/>
    <n v="242452"/>
    <d v="2025-01-14T00:00:00"/>
    <m/>
    <m/>
    <n v="0.1"/>
    <x v="3"/>
    <x v="4"/>
    <s v="Normal"/>
  </r>
  <r>
    <s v="DEAL-00976"/>
    <x v="1"/>
    <s v="CLI-0231"/>
    <x v="3"/>
    <x v="1"/>
    <x v="2"/>
    <n v="58727"/>
    <d v="2025-01-11T00:00:00"/>
    <m/>
    <m/>
    <n v="3.5"/>
    <x v="2"/>
    <x v="4"/>
    <s v="Normal"/>
  </r>
  <r>
    <s v="DEAL-01841"/>
    <x v="11"/>
    <s v="CLI-0190"/>
    <x v="4"/>
    <x v="8"/>
    <x v="3"/>
    <n v="130338"/>
    <d v="2023-12-28T00:00:00"/>
    <d v="2024-03-26T00:00:00"/>
    <n v="89"/>
    <n v="3.7"/>
    <x v="3"/>
    <x v="0"/>
    <s v="Normal"/>
  </r>
  <r>
    <s v="DEAL-01409"/>
    <x v="8"/>
    <s v="CLI-0203"/>
    <x v="0"/>
    <x v="7"/>
    <x v="3"/>
    <n v="440778"/>
    <d v="2023-06-29T00:00:00"/>
    <d v="2023-09-28T00:00:00"/>
    <n v="91"/>
    <n v="21.4"/>
    <x v="2"/>
    <x v="1"/>
    <s v="Normal"/>
  </r>
  <r>
    <s v="DEAL-00401"/>
    <x v="6"/>
    <s v="CLI-0140"/>
    <x v="0"/>
    <x v="0"/>
    <x v="1"/>
    <n v="354433"/>
    <d v="2023-05-29T00:00:00"/>
    <m/>
    <m/>
    <m/>
    <x v="2"/>
    <x v="1"/>
    <s v="Normal"/>
  </r>
  <r>
    <s v="DEAL-01544"/>
    <x v="6"/>
    <s v="CLI-0014"/>
    <x v="5"/>
    <x v="2"/>
    <x v="2"/>
    <n v="23074"/>
    <d v="2023-07-12T00:00:00"/>
    <m/>
    <m/>
    <n v="13.7"/>
    <x v="3"/>
    <x v="6"/>
    <s v="Normal"/>
  </r>
  <r>
    <s v="DEAL-01568"/>
    <x v="5"/>
    <s v="CLI-0225"/>
    <x v="0"/>
    <x v="4"/>
    <x v="2"/>
    <n v="269035"/>
    <d v="2023-11-15T00:00:00"/>
    <m/>
    <m/>
    <n v="5"/>
    <x v="1"/>
    <x v="0"/>
    <s v="Normal"/>
  </r>
  <r>
    <s v="DEAL-00746"/>
    <x v="2"/>
    <s v="CLI-0161"/>
    <x v="5"/>
    <x v="6"/>
    <x v="2"/>
    <n v="167033"/>
    <d v="2023-11-19T00:00:00"/>
    <m/>
    <m/>
    <n v="7.3"/>
    <x v="1"/>
    <x v="0"/>
    <s v="Normal"/>
  </r>
  <r>
    <s v="DEAL-01340"/>
    <x v="2"/>
    <s v="CLI-0231"/>
    <x v="2"/>
    <x v="3"/>
    <x v="0"/>
    <n v="365937"/>
    <d v="2025-03-02T00:00:00"/>
    <d v="2025-04-21T00:00:00"/>
    <n v="50"/>
    <m/>
    <x v="3"/>
    <x v="4"/>
    <s v="Normal"/>
  </r>
  <r>
    <s v="DEAL-01664"/>
    <x v="14"/>
    <s v="CLI-0112"/>
    <x v="0"/>
    <x v="0"/>
    <x v="5"/>
    <n v="74013"/>
    <d v="2023-12-25T00:00:00"/>
    <m/>
    <m/>
    <n v="1.3"/>
    <x v="3"/>
    <x v="0"/>
    <s v="Normal"/>
  </r>
  <r>
    <s v="DEAL-00419"/>
    <x v="2"/>
    <s v="CLI-0005"/>
    <x v="3"/>
    <x v="3"/>
    <x v="5"/>
    <n v="258423"/>
    <d v="2024-05-15T00:00:00"/>
    <m/>
    <m/>
    <n v="13.1"/>
    <x v="3"/>
    <x v="7"/>
    <s v="Normal"/>
  </r>
  <r>
    <s v="DEAL-00186"/>
    <x v="0"/>
    <s v="CLI-0118"/>
    <x v="2"/>
    <x v="6"/>
    <x v="5"/>
    <n v="305204"/>
    <d v="2023-04-03T00:00:00"/>
    <m/>
    <m/>
    <n v="11.3"/>
    <x v="1"/>
    <x v="1"/>
    <s v="Normal"/>
  </r>
  <r>
    <s v="DEAL-01027"/>
    <x v="3"/>
    <s v="CLI-0237"/>
    <x v="0"/>
    <x v="3"/>
    <x v="2"/>
    <n v="217551"/>
    <d v="2024-11-29T00:00:00"/>
    <m/>
    <m/>
    <m/>
    <x v="1"/>
    <x v="3"/>
    <s v="Normal"/>
  </r>
  <r>
    <s v="DEAL-02063"/>
    <x v="12"/>
    <s v="CLI-0092"/>
    <x v="0"/>
    <x v="4"/>
    <x v="1"/>
    <n v="225361"/>
    <d v="2024-08-16T00:00:00"/>
    <m/>
    <m/>
    <n v="5.2"/>
    <x v="2"/>
    <x v="8"/>
    <s v="Normal"/>
  </r>
  <r>
    <s v="DEAL-01743"/>
    <x v="14"/>
    <s v="CLI-0107"/>
    <x v="4"/>
    <x v="1"/>
    <x v="5"/>
    <n v="227425"/>
    <d v="2024-08-29T00:00:00"/>
    <m/>
    <m/>
    <n v="11.6"/>
    <x v="0"/>
    <x v="8"/>
    <s v="Normal"/>
  </r>
  <r>
    <s v="DEAL-01328"/>
    <x v="1"/>
    <s v="CLI-0275"/>
    <x v="0"/>
    <x v="3"/>
    <x v="3"/>
    <n v="268674"/>
    <d v="2024-03-30T00:00:00"/>
    <d v="2024-08-28T00:00:00"/>
    <n v="151"/>
    <n v="3.2"/>
    <x v="1"/>
    <x v="5"/>
    <s v="Normal"/>
  </r>
  <r>
    <s v="DEAL-02028"/>
    <x v="4"/>
    <s v="CLI-0223"/>
    <x v="5"/>
    <x v="3"/>
    <x v="0"/>
    <n v="198382"/>
    <d v="2023-06-17T00:00:00"/>
    <d v="2023-07-24T00:00:00"/>
    <n v="37"/>
    <n v="11.3"/>
    <x v="0"/>
    <x v="1"/>
    <s v="Normal"/>
  </r>
  <r>
    <s v="DEAL-02223"/>
    <x v="13"/>
    <s v="CLI-0149"/>
    <x v="1"/>
    <x v="7"/>
    <x v="4"/>
    <n v="405689"/>
    <d v="2023-09-08T00:00:00"/>
    <m/>
    <m/>
    <n v="2"/>
    <x v="0"/>
    <x v="6"/>
    <s v="Normal"/>
  </r>
  <r>
    <s v="DEAL-02209"/>
    <x v="13"/>
    <s v="CLI-0264"/>
    <x v="0"/>
    <x v="6"/>
    <x v="1"/>
    <n v="16284"/>
    <d v="2023-04-24T00:00:00"/>
    <m/>
    <m/>
    <m/>
    <x v="2"/>
    <x v="1"/>
    <s v="Normal"/>
  </r>
  <r>
    <s v="DEAL-00947"/>
    <x v="6"/>
    <s v="CLI-0049"/>
    <x v="4"/>
    <x v="2"/>
    <x v="3"/>
    <n v="263881"/>
    <d v="2025-02-04T00:00:00"/>
    <d v="2025-03-07T00:00:00"/>
    <n v="31"/>
    <n v="3.2"/>
    <x v="2"/>
    <x v="4"/>
    <s v="Normal"/>
  </r>
  <r>
    <s v="DEAL-01046"/>
    <x v="2"/>
    <s v="CLI-0121"/>
    <x v="1"/>
    <x v="2"/>
    <x v="1"/>
    <n v="270686"/>
    <d v="2023-06-17T00:00:00"/>
    <m/>
    <m/>
    <n v="13"/>
    <x v="3"/>
    <x v="1"/>
    <s v="Normal"/>
  </r>
  <r>
    <s v="DEAL-01906"/>
    <x v="14"/>
    <s v="CLI-0200"/>
    <x v="4"/>
    <x v="1"/>
    <x v="0"/>
    <n v="165454"/>
    <d v="2023-06-17T00:00:00"/>
    <d v="2023-11-26T00:00:00"/>
    <n v="162"/>
    <n v="13.3"/>
    <x v="3"/>
    <x v="1"/>
    <s v="Normal"/>
  </r>
  <r>
    <s v="DEAL-00116"/>
    <x v="12"/>
    <s v="CLI-0119"/>
    <x v="1"/>
    <x v="0"/>
    <x v="3"/>
    <n v="408923"/>
    <d v="2023-12-28T00:00:00"/>
    <d v="2024-03-20T00:00:00"/>
    <n v="83"/>
    <n v="10.6"/>
    <x v="3"/>
    <x v="0"/>
    <s v="Normal"/>
  </r>
  <r>
    <s v="DEAL-00531"/>
    <x v="0"/>
    <s v="CLI-0210"/>
    <x v="2"/>
    <x v="4"/>
    <x v="2"/>
    <n v="352907"/>
    <d v="2023-06-04T00:00:00"/>
    <m/>
    <m/>
    <n v="4.3"/>
    <x v="0"/>
    <x v="1"/>
    <s v="Normal"/>
  </r>
  <r>
    <s v="DEAL-00797"/>
    <x v="14"/>
    <s v="CLI-0062"/>
    <x v="0"/>
    <x v="5"/>
    <x v="5"/>
    <n v="239705"/>
    <d v="2023-01-18T00:00:00"/>
    <m/>
    <m/>
    <n v="11.7"/>
    <x v="0"/>
    <x v="2"/>
    <s v="Normal"/>
  </r>
  <r>
    <s v="DEAL-00159"/>
    <x v="10"/>
    <s v="CLI-0198"/>
    <x v="1"/>
    <x v="0"/>
    <x v="3"/>
    <n v="149950"/>
    <d v="2024-10-23T00:00:00"/>
    <d v="2024-12-18T00:00:00"/>
    <n v="56"/>
    <n v="15"/>
    <x v="0"/>
    <x v="3"/>
    <s v="Normal"/>
  </r>
  <r>
    <s v="DEAL-01986"/>
    <x v="9"/>
    <s v="CLI-0189"/>
    <x v="5"/>
    <x v="0"/>
    <x v="1"/>
    <n v="75539"/>
    <d v="2024-02-03T00:00:00"/>
    <m/>
    <m/>
    <n v="9.9"/>
    <x v="2"/>
    <x v="5"/>
    <s v="Normal"/>
  </r>
  <r>
    <s v="DEAL-00735"/>
    <x v="6"/>
    <s v="CLI-0219"/>
    <x v="5"/>
    <x v="7"/>
    <x v="4"/>
    <n v="363008"/>
    <d v="2025-03-19T00:00:00"/>
    <m/>
    <m/>
    <n v="13.1"/>
    <x v="3"/>
    <x v="4"/>
    <s v="Normal"/>
  </r>
  <r>
    <s v="DEAL-00111"/>
    <x v="1"/>
    <s v="CLI-0164"/>
    <x v="2"/>
    <x v="2"/>
    <x v="4"/>
    <n v="302808"/>
    <d v="2024-12-10T00:00:00"/>
    <m/>
    <m/>
    <n v="11"/>
    <x v="1"/>
    <x v="3"/>
    <s v="Normal"/>
  </r>
  <r>
    <s v="DEAL-00242"/>
    <x v="8"/>
    <s v="CLI-0199"/>
    <x v="5"/>
    <x v="5"/>
    <x v="1"/>
    <n v="275870"/>
    <d v="2024-07-26T00:00:00"/>
    <m/>
    <m/>
    <n v="12.9"/>
    <x v="1"/>
    <x v="8"/>
    <s v="Normal"/>
  </r>
  <r>
    <s v="DEAL-01457"/>
    <x v="3"/>
    <s v="CLI-0228"/>
    <x v="4"/>
    <x v="7"/>
    <x v="4"/>
    <n v="346286"/>
    <d v="2023-12-23T00:00:00"/>
    <m/>
    <m/>
    <m/>
    <x v="1"/>
    <x v="0"/>
    <s v="Normal"/>
  </r>
  <r>
    <s v="DEAL-00298"/>
    <x v="1"/>
    <s v="CLI-0057"/>
    <x v="3"/>
    <x v="2"/>
    <x v="0"/>
    <n v="262795"/>
    <d v="2023-09-04T00:00:00"/>
    <d v="2023-11-20T00:00:00"/>
    <n v="77"/>
    <n v="11.3"/>
    <x v="3"/>
    <x v="6"/>
    <s v="Normal"/>
  </r>
  <r>
    <s v="DEAL-00807"/>
    <x v="9"/>
    <s v="CLI-0156"/>
    <x v="3"/>
    <x v="0"/>
    <x v="4"/>
    <n v="251620"/>
    <d v="2024-04-05T00:00:00"/>
    <m/>
    <m/>
    <m/>
    <x v="3"/>
    <x v="7"/>
    <s v="Normal"/>
  </r>
  <r>
    <s v="DEAL-01336"/>
    <x v="2"/>
    <s v="CLI-0094"/>
    <x v="4"/>
    <x v="3"/>
    <x v="3"/>
    <n v="450628"/>
    <d v="2023-02-13T00:00:00"/>
    <d v="2023-07-07T00:00:00"/>
    <n v="144"/>
    <n v="15.1"/>
    <x v="0"/>
    <x v="2"/>
    <s v="Normal"/>
  </r>
  <r>
    <s v="DEAL-00127"/>
    <x v="13"/>
    <s v="CLI-0158"/>
    <x v="2"/>
    <x v="5"/>
    <x v="3"/>
    <n v="234206"/>
    <d v="2024-01-17T00:00:00"/>
    <d v="2024-02-04T00:00:00"/>
    <n v="18"/>
    <n v="8.8000000000000007"/>
    <x v="0"/>
    <x v="5"/>
    <s v="Normal"/>
  </r>
  <r>
    <s v="DEAL-02368"/>
    <x v="7"/>
    <s v="CLI-0046"/>
    <x v="3"/>
    <x v="2"/>
    <x v="4"/>
    <n v="379914"/>
    <d v="2024-03-09T00:00:00"/>
    <m/>
    <m/>
    <n v="1"/>
    <x v="2"/>
    <x v="5"/>
    <s v="Normal"/>
  </r>
  <r>
    <s v="DEAL-00446"/>
    <x v="1"/>
    <s v="CLI-0218"/>
    <x v="5"/>
    <x v="4"/>
    <x v="4"/>
    <n v="281186"/>
    <d v="2023-05-01T00:00:00"/>
    <m/>
    <m/>
    <m/>
    <x v="2"/>
    <x v="1"/>
    <s v="Normal"/>
  </r>
  <r>
    <s v="DEAL-02005"/>
    <x v="11"/>
    <s v="CLI-0038"/>
    <x v="2"/>
    <x v="6"/>
    <x v="3"/>
    <n v="391292"/>
    <d v="2024-03-28T00:00:00"/>
    <d v="2024-06-04T00:00:00"/>
    <n v="68"/>
    <n v="18.600000000000001"/>
    <x v="0"/>
    <x v="5"/>
    <s v="Normal"/>
  </r>
  <r>
    <s v="DEAL-00806"/>
    <x v="12"/>
    <s v="CLI-0133"/>
    <x v="5"/>
    <x v="5"/>
    <x v="1"/>
    <n v="61123"/>
    <d v="2024-08-08T00:00:00"/>
    <m/>
    <m/>
    <m/>
    <x v="1"/>
    <x v="8"/>
    <s v="Normal"/>
  </r>
  <r>
    <s v="DEAL-00690"/>
    <x v="15"/>
    <s v="CLI-0278"/>
    <x v="5"/>
    <x v="1"/>
    <x v="5"/>
    <n v="444653"/>
    <d v="2023-08-06T00:00:00"/>
    <m/>
    <m/>
    <m/>
    <x v="2"/>
    <x v="6"/>
    <s v="Normal"/>
  </r>
  <r>
    <s v="DEAL-01240"/>
    <x v="6"/>
    <s v="CLI-0078"/>
    <x v="0"/>
    <x v="6"/>
    <x v="5"/>
    <n v="132555"/>
    <d v="2024-12-11T00:00:00"/>
    <m/>
    <m/>
    <n v="5"/>
    <x v="1"/>
    <x v="3"/>
    <s v="Normal"/>
  </r>
  <r>
    <s v="DEAL-01821"/>
    <x v="2"/>
    <s v="CLI-0049"/>
    <x v="3"/>
    <x v="2"/>
    <x v="1"/>
    <n v="165173"/>
    <d v="2024-10-05T00:00:00"/>
    <m/>
    <m/>
    <n v="9.6999999999999993"/>
    <x v="3"/>
    <x v="3"/>
    <s v="Normal"/>
  </r>
  <r>
    <s v="DEAL-02001"/>
    <x v="0"/>
    <s v="CLI-0006"/>
    <x v="5"/>
    <x v="7"/>
    <x v="3"/>
    <n v="490747"/>
    <d v="2023-01-08T00:00:00"/>
    <d v="2023-03-15T00:00:00"/>
    <n v="66"/>
    <n v="8.6999999999999993"/>
    <x v="2"/>
    <x v="2"/>
    <s v="Normal"/>
  </r>
  <r>
    <s v="DEAL-00653"/>
    <x v="9"/>
    <s v="CLI-0135"/>
    <x v="0"/>
    <x v="2"/>
    <x v="4"/>
    <n v="397168"/>
    <d v="2024-05-13T00:00:00"/>
    <m/>
    <m/>
    <n v="4.7"/>
    <x v="3"/>
    <x v="7"/>
    <s v="Normal"/>
  </r>
  <r>
    <s v="DEAL-01999"/>
    <x v="14"/>
    <s v="CLI-0237"/>
    <x v="2"/>
    <x v="8"/>
    <x v="0"/>
    <n v="444549"/>
    <d v="2024-11-25T00:00:00"/>
    <d v="2025-04-25T00:00:00"/>
    <n v="151"/>
    <n v="2.1"/>
    <x v="3"/>
    <x v="3"/>
    <s v="Normal"/>
  </r>
  <r>
    <s v="DEAL-00079"/>
    <x v="15"/>
    <s v="CLI-0066"/>
    <x v="3"/>
    <x v="7"/>
    <x v="5"/>
    <n v="51017"/>
    <d v="2024-09-16T00:00:00"/>
    <m/>
    <m/>
    <n v="1.3"/>
    <x v="3"/>
    <x v="8"/>
    <s v="Normal"/>
  </r>
  <r>
    <s v="DEAL-02212"/>
    <x v="7"/>
    <s v="CLI-0005"/>
    <x v="3"/>
    <x v="0"/>
    <x v="3"/>
    <n v="54053"/>
    <d v="2024-08-10T00:00:00"/>
    <d v="2024-10-21T00:00:00"/>
    <n v="72"/>
    <n v="16.100000000000001"/>
    <x v="1"/>
    <x v="8"/>
    <s v="Normal"/>
  </r>
  <r>
    <s v="DEAL-01189"/>
    <x v="0"/>
    <s v="CLI-0074"/>
    <x v="1"/>
    <x v="4"/>
    <x v="0"/>
    <n v="67428"/>
    <d v="2024-05-17T00:00:00"/>
    <d v="2024-08-14T00:00:00"/>
    <n v="89"/>
    <m/>
    <x v="2"/>
    <x v="7"/>
    <s v="Normal"/>
  </r>
  <r>
    <s v="DEAL-00457"/>
    <x v="13"/>
    <s v="CLI-0277"/>
    <x v="1"/>
    <x v="2"/>
    <x v="3"/>
    <n v="247902"/>
    <d v="2023-01-22T00:00:00"/>
    <d v="2023-06-13T00:00:00"/>
    <n v="142"/>
    <n v="6.8"/>
    <x v="0"/>
    <x v="2"/>
    <s v="Normal"/>
  </r>
  <r>
    <s v="DEAL-01961"/>
    <x v="8"/>
    <s v="CLI-0276"/>
    <x v="3"/>
    <x v="6"/>
    <x v="5"/>
    <n v="139393"/>
    <d v="2025-02-10T00:00:00"/>
    <m/>
    <m/>
    <n v="3.8"/>
    <x v="1"/>
    <x v="4"/>
    <s v="Normal"/>
  </r>
  <r>
    <s v="DEAL-02315"/>
    <x v="9"/>
    <s v="CLI-0039"/>
    <x v="5"/>
    <x v="5"/>
    <x v="4"/>
    <n v="335023"/>
    <d v="2024-01-06T00:00:00"/>
    <m/>
    <m/>
    <m/>
    <x v="1"/>
    <x v="5"/>
    <s v="Normal"/>
  </r>
  <r>
    <s v="DEAL-01430"/>
    <x v="8"/>
    <s v="CLI-0270"/>
    <x v="0"/>
    <x v="1"/>
    <x v="3"/>
    <n v="306951"/>
    <d v="2023-04-08T00:00:00"/>
    <d v="2023-08-03T00:00:00"/>
    <n v="117"/>
    <n v="6.2"/>
    <x v="1"/>
    <x v="1"/>
    <s v="Normal"/>
  </r>
  <r>
    <s v="DEAL-01804"/>
    <x v="3"/>
    <s v="CLI-0105"/>
    <x v="3"/>
    <x v="1"/>
    <x v="3"/>
    <n v="243273"/>
    <d v="2024-11-15T00:00:00"/>
    <d v="2024-11-30T00:00:00"/>
    <n v="15"/>
    <n v="11.3"/>
    <x v="2"/>
    <x v="3"/>
    <s v="Normal"/>
  </r>
  <r>
    <s v="DEAL-00684"/>
    <x v="5"/>
    <s v="CLI-0112"/>
    <x v="0"/>
    <x v="3"/>
    <x v="4"/>
    <n v="464944"/>
    <d v="2024-05-03T00:00:00"/>
    <m/>
    <m/>
    <n v="5.5"/>
    <x v="0"/>
    <x v="7"/>
    <s v="Normal"/>
  </r>
  <r>
    <s v="DEAL-00904"/>
    <x v="15"/>
    <s v="CLI-0028"/>
    <x v="1"/>
    <x v="1"/>
    <x v="4"/>
    <n v="344195"/>
    <d v="2023-03-04T00:00:00"/>
    <m/>
    <m/>
    <n v="12"/>
    <x v="3"/>
    <x v="2"/>
    <s v="Normal"/>
  </r>
  <r>
    <s v="DEAL-01740"/>
    <x v="11"/>
    <s v="CLI-0267"/>
    <x v="0"/>
    <x v="0"/>
    <x v="4"/>
    <n v="313383"/>
    <d v="2025-02-22T00:00:00"/>
    <m/>
    <m/>
    <n v="12"/>
    <x v="2"/>
    <x v="4"/>
    <s v="Normal"/>
  </r>
  <r>
    <s v="DEAL-02415"/>
    <x v="8"/>
    <s v="CLI-0172"/>
    <x v="1"/>
    <x v="2"/>
    <x v="0"/>
    <n v="183026"/>
    <d v="2023-04-11T00:00:00"/>
    <d v="2023-09-22T00:00:00"/>
    <n v="164"/>
    <n v="0.7"/>
    <x v="1"/>
    <x v="1"/>
    <s v="Normal"/>
  </r>
  <r>
    <s v="DEAL-01764"/>
    <x v="14"/>
    <s v="CLI-0067"/>
    <x v="4"/>
    <x v="1"/>
    <x v="4"/>
    <n v="1154021"/>
    <d v="2023-06-20T00:00:00"/>
    <m/>
    <m/>
    <n v="6.5"/>
    <x v="2"/>
    <x v="1"/>
    <s v="High Outlier"/>
  </r>
  <r>
    <s v="DEAL-01579"/>
    <x v="0"/>
    <s v="CLI-0201"/>
    <x v="2"/>
    <x v="2"/>
    <x v="3"/>
    <n v="166026"/>
    <d v="2024-07-03T00:00:00"/>
    <d v="2024-08-24T00:00:00"/>
    <n v="52"/>
    <n v="10.6"/>
    <x v="3"/>
    <x v="8"/>
    <s v="Normal"/>
  </r>
  <r>
    <s v="DEAL-00220"/>
    <x v="13"/>
    <s v="CLI-0288"/>
    <x v="4"/>
    <x v="1"/>
    <x v="2"/>
    <n v="227546"/>
    <d v="2024-06-24T00:00:00"/>
    <m/>
    <m/>
    <m/>
    <x v="3"/>
    <x v="7"/>
    <s v="Normal"/>
  </r>
  <r>
    <s v="DEAL-00485"/>
    <x v="13"/>
    <s v="CLI-0289"/>
    <x v="4"/>
    <x v="2"/>
    <x v="5"/>
    <n v="119338"/>
    <d v="2023-02-09T00:00:00"/>
    <m/>
    <m/>
    <m/>
    <x v="0"/>
    <x v="2"/>
    <s v="Normal"/>
  </r>
  <r>
    <s v="DEAL-01373"/>
    <x v="9"/>
    <s v="CLI-0112"/>
    <x v="3"/>
    <x v="2"/>
    <x v="5"/>
    <n v="296280"/>
    <d v="2023-03-01T00:00:00"/>
    <m/>
    <m/>
    <n v="4.9000000000000004"/>
    <x v="2"/>
    <x v="2"/>
    <s v="Normal"/>
  </r>
  <r>
    <s v="DEAL-00830"/>
    <x v="3"/>
    <s v="CLI-0079"/>
    <x v="4"/>
    <x v="2"/>
    <x v="5"/>
    <n v="388143"/>
    <d v="2023-05-07T00:00:00"/>
    <m/>
    <m/>
    <n v="8.1999999999999993"/>
    <x v="1"/>
    <x v="1"/>
    <s v="Normal"/>
  </r>
  <r>
    <s v="DEAL-02500"/>
    <x v="3"/>
    <s v="CLI-0230"/>
    <x v="1"/>
    <x v="6"/>
    <x v="5"/>
    <n v="81037"/>
    <d v="2023-06-21T00:00:00"/>
    <m/>
    <m/>
    <n v="12.7"/>
    <x v="1"/>
    <x v="1"/>
    <s v="Normal"/>
  </r>
  <r>
    <s v="DEAL-00420"/>
    <x v="1"/>
    <s v="CLI-0283"/>
    <x v="5"/>
    <x v="5"/>
    <x v="3"/>
    <n v="416457"/>
    <d v="2023-11-08T00:00:00"/>
    <d v="2024-02-16T00:00:00"/>
    <n v="100"/>
    <n v="18.399999999999999"/>
    <x v="2"/>
    <x v="0"/>
    <s v="Normal"/>
  </r>
  <r>
    <s v="DEAL-01245"/>
    <x v="12"/>
    <s v="CLI-0232"/>
    <x v="3"/>
    <x v="1"/>
    <x v="4"/>
    <n v="150616"/>
    <d v="2024-02-18T00:00:00"/>
    <m/>
    <m/>
    <m/>
    <x v="2"/>
    <x v="5"/>
    <s v="Normal"/>
  </r>
  <r>
    <s v="DEAL-01965"/>
    <x v="14"/>
    <s v="CLI-0264"/>
    <x v="5"/>
    <x v="0"/>
    <x v="2"/>
    <n v="419412"/>
    <d v="2024-08-10T00:00:00"/>
    <m/>
    <m/>
    <n v="1.3"/>
    <x v="2"/>
    <x v="8"/>
    <s v="Normal"/>
  </r>
  <r>
    <s v="DEAL-01309"/>
    <x v="12"/>
    <s v="CLI-0273"/>
    <x v="0"/>
    <x v="5"/>
    <x v="3"/>
    <n v="206049"/>
    <d v="2024-09-02T00:00:00"/>
    <d v="2024-09-21T00:00:00"/>
    <n v="19"/>
    <n v="23.5"/>
    <x v="1"/>
    <x v="8"/>
    <s v="Normal"/>
  </r>
  <r>
    <s v="DEAL-01929"/>
    <x v="13"/>
    <s v="CLI-0213"/>
    <x v="1"/>
    <x v="6"/>
    <x v="0"/>
    <n v="135384"/>
    <d v="2023-09-26T00:00:00"/>
    <d v="2023-12-30T00:00:00"/>
    <n v="95"/>
    <n v="8.9"/>
    <x v="1"/>
    <x v="6"/>
    <s v="Normal"/>
  </r>
  <r>
    <s v="DEAL-01249"/>
    <x v="1"/>
    <s v="CLI-0050"/>
    <x v="2"/>
    <x v="5"/>
    <x v="5"/>
    <n v="420265"/>
    <d v="2023-09-05T00:00:00"/>
    <m/>
    <m/>
    <m/>
    <x v="1"/>
    <x v="6"/>
    <s v="Normal"/>
  </r>
  <r>
    <s v="DEAL-02260"/>
    <x v="2"/>
    <s v="CLI-0200"/>
    <x v="4"/>
    <x v="7"/>
    <x v="3"/>
    <n v="491746"/>
    <d v="2024-07-20T00:00:00"/>
    <d v="2024-10-12T00:00:00"/>
    <n v="84"/>
    <n v="8.1"/>
    <x v="3"/>
    <x v="8"/>
    <s v="Normal"/>
  </r>
  <r>
    <s v="DEAL-00181"/>
    <x v="2"/>
    <s v="CLI-0205"/>
    <x v="1"/>
    <x v="0"/>
    <x v="5"/>
    <n v="12163"/>
    <d v="2024-08-07T00:00:00"/>
    <m/>
    <m/>
    <n v="2.7"/>
    <x v="1"/>
    <x v="8"/>
    <s v="Normal"/>
  </r>
  <r>
    <s v="DEAL-00776"/>
    <x v="7"/>
    <s v="CLI-0004"/>
    <x v="1"/>
    <x v="7"/>
    <x v="2"/>
    <n v="484981"/>
    <d v="2025-01-16T00:00:00"/>
    <m/>
    <m/>
    <m/>
    <x v="2"/>
    <x v="4"/>
    <s v="Normal"/>
  </r>
  <r>
    <s v="DEAL-01858"/>
    <x v="10"/>
    <s v="CLI-0139"/>
    <x v="5"/>
    <x v="2"/>
    <x v="0"/>
    <n v="30434"/>
    <d v="2023-04-22T00:00:00"/>
    <d v="2023-08-04T00:00:00"/>
    <n v="104"/>
    <m/>
    <x v="1"/>
    <x v="1"/>
    <s v="Normal"/>
  </r>
  <r>
    <s v="DEAL-01912"/>
    <x v="2"/>
    <s v="CLI-0134"/>
    <x v="0"/>
    <x v="7"/>
    <x v="5"/>
    <n v="137088"/>
    <d v="2025-03-18T00:00:00"/>
    <m/>
    <m/>
    <n v="10"/>
    <x v="3"/>
    <x v="4"/>
    <s v="Normal"/>
  </r>
  <r>
    <s v="DEAL-02477"/>
    <x v="9"/>
    <s v="CLI-0111"/>
    <x v="5"/>
    <x v="4"/>
    <x v="5"/>
    <n v="111166"/>
    <d v="2024-08-31T00:00:00"/>
    <m/>
    <m/>
    <n v="3.2"/>
    <x v="2"/>
    <x v="8"/>
    <s v="Normal"/>
  </r>
  <r>
    <s v="DEAL-02189"/>
    <x v="2"/>
    <s v="CLI-0215"/>
    <x v="3"/>
    <x v="6"/>
    <x v="2"/>
    <n v="30633"/>
    <d v="2024-04-30T00:00:00"/>
    <m/>
    <m/>
    <n v="5.8"/>
    <x v="1"/>
    <x v="7"/>
    <s v="Normal"/>
  </r>
  <r>
    <s v="DEAL-01535"/>
    <x v="8"/>
    <s v="CLI-0247"/>
    <x v="4"/>
    <x v="1"/>
    <x v="5"/>
    <n v="324644"/>
    <d v="2024-10-01T00:00:00"/>
    <m/>
    <m/>
    <n v="10.199999999999999"/>
    <x v="1"/>
    <x v="3"/>
    <s v="Normal"/>
  </r>
  <r>
    <s v="DEAL-00851"/>
    <x v="7"/>
    <s v="CLI-0076"/>
    <x v="3"/>
    <x v="1"/>
    <x v="5"/>
    <n v="494350"/>
    <d v="2023-09-15T00:00:00"/>
    <m/>
    <m/>
    <n v="12.6"/>
    <x v="0"/>
    <x v="6"/>
    <s v="Normal"/>
  </r>
  <r>
    <s v="DEAL-02174"/>
    <x v="4"/>
    <s v="CLI-0135"/>
    <x v="0"/>
    <x v="5"/>
    <x v="2"/>
    <n v="168276"/>
    <d v="2023-12-09T00:00:00"/>
    <m/>
    <m/>
    <m/>
    <x v="1"/>
    <x v="0"/>
    <s v="Normal"/>
  </r>
  <r>
    <s v="DEAL-02115"/>
    <x v="14"/>
    <s v="CLI-0203"/>
    <x v="0"/>
    <x v="5"/>
    <x v="1"/>
    <n v="386542"/>
    <d v="2024-08-20T00:00:00"/>
    <m/>
    <m/>
    <n v="3.5"/>
    <x v="0"/>
    <x v="8"/>
    <s v="Normal"/>
  </r>
  <r>
    <s v="DEAL-00791"/>
    <x v="2"/>
    <s v="CLI-0212"/>
    <x v="3"/>
    <x v="4"/>
    <x v="3"/>
    <n v="143693"/>
    <d v="2024-05-24T00:00:00"/>
    <d v="2024-06-08T00:00:00"/>
    <n v="15"/>
    <n v="10.1"/>
    <x v="1"/>
    <x v="7"/>
    <s v="Normal"/>
  </r>
  <r>
    <s v="DEAL-02177"/>
    <x v="6"/>
    <s v="CLI-0160"/>
    <x v="3"/>
    <x v="4"/>
    <x v="1"/>
    <n v="313085"/>
    <d v="2024-01-02T00:00:00"/>
    <m/>
    <m/>
    <m/>
    <x v="1"/>
    <x v="5"/>
    <s v="Normal"/>
  </r>
  <r>
    <s v="DEAL-02195"/>
    <x v="11"/>
    <s v="CLI-0264"/>
    <x v="2"/>
    <x v="3"/>
    <x v="2"/>
    <n v="351161"/>
    <d v="2023-12-27T00:00:00"/>
    <m/>
    <m/>
    <n v="13.6"/>
    <x v="1"/>
    <x v="0"/>
    <s v="Normal"/>
  </r>
  <r>
    <s v="DEAL-01890"/>
    <x v="11"/>
    <s v="CLI-0151"/>
    <x v="4"/>
    <x v="0"/>
    <x v="1"/>
    <n v="450050"/>
    <d v="2024-02-16T00:00:00"/>
    <m/>
    <m/>
    <n v="5.7"/>
    <x v="2"/>
    <x v="5"/>
    <s v="Normal"/>
  </r>
  <r>
    <s v="DEAL-02083"/>
    <x v="2"/>
    <s v="CLI-0061"/>
    <x v="2"/>
    <x v="3"/>
    <x v="4"/>
    <n v="456045"/>
    <d v="2023-05-20T00:00:00"/>
    <m/>
    <m/>
    <m/>
    <x v="0"/>
    <x v="1"/>
    <s v="Normal"/>
  </r>
  <r>
    <s v="DEAL-02308"/>
    <x v="8"/>
    <s v="CLI-0151"/>
    <x v="1"/>
    <x v="6"/>
    <x v="3"/>
    <n v="259479"/>
    <d v="2023-12-05T00:00:00"/>
    <d v="2024-03-01T00:00:00"/>
    <n v="87"/>
    <n v="13.8"/>
    <x v="3"/>
    <x v="0"/>
    <s v="Normal"/>
  </r>
  <r>
    <s v="DEAL-02416"/>
    <x v="13"/>
    <s v="CLI-0106"/>
    <x v="4"/>
    <x v="5"/>
    <x v="3"/>
    <n v="415205"/>
    <d v="2023-06-05T00:00:00"/>
    <d v="2023-08-31T00:00:00"/>
    <n v="87"/>
    <n v="15.6"/>
    <x v="3"/>
    <x v="1"/>
    <s v="Normal"/>
  </r>
  <r>
    <s v="DEAL-02098"/>
    <x v="13"/>
    <s v="CLI-0219"/>
    <x v="0"/>
    <x v="5"/>
    <x v="4"/>
    <n v="358285"/>
    <d v="2023-05-24T00:00:00"/>
    <m/>
    <m/>
    <n v="10.5"/>
    <x v="0"/>
    <x v="1"/>
    <s v="Normal"/>
  </r>
  <r>
    <s v="DEAL-01071"/>
    <x v="14"/>
    <s v="CLI-0023"/>
    <x v="4"/>
    <x v="6"/>
    <x v="0"/>
    <n v="306246"/>
    <d v="2023-07-10T00:00:00"/>
    <d v="2023-11-20T00:00:00"/>
    <n v="133"/>
    <n v="1.6"/>
    <x v="2"/>
    <x v="6"/>
    <s v="Normal"/>
  </r>
  <r>
    <s v="DEAL-02182"/>
    <x v="5"/>
    <s v="CLI-0204"/>
    <x v="5"/>
    <x v="4"/>
    <x v="2"/>
    <n v="976351"/>
    <d v="2023-08-10T00:00:00"/>
    <m/>
    <m/>
    <n v="12.2"/>
    <x v="0"/>
    <x v="6"/>
    <s v="High Outlier"/>
  </r>
  <r>
    <s v="DEAL-02369"/>
    <x v="15"/>
    <s v="CLI-0225"/>
    <x v="1"/>
    <x v="7"/>
    <x v="5"/>
    <n v="179695"/>
    <d v="2024-12-15T00:00:00"/>
    <m/>
    <m/>
    <n v="6.6"/>
    <x v="0"/>
    <x v="3"/>
    <s v="Normal"/>
  </r>
  <r>
    <s v="DEAL-01355"/>
    <x v="10"/>
    <s v="CLI-0014"/>
    <x v="1"/>
    <x v="2"/>
    <x v="2"/>
    <n v="361562"/>
    <d v="2024-02-10T00:00:00"/>
    <m/>
    <m/>
    <m/>
    <x v="0"/>
    <x v="5"/>
    <s v="Normal"/>
  </r>
  <r>
    <s v="DEAL-00114"/>
    <x v="5"/>
    <s v="CLI-0179"/>
    <x v="5"/>
    <x v="0"/>
    <x v="3"/>
    <n v="52445"/>
    <d v="2023-12-10T00:00:00"/>
    <d v="2024-01-08T00:00:00"/>
    <n v="29"/>
    <n v="22.8"/>
    <x v="2"/>
    <x v="0"/>
    <s v="Normal"/>
  </r>
  <r>
    <s v="DEAL-01529"/>
    <x v="3"/>
    <s v="CLI-0026"/>
    <x v="5"/>
    <x v="6"/>
    <x v="5"/>
    <n v="57862"/>
    <d v="2024-01-29T00:00:00"/>
    <m/>
    <m/>
    <n v="3.6"/>
    <x v="0"/>
    <x v="5"/>
    <s v="Normal"/>
  </r>
  <r>
    <s v="DEAL-00192"/>
    <x v="15"/>
    <s v="CLI-0052"/>
    <x v="0"/>
    <x v="4"/>
    <x v="4"/>
    <n v="17274"/>
    <d v="2023-01-17T00:00:00"/>
    <m/>
    <m/>
    <m/>
    <x v="3"/>
    <x v="2"/>
    <s v="Normal"/>
  </r>
  <r>
    <s v="DEAL-01867"/>
    <x v="14"/>
    <s v="CLI-0242"/>
    <x v="2"/>
    <x v="4"/>
    <x v="2"/>
    <n v="285905"/>
    <d v="2023-08-12T00:00:00"/>
    <m/>
    <m/>
    <n v="14.9"/>
    <x v="0"/>
    <x v="6"/>
    <s v="Normal"/>
  </r>
  <r>
    <s v="DEAL-02027"/>
    <x v="12"/>
    <s v="CLI-0026"/>
    <x v="1"/>
    <x v="1"/>
    <x v="3"/>
    <n v="300964"/>
    <d v="2024-06-01T00:00:00"/>
    <d v="2024-11-17T00:00:00"/>
    <n v="169"/>
    <n v="20.399999999999999"/>
    <x v="3"/>
    <x v="7"/>
    <s v="Normal"/>
  </r>
  <r>
    <s v="DEAL-01794"/>
    <x v="9"/>
    <s v="CLI-0076"/>
    <x v="0"/>
    <x v="5"/>
    <x v="5"/>
    <n v="181602"/>
    <d v="2023-02-27T00:00:00"/>
    <m/>
    <m/>
    <m/>
    <x v="3"/>
    <x v="2"/>
    <s v="Normal"/>
  </r>
  <r>
    <s v="DEAL-00022"/>
    <x v="13"/>
    <s v="CLI-0107"/>
    <x v="0"/>
    <x v="3"/>
    <x v="5"/>
    <n v="476786"/>
    <d v="2023-11-04T00:00:00"/>
    <m/>
    <m/>
    <m/>
    <x v="2"/>
    <x v="0"/>
    <s v="Normal"/>
  </r>
  <r>
    <s v="DEAL-01494"/>
    <x v="7"/>
    <s v="CLI-0227"/>
    <x v="2"/>
    <x v="6"/>
    <x v="3"/>
    <n v="76484"/>
    <d v="2025-02-12T00:00:00"/>
    <d v="2025-07-14T00:00:00"/>
    <n v="152"/>
    <n v="2.6"/>
    <x v="1"/>
    <x v="4"/>
    <s v="Normal"/>
  </r>
  <r>
    <s v="DEAL-00656"/>
    <x v="11"/>
    <s v="CLI-0008"/>
    <x v="1"/>
    <x v="2"/>
    <x v="3"/>
    <n v="157447"/>
    <d v="2023-09-13T00:00:00"/>
    <d v="2023-10-27T00:00:00"/>
    <n v="44"/>
    <n v="3.7"/>
    <x v="0"/>
    <x v="6"/>
    <s v="Normal"/>
  </r>
  <r>
    <s v="DEAL-01837"/>
    <x v="0"/>
    <s v="CLI-0090"/>
    <x v="0"/>
    <x v="2"/>
    <x v="0"/>
    <n v="175594"/>
    <d v="2023-03-11T00:00:00"/>
    <d v="2023-08-17T00:00:00"/>
    <n v="159"/>
    <m/>
    <x v="0"/>
    <x v="2"/>
    <s v="Normal"/>
  </r>
  <r>
    <s v="DEAL-02296"/>
    <x v="7"/>
    <s v="CLI-0142"/>
    <x v="5"/>
    <x v="8"/>
    <x v="1"/>
    <n v="148935"/>
    <d v="2023-11-06T00:00:00"/>
    <m/>
    <m/>
    <m/>
    <x v="3"/>
    <x v="0"/>
    <s v="Normal"/>
  </r>
  <r>
    <s v="DEAL-00778"/>
    <x v="11"/>
    <s v="CLI-0065"/>
    <x v="2"/>
    <x v="7"/>
    <x v="3"/>
    <n v="196782"/>
    <d v="2023-12-28T00:00:00"/>
    <d v="2024-02-26T00:00:00"/>
    <n v="60"/>
    <n v="4.7"/>
    <x v="2"/>
    <x v="0"/>
    <s v="Normal"/>
  </r>
  <r>
    <s v="DEAL-01508"/>
    <x v="12"/>
    <s v="CLI-0184"/>
    <x v="5"/>
    <x v="0"/>
    <x v="2"/>
    <n v="442469"/>
    <d v="2023-01-01T00:00:00"/>
    <m/>
    <m/>
    <n v="1.2"/>
    <x v="2"/>
    <x v="2"/>
    <s v="Normal"/>
  </r>
  <r>
    <s v="DEAL-01491"/>
    <x v="6"/>
    <s v="CLI-0067"/>
    <x v="1"/>
    <x v="6"/>
    <x v="4"/>
    <n v="139013"/>
    <d v="2023-07-23T00:00:00"/>
    <m/>
    <m/>
    <m/>
    <x v="2"/>
    <x v="6"/>
    <s v="Normal"/>
  </r>
  <r>
    <s v="DEAL-00913"/>
    <x v="12"/>
    <s v="CLI-0117"/>
    <x v="1"/>
    <x v="3"/>
    <x v="3"/>
    <n v="122521"/>
    <d v="2024-08-05T00:00:00"/>
    <d v="2025-01-19T00:00:00"/>
    <n v="167"/>
    <n v="19.5"/>
    <x v="0"/>
    <x v="8"/>
    <s v="Normal"/>
  </r>
  <r>
    <s v="DEAL-02398"/>
    <x v="1"/>
    <s v="CLI-0280"/>
    <x v="4"/>
    <x v="0"/>
    <x v="4"/>
    <n v="61246"/>
    <d v="2023-11-02T00:00:00"/>
    <m/>
    <m/>
    <n v="0.2"/>
    <x v="1"/>
    <x v="0"/>
    <s v="Normal"/>
  </r>
  <r>
    <s v="DEAL-00668"/>
    <x v="8"/>
    <s v="CLI-0283"/>
    <x v="3"/>
    <x v="6"/>
    <x v="3"/>
    <n v="320540"/>
    <d v="2024-02-27T00:00:00"/>
    <d v="2024-07-20T00:00:00"/>
    <n v="144"/>
    <n v="5.5"/>
    <x v="2"/>
    <x v="5"/>
    <s v="Normal"/>
  </r>
  <r>
    <s v="DEAL-00743"/>
    <x v="13"/>
    <s v="CLI-0061"/>
    <x v="3"/>
    <x v="5"/>
    <x v="1"/>
    <n v="91741"/>
    <d v="2023-09-05T00:00:00"/>
    <m/>
    <m/>
    <n v="12.9"/>
    <x v="2"/>
    <x v="6"/>
    <s v="Normal"/>
  </r>
  <r>
    <s v="DEAL-00296"/>
    <x v="12"/>
    <s v="CLI-0033"/>
    <x v="1"/>
    <x v="2"/>
    <x v="4"/>
    <n v="264036"/>
    <d v="2024-09-19T00:00:00"/>
    <m/>
    <m/>
    <n v="11.9"/>
    <x v="0"/>
    <x v="8"/>
    <s v="Normal"/>
  </r>
  <r>
    <s v="DEAL-01465"/>
    <x v="9"/>
    <s v="CLI-0103"/>
    <x v="3"/>
    <x v="7"/>
    <x v="1"/>
    <n v="155604"/>
    <d v="2023-06-09T00:00:00"/>
    <m/>
    <m/>
    <n v="7.9"/>
    <x v="2"/>
    <x v="1"/>
    <s v="Normal"/>
  </r>
  <r>
    <s v="DEAL-00762"/>
    <x v="0"/>
    <s v="CLI-0007"/>
    <x v="2"/>
    <x v="2"/>
    <x v="4"/>
    <n v="321096"/>
    <d v="2024-06-22T00:00:00"/>
    <m/>
    <m/>
    <n v="1.1000000000000001"/>
    <x v="1"/>
    <x v="7"/>
    <s v="Normal"/>
  </r>
  <r>
    <s v="DEAL-01736"/>
    <x v="12"/>
    <s v="CLI-0017"/>
    <x v="0"/>
    <x v="4"/>
    <x v="4"/>
    <n v="323038"/>
    <d v="2023-07-11T00:00:00"/>
    <m/>
    <m/>
    <m/>
    <x v="1"/>
    <x v="6"/>
    <s v="Normal"/>
  </r>
  <r>
    <s v="DEAL-00793"/>
    <x v="5"/>
    <s v="CLI-0047"/>
    <x v="1"/>
    <x v="0"/>
    <x v="3"/>
    <n v="445143"/>
    <d v="2024-02-28T00:00:00"/>
    <d v="2024-04-10T00:00:00"/>
    <n v="42"/>
    <n v="11.2"/>
    <x v="1"/>
    <x v="5"/>
    <s v="Normal"/>
  </r>
  <r>
    <s v="DEAL-00404"/>
    <x v="0"/>
    <s v="CLI-0019"/>
    <x v="4"/>
    <x v="7"/>
    <x v="1"/>
    <n v="420677"/>
    <d v="2023-01-05T00:00:00"/>
    <m/>
    <m/>
    <m/>
    <x v="0"/>
    <x v="2"/>
    <s v="Normal"/>
  </r>
  <r>
    <s v="DEAL-02219"/>
    <x v="12"/>
    <s v="CLI-0041"/>
    <x v="4"/>
    <x v="3"/>
    <x v="5"/>
    <n v="83315"/>
    <d v="2023-01-10T00:00:00"/>
    <m/>
    <m/>
    <m/>
    <x v="2"/>
    <x v="2"/>
    <s v="Normal"/>
  </r>
  <r>
    <s v="DEAL-00714"/>
    <x v="12"/>
    <s v="CLI-0169"/>
    <x v="2"/>
    <x v="3"/>
    <x v="2"/>
    <n v="127137"/>
    <d v="2024-11-30T00:00:00"/>
    <m/>
    <m/>
    <n v="8.8000000000000007"/>
    <x v="0"/>
    <x v="3"/>
    <s v="Normal"/>
  </r>
  <r>
    <s v="DEAL-02442"/>
    <x v="2"/>
    <s v="CLI-0038"/>
    <x v="5"/>
    <x v="5"/>
    <x v="0"/>
    <n v="179417"/>
    <d v="2024-03-05T00:00:00"/>
    <d v="2024-08-21T00:00:00"/>
    <n v="169"/>
    <m/>
    <x v="2"/>
    <x v="5"/>
    <s v="Normal"/>
  </r>
  <r>
    <s v="DEAL-00447"/>
    <x v="1"/>
    <s v="CLI-0137"/>
    <x v="2"/>
    <x v="1"/>
    <x v="1"/>
    <n v="466903"/>
    <d v="2023-10-22T00:00:00"/>
    <m/>
    <m/>
    <n v="1.1000000000000001"/>
    <x v="2"/>
    <x v="0"/>
    <s v="Normal"/>
  </r>
  <r>
    <s v="DEAL-02350"/>
    <x v="2"/>
    <s v="CLI-0209"/>
    <x v="5"/>
    <x v="2"/>
    <x v="3"/>
    <n v="199142"/>
    <d v="2024-05-25T00:00:00"/>
    <d v="2024-07-23T00:00:00"/>
    <n v="59"/>
    <n v="23.9"/>
    <x v="1"/>
    <x v="7"/>
    <s v="Normal"/>
  </r>
  <r>
    <s v="DEAL-01506"/>
    <x v="12"/>
    <s v="CLI-0263"/>
    <x v="3"/>
    <x v="6"/>
    <x v="5"/>
    <n v="398007"/>
    <d v="2024-12-15T00:00:00"/>
    <m/>
    <m/>
    <m/>
    <x v="2"/>
    <x v="3"/>
    <s v="Normal"/>
  </r>
  <r>
    <s v="DEAL-01603"/>
    <x v="1"/>
    <s v="CLI-0037"/>
    <x v="3"/>
    <x v="2"/>
    <x v="0"/>
    <n v="394050"/>
    <d v="2024-10-09T00:00:00"/>
    <d v="2024-12-02T00:00:00"/>
    <n v="54"/>
    <n v="4.8"/>
    <x v="2"/>
    <x v="3"/>
    <s v="Normal"/>
  </r>
  <r>
    <s v="DEAL-00502"/>
    <x v="13"/>
    <s v="CLI-0231"/>
    <x v="4"/>
    <x v="6"/>
    <x v="0"/>
    <n v="387457"/>
    <d v="2024-11-23T00:00:00"/>
    <d v="2025-02-15T00:00:00"/>
    <n v="84"/>
    <n v="9.1999999999999993"/>
    <x v="1"/>
    <x v="3"/>
    <s v="Normal"/>
  </r>
  <r>
    <s v="DEAL-01659"/>
    <x v="11"/>
    <s v="CLI-0155"/>
    <x v="5"/>
    <x v="4"/>
    <x v="4"/>
    <n v="331847"/>
    <d v="2024-09-04T00:00:00"/>
    <m/>
    <m/>
    <m/>
    <x v="0"/>
    <x v="8"/>
    <s v="Normal"/>
  </r>
  <r>
    <s v="DEAL-01345"/>
    <x v="13"/>
    <s v="CLI-0268"/>
    <x v="1"/>
    <x v="3"/>
    <x v="4"/>
    <n v="80912"/>
    <d v="2023-09-26T00:00:00"/>
    <m/>
    <m/>
    <n v="5.0999999999999996"/>
    <x v="0"/>
    <x v="6"/>
    <s v="Normal"/>
  </r>
  <r>
    <s v="DEAL-01025"/>
    <x v="3"/>
    <s v="CLI-0046"/>
    <x v="0"/>
    <x v="0"/>
    <x v="3"/>
    <n v="362912"/>
    <d v="2024-10-04T00:00:00"/>
    <d v="2024-10-22T00:00:00"/>
    <n v="18"/>
    <n v="15.9"/>
    <x v="3"/>
    <x v="3"/>
    <s v="Normal"/>
  </r>
  <r>
    <s v="DEAL-00867"/>
    <x v="1"/>
    <s v="CLI-0241"/>
    <x v="4"/>
    <x v="1"/>
    <x v="5"/>
    <n v="244504"/>
    <d v="2024-12-04T00:00:00"/>
    <m/>
    <m/>
    <n v="4"/>
    <x v="3"/>
    <x v="3"/>
    <s v="Normal"/>
  </r>
  <r>
    <s v="DEAL-00799"/>
    <x v="10"/>
    <s v="CLI-0041"/>
    <x v="3"/>
    <x v="7"/>
    <x v="2"/>
    <n v="138080"/>
    <d v="2024-11-15T00:00:00"/>
    <m/>
    <m/>
    <n v="14"/>
    <x v="1"/>
    <x v="3"/>
    <s v="Normal"/>
  </r>
  <r>
    <s v="DEAL-00755"/>
    <x v="14"/>
    <s v="CLI-0148"/>
    <x v="5"/>
    <x v="1"/>
    <x v="0"/>
    <n v="145310"/>
    <d v="2024-07-15T00:00:00"/>
    <d v="2024-10-22T00:00:00"/>
    <n v="99"/>
    <m/>
    <x v="2"/>
    <x v="8"/>
    <s v="Normal"/>
  </r>
  <r>
    <s v="DEAL-00472"/>
    <x v="7"/>
    <s v="CLI-0262"/>
    <x v="1"/>
    <x v="5"/>
    <x v="3"/>
    <n v="427257"/>
    <d v="2023-11-18T00:00:00"/>
    <d v="2024-01-02T00:00:00"/>
    <n v="45"/>
    <n v="10.5"/>
    <x v="1"/>
    <x v="0"/>
    <s v="Normal"/>
  </r>
  <r>
    <s v="DEAL-00594"/>
    <x v="10"/>
    <s v="CLI-0121"/>
    <x v="3"/>
    <x v="1"/>
    <x v="2"/>
    <n v="356660"/>
    <d v="2025-01-24T00:00:00"/>
    <m/>
    <m/>
    <m/>
    <x v="0"/>
    <x v="4"/>
    <s v="Normal"/>
  </r>
  <r>
    <s v="DEAL-00349"/>
    <x v="8"/>
    <s v="CLI-0272"/>
    <x v="2"/>
    <x v="8"/>
    <x v="5"/>
    <n v="250852"/>
    <d v="2023-06-30T00:00:00"/>
    <m/>
    <m/>
    <n v="2.8"/>
    <x v="1"/>
    <x v="1"/>
    <s v="Normal"/>
  </r>
  <r>
    <s v="DEAL-01538"/>
    <x v="13"/>
    <s v="CLI-0196"/>
    <x v="1"/>
    <x v="0"/>
    <x v="3"/>
    <n v="398854"/>
    <d v="2024-09-19T00:00:00"/>
    <d v="2025-01-22T00:00:00"/>
    <n v="125"/>
    <n v="5.0999999999999996"/>
    <x v="0"/>
    <x v="8"/>
    <s v="Normal"/>
  </r>
  <r>
    <s v="DEAL-00246"/>
    <x v="9"/>
    <s v="CLI-0253"/>
    <x v="0"/>
    <x v="5"/>
    <x v="2"/>
    <n v="300720"/>
    <d v="2023-07-20T00:00:00"/>
    <m/>
    <m/>
    <n v="0.3"/>
    <x v="3"/>
    <x v="6"/>
    <s v="Normal"/>
  </r>
  <r>
    <s v="DEAL-00941"/>
    <x v="6"/>
    <s v="CLI-0152"/>
    <x v="0"/>
    <x v="2"/>
    <x v="5"/>
    <n v="89528"/>
    <d v="2023-01-12T00:00:00"/>
    <m/>
    <m/>
    <n v="2.2999999999999998"/>
    <x v="0"/>
    <x v="2"/>
    <s v="Normal"/>
  </r>
  <r>
    <s v="DEAL-00185"/>
    <x v="12"/>
    <s v="CLI-0255"/>
    <x v="0"/>
    <x v="5"/>
    <x v="4"/>
    <n v="267344"/>
    <d v="2025-01-23T00:00:00"/>
    <m/>
    <m/>
    <n v="12.1"/>
    <x v="1"/>
    <x v="4"/>
    <s v="Normal"/>
  </r>
  <r>
    <s v="DEAL-01536"/>
    <x v="14"/>
    <s v="CLI-0237"/>
    <x v="2"/>
    <x v="4"/>
    <x v="4"/>
    <n v="228881"/>
    <d v="2024-06-30T00:00:00"/>
    <m/>
    <m/>
    <m/>
    <x v="3"/>
    <x v="7"/>
    <s v="Normal"/>
  </r>
  <r>
    <s v="DEAL-01730"/>
    <x v="3"/>
    <s v="CLI-0188"/>
    <x v="2"/>
    <x v="3"/>
    <x v="0"/>
    <n v="453089"/>
    <d v="2024-05-10T00:00:00"/>
    <d v="2024-06-07T00:00:00"/>
    <n v="28"/>
    <n v="11.7"/>
    <x v="2"/>
    <x v="7"/>
    <s v="Normal"/>
  </r>
  <r>
    <s v="DEAL-02357"/>
    <x v="10"/>
    <s v="CLI-0185"/>
    <x v="0"/>
    <x v="7"/>
    <x v="0"/>
    <n v="184299"/>
    <d v="2023-10-23T00:00:00"/>
    <d v="2023-12-19T00:00:00"/>
    <n v="57"/>
    <n v="1.2"/>
    <x v="2"/>
    <x v="0"/>
    <s v="Normal"/>
  </r>
  <r>
    <s v="DEAL-00311"/>
    <x v="5"/>
    <s v="CLI-0123"/>
    <x v="5"/>
    <x v="2"/>
    <x v="2"/>
    <n v="400782"/>
    <d v="2024-08-30T00:00:00"/>
    <m/>
    <m/>
    <n v="2.7"/>
    <x v="0"/>
    <x v="8"/>
    <s v="Normal"/>
  </r>
  <r>
    <s v="DEAL-00972"/>
    <x v="7"/>
    <s v="CLI-0292"/>
    <x v="0"/>
    <x v="6"/>
    <x v="4"/>
    <n v="434790"/>
    <d v="2025-01-16T00:00:00"/>
    <m/>
    <m/>
    <n v="14.8"/>
    <x v="0"/>
    <x v="4"/>
    <s v="Normal"/>
  </r>
  <r>
    <s v="DEAL-00560"/>
    <x v="3"/>
    <s v="CLI-0148"/>
    <x v="3"/>
    <x v="7"/>
    <x v="4"/>
    <n v="88689"/>
    <d v="2025-03-07T00:00:00"/>
    <m/>
    <m/>
    <m/>
    <x v="1"/>
    <x v="4"/>
    <s v="Normal"/>
  </r>
  <r>
    <s v="DEAL-02423"/>
    <x v="14"/>
    <s v="CLI-0233"/>
    <x v="4"/>
    <x v="2"/>
    <x v="4"/>
    <n v="360717"/>
    <d v="2023-08-17T00:00:00"/>
    <m/>
    <m/>
    <n v="13.9"/>
    <x v="3"/>
    <x v="6"/>
    <s v="Normal"/>
  </r>
  <r>
    <s v="DEAL-01845"/>
    <x v="9"/>
    <s v="CLI-0177"/>
    <x v="3"/>
    <x v="1"/>
    <x v="1"/>
    <n v="401025"/>
    <d v="2023-08-25T00:00:00"/>
    <m/>
    <m/>
    <n v="0"/>
    <x v="2"/>
    <x v="6"/>
    <s v="Normal"/>
  </r>
  <r>
    <s v="DEAL-01019"/>
    <x v="0"/>
    <s v="CLI-0036"/>
    <x v="4"/>
    <x v="5"/>
    <x v="4"/>
    <n v="377223"/>
    <d v="2023-04-12T00:00:00"/>
    <m/>
    <m/>
    <n v="9.6999999999999993"/>
    <x v="1"/>
    <x v="1"/>
    <s v="Normal"/>
  </r>
  <r>
    <s v="DEAL-01563"/>
    <x v="0"/>
    <s v="CLI-0134"/>
    <x v="3"/>
    <x v="1"/>
    <x v="2"/>
    <n v="189422"/>
    <d v="2023-09-23T00:00:00"/>
    <m/>
    <m/>
    <n v="9.5"/>
    <x v="3"/>
    <x v="6"/>
    <s v="Normal"/>
  </r>
  <r>
    <s v="DEAL-02377"/>
    <x v="11"/>
    <s v="CLI-0054"/>
    <x v="2"/>
    <x v="2"/>
    <x v="3"/>
    <n v="453391"/>
    <d v="2023-03-26T00:00:00"/>
    <d v="2023-08-13T00:00:00"/>
    <n v="140"/>
    <n v="19.3"/>
    <x v="1"/>
    <x v="2"/>
    <s v="Normal"/>
  </r>
  <r>
    <s v="DEAL-00845"/>
    <x v="12"/>
    <s v="CLI-0241"/>
    <x v="5"/>
    <x v="6"/>
    <x v="3"/>
    <n v="308194"/>
    <d v="2023-12-05T00:00:00"/>
    <d v="2024-05-12T00:00:00"/>
    <n v="159"/>
    <n v="0.5"/>
    <x v="2"/>
    <x v="0"/>
    <s v="Normal"/>
  </r>
  <r>
    <s v="DEAL-01982"/>
    <x v="12"/>
    <s v="CLI-0237"/>
    <x v="1"/>
    <x v="6"/>
    <x v="3"/>
    <n v="314108"/>
    <d v="2023-02-07T00:00:00"/>
    <d v="2023-06-29T00:00:00"/>
    <n v="142"/>
    <n v="19.899999999999999"/>
    <x v="3"/>
    <x v="2"/>
    <s v="Normal"/>
  </r>
  <r>
    <s v="DEAL-00805"/>
    <x v="4"/>
    <s v="CLI-0111"/>
    <x v="2"/>
    <x v="0"/>
    <x v="3"/>
    <n v="475288"/>
    <d v="2023-04-01T00:00:00"/>
    <d v="2023-08-22T00:00:00"/>
    <n v="143"/>
    <n v="23.1"/>
    <x v="2"/>
    <x v="1"/>
    <s v="Normal"/>
  </r>
  <r>
    <s v="DEAL-01897"/>
    <x v="7"/>
    <s v="CLI-0072"/>
    <x v="1"/>
    <x v="0"/>
    <x v="0"/>
    <n v="231386"/>
    <d v="2025-02-05T00:00:00"/>
    <d v="2025-06-15T00:00:00"/>
    <n v="130"/>
    <n v="3.8"/>
    <x v="2"/>
    <x v="4"/>
    <s v="Normal"/>
  </r>
  <r>
    <s v="DEAL-00542"/>
    <x v="3"/>
    <s v="CLI-0167"/>
    <x v="3"/>
    <x v="3"/>
    <x v="3"/>
    <n v="125897"/>
    <d v="2023-10-22T00:00:00"/>
    <d v="2024-04-09T00:00:00"/>
    <n v="170"/>
    <n v="14.7"/>
    <x v="2"/>
    <x v="0"/>
    <s v="Normal"/>
  </r>
  <r>
    <s v="DEAL-01726"/>
    <x v="11"/>
    <s v="CLI-0147"/>
    <x v="0"/>
    <x v="0"/>
    <x v="4"/>
    <n v="211947"/>
    <d v="2023-04-29T00:00:00"/>
    <m/>
    <m/>
    <n v="11.3"/>
    <x v="0"/>
    <x v="1"/>
    <s v="Normal"/>
  </r>
  <r>
    <s v="DEAL-00986"/>
    <x v="9"/>
    <s v="CLI-0230"/>
    <x v="0"/>
    <x v="6"/>
    <x v="3"/>
    <n v="421072"/>
    <d v="2024-07-08T00:00:00"/>
    <d v="2025-01-04T00:00:00"/>
    <n v="180"/>
    <n v="7"/>
    <x v="0"/>
    <x v="8"/>
    <s v="Normal"/>
  </r>
  <r>
    <s v="DEAL-02221"/>
    <x v="2"/>
    <s v="CLI-0008"/>
    <x v="2"/>
    <x v="6"/>
    <x v="5"/>
    <n v="283582"/>
    <d v="2023-10-07T00:00:00"/>
    <m/>
    <m/>
    <n v="2.2000000000000002"/>
    <x v="2"/>
    <x v="0"/>
    <s v="Normal"/>
  </r>
  <r>
    <s v="DEAL-01222"/>
    <x v="14"/>
    <s v="CLI-0225"/>
    <x v="4"/>
    <x v="0"/>
    <x v="5"/>
    <n v="227842"/>
    <d v="2023-01-29T00:00:00"/>
    <m/>
    <m/>
    <n v="8.3000000000000007"/>
    <x v="0"/>
    <x v="2"/>
    <s v="Normal"/>
  </r>
  <r>
    <s v="DEAL-01181"/>
    <x v="1"/>
    <s v="CLI-0228"/>
    <x v="5"/>
    <x v="3"/>
    <x v="3"/>
    <n v="257785"/>
    <d v="2024-11-01T00:00:00"/>
    <d v="2025-02-23T00:00:00"/>
    <n v="114"/>
    <n v="4.5999999999999996"/>
    <x v="3"/>
    <x v="3"/>
    <s v="Normal"/>
  </r>
  <r>
    <s v="DEAL-01353"/>
    <x v="6"/>
    <s v="CLI-0251"/>
    <x v="1"/>
    <x v="1"/>
    <x v="4"/>
    <n v="366520"/>
    <d v="2024-12-12T00:00:00"/>
    <m/>
    <m/>
    <n v="14.1"/>
    <x v="3"/>
    <x v="3"/>
    <s v="Normal"/>
  </r>
  <r>
    <s v="DEAL-00175"/>
    <x v="14"/>
    <s v="CLI-0075"/>
    <x v="4"/>
    <x v="2"/>
    <x v="4"/>
    <n v="179473"/>
    <d v="2024-02-12T00:00:00"/>
    <m/>
    <m/>
    <n v="10.3"/>
    <x v="0"/>
    <x v="5"/>
    <s v="Normal"/>
  </r>
  <r>
    <s v="DEAL-00846"/>
    <x v="9"/>
    <s v="CLI-0154"/>
    <x v="4"/>
    <x v="5"/>
    <x v="3"/>
    <n v="433141"/>
    <d v="2023-10-29T00:00:00"/>
    <d v="2023-12-19T00:00:00"/>
    <n v="51"/>
    <n v="10.7"/>
    <x v="3"/>
    <x v="0"/>
    <s v="Normal"/>
  </r>
  <r>
    <s v="DEAL-02131"/>
    <x v="0"/>
    <s v="CLI-0033"/>
    <x v="4"/>
    <x v="4"/>
    <x v="5"/>
    <n v="286656"/>
    <d v="2024-11-04T00:00:00"/>
    <m/>
    <m/>
    <n v="0.3"/>
    <x v="2"/>
    <x v="3"/>
    <s v="Normal"/>
  </r>
  <r>
    <s v="DEAL-01964"/>
    <x v="9"/>
    <s v="CLI-0164"/>
    <x v="1"/>
    <x v="2"/>
    <x v="3"/>
    <n v="430962"/>
    <d v="2025-03-27T00:00:00"/>
    <d v="2025-08-24T00:00:00"/>
    <n v="150"/>
    <n v="9.1999999999999993"/>
    <x v="3"/>
    <x v="4"/>
    <s v="Normal"/>
  </r>
  <r>
    <s v="DEAL-01045"/>
    <x v="8"/>
    <s v="CLI-0036"/>
    <x v="2"/>
    <x v="4"/>
    <x v="0"/>
    <n v="302018"/>
    <d v="2023-06-10T00:00:00"/>
    <d v="2023-08-17T00:00:00"/>
    <n v="68"/>
    <m/>
    <x v="1"/>
    <x v="1"/>
    <s v="Normal"/>
  </r>
  <r>
    <s v="DEAL-01777"/>
    <x v="10"/>
    <s v="CLI-0173"/>
    <x v="3"/>
    <x v="1"/>
    <x v="4"/>
    <n v="468228"/>
    <d v="2024-04-14T00:00:00"/>
    <m/>
    <m/>
    <m/>
    <x v="3"/>
    <x v="7"/>
    <s v="Normal"/>
  </r>
  <r>
    <s v="DEAL-01951"/>
    <x v="5"/>
    <s v="CLI-0093"/>
    <x v="2"/>
    <x v="6"/>
    <x v="2"/>
    <n v="326982"/>
    <d v="2025-01-02T00:00:00"/>
    <m/>
    <m/>
    <n v="2.1"/>
    <x v="1"/>
    <x v="4"/>
    <s v="Normal"/>
  </r>
  <r>
    <s v="DEAL-01286"/>
    <x v="12"/>
    <s v="CLI-0297"/>
    <x v="5"/>
    <x v="0"/>
    <x v="5"/>
    <n v="50712"/>
    <d v="2024-03-13T00:00:00"/>
    <m/>
    <m/>
    <n v="0.7"/>
    <x v="0"/>
    <x v="5"/>
    <s v="Normal"/>
  </r>
  <r>
    <s v="DEAL-01405"/>
    <x v="10"/>
    <s v="CLI-0233"/>
    <x v="5"/>
    <x v="4"/>
    <x v="3"/>
    <n v="315544"/>
    <d v="2024-04-06T00:00:00"/>
    <d v="2024-09-26T00:00:00"/>
    <n v="173"/>
    <n v="1.3"/>
    <x v="1"/>
    <x v="7"/>
    <s v="Normal"/>
  </r>
  <r>
    <s v="DEAL-01290"/>
    <x v="1"/>
    <s v="CLI-0181"/>
    <x v="2"/>
    <x v="3"/>
    <x v="2"/>
    <n v="133830"/>
    <d v="2025-02-09T00:00:00"/>
    <m/>
    <m/>
    <m/>
    <x v="3"/>
    <x v="4"/>
    <s v="Normal"/>
  </r>
  <r>
    <s v="DEAL-00154"/>
    <x v="12"/>
    <s v="CLI-0118"/>
    <x v="4"/>
    <x v="0"/>
    <x v="2"/>
    <n v="273595"/>
    <d v="2024-11-14T00:00:00"/>
    <m/>
    <m/>
    <n v="5.0999999999999996"/>
    <x v="2"/>
    <x v="3"/>
    <s v="Normal"/>
  </r>
  <r>
    <s v="DEAL-00978"/>
    <x v="4"/>
    <s v="CLI-0164"/>
    <x v="4"/>
    <x v="3"/>
    <x v="4"/>
    <n v="415324"/>
    <d v="2024-04-13T00:00:00"/>
    <m/>
    <m/>
    <n v="12.5"/>
    <x v="1"/>
    <x v="7"/>
    <s v="Normal"/>
  </r>
  <r>
    <s v="DEAL-02274"/>
    <x v="8"/>
    <s v="CLI-0194"/>
    <x v="2"/>
    <x v="6"/>
    <x v="4"/>
    <n v="88245"/>
    <d v="2024-07-06T00:00:00"/>
    <m/>
    <m/>
    <n v="10.9"/>
    <x v="2"/>
    <x v="8"/>
    <s v="Normal"/>
  </r>
  <r>
    <s v="DEAL-00003"/>
    <x v="10"/>
    <s v="CLI-0288"/>
    <x v="2"/>
    <x v="7"/>
    <x v="1"/>
    <n v="235672"/>
    <d v="2024-09-03T00:00:00"/>
    <m/>
    <m/>
    <m/>
    <x v="2"/>
    <x v="8"/>
    <s v="Normal"/>
  </r>
  <r>
    <s v="DEAL-00526"/>
    <x v="11"/>
    <s v="CLI-0023"/>
    <x v="5"/>
    <x v="5"/>
    <x v="4"/>
    <n v="184665"/>
    <d v="2023-02-25T00:00:00"/>
    <m/>
    <m/>
    <n v="14.6"/>
    <x v="1"/>
    <x v="2"/>
    <s v="Normal"/>
  </r>
  <r>
    <s v="DEAL-00189"/>
    <x v="15"/>
    <s v="CLI-0081"/>
    <x v="0"/>
    <x v="1"/>
    <x v="2"/>
    <n v="52870"/>
    <d v="2023-01-17T00:00:00"/>
    <m/>
    <m/>
    <n v="1.7"/>
    <x v="1"/>
    <x v="2"/>
    <s v="Normal"/>
  </r>
  <r>
    <s v="DEAL-01228"/>
    <x v="1"/>
    <s v="CLI-0260"/>
    <x v="0"/>
    <x v="5"/>
    <x v="2"/>
    <n v="121086"/>
    <d v="2024-12-12T00:00:00"/>
    <m/>
    <m/>
    <n v="1.7"/>
    <x v="1"/>
    <x v="3"/>
    <s v="Normal"/>
  </r>
  <r>
    <s v="DEAL-00897"/>
    <x v="12"/>
    <s v="CLI-0110"/>
    <x v="5"/>
    <x v="5"/>
    <x v="0"/>
    <n v="495536"/>
    <d v="2023-07-06T00:00:00"/>
    <d v="2023-09-03T00:00:00"/>
    <n v="59"/>
    <n v="14.3"/>
    <x v="1"/>
    <x v="6"/>
    <s v="Normal"/>
  </r>
  <r>
    <s v="DEAL-01209"/>
    <x v="14"/>
    <s v="CLI-0047"/>
    <x v="5"/>
    <x v="6"/>
    <x v="3"/>
    <n v="378885"/>
    <d v="2023-12-26T00:00:00"/>
    <d v="2024-04-21T00:00:00"/>
    <n v="117"/>
    <n v="21.4"/>
    <x v="2"/>
    <x v="0"/>
    <s v="Normal"/>
  </r>
  <r>
    <s v="DEAL-02364"/>
    <x v="7"/>
    <s v="CLI-0195"/>
    <x v="2"/>
    <x v="1"/>
    <x v="1"/>
    <n v="50646"/>
    <d v="2023-09-30T00:00:00"/>
    <m/>
    <m/>
    <n v="6.6"/>
    <x v="3"/>
    <x v="6"/>
    <s v="Normal"/>
  </r>
  <r>
    <s v="DEAL-02284"/>
    <x v="10"/>
    <s v="CLI-0050"/>
    <x v="5"/>
    <x v="7"/>
    <x v="3"/>
    <n v="219968"/>
    <d v="2024-05-28T00:00:00"/>
    <d v="2024-10-26T00:00:00"/>
    <n v="151"/>
    <n v="13.1"/>
    <x v="2"/>
    <x v="7"/>
    <s v="Normal"/>
  </r>
  <r>
    <s v="DEAL-00614"/>
    <x v="9"/>
    <s v="CLI-0238"/>
    <x v="3"/>
    <x v="7"/>
    <x v="0"/>
    <n v="264510"/>
    <d v="2024-03-24T00:00:00"/>
    <d v="2024-07-09T00:00:00"/>
    <n v="107"/>
    <n v="14.4"/>
    <x v="3"/>
    <x v="5"/>
    <s v="Normal"/>
  </r>
  <r>
    <s v="DEAL-02299"/>
    <x v="6"/>
    <s v="CLI-0041"/>
    <x v="0"/>
    <x v="0"/>
    <x v="5"/>
    <n v="428715"/>
    <d v="2025-02-01T00:00:00"/>
    <m/>
    <m/>
    <n v="13"/>
    <x v="1"/>
    <x v="4"/>
    <s v="Normal"/>
  </r>
  <r>
    <s v="DEAL-01266"/>
    <x v="9"/>
    <s v="CLI-0184"/>
    <x v="5"/>
    <x v="0"/>
    <x v="3"/>
    <n v="143364"/>
    <d v="2024-11-22T00:00:00"/>
    <d v="2025-02-27T00:00:00"/>
    <n v="97"/>
    <n v="13.5"/>
    <x v="3"/>
    <x v="3"/>
    <s v="Normal"/>
  </r>
  <r>
    <s v="DEAL-00424"/>
    <x v="8"/>
    <s v="CLI-0065"/>
    <x v="2"/>
    <x v="2"/>
    <x v="5"/>
    <n v="425511"/>
    <d v="2023-10-23T00:00:00"/>
    <m/>
    <m/>
    <m/>
    <x v="1"/>
    <x v="0"/>
    <s v="Normal"/>
  </r>
  <r>
    <s v="DEAL-00099"/>
    <x v="0"/>
    <s v="CLI-0088"/>
    <x v="0"/>
    <x v="6"/>
    <x v="2"/>
    <n v="368659"/>
    <d v="2023-05-21T00:00:00"/>
    <m/>
    <m/>
    <n v="4.8"/>
    <x v="1"/>
    <x v="1"/>
    <s v="Normal"/>
  </r>
  <r>
    <s v="DEAL-00661"/>
    <x v="1"/>
    <s v="CLI-0213"/>
    <x v="1"/>
    <x v="3"/>
    <x v="2"/>
    <n v="114670"/>
    <d v="2024-01-25T00:00:00"/>
    <m/>
    <m/>
    <n v="5.8"/>
    <x v="2"/>
    <x v="5"/>
    <s v="Normal"/>
  </r>
  <r>
    <s v="DEAL-00988"/>
    <x v="3"/>
    <s v="CLI-0114"/>
    <x v="0"/>
    <x v="7"/>
    <x v="2"/>
    <n v="446962"/>
    <d v="2023-11-23T00:00:00"/>
    <m/>
    <m/>
    <n v="6.5"/>
    <x v="3"/>
    <x v="0"/>
    <s v="Normal"/>
  </r>
  <r>
    <s v="DEAL-01750"/>
    <x v="7"/>
    <s v="CLI-0213"/>
    <x v="2"/>
    <x v="3"/>
    <x v="3"/>
    <n v="463209"/>
    <d v="2024-04-01T00:00:00"/>
    <d v="2024-09-15T00:00:00"/>
    <n v="167"/>
    <n v="3.4"/>
    <x v="0"/>
    <x v="7"/>
    <s v="Normal"/>
  </r>
  <r>
    <s v="DEAL-01090"/>
    <x v="10"/>
    <s v="CLI-0073"/>
    <x v="3"/>
    <x v="7"/>
    <x v="3"/>
    <n v="99457"/>
    <d v="2023-08-10T00:00:00"/>
    <d v="2023-11-02T00:00:00"/>
    <n v="84"/>
    <n v="23.8"/>
    <x v="1"/>
    <x v="6"/>
    <s v="Normal"/>
  </r>
  <r>
    <s v="DEAL-00686"/>
    <x v="3"/>
    <s v="CLI-0260"/>
    <x v="3"/>
    <x v="0"/>
    <x v="1"/>
    <n v="198909"/>
    <d v="2023-12-13T00:00:00"/>
    <m/>
    <m/>
    <n v="1.2"/>
    <x v="3"/>
    <x v="0"/>
    <s v="Normal"/>
  </r>
  <r>
    <s v="DEAL-01575"/>
    <x v="9"/>
    <s v="CLI-0120"/>
    <x v="4"/>
    <x v="0"/>
    <x v="2"/>
    <n v="481802"/>
    <d v="2023-11-26T00:00:00"/>
    <m/>
    <m/>
    <n v="6.6"/>
    <x v="0"/>
    <x v="0"/>
    <s v="Normal"/>
  </r>
  <r>
    <s v="DEAL-01706"/>
    <x v="7"/>
    <s v="CLI-0024"/>
    <x v="0"/>
    <x v="5"/>
    <x v="2"/>
    <n v="23206"/>
    <d v="2023-12-17T00:00:00"/>
    <m/>
    <m/>
    <n v="2.7"/>
    <x v="0"/>
    <x v="0"/>
    <s v="Normal"/>
  </r>
  <r>
    <s v="DEAL-01637"/>
    <x v="9"/>
    <s v="CLI-0018"/>
    <x v="0"/>
    <x v="0"/>
    <x v="2"/>
    <n v="251012"/>
    <d v="2023-01-29T00:00:00"/>
    <m/>
    <m/>
    <n v="14.4"/>
    <x v="0"/>
    <x v="2"/>
    <s v="Normal"/>
  </r>
  <r>
    <s v="DEAL-00795"/>
    <x v="2"/>
    <s v="CLI-0047"/>
    <x v="2"/>
    <x v="2"/>
    <x v="4"/>
    <n v="419675"/>
    <d v="2023-03-03T00:00:00"/>
    <m/>
    <m/>
    <n v="11.2"/>
    <x v="1"/>
    <x v="2"/>
    <s v="Normal"/>
  </r>
  <r>
    <s v="DEAL-00267"/>
    <x v="15"/>
    <s v="CLI-0059"/>
    <x v="2"/>
    <x v="1"/>
    <x v="3"/>
    <n v="458671"/>
    <d v="2023-02-08T00:00:00"/>
    <d v="2023-02-25T00:00:00"/>
    <n v="17"/>
    <n v="17.7"/>
    <x v="1"/>
    <x v="2"/>
    <s v="Normal"/>
  </r>
  <r>
    <s v="DEAL-01681"/>
    <x v="12"/>
    <s v="CLI-0179"/>
    <x v="1"/>
    <x v="0"/>
    <x v="2"/>
    <n v="357507"/>
    <d v="2024-05-06T00:00:00"/>
    <m/>
    <m/>
    <n v="5.7"/>
    <x v="2"/>
    <x v="7"/>
    <s v="Normal"/>
  </r>
  <r>
    <s v="DEAL-01612"/>
    <x v="12"/>
    <s v="CLI-0021"/>
    <x v="4"/>
    <x v="7"/>
    <x v="2"/>
    <n v="194044"/>
    <d v="2023-04-04T00:00:00"/>
    <m/>
    <m/>
    <n v="1.8"/>
    <x v="0"/>
    <x v="1"/>
    <s v="Normal"/>
  </r>
  <r>
    <s v="DEAL-01480"/>
    <x v="0"/>
    <s v="CLI-0190"/>
    <x v="0"/>
    <x v="5"/>
    <x v="5"/>
    <n v="128677"/>
    <d v="2023-01-21T00:00:00"/>
    <m/>
    <m/>
    <m/>
    <x v="0"/>
    <x v="2"/>
    <s v="Normal"/>
  </r>
  <r>
    <s v="DEAL-01850"/>
    <x v="13"/>
    <s v="CLI-0285"/>
    <x v="5"/>
    <x v="6"/>
    <x v="1"/>
    <n v="386877"/>
    <d v="2023-05-06T00:00:00"/>
    <m/>
    <m/>
    <m/>
    <x v="2"/>
    <x v="1"/>
    <s v="Normal"/>
  </r>
  <r>
    <s v="DEAL-00514"/>
    <x v="9"/>
    <s v="CLI-0169"/>
    <x v="3"/>
    <x v="4"/>
    <x v="2"/>
    <n v="453444"/>
    <d v="2024-03-30T00:00:00"/>
    <m/>
    <m/>
    <m/>
    <x v="3"/>
    <x v="5"/>
    <s v="Normal"/>
  </r>
  <r>
    <s v="DEAL-00436"/>
    <x v="14"/>
    <s v="CLI-0267"/>
    <x v="0"/>
    <x v="7"/>
    <x v="3"/>
    <n v="318681"/>
    <d v="2024-11-14T00:00:00"/>
    <d v="2025-02-07T00:00:00"/>
    <n v="85"/>
    <n v="17.399999999999999"/>
    <x v="3"/>
    <x v="3"/>
    <s v="Normal"/>
  </r>
  <r>
    <s v="DEAL-00910"/>
    <x v="10"/>
    <s v="CLI-0134"/>
    <x v="2"/>
    <x v="0"/>
    <x v="4"/>
    <n v="336617"/>
    <d v="2023-08-08T00:00:00"/>
    <m/>
    <m/>
    <n v="0.6"/>
    <x v="0"/>
    <x v="6"/>
    <s v="Normal"/>
  </r>
  <r>
    <s v="DEAL-01020"/>
    <x v="3"/>
    <s v="CLI-0260"/>
    <x v="5"/>
    <x v="2"/>
    <x v="3"/>
    <n v="369868"/>
    <d v="2023-04-07T00:00:00"/>
    <d v="2023-08-11T00:00:00"/>
    <n v="126"/>
    <n v="2.8"/>
    <x v="0"/>
    <x v="1"/>
    <s v="Normal"/>
  </r>
  <r>
    <s v="DEAL-00992"/>
    <x v="15"/>
    <s v="CLI-0236"/>
    <x v="4"/>
    <x v="4"/>
    <x v="5"/>
    <n v="10537"/>
    <d v="2024-04-19T00:00:00"/>
    <m/>
    <m/>
    <m/>
    <x v="3"/>
    <x v="7"/>
    <s v="Normal"/>
  </r>
  <r>
    <s v="DEAL-02349"/>
    <x v="2"/>
    <s v="CLI-0133"/>
    <x v="5"/>
    <x v="5"/>
    <x v="2"/>
    <n v="354519"/>
    <d v="2023-07-14T00:00:00"/>
    <m/>
    <m/>
    <m/>
    <x v="2"/>
    <x v="6"/>
    <s v="Normal"/>
  </r>
  <r>
    <s v="DEAL-01384"/>
    <x v="14"/>
    <s v="CLI-0143"/>
    <x v="0"/>
    <x v="6"/>
    <x v="3"/>
    <n v="268024"/>
    <d v="2024-06-05T00:00:00"/>
    <d v="2024-06-23T00:00:00"/>
    <n v="18"/>
    <n v="12.5"/>
    <x v="1"/>
    <x v="7"/>
    <s v="Normal"/>
  </r>
  <r>
    <s v="DEAL-02097"/>
    <x v="13"/>
    <s v="CLI-0063"/>
    <x v="1"/>
    <x v="2"/>
    <x v="4"/>
    <n v="95643"/>
    <d v="2023-05-30T00:00:00"/>
    <m/>
    <m/>
    <n v="13"/>
    <x v="2"/>
    <x v="1"/>
    <s v="Normal"/>
  </r>
  <r>
    <s v="DEAL-00949"/>
    <x v="10"/>
    <s v="CLI-0061"/>
    <x v="1"/>
    <x v="6"/>
    <x v="0"/>
    <n v="296216"/>
    <d v="2024-11-10T00:00:00"/>
    <d v="2025-04-11T00:00:00"/>
    <n v="152"/>
    <n v="13.7"/>
    <x v="0"/>
    <x v="3"/>
    <s v="Normal"/>
  </r>
  <r>
    <s v="DEAL-00885"/>
    <x v="13"/>
    <s v="CLI-0201"/>
    <x v="0"/>
    <x v="5"/>
    <x v="4"/>
    <n v="279618"/>
    <d v="2025-02-24T00:00:00"/>
    <m/>
    <m/>
    <m/>
    <x v="1"/>
    <x v="4"/>
    <s v="Normal"/>
  </r>
  <r>
    <s v="DEAL-00476"/>
    <x v="9"/>
    <s v="CLI-0100"/>
    <x v="5"/>
    <x v="4"/>
    <x v="4"/>
    <n v="14080"/>
    <d v="2024-01-14T00:00:00"/>
    <m/>
    <m/>
    <n v="10.1"/>
    <x v="2"/>
    <x v="5"/>
    <s v="Normal"/>
  </r>
  <r>
    <s v="DEAL-00671"/>
    <x v="2"/>
    <s v="CLI-0118"/>
    <x v="0"/>
    <x v="0"/>
    <x v="4"/>
    <n v="99418"/>
    <d v="2023-12-28T00:00:00"/>
    <m/>
    <m/>
    <n v="6.1"/>
    <x v="2"/>
    <x v="0"/>
    <s v="Normal"/>
  </r>
  <r>
    <s v="DEAL-00482"/>
    <x v="0"/>
    <s v="CLI-0270"/>
    <x v="0"/>
    <x v="5"/>
    <x v="5"/>
    <n v="154760"/>
    <d v="2025-01-23T00:00:00"/>
    <m/>
    <m/>
    <n v="7.7"/>
    <x v="2"/>
    <x v="4"/>
    <s v="Normal"/>
  </r>
  <r>
    <s v="DEAL-01555"/>
    <x v="7"/>
    <s v="CLI-0293"/>
    <x v="2"/>
    <x v="1"/>
    <x v="5"/>
    <n v="12398"/>
    <d v="2024-09-15T00:00:00"/>
    <m/>
    <m/>
    <m/>
    <x v="0"/>
    <x v="8"/>
    <s v="Normal"/>
  </r>
  <r>
    <s v="DEAL-00422"/>
    <x v="9"/>
    <s v="CLI-0139"/>
    <x v="2"/>
    <x v="3"/>
    <x v="4"/>
    <n v="398503"/>
    <d v="2024-03-17T00:00:00"/>
    <m/>
    <m/>
    <n v="5.4"/>
    <x v="1"/>
    <x v="5"/>
    <s v="Normal"/>
  </r>
  <r>
    <s v="DEAL-02113"/>
    <x v="9"/>
    <s v="CLI-0065"/>
    <x v="2"/>
    <x v="0"/>
    <x v="4"/>
    <n v="426458"/>
    <d v="2024-11-04T00:00:00"/>
    <m/>
    <m/>
    <n v="7.3"/>
    <x v="0"/>
    <x v="3"/>
    <s v="Normal"/>
  </r>
  <r>
    <s v="DEAL-01864"/>
    <x v="7"/>
    <s v="CLI-0182"/>
    <x v="0"/>
    <x v="7"/>
    <x v="4"/>
    <n v="32657"/>
    <d v="2024-08-18T00:00:00"/>
    <m/>
    <m/>
    <m/>
    <x v="0"/>
    <x v="8"/>
    <s v="Normal"/>
  </r>
  <r>
    <s v="DEAL-01771"/>
    <x v="8"/>
    <s v="CLI-0154"/>
    <x v="1"/>
    <x v="2"/>
    <x v="4"/>
    <n v="136734"/>
    <d v="2023-02-15T00:00:00"/>
    <m/>
    <m/>
    <m/>
    <x v="3"/>
    <x v="2"/>
    <s v="Normal"/>
  </r>
  <r>
    <s v="DEAL-00445"/>
    <x v="15"/>
    <s v="CLI-0134"/>
    <x v="2"/>
    <x v="0"/>
    <x v="3"/>
    <n v="309038"/>
    <d v="2024-05-27T00:00:00"/>
    <d v="2024-09-09T00:00:00"/>
    <n v="105"/>
    <n v="22.5"/>
    <x v="1"/>
    <x v="7"/>
    <s v="Normal"/>
  </r>
  <r>
    <s v="DEAL-01337"/>
    <x v="7"/>
    <s v="CLI-0044"/>
    <x v="5"/>
    <x v="4"/>
    <x v="5"/>
    <n v="389000"/>
    <d v="2024-10-06T00:00:00"/>
    <m/>
    <m/>
    <m/>
    <x v="1"/>
    <x v="3"/>
    <s v="Normal"/>
  </r>
  <r>
    <s v="DEAL-00369"/>
    <x v="12"/>
    <s v="CLI-0221"/>
    <x v="4"/>
    <x v="3"/>
    <x v="2"/>
    <n v="1547947"/>
    <d v="2025-02-08T00:00:00"/>
    <m/>
    <m/>
    <n v="4.2"/>
    <x v="1"/>
    <x v="4"/>
    <s v="High Outlier"/>
  </r>
  <r>
    <s v="DEAL-00131"/>
    <x v="7"/>
    <s v="CLI-0245"/>
    <x v="2"/>
    <x v="5"/>
    <x v="5"/>
    <n v="370627"/>
    <d v="2023-01-30T00:00:00"/>
    <m/>
    <m/>
    <m/>
    <x v="3"/>
    <x v="2"/>
    <s v="Normal"/>
  </r>
  <r>
    <s v="DEAL-00680"/>
    <x v="12"/>
    <s v="CLI-0048"/>
    <x v="1"/>
    <x v="5"/>
    <x v="2"/>
    <n v="417769"/>
    <d v="2023-09-10T00:00:00"/>
    <m/>
    <m/>
    <m/>
    <x v="2"/>
    <x v="6"/>
    <s v="Normal"/>
  </r>
  <r>
    <s v="DEAL-01522"/>
    <x v="3"/>
    <s v="CLI-0076"/>
    <x v="4"/>
    <x v="3"/>
    <x v="3"/>
    <n v="385562"/>
    <d v="2023-05-25T00:00:00"/>
    <d v="2023-07-28T00:00:00"/>
    <n v="64"/>
    <n v="7.3"/>
    <x v="1"/>
    <x v="1"/>
    <s v="Normal"/>
  </r>
  <r>
    <s v="DEAL-00319"/>
    <x v="8"/>
    <s v="CLI-0201"/>
    <x v="3"/>
    <x v="0"/>
    <x v="2"/>
    <n v="61352"/>
    <d v="2023-08-16T00:00:00"/>
    <m/>
    <m/>
    <m/>
    <x v="3"/>
    <x v="6"/>
    <s v="Normal"/>
  </r>
  <r>
    <s v="DEAL-01985"/>
    <x v="3"/>
    <s v="CLI-0240"/>
    <x v="5"/>
    <x v="7"/>
    <x v="5"/>
    <n v="312721"/>
    <d v="2023-02-11T00:00:00"/>
    <m/>
    <m/>
    <n v="2.9"/>
    <x v="1"/>
    <x v="2"/>
    <s v="Normal"/>
  </r>
  <r>
    <s v="DEAL-02317"/>
    <x v="11"/>
    <s v="CLI-0300"/>
    <x v="1"/>
    <x v="7"/>
    <x v="3"/>
    <n v="221222"/>
    <d v="2024-09-30T00:00:00"/>
    <d v="2024-10-21T00:00:00"/>
    <n v="21"/>
    <n v="24.4"/>
    <x v="1"/>
    <x v="8"/>
    <s v="Normal"/>
  </r>
  <r>
    <s v="DEAL-00255"/>
    <x v="1"/>
    <s v="CLI-0141"/>
    <x v="3"/>
    <x v="5"/>
    <x v="0"/>
    <n v="404465"/>
    <d v="2024-07-10T00:00:00"/>
    <d v="2024-09-29T00:00:00"/>
    <n v="81"/>
    <n v="4.5"/>
    <x v="0"/>
    <x v="8"/>
    <s v="Normal"/>
  </r>
  <r>
    <s v="DEAL-00936"/>
    <x v="6"/>
    <s v="CLI-0098"/>
    <x v="0"/>
    <x v="2"/>
    <x v="3"/>
    <n v="444535"/>
    <d v="2023-07-13T00:00:00"/>
    <d v="2023-11-02T00:00:00"/>
    <n v="112"/>
    <n v="7.5"/>
    <x v="0"/>
    <x v="6"/>
    <s v="Normal"/>
  </r>
  <r>
    <s v="DEAL-02029"/>
    <x v="12"/>
    <s v="CLI-0271"/>
    <x v="1"/>
    <x v="3"/>
    <x v="2"/>
    <n v="401722"/>
    <d v="2024-02-21T00:00:00"/>
    <m/>
    <m/>
    <n v="12.6"/>
    <x v="3"/>
    <x v="5"/>
    <s v="Normal"/>
  </r>
  <r>
    <s v="DEAL-02428"/>
    <x v="0"/>
    <s v="CLI-0010"/>
    <x v="3"/>
    <x v="5"/>
    <x v="2"/>
    <n v="472525"/>
    <d v="2023-11-20T00:00:00"/>
    <m/>
    <m/>
    <n v="4.0999999999999996"/>
    <x v="3"/>
    <x v="0"/>
    <s v="Normal"/>
  </r>
  <r>
    <s v="DEAL-00092"/>
    <x v="5"/>
    <s v="CLI-0137"/>
    <x v="2"/>
    <x v="3"/>
    <x v="0"/>
    <n v="88042"/>
    <d v="2023-01-01T00:00:00"/>
    <d v="2023-01-25T00:00:00"/>
    <n v="24"/>
    <n v="4"/>
    <x v="0"/>
    <x v="2"/>
    <s v="Normal"/>
  </r>
  <r>
    <s v="DEAL-01748"/>
    <x v="7"/>
    <s v="CLI-0115"/>
    <x v="4"/>
    <x v="1"/>
    <x v="4"/>
    <n v="367011"/>
    <d v="2024-04-03T00:00:00"/>
    <m/>
    <m/>
    <m/>
    <x v="3"/>
    <x v="7"/>
    <s v="Normal"/>
  </r>
  <r>
    <s v="DEAL-00407"/>
    <x v="3"/>
    <s v="CLI-0014"/>
    <x v="1"/>
    <x v="6"/>
    <x v="4"/>
    <n v="56146"/>
    <d v="2024-01-13T00:00:00"/>
    <m/>
    <m/>
    <n v="12.2"/>
    <x v="3"/>
    <x v="5"/>
    <s v="Normal"/>
  </r>
  <r>
    <s v="DEAL-02319"/>
    <x v="15"/>
    <s v="CLI-0139"/>
    <x v="1"/>
    <x v="3"/>
    <x v="5"/>
    <n v="185841"/>
    <d v="2023-12-09T00:00:00"/>
    <m/>
    <m/>
    <n v="11.8"/>
    <x v="0"/>
    <x v="0"/>
    <s v="Normal"/>
  </r>
  <r>
    <s v="DEAL-01672"/>
    <x v="5"/>
    <s v="CLI-0002"/>
    <x v="4"/>
    <x v="6"/>
    <x v="5"/>
    <n v="345337"/>
    <d v="2024-07-31T00:00:00"/>
    <m/>
    <m/>
    <m/>
    <x v="0"/>
    <x v="8"/>
    <s v="Normal"/>
  </r>
  <r>
    <s v="DEAL-02441"/>
    <x v="1"/>
    <s v="CLI-0256"/>
    <x v="2"/>
    <x v="7"/>
    <x v="3"/>
    <n v="59673"/>
    <d v="2023-11-13T00:00:00"/>
    <d v="2024-02-16T00:00:00"/>
    <n v="95"/>
    <n v="8.9"/>
    <x v="1"/>
    <x v="0"/>
    <s v="Normal"/>
  </r>
  <r>
    <s v="DEAL-01269"/>
    <x v="11"/>
    <s v="CLI-0003"/>
    <x v="3"/>
    <x v="5"/>
    <x v="0"/>
    <n v="178107"/>
    <d v="2024-12-28T00:00:00"/>
    <d v="2025-05-14T00:00:00"/>
    <n v="137"/>
    <m/>
    <x v="2"/>
    <x v="3"/>
    <s v="Normal"/>
  </r>
  <r>
    <s v="DEAL-00264"/>
    <x v="2"/>
    <s v="CLI-0106"/>
    <x v="0"/>
    <x v="7"/>
    <x v="2"/>
    <n v="441714"/>
    <d v="2023-06-29T00:00:00"/>
    <m/>
    <m/>
    <m/>
    <x v="0"/>
    <x v="1"/>
    <s v="Normal"/>
  </r>
  <r>
    <s v="DEAL-02360"/>
    <x v="8"/>
    <s v="CLI-0017"/>
    <x v="4"/>
    <x v="3"/>
    <x v="5"/>
    <n v="434422"/>
    <d v="2024-01-13T00:00:00"/>
    <m/>
    <m/>
    <n v="14.7"/>
    <x v="1"/>
    <x v="5"/>
    <s v="Normal"/>
  </r>
  <r>
    <s v="DEAL-01442"/>
    <x v="10"/>
    <s v="CLI-0151"/>
    <x v="1"/>
    <x v="0"/>
    <x v="3"/>
    <n v="56338"/>
    <d v="2023-01-24T00:00:00"/>
    <d v="2023-06-15T00:00:00"/>
    <n v="142"/>
    <n v="11.8"/>
    <x v="0"/>
    <x v="2"/>
    <s v="Normal"/>
  </r>
  <r>
    <s v="DEAL-00716"/>
    <x v="2"/>
    <s v="CLI-0024"/>
    <x v="5"/>
    <x v="6"/>
    <x v="1"/>
    <n v="55740"/>
    <d v="2024-11-11T00:00:00"/>
    <m/>
    <m/>
    <n v="5.4"/>
    <x v="1"/>
    <x v="3"/>
    <s v="Normal"/>
  </r>
  <r>
    <s v="DEAL-02118"/>
    <x v="15"/>
    <s v="CLI-0268"/>
    <x v="1"/>
    <x v="0"/>
    <x v="0"/>
    <n v="237241"/>
    <d v="2024-08-24T00:00:00"/>
    <d v="2024-09-18T00:00:00"/>
    <n v="25"/>
    <n v="0"/>
    <x v="1"/>
    <x v="8"/>
    <s v="Normal"/>
  </r>
  <r>
    <s v="DEAL-00808"/>
    <x v="12"/>
    <s v="CLI-0234"/>
    <x v="1"/>
    <x v="6"/>
    <x v="4"/>
    <n v="43170"/>
    <d v="2023-06-12T00:00:00"/>
    <m/>
    <m/>
    <m/>
    <x v="2"/>
    <x v="1"/>
    <s v="Normal"/>
  </r>
  <r>
    <s v="DEAL-01207"/>
    <x v="13"/>
    <s v="CLI-0041"/>
    <x v="5"/>
    <x v="4"/>
    <x v="2"/>
    <n v="13588"/>
    <d v="2025-01-06T00:00:00"/>
    <m/>
    <m/>
    <n v="11.2"/>
    <x v="1"/>
    <x v="4"/>
    <s v="Normal"/>
  </r>
  <r>
    <s v="DEAL-01418"/>
    <x v="3"/>
    <s v="CLI-0141"/>
    <x v="0"/>
    <x v="3"/>
    <x v="3"/>
    <n v="120776"/>
    <d v="2023-12-25T00:00:00"/>
    <d v="2024-01-25T00:00:00"/>
    <n v="31"/>
    <n v="21.3"/>
    <x v="2"/>
    <x v="0"/>
    <s v="Normal"/>
  </r>
  <r>
    <s v="DEAL-01476"/>
    <x v="14"/>
    <s v="CLI-0128"/>
    <x v="5"/>
    <x v="5"/>
    <x v="3"/>
    <n v="455057"/>
    <d v="2023-10-03T00:00:00"/>
    <d v="2024-01-03T00:00:00"/>
    <n v="92"/>
    <n v="20.9"/>
    <x v="1"/>
    <x v="0"/>
    <s v="Normal"/>
  </r>
  <r>
    <s v="DEAL-01796"/>
    <x v="3"/>
    <s v="CLI-0258"/>
    <x v="1"/>
    <x v="5"/>
    <x v="3"/>
    <n v="275730"/>
    <d v="2023-01-13T00:00:00"/>
    <d v="2023-04-24T00:00:00"/>
    <n v="101"/>
    <n v="10.1"/>
    <x v="3"/>
    <x v="2"/>
    <s v="Normal"/>
  </r>
  <r>
    <s v="DEAL-00601"/>
    <x v="0"/>
    <s v="CLI-0247"/>
    <x v="4"/>
    <x v="6"/>
    <x v="2"/>
    <n v="482360"/>
    <d v="2024-03-07T00:00:00"/>
    <m/>
    <m/>
    <n v="13.4"/>
    <x v="1"/>
    <x v="5"/>
    <s v="Normal"/>
  </r>
  <r>
    <s v="DEAL-01313"/>
    <x v="14"/>
    <s v="CLI-0020"/>
    <x v="5"/>
    <x v="1"/>
    <x v="2"/>
    <n v="383450"/>
    <d v="2023-06-05T00:00:00"/>
    <m/>
    <m/>
    <n v="15"/>
    <x v="1"/>
    <x v="1"/>
    <s v="Normal"/>
  </r>
  <r>
    <s v="DEAL-01843"/>
    <x v="4"/>
    <s v="CLI-0052"/>
    <x v="0"/>
    <x v="4"/>
    <x v="4"/>
    <n v="393447"/>
    <d v="2023-12-28T00:00:00"/>
    <m/>
    <m/>
    <n v="5"/>
    <x v="3"/>
    <x v="0"/>
    <s v="Normal"/>
  </r>
  <r>
    <s v="DEAL-01380"/>
    <x v="4"/>
    <s v="CLI-0233"/>
    <x v="2"/>
    <x v="3"/>
    <x v="5"/>
    <n v="132358"/>
    <d v="2024-04-26T00:00:00"/>
    <m/>
    <m/>
    <n v="13"/>
    <x v="0"/>
    <x v="7"/>
    <s v="Normal"/>
  </r>
  <r>
    <s v="DEAL-01757"/>
    <x v="10"/>
    <s v="CLI-0148"/>
    <x v="0"/>
    <x v="2"/>
    <x v="5"/>
    <n v="96397"/>
    <d v="2024-01-21T00:00:00"/>
    <m/>
    <m/>
    <m/>
    <x v="0"/>
    <x v="5"/>
    <s v="Normal"/>
  </r>
  <r>
    <s v="DEAL-01914"/>
    <x v="13"/>
    <s v="CLI-0016"/>
    <x v="1"/>
    <x v="5"/>
    <x v="2"/>
    <n v="494338"/>
    <d v="2023-09-12T00:00:00"/>
    <m/>
    <m/>
    <n v="0.8"/>
    <x v="1"/>
    <x v="6"/>
    <s v="Normal"/>
  </r>
  <r>
    <s v="DEAL-02443"/>
    <x v="3"/>
    <s v="CLI-0299"/>
    <x v="1"/>
    <x v="6"/>
    <x v="5"/>
    <n v="140891"/>
    <d v="2024-07-10T00:00:00"/>
    <m/>
    <m/>
    <m/>
    <x v="0"/>
    <x v="8"/>
    <s v="Normal"/>
  </r>
  <r>
    <s v="DEAL-01350"/>
    <x v="4"/>
    <s v="CLI-0082"/>
    <x v="0"/>
    <x v="6"/>
    <x v="1"/>
    <n v="15497"/>
    <d v="2024-10-17T00:00:00"/>
    <m/>
    <m/>
    <n v="2.2999999999999998"/>
    <x v="0"/>
    <x v="3"/>
    <s v="Normal"/>
  </r>
  <r>
    <s v="DEAL-00321"/>
    <x v="15"/>
    <s v="CLI-0207"/>
    <x v="5"/>
    <x v="6"/>
    <x v="5"/>
    <n v="76884"/>
    <d v="2024-12-04T00:00:00"/>
    <m/>
    <m/>
    <m/>
    <x v="1"/>
    <x v="3"/>
    <s v="Normal"/>
  </r>
  <r>
    <s v="DEAL-00559"/>
    <x v="7"/>
    <s v="CLI-0086"/>
    <x v="5"/>
    <x v="1"/>
    <x v="5"/>
    <n v="208169"/>
    <d v="2024-05-11T00:00:00"/>
    <m/>
    <m/>
    <n v="9.6999999999999993"/>
    <x v="0"/>
    <x v="7"/>
    <s v="Normal"/>
  </r>
  <r>
    <s v="DEAL-00376"/>
    <x v="0"/>
    <s v="CLI-0181"/>
    <x v="4"/>
    <x v="5"/>
    <x v="0"/>
    <n v="162389"/>
    <d v="2024-08-06T00:00:00"/>
    <d v="2024-12-01T00:00:00"/>
    <n v="117"/>
    <n v="3.3"/>
    <x v="3"/>
    <x v="8"/>
    <s v="Normal"/>
  </r>
  <r>
    <s v="DEAL-01844"/>
    <x v="4"/>
    <s v="CLI-0032"/>
    <x v="5"/>
    <x v="7"/>
    <x v="3"/>
    <n v="412959"/>
    <d v="2023-05-12T00:00:00"/>
    <d v="2023-06-28T00:00:00"/>
    <n v="47"/>
    <n v="4.3"/>
    <x v="3"/>
    <x v="1"/>
    <s v="Normal"/>
  </r>
  <r>
    <s v="DEAL-00991"/>
    <x v="3"/>
    <s v="CLI-0153"/>
    <x v="2"/>
    <x v="4"/>
    <x v="2"/>
    <n v="499664"/>
    <d v="2025-03-24T00:00:00"/>
    <m/>
    <m/>
    <m/>
    <x v="3"/>
    <x v="4"/>
    <s v="Normal"/>
  </r>
  <r>
    <s v="DEAL-01423"/>
    <x v="2"/>
    <s v="CLI-0159"/>
    <x v="1"/>
    <x v="4"/>
    <x v="2"/>
    <n v="262812"/>
    <d v="2023-07-22T00:00:00"/>
    <m/>
    <m/>
    <m/>
    <x v="2"/>
    <x v="6"/>
    <s v="Normal"/>
  </r>
  <r>
    <s v="DEAL-01995"/>
    <x v="3"/>
    <s v="CLI-0021"/>
    <x v="2"/>
    <x v="0"/>
    <x v="5"/>
    <n v="360600"/>
    <d v="2023-10-24T00:00:00"/>
    <m/>
    <m/>
    <m/>
    <x v="1"/>
    <x v="0"/>
    <s v="Normal"/>
  </r>
  <r>
    <s v="DEAL-01293"/>
    <x v="6"/>
    <s v="CLI-0242"/>
    <x v="3"/>
    <x v="1"/>
    <x v="3"/>
    <n v="433801"/>
    <d v="2024-02-01T00:00:00"/>
    <d v="2024-06-15T00:00:00"/>
    <n v="135"/>
    <n v="14.3"/>
    <x v="1"/>
    <x v="5"/>
    <s v="Normal"/>
  </r>
  <r>
    <s v="DEAL-00544"/>
    <x v="3"/>
    <s v="CLI-0230"/>
    <x v="5"/>
    <x v="8"/>
    <x v="1"/>
    <n v="402173"/>
    <d v="2024-01-14T00:00:00"/>
    <m/>
    <m/>
    <n v="4.5999999999999996"/>
    <x v="0"/>
    <x v="5"/>
    <s v="Normal"/>
  </r>
  <r>
    <s v="DEAL-01461"/>
    <x v="10"/>
    <s v="CLI-0076"/>
    <x v="3"/>
    <x v="2"/>
    <x v="3"/>
    <n v="55310"/>
    <d v="2024-02-04T00:00:00"/>
    <d v="2024-06-01T00:00:00"/>
    <n v="118"/>
    <n v="16.3"/>
    <x v="0"/>
    <x v="5"/>
    <s v="Normal"/>
  </r>
  <r>
    <s v="DEAL-00004"/>
    <x v="0"/>
    <s v="CLI-0250"/>
    <x v="1"/>
    <x v="6"/>
    <x v="3"/>
    <n v="125653"/>
    <d v="2024-03-08T00:00:00"/>
    <d v="2024-08-30T00:00:00"/>
    <n v="175"/>
    <n v="19.100000000000001"/>
    <x v="2"/>
    <x v="5"/>
    <s v="Normal"/>
  </r>
  <r>
    <s v="DEAL-00017"/>
    <x v="14"/>
    <s v="CLI-0206"/>
    <x v="5"/>
    <x v="7"/>
    <x v="1"/>
    <n v="125722"/>
    <d v="2023-03-14T00:00:00"/>
    <m/>
    <m/>
    <n v="0.2"/>
    <x v="0"/>
    <x v="2"/>
    <s v="Normal"/>
  </r>
  <r>
    <s v="DEAL-01048"/>
    <x v="7"/>
    <s v="CLI-0176"/>
    <x v="1"/>
    <x v="1"/>
    <x v="3"/>
    <n v="436598"/>
    <d v="2024-07-03T00:00:00"/>
    <d v="2024-08-03T00:00:00"/>
    <n v="31"/>
    <n v="23.4"/>
    <x v="2"/>
    <x v="8"/>
    <s v="Normal"/>
  </r>
  <r>
    <s v="DEAL-01360"/>
    <x v="12"/>
    <s v="CLI-0114"/>
    <x v="5"/>
    <x v="8"/>
    <x v="2"/>
    <n v="121368"/>
    <d v="2024-05-21T00:00:00"/>
    <m/>
    <m/>
    <n v="9.9"/>
    <x v="1"/>
    <x v="7"/>
    <s v="Normal"/>
  </r>
  <r>
    <s v="DEAL-00029"/>
    <x v="8"/>
    <s v="CLI-0188"/>
    <x v="5"/>
    <x v="3"/>
    <x v="3"/>
    <n v="98738"/>
    <d v="2024-09-23T00:00:00"/>
    <d v="2025-01-29T00:00:00"/>
    <n v="128"/>
    <n v="11"/>
    <x v="1"/>
    <x v="8"/>
    <s v="Normal"/>
  </r>
  <r>
    <s v="DEAL-01648"/>
    <x v="11"/>
    <s v="CLI-0147"/>
    <x v="4"/>
    <x v="8"/>
    <x v="5"/>
    <n v="398313"/>
    <d v="2023-06-21T00:00:00"/>
    <m/>
    <m/>
    <m/>
    <x v="2"/>
    <x v="1"/>
    <s v="Normal"/>
  </r>
  <r>
    <s v="DEAL-02466"/>
    <x v="6"/>
    <s v="CLI-0214"/>
    <x v="4"/>
    <x v="7"/>
    <x v="5"/>
    <n v="132675"/>
    <d v="2024-11-03T00:00:00"/>
    <m/>
    <m/>
    <m/>
    <x v="3"/>
    <x v="3"/>
    <s v="Normal"/>
  </r>
  <r>
    <s v="DEAL-01607"/>
    <x v="6"/>
    <s v="CLI-0295"/>
    <x v="0"/>
    <x v="2"/>
    <x v="4"/>
    <n v="155524"/>
    <d v="2023-02-02T00:00:00"/>
    <m/>
    <m/>
    <n v="8.4"/>
    <x v="1"/>
    <x v="2"/>
    <s v="Normal"/>
  </r>
  <r>
    <s v="DEAL-01429"/>
    <x v="6"/>
    <s v="CLI-0131"/>
    <x v="1"/>
    <x v="1"/>
    <x v="0"/>
    <n v="19891"/>
    <d v="2023-05-22T00:00:00"/>
    <d v="2023-07-19T00:00:00"/>
    <n v="58"/>
    <m/>
    <x v="1"/>
    <x v="1"/>
    <s v="Normal"/>
  </r>
  <r>
    <s v="DEAL-02020"/>
    <x v="7"/>
    <s v="CLI-0235"/>
    <x v="4"/>
    <x v="2"/>
    <x v="1"/>
    <n v="16012"/>
    <d v="2024-09-16T00:00:00"/>
    <m/>
    <m/>
    <n v="14.2"/>
    <x v="1"/>
    <x v="8"/>
    <s v="Normal"/>
  </r>
  <r>
    <s v="DEAL-00202"/>
    <x v="11"/>
    <s v="CLI-0248"/>
    <x v="1"/>
    <x v="8"/>
    <x v="4"/>
    <n v="200702"/>
    <d v="2023-05-22T00:00:00"/>
    <m/>
    <m/>
    <m/>
    <x v="0"/>
    <x v="1"/>
    <s v="Normal"/>
  </r>
  <r>
    <s v="DEAL-00912"/>
    <x v="9"/>
    <s v="CLI-0222"/>
    <x v="4"/>
    <x v="1"/>
    <x v="0"/>
    <n v="88710"/>
    <d v="2024-01-20T00:00:00"/>
    <d v="2024-03-07T00:00:00"/>
    <n v="47"/>
    <m/>
    <x v="2"/>
    <x v="5"/>
    <s v="Normal"/>
  </r>
  <r>
    <s v="DEAL-00815"/>
    <x v="2"/>
    <s v="CLI-0222"/>
    <x v="4"/>
    <x v="3"/>
    <x v="3"/>
    <n v="418969"/>
    <d v="2024-11-11T00:00:00"/>
    <d v="2024-12-02T00:00:00"/>
    <n v="21"/>
    <n v="18.100000000000001"/>
    <x v="3"/>
    <x v="3"/>
    <s v="Normal"/>
  </r>
  <r>
    <s v="DEAL-01433"/>
    <x v="2"/>
    <s v="CLI-0131"/>
    <x v="2"/>
    <x v="7"/>
    <x v="2"/>
    <n v="123549"/>
    <d v="2024-05-27T00:00:00"/>
    <m/>
    <m/>
    <n v="6"/>
    <x v="2"/>
    <x v="7"/>
    <s v="Normal"/>
  </r>
  <r>
    <s v="DEAL-02122"/>
    <x v="5"/>
    <s v="CLI-0281"/>
    <x v="5"/>
    <x v="4"/>
    <x v="3"/>
    <n v="298183"/>
    <d v="2023-11-06T00:00:00"/>
    <d v="2024-01-29T00:00:00"/>
    <n v="84"/>
    <n v="4.2"/>
    <x v="0"/>
    <x v="0"/>
    <s v="Normal"/>
  </r>
  <r>
    <s v="DEAL-00088"/>
    <x v="15"/>
    <s v="CLI-0026"/>
    <x v="0"/>
    <x v="0"/>
    <x v="1"/>
    <n v="334742"/>
    <d v="2024-08-31T00:00:00"/>
    <m/>
    <m/>
    <n v="9.8000000000000007"/>
    <x v="3"/>
    <x v="8"/>
    <s v="Normal"/>
  </r>
  <r>
    <s v="DEAL-01559"/>
    <x v="7"/>
    <s v="CLI-0083"/>
    <x v="3"/>
    <x v="3"/>
    <x v="1"/>
    <n v="82198"/>
    <d v="2023-12-26T00:00:00"/>
    <m/>
    <m/>
    <m/>
    <x v="1"/>
    <x v="0"/>
    <s v="Normal"/>
  </r>
  <r>
    <s v="DEAL-01546"/>
    <x v="1"/>
    <s v="CLI-0249"/>
    <x v="2"/>
    <x v="1"/>
    <x v="3"/>
    <n v="290170"/>
    <d v="2023-03-24T00:00:00"/>
    <d v="2023-09-20T00:00:00"/>
    <n v="180"/>
    <n v="24.4"/>
    <x v="0"/>
    <x v="2"/>
    <s v="Normal"/>
  </r>
  <r>
    <s v="DEAL-01572"/>
    <x v="2"/>
    <s v="CLI-0276"/>
    <x v="3"/>
    <x v="4"/>
    <x v="5"/>
    <n v="380801"/>
    <d v="2023-11-03T00:00:00"/>
    <m/>
    <m/>
    <n v="3.7"/>
    <x v="2"/>
    <x v="0"/>
    <s v="Normal"/>
  </r>
  <r>
    <s v="DEAL-01194"/>
    <x v="1"/>
    <s v="CLI-0184"/>
    <x v="2"/>
    <x v="5"/>
    <x v="3"/>
    <n v="82804"/>
    <d v="2023-07-26T00:00:00"/>
    <d v="2023-12-04T00:00:00"/>
    <n v="131"/>
    <n v="14.5"/>
    <x v="0"/>
    <x v="6"/>
    <s v="Normal"/>
  </r>
  <r>
    <s v="DEAL-02215"/>
    <x v="10"/>
    <s v="CLI-0081"/>
    <x v="4"/>
    <x v="1"/>
    <x v="4"/>
    <n v="215152"/>
    <d v="2023-02-03T00:00:00"/>
    <m/>
    <m/>
    <m/>
    <x v="2"/>
    <x v="2"/>
    <s v="Normal"/>
  </r>
  <r>
    <s v="DEAL-02469"/>
    <x v="12"/>
    <s v="CLI-0077"/>
    <x v="2"/>
    <x v="0"/>
    <x v="0"/>
    <n v="81235"/>
    <d v="2024-09-06T00:00:00"/>
    <d v="2024-10-07T00:00:00"/>
    <n v="31"/>
    <m/>
    <x v="1"/>
    <x v="8"/>
    <s v="Normal"/>
  </r>
  <r>
    <s v="DEAL-00221"/>
    <x v="9"/>
    <s v="CLI-0108"/>
    <x v="4"/>
    <x v="5"/>
    <x v="2"/>
    <n v="223530"/>
    <d v="2023-03-02T00:00:00"/>
    <m/>
    <m/>
    <n v="9.1999999999999993"/>
    <x v="3"/>
    <x v="2"/>
    <s v="Normal"/>
  </r>
  <r>
    <s v="DEAL-00697"/>
    <x v="10"/>
    <s v="CLI-0143"/>
    <x v="4"/>
    <x v="3"/>
    <x v="0"/>
    <n v="498659"/>
    <d v="2023-01-15T00:00:00"/>
    <d v="2023-02-27T00:00:00"/>
    <n v="43"/>
    <n v="3.5"/>
    <x v="2"/>
    <x v="2"/>
    <s v="Normal"/>
  </r>
  <r>
    <s v="DEAL-01201"/>
    <x v="3"/>
    <s v="CLI-0125"/>
    <x v="0"/>
    <x v="1"/>
    <x v="0"/>
    <n v="255140"/>
    <d v="2024-01-03T00:00:00"/>
    <d v="2024-06-29T00:00:00"/>
    <n v="178"/>
    <m/>
    <x v="1"/>
    <x v="5"/>
    <s v="Normal"/>
  </r>
  <r>
    <s v="DEAL-00663"/>
    <x v="7"/>
    <s v="CLI-0109"/>
    <x v="5"/>
    <x v="4"/>
    <x v="1"/>
    <n v="77384"/>
    <d v="2023-04-20T00:00:00"/>
    <m/>
    <m/>
    <m/>
    <x v="3"/>
    <x v="1"/>
    <s v="Normal"/>
  </r>
  <r>
    <s v="DEAL-01001"/>
    <x v="5"/>
    <s v="CLI-0107"/>
    <x v="5"/>
    <x v="1"/>
    <x v="0"/>
    <n v="180158"/>
    <d v="2024-05-20T00:00:00"/>
    <d v="2024-11-12T00:00:00"/>
    <n v="176"/>
    <n v="11"/>
    <x v="3"/>
    <x v="7"/>
    <s v="Normal"/>
  </r>
  <r>
    <s v="DEAL-02186"/>
    <x v="7"/>
    <s v="CLI-0019"/>
    <x v="4"/>
    <x v="1"/>
    <x v="4"/>
    <n v="88398"/>
    <d v="2024-07-27T00:00:00"/>
    <m/>
    <m/>
    <n v="9.8000000000000007"/>
    <x v="3"/>
    <x v="8"/>
    <s v="Normal"/>
  </r>
  <r>
    <s v="DEAL-01983"/>
    <x v="2"/>
    <s v="CLI-0129"/>
    <x v="0"/>
    <x v="5"/>
    <x v="3"/>
    <n v="372578"/>
    <d v="2025-01-09T00:00:00"/>
    <d v="2025-04-11T00:00:00"/>
    <n v="92"/>
    <n v="21.6"/>
    <x v="1"/>
    <x v="4"/>
    <s v="Normal"/>
  </r>
  <r>
    <s v="DEAL-00655"/>
    <x v="1"/>
    <s v="CLI-0240"/>
    <x v="2"/>
    <x v="1"/>
    <x v="3"/>
    <n v="161907"/>
    <d v="2024-07-29T00:00:00"/>
    <d v="2024-09-22T00:00:00"/>
    <n v="55"/>
    <n v="3.8"/>
    <x v="0"/>
    <x v="8"/>
    <s v="Normal"/>
  </r>
  <r>
    <s v="DEAL-00374"/>
    <x v="2"/>
    <s v="CLI-0098"/>
    <x v="0"/>
    <x v="2"/>
    <x v="3"/>
    <n v="83634"/>
    <d v="2024-08-05T00:00:00"/>
    <d v="2024-12-22T00:00:00"/>
    <n v="139"/>
    <n v="21.5"/>
    <x v="0"/>
    <x v="8"/>
    <s v="Normal"/>
  </r>
  <r>
    <s v="DEAL-00810"/>
    <x v="11"/>
    <s v="CLI-0147"/>
    <x v="5"/>
    <x v="1"/>
    <x v="0"/>
    <n v="92521"/>
    <d v="2024-08-31T00:00:00"/>
    <d v="2025-01-29T00:00:00"/>
    <n v="151"/>
    <n v="3.2"/>
    <x v="1"/>
    <x v="8"/>
    <s v="Normal"/>
  </r>
  <r>
    <s v="DEAL-00119"/>
    <x v="9"/>
    <s v="CLI-0098"/>
    <x v="0"/>
    <x v="6"/>
    <x v="2"/>
    <n v="348000"/>
    <d v="2023-07-13T00:00:00"/>
    <m/>
    <m/>
    <n v="0.9"/>
    <x v="1"/>
    <x v="6"/>
    <s v="Normal"/>
  </r>
  <r>
    <s v="DEAL-01221"/>
    <x v="14"/>
    <s v="CLI-0071"/>
    <x v="3"/>
    <x v="8"/>
    <x v="5"/>
    <n v="380235"/>
    <d v="2024-04-28T00:00:00"/>
    <m/>
    <m/>
    <n v="13.8"/>
    <x v="0"/>
    <x v="7"/>
    <s v="Normal"/>
  </r>
  <r>
    <s v="DEAL-00853"/>
    <x v="3"/>
    <s v="CLI-0229"/>
    <x v="5"/>
    <x v="0"/>
    <x v="1"/>
    <n v="360389"/>
    <d v="2024-09-18T00:00:00"/>
    <m/>
    <m/>
    <n v="5"/>
    <x v="3"/>
    <x v="8"/>
    <s v="Normal"/>
  </r>
  <r>
    <s v="DEAL-01368"/>
    <x v="7"/>
    <s v="CLI-0018"/>
    <x v="3"/>
    <x v="4"/>
    <x v="5"/>
    <n v="124079"/>
    <d v="2024-12-16T00:00:00"/>
    <m/>
    <m/>
    <n v="11.6"/>
    <x v="2"/>
    <x v="3"/>
    <s v="Normal"/>
  </r>
  <r>
    <s v="DEAL-00836"/>
    <x v="0"/>
    <s v="CLI-0033"/>
    <x v="5"/>
    <x v="5"/>
    <x v="1"/>
    <n v="246606"/>
    <d v="2023-12-12T00:00:00"/>
    <m/>
    <m/>
    <m/>
    <x v="3"/>
    <x v="0"/>
    <s v="Normal"/>
  </r>
  <r>
    <s v="DEAL-01674"/>
    <x v="15"/>
    <s v="CLI-0147"/>
    <x v="4"/>
    <x v="4"/>
    <x v="5"/>
    <n v="90877"/>
    <d v="2023-08-03T00:00:00"/>
    <m/>
    <m/>
    <n v="0.6"/>
    <x v="2"/>
    <x v="6"/>
    <s v="Normal"/>
  </r>
  <r>
    <s v="DEAL-02105"/>
    <x v="13"/>
    <s v="CLI-0268"/>
    <x v="0"/>
    <x v="3"/>
    <x v="2"/>
    <n v="455998"/>
    <d v="2024-01-05T00:00:00"/>
    <m/>
    <m/>
    <n v="5.2"/>
    <x v="1"/>
    <x v="5"/>
    <s v="Normal"/>
  </r>
  <r>
    <s v="DEAL-00365"/>
    <x v="14"/>
    <s v="CLI-0114"/>
    <x v="1"/>
    <x v="7"/>
    <x v="0"/>
    <n v="273125"/>
    <d v="2023-08-21T00:00:00"/>
    <d v="2023-12-22T00:00:00"/>
    <n v="123"/>
    <m/>
    <x v="0"/>
    <x v="6"/>
    <s v="Normal"/>
  </r>
  <r>
    <s v="DEAL-00524"/>
    <x v="12"/>
    <s v="CLI-0106"/>
    <x v="5"/>
    <x v="6"/>
    <x v="3"/>
    <n v="258288"/>
    <d v="2023-09-16T00:00:00"/>
    <d v="2024-01-04T00:00:00"/>
    <n v="110"/>
    <n v="12.1"/>
    <x v="0"/>
    <x v="6"/>
    <s v="Normal"/>
  </r>
  <r>
    <s v="DEAL-01521"/>
    <x v="3"/>
    <s v="CLI-0194"/>
    <x v="0"/>
    <x v="5"/>
    <x v="2"/>
    <n v="373485"/>
    <d v="2024-10-30T00:00:00"/>
    <m/>
    <m/>
    <n v="7.6"/>
    <x v="3"/>
    <x v="3"/>
    <s v="Normal"/>
  </r>
  <r>
    <s v="DEAL-00200"/>
    <x v="11"/>
    <s v="CLI-0162"/>
    <x v="2"/>
    <x v="7"/>
    <x v="0"/>
    <n v="421506"/>
    <d v="2023-02-17T00:00:00"/>
    <d v="2023-07-24T00:00:00"/>
    <n v="157"/>
    <n v="2.2999999999999998"/>
    <x v="3"/>
    <x v="2"/>
    <s v="Normal"/>
  </r>
  <r>
    <s v="DEAL-00062"/>
    <x v="1"/>
    <s v="CLI-0260"/>
    <x v="4"/>
    <x v="3"/>
    <x v="2"/>
    <n v="33084"/>
    <d v="2024-08-31T00:00:00"/>
    <m/>
    <m/>
    <n v="13.1"/>
    <x v="3"/>
    <x v="8"/>
    <s v="Normal"/>
  </r>
  <r>
    <s v="DEAL-01616"/>
    <x v="0"/>
    <s v="CLI-0105"/>
    <x v="5"/>
    <x v="8"/>
    <x v="1"/>
    <n v="141097"/>
    <d v="2023-03-08T00:00:00"/>
    <m/>
    <m/>
    <n v="9.4"/>
    <x v="1"/>
    <x v="2"/>
    <s v="Normal"/>
  </r>
  <r>
    <s v="DEAL-00048"/>
    <x v="9"/>
    <s v="CLI-0250"/>
    <x v="3"/>
    <x v="8"/>
    <x v="3"/>
    <n v="36901"/>
    <d v="2023-11-13T00:00:00"/>
    <d v="2024-03-21T00:00:00"/>
    <n v="129"/>
    <n v="4.5"/>
    <x v="1"/>
    <x v="0"/>
    <s v="Normal"/>
  </r>
  <r>
    <s v="DEAL-00253"/>
    <x v="14"/>
    <s v="CLI-0173"/>
    <x v="2"/>
    <x v="1"/>
    <x v="3"/>
    <n v="176210"/>
    <d v="2023-01-26T00:00:00"/>
    <d v="2023-03-27T00:00:00"/>
    <n v="60"/>
    <n v="6.6"/>
    <x v="3"/>
    <x v="2"/>
    <s v="Normal"/>
  </r>
  <r>
    <s v="DEAL-01321"/>
    <x v="7"/>
    <s v="CLI-0281"/>
    <x v="1"/>
    <x v="6"/>
    <x v="2"/>
    <n v="399169"/>
    <d v="2024-12-15T00:00:00"/>
    <m/>
    <m/>
    <n v="2"/>
    <x v="2"/>
    <x v="3"/>
    <s v="Normal"/>
  </r>
  <r>
    <s v="DEAL-01471"/>
    <x v="10"/>
    <s v="CLI-0203"/>
    <x v="1"/>
    <x v="3"/>
    <x v="3"/>
    <n v="129193"/>
    <d v="2024-08-22T00:00:00"/>
    <d v="2024-10-05T00:00:00"/>
    <n v="44"/>
    <n v="2.4"/>
    <x v="0"/>
    <x v="8"/>
    <s v="Normal"/>
  </r>
  <r>
    <s v="DEAL-01127"/>
    <x v="3"/>
    <s v="CLI-0228"/>
    <x v="0"/>
    <x v="3"/>
    <x v="2"/>
    <n v="1149522"/>
    <d v="2024-11-09T00:00:00"/>
    <m/>
    <m/>
    <n v="9.6"/>
    <x v="3"/>
    <x v="3"/>
    <s v="High Outlier"/>
  </r>
  <r>
    <s v="DEAL-02327"/>
    <x v="5"/>
    <s v="CLI-0164"/>
    <x v="0"/>
    <x v="8"/>
    <x v="4"/>
    <n v="496633"/>
    <d v="2024-02-09T00:00:00"/>
    <m/>
    <m/>
    <n v="9.6"/>
    <x v="3"/>
    <x v="5"/>
    <s v="Normal"/>
  </r>
  <r>
    <s v="DEAL-00042"/>
    <x v="0"/>
    <s v="CLI-0143"/>
    <x v="4"/>
    <x v="5"/>
    <x v="0"/>
    <n v="240311"/>
    <d v="2024-05-16T00:00:00"/>
    <d v="2024-08-22T00:00:00"/>
    <n v="98"/>
    <n v="13.3"/>
    <x v="3"/>
    <x v="7"/>
    <s v="Normal"/>
  </r>
  <r>
    <s v="DEAL-02033"/>
    <x v="7"/>
    <s v="CLI-0068"/>
    <x v="2"/>
    <x v="5"/>
    <x v="2"/>
    <n v="109894"/>
    <d v="2024-10-04T00:00:00"/>
    <m/>
    <m/>
    <n v="8"/>
    <x v="0"/>
    <x v="3"/>
    <s v="Normal"/>
  </r>
  <r>
    <s v="DEAL-02458"/>
    <x v="2"/>
    <s v="CLI-0248"/>
    <x v="0"/>
    <x v="4"/>
    <x v="3"/>
    <n v="237072"/>
    <d v="2023-09-03T00:00:00"/>
    <d v="2023-11-22T00:00:00"/>
    <n v="80"/>
    <n v="17.7"/>
    <x v="3"/>
    <x v="6"/>
    <s v="Normal"/>
  </r>
  <r>
    <s v="DEAL-01772"/>
    <x v="1"/>
    <s v="CLI-0150"/>
    <x v="2"/>
    <x v="4"/>
    <x v="2"/>
    <n v="196905"/>
    <d v="2024-05-25T00:00:00"/>
    <m/>
    <m/>
    <n v="0.8"/>
    <x v="2"/>
    <x v="7"/>
    <s v="Normal"/>
  </r>
  <r>
    <s v="DEAL-01660"/>
    <x v="15"/>
    <s v="CLI-0271"/>
    <x v="4"/>
    <x v="6"/>
    <x v="0"/>
    <n v="491148"/>
    <d v="2024-01-27T00:00:00"/>
    <d v="2024-07-24T00:00:00"/>
    <n v="179"/>
    <m/>
    <x v="1"/>
    <x v="5"/>
    <s v="Normal"/>
  </r>
  <r>
    <s v="DEAL-00315"/>
    <x v="15"/>
    <s v="CLI-0009"/>
    <x v="5"/>
    <x v="1"/>
    <x v="3"/>
    <n v="277696"/>
    <d v="2023-04-12T00:00:00"/>
    <d v="2023-05-08T00:00:00"/>
    <n v="26"/>
    <n v="4.7"/>
    <x v="2"/>
    <x v="1"/>
    <s v="Normal"/>
  </r>
  <r>
    <s v="DEAL-01294"/>
    <x v="15"/>
    <s v="CLI-0227"/>
    <x v="2"/>
    <x v="6"/>
    <x v="1"/>
    <n v="452412"/>
    <d v="2024-10-14T00:00:00"/>
    <m/>
    <m/>
    <m/>
    <x v="2"/>
    <x v="3"/>
    <s v="Normal"/>
  </r>
  <r>
    <s v="DEAL-02453"/>
    <x v="0"/>
    <s v="CLI-0215"/>
    <x v="5"/>
    <x v="5"/>
    <x v="2"/>
    <n v="110025"/>
    <d v="2023-11-07T00:00:00"/>
    <m/>
    <m/>
    <m/>
    <x v="0"/>
    <x v="0"/>
    <s v="Normal"/>
  </r>
  <r>
    <s v="DEAL-01135"/>
    <x v="10"/>
    <s v="CLI-0188"/>
    <x v="5"/>
    <x v="6"/>
    <x v="0"/>
    <n v="81789"/>
    <d v="2024-03-11T00:00:00"/>
    <d v="2024-05-10T00:00:00"/>
    <n v="60"/>
    <m/>
    <x v="3"/>
    <x v="5"/>
    <s v="Normal"/>
  </r>
  <r>
    <s v="DEAL-00981"/>
    <x v="5"/>
    <s v="CLI-0212"/>
    <x v="5"/>
    <x v="2"/>
    <x v="1"/>
    <n v="1977965"/>
    <d v="2025-02-17T00:00:00"/>
    <m/>
    <m/>
    <n v="2.9"/>
    <x v="1"/>
    <x v="4"/>
    <s v="High Outlier"/>
  </r>
  <r>
    <s v="DEAL-02289"/>
    <x v="5"/>
    <s v="CLI-0156"/>
    <x v="2"/>
    <x v="7"/>
    <x v="4"/>
    <n v="285361"/>
    <d v="2023-04-30T00:00:00"/>
    <m/>
    <m/>
    <n v="7.3"/>
    <x v="1"/>
    <x v="1"/>
    <s v="Normal"/>
  </r>
  <r>
    <s v="DEAL-00176"/>
    <x v="4"/>
    <s v="CLI-0286"/>
    <x v="0"/>
    <x v="0"/>
    <x v="5"/>
    <n v="195756"/>
    <d v="2024-11-17T00:00:00"/>
    <m/>
    <m/>
    <n v="14.5"/>
    <x v="3"/>
    <x v="3"/>
    <s v="Normal"/>
  </r>
  <r>
    <s v="DEAL-01168"/>
    <x v="1"/>
    <s v="CLI-0247"/>
    <x v="5"/>
    <x v="2"/>
    <x v="3"/>
    <n v="466743"/>
    <d v="2023-12-26T00:00:00"/>
    <d v="2024-02-07T00:00:00"/>
    <n v="43"/>
    <n v="5.9"/>
    <x v="2"/>
    <x v="0"/>
    <s v="Normal"/>
  </r>
  <r>
    <s v="DEAL-00952"/>
    <x v="11"/>
    <s v="CLI-0052"/>
    <x v="3"/>
    <x v="6"/>
    <x v="2"/>
    <n v="225372"/>
    <d v="2024-10-25T00:00:00"/>
    <m/>
    <m/>
    <n v="1.9"/>
    <x v="2"/>
    <x v="3"/>
    <s v="Normal"/>
  </r>
  <r>
    <s v="DEAL-01391"/>
    <x v="8"/>
    <s v="CLI-0184"/>
    <x v="5"/>
    <x v="4"/>
    <x v="5"/>
    <n v="272486"/>
    <d v="2025-03-08T00:00:00"/>
    <m/>
    <m/>
    <n v="2.2000000000000002"/>
    <x v="2"/>
    <x v="4"/>
    <s v="Normal"/>
  </r>
  <r>
    <s v="DEAL-02077"/>
    <x v="14"/>
    <s v="CLI-0066"/>
    <x v="0"/>
    <x v="1"/>
    <x v="3"/>
    <n v="434226"/>
    <d v="2023-10-09T00:00:00"/>
    <d v="2024-02-14T00:00:00"/>
    <n v="128"/>
    <n v="21.6"/>
    <x v="3"/>
    <x v="0"/>
    <s v="Normal"/>
  </r>
  <r>
    <s v="DEAL-01798"/>
    <x v="14"/>
    <s v="CLI-0206"/>
    <x v="5"/>
    <x v="1"/>
    <x v="3"/>
    <n v="434837"/>
    <d v="2023-10-16T00:00:00"/>
    <d v="2024-01-16T00:00:00"/>
    <n v="92"/>
    <n v="0.4"/>
    <x v="1"/>
    <x v="0"/>
    <s v="Normal"/>
  </r>
  <r>
    <s v="DEAL-02074"/>
    <x v="11"/>
    <s v="CLI-0036"/>
    <x v="2"/>
    <x v="4"/>
    <x v="1"/>
    <n v="406460"/>
    <d v="2024-11-20T00:00:00"/>
    <m/>
    <m/>
    <m/>
    <x v="2"/>
    <x v="3"/>
    <s v="Normal"/>
  </r>
  <r>
    <s v="DEAL-02256"/>
    <x v="12"/>
    <s v="CLI-0258"/>
    <x v="1"/>
    <x v="2"/>
    <x v="0"/>
    <n v="70286"/>
    <d v="2024-04-01T00:00:00"/>
    <d v="2024-09-21T00:00:00"/>
    <n v="173"/>
    <m/>
    <x v="3"/>
    <x v="7"/>
    <s v="Normal"/>
  </r>
  <r>
    <s v="DEAL-01153"/>
    <x v="11"/>
    <s v="CLI-0234"/>
    <x v="0"/>
    <x v="1"/>
    <x v="3"/>
    <n v="424139"/>
    <d v="2023-07-31T00:00:00"/>
    <d v="2023-12-01T00:00:00"/>
    <n v="123"/>
    <n v="21.8"/>
    <x v="0"/>
    <x v="6"/>
    <s v="Normal"/>
  </r>
  <r>
    <s v="DEAL-01966"/>
    <x v="12"/>
    <s v="CLI-0276"/>
    <x v="4"/>
    <x v="0"/>
    <x v="2"/>
    <n v="286661"/>
    <d v="2024-07-29T00:00:00"/>
    <m/>
    <m/>
    <n v="4.0999999999999996"/>
    <x v="0"/>
    <x v="8"/>
    <s v="Normal"/>
  </r>
  <r>
    <s v="DEAL-02449"/>
    <x v="14"/>
    <s v="CLI-0237"/>
    <x v="1"/>
    <x v="5"/>
    <x v="0"/>
    <n v="123036"/>
    <d v="2023-01-26T00:00:00"/>
    <d v="2023-04-04T00:00:00"/>
    <n v="68"/>
    <n v="5.2"/>
    <x v="0"/>
    <x v="2"/>
    <s v="Normal"/>
  </r>
  <r>
    <s v="DEAL-00599"/>
    <x v="1"/>
    <s v="CLI-0060"/>
    <x v="3"/>
    <x v="5"/>
    <x v="3"/>
    <n v="126317"/>
    <d v="2023-07-23T00:00:00"/>
    <d v="2023-11-05T00:00:00"/>
    <n v="105"/>
    <n v="19.5"/>
    <x v="3"/>
    <x v="6"/>
    <s v="Normal"/>
  </r>
  <r>
    <s v="DEAL-00724"/>
    <x v="14"/>
    <s v="CLI-0053"/>
    <x v="1"/>
    <x v="5"/>
    <x v="5"/>
    <n v="57703"/>
    <d v="2023-12-17T00:00:00"/>
    <m/>
    <m/>
    <n v="8"/>
    <x v="3"/>
    <x v="0"/>
    <s v="Normal"/>
  </r>
  <r>
    <s v="DEAL-01702"/>
    <x v="0"/>
    <s v="CLI-0211"/>
    <x v="2"/>
    <x v="0"/>
    <x v="2"/>
    <n v="363268"/>
    <d v="2024-12-21T00:00:00"/>
    <m/>
    <m/>
    <n v="7.9"/>
    <x v="0"/>
    <x v="3"/>
    <s v="Normal"/>
  </r>
  <r>
    <s v="DEAL-01810"/>
    <x v="9"/>
    <s v="CLI-0135"/>
    <x v="3"/>
    <x v="6"/>
    <x v="1"/>
    <n v="498123"/>
    <d v="2023-03-04T00:00:00"/>
    <m/>
    <m/>
    <m/>
    <x v="0"/>
    <x v="2"/>
    <s v="Normal"/>
  </r>
  <r>
    <s v="DEAL-02088"/>
    <x v="11"/>
    <s v="CLI-0085"/>
    <x v="3"/>
    <x v="5"/>
    <x v="4"/>
    <n v="386847"/>
    <d v="2023-04-08T00:00:00"/>
    <m/>
    <m/>
    <n v="12.9"/>
    <x v="1"/>
    <x v="1"/>
    <s v="Normal"/>
  </r>
  <r>
    <s v="DEAL-01195"/>
    <x v="11"/>
    <s v="CLI-0222"/>
    <x v="0"/>
    <x v="4"/>
    <x v="0"/>
    <n v="464348"/>
    <d v="2024-03-11T00:00:00"/>
    <d v="2024-07-26T00:00:00"/>
    <n v="137"/>
    <m/>
    <x v="3"/>
    <x v="5"/>
    <s v="Normal"/>
  </r>
  <r>
    <s v="DEAL-01602"/>
    <x v="14"/>
    <s v="CLI-0250"/>
    <x v="5"/>
    <x v="1"/>
    <x v="3"/>
    <n v="204810"/>
    <d v="2023-12-07T00:00:00"/>
    <d v="2024-04-28T00:00:00"/>
    <n v="143"/>
    <n v="17.399999999999999"/>
    <x v="1"/>
    <x v="0"/>
    <s v="Normal"/>
  </r>
  <r>
    <s v="DEAL-01875"/>
    <x v="1"/>
    <s v="CLI-0034"/>
    <x v="5"/>
    <x v="8"/>
    <x v="3"/>
    <n v="341518"/>
    <d v="2024-01-31T00:00:00"/>
    <d v="2024-04-30T00:00:00"/>
    <n v="90"/>
    <n v="13.9"/>
    <x v="2"/>
    <x v="5"/>
    <s v="Normal"/>
  </r>
  <r>
    <s v="DEAL-01035"/>
    <x v="1"/>
    <s v="CLI-0175"/>
    <x v="1"/>
    <x v="3"/>
    <x v="5"/>
    <n v="268469"/>
    <d v="2024-08-31T00:00:00"/>
    <m/>
    <m/>
    <n v="14.3"/>
    <x v="0"/>
    <x v="8"/>
    <s v="Normal"/>
  </r>
  <r>
    <s v="DEAL-00403"/>
    <x v="6"/>
    <s v="CLI-0298"/>
    <x v="0"/>
    <x v="0"/>
    <x v="4"/>
    <n v="430859"/>
    <d v="2023-02-17T00:00:00"/>
    <m/>
    <m/>
    <n v="14.9"/>
    <x v="3"/>
    <x v="2"/>
    <s v="Normal"/>
  </r>
  <r>
    <s v="DEAL-01382"/>
    <x v="15"/>
    <s v="CLI-0015"/>
    <x v="3"/>
    <x v="7"/>
    <x v="3"/>
    <n v="16352"/>
    <d v="2024-03-19T00:00:00"/>
    <d v="2024-09-13T00:00:00"/>
    <n v="178"/>
    <n v="15.2"/>
    <x v="0"/>
    <x v="5"/>
    <s v="Normal"/>
  </r>
  <r>
    <s v="DEAL-00822"/>
    <x v="8"/>
    <s v="CLI-0070"/>
    <x v="5"/>
    <x v="5"/>
    <x v="4"/>
    <n v="41830"/>
    <d v="2023-02-18T00:00:00"/>
    <m/>
    <m/>
    <n v="13.9"/>
    <x v="2"/>
    <x v="2"/>
    <s v="Normal"/>
  </r>
  <r>
    <s v="DEAL-00282"/>
    <x v="6"/>
    <s v="CLI-0088"/>
    <x v="4"/>
    <x v="7"/>
    <x v="5"/>
    <n v="90110"/>
    <d v="2023-06-29T00:00:00"/>
    <m/>
    <m/>
    <n v="3.9"/>
    <x v="0"/>
    <x v="1"/>
    <s v="Normal"/>
  </r>
  <r>
    <s v="DEAL-00866"/>
    <x v="9"/>
    <s v="CLI-0217"/>
    <x v="0"/>
    <x v="3"/>
    <x v="2"/>
    <n v="85303"/>
    <d v="2023-06-25T00:00:00"/>
    <m/>
    <m/>
    <n v="2.7"/>
    <x v="2"/>
    <x v="1"/>
    <s v="Normal"/>
  </r>
  <r>
    <s v="DEAL-02278"/>
    <x v="6"/>
    <s v="CLI-0111"/>
    <x v="0"/>
    <x v="1"/>
    <x v="2"/>
    <n v="318856"/>
    <d v="2024-08-13T00:00:00"/>
    <m/>
    <m/>
    <m/>
    <x v="2"/>
    <x v="8"/>
    <s v="Normal"/>
  </r>
  <r>
    <s v="DEAL-00999"/>
    <x v="11"/>
    <s v="CLI-0197"/>
    <x v="3"/>
    <x v="1"/>
    <x v="3"/>
    <n v="210605"/>
    <d v="2025-03-27T00:00:00"/>
    <d v="2025-09-19T00:00:00"/>
    <n v="176"/>
    <n v="7.4"/>
    <x v="1"/>
    <x v="4"/>
    <s v="Normal"/>
  </r>
  <r>
    <s v="DEAL-01013"/>
    <x v="2"/>
    <s v="CLI-0041"/>
    <x v="2"/>
    <x v="7"/>
    <x v="4"/>
    <n v="42059"/>
    <d v="2024-11-08T00:00:00"/>
    <m/>
    <m/>
    <n v="14.2"/>
    <x v="1"/>
    <x v="3"/>
    <s v="Normal"/>
  </r>
  <r>
    <s v="DEAL-00438"/>
    <x v="10"/>
    <s v="CLI-0296"/>
    <x v="0"/>
    <x v="3"/>
    <x v="0"/>
    <n v="197562"/>
    <d v="2024-05-30T00:00:00"/>
    <d v="2024-08-06T00:00:00"/>
    <n v="68"/>
    <n v="10.6"/>
    <x v="3"/>
    <x v="7"/>
    <s v="Normal"/>
  </r>
  <r>
    <s v="DEAL-02136"/>
    <x v="14"/>
    <s v="CLI-0267"/>
    <x v="1"/>
    <x v="1"/>
    <x v="4"/>
    <n v="31049"/>
    <d v="2023-01-12T00:00:00"/>
    <m/>
    <m/>
    <m/>
    <x v="1"/>
    <x v="2"/>
    <s v="Normal"/>
  </r>
  <r>
    <s v="DEAL-00576"/>
    <x v="9"/>
    <s v="CLI-0243"/>
    <x v="1"/>
    <x v="1"/>
    <x v="0"/>
    <n v="199388"/>
    <d v="2024-04-01T00:00:00"/>
    <d v="2024-06-09T00:00:00"/>
    <n v="69"/>
    <n v="7"/>
    <x v="2"/>
    <x v="7"/>
    <s v="Normal"/>
  </r>
  <r>
    <s v="DEAL-01268"/>
    <x v="6"/>
    <s v="CLI-0011"/>
    <x v="4"/>
    <x v="1"/>
    <x v="0"/>
    <n v="39968"/>
    <d v="2024-04-23T00:00:00"/>
    <d v="2024-09-23T00:00:00"/>
    <n v="153"/>
    <m/>
    <x v="2"/>
    <x v="7"/>
    <s v="Normal"/>
  </r>
  <r>
    <s v="DEAL-02382"/>
    <x v="11"/>
    <s v="CLI-0225"/>
    <x v="2"/>
    <x v="2"/>
    <x v="4"/>
    <n v="85457"/>
    <d v="2024-10-28T00:00:00"/>
    <m/>
    <m/>
    <n v="5.7"/>
    <x v="1"/>
    <x v="3"/>
    <s v="Normal"/>
  </r>
  <r>
    <s v="DEAL-00106"/>
    <x v="0"/>
    <s v="CLI-0033"/>
    <x v="3"/>
    <x v="4"/>
    <x v="2"/>
    <n v="61413"/>
    <d v="2024-02-27T00:00:00"/>
    <m/>
    <m/>
    <n v="13"/>
    <x v="1"/>
    <x v="5"/>
    <s v="Normal"/>
  </r>
  <r>
    <s v="DEAL-01291"/>
    <x v="6"/>
    <s v="CLI-0266"/>
    <x v="5"/>
    <x v="0"/>
    <x v="4"/>
    <n v="217805"/>
    <d v="2024-03-26T00:00:00"/>
    <m/>
    <m/>
    <m/>
    <x v="0"/>
    <x v="5"/>
    <s v="Normal"/>
  </r>
  <r>
    <s v="DEAL-01969"/>
    <x v="6"/>
    <s v="CLI-0243"/>
    <x v="1"/>
    <x v="2"/>
    <x v="4"/>
    <n v="170449"/>
    <d v="2024-11-09T00:00:00"/>
    <m/>
    <m/>
    <n v="11.7"/>
    <x v="2"/>
    <x v="3"/>
    <s v="Normal"/>
  </r>
  <r>
    <s v="DEAL-00681"/>
    <x v="2"/>
    <s v="CLI-0109"/>
    <x v="2"/>
    <x v="1"/>
    <x v="3"/>
    <n v="291180"/>
    <d v="2024-10-23T00:00:00"/>
    <d v="2024-12-25T00:00:00"/>
    <n v="63"/>
    <n v="14.9"/>
    <x v="3"/>
    <x v="3"/>
    <s v="Normal"/>
  </r>
  <r>
    <s v="DEAL-01296"/>
    <x v="9"/>
    <s v="CLI-0019"/>
    <x v="1"/>
    <x v="3"/>
    <x v="5"/>
    <n v="434455"/>
    <d v="2023-07-01T00:00:00"/>
    <m/>
    <m/>
    <n v="11.5"/>
    <x v="3"/>
    <x v="6"/>
    <s v="Normal"/>
  </r>
  <r>
    <s v="DEAL-01952"/>
    <x v="15"/>
    <s v="CLI-0298"/>
    <x v="5"/>
    <x v="3"/>
    <x v="3"/>
    <n v="314085"/>
    <d v="2023-03-09T00:00:00"/>
    <d v="2023-06-02T00:00:00"/>
    <n v="85"/>
    <n v="14"/>
    <x v="1"/>
    <x v="2"/>
    <s v="Normal"/>
  </r>
  <r>
    <s v="DEAL-00355"/>
    <x v="2"/>
    <s v="CLI-0139"/>
    <x v="4"/>
    <x v="1"/>
    <x v="4"/>
    <n v="494085"/>
    <d v="2023-03-28T00:00:00"/>
    <m/>
    <m/>
    <n v="13.4"/>
    <x v="1"/>
    <x v="2"/>
    <s v="Normal"/>
  </r>
  <r>
    <s v="DEAL-00898"/>
    <x v="15"/>
    <s v="CLI-0088"/>
    <x v="0"/>
    <x v="4"/>
    <x v="3"/>
    <n v="133874"/>
    <d v="2023-05-28T00:00:00"/>
    <d v="2023-08-11T00:00:00"/>
    <n v="75"/>
    <n v="8.1"/>
    <x v="2"/>
    <x v="1"/>
    <s v="Normal"/>
  </r>
  <r>
    <s v="DEAL-01533"/>
    <x v="0"/>
    <s v="CLI-0277"/>
    <x v="0"/>
    <x v="6"/>
    <x v="3"/>
    <n v="486879"/>
    <d v="2024-09-04T00:00:00"/>
    <d v="2024-11-09T00:00:00"/>
    <n v="66"/>
    <n v="2.2000000000000002"/>
    <x v="3"/>
    <x v="8"/>
    <s v="Normal"/>
  </r>
  <r>
    <s v="DEAL-00687"/>
    <x v="7"/>
    <s v="CLI-0052"/>
    <x v="1"/>
    <x v="5"/>
    <x v="5"/>
    <n v="56909"/>
    <d v="2024-04-04T00:00:00"/>
    <m/>
    <m/>
    <n v="2.4"/>
    <x v="2"/>
    <x v="7"/>
    <s v="Normal"/>
  </r>
  <r>
    <s v="DEAL-01148"/>
    <x v="7"/>
    <s v="CLI-0192"/>
    <x v="0"/>
    <x v="1"/>
    <x v="1"/>
    <n v="318041"/>
    <d v="2025-03-20T00:00:00"/>
    <m/>
    <m/>
    <m/>
    <x v="3"/>
    <x v="4"/>
    <s v="Normal"/>
  </r>
  <r>
    <s v="DEAL-01459"/>
    <x v="10"/>
    <s v="CLI-0270"/>
    <x v="4"/>
    <x v="5"/>
    <x v="3"/>
    <n v="158371"/>
    <d v="2023-03-08T00:00:00"/>
    <d v="2023-07-20T00:00:00"/>
    <n v="134"/>
    <n v="14.9"/>
    <x v="2"/>
    <x v="2"/>
    <s v="Normal"/>
  </r>
  <r>
    <s v="DEAL-00236"/>
    <x v="0"/>
    <s v="CLI-0156"/>
    <x v="3"/>
    <x v="1"/>
    <x v="2"/>
    <n v="338201"/>
    <d v="2023-01-29T00:00:00"/>
    <m/>
    <m/>
    <n v="7.2"/>
    <x v="2"/>
    <x v="2"/>
    <s v="Normal"/>
  </r>
  <r>
    <s v="DEAL-00133"/>
    <x v="9"/>
    <s v="CLI-0244"/>
    <x v="0"/>
    <x v="1"/>
    <x v="2"/>
    <n v="488205"/>
    <d v="2023-02-19T00:00:00"/>
    <m/>
    <m/>
    <n v="4.3"/>
    <x v="3"/>
    <x v="2"/>
    <s v="Normal"/>
  </r>
  <r>
    <s v="DEAL-01992"/>
    <x v="0"/>
    <s v="CLI-0240"/>
    <x v="4"/>
    <x v="7"/>
    <x v="4"/>
    <n v="132275"/>
    <d v="2023-07-21T00:00:00"/>
    <m/>
    <m/>
    <n v="10.199999999999999"/>
    <x v="1"/>
    <x v="6"/>
    <s v="Normal"/>
  </r>
  <r>
    <s v="DEAL-01443"/>
    <x v="12"/>
    <s v="CLI-0083"/>
    <x v="4"/>
    <x v="7"/>
    <x v="5"/>
    <n v="232094"/>
    <d v="2024-07-21T00:00:00"/>
    <m/>
    <m/>
    <m/>
    <x v="1"/>
    <x v="8"/>
    <s v="Normal"/>
  </r>
  <r>
    <s v="DEAL-00277"/>
    <x v="5"/>
    <s v="CLI-0214"/>
    <x v="1"/>
    <x v="1"/>
    <x v="4"/>
    <n v="176481"/>
    <d v="2025-02-17T00:00:00"/>
    <m/>
    <m/>
    <n v="0.6"/>
    <x v="0"/>
    <x v="4"/>
    <s v="Normal"/>
  </r>
  <r>
    <s v="DEAL-01200"/>
    <x v="11"/>
    <s v="CLI-0043"/>
    <x v="3"/>
    <x v="0"/>
    <x v="5"/>
    <n v="322718"/>
    <d v="2023-10-23T00:00:00"/>
    <m/>
    <m/>
    <m/>
    <x v="0"/>
    <x v="0"/>
    <s v="Normal"/>
  </r>
  <r>
    <s v="DEAL-01609"/>
    <x v="9"/>
    <s v="CLI-0085"/>
    <x v="2"/>
    <x v="0"/>
    <x v="3"/>
    <n v="15874"/>
    <d v="2023-07-04T00:00:00"/>
    <d v="2023-10-05T00:00:00"/>
    <n v="93"/>
    <n v="4.3"/>
    <x v="1"/>
    <x v="6"/>
    <s v="Normal"/>
  </r>
  <r>
    <s v="DEAL-02085"/>
    <x v="2"/>
    <s v="CLI-0038"/>
    <x v="0"/>
    <x v="2"/>
    <x v="5"/>
    <n v="342318"/>
    <d v="2024-06-14T00:00:00"/>
    <m/>
    <m/>
    <m/>
    <x v="3"/>
    <x v="7"/>
    <s v="Normal"/>
  </r>
  <r>
    <s v="DEAL-00672"/>
    <x v="14"/>
    <s v="CLI-0180"/>
    <x v="2"/>
    <x v="5"/>
    <x v="4"/>
    <n v="403505"/>
    <d v="2023-01-26T00:00:00"/>
    <m/>
    <m/>
    <n v="13.1"/>
    <x v="0"/>
    <x v="2"/>
    <s v="Normal"/>
  </r>
  <r>
    <s v="DEAL-01306"/>
    <x v="3"/>
    <s v="CLI-0122"/>
    <x v="5"/>
    <x v="3"/>
    <x v="2"/>
    <n v="320554"/>
    <d v="2025-01-06T00:00:00"/>
    <m/>
    <m/>
    <n v="9"/>
    <x v="3"/>
    <x v="4"/>
    <s v="Normal"/>
  </r>
  <r>
    <s v="DEAL-01598"/>
    <x v="0"/>
    <s v="CLI-0010"/>
    <x v="3"/>
    <x v="2"/>
    <x v="0"/>
    <n v="202163"/>
    <d v="2024-04-04T00:00:00"/>
    <d v="2024-06-03T00:00:00"/>
    <n v="60"/>
    <m/>
    <x v="2"/>
    <x v="7"/>
    <s v="Normal"/>
  </r>
  <r>
    <s v="DEAL-00596"/>
    <x v="6"/>
    <s v="CLI-0133"/>
    <x v="3"/>
    <x v="2"/>
    <x v="3"/>
    <n v="296198"/>
    <d v="2025-02-01T00:00:00"/>
    <d v="2025-04-28T00:00:00"/>
    <n v="86"/>
    <n v="12.9"/>
    <x v="2"/>
    <x v="4"/>
    <s v="Normal"/>
  </r>
  <r>
    <s v="DEAL-01472"/>
    <x v="15"/>
    <s v="CLI-0255"/>
    <x v="5"/>
    <x v="8"/>
    <x v="2"/>
    <n v="184028"/>
    <d v="2023-12-19T00:00:00"/>
    <m/>
    <m/>
    <n v="13.7"/>
    <x v="2"/>
    <x v="0"/>
    <s v="Normal"/>
  </r>
  <r>
    <s v="DEAL-01267"/>
    <x v="2"/>
    <s v="CLI-0179"/>
    <x v="2"/>
    <x v="2"/>
    <x v="1"/>
    <n v="268321"/>
    <d v="2024-08-11T00:00:00"/>
    <m/>
    <m/>
    <m/>
    <x v="1"/>
    <x v="8"/>
    <s v="Normal"/>
  </r>
  <r>
    <s v="DEAL-00667"/>
    <x v="14"/>
    <s v="CLI-0155"/>
    <x v="5"/>
    <x v="3"/>
    <x v="1"/>
    <n v="113662"/>
    <d v="2024-07-09T00:00:00"/>
    <m/>
    <m/>
    <m/>
    <x v="3"/>
    <x v="8"/>
    <s v="Normal"/>
  </r>
  <r>
    <s v="DEAL-01176"/>
    <x v="0"/>
    <s v="CLI-0041"/>
    <x v="3"/>
    <x v="1"/>
    <x v="1"/>
    <n v="270051"/>
    <d v="2025-03-23T00:00:00"/>
    <m/>
    <m/>
    <m/>
    <x v="2"/>
    <x v="4"/>
    <s v="Normal"/>
  </r>
  <r>
    <s v="DEAL-01782"/>
    <x v="6"/>
    <s v="CLI-0208"/>
    <x v="5"/>
    <x v="8"/>
    <x v="2"/>
    <n v="102325"/>
    <d v="2023-01-13T00:00:00"/>
    <m/>
    <m/>
    <m/>
    <x v="0"/>
    <x v="2"/>
    <s v="Normal"/>
  </r>
  <r>
    <s v="DEAL-02346"/>
    <x v="0"/>
    <s v="CLI-0179"/>
    <x v="1"/>
    <x v="4"/>
    <x v="5"/>
    <n v="489154"/>
    <d v="2025-02-10T00:00:00"/>
    <m/>
    <m/>
    <m/>
    <x v="2"/>
    <x v="4"/>
    <s v="Normal"/>
  </r>
  <r>
    <s v="DEAL-01789"/>
    <x v="3"/>
    <s v="CLI-0028"/>
    <x v="0"/>
    <x v="2"/>
    <x v="3"/>
    <n v="16614"/>
    <d v="2023-05-28T00:00:00"/>
    <d v="2023-08-18T00:00:00"/>
    <n v="82"/>
    <n v="3.5"/>
    <x v="2"/>
    <x v="1"/>
    <s v="Normal"/>
  </r>
  <r>
    <s v="DEAL-00322"/>
    <x v="10"/>
    <s v="CLI-0031"/>
    <x v="1"/>
    <x v="0"/>
    <x v="3"/>
    <n v="229280"/>
    <d v="2023-07-07T00:00:00"/>
    <d v="2023-11-11T00:00:00"/>
    <n v="127"/>
    <n v="20"/>
    <x v="2"/>
    <x v="6"/>
    <s v="Normal"/>
  </r>
  <r>
    <s v="DEAL-01697"/>
    <x v="9"/>
    <s v="CLI-0017"/>
    <x v="3"/>
    <x v="7"/>
    <x v="2"/>
    <n v="1013410"/>
    <d v="2023-09-15T00:00:00"/>
    <m/>
    <m/>
    <n v="6"/>
    <x v="0"/>
    <x v="6"/>
    <s v="High Outlier"/>
  </r>
  <r>
    <s v="DEAL-00882"/>
    <x v="14"/>
    <s v="CLI-0029"/>
    <x v="0"/>
    <x v="1"/>
    <x v="4"/>
    <n v="123558"/>
    <d v="2024-01-10T00:00:00"/>
    <m/>
    <m/>
    <m/>
    <x v="0"/>
    <x v="5"/>
    <s v="Normal"/>
  </r>
  <r>
    <s v="DEAL-02099"/>
    <x v="2"/>
    <s v="CLI-0134"/>
    <x v="4"/>
    <x v="3"/>
    <x v="5"/>
    <n v="487127"/>
    <d v="2023-12-21T00:00:00"/>
    <m/>
    <m/>
    <m/>
    <x v="0"/>
    <x v="0"/>
    <s v="Normal"/>
  </r>
  <r>
    <s v="DEAL-00280"/>
    <x v="0"/>
    <s v="CLI-0132"/>
    <x v="4"/>
    <x v="6"/>
    <x v="3"/>
    <n v="173296"/>
    <d v="2023-07-22T00:00:00"/>
    <d v="2023-10-07T00:00:00"/>
    <n v="77"/>
    <n v="15.1"/>
    <x v="2"/>
    <x v="6"/>
    <s v="Normal"/>
  </r>
  <r>
    <s v="DEAL-01853"/>
    <x v="1"/>
    <s v="CLI-0033"/>
    <x v="0"/>
    <x v="6"/>
    <x v="3"/>
    <n v="252748"/>
    <d v="2024-07-10T00:00:00"/>
    <d v="2024-12-13T00:00:00"/>
    <n v="156"/>
    <n v="10"/>
    <x v="1"/>
    <x v="8"/>
    <s v="Normal"/>
  </r>
  <r>
    <s v="DEAL-01824"/>
    <x v="3"/>
    <s v="CLI-0262"/>
    <x v="2"/>
    <x v="0"/>
    <x v="5"/>
    <n v="423024"/>
    <d v="2025-02-28T00:00:00"/>
    <m/>
    <m/>
    <n v="11.2"/>
    <x v="3"/>
    <x v="4"/>
    <s v="Normal"/>
  </r>
  <r>
    <s v="DEAL-01686"/>
    <x v="3"/>
    <s v="CLI-0139"/>
    <x v="0"/>
    <x v="0"/>
    <x v="5"/>
    <n v="1842551"/>
    <d v="2024-04-09T00:00:00"/>
    <m/>
    <m/>
    <n v="5.0999999999999996"/>
    <x v="1"/>
    <x v="7"/>
    <s v="High Outlier"/>
  </r>
  <r>
    <s v="DEAL-01188"/>
    <x v="10"/>
    <s v="CLI-0151"/>
    <x v="1"/>
    <x v="6"/>
    <x v="4"/>
    <n v="253064"/>
    <d v="2023-03-02T00:00:00"/>
    <m/>
    <m/>
    <n v="13.6"/>
    <x v="2"/>
    <x v="2"/>
    <s v="Normal"/>
  </r>
  <r>
    <s v="DEAL-01943"/>
    <x v="10"/>
    <s v="CLI-0143"/>
    <x v="5"/>
    <x v="4"/>
    <x v="0"/>
    <n v="30674"/>
    <d v="2024-08-29T00:00:00"/>
    <d v="2024-11-30T00:00:00"/>
    <n v="93"/>
    <n v="2.4"/>
    <x v="3"/>
    <x v="8"/>
    <s v="Normal"/>
  </r>
  <r>
    <s v="DEAL-01720"/>
    <x v="9"/>
    <s v="CLI-0049"/>
    <x v="4"/>
    <x v="5"/>
    <x v="4"/>
    <n v="232006"/>
    <d v="2025-02-13T00:00:00"/>
    <m/>
    <m/>
    <n v="0.4"/>
    <x v="0"/>
    <x v="4"/>
    <s v="Normal"/>
  </r>
  <r>
    <s v="DEAL-00333"/>
    <x v="9"/>
    <s v="CLI-0086"/>
    <x v="0"/>
    <x v="3"/>
    <x v="3"/>
    <n v="133996"/>
    <d v="2023-12-17T00:00:00"/>
    <d v="2024-04-19T00:00:00"/>
    <n v="124"/>
    <n v="18.399999999999999"/>
    <x v="0"/>
    <x v="0"/>
    <s v="Normal"/>
  </r>
  <r>
    <s v="DEAL-01669"/>
    <x v="9"/>
    <s v="CLI-0292"/>
    <x v="5"/>
    <x v="3"/>
    <x v="0"/>
    <n v="61216"/>
    <d v="2023-07-18T00:00:00"/>
    <d v="2023-12-22T00:00:00"/>
    <n v="157"/>
    <n v="13.8"/>
    <x v="2"/>
    <x v="6"/>
    <s v="Normal"/>
  </r>
  <r>
    <s v="DEAL-01272"/>
    <x v="2"/>
    <s v="CLI-0063"/>
    <x v="1"/>
    <x v="3"/>
    <x v="1"/>
    <n v="98881"/>
    <d v="2023-09-09T00:00:00"/>
    <m/>
    <m/>
    <m/>
    <x v="1"/>
    <x v="6"/>
    <s v="Normal"/>
  </r>
  <r>
    <s v="DEAL-01300"/>
    <x v="11"/>
    <s v="CLI-0074"/>
    <x v="3"/>
    <x v="3"/>
    <x v="2"/>
    <n v="328378"/>
    <d v="2023-10-06T00:00:00"/>
    <m/>
    <m/>
    <n v="3.5"/>
    <x v="2"/>
    <x v="0"/>
    <s v="Normal"/>
  </r>
  <r>
    <s v="DEAL-00616"/>
    <x v="8"/>
    <s v="CLI-0189"/>
    <x v="3"/>
    <x v="6"/>
    <x v="4"/>
    <n v="396024"/>
    <d v="2025-03-28T00:00:00"/>
    <m/>
    <m/>
    <n v="4.4000000000000004"/>
    <x v="3"/>
    <x v="4"/>
    <s v="Normal"/>
  </r>
  <r>
    <s v="DEAL-00224"/>
    <x v="0"/>
    <s v="CLI-0103"/>
    <x v="1"/>
    <x v="5"/>
    <x v="2"/>
    <n v="223252"/>
    <d v="2024-10-13T00:00:00"/>
    <m/>
    <m/>
    <n v="7.5"/>
    <x v="1"/>
    <x v="3"/>
    <s v="Normal"/>
  </r>
  <r>
    <s v="DEAL-00536"/>
    <x v="8"/>
    <s v="CLI-0231"/>
    <x v="4"/>
    <x v="7"/>
    <x v="4"/>
    <n v="197110"/>
    <d v="2024-04-02T00:00:00"/>
    <m/>
    <m/>
    <n v="4.9000000000000004"/>
    <x v="3"/>
    <x v="7"/>
    <s v="Normal"/>
  </r>
  <r>
    <s v="DEAL-00989"/>
    <x v="8"/>
    <s v="CLI-0125"/>
    <x v="4"/>
    <x v="3"/>
    <x v="0"/>
    <n v="36099"/>
    <d v="2024-02-13T00:00:00"/>
    <d v="2024-04-24T00:00:00"/>
    <n v="71"/>
    <n v="13.5"/>
    <x v="3"/>
    <x v="5"/>
    <s v="Normal"/>
  </r>
  <r>
    <s v="DEAL-02196"/>
    <x v="0"/>
    <s v="CLI-0218"/>
    <x v="4"/>
    <x v="6"/>
    <x v="3"/>
    <n v="320992"/>
    <d v="2023-03-24T00:00:00"/>
    <d v="2023-05-26T00:00:00"/>
    <n v="63"/>
    <n v="7.8"/>
    <x v="0"/>
    <x v="2"/>
    <s v="Normal"/>
  </r>
  <r>
    <s v="DEAL-00728"/>
    <x v="4"/>
    <s v="CLI-0206"/>
    <x v="2"/>
    <x v="7"/>
    <x v="0"/>
    <n v="250689"/>
    <d v="2023-05-30T00:00:00"/>
    <d v="2023-08-18T00:00:00"/>
    <n v="80"/>
    <n v="3.8"/>
    <x v="0"/>
    <x v="1"/>
    <s v="Normal"/>
  </r>
  <r>
    <s v="DEAL-01002"/>
    <x v="3"/>
    <s v="CLI-0059"/>
    <x v="5"/>
    <x v="6"/>
    <x v="1"/>
    <n v="1488985"/>
    <d v="2023-10-30T00:00:00"/>
    <m/>
    <m/>
    <n v="10.6"/>
    <x v="0"/>
    <x v="0"/>
    <s v="High Outlier"/>
  </r>
  <r>
    <s v="DEAL-01571"/>
    <x v="0"/>
    <s v="CLI-0108"/>
    <x v="3"/>
    <x v="2"/>
    <x v="2"/>
    <n v="204555"/>
    <d v="2024-04-22T00:00:00"/>
    <m/>
    <m/>
    <n v="2.8"/>
    <x v="3"/>
    <x v="7"/>
    <s v="Normal"/>
  </r>
  <r>
    <s v="DEAL-00230"/>
    <x v="1"/>
    <s v="CLI-0254"/>
    <x v="0"/>
    <x v="6"/>
    <x v="4"/>
    <n v="412635"/>
    <d v="2023-01-09T00:00:00"/>
    <m/>
    <m/>
    <n v="1.9"/>
    <x v="1"/>
    <x v="2"/>
    <s v="Normal"/>
  </r>
  <r>
    <s v="DEAL-02435"/>
    <x v="1"/>
    <s v="CLI-0191"/>
    <x v="1"/>
    <x v="1"/>
    <x v="0"/>
    <n v="449107"/>
    <d v="2023-07-26T00:00:00"/>
    <d v="2023-10-28T00:00:00"/>
    <n v="94"/>
    <n v="3.2"/>
    <x v="0"/>
    <x v="6"/>
    <s v="Normal"/>
  </r>
  <r>
    <s v="DEAL-01832"/>
    <x v="2"/>
    <s v="CLI-0276"/>
    <x v="0"/>
    <x v="7"/>
    <x v="3"/>
    <n v="140187"/>
    <d v="2025-02-03T00:00:00"/>
    <d v="2025-07-29T00:00:00"/>
    <n v="176"/>
    <n v="17.600000000000001"/>
    <x v="0"/>
    <x v="4"/>
    <s v="Normal"/>
  </r>
  <r>
    <s v="DEAL-01275"/>
    <x v="8"/>
    <s v="CLI-0186"/>
    <x v="5"/>
    <x v="5"/>
    <x v="4"/>
    <n v="166174"/>
    <d v="2023-04-06T00:00:00"/>
    <m/>
    <m/>
    <n v="1.3"/>
    <x v="0"/>
    <x v="1"/>
    <s v="Normal"/>
  </r>
  <r>
    <s v="DEAL-02061"/>
    <x v="7"/>
    <s v="CLI-0251"/>
    <x v="3"/>
    <x v="1"/>
    <x v="5"/>
    <n v="391159"/>
    <d v="2024-07-29T00:00:00"/>
    <m/>
    <m/>
    <n v="1.4"/>
    <x v="2"/>
    <x v="8"/>
    <s v="Normal"/>
  </r>
  <r>
    <s v="DEAL-01510"/>
    <x v="13"/>
    <s v="CLI-0201"/>
    <x v="3"/>
    <x v="4"/>
    <x v="2"/>
    <n v="211830"/>
    <d v="2023-12-15T00:00:00"/>
    <m/>
    <m/>
    <m/>
    <x v="2"/>
    <x v="0"/>
    <s v="Normal"/>
  </r>
  <r>
    <s v="DEAL-02161"/>
    <x v="5"/>
    <s v="CLI-0147"/>
    <x v="2"/>
    <x v="4"/>
    <x v="4"/>
    <n v="85809"/>
    <d v="2023-03-24T00:00:00"/>
    <m/>
    <m/>
    <m/>
    <x v="0"/>
    <x v="2"/>
    <s v="Normal"/>
  </r>
  <r>
    <s v="DEAL-01357"/>
    <x v="0"/>
    <s v="CLI-0273"/>
    <x v="1"/>
    <x v="2"/>
    <x v="4"/>
    <n v="367885"/>
    <d v="2024-08-02T00:00:00"/>
    <m/>
    <m/>
    <n v="15"/>
    <x v="2"/>
    <x v="8"/>
    <s v="Normal"/>
  </r>
  <r>
    <s v="DEAL-01893"/>
    <x v="13"/>
    <s v="CLI-0267"/>
    <x v="2"/>
    <x v="4"/>
    <x v="3"/>
    <n v="38738"/>
    <d v="2023-10-20T00:00:00"/>
    <d v="2023-11-18T00:00:00"/>
    <n v="29"/>
    <n v="5.6"/>
    <x v="2"/>
    <x v="0"/>
    <s v="Normal"/>
  </r>
  <r>
    <s v="DEAL-01169"/>
    <x v="14"/>
    <s v="CLI-0037"/>
    <x v="2"/>
    <x v="7"/>
    <x v="0"/>
    <n v="21153"/>
    <d v="2024-03-11T00:00:00"/>
    <d v="2024-08-14T00:00:00"/>
    <n v="156"/>
    <n v="14.8"/>
    <x v="0"/>
    <x v="5"/>
    <s v="Normal"/>
  </r>
  <r>
    <s v="DEAL-00065"/>
    <x v="10"/>
    <s v="CLI-0126"/>
    <x v="5"/>
    <x v="2"/>
    <x v="1"/>
    <n v="25200"/>
    <d v="2024-11-22T00:00:00"/>
    <m/>
    <m/>
    <n v="0.8"/>
    <x v="3"/>
    <x v="3"/>
    <s v="Normal"/>
  </r>
  <r>
    <s v="DEAL-00723"/>
    <x v="9"/>
    <s v="CLI-0097"/>
    <x v="0"/>
    <x v="7"/>
    <x v="2"/>
    <n v="253535"/>
    <d v="2023-12-16T00:00:00"/>
    <m/>
    <m/>
    <n v="4.5999999999999996"/>
    <x v="2"/>
    <x v="0"/>
    <s v="Normal"/>
  </r>
  <r>
    <s v="DEAL-01220"/>
    <x v="5"/>
    <s v="CLI-0286"/>
    <x v="1"/>
    <x v="7"/>
    <x v="1"/>
    <n v="349746"/>
    <d v="2024-10-13T00:00:00"/>
    <m/>
    <m/>
    <n v="7"/>
    <x v="2"/>
    <x v="3"/>
    <s v="Normal"/>
  </r>
  <r>
    <s v="DEAL-02071"/>
    <x v="9"/>
    <s v="CLI-0197"/>
    <x v="2"/>
    <x v="5"/>
    <x v="2"/>
    <n v="127294"/>
    <d v="2023-02-28T00:00:00"/>
    <m/>
    <m/>
    <n v="5.5"/>
    <x v="0"/>
    <x v="2"/>
    <s v="Normal"/>
  </r>
  <r>
    <s v="DEAL-02253"/>
    <x v="9"/>
    <s v="CLI-0046"/>
    <x v="3"/>
    <x v="7"/>
    <x v="0"/>
    <n v="399061"/>
    <d v="2023-12-15T00:00:00"/>
    <d v="2024-01-12T00:00:00"/>
    <n v="28"/>
    <n v="11.5"/>
    <x v="0"/>
    <x v="0"/>
    <s v="Normal"/>
  </r>
  <r>
    <s v="DEAL-02272"/>
    <x v="12"/>
    <s v="CLI-0247"/>
    <x v="1"/>
    <x v="4"/>
    <x v="3"/>
    <n v="356279"/>
    <d v="2023-11-13T00:00:00"/>
    <d v="2024-02-08T00:00:00"/>
    <n v="87"/>
    <n v="14"/>
    <x v="3"/>
    <x v="0"/>
    <s v="Normal"/>
  </r>
  <r>
    <s v="DEAL-02137"/>
    <x v="8"/>
    <s v="CLI-0186"/>
    <x v="2"/>
    <x v="4"/>
    <x v="2"/>
    <n v="244362"/>
    <d v="2023-06-08T00:00:00"/>
    <m/>
    <m/>
    <m/>
    <x v="1"/>
    <x v="1"/>
    <s v="Normal"/>
  </r>
  <r>
    <s v="DEAL-00777"/>
    <x v="3"/>
    <s v="CLI-0005"/>
    <x v="3"/>
    <x v="4"/>
    <x v="0"/>
    <n v="11744"/>
    <d v="2023-03-09T00:00:00"/>
    <d v="2023-06-01T00:00:00"/>
    <n v="84"/>
    <n v="1.7"/>
    <x v="3"/>
    <x v="2"/>
    <s v="Normal"/>
  </r>
  <r>
    <s v="DEAL-01551"/>
    <x v="8"/>
    <s v="CLI-0017"/>
    <x v="2"/>
    <x v="7"/>
    <x v="0"/>
    <n v="375578"/>
    <d v="2024-05-21T00:00:00"/>
    <d v="2024-06-28T00:00:00"/>
    <n v="38"/>
    <n v="11.4"/>
    <x v="2"/>
    <x v="7"/>
    <s v="Normal"/>
  </r>
  <r>
    <s v="DEAL-00931"/>
    <x v="5"/>
    <s v="CLI-0104"/>
    <x v="0"/>
    <x v="4"/>
    <x v="0"/>
    <n v="243868"/>
    <d v="2023-03-10T00:00:00"/>
    <d v="2023-05-31T00:00:00"/>
    <n v="82"/>
    <n v="6.5"/>
    <x v="1"/>
    <x v="2"/>
    <s v="Normal"/>
  </r>
  <r>
    <s v="DEAL-00143"/>
    <x v="14"/>
    <s v="CLI-0254"/>
    <x v="1"/>
    <x v="7"/>
    <x v="3"/>
    <n v="450973"/>
    <d v="2024-07-21T00:00:00"/>
    <d v="2024-11-17T00:00:00"/>
    <n v="119"/>
    <n v="21.4"/>
    <x v="1"/>
    <x v="8"/>
    <s v="Normal"/>
  </r>
  <r>
    <s v="DEAL-02339"/>
    <x v="7"/>
    <s v="CLI-0148"/>
    <x v="4"/>
    <x v="2"/>
    <x v="2"/>
    <n v="1344122"/>
    <d v="2024-05-28T00:00:00"/>
    <m/>
    <m/>
    <n v="4.8"/>
    <x v="0"/>
    <x v="7"/>
    <s v="High Outlier"/>
  </r>
  <r>
    <s v="DEAL-02162"/>
    <x v="9"/>
    <s v="CLI-0238"/>
    <x v="2"/>
    <x v="4"/>
    <x v="5"/>
    <n v="308108"/>
    <d v="2024-08-22T00:00:00"/>
    <m/>
    <m/>
    <m/>
    <x v="1"/>
    <x v="8"/>
    <s v="Normal"/>
  </r>
  <r>
    <s v="DEAL-00409"/>
    <x v="9"/>
    <s v="CLI-0262"/>
    <x v="2"/>
    <x v="2"/>
    <x v="3"/>
    <n v="283554"/>
    <d v="2024-08-14T00:00:00"/>
    <d v="2024-12-29T00:00:00"/>
    <n v="137"/>
    <n v="24.4"/>
    <x v="2"/>
    <x v="8"/>
    <s v="Normal"/>
  </r>
  <r>
    <s v="DEAL-00382"/>
    <x v="8"/>
    <s v="CLI-0298"/>
    <x v="4"/>
    <x v="5"/>
    <x v="0"/>
    <n v="499590"/>
    <d v="2023-11-21T00:00:00"/>
    <d v="2024-01-04T00:00:00"/>
    <n v="44"/>
    <m/>
    <x v="3"/>
    <x v="0"/>
    <s v="Normal"/>
  </r>
  <r>
    <s v="DEAL-00765"/>
    <x v="9"/>
    <s v="CLI-0029"/>
    <x v="2"/>
    <x v="5"/>
    <x v="4"/>
    <n v="48504"/>
    <d v="2023-12-07T00:00:00"/>
    <m/>
    <m/>
    <n v="10.3"/>
    <x v="0"/>
    <x v="0"/>
    <s v="Normal"/>
  </r>
  <r>
    <s v="DEAL-02190"/>
    <x v="7"/>
    <s v="CLI-0147"/>
    <x v="5"/>
    <x v="2"/>
    <x v="3"/>
    <n v="487064"/>
    <d v="2024-12-26T00:00:00"/>
    <d v="2025-04-21T00:00:00"/>
    <n v="116"/>
    <n v="7.6"/>
    <x v="0"/>
    <x v="3"/>
    <s v="Normal"/>
  </r>
  <r>
    <s v="DEAL-00437"/>
    <x v="2"/>
    <s v="CLI-0296"/>
    <x v="4"/>
    <x v="6"/>
    <x v="1"/>
    <n v="168734"/>
    <d v="2024-10-28T00:00:00"/>
    <m/>
    <m/>
    <n v="13.4"/>
    <x v="3"/>
    <x v="3"/>
    <s v="Normal"/>
  </r>
  <r>
    <s v="DEAL-00676"/>
    <x v="5"/>
    <s v="CLI-0211"/>
    <x v="5"/>
    <x v="4"/>
    <x v="5"/>
    <n v="287682"/>
    <d v="2025-01-12T00:00:00"/>
    <m/>
    <m/>
    <n v="5.6"/>
    <x v="1"/>
    <x v="4"/>
    <s v="Normal"/>
  </r>
  <r>
    <s v="DEAL-00197"/>
    <x v="15"/>
    <s v="CLI-0246"/>
    <x v="2"/>
    <x v="1"/>
    <x v="2"/>
    <n v="276147"/>
    <d v="2024-12-02T00:00:00"/>
    <m/>
    <m/>
    <n v="5.0999999999999996"/>
    <x v="0"/>
    <x v="3"/>
    <s v="Normal"/>
  </r>
  <r>
    <s v="DEAL-02344"/>
    <x v="7"/>
    <s v="CLI-0202"/>
    <x v="1"/>
    <x v="7"/>
    <x v="0"/>
    <n v="258836"/>
    <d v="2025-01-06T00:00:00"/>
    <d v="2025-02-12T00:00:00"/>
    <n v="37"/>
    <m/>
    <x v="2"/>
    <x v="4"/>
    <s v="Normal"/>
  </r>
  <r>
    <s v="DEAL-01827"/>
    <x v="15"/>
    <s v="CLI-0122"/>
    <x v="4"/>
    <x v="5"/>
    <x v="4"/>
    <n v="47655"/>
    <d v="2024-06-27T00:00:00"/>
    <m/>
    <m/>
    <n v="8.1999999999999993"/>
    <x v="3"/>
    <x v="7"/>
    <s v="Normal"/>
  </r>
  <r>
    <s v="DEAL-01484"/>
    <x v="7"/>
    <s v="CLI-0262"/>
    <x v="4"/>
    <x v="4"/>
    <x v="5"/>
    <n v="347110"/>
    <d v="2024-01-18T00:00:00"/>
    <m/>
    <m/>
    <n v="9.3000000000000007"/>
    <x v="0"/>
    <x v="5"/>
    <s v="Normal"/>
  </r>
  <r>
    <s v="DEAL-01034"/>
    <x v="3"/>
    <s v="CLI-0231"/>
    <x v="3"/>
    <x v="7"/>
    <x v="4"/>
    <n v="225448"/>
    <d v="2025-01-26T00:00:00"/>
    <m/>
    <m/>
    <n v="5.2"/>
    <x v="2"/>
    <x v="4"/>
    <s v="Normal"/>
  </r>
  <r>
    <s v="DEAL-01869"/>
    <x v="0"/>
    <s v="CLI-0229"/>
    <x v="5"/>
    <x v="5"/>
    <x v="4"/>
    <n v="113479"/>
    <d v="2024-05-28T00:00:00"/>
    <m/>
    <m/>
    <m/>
    <x v="1"/>
    <x v="7"/>
    <s v="Normal"/>
  </r>
  <r>
    <s v="DEAL-01868"/>
    <x v="14"/>
    <s v="CLI-0164"/>
    <x v="1"/>
    <x v="8"/>
    <x v="5"/>
    <n v="213386"/>
    <d v="2024-12-03T00:00:00"/>
    <m/>
    <m/>
    <m/>
    <x v="3"/>
    <x v="3"/>
    <s v="Normal"/>
  </r>
  <r>
    <s v="DEAL-00744"/>
    <x v="15"/>
    <s v="CLI-0020"/>
    <x v="3"/>
    <x v="3"/>
    <x v="1"/>
    <n v="207879"/>
    <d v="2023-10-22T00:00:00"/>
    <m/>
    <m/>
    <n v="6.9"/>
    <x v="0"/>
    <x v="0"/>
    <s v="Normal"/>
  </r>
  <r>
    <s v="DEAL-01848"/>
    <x v="13"/>
    <s v="CLI-0062"/>
    <x v="4"/>
    <x v="6"/>
    <x v="2"/>
    <n v="314236"/>
    <d v="2023-02-01T00:00:00"/>
    <m/>
    <m/>
    <m/>
    <x v="2"/>
    <x v="2"/>
    <s v="Normal"/>
  </r>
  <r>
    <s v="DEAL-01954"/>
    <x v="1"/>
    <s v="CLI-0019"/>
    <x v="2"/>
    <x v="5"/>
    <x v="4"/>
    <n v="456126"/>
    <d v="2024-07-08T00:00:00"/>
    <m/>
    <m/>
    <m/>
    <x v="2"/>
    <x v="8"/>
    <s v="Normal"/>
  </r>
  <r>
    <s v="DEAL-02419"/>
    <x v="2"/>
    <s v="CLI-0205"/>
    <x v="1"/>
    <x v="3"/>
    <x v="0"/>
    <n v="78702"/>
    <d v="2024-07-29T00:00:00"/>
    <d v="2024-10-19T00:00:00"/>
    <n v="82"/>
    <n v="4.4000000000000004"/>
    <x v="2"/>
    <x v="8"/>
    <s v="Normal"/>
  </r>
  <r>
    <s v="DEAL-01475"/>
    <x v="14"/>
    <s v="CLI-0256"/>
    <x v="4"/>
    <x v="8"/>
    <x v="2"/>
    <n v="303674"/>
    <d v="2024-08-24T00:00:00"/>
    <m/>
    <m/>
    <m/>
    <x v="2"/>
    <x v="8"/>
    <s v="Normal"/>
  </r>
  <r>
    <s v="DEAL-00525"/>
    <x v="12"/>
    <s v="CLI-0132"/>
    <x v="4"/>
    <x v="6"/>
    <x v="2"/>
    <n v="151222"/>
    <d v="2024-02-15T00:00:00"/>
    <m/>
    <m/>
    <m/>
    <x v="1"/>
    <x v="5"/>
    <s v="Normal"/>
  </r>
  <r>
    <s v="DEAL-01081"/>
    <x v="0"/>
    <s v="CLI-0102"/>
    <x v="5"/>
    <x v="1"/>
    <x v="3"/>
    <n v="450183"/>
    <d v="2023-01-03T00:00:00"/>
    <d v="2023-06-09T00:00:00"/>
    <n v="157"/>
    <n v="24.3"/>
    <x v="3"/>
    <x v="2"/>
    <s v="Normal"/>
  </r>
  <r>
    <s v="DEAL-00549"/>
    <x v="6"/>
    <s v="CLI-0145"/>
    <x v="1"/>
    <x v="3"/>
    <x v="3"/>
    <n v="82651"/>
    <d v="2024-05-30T00:00:00"/>
    <d v="2024-07-04T00:00:00"/>
    <n v="35"/>
    <n v="18.3"/>
    <x v="3"/>
    <x v="7"/>
    <s v="Normal"/>
  </r>
  <r>
    <s v="DEAL-00532"/>
    <x v="9"/>
    <s v="CLI-0189"/>
    <x v="1"/>
    <x v="4"/>
    <x v="5"/>
    <n v="53327"/>
    <d v="2025-01-20T00:00:00"/>
    <m/>
    <m/>
    <n v="1.5"/>
    <x v="3"/>
    <x v="4"/>
    <s v="Normal"/>
  </r>
  <r>
    <s v="DEAL-00926"/>
    <x v="3"/>
    <s v="CLI-0223"/>
    <x v="0"/>
    <x v="3"/>
    <x v="3"/>
    <n v="426863"/>
    <d v="2024-04-02T00:00:00"/>
    <d v="2024-09-14T00:00:00"/>
    <n v="165"/>
    <n v="11.7"/>
    <x v="2"/>
    <x v="7"/>
    <s v="Normal"/>
  </r>
  <r>
    <s v="DEAL-00868"/>
    <x v="5"/>
    <s v="CLI-0082"/>
    <x v="0"/>
    <x v="6"/>
    <x v="0"/>
    <n v="405818"/>
    <d v="2023-02-10T00:00:00"/>
    <d v="2023-07-17T00:00:00"/>
    <n v="157"/>
    <m/>
    <x v="0"/>
    <x v="2"/>
    <s v="Normal"/>
  </r>
  <r>
    <s v="DEAL-01330"/>
    <x v="9"/>
    <s v="CLI-0116"/>
    <x v="5"/>
    <x v="1"/>
    <x v="1"/>
    <n v="194379"/>
    <d v="2023-09-19T00:00:00"/>
    <m/>
    <m/>
    <n v="0.6"/>
    <x v="2"/>
    <x v="6"/>
    <s v="Normal"/>
  </r>
  <r>
    <s v="DEAL-00546"/>
    <x v="1"/>
    <s v="CLI-0037"/>
    <x v="4"/>
    <x v="6"/>
    <x v="4"/>
    <n v="68003"/>
    <d v="2023-07-02T00:00:00"/>
    <m/>
    <m/>
    <n v="13"/>
    <x v="0"/>
    <x v="6"/>
    <s v="Normal"/>
  </r>
  <r>
    <s v="DEAL-00584"/>
    <x v="13"/>
    <s v="CLI-0240"/>
    <x v="2"/>
    <x v="6"/>
    <x v="4"/>
    <n v="414217"/>
    <d v="2023-05-08T00:00:00"/>
    <m/>
    <m/>
    <m/>
    <x v="3"/>
    <x v="1"/>
    <s v="Normal"/>
  </r>
  <r>
    <s v="DEAL-02351"/>
    <x v="10"/>
    <s v="CLI-0070"/>
    <x v="3"/>
    <x v="7"/>
    <x v="1"/>
    <n v="437597"/>
    <d v="2024-08-12T00:00:00"/>
    <m/>
    <m/>
    <n v="7.5"/>
    <x v="1"/>
    <x v="8"/>
    <s v="Normal"/>
  </r>
  <r>
    <s v="DEAL-00772"/>
    <x v="10"/>
    <s v="CLI-0001"/>
    <x v="3"/>
    <x v="8"/>
    <x v="3"/>
    <n v="126863"/>
    <d v="2023-11-04T00:00:00"/>
    <d v="2023-11-28T00:00:00"/>
    <n v="24"/>
    <n v="16.7"/>
    <x v="2"/>
    <x v="0"/>
    <s v="Normal"/>
  </r>
  <r>
    <s v="DEAL-00909"/>
    <x v="5"/>
    <s v="CLI-0022"/>
    <x v="4"/>
    <x v="4"/>
    <x v="2"/>
    <n v="64790"/>
    <d v="2023-07-05T00:00:00"/>
    <m/>
    <m/>
    <n v="0.6"/>
    <x v="3"/>
    <x v="6"/>
    <s v="Normal"/>
  </r>
  <r>
    <s v="DEAL-02446"/>
    <x v="15"/>
    <s v="CLI-0261"/>
    <x v="3"/>
    <x v="5"/>
    <x v="4"/>
    <n v="336981"/>
    <d v="2024-01-04T00:00:00"/>
    <m/>
    <m/>
    <n v="2.1"/>
    <x v="0"/>
    <x v="5"/>
    <s v="Normal"/>
  </r>
  <r>
    <s v="DEAL-01949"/>
    <x v="0"/>
    <s v="CLI-0270"/>
    <x v="2"/>
    <x v="0"/>
    <x v="4"/>
    <n v="23682"/>
    <d v="2024-11-09T00:00:00"/>
    <m/>
    <m/>
    <n v="7.5"/>
    <x v="3"/>
    <x v="3"/>
    <s v="Normal"/>
  </r>
  <r>
    <s v="DEAL-01921"/>
    <x v="1"/>
    <s v="CLI-0173"/>
    <x v="2"/>
    <x v="6"/>
    <x v="0"/>
    <n v="76467"/>
    <d v="2025-02-05T00:00:00"/>
    <d v="2025-06-23T00:00:00"/>
    <n v="138"/>
    <n v="2"/>
    <x v="2"/>
    <x v="4"/>
    <s v="Normal"/>
  </r>
  <r>
    <s v="DEAL-01831"/>
    <x v="10"/>
    <s v="CLI-0090"/>
    <x v="3"/>
    <x v="2"/>
    <x v="5"/>
    <n v="327201"/>
    <d v="2024-08-04T00:00:00"/>
    <m/>
    <m/>
    <n v="4.8"/>
    <x v="1"/>
    <x v="8"/>
    <s v="Normal"/>
  </r>
  <r>
    <s v="DEAL-00348"/>
    <x v="2"/>
    <s v="CLI-0030"/>
    <x v="5"/>
    <x v="0"/>
    <x v="3"/>
    <n v="125678"/>
    <d v="2023-07-28T00:00:00"/>
    <d v="2024-01-07T00:00:00"/>
    <n v="163"/>
    <n v="21.5"/>
    <x v="0"/>
    <x v="6"/>
    <s v="Normal"/>
  </r>
  <r>
    <s v="DEAL-00074"/>
    <x v="4"/>
    <s v="CLI-0188"/>
    <x v="4"/>
    <x v="3"/>
    <x v="3"/>
    <n v="277609"/>
    <d v="2023-05-11T00:00:00"/>
    <d v="2023-08-09T00:00:00"/>
    <n v="90"/>
    <n v="22.5"/>
    <x v="3"/>
    <x v="1"/>
    <s v="Normal"/>
  </r>
  <r>
    <s v="DEAL-01615"/>
    <x v="5"/>
    <s v="CLI-0121"/>
    <x v="3"/>
    <x v="5"/>
    <x v="1"/>
    <n v="101488"/>
    <d v="2024-01-27T00:00:00"/>
    <m/>
    <m/>
    <n v="10.7"/>
    <x v="0"/>
    <x v="5"/>
    <s v="Normal"/>
  </r>
  <r>
    <s v="DEAL-00711"/>
    <x v="3"/>
    <s v="CLI-0091"/>
    <x v="2"/>
    <x v="1"/>
    <x v="4"/>
    <n v="256037"/>
    <d v="2023-11-14T00:00:00"/>
    <m/>
    <m/>
    <n v="8.3000000000000007"/>
    <x v="0"/>
    <x v="0"/>
    <s v="Normal"/>
  </r>
  <r>
    <s v="DEAL-01919"/>
    <x v="10"/>
    <s v="CLI-0033"/>
    <x v="5"/>
    <x v="7"/>
    <x v="4"/>
    <n v="272931"/>
    <d v="2024-12-10T00:00:00"/>
    <m/>
    <m/>
    <n v="12.6"/>
    <x v="0"/>
    <x v="3"/>
    <s v="Normal"/>
  </r>
  <r>
    <s v="DEAL-01012"/>
    <x v="12"/>
    <s v="CLI-0120"/>
    <x v="0"/>
    <x v="1"/>
    <x v="1"/>
    <n v="94242"/>
    <d v="2023-01-12T00:00:00"/>
    <m/>
    <m/>
    <m/>
    <x v="0"/>
    <x v="2"/>
    <s v="Normal"/>
  </r>
  <r>
    <s v="DEAL-02433"/>
    <x v="5"/>
    <s v="CLI-0183"/>
    <x v="3"/>
    <x v="1"/>
    <x v="3"/>
    <n v="460792"/>
    <d v="2024-08-14T00:00:00"/>
    <d v="2024-11-12T00:00:00"/>
    <n v="90"/>
    <n v="14.4"/>
    <x v="3"/>
    <x v="8"/>
    <s v="Normal"/>
  </r>
  <r>
    <s v="DEAL-02087"/>
    <x v="6"/>
    <s v="CLI-0297"/>
    <x v="3"/>
    <x v="2"/>
    <x v="1"/>
    <n v="221543"/>
    <d v="2024-04-26T00:00:00"/>
    <m/>
    <m/>
    <n v="5"/>
    <x v="3"/>
    <x v="7"/>
    <s v="Normal"/>
  </r>
  <r>
    <s v="DEAL-00944"/>
    <x v="3"/>
    <s v="CLI-0018"/>
    <x v="1"/>
    <x v="0"/>
    <x v="2"/>
    <n v="406094"/>
    <d v="2024-10-17T00:00:00"/>
    <m/>
    <m/>
    <n v="12.2"/>
    <x v="1"/>
    <x v="3"/>
    <s v="Normal"/>
  </r>
  <r>
    <s v="DEAL-00007"/>
    <x v="12"/>
    <s v="CLI-0248"/>
    <x v="0"/>
    <x v="2"/>
    <x v="3"/>
    <n v="26639"/>
    <d v="2025-02-07T00:00:00"/>
    <d v="2025-03-31T00:00:00"/>
    <n v="52"/>
    <n v="19.399999999999999"/>
    <x v="3"/>
    <x v="4"/>
    <s v="Normal"/>
  </r>
  <r>
    <s v="DEAL-01210"/>
    <x v="14"/>
    <s v="CLI-0069"/>
    <x v="5"/>
    <x v="2"/>
    <x v="5"/>
    <n v="452661"/>
    <d v="2024-09-30T00:00:00"/>
    <m/>
    <m/>
    <n v="4.4000000000000004"/>
    <x v="3"/>
    <x v="8"/>
    <s v="Normal"/>
  </r>
  <r>
    <s v="DEAL-00252"/>
    <x v="5"/>
    <s v="CLI-0120"/>
    <x v="0"/>
    <x v="7"/>
    <x v="5"/>
    <n v="80427"/>
    <d v="2023-10-30T00:00:00"/>
    <m/>
    <m/>
    <n v="6.7"/>
    <x v="3"/>
    <x v="0"/>
    <s v="Normal"/>
  </r>
  <r>
    <s v="DEAL-00326"/>
    <x v="11"/>
    <s v="CLI-0035"/>
    <x v="3"/>
    <x v="4"/>
    <x v="2"/>
    <n v="79897"/>
    <d v="2023-02-22T00:00:00"/>
    <m/>
    <m/>
    <n v="6.3"/>
    <x v="2"/>
    <x v="2"/>
    <s v="Normal"/>
  </r>
  <r>
    <s v="DEAL-00400"/>
    <x v="8"/>
    <s v="CLI-0198"/>
    <x v="2"/>
    <x v="5"/>
    <x v="0"/>
    <n v="278098"/>
    <d v="2024-02-24T00:00:00"/>
    <d v="2024-05-24T00:00:00"/>
    <n v="90"/>
    <n v="13.2"/>
    <x v="2"/>
    <x v="5"/>
    <s v="Normal"/>
  </r>
  <r>
    <s v="DEAL-02309"/>
    <x v="14"/>
    <s v="CLI-0150"/>
    <x v="3"/>
    <x v="7"/>
    <x v="2"/>
    <n v="230807"/>
    <d v="2023-08-14T00:00:00"/>
    <m/>
    <m/>
    <m/>
    <x v="0"/>
    <x v="6"/>
    <s v="Normal"/>
  </r>
  <r>
    <s v="DEAL-02374"/>
    <x v="7"/>
    <s v="CLI-0149"/>
    <x v="4"/>
    <x v="3"/>
    <x v="0"/>
    <n v="78501"/>
    <d v="2023-12-20T00:00:00"/>
    <d v="2024-06-01T00:00:00"/>
    <n v="164"/>
    <n v="7.5"/>
    <x v="1"/>
    <x v="0"/>
    <s v="Normal"/>
  </r>
  <r>
    <s v="DEAL-01975"/>
    <x v="9"/>
    <s v="CLI-0117"/>
    <x v="5"/>
    <x v="2"/>
    <x v="0"/>
    <n v="363965"/>
    <d v="2025-03-20T00:00:00"/>
    <d v="2025-09-03T00:00:00"/>
    <n v="167"/>
    <n v="14"/>
    <x v="0"/>
    <x v="4"/>
    <s v="Normal"/>
  </r>
  <r>
    <s v="DEAL-01928"/>
    <x v="7"/>
    <s v="CLI-0192"/>
    <x v="2"/>
    <x v="0"/>
    <x v="4"/>
    <n v="383122"/>
    <d v="2023-03-14T00:00:00"/>
    <m/>
    <m/>
    <m/>
    <x v="2"/>
    <x v="2"/>
    <s v="Normal"/>
  </r>
  <r>
    <s v="DEAL-01053"/>
    <x v="15"/>
    <s v="CLI-0167"/>
    <x v="0"/>
    <x v="0"/>
    <x v="4"/>
    <n v="231892"/>
    <d v="2024-06-03T00:00:00"/>
    <m/>
    <m/>
    <m/>
    <x v="0"/>
    <x v="7"/>
    <s v="Normal"/>
  </r>
  <r>
    <s v="DEAL-01993"/>
    <x v="3"/>
    <s v="CLI-0112"/>
    <x v="0"/>
    <x v="2"/>
    <x v="0"/>
    <n v="338171"/>
    <d v="2023-10-03T00:00:00"/>
    <d v="2024-02-13T00:00:00"/>
    <n v="133"/>
    <n v="1.5"/>
    <x v="2"/>
    <x v="0"/>
    <s v="Normal"/>
  </r>
  <r>
    <s v="DEAL-02320"/>
    <x v="1"/>
    <s v="CLI-0076"/>
    <x v="3"/>
    <x v="5"/>
    <x v="2"/>
    <n v="395041"/>
    <d v="2024-05-14T00:00:00"/>
    <m/>
    <m/>
    <n v="3.7"/>
    <x v="0"/>
    <x v="7"/>
    <s v="Normal"/>
  </r>
  <r>
    <s v="DEAL-01739"/>
    <x v="9"/>
    <s v="CLI-0129"/>
    <x v="0"/>
    <x v="0"/>
    <x v="5"/>
    <n v="447593"/>
    <d v="2025-03-15T00:00:00"/>
    <m/>
    <m/>
    <n v="5.7"/>
    <x v="2"/>
    <x v="4"/>
    <s v="Normal"/>
  </r>
  <r>
    <s v="DEAL-00205"/>
    <x v="9"/>
    <s v="CLI-0289"/>
    <x v="4"/>
    <x v="6"/>
    <x v="3"/>
    <n v="356122"/>
    <d v="2023-06-04T00:00:00"/>
    <d v="2023-11-13T00:00:00"/>
    <n v="162"/>
    <n v="15.8"/>
    <x v="2"/>
    <x v="1"/>
    <s v="Normal"/>
  </r>
  <r>
    <s v="DEAL-01920"/>
    <x v="3"/>
    <s v="CLI-0253"/>
    <x v="1"/>
    <x v="5"/>
    <x v="3"/>
    <n v="293322"/>
    <d v="2024-04-16T00:00:00"/>
    <d v="2024-05-24T00:00:00"/>
    <n v="38"/>
    <n v="18.899999999999999"/>
    <x v="1"/>
    <x v="7"/>
    <s v="Normal"/>
  </r>
  <r>
    <s v="DEAL-01749"/>
    <x v="11"/>
    <s v="CLI-0071"/>
    <x v="0"/>
    <x v="0"/>
    <x v="4"/>
    <n v="310346"/>
    <d v="2024-06-03T00:00:00"/>
    <m/>
    <m/>
    <m/>
    <x v="1"/>
    <x v="7"/>
    <s v="Normal"/>
  </r>
  <r>
    <s v="DEAL-01767"/>
    <x v="3"/>
    <s v="CLI-0049"/>
    <x v="5"/>
    <x v="2"/>
    <x v="5"/>
    <n v="389646"/>
    <d v="2023-03-04T00:00:00"/>
    <m/>
    <m/>
    <n v="11"/>
    <x v="2"/>
    <x v="2"/>
    <s v="Normal"/>
  </r>
  <r>
    <s v="DEAL-00507"/>
    <x v="6"/>
    <s v="CLI-0102"/>
    <x v="5"/>
    <x v="7"/>
    <x v="0"/>
    <n v="396539"/>
    <d v="2024-11-15T00:00:00"/>
    <d v="2025-03-31T00:00:00"/>
    <n v="136"/>
    <m/>
    <x v="1"/>
    <x v="3"/>
    <s v="Normal"/>
  </r>
  <r>
    <s v="DEAL-00977"/>
    <x v="11"/>
    <s v="CLI-0012"/>
    <x v="2"/>
    <x v="7"/>
    <x v="2"/>
    <n v="403779"/>
    <d v="2024-07-17T00:00:00"/>
    <m/>
    <m/>
    <m/>
    <x v="2"/>
    <x v="8"/>
    <s v="Normal"/>
  </r>
  <r>
    <s v="DEAL-00763"/>
    <x v="7"/>
    <s v="CLI-0151"/>
    <x v="4"/>
    <x v="2"/>
    <x v="3"/>
    <n v="371251"/>
    <d v="2024-02-07T00:00:00"/>
    <d v="2024-05-18T00:00:00"/>
    <n v="101"/>
    <n v="17.399999999999999"/>
    <x v="0"/>
    <x v="5"/>
    <s v="Normal"/>
  </r>
  <r>
    <s v="DEAL-00889"/>
    <x v="5"/>
    <s v="CLI-0105"/>
    <x v="4"/>
    <x v="0"/>
    <x v="4"/>
    <n v="469995"/>
    <d v="2023-04-29T00:00:00"/>
    <m/>
    <m/>
    <n v="12"/>
    <x v="3"/>
    <x v="1"/>
    <s v="Normal"/>
  </r>
  <r>
    <s v="DEAL-00126"/>
    <x v="5"/>
    <s v="CLI-0206"/>
    <x v="3"/>
    <x v="7"/>
    <x v="4"/>
    <n v="53824"/>
    <d v="2024-04-01T00:00:00"/>
    <m/>
    <m/>
    <n v="10.199999999999999"/>
    <x v="0"/>
    <x v="7"/>
    <s v="Normal"/>
  </r>
  <r>
    <s v="DEAL-00300"/>
    <x v="10"/>
    <s v="CLI-0185"/>
    <x v="5"/>
    <x v="4"/>
    <x v="3"/>
    <n v="207661"/>
    <d v="2025-01-30T00:00:00"/>
    <d v="2025-05-22T00:00:00"/>
    <n v="112"/>
    <n v="19.600000000000001"/>
    <x v="0"/>
    <x v="4"/>
    <s v="Normal"/>
  </r>
  <r>
    <s v="DEAL-01011"/>
    <x v="9"/>
    <s v="CLI-0110"/>
    <x v="1"/>
    <x v="0"/>
    <x v="5"/>
    <n v="161506"/>
    <d v="2024-12-16T00:00:00"/>
    <m/>
    <m/>
    <n v="14.4"/>
    <x v="1"/>
    <x v="3"/>
    <s v="Normal"/>
  </r>
  <r>
    <s v="DEAL-01155"/>
    <x v="8"/>
    <s v="CLI-0019"/>
    <x v="4"/>
    <x v="3"/>
    <x v="3"/>
    <n v="333588"/>
    <d v="2025-01-07T00:00:00"/>
    <d v="2025-06-17T00:00:00"/>
    <n v="161"/>
    <n v="4.2"/>
    <x v="3"/>
    <x v="4"/>
    <s v="Normal"/>
  </r>
  <r>
    <s v="DEAL-00392"/>
    <x v="9"/>
    <s v="CLI-0150"/>
    <x v="5"/>
    <x v="4"/>
    <x v="5"/>
    <n v="23259"/>
    <d v="2023-05-14T00:00:00"/>
    <m/>
    <m/>
    <n v="14.8"/>
    <x v="2"/>
    <x v="1"/>
    <s v="Normal"/>
  </r>
  <r>
    <s v="DEAL-01601"/>
    <x v="0"/>
    <s v="CLI-0046"/>
    <x v="4"/>
    <x v="0"/>
    <x v="1"/>
    <n v="331871"/>
    <d v="2023-12-04T00:00:00"/>
    <m/>
    <m/>
    <m/>
    <x v="3"/>
    <x v="0"/>
    <s v="Normal"/>
  </r>
  <r>
    <s v="DEAL-00875"/>
    <x v="8"/>
    <s v="CLI-0106"/>
    <x v="5"/>
    <x v="3"/>
    <x v="1"/>
    <n v="75444"/>
    <d v="2024-07-08T00:00:00"/>
    <m/>
    <m/>
    <n v="2.6"/>
    <x v="2"/>
    <x v="8"/>
    <s v="Normal"/>
  </r>
  <r>
    <s v="DEAL-01495"/>
    <x v="3"/>
    <s v="CLI-0071"/>
    <x v="3"/>
    <x v="5"/>
    <x v="1"/>
    <n v="61569"/>
    <d v="2024-11-14T00:00:00"/>
    <m/>
    <m/>
    <n v="13.1"/>
    <x v="2"/>
    <x v="3"/>
    <s v="Normal"/>
  </r>
  <r>
    <s v="DEAL-00915"/>
    <x v="10"/>
    <s v="CLI-0086"/>
    <x v="4"/>
    <x v="5"/>
    <x v="0"/>
    <n v="497684"/>
    <d v="2023-05-07T00:00:00"/>
    <d v="2023-08-22T00:00:00"/>
    <n v="107"/>
    <n v="7.2"/>
    <x v="2"/>
    <x v="1"/>
    <s v="Normal"/>
  </r>
  <r>
    <s v="DEAL-01863"/>
    <x v="7"/>
    <s v="CLI-0083"/>
    <x v="2"/>
    <x v="0"/>
    <x v="5"/>
    <n v="159195"/>
    <d v="2024-09-18T00:00:00"/>
    <m/>
    <m/>
    <n v="12.7"/>
    <x v="2"/>
    <x v="8"/>
    <s v="Normal"/>
  </r>
  <r>
    <s v="DEAL-02307"/>
    <x v="13"/>
    <s v="CLI-0090"/>
    <x v="3"/>
    <x v="0"/>
    <x v="5"/>
    <n v="205104"/>
    <d v="2023-01-15T00:00:00"/>
    <m/>
    <m/>
    <m/>
    <x v="3"/>
    <x v="2"/>
    <s v="Normal"/>
  </r>
  <r>
    <s v="DEAL-01173"/>
    <x v="0"/>
    <s v="CLI-0075"/>
    <x v="5"/>
    <x v="3"/>
    <x v="3"/>
    <n v="196698"/>
    <d v="2023-05-18T00:00:00"/>
    <d v="2023-06-03T00:00:00"/>
    <n v="16"/>
    <n v="7"/>
    <x v="3"/>
    <x v="1"/>
    <s v="Normal"/>
  </r>
  <r>
    <s v="DEAL-01584"/>
    <x v="14"/>
    <s v="CLI-0199"/>
    <x v="2"/>
    <x v="4"/>
    <x v="2"/>
    <n v="151030"/>
    <d v="2025-03-24T00:00:00"/>
    <m/>
    <m/>
    <n v="0.4"/>
    <x v="2"/>
    <x v="4"/>
    <s v="Normal"/>
  </r>
  <r>
    <s v="DEAL-02492"/>
    <x v="15"/>
    <s v="CLI-0201"/>
    <x v="4"/>
    <x v="2"/>
    <x v="2"/>
    <n v="33664"/>
    <d v="2025-03-03T00:00:00"/>
    <m/>
    <m/>
    <m/>
    <x v="0"/>
    <x v="4"/>
    <s v="Normal"/>
  </r>
  <r>
    <s v="DEAL-02183"/>
    <x v="2"/>
    <s v="CLI-0051"/>
    <x v="2"/>
    <x v="1"/>
    <x v="4"/>
    <n v="484881"/>
    <d v="2023-06-16T00:00:00"/>
    <m/>
    <m/>
    <m/>
    <x v="0"/>
    <x v="1"/>
    <s v="Normal"/>
  </r>
  <r>
    <s v="DEAL-01487"/>
    <x v="0"/>
    <s v="CLI-0190"/>
    <x v="2"/>
    <x v="2"/>
    <x v="5"/>
    <n v="419909"/>
    <d v="2023-03-19T00:00:00"/>
    <m/>
    <m/>
    <n v="4.3"/>
    <x v="0"/>
    <x v="2"/>
    <s v="Normal"/>
  </r>
  <r>
    <s v="DEAL-01214"/>
    <x v="9"/>
    <s v="CLI-0180"/>
    <x v="3"/>
    <x v="3"/>
    <x v="0"/>
    <n v="234937"/>
    <d v="2023-08-19T00:00:00"/>
    <d v="2023-11-28T00:00:00"/>
    <n v="101"/>
    <n v="11.8"/>
    <x v="1"/>
    <x v="6"/>
    <s v="Normal"/>
  </r>
  <r>
    <s v="DEAL-00533"/>
    <x v="7"/>
    <s v="CLI-0091"/>
    <x v="4"/>
    <x v="2"/>
    <x v="3"/>
    <n v="361375"/>
    <d v="2025-02-28T00:00:00"/>
    <d v="2025-03-28T00:00:00"/>
    <n v="28"/>
    <n v="6.5"/>
    <x v="3"/>
    <x v="4"/>
    <s v="Normal"/>
  </r>
  <r>
    <s v="DEAL-01723"/>
    <x v="2"/>
    <s v="CLI-0012"/>
    <x v="4"/>
    <x v="8"/>
    <x v="0"/>
    <n v="138211"/>
    <d v="2024-08-08T00:00:00"/>
    <d v="2024-11-15T00:00:00"/>
    <n v="99"/>
    <n v="14.3"/>
    <x v="0"/>
    <x v="8"/>
    <s v="Normal"/>
  </r>
  <r>
    <s v="DEAL-00110"/>
    <x v="10"/>
    <s v="CLI-0147"/>
    <x v="3"/>
    <x v="3"/>
    <x v="2"/>
    <n v="33186"/>
    <d v="2024-04-26T00:00:00"/>
    <m/>
    <m/>
    <n v="11"/>
    <x v="0"/>
    <x v="7"/>
    <s v="Normal"/>
  </r>
  <r>
    <s v="DEAL-00331"/>
    <x v="3"/>
    <s v="CLI-0154"/>
    <x v="0"/>
    <x v="3"/>
    <x v="4"/>
    <n v="230754"/>
    <d v="2023-02-02T00:00:00"/>
    <m/>
    <m/>
    <m/>
    <x v="0"/>
    <x v="2"/>
    <s v="Normal"/>
  </r>
  <r>
    <s v="DEAL-02037"/>
    <x v="10"/>
    <s v="CLI-0170"/>
    <x v="2"/>
    <x v="5"/>
    <x v="4"/>
    <n v="385808"/>
    <d v="2023-11-27T00:00:00"/>
    <m/>
    <m/>
    <m/>
    <x v="1"/>
    <x v="0"/>
    <s v="Normal"/>
  </r>
  <r>
    <s v="DEAL-01862"/>
    <x v="11"/>
    <s v="CLI-0175"/>
    <x v="2"/>
    <x v="4"/>
    <x v="5"/>
    <n v="412123"/>
    <d v="2023-08-29T00:00:00"/>
    <m/>
    <m/>
    <n v="14.5"/>
    <x v="1"/>
    <x v="6"/>
    <s v="Normal"/>
  </r>
  <r>
    <s v="DEAL-00361"/>
    <x v="1"/>
    <s v="CLI-0082"/>
    <x v="0"/>
    <x v="2"/>
    <x v="4"/>
    <n v="457381"/>
    <d v="2024-03-07T00:00:00"/>
    <m/>
    <m/>
    <n v="3.6"/>
    <x v="3"/>
    <x v="5"/>
    <s v="Normal"/>
  </r>
  <r>
    <s v="DEAL-00073"/>
    <x v="2"/>
    <s v="CLI-0062"/>
    <x v="5"/>
    <x v="2"/>
    <x v="4"/>
    <n v="367311"/>
    <d v="2023-11-03T00:00:00"/>
    <m/>
    <m/>
    <n v="8.6"/>
    <x v="2"/>
    <x v="0"/>
    <s v="Normal"/>
  </r>
  <r>
    <s v="DEAL-02106"/>
    <x v="1"/>
    <s v="CLI-0099"/>
    <x v="5"/>
    <x v="5"/>
    <x v="3"/>
    <n v="244166"/>
    <d v="2023-12-04T00:00:00"/>
    <d v="2024-03-04T00:00:00"/>
    <n v="91"/>
    <n v="20.9"/>
    <x v="0"/>
    <x v="0"/>
    <s v="Normal"/>
  </r>
  <r>
    <s v="DEAL-00550"/>
    <x v="14"/>
    <s v="CLI-0079"/>
    <x v="0"/>
    <x v="3"/>
    <x v="3"/>
    <n v="473214"/>
    <d v="2024-02-03T00:00:00"/>
    <d v="2024-07-08T00:00:00"/>
    <n v="156"/>
    <n v="4.8"/>
    <x v="1"/>
    <x v="5"/>
    <s v="Normal"/>
  </r>
  <r>
    <s v="DEAL-00660"/>
    <x v="8"/>
    <s v="CLI-0075"/>
    <x v="4"/>
    <x v="0"/>
    <x v="3"/>
    <n v="147947"/>
    <d v="2024-03-19T00:00:00"/>
    <d v="2024-06-28T00:00:00"/>
    <n v="101"/>
    <n v="18.7"/>
    <x v="0"/>
    <x v="5"/>
    <s v="Normal"/>
  </r>
  <r>
    <s v="DEAL-01927"/>
    <x v="1"/>
    <s v="CLI-0149"/>
    <x v="2"/>
    <x v="2"/>
    <x v="4"/>
    <n v="214983"/>
    <d v="2023-12-18T00:00:00"/>
    <m/>
    <m/>
    <m/>
    <x v="2"/>
    <x v="0"/>
    <s v="Normal"/>
  </r>
  <r>
    <s v="DEAL-01390"/>
    <x v="6"/>
    <s v="CLI-0287"/>
    <x v="0"/>
    <x v="0"/>
    <x v="1"/>
    <n v="242496"/>
    <d v="2023-01-03T00:00:00"/>
    <m/>
    <m/>
    <m/>
    <x v="1"/>
    <x v="2"/>
    <s v="Normal"/>
  </r>
  <r>
    <s v="DEAL-01411"/>
    <x v="8"/>
    <s v="CLI-0123"/>
    <x v="0"/>
    <x v="7"/>
    <x v="3"/>
    <n v="493172"/>
    <d v="2023-10-02T00:00:00"/>
    <d v="2024-03-21T00:00:00"/>
    <n v="171"/>
    <n v="1.6"/>
    <x v="3"/>
    <x v="0"/>
    <s v="Normal"/>
  </r>
  <r>
    <s v="DEAL-00844"/>
    <x v="7"/>
    <s v="CLI-0046"/>
    <x v="5"/>
    <x v="6"/>
    <x v="0"/>
    <n v="354337"/>
    <d v="2024-07-19T00:00:00"/>
    <d v="2025-01-14T00:00:00"/>
    <n v="179"/>
    <n v="9"/>
    <x v="0"/>
    <x v="8"/>
    <s v="Normal"/>
  </r>
  <r>
    <s v="DEAL-02181"/>
    <x v="15"/>
    <s v="CLI-0242"/>
    <x v="3"/>
    <x v="7"/>
    <x v="5"/>
    <n v="99225"/>
    <d v="2024-08-21T00:00:00"/>
    <m/>
    <m/>
    <n v="12.9"/>
    <x v="3"/>
    <x v="8"/>
    <s v="Normal"/>
  </r>
  <r>
    <s v="DEAL-00503"/>
    <x v="5"/>
    <s v="CLI-0028"/>
    <x v="5"/>
    <x v="7"/>
    <x v="5"/>
    <n v="120424"/>
    <d v="2025-02-03T00:00:00"/>
    <m/>
    <m/>
    <n v="10.8"/>
    <x v="1"/>
    <x v="4"/>
    <s v="Normal"/>
  </r>
  <r>
    <s v="DEAL-01042"/>
    <x v="1"/>
    <s v="CLI-0017"/>
    <x v="4"/>
    <x v="2"/>
    <x v="0"/>
    <n v="154799"/>
    <d v="2024-01-12T00:00:00"/>
    <d v="2024-06-25T00:00:00"/>
    <n v="165"/>
    <n v="4"/>
    <x v="2"/>
    <x v="5"/>
    <s v="Normal"/>
  </r>
  <r>
    <s v="DEAL-00945"/>
    <x v="15"/>
    <s v="CLI-0285"/>
    <x v="4"/>
    <x v="1"/>
    <x v="4"/>
    <n v="140351"/>
    <d v="2023-09-18T00:00:00"/>
    <m/>
    <m/>
    <n v="4.8"/>
    <x v="0"/>
    <x v="6"/>
    <s v="Normal"/>
  </r>
  <r>
    <s v="DEAL-01395"/>
    <x v="5"/>
    <s v="CLI-0097"/>
    <x v="2"/>
    <x v="0"/>
    <x v="5"/>
    <n v="44764"/>
    <d v="2023-03-08T00:00:00"/>
    <m/>
    <m/>
    <n v="4.8"/>
    <x v="2"/>
    <x v="2"/>
    <s v="Normal"/>
  </r>
  <r>
    <s v="DEAL-01926"/>
    <x v="8"/>
    <s v="CLI-0054"/>
    <x v="2"/>
    <x v="0"/>
    <x v="0"/>
    <n v="427209"/>
    <d v="2024-04-14T00:00:00"/>
    <d v="2024-05-08T00:00:00"/>
    <n v="24"/>
    <n v="1.6"/>
    <x v="3"/>
    <x v="7"/>
    <s v="Normal"/>
  </r>
  <r>
    <s v="DEAL-00713"/>
    <x v="9"/>
    <s v="CLI-0133"/>
    <x v="0"/>
    <x v="5"/>
    <x v="1"/>
    <n v="325160"/>
    <d v="2023-04-23T00:00:00"/>
    <m/>
    <m/>
    <n v="10.3"/>
    <x v="3"/>
    <x v="1"/>
    <s v="Normal"/>
  </r>
  <r>
    <s v="DEAL-00340"/>
    <x v="9"/>
    <s v="CLI-0090"/>
    <x v="4"/>
    <x v="3"/>
    <x v="5"/>
    <n v="488243"/>
    <d v="2023-07-15T00:00:00"/>
    <m/>
    <m/>
    <n v="2.9"/>
    <x v="3"/>
    <x v="6"/>
    <s v="Normal"/>
  </r>
  <r>
    <s v="DEAL-02335"/>
    <x v="3"/>
    <s v="CLI-0253"/>
    <x v="4"/>
    <x v="4"/>
    <x v="2"/>
    <n v="305698"/>
    <d v="2023-10-25T00:00:00"/>
    <m/>
    <m/>
    <n v="2.5"/>
    <x v="1"/>
    <x v="0"/>
    <s v="Normal"/>
  </r>
  <r>
    <s v="DEAL-01698"/>
    <x v="14"/>
    <s v="CLI-0147"/>
    <x v="2"/>
    <x v="0"/>
    <x v="0"/>
    <n v="75266"/>
    <d v="2024-12-31T00:00:00"/>
    <d v="2025-04-06T00:00:00"/>
    <n v="96"/>
    <n v="14.9"/>
    <x v="1"/>
    <x v="3"/>
    <s v="Normal"/>
  </r>
  <r>
    <s v="DEAL-00984"/>
    <x v="9"/>
    <s v="CLI-0219"/>
    <x v="4"/>
    <x v="5"/>
    <x v="2"/>
    <n v="377810"/>
    <d v="2024-01-03T00:00:00"/>
    <m/>
    <m/>
    <n v="6.8"/>
    <x v="1"/>
    <x v="5"/>
    <s v="Normal"/>
  </r>
  <r>
    <s v="DEAL-00569"/>
    <x v="11"/>
    <s v="CLI-0163"/>
    <x v="4"/>
    <x v="7"/>
    <x v="0"/>
    <n v="120253"/>
    <d v="2023-06-08T00:00:00"/>
    <d v="2023-09-13T00:00:00"/>
    <n v="97"/>
    <n v="11.5"/>
    <x v="1"/>
    <x v="1"/>
    <s v="Normal"/>
  </r>
  <r>
    <s v="DEAL-00669"/>
    <x v="7"/>
    <s v="CLI-0137"/>
    <x v="0"/>
    <x v="5"/>
    <x v="1"/>
    <n v="42916"/>
    <d v="2025-01-20T00:00:00"/>
    <m/>
    <m/>
    <n v="0.9"/>
    <x v="0"/>
    <x v="4"/>
    <s v="Normal"/>
  </r>
  <r>
    <s v="DEAL-01785"/>
    <x v="5"/>
    <s v="CLI-0047"/>
    <x v="3"/>
    <x v="6"/>
    <x v="5"/>
    <n v="51644"/>
    <d v="2024-05-07T00:00:00"/>
    <m/>
    <m/>
    <m/>
    <x v="0"/>
    <x v="7"/>
    <s v="Normal"/>
  </r>
  <r>
    <s v="DEAL-01878"/>
    <x v="1"/>
    <s v="CLI-0058"/>
    <x v="2"/>
    <x v="6"/>
    <x v="3"/>
    <n v="439715"/>
    <d v="2024-03-10T00:00:00"/>
    <d v="2024-08-16T00:00:00"/>
    <n v="159"/>
    <n v="23.7"/>
    <x v="1"/>
    <x v="5"/>
    <s v="Normal"/>
  </r>
  <r>
    <s v="DEAL-00582"/>
    <x v="3"/>
    <s v="CLI-0152"/>
    <x v="5"/>
    <x v="3"/>
    <x v="3"/>
    <n v="293155"/>
    <d v="2023-03-12T00:00:00"/>
    <d v="2023-06-18T00:00:00"/>
    <n v="98"/>
    <n v="23.2"/>
    <x v="1"/>
    <x v="2"/>
    <s v="Normal"/>
  </r>
  <r>
    <s v="DEAL-01699"/>
    <x v="6"/>
    <s v="CLI-0195"/>
    <x v="4"/>
    <x v="2"/>
    <x v="1"/>
    <n v="329020"/>
    <d v="2023-04-14T00:00:00"/>
    <m/>
    <m/>
    <n v="0.3"/>
    <x v="3"/>
    <x v="1"/>
    <s v="Normal"/>
  </r>
  <r>
    <s v="DEAL-01518"/>
    <x v="10"/>
    <s v="CLI-0059"/>
    <x v="3"/>
    <x v="2"/>
    <x v="3"/>
    <n v="235442"/>
    <d v="2024-10-24T00:00:00"/>
    <d v="2025-01-03T00:00:00"/>
    <n v="71"/>
    <n v="1.7"/>
    <x v="2"/>
    <x v="3"/>
    <s v="Normal"/>
  </r>
  <r>
    <s v="DEAL-00729"/>
    <x v="10"/>
    <s v="CLI-0174"/>
    <x v="2"/>
    <x v="7"/>
    <x v="5"/>
    <n v="230459"/>
    <d v="2023-02-22T00:00:00"/>
    <m/>
    <m/>
    <n v="14.7"/>
    <x v="0"/>
    <x v="2"/>
    <s v="Normal"/>
  </r>
  <r>
    <s v="DEAL-00804"/>
    <x v="14"/>
    <s v="CLI-0279"/>
    <x v="4"/>
    <x v="1"/>
    <x v="0"/>
    <n v="330745"/>
    <d v="2023-09-14T00:00:00"/>
    <d v="2024-02-29T00:00:00"/>
    <n v="168"/>
    <n v="9.4"/>
    <x v="3"/>
    <x v="6"/>
    <s v="Normal"/>
  </r>
  <r>
    <s v="DEAL-01561"/>
    <x v="1"/>
    <s v="CLI-0162"/>
    <x v="2"/>
    <x v="1"/>
    <x v="4"/>
    <n v="428112"/>
    <d v="2023-04-13T00:00:00"/>
    <m/>
    <m/>
    <m/>
    <x v="2"/>
    <x v="1"/>
    <s v="Normal"/>
  </r>
  <r>
    <s v="DEAL-01528"/>
    <x v="0"/>
    <s v="CLI-0144"/>
    <x v="2"/>
    <x v="1"/>
    <x v="5"/>
    <n v="462731"/>
    <d v="2023-07-28T00:00:00"/>
    <m/>
    <m/>
    <m/>
    <x v="1"/>
    <x v="6"/>
    <s v="Normal"/>
  </r>
  <r>
    <s v="DEAL-01570"/>
    <x v="7"/>
    <s v="CLI-0004"/>
    <x v="1"/>
    <x v="5"/>
    <x v="1"/>
    <n v="203618"/>
    <d v="2023-09-06T00:00:00"/>
    <m/>
    <m/>
    <n v="6"/>
    <x v="1"/>
    <x v="6"/>
    <s v="Normal"/>
  </r>
  <r>
    <s v="DEAL-01776"/>
    <x v="9"/>
    <s v="CLI-0151"/>
    <x v="1"/>
    <x v="5"/>
    <x v="0"/>
    <n v="224737"/>
    <d v="2025-03-13T00:00:00"/>
    <d v="2025-07-16T00:00:00"/>
    <n v="125"/>
    <n v="6.2"/>
    <x v="3"/>
    <x v="4"/>
    <s v="Normal"/>
  </r>
  <r>
    <s v="DEAL-00063"/>
    <x v="13"/>
    <s v="CLI-0019"/>
    <x v="0"/>
    <x v="0"/>
    <x v="2"/>
    <n v="110949"/>
    <d v="2024-06-29T00:00:00"/>
    <m/>
    <m/>
    <n v="4.8"/>
    <x v="3"/>
    <x v="7"/>
    <s v="Normal"/>
  </r>
  <r>
    <s v="DEAL-00705"/>
    <x v="15"/>
    <s v="CLI-0283"/>
    <x v="1"/>
    <x v="1"/>
    <x v="5"/>
    <n v="180649"/>
    <d v="2025-03-27T00:00:00"/>
    <m/>
    <m/>
    <n v="5.6"/>
    <x v="0"/>
    <x v="4"/>
    <s v="Normal"/>
  </r>
  <r>
    <s v="DEAL-00512"/>
    <x v="5"/>
    <s v="CLI-0089"/>
    <x v="0"/>
    <x v="4"/>
    <x v="0"/>
    <n v="490146"/>
    <d v="2023-01-14T00:00:00"/>
    <d v="2023-07-03T00:00:00"/>
    <n v="170"/>
    <n v="9.6999999999999993"/>
    <x v="0"/>
    <x v="2"/>
    <s v="Normal"/>
  </r>
  <r>
    <s v="DEAL-02089"/>
    <x v="7"/>
    <s v="CLI-0100"/>
    <x v="5"/>
    <x v="7"/>
    <x v="0"/>
    <n v="63715"/>
    <d v="2023-08-01T00:00:00"/>
    <d v="2023-10-18T00:00:00"/>
    <n v="78"/>
    <n v="14"/>
    <x v="2"/>
    <x v="6"/>
    <s v="Normal"/>
  </r>
  <r>
    <s v="DEAL-01446"/>
    <x v="11"/>
    <s v="CLI-0066"/>
    <x v="1"/>
    <x v="4"/>
    <x v="4"/>
    <n v="226851"/>
    <d v="2024-01-28T00:00:00"/>
    <m/>
    <m/>
    <n v="10.8"/>
    <x v="3"/>
    <x v="5"/>
    <s v="Normal"/>
  </r>
  <r>
    <s v="DEAL-02173"/>
    <x v="11"/>
    <s v="CLI-0101"/>
    <x v="5"/>
    <x v="4"/>
    <x v="4"/>
    <n v="180367"/>
    <d v="2023-02-08T00:00:00"/>
    <m/>
    <m/>
    <m/>
    <x v="2"/>
    <x v="2"/>
    <s v="Normal"/>
  </r>
  <r>
    <s v="DEAL-02363"/>
    <x v="15"/>
    <s v="CLI-0152"/>
    <x v="2"/>
    <x v="6"/>
    <x v="4"/>
    <n v="243766"/>
    <d v="2024-09-13T00:00:00"/>
    <m/>
    <m/>
    <n v="1.5"/>
    <x v="3"/>
    <x v="8"/>
    <s v="Normal"/>
  </r>
  <r>
    <s v="DEAL-01941"/>
    <x v="12"/>
    <s v="CLI-0032"/>
    <x v="3"/>
    <x v="7"/>
    <x v="3"/>
    <n v="392657"/>
    <d v="2023-09-26T00:00:00"/>
    <d v="2024-02-16T00:00:00"/>
    <n v="143"/>
    <n v="11.8"/>
    <x v="1"/>
    <x v="6"/>
    <s v="Normal"/>
  </r>
  <r>
    <s v="DEAL-00577"/>
    <x v="4"/>
    <s v="CLI-0219"/>
    <x v="3"/>
    <x v="4"/>
    <x v="3"/>
    <n v="234044"/>
    <d v="2024-05-13T00:00:00"/>
    <d v="2024-06-09T00:00:00"/>
    <n v="27"/>
    <n v="1.5"/>
    <x v="2"/>
    <x v="7"/>
    <s v="Normal"/>
  </r>
  <r>
    <s v="DEAL-01144"/>
    <x v="1"/>
    <s v="CLI-0055"/>
    <x v="5"/>
    <x v="5"/>
    <x v="2"/>
    <n v="29626"/>
    <d v="2024-06-02T00:00:00"/>
    <m/>
    <m/>
    <m/>
    <x v="3"/>
    <x v="7"/>
    <s v="Normal"/>
  </r>
  <r>
    <s v="DEAL-01112"/>
    <x v="10"/>
    <s v="CLI-0045"/>
    <x v="1"/>
    <x v="4"/>
    <x v="1"/>
    <n v="462303"/>
    <d v="2023-06-07T00:00:00"/>
    <m/>
    <m/>
    <n v="12.4"/>
    <x v="2"/>
    <x v="1"/>
    <s v="Normal"/>
  </r>
  <r>
    <s v="DEAL-01512"/>
    <x v="2"/>
    <s v="CLI-0275"/>
    <x v="4"/>
    <x v="2"/>
    <x v="3"/>
    <n v="246350"/>
    <d v="2023-02-06T00:00:00"/>
    <d v="2023-03-16T00:00:00"/>
    <n v="38"/>
    <n v="15.2"/>
    <x v="1"/>
    <x v="2"/>
    <s v="Normal"/>
  </r>
  <r>
    <s v="DEAL-00899"/>
    <x v="10"/>
    <s v="CLI-0178"/>
    <x v="3"/>
    <x v="1"/>
    <x v="5"/>
    <n v="171512"/>
    <d v="2023-05-06T00:00:00"/>
    <m/>
    <m/>
    <n v="7.3"/>
    <x v="0"/>
    <x v="1"/>
    <s v="Normal"/>
  </r>
  <r>
    <s v="DEAL-02340"/>
    <x v="14"/>
    <s v="CLI-0129"/>
    <x v="0"/>
    <x v="6"/>
    <x v="5"/>
    <n v="268021"/>
    <d v="2023-01-08T00:00:00"/>
    <m/>
    <m/>
    <n v="8.4"/>
    <x v="3"/>
    <x v="2"/>
    <s v="Normal"/>
  </r>
  <r>
    <s v="DEAL-00149"/>
    <x v="14"/>
    <s v="CLI-0195"/>
    <x v="4"/>
    <x v="5"/>
    <x v="5"/>
    <n v="461076"/>
    <d v="2024-12-24T00:00:00"/>
    <m/>
    <m/>
    <n v="2.5"/>
    <x v="2"/>
    <x v="3"/>
    <s v="Normal"/>
  </r>
  <r>
    <s v="DEAL-01280"/>
    <x v="11"/>
    <s v="CLI-0127"/>
    <x v="2"/>
    <x v="6"/>
    <x v="0"/>
    <n v="404291"/>
    <d v="2024-12-10T00:00:00"/>
    <d v="2025-02-16T00:00:00"/>
    <n v="68"/>
    <m/>
    <x v="3"/>
    <x v="3"/>
    <s v="Normal"/>
  </r>
  <r>
    <s v="DEAL-01006"/>
    <x v="9"/>
    <s v="CLI-0180"/>
    <x v="5"/>
    <x v="3"/>
    <x v="0"/>
    <n v="381351"/>
    <d v="2024-11-21T00:00:00"/>
    <d v="2025-03-09T00:00:00"/>
    <n v="108"/>
    <n v="13.7"/>
    <x v="3"/>
    <x v="3"/>
    <s v="Normal"/>
  </r>
  <r>
    <s v="DEAL-00820"/>
    <x v="11"/>
    <s v="CLI-0141"/>
    <x v="5"/>
    <x v="5"/>
    <x v="2"/>
    <n v="305174"/>
    <d v="2024-02-27T00:00:00"/>
    <m/>
    <m/>
    <m/>
    <x v="1"/>
    <x v="5"/>
    <s v="Normal"/>
  </r>
  <r>
    <s v="DEAL-02237"/>
    <x v="11"/>
    <s v="CLI-0153"/>
    <x v="2"/>
    <x v="7"/>
    <x v="5"/>
    <n v="76010"/>
    <d v="2024-11-18T00:00:00"/>
    <m/>
    <m/>
    <n v="6.9"/>
    <x v="1"/>
    <x v="3"/>
    <s v="Normal"/>
  </r>
  <r>
    <s v="DEAL-02262"/>
    <x v="15"/>
    <s v="CLI-0159"/>
    <x v="2"/>
    <x v="7"/>
    <x v="0"/>
    <n v="241535"/>
    <d v="2024-11-26T00:00:00"/>
    <d v="2025-05-03T00:00:00"/>
    <n v="158"/>
    <n v="10.4"/>
    <x v="2"/>
    <x v="3"/>
    <s v="Normal"/>
  </r>
  <r>
    <s v="DEAL-00055"/>
    <x v="7"/>
    <s v="CLI-0044"/>
    <x v="1"/>
    <x v="0"/>
    <x v="3"/>
    <n v="227386"/>
    <d v="2023-12-08T00:00:00"/>
    <d v="2024-03-21T00:00:00"/>
    <n v="104"/>
    <n v="15.9"/>
    <x v="3"/>
    <x v="0"/>
    <s v="Normal"/>
  </r>
  <r>
    <s v="DEAL-02065"/>
    <x v="14"/>
    <s v="CLI-0230"/>
    <x v="0"/>
    <x v="0"/>
    <x v="2"/>
    <n v="303076"/>
    <d v="2023-08-02T00:00:00"/>
    <m/>
    <m/>
    <n v="12.5"/>
    <x v="0"/>
    <x v="6"/>
    <s v="Normal"/>
  </r>
  <r>
    <s v="DEAL-00486"/>
    <x v="11"/>
    <s v="CLI-0063"/>
    <x v="0"/>
    <x v="0"/>
    <x v="0"/>
    <n v="360211"/>
    <d v="2025-03-26T00:00:00"/>
    <d v="2025-09-18T00:00:00"/>
    <n v="176"/>
    <n v="5.4"/>
    <x v="3"/>
    <x v="4"/>
    <s v="Normal"/>
  </r>
  <r>
    <s v="DEAL-01626"/>
    <x v="13"/>
    <s v="CLI-0130"/>
    <x v="2"/>
    <x v="2"/>
    <x v="3"/>
    <n v="146713"/>
    <d v="2025-01-10T00:00:00"/>
    <d v="2025-03-12T00:00:00"/>
    <n v="61"/>
    <n v="17.399999999999999"/>
    <x v="2"/>
    <x v="4"/>
    <s v="Normal"/>
  </r>
  <r>
    <s v="DEAL-02229"/>
    <x v="3"/>
    <s v="CLI-0266"/>
    <x v="4"/>
    <x v="5"/>
    <x v="1"/>
    <n v="16071"/>
    <d v="2023-09-11T00:00:00"/>
    <m/>
    <m/>
    <n v="11.1"/>
    <x v="1"/>
    <x v="6"/>
    <s v="Normal"/>
  </r>
  <r>
    <s v="DEAL-01314"/>
    <x v="5"/>
    <s v="CLI-0134"/>
    <x v="2"/>
    <x v="7"/>
    <x v="5"/>
    <n v="77815"/>
    <d v="2023-11-14T00:00:00"/>
    <m/>
    <m/>
    <n v="8.5"/>
    <x v="1"/>
    <x v="0"/>
    <s v="Normal"/>
  </r>
  <r>
    <s v="DEAL-01030"/>
    <x v="1"/>
    <s v="CLI-0048"/>
    <x v="4"/>
    <x v="6"/>
    <x v="2"/>
    <n v="89081"/>
    <d v="2025-03-31T00:00:00"/>
    <m/>
    <m/>
    <n v="13"/>
    <x v="0"/>
    <x v="4"/>
    <s v="Normal"/>
  </r>
  <r>
    <s v="DEAL-02008"/>
    <x v="0"/>
    <s v="CLI-0201"/>
    <x v="2"/>
    <x v="6"/>
    <x v="0"/>
    <n v="447985"/>
    <d v="2024-05-20T00:00:00"/>
    <d v="2024-07-28T00:00:00"/>
    <n v="69"/>
    <n v="14.5"/>
    <x v="3"/>
    <x v="7"/>
    <s v="Normal"/>
  </r>
  <r>
    <s v="DEAL-02439"/>
    <x v="9"/>
    <s v="CLI-0003"/>
    <x v="2"/>
    <x v="8"/>
    <x v="3"/>
    <n v="151461"/>
    <d v="2024-05-30T00:00:00"/>
    <d v="2024-11-20T00:00:00"/>
    <n v="174"/>
    <n v="4.5999999999999996"/>
    <x v="3"/>
    <x v="7"/>
    <s v="Normal"/>
  </r>
  <r>
    <s v="DEAL-02480"/>
    <x v="3"/>
    <s v="CLI-0020"/>
    <x v="0"/>
    <x v="0"/>
    <x v="5"/>
    <n v="474732"/>
    <d v="2024-09-16T00:00:00"/>
    <m/>
    <m/>
    <n v="12.4"/>
    <x v="1"/>
    <x v="8"/>
    <s v="Normal"/>
  </r>
  <r>
    <s v="DEAL-00892"/>
    <x v="11"/>
    <s v="CLI-0075"/>
    <x v="0"/>
    <x v="7"/>
    <x v="4"/>
    <n v="46486"/>
    <d v="2023-06-27T00:00:00"/>
    <m/>
    <m/>
    <n v="10.6"/>
    <x v="3"/>
    <x v="1"/>
    <s v="Normal"/>
  </r>
  <r>
    <s v="DEAL-00405"/>
    <x v="8"/>
    <s v="CLI-0070"/>
    <x v="4"/>
    <x v="2"/>
    <x v="1"/>
    <n v="430748"/>
    <d v="2023-11-05T00:00:00"/>
    <m/>
    <m/>
    <n v="4.0999999999999996"/>
    <x v="0"/>
    <x v="0"/>
    <s v="Normal"/>
  </r>
  <r>
    <s v="DEAL-01693"/>
    <x v="3"/>
    <s v="CLI-0037"/>
    <x v="0"/>
    <x v="7"/>
    <x v="5"/>
    <n v="460262"/>
    <d v="2023-10-22T00:00:00"/>
    <m/>
    <m/>
    <m/>
    <x v="3"/>
    <x v="0"/>
    <s v="Normal"/>
  </r>
  <r>
    <s v="DEAL-00764"/>
    <x v="15"/>
    <s v="CLI-0049"/>
    <x v="2"/>
    <x v="0"/>
    <x v="3"/>
    <n v="454136"/>
    <d v="2023-12-01T00:00:00"/>
    <d v="2024-02-07T00:00:00"/>
    <n v="68"/>
    <n v="3.7"/>
    <x v="1"/>
    <x v="0"/>
    <s v="Normal"/>
  </r>
  <r>
    <s v="DEAL-00386"/>
    <x v="6"/>
    <s v="CLI-0026"/>
    <x v="1"/>
    <x v="4"/>
    <x v="0"/>
    <n v="432544"/>
    <d v="2023-04-02T00:00:00"/>
    <d v="2023-04-21T00:00:00"/>
    <n v="19"/>
    <n v="6.2"/>
    <x v="3"/>
    <x v="1"/>
    <s v="Normal"/>
  </r>
  <r>
    <s v="DEAL-01044"/>
    <x v="0"/>
    <s v="CLI-0296"/>
    <x v="3"/>
    <x v="4"/>
    <x v="0"/>
    <n v="366866"/>
    <d v="2023-01-31T00:00:00"/>
    <d v="2023-07-01T00:00:00"/>
    <n v="151"/>
    <n v="11"/>
    <x v="2"/>
    <x v="2"/>
    <s v="Normal"/>
  </r>
  <r>
    <s v="DEAL-02264"/>
    <x v="5"/>
    <s v="CLI-0298"/>
    <x v="3"/>
    <x v="2"/>
    <x v="5"/>
    <n v="48000"/>
    <d v="2023-10-13T00:00:00"/>
    <m/>
    <m/>
    <n v="8.6"/>
    <x v="3"/>
    <x v="0"/>
    <s v="Normal"/>
  </r>
  <r>
    <s v="DEAL-02004"/>
    <x v="15"/>
    <s v="CLI-0143"/>
    <x v="0"/>
    <x v="2"/>
    <x v="2"/>
    <n v="122106"/>
    <d v="2023-03-08T00:00:00"/>
    <m/>
    <m/>
    <n v="6.4"/>
    <x v="3"/>
    <x v="2"/>
    <s v="Normal"/>
  </r>
  <r>
    <s v="DEAL-01111"/>
    <x v="3"/>
    <s v="CLI-0246"/>
    <x v="3"/>
    <x v="3"/>
    <x v="2"/>
    <n v="43535"/>
    <d v="2023-06-17T00:00:00"/>
    <m/>
    <m/>
    <n v="9.1999999999999993"/>
    <x v="3"/>
    <x v="1"/>
    <s v="Normal"/>
  </r>
  <r>
    <s v="DEAL-00606"/>
    <x v="14"/>
    <s v="CLI-0088"/>
    <x v="5"/>
    <x v="5"/>
    <x v="0"/>
    <n v="372512"/>
    <d v="2024-05-13T00:00:00"/>
    <d v="2024-08-10T00:00:00"/>
    <n v="89"/>
    <n v="1.5"/>
    <x v="2"/>
    <x v="7"/>
    <s v="Normal"/>
  </r>
  <r>
    <s v="DEAL-01933"/>
    <x v="8"/>
    <s v="CLI-0238"/>
    <x v="0"/>
    <x v="6"/>
    <x v="3"/>
    <n v="202985"/>
    <d v="2024-08-18T00:00:00"/>
    <d v="2024-11-16T00:00:00"/>
    <n v="90"/>
    <n v="12.4"/>
    <x v="2"/>
    <x v="8"/>
    <s v="Normal"/>
  </r>
  <r>
    <s v="DEAL-00095"/>
    <x v="6"/>
    <s v="CLI-0154"/>
    <x v="0"/>
    <x v="6"/>
    <x v="0"/>
    <n v="340624"/>
    <d v="2024-05-13T00:00:00"/>
    <d v="2024-06-18T00:00:00"/>
    <n v="36"/>
    <m/>
    <x v="3"/>
    <x v="7"/>
    <s v="Normal"/>
  </r>
  <r>
    <s v="DEAL-00927"/>
    <x v="0"/>
    <s v="CLI-0146"/>
    <x v="5"/>
    <x v="4"/>
    <x v="3"/>
    <n v="305132"/>
    <d v="2024-12-25T00:00:00"/>
    <d v="2025-06-19T00:00:00"/>
    <n v="176"/>
    <n v="14.4"/>
    <x v="2"/>
    <x v="3"/>
    <s v="Normal"/>
  </r>
  <r>
    <s v="DEAL-00521"/>
    <x v="6"/>
    <s v="CLI-0216"/>
    <x v="1"/>
    <x v="7"/>
    <x v="4"/>
    <n v="376820"/>
    <d v="2024-07-18T00:00:00"/>
    <m/>
    <m/>
    <n v="12.4"/>
    <x v="3"/>
    <x v="8"/>
    <s v="Normal"/>
  </r>
  <r>
    <s v="DEAL-00534"/>
    <x v="8"/>
    <s v="CLI-0098"/>
    <x v="1"/>
    <x v="1"/>
    <x v="3"/>
    <n v="201292"/>
    <d v="2023-07-03T00:00:00"/>
    <d v="2023-11-03T00:00:00"/>
    <n v="123"/>
    <n v="9.6"/>
    <x v="3"/>
    <x v="6"/>
    <s v="Normal"/>
  </r>
  <r>
    <s v="DEAL-02312"/>
    <x v="13"/>
    <s v="CLI-0183"/>
    <x v="1"/>
    <x v="0"/>
    <x v="3"/>
    <n v="244725"/>
    <d v="2023-06-07T00:00:00"/>
    <d v="2023-08-07T00:00:00"/>
    <n v="61"/>
    <n v="9.9"/>
    <x v="2"/>
    <x v="1"/>
    <s v="Normal"/>
  </r>
  <r>
    <s v="DEAL-02318"/>
    <x v="6"/>
    <s v="CLI-0089"/>
    <x v="1"/>
    <x v="0"/>
    <x v="2"/>
    <n v="368761"/>
    <d v="2024-11-27T00:00:00"/>
    <m/>
    <m/>
    <n v="14.5"/>
    <x v="1"/>
    <x v="3"/>
    <s v="Normal"/>
  </r>
  <r>
    <s v="DEAL-01580"/>
    <x v="7"/>
    <s v="CLI-0016"/>
    <x v="2"/>
    <x v="5"/>
    <x v="1"/>
    <n v="466837"/>
    <d v="2023-04-13T00:00:00"/>
    <m/>
    <m/>
    <m/>
    <x v="3"/>
    <x v="1"/>
    <s v="Normal"/>
  </r>
  <r>
    <s v="DEAL-02165"/>
    <x v="6"/>
    <s v="CLI-0147"/>
    <x v="1"/>
    <x v="0"/>
    <x v="2"/>
    <n v="203142"/>
    <d v="2023-08-25T00:00:00"/>
    <m/>
    <m/>
    <m/>
    <x v="1"/>
    <x v="6"/>
    <s v="Normal"/>
  </r>
  <r>
    <s v="DEAL-00162"/>
    <x v="6"/>
    <s v="CLI-0082"/>
    <x v="3"/>
    <x v="4"/>
    <x v="5"/>
    <n v="272274"/>
    <d v="2024-06-18T00:00:00"/>
    <m/>
    <m/>
    <n v="10"/>
    <x v="2"/>
    <x v="7"/>
    <s v="Normal"/>
  </r>
  <r>
    <s v="DEAL-01441"/>
    <x v="2"/>
    <s v="CLI-0142"/>
    <x v="2"/>
    <x v="0"/>
    <x v="3"/>
    <n v="404291"/>
    <d v="2024-07-13T00:00:00"/>
    <d v="2024-08-16T00:00:00"/>
    <n v="34"/>
    <n v="8.9"/>
    <x v="1"/>
    <x v="8"/>
    <s v="Normal"/>
  </r>
  <r>
    <s v="DEAL-01109"/>
    <x v="6"/>
    <s v="CLI-0169"/>
    <x v="5"/>
    <x v="2"/>
    <x v="2"/>
    <n v="284945"/>
    <d v="2023-11-18T00:00:00"/>
    <m/>
    <m/>
    <n v="7.8"/>
    <x v="0"/>
    <x v="0"/>
    <s v="Normal"/>
  </r>
  <r>
    <s v="DEAL-01630"/>
    <x v="3"/>
    <s v="CLI-0135"/>
    <x v="3"/>
    <x v="7"/>
    <x v="5"/>
    <n v="407798"/>
    <d v="2024-07-26T00:00:00"/>
    <m/>
    <m/>
    <n v="13"/>
    <x v="1"/>
    <x v="8"/>
    <s v="Normal"/>
  </r>
  <r>
    <s v="DEAL-00412"/>
    <x v="9"/>
    <s v="CLI-0129"/>
    <x v="4"/>
    <x v="5"/>
    <x v="4"/>
    <n v="200654"/>
    <d v="2024-04-08T00:00:00"/>
    <m/>
    <m/>
    <n v="13"/>
    <x v="0"/>
    <x v="7"/>
    <s v="Normal"/>
  </r>
  <r>
    <s v="DEAL-02323"/>
    <x v="14"/>
    <s v="CLI-0051"/>
    <x v="0"/>
    <x v="7"/>
    <x v="3"/>
    <n v="143599"/>
    <d v="2025-02-11T00:00:00"/>
    <d v="2025-04-29T00:00:00"/>
    <n v="77"/>
    <n v="19.899999999999999"/>
    <x v="2"/>
    <x v="4"/>
    <s v="Normal"/>
  </r>
  <r>
    <s v="DEAL-01623"/>
    <x v="4"/>
    <s v="CLI-0049"/>
    <x v="1"/>
    <x v="6"/>
    <x v="5"/>
    <n v="237351"/>
    <d v="2024-08-26T00:00:00"/>
    <m/>
    <m/>
    <n v="8.1"/>
    <x v="0"/>
    <x v="8"/>
    <s v="Normal"/>
  </r>
  <r>
    <s v="DEAL-02054"/>
    <x v="3"/>
    <s v="CLI-0046"/>
    <x v="5"/>
    <x v="6"/>
    <x v="1"/>
    <n v="382535"/>
    <d v="2023-05-14T00:00:00"/>
    <m/>
    <m/>
    <n v="1.7"/>
    <x v="1"/>
    <x v="1"/>
    <s v="Normal"/>
  </r>
  <r>
    <s v="DEAL-00964"/>
    <x v="1"/>
    <s v="CLI-0156"/>
    <x v="4"/>
    <x v="4"/>
    <x v="4"/>
    <n v="111475"/>
    <d v="2024-12-31T00:00:00"/>
    <m/>
    <m/>
    <m/>
    <x v="0"/>
    <x v="3"/>
    <s v="Normal"/>
  </r>
  <r>
    <s v="DEAL-01242"/>
    <x v="15"/>
    <s v="CLI-0135"/>
    <x v="2"/>
    <x v="2"/>
    <x v="1"/>
    <n v="258349"/>
    <d v="2024-04-19T00:00:00"/>
    <m/>
    <m/>
    <n v="7.5"/>
    <x v="2"/>
    <x v="7"/>
    <s v="Normal"/>
  </r>
  <r>
    <s v="DEAL-00235"/>
    <x v="6"/>
    <s v="CLI-0207"/>
    <x v="2"/>
    <x v="1"/>
    <x v="1"/>
    <n v="112030"/>
    <d v="2024-08-08T00:00:00"/>
    <m/>
    <m/>
    <n v="12.1"/>
    <x v="1"/>
    <x v="8"/>
    <s v="Normal"/>
  </r>
  <r>
    <s v="DEAL-01415"/>
    <x v="0"/>
    <s v="CLI-0256"/>
    <x v="2"/>
    <x v="2"/>
    <x v="5"/>
    <n v="324459"/>
    <d v="2024-03-01T00:00:00"/>
    <m/>
    <m/>
    <n v="6.2"/>
    <x v="3"/>
    <x v="5"/>
    <s v="Normal"/>
  </r>
  <r>
    <s v="DEAL-01170"/>
    <x v="12"/>
    <s v="CLI-0107"/>
    <x v="3"/>
    <x v="7"/>
    <x v="0"/>
    <n v="319669"/>
    <d v="2024-06-19T00:00:00"/>
    <d v="2024-07-20T00:00:00"/>
    <n v="31"/>
    <n v="3.1"/>
    <x v="2"/>
    <x v="7"/>
    <s v="Normal"/>
  </r>
  <r>
    <s v="DEAL-00093"/>
    <x v="14"/>
    <s v="CLI-0067"/>
    <x v="2"/>
    <x v="6"/>
    <x v="3"/>
    <n v="419435"/>
    <d v="2023-03-13T00:00:00"/>
    <d v="2023-08-13T00:00:00"/>
    <n v="153"/>
    <n v="9.6"/>
    <x v="0"/>
    <x v="2"/>
    <s v="Normal"/>
  </r>
  <r>
    <s v="DEAL-00865"/>
    <x v="5"/>
    <s v="CLI-0146"/>
    <x v="1"/>
    <x v="6"/>
    <x v="2"/>
    <n v="496070"/>
    <d v="2024-04-09T00:00:00"/>
    <m/>
    <m/>
    <m/>
    <x v="0"/>
    <x v="7"/>
    <s v="Normal"/>
  </r>
  <r>
    <s v="DEAL-00396"/>
    <x v="5"/>
    <s v="CLI-0254"/>
    <x v="5"/>
    <x v="3"/>
    <x v="4"/>
    <n v="398862"/>
    <d v="2023-05-05T00:00:00"/>
    <m/>
    <m/>
    <m/>
    <x v="3"/>
    <x v="1"/>
    <s v="Normal"/>
  </r>
  <r>
    <s v="DEAL-02012"/>
    <x v="0"/>
    <s v="CLI-0002"/>
    <x v="0"/>
    <x v="6"/>
    <x v="5"/>
    <n v="102696"/>
    <d v="2023-07-11T00:00:00"/>
    <m/>
    <m/>
    <n v="12.3"/>
    <x v="0"/>
    <x v="6"/>
    <s v="Normal"/>
  </r>
  <r>
    <s v="DEAL-01452"/>
    <x v="11"/>
    <s v="CLI-0297"/>
    <x v="1"/>
    <x v="4"/>
    <x v="0"/>
    <n v="325737"/>
    <d v="2023-10-26T00:00:00"/>
    <d v="2023-12-16T00:00:00"/>
    <n v="51"/>
    <m/>
    <x v="2"/>
    <x v="0"/>
    <s v="Normal"/>
  </r>
  <r>
    <s v="DEAL-01719"/>
    <x v="13"/>
    <s v="CLI-0059"/>
    <x v="0"/>
    <x v="5"/>
    <x v="4"/>
    <n v="184123"/>
    <d v="2023-03-10T00:00:00"/>
    <m/>
    <m/>
    <n v="9"/>
    <x v="0"/>
    <x v="2"/>
    <s v="Normal"/>
  </r>
  <r>
    <s v="DEAL-00492"/>
    <x v="6"/>
    <s v="CLI-0290"/>
    <x v="5"/>
    <x v="8"/>
    <x v="0"/>
    <n v="28913"/>
    <d v="2025-02-12T00:00:00"/>
    <d v="2025-07-11T00:00:00"/>
    <n v="149"/>
    <n v="6"/>
    <x v="1"/>
    <x v="4"/>
    <s v="Normal"/>
  </r>
  <r>
    <s v="DEAL-02030"/>
    <x v="4"/>
    <s v="CLI-0008"/>
    <x v="3"/>
    <x v="7"/>
    <x v="2"/>
    <n v="180751"/>
    <d v="2024-08-02T00:00:00"/>
    <m/>
    <m/>
    <m/>
    <x v="0"/>
    <x v="8"/>
    <s v="Normal"/>
  </r>
  <r>
    <s v="DEAL-01450"/>
    <x v="14"/>
    <s v="CLI-0254"/>
    <x v="3"/>
    <x v="3"/>
    <x v="1"/>
    <n v="141620"/>
    <d v="2023-04-04T00:00:00"/>
    <m/>
    <m/>
    <m/>
    <x v="2"/>
    <x v="1"/>
    <s v="Normal"/>
  </r>
  <r>
    <s v="DEAL-01710"/>
    <x v="12"/>
    <s v="CLI-0148"/>
    <x v="4"/>
    <x v="0"/>
    <x v="2"/>
    <n v="246005"/>
    <d v="2023-01-19T00:00:00"/>
    <m/>
    <m/>
    <m/>
    <x v="1"/>
    <x v="2"/>
    <s v="Normal"/>
  </r>
  <r>
    <s v="DEAL-01514"/>
    <x v="3"/>
    <s v="CLI-0081"/>
    <x v="5"/>
    <x v="2"/>
    <x v="3"/>
    <n v="212050"/>
    <d v="2024-08-16T00:00:00"/>
    <d v="2025-01-11T00:00:00"/>
    <n v="148"/>
    <n v="5"/>
    <x v="0"/>
    <x v="8"/>
    <s v="Normal"/>
  </r>
  <r>
    <s v="DEAL-01773"/>
    <x v="9"/>
    <s v="CLI-0234"/>
    <x v="0"/>
    <x v="6"/>
    <x v="2"/>
    <n v="51259"/>
    <d v="2023-06-10T00:00:00"/>
    <m/>
    <m/>
    <n v="5.6"/>
    <x v="3"/>
    <x v="1"/>
    <s v="Normal"/>
  </r>
  <r>
    <s v="DEAL-01064"/>
    <x v="13"/>
    <s v="CLI-0182"/>
    <x v="3"/>
    <x v="6"/>
    <x v="0"/>
    <n v="1840460"/>
    <d v="2023-04-09T00:00:00"/>
    <d v="2023-05-28T00:00:00"/>
    <n v="49"/>
    <n v="1.3"/>
    <x v="1"/>
    <x v="1"/>
    <s v="High Outlier"/>
  </r>
  <r>
    <s v="DEAL-00324"/>
    <x v="10"/>
    <s v="CLI-0235"/>
    <x v="4"/>
    <x v="6"/>
    <x v="3"/>
    <n v="498867"/>
    <d v="2024-05-06T00:00:00"/>
    <d v="2024-09-25T00:00:00"/>
    <n v="142"/>
    <n v="24.9"/>
    <x v="3"/>
    <x v="7"/>
    <s v="Normal"/>
  </r>
  <r>
    <s v="DEAL-00918"/>
    <x v="6"/>
    <s v="CLI-0101"/>
    <x v="5"/>
    <x v="4"/>
    <x v="2"/>
    <n v="319394"/>
    <d v="2023-12-23T00:00:00"/>
    <m/>
    <m/>
    <n v="5.6"/>
    <x v="1"/>
    <x v="0"/>
    <s v="Normal"/>
  </r>
  <r>
    <s v="DEAL-01003"/>
    <x v="13"/>
    <s v="CLI-0223"/>
    <x v="1"/>
    <x v="1"/>
    <x v="0"/>
    <n v="175217"/>
    <d v="2023-10-02T00:00:00"/>
    <d v="2023-11-07T00:00:00"/>
    <n v="36"/>
    <n v="15"/>
    <x v="1"/>
    <x v="0"/>
    <s v="Normal"/>
  </r>
  <r>
    <s v="DEAL-00002"/>
    <x v="8"/>
    <s v="CLI-0287"/>
    <x v="5"/>
    <x v="0"/>
    <x v="3"/>
    <n v="241662"/>
    <d v="2024-02-27T00:00:00"/>
    <d v="2024-05-18T00:00:00"/>
    <n v="81"/>
    <n v="0.3"/>
    <x v="1"/>
    <x v="5"/>
    <s v="Normal"/>
  </r>
  <r>
    <s v="DEAL-00609"/>
    <x v="11"/>
    <s v="CLI-0238"/>
    <x v="4"/>
    <x v="4"/>
    <x v="5"/>
    <n v="426074"/>
    <d v="2023-04-11T00:00:00"/>
    <m/>
    <m/>
    <m/>
    <x v="1"/>
    <x v="1"/>
    <s v="Normal"/>
  </r>
  <r>
    <s v="DEAL-00019"/>
    <x v="3"/>
    <s v="CLI-0105"/>
    <x v="5"/>
    <x v="6"/>
    <x v="4"/>
    <n v="285876"/>
    <d v="2024-08-06T00:00:00"/>
    <m/>
    <m/>
    <m/>
    <x v="0"/>
    <x v="8"/>
    <s v="Normal"/>
  </r>
  <r>
    <s v="DEAL-01593"/>
    <x v="9"/>
    <s v="CLI-0076"/>
    <x v="1"/>
    <x v="4"/>
    <x v="3"/>
    <n v="97905"/>
    <d v="2023-03-01T00:00:00"/>
    <d v="2023-06-22T00:00:00"/>
    <n v="113"/>
    <n v="5.6"/>
    <x v="3"/>
    <x v="2"/>
    <s v="Normal"/>
  </r>
  <r>
    <s v="DEAL-00706"/>
    <x v="12"/>
    <s v="CLI-0041"/>
    <x v="3"/>
    <x v="2"/>
    <x v="4"/>
    <n v="373825"/>
    <d v="2023-07-12T00:00:00"/>
    <m/>
    <m/>
    <n v="10.7"/>
    <x v="3"/>
    <x v="6"/>
    <s v="Normal"/>
  </r>
  <r>
    <s v="DEAL-00307"/>
    <x v="1"/>
    <s v="CLI-0244"/>
    <x v="1"/>
    <x v="7"/>
    <x v="5"/>
    <n v="95823"/>
    <d v="2024-03-28T00:00:00"/>
    <m/>
    <m/>
    <m/>
    <x v="1"/>
    <x v="5"/>
    <s v="Normal"/>
  </r>
  <r>
    <s v="DEAL-01315"/>
    <x v="5"/>
    <s v="CLI-0209"/>
    <x v="2"/>
    <x v="5"/>
    <x v="4"/>
    <n v="225340"/>
    <d v="2023-05-12T00:00:00"/>
    <m/>
    <m/>
    <n v="0.2"/>
    <x v="3"/>
    <x v="1"/>
    <s v="Normal"/>
  </r>
  <r>
    <s v="DEAL-01080"/>
    <x v="1"/>
    <s v="CLI-0150"/>
    <x v="3"/>
    <x v="1"/>
    <x v="4"/>
    <n v="418307"/>
    <d v="2025-01-21T00:00:00"/>
    <m/>
    <m/>
    <n v="13"/>
    <x v="0"/>
    <x v="4"/>
    <s v="Normal"/>
  </r>
  <r>
    <s v="DEAL-02294"/>
    <x v="0"/>
    <s v="CLI-0244"/>
    <x v="1"/>
    <x v="2"/>
    <x v="2"/>
    <n v="458332"/>
    <d v="2024-06-23T00:00:00"/>
    <m/>
    <m/>
    <m/>
    <x v="2"/>
    <x v="7"/>
    <s v="Normal"/>
  </r>
  <r>
    <s v="DEAL-02086"/>
    <x v="8"/>
    <s v="CLI-0240"/>
    <x v="1"/>
    <x v="1"/>
    <x v="2"/>
    <n v="258018"/>
    <d v="2023-08-04T00:00:00"/>
    <m/>
    <m/>
    <m/>
    <x v="2"/>
    <x v="6"/>
    <s v="Normal"/>
  </r>
  <r>
    <s v="DEAL-01096"/>
    <x v="0"/>
    <s v="CLI-0216"/>
    <x v="1"/>
    <x v="6"/>
    <x v="3"/>
    <n v="399413"/>
    <d v="2024-11-16T00:00:00"/>
    <d v="2024-12-19T00:00:00"/>
    <n v="33"/>
    <n v="1.2"/>
    <x v="0"/>
    <x v="3"/>
    <s v="Normal"/>
  </r>
  <r>
    <s v="DEAL-01873"/>
    <x v="3"/>
    <s v="CLI-0197"/>
    <x v="2"/>
    <x v="7"/>
    <x v="2"/>
    <n v="499342"/>
    <d v="2024-07-31T00:00:00"/>
    <m/>
    <m/>
    <n v="4.0999999999999996"/>
    <x v="0"/>
    <x v="8"/>
    <s v="Normal"/>
  </r>
  <r>
    <s v="DEAL-00212"/>
    <x v="11"/>
    <s v="CLI-0255"/>
    <x v="5"/>
    <x v="6"/>
    <x v="0"/>
    <n v="316343"/>
    <d v="2024-03-09T00:00:00"/>
    <d v="2024-07-14T00:00:00"/>
    <n v="127"/>
    <n v="14.2"/>
    <x v="0"/>
    <x v="5"/>
    <s v="Normal"/>
  </r>
  <r>
    <s v="DEAL-00651"/>
    <x v="14"/>
    <s v="CLI-0029"/>
    <x v="5"/>
    <x v="2"/>
    <x v="2"/>
    <n v="446673"/>
    <d v="2024-09-30T00:00:00"/>
    <m/>
    <m/>
    <m/>
    <x v="2"/>
    <x v="8"/>
    <s v="Normal"/>
  </r>
  <r>
    <s v="DEAL-02411"/>
    <x v="13"/>
    <s v="CLI-0211"/>
    <x v="1"/>
    <x v="1"/>
    <x v="5"/>
    <n v="226572"/>
    <d v="2024-11-08T00:00:00"/>
    <m/>
    <m/>
    <n v="1"/>
    <x v="3"/>
    <x v="3"/>
    <s v="Normal"/>
  </r>
  <r>
    <s v="DEAL-00779"/>
    <x v="12"/>
    <s v="CLI-0027"/>
    <x v="4"/>
    <x v="5"/>
    <x v="4"/>
    <n v="94064"/>
    <d v="2024-12-07T00:00:00"/>
    <m/>
    <m/>
    <n v="8"/>
    <x v="2"/>
    <x v="3"/>
    <s v="Normal"/>
  </r>
  <r>
    <s v="DEAL-02146"/>
    <x v="13"/>
    <s v="CLI-0047"/>
    <x v="5"/>
    <x v="7"/>
    <x v="4"/>
    <n v="414262"/>
    <d v="2023-08-27T00:00:00"/>
    <m/>
    <m/>
    <n v="6.8"/>
    <x v="1"/>
    <x v="6"/>
    <s v="Normal"/>
  </r>
  <r>
    <s v="DEAL-01421"/>
    <x v="10"/>
    <s v="CLI-0047"/>
    <x v="0"/>
    <x v="3"/>
    <x v="0"/>
    <n v="399520"/>
    <d v="2023-12-18T00:00:00"/>
    <d v="2024-01-18T00:00:00"/>
    <n v="31"/>
    <n v="14.7"/>
    <x v="2"/>
    <x v="0"/>
    <s v="Normal"/>
  </r>
  <r>
    <s v="DEAL-00611"/>
    <x v="7"/>
    <s v="CLI-0152"/>
    <x v="3"/>
    <x v="5"/>
    <x v="1"/>
    <n v="182470"/>
    <d v="2024-02-27T00:00:00"/>
    <m/>
    <m/>
    <n v="12"/>
    <x v="2"/>
    <x v="5"/>
    <s v="Normal"/>
  </r>
  <r>
    <s v="DEAL-00471"/>
    <x v="3"/>
    <s v="CLI-0249"/>
    <x v="5"/>
    <x v="4"/>
    <x v="0"/>
    <n v="352533"/>
    <d v="2023-08-24T00:00:00"/>
    <d v="2023-12-31T00:00:00"/>
    <n v="129"/>
    <n v="3.4"/>
    <x v="1"/>
    <x v="6"/>
    <s v="Normal"/>
  </r>
  <r>
    <s v="DEAL-02072"/>
    <x v="4"/>
    <s v="CLI-0202"/>
    <x v="4"/>
    <x v="1"/>
    <x v="2"/>
    <n v="367577"/>
    <d v="2023-07-20T00:00:00"/>
    <m/>
    <m/>
    <n v="2.4"/>
    <x v="0"/>
    <x v="6"/>
    <s v="Normal"/>
  </r>
  <r>
    <s v="DEAL-00591"/>
    <x v="3"/>
    <s v="CLI-0046"/>
    <x v="2"/>
    <x v="6"/>
    <x v="0"/>
    <n v="291399"/>
    <d v="2024-09-09T00:00:00"/>
    <d v="2025-03-06T00:00:00"/>
    <n v="178"/>
    <n v="7.1"/>
    <x v="2"/>
    <x v="8"/>
    <s v="Normal"/>
  </r>
  <r>
    <s v="DEAL-01058"/>
    <x v="1"/>
    <s v="CLI-0155"/>
    <x v="3"/>
    <x v="1"/>
    <x v="2"/>
    <n v="207670"/>
    <d v="2024-09-24T00:00:00"/>
    <m/>
    <m/>
    <n v="14.9"/>
    <x v="2"/>
    <x v="8"/>
    <s v="Normal"/>
  </r>
  <r>
    <s v="DEAL-01729"/>
    <x v="2"/>
    <s v="CLI-0071"/>
    <x v="4"/>
    <x v="3"/>
    <x v="2"/>
    <n v="157275"/>
    <d v="2023-02-14T00:00:00"/>
    <m/>
    <m/>
    <n v="8.8000000000000007"/>
    <x v="0"/>
    <x v="2"/>
    <s v="Normal"/>
  </r>
  <r>
    <s v="DEAL-01836"/>
    <x v="3"/>
    <s v="CLI-0147"/>
    <x v="4"/>
    <x v="5"/>
    <x v="3"/>
    <n v="190722"/>
    <d v="2024-08-26T00:00:00"/>
    <d v="2025-02-02T00:00:00"/>
    <n v="160"/>
    <n v="11.7"/>
    <x v="1"/>
    <x v="8"/>
    <s v="Normal"/>
  </r>
  <r>
    <s v="DEAL-01762"/>
    <x v="1"/>
    <s v="CLI-0242"/>
    <x v="2"/>
    <x v="3"/>
    <x v="0"/>
    <n v="342469"/>
    <d v="2023-09-30T00:00:00"/>
    <d v="2023-11-16T00:00:00"/>
    <n v="47"/>
    <m/>
    <x v="2"/>
    <x v="6"/>
    <s v="Normal"/>
  </r>
  <r>
    <s v="DEAL-01191"/>
    <x v="13"/>
    <s v="CLI-0129"/>
    <x v="3"/>
    <x v="4"/>
    <x v="4"/>
    <n v="286710"/>
    <d v="2023-10-08T00:00:00"/>
    <m/>
    <m/>
    <m/>
    <x v="3"/>
    <x v="0"/>
    <s v="Normal"/>
  </r>
  <r>
    <s v="DEAL-00659"/>
    <x v="12"/>
    <s v="CLI-0190"/>
    <x v="0"/>
    <x v="2"/>
    <x v="1"/>
    <n v="477165"/>
    <d v="2023-06-23T00:00:00"/>
    <m/>
    <m/>
    <m/>
    <x v="2"/>
    <x v="1"/>
    <s v="Normal"/>
  </r>
  <r>
    <s v="DEAL-00308"/>
    <x v="7"/>
    <s v="CLI-0199"/>
    <x v="0"/>
    <x v="4"/>
    <x v="3"/>
    <n v="460064"/>
    <d v="2024-03-13T00:00:00"/>
    <d v="2024-05-10T00:00:00"/>
    <n v="58"/>
    <n v="2.4"/>
    <x v="0"/>
    <x v="5"/>
    <s v="Normal"/>
  </r>
  <r>
    <s v="DEAL-00562"/>
    <x v="11"/>
    <s v="CLI-0066"/>
    <x v="4"/>
    <x v="2"/>
    <x v="5"/>
    <n v="140008"/>
    <d v="2025-03-27T00:00:00"/>
    <m/>
    <m/>
    <n v="11.1"/>
    <x v="1"/>
    <x v="4"/>
    <s v="Normal"/>
  </r>
  <r>
    <s v="DEAL-00091"/>
    <x v="0"/>
    <s v="CLI-0061"/>
    <x v="3"/>
    <x v="2"/>
    <x v="4"/>
    <n v="293446"/>
    <d v="2023-08-12T00:00:00"/>
    <m/>
    <m/>
    <m/>
    <x v="0"/>
    <x v="6"/>
    <s v="Normal"/>
  </r>
  <r>
    <s v="DEAL-01713"/>
    <x v="6"/>
    <s v="CLI-0213"/>
    <x v="3"/>
    <x v="3"/>
    <x v="5"/>
    <n v="470560"/>
    <d v="2023-10-26T00:00:00"/>
    <m/>
    <m/>
    <n v="7"/>
    <x v="3"/>
    <x v="0"/>
    <s v="Normal"/>
  </r>
  <r>
    <s v="DEAL-01243"/>
    <x v="1"/>
    <s v="CLI-0150"/>
    <x v="3"/>
    <x v="7"/>
    <x v="4"/>
    <n v="104858"/>
    <d v="2024-02-17T00:00:00"/>
    <m/>
    <m/>
    <m/>
    <x v="1"/>
    <x v="5"/>
    <s v="Normal"/>
  </r>
  <r>
    <s v="DEAL-02329"/>
    <x v="1"/>
    <s v="CLI-0058"/>
    <x v="4"/>
    <x v="2"/>
    <x v="5"/>
    <n v="177877"/>
    <d v="2024-08-12T00:00:00"/>
    <m/>
    <m/>
    <m/>
    <x v="3"/>
    <x v="8"/>
    <s v="Normal"/>
  </r>
  <r>
    <s v="DEAL-01700"/>
    <x v="15"/>
    <s v="CLI-0195"/>
    <x v="2"/>
    <x v="2"/>
    <x v="5"/>
    <n v="348797"/>
    <d v="2023-02-04T00:00:00"/>
    <m/>
    <m/>
    <n v="7.3"/>
    <x v="1"/>
    <x v="2"/>
    <s v="Normal"/>
  </r>
  <r>
    <s v="DEAL-01684"/>
    <x v="10"/>
    <s v="CLI-0024"/>
    <x v="2"/>
    <x v="7"/>
    <x v="0"/>
    <n v="442377"/>
    <d v="2024-10-10T00:00:00"/>
    <d v="2024-11-29T00:00:00"/>
    <n v="50"/>
    <n v="0.7"/>
    <x v="1"/>
    <x v="3"/>
    <s v="Normal"/>
  </r>
  <r>
    <s v="DEAL-00399"/>
    <x v="5"/>
    <s v="CLI-0223"/>
    <x v="3"/>
    <x v="0"/>
    <x v="0"/>
    <n v="265764"/>
    <d v="2024-04-01T00:00:00"/>
    <d v="2024-08-02T00:00:00"/>
    <n v="123"/>
    <n v="4.0999999999999996"/>
    <x v="3"/>
    <x v="7"/>
    <s v="Normal"/>
  </r>
  <r>
    <s v="DEAL-00281"/>
    <x v="2"/>
    <s v="CLI-0287"/>
    <x v="4"/>
    <x v="1"/>
    <x v="2"/>
    <n v="97957"/>
    <d v="2024-03-08T00:00:00"/>
    <m/>
    <m/>
    <n v="7.6"/>
    <x v="1"/>
    <x v="5"/>
    <s v="Normal"/>
  </r>
  <r>
    <s v="DEAL-00967"/>
    <x v="15"/>
    <s v="CLI-0197"/>
    <x v="4"/>
    <x v="6"/>
    <x v="3"/>
    <n v="425669"/>
    <d v="2023-11-29T00:00:00"/>
    <d v="2024-05-01T00:00:00"/>
    <n v="154"/>
    <n v="3.6"/>
    <x v="1"/>
    <x v="0"/>
    <s v="Normal"/>
  </r>
  <r>
    <s v="DEAL-00433"/>
    <x v="14"/>
    <s v="CLI-0153"/>
    <x v="3"/>
    <x v="8"/>
    <x v="2"/>
    <n v="172996"/>
    <d v="2023-01-07T00:00:00"/>
    <m/>
    <m/>
    <n v="12.1"/>
    <x v="1"/>
    <x v="2"/>
    <s v="Normal"/>
  </r>
  <r>
    <s v="DEAL-00756"/>
    <x v="1"/>
    <s v="CLI-0219"/>
    <x v="2"/>
    <x v="2"/>
    <x v="2"/>
    <n v="276776"/>
    <d v="2025-01-11T00:00:00"/>
    <m/>
    <m/>
    <m/>
    <x v="2"/>
    <x v="4"/>
    <s v="Normal"/>
  </r>
  <r>
    <s v="DEAL-00156"/>
    <x v="2"/>
    <s v="CLI-0243"/>
    <x v="5"/>
    <x v="2"/>
    <x v="2"/>
    <n v="192093"/>
    <d v="2024-10-29T00:00:00"/>
    <m/>
    <m/>
    <n v="12.4"/>
    <x v="2"/>
    <x v="3"/>
    <s v="Normal"/>
  </r>
  <r>
    <s v="DEAL-02123"/>
    <x v="2"/>
    <s v="CLI-0239"/>
    <x v="5"/>
    <x v="0"/>
    <x v="0"/>
    <n v="308339"/>
    <d v="2023-12-09T00:00:00"/>
    <d v="2024-02-25T00:00:00"/>
    <n v="78"/>
    <n v="4.9000000000000004"/>
    <x v="0"/>
    <x v="0"/>
    <s v="Normal"/>
  </r>
  <r>
    <s v="DEAL-01398"/>
    <x v="10"/>
    <s v="CLI-0282"/>
    <x v="4"/>
    <x v="8"/>
    <x v="0"/>
    <n v="349235"/>
    <d v="2024-06-19T00:00:00"/>
    <d v="2024-12-15T00:00:00"/>
    <n v="179"/>
    <n v="9.8000000000000007"/>
    <x v="1"/>
    <x v="7"/>
    <s v="Normal"/>
  </r>
  <r>
    <s v="DEAL-02432"/>
    <x v="0"/>
    <s v="CLI-0042"/>
    <x v="0"/>
    <x v="7"/>
    <x v="4"/>
    <n v="356184"/>
    <d v="2023-09-17T00:00:00"/>
    <m/>
    <m/>
    <n v="9.8000000000000007"/>
    <x v="2"/>
    <x v="6"/>
    <s v="Normal"/>
  </r>
  <r>
    <s v="DEAL-01389"/>
    <x v="5"/>
    <s v="CLI-0046"/>
    <x v="3"/>
    <x v="0"/>
    <x v="3"/>
    <n v="125229"/>
    <d v="2024-03-15T00:00:00"/>
    <d v="2024-04-06T00:00:00"/>
    <n v="22"/>
    <n v="9"/>
    <x v="0"/>
    <x v="5"/>
    <s v="Normal"/>
  </r>
  <r>
    <s v="DEAL-00198"/>
    <x v="6"/>
    <s v="CLI-0158"/>
    <x v="2"/>
    <x v="5"/>
    <x v="3"/>
    <n v="158088"/>
    <d v="2023-03-30T00:00:00"/>
    <d v="2023-08-15T00:00:00"/>
    <n v="138"/>
    <n v="5"/>
    <x v="0"/>
    <x v="2"/>
    <s v="Normal"/>
  </r>
  <r>
    <s v="DEAL-00461"/>
    <x v="13"/>
    <s v="CLI-0093"/>
    <x v="1"/>
    <x v="7"/>
    <x v="1"/>
    <n v="141036"/>
    <d v="2023-10-30T00:00:00"/>
    <m/>
    <m/>
    <n v="5.0999999999999996"/>
    <x v="2"/>
    <x v="0"/>
    <s v="Normal"/>
  </r>
  <r>
    <s v="DEAL-02265"/>
    <x v="5"/>
    <s v="CLI-0260"/>
    <x v="3"/>
    <x v="7"/>
    <x v="0"/>
    <n v="239921"/>
    <d v="2023-10-04T00:00:00"/>
    <d v="2024-02-08T00:00:00"/>
    <n v="127"/>
    <n v="0.6"/>
    <x v="1"/>
    <x v="0"/>
    <s v="Normal"/>
  </r>
  <r>
    <s v="DEAL-00137"/>
    <x v="3"/>
    <s v="CLI-0167"/>
    <x v="3"/>
    <x v="5"/>
    <x v="3"/>
    <n v="171180"/>
    <d v="2023-05-14T00:00:00"/>
    <d v="2023-06-18T00:00:00"/>
    <n v="35"/>
    <n v="19.100000000000001"/>
    <x v="3"/>
    <x v="1"/>
    <s v="Normal"/>
  </r>
  <r>
    <s v="DEAL-01393"/>
    <x v="7"/>
    <s v="CLI-0123"/>
    <x v="4"/>
    <x v="3"/>
    <x v="3"/>
    <n v="427635"/>
    <d v="2024-03-14T00:00:00"/>
    <d v="2024-06-17T00:00:00"/>
    <n v="95"/>
    <n v="21.8"/>
    <x v="0"/>
    <x v="5"/>
    <s v="Normal"/>
  </r>
  <r>
    <s v="DEAL-00104"/>
    <x v="13"/>
    <s v="CLI-0197"/>
    <x v="4"/>
    <x v="5"/>
    <x v="3"/>
    <n v="487880"/>
    <d v="2023-06-30T00:00:00"/>
    <d v="2023-08-24T00:00:00"/>
    <n v="55"/>
    <n v="1.1000000000000001"/>
    <x v="2"/>
    <x v="1"/>
    <s v="Normal"/>
  </r>
  <r>
    <s v="DEAL-01158"/>
    <x v="0"/>
    <s v="CLI-0207"/>
    <x v="3"/>
    <x v="2"/>
    <x v="2"/>
    <n v="348856"/>
    <d v="2023-12-24T00:00:00"/>
    <m/>
    <m/>
    <n v="1.8"/>
    <x v="3"/>
    <x v="0"/>
    <s v="Normal"/>
  </r>
  <r>
    <s v="DEAL-00888"/>
    <x v="11"/>
    <s v="CLI-0112"/>
    <x v="0"/>
    <x v="4"/>
    <x v="0"/>
    <n v="435940"/>
    <d v="2023-12-07T00:00:00"/>
    <d v="2023-12-28T00:00:00"/>
    <n v="21"/>
    <n v="12.8"/>
    <x v="3"/>
    <x v="0"/>
    <s v="Normal"/>
  </r>
  <r>
    <s v="DEAL-00789"/>
    <x v="7"/>
    <s v="CLI-0070"/>
    <x v="2"/>
    <x v="0"/>
    <x v="3"/>
    <n v="76407"/>
    <d v="2024-11-29T00:00:00"/>
    <d v="2025-04-23T00:00:00"/>
    <n v="145"/>
    <n v="10.199999999999999"/>
    <x v="2"/>
    <x v="3"/>
    <s v="Normal"/>
  </r>
  <r>
    <s v="DEAL-00066"/>
    <x v="5"/>
    <s v="CLI-0240"/>
    <x v="5"/>
    <x v="1"/>
    <x v="2"/>
    <n v="438575"/>
    <d v="2025-02-15T00:00:00"/>
    <m/>
    <m/>
    <n v="10.1"/>
    <x v="0"/>
    <x v="4"/>
    <s v="Normal"/>
  </r>
  <r>
    <s v="DEAL-01097"/>
    <x v="0"/>
    <s v="CLI-0225"/>
    <x v="3"/>
    <x v="1"/>
    <x v="4"/>
    <n v="334757"/>
    <d v="2024-12-12T00:00:00"/>
    <m/>
    <m/>
    <n v="5.3"/>
    <x v="3"/>
    <x v="3"/>
    <s v="Normal"/>
  </r>
  <r>
    <s v="DEAL-00495"/>
    <x v="6"/>
    <s v="CLI-0175"/>
    <x v="1"/>
    <x v="3"/>
    <x v="2"/>
    <n v="250598"/>
    <d v="2023-09-28T00:00:00"/>
    <m/>
    <m/>
    <n v="14.5"/>
    <x v="0"/>
    <x v="6"/>
    <s v="Normal"/>
  </r>
  <r>
    <s v="DEAL-02239"/>
    <x v="12"/>
    <s v="CLI-0011"/>
    <x v="1"/>
    <x v="0"/>
    <x v="3"/>
    <n v="32818"/>
    <d v="2024-03-20T00:00:00"/>
    <d v="2024-04-19T00:00:00"/>
    <n v="30"/>
    <n v="24.8"/>
    <x v="1"/>
    <x v="5"/>
    <s v="Normal"/>
  </r>
  <r>
    <s v="DEAL-00172"/>
    <x v="6"/>
    <s v="CLI-0254"/>
    <x v="0"/>
    <x v="5"/>
    <x v="1"/>
    <n v="202896"/>
    <d v="2024-08-03T00:00:00"/>
    <m/>
    <m/>
    <n v="1.8"/>
    <x v="0"/>
    <x v="8"/>
    <s v="Normal"/>
  </r>
  <r>
    <s v="DEAL-02081"/>
    <x v="0"/>
    <s v="CLI-0080"/>
    <x v="0"/>
    <x v="4"/>
    <x v="2"/>
    <n v="388384"/>
    <d v="2023-08-12T00:00:00"/>
    <m/>
    <m/>
    <n v="2.7"/>
    <x v="2"/>
    <x v="6"/>
    <s v="Normal"/>
  </r>
  <r>
    <s v="DEAL-01351"/>
    <x v="3"/>
    <s v="CLI-0241"/>
    <x v="5"/>
    <x v="1"/>
    <x v="1"/>
    <n v="206324"/>
    <d v="2024-11-28T00:00:00"/>
    <m/>
    <m/>
    <n v="0.1"/>
    <x v="3"/>
    <x v="3"/>
    <s v="Normal"/>
  </r>
  <r>
    <s v="DEAL-00049"/>
    <x v="13"/>
    <s v="CLI-0296"/>
    <x v="2"/>
    <x v="2"/>
    <x v="5"/>
    <n v="13014"/>
    <d v="2024-05-20T00:00:00"/>
    <m/>
    <m/>
    <n v="3.6"/>
    <x v="0"/>
    <x v="7"/>
    <s v="Normal"/>
  </r>
  <r>
    <s v="DEAL-02220"/>
    <x v="12"/>
    <s v="CLI-0073"/>
    <x v="0"/>
    <x v="6"/>
    <x v="4"/>
    <n v="242570"/>
    <d v="2024-05-18T00:00:00"/>
    <m/>
    <m/>
    <m/>
    <x v="2"/>
    <x v="7"/>
    <s v="Normal"/>
  </r>
  <r>
    <s v="DEAL-02110"/>
    <x v="13"/>
    <s v="CLI-0051"/>
    <x v="2"/>
    <x v="6"/>
    <x v="2"/>
    <n v="337189"/>
    <d v="2023-01-22T00:00:00"/>
    <m/>
    <m/>
    <m/>
    <x v="1"/>
    <x v="2"/>
    <s v="Normal"/>
  </r>
  <r>
    <s v="DEAL-01326"/>
    <x v="0"/>
    <s v="CLI-0051"/>
    <x v="4"/>
    <x v="2"/>
    <x v="0"/>
    <n v="193297"/>
    <d v="2024-03-05T00:00:00"/>
    <d v="2024-04-11T00:00:00"/>
    <n v="37"/>
    <m/>
    <x v="3"/>
    <x v="5"/>
    <s v="Normal"/>
  </r>
  <r>
    <s v="DEAL-00075"/>
    <x v="3"/>
    <s v="CLI-0084"/>
    <x v="4"/>
    <x v="0"/>
    <x v="2"/>
    <n v="319415"/>
    <d v="2023-11-22T00:00:00"/>
    <m/>
    <m/>
    <n v="10.7"/>
    <x v="0"/>
    <x v="0"/>
    <s v="Normal"/>
  </r>
  <r>
    <s v="DEAL-02135"/>
    <x v="9"/>
    <s v="CLI-0098"/>
    <x v="4"/>
    <x v="5"/>
    <x v="2"/>
    <n v="335287"/>
    <d v="2023-04-26T00:00:00"/>
    <m/>
    <m/>
    <m/>
    <x v="1"/>
    <x v="1"/>
    <s v="Normal"/>
  </r>
  <r>
    <s v="DEAL-00059"/>
    <x v="11"/>
    <s v="CLI-0191"/>
    <x v="5"/>
    <x v="6"/>
    <x v="4"/>
    <n v="71260"/>
    <d v="2025-02-08T00:00:00"/>
    <m/>
    <m/>
    <n v="4.5999999999999996"/>
    <x v="3"/>
    <x v="4"/>
    <s v="Normal"/>
  </r>
  <r>
    <s v="DEAL-00034"/>
    <x v="3"/>
    <s v="CLI-0140"/>
    <x v="3"/>
    <x v="2"/>
    <x v="5"/>
    <n v="383539"/>
    <d v="2023-09-11T00:00:00"/>
    <m/>
    <m/>
    <n v="13.8"/>
    <x v="0"/>
    <x v="6"/>
    <s v="Normal"/>
  </r>
  <r>
    <s v="DEAL-01023"/>
    <x v="2"/>
    <s v="CLI-0244"/>
    <x v="1"/>
    <x v="4"/>
    <x v="0"/>
    <n v="82405"/>
    <d v="2025-02-11T00:00:00"/>
    <d v="2025-06-28T00:00:00"/>
    <n v="137"/>
    <n v="0.8"/>
    <x v="2"/>
    <x v="4"/>
    <s v="Normal"/>
  </r>
  <r>
    <s v="DEAL-01997"/>
    <x v="14"/>
    <s v="CLI-0038"/>
    <x v="3"/>
    <x v="0"/>
    <x v="1"/>
    <n v="205189"/>
    <d v="2023-06-18T00:00:00"/>
    <m/>
    <m/>
    <n v="1.4"/>
    <x v="0"/>
    <x v="1"/>
    <s v="Normal"/>
  </r>
  <r>
    <s v="DEAL-00451"/>
    <x v="13"/>
    <s v="CLI-0080"/>
    <x v="4"/>
    <x v="0"/>
    <x v="5"/>
    <n v="461042"/>
    <d v="2024-12-01T00:00:00"/>
    <m/>
    <m/>
    <n v="11.1"/>
    <x v="3"/>
    <x v="3"/>
    <s v="Normal"/>
  </r>
  <r>
    <s v="DEAL-02111"/>
    <x v="7"/>
    <s v="CLI-0221"/>
    <x v="2"/>
    <x v="1"/>
    <x v="4"/>
    <n v="42901"/>
    <d v="2024-01-12T00:00:00"/>
    <m/>
    <m/>
    <n v="14.2"/>
    <x v="1"/>
    <x v="5"/>
    <s v="Normal"/>
  </r>
  <r>
    <s v="DEAL-01646"/>
    <x v="0"/>
    <s v="CLI-0047"/>
    <x v="1"/>
    <x v="5"/>
    <x v="5"/>
    <n v="107483"/>
    <d v="2023-10-20T00:00:00"/>
    <m/>
    <m/>
    <n v="12.8"/>
    <x v="0"/>
    <x v="0"/>
    <s v="Normal"/>
  </r>
  <r>
    <s v="DEAL-00557"/>
    <x v="2"/>
    <s v="CLI-0215"/>
    <x v="5"/>
    <x v="7"/>
    <x v="5"/>
    <n v="240614"/>
    <d v="2023-06-08T00:00:00"/>
    <m/>
    <m/>
    <n v="11.2"/>
    <x v="1"/>
    <x v="1"/>
    <s v="Normal"/>
  </r>
  <r>
    <s v="DEAL-00490"/>
    <x v="9"/>
    <s v="CLI-0147"/>
    <x v="3"/>
    <x v="4"/>
    <x v="0"/>
    <n v="331547"/>
    <d v="2023-05-13T00:00:00"/>
    <d v="2023-10-29T00:00:00"/>
    <n v="169"/>
    <m/>
    <x v="0"/>
    <x v="1"/>
    <s v="Normal"/>
  </r>
  <r>
    <s v="DEAL-02269"/>
    <x v="1"/>
    <s v="CLI-0113"/>
    <x v="0"/>
    <x v="2"/>
    <x v="3"/>
    <n v="121598"/>
    <d v="2024-09-12T00:00:00"/>
    <d v="2024-10-08T00:00:00"/>
    <n v="26"/>
    <n v="5.0999999999999996"/>
    <x v="1"/>
    <x v="8"/>
    <s v="Normal"/>
  </r>
  <r>
    <s v="DEAL-01238"/>
    <x v="14"/>
    <s v="CLI-0140"/>
    <x v="5"/>
    <x v="7"/>
    <x v="0"/>
    <n v="245245"/>
    <d v="2023-09-14T00:00:00"/>
    <d v="2023-11-02T00:00:00"/>
    <n v="49"/>
    <n v="9.8000000000000007"/>
    <x v="1"/>
    <x v="6"/>
    <s v="Normal"/>
  </r>
  <r>
    <s v="DEAL-01833"/>
    <x v="3"/>
    <s v="CLI-0089"/>
    <x v="3"/>
    <x v="0"/>
    <x v="1"/>
    <n v="145006"/>
    <d v="2024-12-25T00:00:00"/>
    <m/>
    <m/>
    <n v="7.8"/>
    <x v="0"/>
    <x v="3"/>
    <s v="Normal"/>
  </r>
  <r>
    <s v="DEAL-01009"/>
    <x v="11"/>
    <s v="CLI-0002"/>
    <x v="0"/>
    <x v="0"/>
    <x v="0"/>
    <n v="369674"/>
    <d v="2023-05-31T00:00:00"/>
    <d v="2023-06-26T00:00:00"/>
    <n v="26"/>
    <m/>
    <x v="0"/>
    <x v="1"/>
    <s v="Normal"/>
  </r>
  <r>
    <s v="DEAL-02424"/>
    <x v="5"/>
    <s v="CLI-0088"/>
    <x v="2"/>
    <x v="2"/>
    <x v="2"/>
    <n v="125259"/>
    <d v="2023-01-18T00:00:00"/>
    <m/>
    <m/>
    <n v="3"/>
    <x v="2"/>
    <x v="2"/>
    <s v="Normal"/>
  </r>
  <r>
    <s v="DEAL-02276"/>
    <x v="0"/>
    <s v="CLI-0019"/>
    <x v="5"/>
    <x v="5"/>
    <x v="4"/>
    <n v="305272"/>
    <d v="2023-01-15T00:00:00"/>
    <m/>
    <m/>
    <n v="6.9"/>
    <x v="1"/>
    <x v="2"/>
    <s v="Normal"/>
  </r>
  <r>
    <s v="DEAL-00179"/>
    <x v="15"/>
    <s v="CLI-0288"/>
    <x v="3"/>
    <x v="2"/>
    <x v="1"/>
    <n v="87920"/>
    <d v="2023-07-07T00:00:00"/>
    <m/>
    <m/>
    <m/>
    <x v="0"/>
    <x v="6"/>
    <s v="Normal"/>
  </r>
  <r>
    <s v="DEAL-01117"/>
    <x v="3"/>
    <s v="CLI-0129"/>
    <x v="0"/>
    <x v="4"/>
    <x v="0"/>
    <n v="294337"/>
    <d v="2025-02-07T00:00:00"/>
    <d v="2025-06-05T00:00:00"/>
    <n v="118"/>
    <m/>
    <x v="2"/>
    <x v="4"/>
    <s v="Normal"/>
  </r>
  <r>
    <s v="DEAL-02193"/>
    <x v="5"/>
    <s v="CLI-0095"/>
    <x v="5"/>
    <x v="5"/>
    <x v="5"/>
    <n v="452500"/>
    <d v="2025-01-11T00:00:00"/>
    <m/>
    <m/>
    <n v="14.3"/>
    <x v="1"/>
    <x v="4"/>
    <s v="Normal"/>
  </r>
  <r>
    <s v="DEAL-02288"/>
    <x v="15"/>
    <s v="CLI-0065"/>
    <x v="5"/>
    <x v="4"/>
    <x v="3"/>
    <n v="490314"/>
    <d v="2023-05-13T00:00:00"/>
    <d v="2023-08-03T00:00:00"/>
    <n v="82"/>
    <n v="23.4"/>
    <x v="2"/>
    <x v="1"/>
    <s v="Normal"/>
  </r>
  <r>
    <s v="DEAL-00297"/>
    <x v="15"/>
    <s v="CLI-0053"/>
    <x v="0"/>
    <x v="0"/>
    <x v="3"/>
    <n v="466056"/>
    <d v="2024-08-08T00:00:00"/>
    <d v="2024-12-30T00:00:00"/>
    <n v="144"/>
    <n v="12.4"/>
    <x v="3"/>
    <x v="8"/>
    <s v="Normal"/>
  </r>
  <r>
    <s v="DEAL-01814"/>
    <x v="10"/>
    <s v="CLI-0184"/>
    <x v="0"/>
    <x v="7"/>
    <x v="2"/>
    <n v="434753"/>
    <d v="2024-08-29T00:00:00"/>
    <m/>
    <m/>
    <m/>
    <x v="1"/>
    <x v="8"/>
    <s v="Normal"/>
  </r>
  <r>
    <s v="DEAL-02388"/>
    <x v="5"/>
    <s v="CLI-0153"/>
    <x v="3"/>
    <x v="0"/>
    <x v="4"/>
    <n v="470732"/>
    <d v="2024-01-09T00:00:00"/>
    <m/>
    <m/>
    <n v="10.199999999999999"/>
    <x v="2"/>
    <x v="5"/>
    <s v="Normal"/>
  </r>
  <r>
    <s v="DEAL-00688"/>
    <x v="13"/>
    <s v="CLI-0286"/>
    <x v="1"/>
    <x v="0"/>
    <x v="5"/>
    <n v="32112"/>
    <d v="2023-08-27T00:00:00"/>
    <m/>
    <m/>
    <n v="14.2"/>
    <x v="1"/>
    <x v="6"/>
    <s v="Normal"/>
  </r>
  <r>
    <s v="DEAL-00443"/>
    <x v="6"/>
    <s v="CLI-0200"/>
    <x v="1"/>
    <x v="0"/>
    <x v="4"/>
    <n v="267479"/>
    <d v="2023-10-20T00:00:00"/>
    <m/>
    <m/>
    <n v="3.4"/>
    <x v="0"/>
    <x v="0"/>
    <s v="Normal"/>
  </r>
  <r>
    <s v="DEAL-02163"/>
    <x v="12"/>
    <s v="CLI-0103"/>
    <x v="2"/>
    <x v="0"/>
    <x v="1"/>
    <n v="346275"/>
    <d v="2023-05-16T00:00:00"/>
    <m/>
    <m/>
    <n v="7.7"/>
    <x v="0"/>
    <x v="1"/>
    <s v="Normal"/>
  </r>
  <r>
    <s v="DEAL-01105"/>
    <x v="7"/>
    <s v="CLI-0069"/>
    <x v="3"/>
    <x v="7"/>
    <x v="3"/>
    <n v="104311"/>
    <d v="2024-01-22T00:00:00"/>
    <d v="2024-02-25T00:00:00"/>
    <n v="34"/>
    <n v="6.5"/>
    <x v="3"/>
    <x v="5"/>
    <s v="Normal"/>
  </r>
  <r>
    <s v="DEAL-00440"/>
    <x v="5"/>
    <s v="CLI-0132"/>
    <x v="1"/>
    <x v="8"/>
    <x v="4"/>
    <n v="179909"/>
    <d v="2024-08-17T00:00:00"/>
    <m/>
    <m/>
    <n v="5.2"/>
    <x v="0"/>
    <x v="8"/>
    <s v="Normal"/>
  </r>
  <r>
    <s v="DEAL-00010"/>
    <x v="0"/>
    <s v="CLI-0050"/>
    <x v="3"/>
    <x v="6"/>
    <x v="2"/>
    <n v="97745"/>
    <d v="2024-08-21T00:00:00"/>
    <m/>
    <m/>
    <n v="1.8"/>
    <x v="3"/>
    <x v="8"/>
    <s v="Normal"/>
  </r>
  <r>
    <s v="DEAL-00389"/>
    <x v="13"/>
    <s v="CLI-0217"/>
    <x v="4"/>
    <x v="5"/>
    <x v="3"/>
    <n v="450805"/>
    <d v="2025-01-29T00:00:00"/>
    <d v="2025-07-16T00:00:00"/>
    <n v="168"/>
    <n v="4.3"/>
    <x v="0"/>
    <x v="4"/>
    <s v="Normal"/>
  </r>
  <r>
    <s v="DEAL-02090"/>
    <x v="14"/>
    <s v="CLI-0087"/>
    <x v="4"/>
    <x v="3"/>
    <x v="3"/>
    <n v="405226"/>
    <d v="2024-10-18T00:00:00"/>
    <d v="2025-02-03T00:00:00"/>
    <n v="108"/>
    <n v="0.7"/>
    <x v="0"/>
    <x v="3"/>
    <s v="Normal"/>
  </r>
  <r>
    <s v="DEAL-00161"/>
    <x v="9"/>
    <s v="CLI-0183"/>
    <x v="1"/>
    <x v="2"/>
    <x v="3"/>
    <n v="39007"/>
    <d v="2023-03-27T00:00:00"/>
    <d v="2023-06-30T00:00:00"/>
    <n v="95"/>
    <n v="21.7"/>
    <x v="0"/>
    <x v="2"/>
    <s v="Normal"/>
  </r>
  <r>
    <s v="DEAL-01842"/>
    <x v="1"/>
    <s v="CLI-0219"/>
    <x v="5"/>
    <x v="7"/>
    <x v="4"/>
    <n v="256394"/>
    <d v="2024-11-20T00:00:00"/>
    <m/>
    <m/>
    <n v="1"/>
    <x v="1"/>
    <x v="3"/>
    <s v="Normal"/>
  </r>
  <r>
    <s v="DEAL-01072"/>
    <x v="0"/>
    <s v="CLI-0160"/>
    <x v="1"/>
    <x v="1"/>
    <x v="5"/>
    <n v="1571766"/>
    <d v="2023-12-25T00:00:00"/>
    <m/>
    <m/>
    <n v="1.7"/>
    <x v="0"/>
    <x v="0"/>
    <s v="High Outlier"/>
  </r>
  <r>
    <s v="DEAL-00523"/>
    <x v="10"/>
    <s v="CLI-0199"/>
    <x v="3"/>
    <x v="6"/>
    <x v="5"/>
    <n v="186513"/>
    <d v="2023-04-13T00:00:00"/>
    <m/>
    <m/>
    <n v="2.8"/>
    <x v="1"/>
    <x v="1"/>
    <s v="Normal"/>
  </r>
  <r>
    <s v="DEAL-00579"/>
    <x v="3"/>
    <s v="CLI-0123"/>
    <x v="2"/>
    <x v="0"/>
    <x v="3"/>
    <n v="412189"/>
    <d v="2023-10-11T00:00:00"/>
    <d v="2024-02-22T00:00:00"/>
    <n v="134"/>
    <n v="22"/>
    <x v="1"/>
    <x v="0"/>
    <s v="Normal"/>
  </r>
  <r>
    <s v="DEAL-00620"/>
    <x v="12"/>
    <s v="CLI-0116"/>
    <x v="5"/>
    <x v="5"/>
    <x v="1"/>
    <n v="491023"/>
    <d v="2024-06-03T00:00:00"/>
    <m/>
    <m/>
    <n v="10.6"/>
    <x v="3"/>
    <x v="7"/>
    <s v="Normal"/>
  </r>
  <r>
    <s v="DEAL-01017"/>
    <x v="6"/>
    <s v="CLI-0223"/>
    <x v="3"/>
    <x v="6"/>
    <x v="1"/>
    <n v="452060"/>
    <d v="2024-11-18T00:00:00"/>
    <m/>
    <m/>
    <m/>
    <x v="3"/>
    <x v="3"/>
    <s v="Normal"/>
  </r>
  <r>
    <s v="DEAL-01374"/>
    <x v="3"/>
    <s v="CLI-0186"/>
    <x v="1"/>
    <x v="7"/>
    <x v="5"/>
    <n v="204027"/>
    <d v="2024-04-23T00:00:00"/>
    <m/>
    <m/>
    <n v="11.2"/>
    <x v="2"/>
    <x v="7"/>
    <s v="Normal"/>
  </r>
  <r>
    <s v="DEAL-01768"/>
    <x v="5"/>
    <s v="CLI-0156"/>
    <x v="0"/>
    <x v="0"/>
    <x v="3"/>
    <n v="219843"/>
    <d v="2023-10-11T00:00:00"/>
    <d v="2024-01-15T00:00:00"/>
    <n v="96"/>
    <n v="18.5"/>
    <x v="1"/>
    <x v="0"/>
    <s v="Normal"/>
  </r>
  <r>
    <s v="DEAL-00610"/>
    <x v="6"/>
    <s v="CLI-0061"/>
    <x v="1"/>
    <x v="3"/>
    <x v="2"/>
    <n v="423210"/>
    <d v="2024-04-16T00:00:00"/>
    <m/>
    <m/>
    <n v="8.6"/>
    <x v="0"/>
    <x v="7"/>
    <s v="Normal"/>
  </r>
  <r>
    <s v="DEAL-01311"/>
    <x v="6"/>
    <s v="CLI-0298"/>
    <x v="3"/>
    <x v="7"/>
    <x v="1"/>
    <n v="196048"/>
    <d v="2025-02-21T00:00:00"/>
    <m/>
    <m/>
    <n v="6.4"/>
    <x v="3"/>
    <x v="4"/>
    <s v="Normal"/>
  </r>
  <r>
    <s v="DEAL-00316"/>
    <x v="11"/>
    <s v="CLI-0290"/>
    <x v="5"/>
    <x v="1"/>
    <x v="2"/>
    <n v="392260"/>
    <d v="2023-03-18T00:00:00"/>
    <m/>
    <m/>
    <m/>
    <x v="1"/>
    <x v="2"/>
    <s v="Normal"/>
  </r>
  <r>
    <s v="DEAL-01543"/>
    <x v="7"/>
    <s v="CLI-0116"/>
    <x v="5"/>
    <x v="3"/>
    <x v="5"/>
    <n v="314496"/>
    <d v="2023-11-22T00:00:00"/>
    <m/>
    <m/>
    <m/>
    <x v="2"/>
    <x v="0"/>
    <s v="Normal"/>
  </r>
  <r>
    <s v="DEAL-01136"/>
    <x v="7"/>
    <s v="CLI-0232"/>
    <x v="2"/>
    <x v="3"/>
    <x v="2"/>
    <n v="171115"/>
    <d v="2024-02-03T00:00:00"/>
    <m/>
    <m/>
    <m/>
    <x v="2"/>
    <x v="5"/>
    <s v="Normal"/>
  </r>
  <r>
    <s v="DEAL-01625"/>
    <x v="15"/>
    <s v="CLI-0275"/>
    <x v="4"/>
    <x v="1"/>
    <x v="2"/>
    <n v="444775"/>
    <d v="2024-03-18T00:00:00"/>
    <m/>
    <m/>
    <m/>
    <x v="2"/>
    <x v="5"/>
    <s v="Normal"/>
  </r>
  <r>
    <s v="DEAL-00366"/>
    <x v="5"/>
    <s v="CLI-0080"/>
    <x v="3"/>
    <x v="6"/>
    <x v="4"/>
    <n v="401116"/>
    <d v="2024-09-11T00:00:00"/>
    <m/>
    <m/>
    <n v="12.6"/>
    <x v="0"/>
    <x v="8"/>
    <s v="Normal"/>
  </r>
  <r>
    <s v="DEAL-01708"/>
    <x v="1"/>
    <s v="CLI-0215"/>
    <x v="2"/>
    <x v="4"/>
    <x v="0"/>
    <n v="317013"/>
    <d v="2024-10-19T00:00:00"/>
    <d v="2025-03-22T00:00:00"/>
    <n v="154"/>
    <n v="14.7"/>
    <x v="2"/>
    <x v="3"/>
    <s v="Normal"/>
  </r>
  <r>
    <s v="DEAL-01102"/>
    <x v="7"/>
    <s v="CLI-0279"/>
    <x v="3"/>
    <x v="1"/>
    <x v="2"/>
    <n v="150513"/>
    <d v="2024-05-24T00:00:00"/>
    <m/>
    <m/>
    <n v="7.1"/>
    <x v="1"/>
    <x v="7"/>
    <s v="Normal"/>
  </r>
  <r>
    <s v="DEAL-00809"/>
    <x v="6"/>
    <s v="CLI-0029"/>
    <x v="4"/>
    <x v="5"/>
    <x v="4"/>
    <n v="90603"/>
    <d v="2024-03-21T00:00:00"/>
    <m/>
    <m/>
    <n v="3.4"/>
    <x v="2"/>
    <x v="5"/>
    <s v="Normal"/>
  </r>
  <r>
    <s v="DEAL-00459"/>
    <x v="10"/>
    <s v="CLI-0222"/>
    <x v="0"/>
    <x v="0"/>
    <x v="3"/>
    <n v="188753"/>
    <d v="2024-09-28T00:00:00"/>
    <d v="2025-02-01T00:00:00"/>
    <n v="126"/>
    <n v="19.600000000000001"/>
    <x v="3"/>
    <x v="8"/>
    <s v="Normal"/>
  </r>
  <r>
    <s v="DEAL-00654"/>
    <x v="13"/>
    <s v="CLI-0244"/>
    <x v="0"/>
    <x v="4"/>
    <x v="2"/>
    <n v="482804"/>
    <d v="2025-01-31T00:00:00"/>
    <m/>
    <m/>
    <m/>
    <x v="3"/>
    <x v="4"/>
    <s v="Normal"/>
  </r>
  <r>
    <s v="DEAL-01734"/>
    <x v="12"/>
    <s v="CLI-0047"/>
    <x v="2"/>
    <x v="3"/>
    <x v="3"/>
    <n v="462094"/>
    <d v="2024-03-27T00:00:00"/>
    <d v="2024-08-05T00:00:00"/>
    <n v="131"/>
    <n v="9.4"/>
    <x v="3"/>
    <x v="5"/>
    <s v="Normal"/>
  </r>
  <r>
    <s v="DEAL-02018"/>
    <x v="1"/>
    <s v="CLI-0257"/>
    <x v="4"/>
    <x v="4"/>
    <x v="0"/>
    <n v="303043"/>
    <d v="2025-02-04T00:00:00"/>
    <d v="2025-03-14T00:00:00"/>
    <n v="38"/>
    <n v="9.1"/>
    <x v="3"/>
    <x v="4"/>
    <s v="Normal"/>
  </r>
  <r>
    <s v="DEAL-00271"/>
    <x v="13"/>
    <s v="CLI-0222"/>
    <x v="3"/>
    <x v="4"/>
    <x v="4"/>
    <n v="472571"/>
    <d v="2024-11-11T00:00:00"/>
    <m/>
    <m/>
    <m/>
    <x v="0"/>
    <x v="3"/>
    <s v="Normal"/>
  </r>
  <r>
    <s v="DEAL-00082"/>
    <x v="1"/>
    <s v="CLI-0247"/>
    <x v="0"/>
    <x v="5"/>
    <x v="3"/>
    <n v="154293"/>
    <d v="2023-01-15T00:00:00"/>
    <d v="2023-02-27T00:00:00"/>
    <n v="43"/>
    <n v="22.8"/>
    <x v="1"/>
    <x v="2"/>
    <s v="Normal"/>
  </r>
  <r>
    <s v="DEAL-02171"/>
    <x v="3"/>
    <s v="CLI-0070"/>
    <x v="0"/>
    <x v="5"/>
    <x v="0"/>
    <n v="418693"/>
    <d v="2024-04-30T00:00:00"/>
    <d v="2024-07-20T00:00:00"/>
    <n v="81"/>
    <n v="5.2"/>
    <x v="1"/>
    <x v="7"/>
    <s v="Normal"/>
  </r>
  <r>
    <s v="DEAL-01370"/>
    <x v="2"/>
    <s v="CLI-0290"/>
    <x v="3"/>
    <x v="5"/>
    <x v="3"/>
    <n v="319580"/>
    <d v="2024-01-26T00:00:00"/>
    <d v="2024-03-06T00:00:00"/>
    <n v="40"/>
    <n v="3.9"/>
    <x v="3"/>
    <x v="5"/>
    <s v="Normal"/>
  </r>
  <r>
    <s v="DEAL-01029"/>
    <x v="3"/>
    <s v="CLI-0202"/>
    <x v="0"/>
    <x v="6"/>
    <x v="0"/>
    <n v="31431"/>
    <d v="2023-06-12T00:00:00"/>
    <d v="2023-11-23T00:00:00"/>
    <n v="164"/>
    <m/>
    <x v="3"/>
    <x v="1"/>
    <s v="Normal"/>
  </r>
  <r>
    <s v="DEAL-01095"/>
    <x v="9"/>
    <s v="CLI-0224"/>
    <x v="2"/>
    <x v="0"/>
    <x v="3"/>
    <n v="246647"/>
    <d v="2023-03-20T00:00:00"/>
    <d v="2023-05-21T00:00:00"/>
    <n v="62"/>
    <n v="2.1"/>
    <x v="3"/>
    <x v="2"/>
    <s v="Normal"/>
  </r>
  <r>
    <s v="DEAL-00811"/>
    <x v="2"/>
    <s v="CLI-0033"/>
    <x v="3"/>
    <x v="3"/>
    <x v="4"/>
    <n v="164945"/>
    <d v="2024-07-02T00:00:00"/>
    <m/>
    <m/>
    <m/>
    <x v="3"/>
    <x v="8"/>
    <s v="Normal"/>
  </r>
  <r>
    <s v="DEAL-01861"/>
    <x v="15"/>
    <s v="CLI-0061"/>
    <x v="4"/>
    <x v="0"/>
    <x v="4"/>
    <n v="364816"/>
    <d v="2024-07-07T00:00:00"/>
    <m/>
    <m/>
    <n v="13.2"/>
    <x v="1"/>
    <x v="8"/>
    <s v="Normal"/>
  </r>
  <r>
    <s v="DEAL-00708"/>
    <x v="2"/>
    <s v="CLI-0133"/>
    <x v="4"/>
    <x v="6"/>
    <x v="0"/>
    <n v="356861"/>
    <d v="2024-12-15T00:00:00"/>
    <d v="2025-05-31T00:00:00"/>
    <n v="167"/>
    <m/>
    <x v="0"/>
    <x v="3"/>
    <s v="Normal"/>
  </r>
  <r>
    <s v="DEAL-00275"/>
    <x v="8"/>
    <s v="CLI-0287"/>
    <x v="4"/>
    <x v="1"/>
    <x v="1"/>
    <n v="488204"/>
    <d v="2024-01-27T00:00:00"/>
    <m/>
    <m/>
    <n v="7.7"/>
    <x v="3"/>
    <x v="5"/>
    <s v="Normal"/>
  </r>
  <r>
    <s v="DEAL-00893"/>
    <x v="0"/>
    <s v="CLI-0033"/>
    <x v="3"/>
    <x v="3"/>
    <x v="3"/>
    <n v="337191"/>
    <d v="2024-01-22T00:00:00"/>
    <d v="2024-02-08T00:00:00"/>
    <n v="17"/>
    <n v="13"/>
    <x v="0"/>
    <x v="5"/>
    <s v="Normal"/>
  </r>
  <r>
    <s v="DEAL-01371"/>
    <x v="2"/>
    <s v="CLI-0181"/>
    <x v="0"/>
    <x v="0"/>
    <x v="2"/>
    <n v="12141"/>
    <d v="2023-07-06T00:00:00"/>
    <m/>
    <m/>
    <n v="10.3"/>
    <x v="1"/>
    <x v="6"/>
    <s v="Normal"/>
  </r>
  <r>
    <s v="DEAL-02409"/>
    <x v="3"/>
    <s v="CLI-0113"/>
    <x v="0"/>
    <x v="3"/>
    <x v="3"/>
    <n v="382210"/>
    <d v="2025-02-01T00:00:00"/>
    <d v="2025-03-28T00:00:00"/>
    <n v="55"/>
    <n v="0.5"/>
    <x v="1"/>
    <x v="4"/>
    <s v="Normal"/>
  </r>
  <r>
    <s v="DEAL-01026"/>
    <x v="1"/>
    <s v="CLI-0016"/>
    <x v="3"/>
    <x v="2"/>
    <x v="5"/>
    <n v="455899"/>
    <d v="2024-12-13T00:00:00"/>
    <m/>
    <m/>
    <m/>
    <x v="1"/>
    <x v="3"/>
    <s v="Normal"/>
  </r>
  <r>
    <s v="DEAL-02134"/>
    <x v="9"/>
    <s v="CLI-0172"/>
    <x v="5"/>
    <x v="4"/>
    <x v="5"/>
    <n v="193276"/>
    <d v="2024-11-01T00:00:00"/>
    <m/>
    <m/>
    <n v="11.7"/>
    <x v="0"/>
    <x v="3"/>
    <s v="Normal"/>
  </r>
  <r>
    <s v="DEAL-01945"/>
    <x v="8"/>
    <s v="CLI-0206"/>
    <x v="5"/>
    <x v="0"/>
    <x v="1"/>
    <n v="89484"/>
    <d v="2024-03-17T00:00:00"/>
    <m/>
    <m/>
    <n v="13.2"/>
    <x v="0"/>
    <x v="5"/>
    <s v="Normal"/>
  </r>
  <r>
    <s v="DEAL-00823"/>
    <x v="11"/>
    <s v="CLI-0083"/>
    <x v="0"/>
    <x v="7"/>
    <x v="0"/>
    <n v="347524"/>
    <d v="2024-04-30T00:00:00"/>
    <d v="2024-09-19T00:00:00"/>
    <n v="142"/>
    <m/>
    <x v="1"/>
    <x v="7"/>
    <s v="Normal"/>
  </r>
  <r>
    <s v="DEAL-02397"/>
    <x v="13"/>
    <s v="CLI-0112"/>
    <x v="5"/>
    <x v="3"/>
    <x v="1"/>
    <n v="372383"/>
    <d v="2023-03-20T00:00:00"/>
    <m/>
    <m/>
    <n v="6.9"/>
    <x v="3"/>
    <x v="2"/>
    <s v="Normal"/>
  </r>
  <r>
    <s v="DEAL-00310"/>
    <x v="12"/>
    <s v="CLI-0022"/>
    <x v="2"/>
    <x v="6"/>
    <x v="2"/>
    <n v="352462"/>
    <d v="2023-01-12T00:00:00"/>
    <m/>
    <m/>
    <m/>
    <x v="0"/>
    <x v="2"/>
    <s v="Normal"/>
  </r>
  <r>
    <s v="DEAL-01488"/>
    <x v="12"/>
    <s v="CLI-0044"/>
    <x v="5"/>
    <x v="7"/>
    <x v="0"/>
    <n v="194939"/>
    <d v="2024-09-21T00:00:00"/>
    <d v="2024-11-01T00:00:00"/>
    <n v="41"/>
    <n v="10.1"/>
    <x v="0"/>
    <x v="8"/>
    <s v="Normal"/>
  </r>
  <r>
    <s v="DEAL-01830"/>
    <x v="5"/>
    <s v="CLI-0243"/>
    <x v="1"/>
    <x v="0"/>
    <x v="3"/>
    <n v="189982"/>
    <d v="2024-06-30T00:00:00"/>
    <d v="2024-08-22T00:00:00"/>
    <n v="53"/>
    <n v="15.9"/>
    <x v="0"/>
    <x v="7"/>
    <s v="Normal"/>
  </r>
  <r>
    <s v="DEAL-02406"/>
    <x v="3"/>
    <s v="CLI-0280"/>
    <x v="0"/>
    <x v="5"/>
    <x v="4"/>
    <n v="73177"/>
    <d v="2023-10-16T00:00:00"/>
    <m/>
    <m/>
    <n v="6.1"/>
    <x v="3"/>
    <x v="0"/>
    <s v="Normal"/>
  </r>
  <r>
    <s v="DEAL-00358"/>
    <x v="9"/>
    <s v="CLI-0079"/>
    <x v="0"/>
    <x v="5"/>
    <x v="4"/>
    <n v="211860"/>
    <d v="2024-05-21T00:00:00"/>
    <m/>
    <m/>
    <n v="6.4"/>
    <x v="0"/>
    <x v="7"/>
    <s v="Normal"/>
  </r>
  <r>
    <s v="DEAL-01500"/>
    <x v="3"/>
    <s v="CLI-0016"/>
    <x v="5"/>
    <x v="4"/>
    <x v="2"/>
    <n v="465436"/>
    <d v="2024-01-16T00:00:00"/>
    <m/>
    <m/>
    <m/>
    <x v="1"/>
    <x v="5"/>
    <s v="Normal"/>
  </r>
  <r>
    <s v="DEAL-00258"/>
    <x v="7"/>
    <s v="CLI-0011"/>
    <x v="0"/>
    <x v="0"/>
    <x v="2"/>
    <n v="369537"/>
    <d v="2025-02-20T00:00:00"/>
    <m/>
    <m/>
    <n v="11.7"/>
    <x v="2"/>
    <x v="4"/>
    <s v="Normal"/>
  </r>
  <r>
    <s v="DEAL-01417"/>
    <x v="0"/>
    <s v="CLI-0074"/>
    <x v="2"/>
    <x v="0"/>
    <x v="0"/>
    <n v="265969"/>
    <d v="2025-01-28T00:00:00"/>
    <d v="2025-02-16T00:00:00"/>
    <n v="19"/>
    <n v="13"/>
    <x v="2"/>
    <x v="4"/>
    <s v="Normal"/>
  </r>
  <r>
    <s v="DEAL-00767"/>
    <x v="9"/>
    <s v="CLI-0125"/>
    <x v="2"/>
    <x v="6"/>
    <x v="3"/>
    <n v="462237"/>
    <d v="2023-05-17T00:00:00"/>
    <d v="2023-08-23T00:00:00"/>
    <n v="98"/>
    <n v="17.7"/>
    <x v="2"/>
    <x v="1"/>
    <s v="Normal"/>
  </r>
  <r>
    <s v="DEAL-01569"/>
    <x v="15"/>
    <s v="CLI-0122"/>
    <x v="2"/>
    <x v="0"/>
    <x v="3"/>
    <n v="62406"/>
    <d v="2025-02-17T00:00:00"/>
    <d v="2025-04-28T00:00:00"/>
    <n v="70"/>
    <n v="5.7"/>
    <x v="3"/>
    <x v="4"/>
    <s v="Normal"/>
  </r>
  <r>
    <s v="DEAL-00144"/>
    <x v="7"/>
    <s v="CLI-0021"/>
    <x v="3"/>
    <x v="3"/>
    <x v="0"/>
    <n v="267765"/>
    <d v="2024-02-10T00:00:00"/>
    <d v="2024-06-16T00:00:00"/>
    <n v="127"/>
    <m/>
    <x v="0"/>
    <x v="5"/>
    <s v="Normal"/>
  </r>
  <r>
    <s v="DEAL-00103"/>
    <x v="1"/>
    <s v="CLI-0210"/>
    <x v="0"/>
    <x v="6"/>
    <x v="1"/>
    <n v="133542"/>
    <d v="2024-06-26T00:00:00"/>
    <m/>
    <m/>
    <n v="14.7"/>
    <x v="1"/>
    <x v="7"/>
    <s v="Normal"/>
  </r>
  <r>
    <s v="DEAL-01765"/>
    <x v="13"/>
    <s v="CLI-0183"/>
    <x v="1"/>
    <x v="0"/>
    <x v="4"/>
    <n v="879556"/>
    <d v="2024-12-21T00:00:00"/>
    <m/>
    <m/>
    <m/>
    <x v="2"/>
    <x v="3"/>
    <s v="Normal"/>
  </r>
  <r>
    <s v="DEAL-01285"/>
    <x v="8"/>
    <s v="CLI-0283"/>
    <x v="5"/>
    <x v="1"/>
    <x v="3"/>
    <n v="174077"/>
    <d v="2023-10-02T00:00:00"/>
    <d v="2023-11-30T00:00:00"/>
    <n v="59"/>
    <n v="18.2"/>
    <x v="1"/>
    <x v="0"/>
    <s v="Normal"/>
  </r>
  <r>
    <s v="DEAL-01010"/>
    <x v="6"/>
    <s v="CLI-0001"/>
    <x v="2"/>
    <x v="3"/>
    <x v="1"/>
    <n v="212824"/>
    <d v="2024-05-03T00:00:00"/>
    <m/>
    <m/>
    <n v="3.9"/>
    <x v="1"/>
    <x v="7"/>
    <s v="Normal"/>
  </r>
  <r>
    <s v="DEAL-01635"/>
    <x v="2"/>
    <s v="CLI-0093"/>
    <x v="0"/>
    <x v="2"/>
    <x v="5"/>
    <n v="234399"/>
    <d v="2024-02-28T00:00:00"/>
    <m/>
    <m/>
    <n v="13.4"/>
    <x v="0"/>
    <x v="5"/>
    <s v="Normal"/>
  </r>
  <r>
    <s v="DEAL-00617"/>
    <x v="0"/>
    <s v="CLI-0047"/>
    <x v="3"/>
    <x v="7"/>
    <x v="1"/>
    <n v="127686"/>
    <d v="2023-08-13T00:00:00"/>
    <m/>
    <m/>
    <m/>
    <x v="1"/>
    <x v="6"/>
    <s v="Normal"/>
  </r>
  <r>
    <s v="DEAL-02445"/>
    <x v="6"/>
    <s v="CLI-0014"/>
    <x v="1"/>
    <x v="3"/>
    <x v="4"/>
    <n v="264210"/>
    <d v="2024-03-14T00:00:00"/>
    <m/>
    <m/>
    <n v="0.8"/>
    <x v="2"/>
    <x v="5"/>
    <s v="Normal"/>
  </r>
  <r>
    <s v="DEAL-01627"/>
    <x v="11"/>
    <s v="CLI-0281"/>
    <x v="4"/>
    <x v="7"/>
    <x v="2"/>
    <n v="1502805"/>
    <d v="2025-03-11T00:00:00"/>
    <m/>
    <m/>
    <n v="6.1"/>
    <x v="1"/>
    <x v="4"/>
    <s v="High Outlier"/>
  </r>
  <r>
    <s v="DEAL-02300"/>
    <x v="3"/>
    <s v="CLI-0216"/>
    <x v="4"/>
    <x v="4"/>
    <x v="4"/>
    <n v="143527"/>
    <d v="2023-08-16T00:00:00"/>
    <m/>
    <m/>
    <n v="9.5"/>
    <x v="0"/>
    <x v="6"/>
    <s v="Normal"/>
  </r>
  <r>
    <s v="DEAL-01303"/>
    <x v="13"/>
    <s v="CLI-0186"/>
    <x v="2"/>
    <x v="3"/>
    <x v="4"/>
    <n v="38520"/>
    <d v="2023-06-09T00:00:00"/>
    <m/>
    <m/>
    <m/>
    <x v="0"/>
    <x v="1"/>
    <s v="Normal"/>
  </r>
  <r>
    <s v="DEAL-00710"/>
    <x v="7"/>
    <s v="CLI-0288"/>
    <x v="4"/>
    <x v="6"/>
    <x v="1"/>
    <n v="265563"/>
    <d v="2023-03-30T00:00:00"/>
    <m/>
    <m/>
    <n v="7.1"/>
    <x v="3"/>
    <x v="2"/>
    <s v="Normal"/>
  </r>
  <r>
    <s v="DEAL-01778"/>
    <x v="7"/>
    <s v="CLI-0053"/>
    <x v="5"/>
    <x v="1"/>
    <x v="3"/>
    <n v="230215"/>
    <d v="2024-04-16T00:00:00"/>
    <d v="2024-05-20T00:00:00"/>
    <n v="34"/>
    <n v="17.100000000000001"/>
    <x v="0"/>
    <x v="7"/>
    <s v="Normal"/>
  </r>
  <r>
    <s v="DEAL-02414"/>
    <x v="15"/>
    <s v="CLI-0073"/>
    <x v="1"/>
    <x v="7"/>
    <x v="0"/>
    <n v="26182"/>
    <d v="2024-05-17T00:00:00"/>
    <d v="2024-09-01T00:00:00"/>
    <n v="107"/>
    <m/>
    <x v="3"/>
    <x v="7"/>
    <s v="Normal"/>
  </r>
  <r>
    <s v="DEAL-02238"/>
    <x v="1"/>
    <s v="CLI-0181"/>
    <x v="0"/>
    <x v="7"/>
    <x v="3"/>
    <n v="209145"/>
    <d v="2023-04-14T00:00:00"/>
    <d v="2023-06-03T00:00:00"/>
    <n v="50"/>
    <n v="22.1"/>
    <x v="2"/>
    <x v="1"/>
    <s v="Normal"/>
  </r>
  <r>
    <s v="DEAL-02387"/>
    <x v="12"/>
    <s v="CLI-0137"/>
    <x v="3"/>
    <x v="1"/>
    <x v="3"/>
    <n v="388492"/>
    <d v="2023-02-21T00:00:00"/>
    <d v="2023-04-12T00:00:00"/>
    <n v="50"/>
    <n v="5.0999999999999996"/>
    <x v="2"/>
    <x v="2"/>
    <s v="Normal"/>
  </r>
  <r>
    <s v="DEAL-02404"/>
    <x v="2"/>
    <s v="CLI-0208"/>
    <x v="1"/>
    <x v="6"/>
    <x v="5"/>
    <n v="300165"/>
    <d v="2024-05-08T00:00:00"/>
    <m/>
    <m/>
    <n v="8.6"/>
    <x v="0"/>
    <x v="7"/>
    <s v="Normal"/>
  </r>
  <r>
    <s v="DEAL-01408"/>
    <x v="8"/>
    <s v="CLI-0133"/>
    <x v="1"/>
    <x v="5"/>
    <x v="3"/>
    <n v="378732"/>
    <d v="2024-11-09T00:00:00"/>
    <d v="2025-03-16T00:00:00"/>
    <n v="127"/>
    <n v="12.7"/>
    <x v="1"/>
    <x v="3"/>
    <s v="Normal"/>
  </r>
  <r>
    <s v="DEAL-00783"/>
    <x v="12"/>
    <s v="CLI-0071"/>
    <x v="4"/>
    <x v="3"/>
    <x v="3"/>
    <n v="344537"/>
    <d v="2023-11-16T00:00:00"/>
    <d v="2024-04-16T00:00:00"/>
    <n v="152"/>
    <n v="7.3"/>
    <x v="3"/>
    <x v="0"/>
    <s v="Normal"/>
  </r>
  <r>
    <s v="DEAL-00519"/>
    <x v="6"/>
    <s v="CLI-0149"/>
    <x v="3"/>
    <x v="7"/>
    <x v="4"/>
    <n v="175434"/>
    <d v="2023-07-12T00:00:00"/>
    <m/>
    <m/>
    <m/>
    <x v="2"/>
    <x v="6"/>
    <s v="Normal"/>
  </r>
  <r>
    <s v="DEAL-00380"/>
    <x v="2"/>
    <s v="CLI-0133"/>
    <x v="2"/>
    <x v="0"/>
    <x v="3"/>
    <n v="146025"/>
    <d v="2023-02-25T00:00:00"/>
    <d v="2023-04-04T00:00:00"/>
    <n v="38"/>
    <n v="10.7"/>
    <x v="2"/>
    <x v="2"/>
    <s v="Normal"/>
  </r>
  <r>
    <s v="DEAL-01185"/>
    <x v="7"/>
    <s v="CLI-0041"/>
    <x v="2"/>
    <x v="8"/>
    <x v="2"/>
    <n v="127780"/>
    <d v="2024-04-26T00:00:00"/>
    <m/>
    <m/>
    <n v="6.1"/>
    <x v="2"/>
    <x v="7"/>
    <s v="Normal"/>
  </r>
  <r>
    <s v="DEAL-01094"/>
    <x v="3"/>
    <s v="CLI-0063"/>
    <x v="3"/>
    <x v="1"/>
    <x v="5"/>
    <n v="430827"/>
    <d v="2025-03-11T00:00:00"/>
    <m/>
    <m/>
    <n v="10.3"/>
    <x v="2"/>
    <x v="4"/>
    <s v="Normal"/>
  </r>
  <r>
    <s v="DEAL-02019"/>
    <x v="8"/>
    <s v="CLI-0195"/>
    <x v="0"/>
    <x v="1"/>
    <x v="4"/>
    <n v="59749"/>
    <d v="2025-01-27T00:00:00"/>
    <m/>
    <m/>
    <m/>
    <x v="0"/>
    <x v="4"/>
    <s v="Normal"/>
  </r>
  <r>
    <s v="DEAL-02178"/>
    <x v="15"/>
    <s v="CLI-0169"/>
    <x v="4"/>
    <x v="5"/>
    <x v="4"/>
    <n v="341930"/>
    <d v="2023-12-13T00:00:00"/>
    <m/>
    <m/>
    <n v="6"/>
    <x v="3"/>
    <x v="0"/>
    <s v="Normal"/>
  </r>
  <r>
    <s v="DEAL-01633"/>
    <x v="6"/>
    <s v="CLI-0290"/>
    <x v="0"/>
    <x v="7"/>
    <x v="3"/>
    <n v="120774"/>
    <d v="2023-09-22T00:00:00"/>
    <d v="2024-01-18T00:00:00"/>
    <n v="118"/>
    <n v="14.9"/>
    <x v="1"/>
    <x v="6"/>
    <s v="Normal"/>
  </r>
  <r>
    <s v="DEAL-02303"/>
    <x v="12"/>
    <s v="CLI-0063"/>
    <x v="4"/>
    <x v="4"/>
    <x v="2"/>
    <n v="363024"/>
    <d v="2023-07-01T00:00:00"/>
    <m/>
    <m/>
    <n v="0.5"/>
    <x v="0"/>
    <x v="6"/>
    <s v="Normal"/>
  </r>
  <r>
    <s v="DEAL-00148"/>
    <x v="14"/>
    <s v="CLI-0129"/>
    <x v="0"/>
    <x v="1"/>
    <x v="3"/>
    <n v="293392"/>
    <d v="2025-02-21T00:00:00"/>
    <d v="2025-03-16T00:00:00"/>
    <n v="23"/>
    <n v="22"/>
    <x v="3"/>
    <x v="4"/>
    <s v="Normal"/>
  </r>
  <r>
    <s v="DEAL-01530"/>
    <x v="1"/>
    <s v="CLI-0017"/>
    <x v="3"/>
    <x v="3"/>
    <x v="0"/>
    <n v="58034"/>
    <d v="2024-05-21T00:00:00"/>
    <d v="2024-07-10T00:00:00"/>
    <n v="50"/>
    <n v="6.1"/>
    <x v="1"/>
    <x v="7"/>
    <s v="Normal"/>
  </r>
  <r>
    <s v="DEAL-00641"/>
    <x v="3"/>
    <s v="CLI-0085"/>
    <x v="2"/>
    <x v="0"/>
    <x v="0"/>
    <n v="300848"/>
    <d v="2023-07-25T00:00:00"/>
    <d v="2023-09-10T00:00:00"/>
    <n v="47"/>
    <n v="0.5"/>
    <x v="3"/>
    <x v="6"/>
    <s v="Normal"/>
  </r>
  <r>
    <s v="DEAL-01492"/>
    <x v="1"/>
    <s v="CLI-0258"/>
    <x v="1"/>
    <x v="7"/>
    <x v="3"/>
    <n v="202746"/>
    <d v="2024-05-24T00:00:00"/>
    <d v="2024-06-29T00:00:00"/>
    <n v="36"/>
    <n v="21.1"/>
    <x v="2"/>
    <x v="7"/>
    <s v="Normal"/>
  </r>
  <r>
    <s v="DEAL-00035"/>
    <x v="8"/>
    <s v="CLI-0011"/>
    <x v="1"/>
    <x v="7"/>
    <x v="4"/>
    <n v="272800"/>
    <d v="2023-03-05T00:00:00"/>
    <m/>
    <m/>
    <n v="9.4"/>
    <x v="3"/>
    <x v="2"/>
    <s v="Normal"/>
  </r>
  <r>
    <s v="DEAL-02039"/>
    <x v="4"/>
    <s v="CLI-0034"/>
    <x v="4"/>
    <x v="1"/>
    <x v="0"/>
    <n v="480335"/>
    <d v="2023-07-23T00:00:00"/>
    <d v="2023-08-29T00:00:00"/>
    <n v="37"/>
    <m/>
    <x v="0"/>
    <x v="6"/>
    <s v="Normal"/>
  </r>
  <r>
    <s v="DEAL-01497"/>
    <x v="8"/>
    <s v="CLI-0053"/>
    <x v="5"/>
    <x v="2"/>
    <x v="0"/>
    <n v="146408"/>
    <d v="2024-06-07T00:00:00"/>
    <d v="2024-09-05T00:00:00"/>
    <n v="90"/>
    <m/>
    <x v="2"/>
    <x v="7"/>
    <s v="Normal"/>
  </r>
  <r>
    <s v="DEAL-01425"/>
    <x v="11"/>
    <s v="CLI-0197"/>
    <x v="4"/>
    <x v="1"/>
    <x v="5"/>
    <n v="41339"/>
    <d v="2024-12-14T00:00:00"/>
    <m/>
    <m/>
    <n v="8"/>
    <x v="3"/>
    <x v="3"/>
    <s v="Normal"/>
  </r>
  <r>
    <s v="DEAL-00046"/>
    <x v="15"/>
    <s v="CLI-0190"/>
    <x v="2"/>
    <x v="4"/>
    <x v="2"/>
    <n v="372659"/>
    <d v="2024-12-29T00:00:00"/>
    <m/>
    <m/>
    <n v="11.9"/>
    <x v="3"/>
    <x v="3"/>
    <s v="Normal"/>
  </r>
  <r>
    <s v="DEAL-01805"/>
    <x v="13"/>
    <s v="CLI-0053"/>
    <x v="2"/>
    <x v="4"/>
    <x v="2"/>
    <n v="438620"/>
    <d v="2024-06-23T00:00:00"/>
    <m/>
    <m/>
    <m/>
    <x v="3"/>
    <x v="7"/>
    <s v="Normal"/>
  </r>
  <r>
    <s v="DEAL-00124"/>
    <x v="11"/>
    <s v="CLI-0102"/>
    <x v="1"/>
    <x v="7"/>
    <x v="5"/>
    <n v="161952"/>
    <d v="2025-02-11T00:00:00"/>
    <m/>
    <m/>
    <n v="14.7"/>
    <x v="1"/>
    <x v="4"/>
    <s v="Normal"/>
  </r>
  <r>
    <s v="DEAL-00489"/>
    <x v="6"/>
    <s v="CLI-0206"/>
    <x v="2"/>
    <x v="6"/>
    <x v="2"/>
    <n v="488343"/>
    <d v="2024-05-12T00:00:00"/>
    <m/>
    <m/>
    <n v="10.9"/>
    <x v="3"/>
    <x v="7"/>
    <s v="Normal"/>
  </r>
  <r>
    <s v="DEAL-01292"/>
    <x v="11"/>
    <s v="CLI-0153"/>
    <x v="3"/>
    <x v="5"/>
    <x v="2"/>
    <n v="475490"/>
    <d v="2024-08-11T00:00:00"/>
    <m/>
    <m/>
    <n v="9.6"/>
    <x v="3"/>
    <x v="8"/>
    <s v="Normal"/>
  </r>
  <r>
    <s v="DEAL-00452"/>
    <x v="15"/>
    <s v="CLI-0088"/>
    <x v="5"/>
    <x v="5"/>
    <x v="4"/>
    <n v="71862"/>
    <d v="2024-01-12T00:00:00"/>
    <m/>
    <m/>
    <n v="5.3"/>
    <x v="3"/>
    <x v="5"/>
    <s v="Normal"/>
  </r>
  <r>
    <s v="DEAL-01675"/>
    <x v="1"/>
    <s v="CLI-0280"/>
    <x v="2"/>
    <x v="6"/>
    <x v="3"/>
    <n v="1637232"/>
    <d v="2023-10-13T00:00:00"/>
    <d v="2024-01-18T00:00:00"/>
    <n v="97"/>
    <n v="5.5"/>
    <x v="2"/>
    <x v="0"/>
    <s v="High Outlier"/>
  </r>
  <r>
    <s v="DEAL-00547"/>
    <x v="10"/>
    <s v="CLI-0225"/>
    <x v="0"/>
    <x v="1"/>
    <x v="3"/>
    <n v="340445"/>
    <d v="2024-12-04T00:00:00"/>
    <d v="2025-05-30T00:00:00"/>
    <n v="177"/>
    <n v="7.9"/>
    <x v="0"/>
    <x v="3"/>
    <s v="Normal"/>
  </r>
  <r>
    <s v="DEAL-01525"/>
    <x v="5"/>
    <s v="CLI-0241"/>
    <x v="3"/>
    <x v="5"/>
    <x v="0"/>
    <n v="450205"/>
    <d v="2023-05-22T00:00:00"/>
    <d v="2023-09-11T00:00:00"/>
    <n v="112"/>
    <n v="5.5"/>
    <x v="1"/>
    <x v="1"/>
    <s v="Normal"/>
  </r>
  <r>
    <s v="DEAL-01361"/>
    <x v="8"/>
    <s v="CLI-0135"/>
    <x v="4"/>
    <x v="1"/>
    <x v="3"/>
    <n v="371781"/>
    <d v="2024-02-03T00:00:00"/>
    <d v="2024-03-03T00:00:00"/>
    <n v="29"/>
    <n v="11.1"/>
    <x v="0"/>
    <x v="5"/>
    <s v="Normal"/>
  </r>
  <r>
    <s v="DEAL-01462"/>
    <x v="14"/>
    <s v="CLI-0219"/>
    <x v="1"/>
    <x v="3"/>
    <x v="1"/>
    <n v="460374"/>
    <d v="2023-10-09T00:00:00"/>
    <m/>
    <m/>
    <m/>
    <x v="0"/>
    <x v="0"/>
    <s v="Normal"/>
  </r>
  <r>
    <s v="DEAL-01215"/>
    <x v="12"/>
    <s v="CLI-0122"/>
    <x v="5"/>
    <x v="3"/>
    <x v="0"/>
    <n v="222416"/>
    <d v="2025-03-03T00:00:00"/>
    <d v="2025-03-22T00:00:00"/>
    <n v="19"/>
    <m/>
    <x v="3"/>
    <x v="4"/>
    <s v="Normal"/>
  </r>
  <r>
    <s v="DEAL-01577"/>
    <x v="8"/>
    <s v="CLI-0286"/>
    <x v="4"/>
    <x v="5"/>
    <x v="1"/>
    <n v="416907"/>
    <d v="2025-01-30T00:00:00"/>
    <m/>
    <m/>
    <m/>
    <x v="0"/>
    <x v="4"/>
    <s v="Normal"/>
  </r>
  <r>
    <s v="DEAL-02295"/>
    <x v="11"/>
    <s v="CLI-0187"/>
    <x v="3"/>
    <x v="1"/>
    <x v="1"/>
    <n v="156811"/>
    <d v="2025-02-17T00:00:00"/>
    <m/>
    <m/>
    <n v="14.3"/>
    <x v="1"/>
    <x v="4"/>
    <s v="Normal"/>
  </r>
  <r>
    <s v="DEAL-02286"/>
    <x v="10"/>
    <s v="CLI-0282"/>
    <x v="3"/>
    <x v="2"/>
    <x v="3"/>
    <n v="56657"/>
    <d v="2023-12-03T00:00:00"/>
    <d v="2024-03-16T00:00:00"/>
    <n v="104"/>
    <n v="23.9"/>
    <x v="0"/>
    <x v="0"/>
    <s v="Normal"/>
  </r>
  <r>
    <s v="DEAL-01817"/>
    <x v="14"/>
    <s v="CLI-0290"/>
    <x v="5"/>
    <x v="7"/>
    <x v="3"/>
    <n v="374102"/>
    <d v="2023-10-07T00:00:00"/>
    <d v="2024-02-28T00:00:00"/>
    <n v="144"/>
    <n v="18.100000000000001"/>
    <x v="1"/>
    <x v="0"/>
    <s v="Normal"/>
  </r>
  <r>
    <s v="DEAL-01549"/>
    <x v="5"/>
    <s v="CLI-0219"/>
    <x v="2"/>
    <x v="8"/>
    <x v="4"/>
    <n v="104979"/>
    <d v="2023-07-13T00:00:00"/>
    <m/>
    <m/>
    <m/>
    <x v="3"/>
    <x v="6"/>
    <s v="Normal"/>
  </r>
  <r>
    <s v="DEAL-00916"/>
    <x v="15"/>
    <s v="CLI-0075"/>
    <x v="2"/>
    <x v="6"/>
    <x v="0"/>
    <n v="21733"/>
    <d v="2023-05-14T00:00:00"/>
    <d v="2023-06-30T00:00:00"/>
    <n v="47"/>
    <n v="8"/>
    <x v="3"/>
    <x v="1"/>
    <s v="Normal"/>
  </r>
  <r>
    <s v="DEAL-00475"/>
    <x v="10"/>
    <s v="CLI-0222"/>
    <x v="5"/>
    <x v="4"/>
    <x v="0"/>
    <n v="33717"/>
    <d v="2023-12-30T00:00:00"/>
    <d v="2024-05-07T00:00:00"/>
    <n v="129"/>
    <n v="9.5"/>
    <x v="0"/>
    <x v="0"/>
    <s v="Normal"/>
  </r>
  <r>
    <s v="DEAL-00766"/>
    <x v="7"/>
    <s v="CLI-0008"/>
    <x v="1"/>
    <x v="7"/>
    <x v="0"/>
    <n v="119980"/>
    <d v="2024-11-02T00:00:00"/>
    <d v="2024-11-25T00:00:00"/>
    <n v="23"/>
    <n v="5.9"/>
    <x v="3"/>
    <x v="3"/>
    <s v="Normal"/>
  </r>
  <r>
    <s v="DEAL-00919"/>
    <x v="9"/>
    <s v="CLI-0137"/>
    <x v="2"/>
    <x v="8"/>
    <x v="1"/>
    <n v="33133"/>
    <d v="2025-02-26T00:00:00"/>
    <m/>
    <m/>
    <n v="1.8"/>
    <x v="3"/>
    <x v="4"/>
    <s v="Normal"/>
  </r>
  <r>
    <s v="DEAL-01856"/>
    <x v="12"/>
    <s v="CLI-0249"/>
    <x v="5"/>
    <x v="6"/>
    <x v="2"/>
    <n v="243264"/>
    <d v="2024-09-13T00:00:00"/>
    <m/>
    <m/>
    <m/>
    <x v="1"/>
    <x v="8"/>
    <s v="Normal"/>
  </r>
  <r>
    <s v="DEAL-01364"/>
    <x v="14"/>
    <s v="CLI-0150"/>
    <x v="2"/>
    <x v="3"/>
    <x v="4"/>
    <n v="199533"/>
    <d v="2024-01-23T00:00:00"/>
    <m/>
    <m/>
    <n v="12"/>
    <x v="2"/>
    <x v="5"/>
    <s v="Normal"/>
  </r>
  <r>
    <s v="DEAL-00132"/>
    <x v="6"/>
    <s v="CLI-0276"/>
    <x v="1"/>
    <x v="2"/>
    <x v="0"/>
    <n v="439014"/>
    <d v="2024-06-08T00:00:00"/>
    <d v="2024-11-17T00:00:00"/>
    <n v="162"/>
    <n v="3.9"/>
    <x v="1"/>
    <x v="7"/>
    <s v="Normal"/>
  </r>
  <r>
    <s v="DEAL-02128"/>
    <x v="1"/>
    <s v="CLI-0028"/>
    <x v="2"/>
    <x v="6"/>
    <x v="5"/>
    <n v="11116"/>
    <d v="2023-12-28T00:00:00"/>
    <m/>
    <m/>
    <n v="5.0999999999999996"/>
    <x v="1"/>
    <x v="0"/>
    <s v="Normal"/>
  </r>
  <r>
    <s v="DEAL-00983"/>
    <x v="14"/>
    <s v="CLI-0171"/>
    <x v="0"/>
    <x v="8"/>
    <x v="2"/>
    <n v="320043"/>
    <d v="2024-01-07T00:00:00"/>
    <m/>
    <m/>
    <m/>
    <x v="0"/>
    <x v="5"/>
    <s v="Normal"/>
  </r>
  <r>
    <s v="DEAL-00278"/>
    <x v="1"/>
    <s v="CLI-0102"/>
    <x v="0"/>
    <x v="0"/>
    <x v="4"/>
    <n v="38350"/>
    <d v="2024-11-11T00:00:00"/>
    <m/>
    <m/>
    <n v="14.8"/>
    <x v="1"/>
    <x v="3"/>
    <s v="Normal"/>
  </r>
  <r>
    <s v="DEAL-02270"/>
    <x v="0"/>
    <s v="CLI-0223"/>
    <x v="0"/>
    <x v="0"/>
    <x v="4"/>
    <n v="280313"/>
    <d v="2025-01-19T00:00:00"/>
    <m/>
    <m/>
    <m/>
    <x v="0"/>
    <x v="4"/>
    <s v="Normal"/>
  </r>
  <r>
    <s v="DEAL-01498"/>
    <x v="6"/>
    <s v="CLI-0292"/>
    <x v="0"/>
    <x v="3"/>
    <x v="0"/>
    <n v="313350"/>
    <d v="2024-08-04T00:00:00"/>
    <d v="2024-12-04T00:00:00"/>
    <n v="122"/>
    <n v="8"/>
    <x v="3"/>
    <x v="8"/>
    <s v="Normal"/>
  </r>
  <r>
    <s v="DEAL-00050"/>
    <x v="13"/>
    <s v="CLI-0058"/>
    <x v="5"/>
    <x v="7"/>
    <x v="3"/>
    <n v="302316"/>
    <d v="2023-08-01T00:00:00"/>
    <d v="2023-08-28T00:00:00"/>
    <n v="27"/>
    <n v="1.4"/>
    <x v="2"/>
    <x v="6"/>
    <s v="Normal"/>
  </r>
  <r>
    <s v="DEAL-02254"/>
    <x v="1"/>
    <s v="CLI-0152"/>
    <x v="5"/>
    <x v="5"/>
    <x v="2"/>
    <n v="923296"/>
    <d v="2024-04-28T00:00:00"/>
    <m/>
    <m/>
    <m/>
    <x v="0"/>
    <x v="7"/>
    <s v="High Outlier"/>
  </r>
  <r>
    <s v="DEAL-01911"/>
    <x v="8"/>
    <s v="CLI-0090"/>
    <x v="2"/>
    <x v="8"/>
    <x v="3"/>
    <n v="184520"/>
    <d v="2023-03-07T00:00:00"/>
    <d v="2023-08-17T00:00:00"/>
    <n v="163"/>
    <n v="9.4"/>
    <x v="1"/>
    <x v="2"/>
    <s v="Normal"/>
  </r>
  <r>
    <s v="DEAL-00301"/>
    <x v="3"/>
    <s v="CLI-0050"/>
    <x v="4"/>
    <x v="8"/>
    <x v="3"/>
    <n v="108648"/>
    <d v="2023-04-29T00:00:00"/>
    <d v="2023-10-07T00:00:00"/>
    <n v="161"/>
    <n v="21.3"/>
    <x v="0"/>
    <x v="1"/>
    <s v="Normal"/>
  </r>
  <r>
    <s v="DEAL-01780"/>
    <x v="11"/>
    <s v="CLI-0209"/>
    <x v="5"/>
    <x v="4"/>
    <x v="5"/>
    <n v="118592"/>
    <d v="2025-03-29T00:00:00"/>
    <m/>
    <m/>
    <n v="14.6"/>
    <x v="3"/>
    <x v="4"/>
    <s v="Normal"/>
  </r>
  <r>
    <s v="DEAL-02051"/>
    <x v="5"/>
    <s v="CLI-0006"/>
    <x v="2"/>
    <x v="7"/>
    <x v="2"/>
    <n v="251885"/>
    <d v="2023-07-29T00:00:00"/>
    <m/>
    <m/>
    <n v="3.2"/>
    <x v="0"/>
    <x v="6"/>
    <s v="Normal"/>
  </r>
  <r>
    <s v="DEAL-00683"/>
    <x v="8"/>
    <s v="CLI-0257"/>
    <x v="3"/>
    <x v="2"/>
    <x v="3"/>
    <n v="301118"/>
    <d v="2024-03-30T00:00:00"/>
    <d v="2024-07-03T00:00:00"/>
    <n v="95"/>
    <n v="6.8"/>
    <x v="2"/>
    <x v="5"/>
    <s v="Normal"/>
  </r>
  <r>
    <s v="DEAL-00917"/>
    <x v="1"/>
    <s v="CLI-0111"/>
    <x v="3"/>
    <x v="7"/>
    <x v="1"/>
    <n v="40748"/>
    <d v="2024-09-22T00:00:00"/>
    <m/>
    <m/>
    <n v="5.4"/>
    <x v="0"/>
    <x v="8"/>
    <s v="Normal"/>
  </r>
  <r>
    <s v="DEAL-01372"/>
    <x v="11"/>
    <s v="CLI-0197"/>
    <x v="2"/>
    <x v="7"/>
    <x v="4"/>
    <n v="476356"/>
    <d v="2023-06-15T00:00:00"/>
    <m/>
    <m/>
    <n v="5.0999999999999996"/>
    <x v="0"/>
    <x v="1"/>
    <s v="Normal"/>
  </r>
  <r>
    <s v="DEAL-00907"/>
    <x v="15"/>
    <s v="CLI-0060"/>
    <x v="3"/>
    <x v="3"/>
    <x v="3"/>
    <n v="112934"/>
    <d v="2024-08-13T00:00:00"/>
    <d v="2024-12-12T00:00:00"/>
    <n v="121"/>
    <n v="2.1"/>
    <x v="0"/>
    <x v="8"/>
    <s v="Normal"/>
  </r>
  <r>
    <s v="DEAL-01137"/>
    <x v="9"/>
    <s v="CLI-0130"/>
    <x v="3"/>
    <x v="0"/>
    <x v="2"/>
    <n v="266428"/>
    <d v="2023-05-21T00:00:00"/>
    <m/>
    <m/>
    <n v="4.3"/>
    <x v="1"/>
    <x v="1"/>
    <s v="Normal"/>
  </r>
  <r>
    <s v="DEAL-02316"/>
    <x v="13"/>
    <s v="CLI-0027"/>
    <x v="1"/>
    <x v="7"/>
    <x v="5"/>
    <n v="480689"/>
    <d v="2023-09-24T00:00:00"/>
    <m/>
    <m/>
    <n v="0.4"/>
    <x v="2"/>
    <x v="6"/>
    <s v="Normal"/>
  </r>
  <r>
    <s v="DEAL-01688"/>
    <x v="12"/>
    <s v="CLI-0205"/>
    <x v="1"/>
    <x v="4"/>
    <x v="3"/>
    <n v="43907"/>
    <d v="2024-01-19T00:00:00"/>
    <d v="2024-05-07T00:00:00"/>
    <n v="109"/>
    <n v="14.3"/>
    <x v="2"/>
    <x v="5"/>
    <s v="Normal"/>
  </r>
  <r>
    <s v="DEAL-00467"/>
    <x v="13"/>
    <s v="CLI-0281"/>
    <x v="5"/>
    <x v="1"/>
    <x v="2"/>
    <n v="223981"/>
    <d v="2024-01-19T00:00:00"/>
    <m/>
    <m/>
    <n v="7.1"/>
    <x v="3"/>
    <x v="5"/>
    <s v="Normal"/>
  </r>
  <r>
    <s v="DEAL-00643"/>
    <x v="13"/>
    <s v="CLI-0284"/>
    <x v="0"/>
    <x v="7"/>
    <x v="0"/>
    <n v="193562"/>
    <d v="2024-10-21T00:00:00"/>
    <d v="2024-11-19T00:00:00"/>
    <n v="29"/>
    <m/>
    <x v="3"/>
    <x v="3"/>
    <s v="Normal"/>
  </r>
  <r>
    <s v="DEAL-01138"/>
    <x v="5"/>
    <s v="CLI-0080"/>
    <x v="4"/>
    <x v="0"/>
    <x v="2"/>
    <n v="355197"/>
    <d v="2023-04-04T00:00:00"/>
    <m/>
    <m/>
    <m/>
    <x v="0"/>
    <x v="1"/>
    <s v="Normal"/>
  </r>
  <r>
    <s v="DEAL-00733"/>
    <x v="3"/>
    <s v="CLI-0001"/>
    <x v="1"/>
    <x v="7"/>
    <x v="3"/>
    <n v="75307"/>
    <d v="2024-02-21T00:00:00"/>
    <d v="2024-05-02T00:00:00"/>
    <n v="71"/>
    <n v="15.2"/>
    <x v="1"/>
    <x v="5"/>
    <s v="Normal"/>
  </r>
  <r>
    <s v="DEAL-00960"/>
    <x v="1"/>
    <s v="CLI-0066"/>
    <x v="3"/>
    <x v="1"/>
    <x v="2"/>
    <n v="421877"/>
    <d v="2023-10-07T00:00:00"/>
    <m/>
    <m/>
    <n v="6.7"/>
    <x v="0"/>
    <x v="0"/>
    <s v="Normal"/>
  </r>
  <r>
    <s v="DEAL-01329"/>
    <x v="13"/>
    <s v="CLI-0202"/>
    <x v="2"/>
    <x v="1"/>
    <x v="1"/>
    <n v="406915"/>
    <d v="2025-03-16T00:00:00"/>
    <m/>
    <m/>
    <m/>
    <x v="2"/>
    <x v="4"/>
    <s v="Normal"/>
  </r>
  <r>
    <s v="DEAL-00018"/>
    <x v="7"/>
    <s v="CLI-0099"/>
    <x v="0"/>
    <x v="6"/>
    <x v="3"/>
    <n v="426415"/>
    <d v="2024-09-23T00:00:00"/>
    <d v="2024-12-15T00:00:00"/>
    <n v="83"/>
    <n v="18.399999999999999"/>
    <x v="2"/>
    <x v="8"/>
    <s v="Normal"/>
  </r>
  <r>
    <s v="DEAL-01174"/>
    <x v="1"/>
    <s v="CLI-0201"/>
    <x v="4"/>
    <x v="0"/>
    <x v="4"/>
    <n v="204632"/>
    <d v="2023-09-03T00:00:00"/>
    <m/>
    <m/>
    <n v="12.6"/>
    <x v="3"/>
    <x v="6"/>
    <s v="Normal"/>
  </r>
  <r>
    <s v="DEAL-01323"/>
    <x v="6"/>
    <s v="CLI-0172"/>
    <x v="5"/>
    <x v="3"/>
    <x v="3"/>
    <n v="459475"/>
    <d v="2024-06-30T00:00:00"/>
    <d v="2024-08-17T00:00:00"/>
    <n v="48"/>
    <n v="2.1"/>
    <x v="2"/>
    <x v="7"/>
    <s v="Normal"/>
  </r>
  <r>
    <s v="DEAL-01663"/>
    <x v="12"/>
    <s v="CLI-0249"/>
    <x v="2"/>
    <x v="5"/>
    <x v="3"/>
    <n v="299023"/>
    <d v="2023-02-20T00:00:00"/>
    <d v="2023-04-27T00:00:00"/>
    <n v="66"/>
    <n v="0.8"/>
    <x v="0"/>
    <x v="2"/>
    <s v="Normal"/>
  </r>
  <r>
    <s v="DEAL-01784"/>
    <x v="13"/>
    <s v="CLI-0233"/>
    <x v="3"/>
    <x v="3"/>
    <x v="3"/>
    <n v="326491"/>
    <d v="2024-06-16T00:00:00"/>
    <d v="2024-12-01T00:00:00"/>
    <n v="168"/>
    <n v="24.7"/>
    <x v="2"/>
    <x v="7"/>
    <s v="Normal"/>
  </r>
  <r>
    <s v="DEAL-01799"/>
    <x v="2"/>
    <s v="CLI-0147"/>
    <x v="5"/>
    <x v="6"/>
    <x v="4"/>
    <n v="46960"/>
    <d v="2024-04-17T00:00:00"/>
    <m/>
    <m/>
    <m/>
    <x v="2"/>
    <x v="7"/>
    <s v="Normal"/>
  </r>
  <r>
    <s v="DEAL-01770"/>
    <x v="8"/>
    <s v="CLI-0020"/>
    <x v="1"/>
    <x v="8"/>
    <x v="1"/>
    <n v="130587"/>
    <d v="2023-04-14T00:00:00"/>
    <m/>
    <m/>
    <m/>
    <x v="0"/>
    <x v="1"/>
    <s v="Norm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209189"/>
    <n v="170793.17"/>
    <n v="38395.83"/>
    <x v="0"/>
    <x v="0"/>
    <s v="Vendor Credit"/>
    <s v="FY2023-2024"/>
    <s v="Under review"/>
    <s v="Expense"/>
    <s v="Flag: High-Value Pending"/>
  </r>
  <r>
    <x v="1"/>
    <x v="1"/>
    <x v="1"/>
    <x v="1"/>
    <n v="6214"/>
    <n v="7523.05"/>
    <n v="-1309.05"/>
    <x v="1"/>
    <x v="1"/>
    <s v="Bank Transfer"/>
    <s v="FY2023-2024"/>
    <s v="Recurring"/>
    <s v="Expense"/>
    <m/>
  </r>
  <r>
    <x v="2"/>
    <x v="2"/>
    <x v="2"/>
    <x v="2"/>
    <n v="499533"/>
    <n v="550589.56000000006"/>
    <n v="-51056.56"/>
    <x v="2"/>
    <x v="1"/>
    <s v="Bank Transfer"/>
    <s v="FY2023-2024"/>
    <s v="Recurring"/>
    <s v="Expense"/>
    <m/>
  </r>
  <r>
    <x v="3"/>
    <x v="3"/>
    <x v="1"/>
    <x v="3"/>
    <n v="403234"/>
    <n v="426617.54"/>
    <n v="-23383.54"/>
    <x v="3"/>
    <x v="1"/>
    <s v="Bank Transfer"/>
    <s v="FY2024-2025"/>
    <s v=""/>
    <s v="Expense"/>
    <m/>
  </r>
  <r>
    <x v="4"/>
    <x v="0"/>
    <x v="0"/>
    <x v="4"/>
    <n v="187461"/>
    <n v="156297.94"/>
    <n v="31163.06"/>
    <x v="4"/>
    <x v="1"/>
    <s v="Credit Card"/>
    <s v="FY2022-2023"/>
    <s v=""/>
    <s v="Expense"/>
    <m/>
  </r>
  <r>
    <x v="5"/>
    <x v="2"/>
    <x v="3"/>
    <x v="4"/>
    <n v="352393"/>
    <n v="449410.33"/>
    <n v="-97017.33"/>
    <x v="5"/>
    <x v="1"/>
    <s v="Bank Transfer"/>
    <s v="FY2023-2024"/>
    <s v=""/>
    <s v="Expense"/>
    <m/>
  </r>
  <r>
    <x v="6"/>
    <x v="4"/>
    <x v="3"/>
    <x v="0"/>
    <n v="361946"/>
    <n v="354476.37"/>
    <n v="7469.63"/>
    <x v="6"/>
    <x v="0"/>
    <s v="Vendor Credit"/>
    <s v="FY2023-2024"/>
    <s v="Urgent"/>
    <s v="Expense"/>
    <s v="Flag: High-Value Pending"/>
  </r>
  <r>
    <x v="7"/>
    <x v="5"/>
    <x v="4"/>
    <x v="5"/>
    <n v="398503"/>
    <n v="438557.67"/>
    <n v="-40054.67"/>
    <x v="7"/>
    <x v="1"/>
    <s v="Credit Card"/>
    <s v="FY2023-2024"/>
    <s v=""/>
    <s v="Expense"/>
    <m/>
  </r>
  <r>
    <x v="8"/>
    <x v="5"/>
    <x v="5"/>
    <x v="6"/>
    <n v="345565"/>
    <n v="382355.25"/>
    <n v="-36790.25"/>
    <x v="8"/>
    <x v="1"/>
    <s v="Vendor Credit"/>
    <s v="FY2024-2025"/>
    <s v="Duplicate entry"/>
    <s v="Expense"/>
    <m/>
  </r>
  <r>
    <x v="9"/>
    <x v="4"/>
    <x v="3"/>
    <x v="1"/>
    <n v="441930"/>
    <n v="426169.24"/>
    <n v="15760.76"/>
    <x v="9"/>
    <x v="1"/>
    <s v="Credit Card"/>
    <s v="FY2024-2025"/>
    <s v="Under review"/>
    <s v="Expense"/>
    <m/>
  </r>
  <r>
    <x v="10"/>
    <x v="0"/>
    <x v="4"/>
    <x v="2"/>
    <n v="304214"/>
    <n v="345611.18"/>
    <n v="-41397.18"/>
    <x v="10"/>
    <x v="1"/>
    <s v="Bank Transfer"/>
    <s v="FY2024-2025"/>
    <s v="Recurring"/>
    <s v="Expense"/>
    <m/>
  </r>
  <r>
    <x v="11"/>
    <x v="5"/>
    <x v="6"/>
    <x v="7"/>
    <n v="65791"/>
    <n v="59739.7"/>
    <n v="6051.3"/>
    <x v="11"/>
    <x v="1"/>
    <s v="Petty Cash"/>
    <s v="FY2023-2024"/>
    <s v="Under review"/>
    <s v="Expense"/>
    <m/>
  </r>
  <r>
    <x v="12"/>
    <x v="4"/>
    <x v="7"/>
    <x v="8"/>
    <n v="49237"/>
    <m/>
    <n v="7036.11"/>
    <x v="12"/>
    <x v="0"/>
    <s v="Petty Cash"/>
    <s v="FY2024-2025"/>
    <s v="Duplicate entry"/>
    <s v="Expense"/>
    <m/>
  </r>
  <r>
    <x v="13"/>
    <x v="6"/>
    <x v="4"/>
    <x v="4"/>
    <n v="365283"/>
    <n v="359381.54"/>
    <n v="5901.46"/>
    <x v="13"/>
    <x v="1"/>
    <s v="Credit Card"/>
    <s v="FY2024-2025"/>
    <s v=""/>
    <s v="Expense"/>
    <m/>
  </r>
  <r>
    <x v="14"/>
    <x v="6"/>
    <x v="5"/>
    <x v="8"/>
    <n v="201346"/>
    <n v="197464.53"/>
    <m/>
    <x v="14"/>
    <x v="0"/>
    <s v="Bank Transfer"/>
    <s v="FY2024-2025"/>
    <s v="Under review"/>
    <s v="Expense"/>
    <s v="Flag: High-Value Pending"/>
  </r>
  <r>
    <x v="15"/>
    <x v="2"/>
    <x v="3"/>
    <x v="1"/>
    <n v="375484"/>
    <n v="303740.88"/>
    <n v="71743.12"/>
    <x v="15"/>
    <x v="0"/>
    <s v="Bank Transfer"/>
    <s v="FY2024-2025"/>
    <s v="One-time"/>
    <s v="Expense"/>
    <s v="Flag: High-Value Pending"/>
  </r>
  <r>
    <x v="16"/>
    <x v="1"/>
    <x v="0"/>
    <x v="5"/>
    <n v="91274"/>
    <n v="117271.6"/>
    <n v="-25997.599999999999"/>
    <x v="16"/>
    <x v="1"/>
    <s v="Petty Cash"/>
    <s v="FY2023-2024"/>
    <s v=""/>
    <s v="Expense"/>
    <m/>
  </r>
  <r>
    <x v="17"/>
    <x v="3"/>
    <x v="3"/>
    <x v="9"/>
    <n v="58546"/>
    <n v="54790.73"/>
    <n v="3755.27"/>
    <x v="17"/>
    <x v="1"/>
    <s v="Petty Cash"/>
    <s v="FY2023-2024"/>
    <s v="Under review"/>
    <s v="Expense"/>
    <m/>
  </r>
  <r>
    <x v="18"/>
    <x v="0"/>
    <x v="2"/>
    <x v="2"/>
    <n v="10904"/>
    <n v="13676.8"/>
    <n v="-2772.8"/>
    <x v="18"/>
    <x v="1"/>
    <s v="Vendor Credit"/>
    <s v="FY2022-2023"/>
    <s v="Duplicate entry"/>
    <s v="Expense"/>
    <m/>
  </r>
  <r>
    <x v="19"/>
    <x v="1"/>
    <x v="1"/>
    <x v="10"/>
    <n v="65481"/>
    <n v="81303.61"/>
    <n v="-15822.61"/>
    <x v="19"/>
    <x v="0"/>
    <s v="Vendor Credit"/>
    <s v="FY2022-2023"/>
    <s v="Duplicate entry"/>
    <s v="Expense"/>
    <m/>
  </r>
  <r>
    <x v="20"/>
    <x v="7"/>
    <x v="2"/>
    <x v="1"/>
    <n v="66000"/>
    <n v="78840.27"/>
    <n v="-12840.27"/>
    <x v="20"/>
    <x v="1"/>
    <s v="Credit Card"/>
    <s v="FY2023-2024"/>
    <s v="Under review"/>
    <s v="Expense"/>
    <m/>
  </r>
  <r>
    <x v="21"/>
    <x v="3"/>
    <x v="4"/>
    <x v="0"/>
    <n v="32147"/>
    <n v="36235.03"/>
    <n v="-4088.03"/>
    <x v="21"/>
    <x v="1"/>
    <s v="Credit Card"/>
    <s v="FY2023-2024"/>
    <s v=""/>
    <s v="Expense"/>
    <m/>
  </r>
  <r>
    <x v="22"/>
    <x v="0"/>
    <x v="5"/>
    <x v="5"/>
    <n v="312310"/>
    <n v="339411.41"/>
    <n v="-27101.41"/>
    <x v="22"/>
    <x v="0"/>
    <s v="Bank Transfer"/>
    <s v="FY2023-2024"/>
    <s v="Duplicate entry"/>
    <s v="Expense"/>
    <s v="Flag: High-Value Pending"/>
  </r>
  <r>
    <x v="23"/>
    <x v="6"/>
    <x v="1"/>
    <x v="3"/>
    <n v="145866"/>
    <n v="176369.11"/>
    <n v="-30503.11"/>
    <x v="23"/>
    <x v="1"/>
    <s v="Petty Cash"/>
    <s v="FY2024-2025"/>
    <s v="Recurring"/>
    <s v="Expense"/>
    <m/>
  </r>
  <r>
    <x v="24"/>
    <x v="3"/>
    <x v="8"/>
    <x v="6"/>
    <n v="-270391"/>
    <n v="224861.48"/>
    <n v="45529.52"/>
    <x v="24"/>
    <x v="1"/>
    <s v="Credit Card"/>
    <s v="FY2022-2023"/>
    <s v="Duplicate entry"/>
    <s v="Credit/Refund"/>
    <m/>
  </r>
  <r>
    <x v="25"/>
    <x v="6"/>
    <x v="3"/>
    <x v="11"/>
    <n v="410046"/>
    <n v="483620.72"/>
    <n v="-73574.720000000001"/>
    <x v="25"/>
    <x v="1"/>
    <s v="Petty Cash"/>
    <s v="FY2024-2025"/>
    <s v=""/>
    <s v="Expense"/>
    <m/>
  </r>
  <r>
    <x v="26"/>
    <x v="2"/>
    <x v="9"/>
    <x v="6"/>
    <n v="406494"/>
    <m/>
    <n v="-13532"/>
    <x v="26"/>
    <x v="1"/>
    <s v="Credit Card"/>
    <s v="FY2024-2025"/>
    <s v="Recurring"/>
    <s v="Expense"/>
    <m/>
  </r>
  <r>
    <x v="27"/>
    <x v="4"/>
    <x v="6"/>
    <x v="12"/>
    <n v="66859"/>
    <n v="75521.94"/>
    <n v="-8662.94"/>
    <x v="27"/>
    <x v="1"/>
    <s v="Petty Cash"/>
    <s v="FY2024-2025"/>
    <s v=""/>
    <s v="Expense"/>
    <m/>
  </r>
  <r>
    <x v="28"/>
    <x v="5"/>
    <x v="5"/>
    <x v="6"/>
    <n v="389612"/>
    <n v="356713.15"/>
    <n v="32898.85"/>
    <x v="28"/>
    <x v="0"/>
    <s v="Petty Cash"/>
    <s v="FY2024-2025"/>
    <s v=""/>
    <s v="Expense"/>
    <s v="Flag: High-Value Pending"/>
  </r>
  <r>
    <x v="29"/>
    <x v="2"/>
    <x v="9"/>
    <x v="4"/>
    <n v="397643"/>
    <n v="366588.32"/>
    <m/>
    <x v="29"/>
    <x v="0"/>
    <s v="Petty Cash"/>
    <s v="FY2023-2024"/>
    <s v=""/>
    <s v="Expense"/>
    <s v="Flag: High-Value Pending"/>
  </r>
  <r>
    <x v="30"/>
    <x v="2"/>
    <x v="7"/>
    <x v="8"/>
    <n v="367122"/>
    <n v="465065.53"/>
    <n v="-97943.53"/>
    <x v="30"/>
    <x v="0"/>
    <s v="Credit Card"/>
    <s v="FY2023-2024"/>
    <s v="One-time"/>
    <s v="Expense"/>
    <s v="Flag: High-Value Pending"/>
  </r>
  <r>
    <x v="31"/>
    <x v="7"/>
    <x v="6"/>
    <x v="13"/>
    <n v="65667"/>
    <n v="72499.12"/>
    <n v="-6832.12"/>
    <x v="31"/>
    <x v="1"/>
    <s v="Petty Cash"/>
    <s v="FY2023-2024"/>
    <s v=""/>
    <s v="Expense"/>
    <m/>
  </r>
  <r>
    <x v="32"/>
    <x v="0"/>
    <x v="9"/>
    <x v="5"/>
    <n v="350446"/>
    <n v="293167.5"/>
    <n v="57278.5"/>
    <x v="32"/>
    <x v="1"/>
    <s v="Vendor Credit"/>
    <s v="FY2024-2025"/>
    <s v=""/>
    <s v="Expense"/>
    <m/>
  </r>
  <r>
    <x v="33"/>
    <x v="5"/>
    <x v="10"/>
    <x v="5"/>
    <n v="215496"/>
    <n v="269360.68"/>
    <m/>
    <x v="33"/>
    <x v="2"/>
    <s v="Petty Cash"/>
    <s v="FY2024-2025"/>
    <s v="Duplicate entry"/>
    <s v="Expense"/>
    <s v="Flag: High-Value Pending"/>
  </r>
  <r>
    <x v="34"/>
    <x v="2"/>
    <x v="11"/>
    <x v="7"/>
    <n v="7227"/>
    <n v="9023.9"/>
    <n v="-1796.9"/>
    <x v="34"/>
    <x v="1"/>
    <s v="Vendor Credit"/>
    <s v="FY2023-2024"/>
    <s v=""/>
    <s v="Expense"/>
    <m/>
  </r>
  <r>
    <x v="35"/>
    <x v="1"/>
    <x v="6"/>
    <x v="10"/>
    <n v="481644"/>
    <n v="431586.58"/>
    <n v="50057.42"/>
    <x v="35"/>
    <x v="1"/>
    <s v="Vendor Credit"/>
    <s v="FY2023-2024"/>
    <s v="Urgent"/>
    <s v="Expense"/>
    <m/>
  </r>
  <r>
    <x v="36"/>
    <x v="2"/>
    <x v="11"/>
    <x v="10"/>
    <n v="-214583"/>
    <n v="220195.61"/>
    <n v="-5612.61"/>
    <x v="36"/>
    <x v="1"/>
    <s v="Petty Cash"/>
    <s v="FY2023-2024"/>
    <s v=""/>
    <s v="Credit/Refund"/>
    <m/>
  </r>
  <r>
    <x v="37"/>
    <x v="2"/>
    <x v="1"/>
    <x v="1"/>
    <n v="71717"/>
    <n v="89231.77"/>
    <n v="-17514.77"/>
    <x v="37"/>
    <x v="1"/>
    <s v="Credit Card"/>
    <s v="FY2024-2025"/>
    <s v="Urgent"/>
    <s v="Expense"/>
    <m/>
  </r>
  <r>
    <x v="38"/>
    <x v="4"/>
    <x v="8"/>
    <x v="3"/>
    <n v="352092"/>
    <n v="424330.22"/>
    <n v="-72238.22"/>
    <x v="38"/>
    <x v="1"/>
    <s v="Bank Transfer"/>
    <s v="FY2024-2025"/>
    <s v="One-time"/>
    <s v="Expense"/>
    <m/>
  </r>
  <r>
    <x v="39"/>
    <x v="6"/>
    <x v="4"/>
    <x v="14"/>
    <n v="3606815"/>
    <n v="3411626.72"/>
    <n v="195188.28"/>
    <x v="39"/>
    <x v="0"/>
    <s v="Bank Transfer"/>
    <s v="FY2024-2025"/>
    <s v="Recurring"/>
    <s v="Expense"/>
    <s v="Flag: High-Value Pending"/>
  </r>
  <r>
    <x v="40"/>
    <x v="2"/>
    <x v="0"/>
    <x v="5"/>
    <n v="128850"/>
    <n v="118183.64"/>
    <n v="10666.36"/>
    <x v="40"/>
    <x v="1"/>
    <s v="Vendor Credit"/>
    <s v="FY2023-2024"/>
    <s v=""/>
    <s v="Expense"/>
    <m/>
  </r>
  <r>
    <x v="41"/>
    <x v="1"/>
    <x v="1"/>
    <x v="2"/>
    <n v="166769"/>
    <n v="196065.31"/>
    <n v="-29296.31"/>
    <x v="41"/>
    <x v="1"/>
    <s v="Credit Card"/>
    <s v="FY2023-2024"/>
    <s v="Recurring"/>
    <s v="Expense"/>
    <m/>
  </r>
  <r>
    <x v="42"/>
    <x v="5"/>
    <x v="7"/>
    <x v="13"/>
    <n v="454117"/>
    <m/>
    <n v="-112004.76"/>
    <x v="31"/>
    <x v="1"/>
    <s v="Vendor Credit"/>
    <s v="FY2023-2024"/>
    <s v="Under review"/>
    <s v="Expense"/>
    <m/>
  </r>
  <r>
    <x v="43"/>
    <x v="2"/>
    <x v="11"/>
    <x v="8"/>
    <n v="225901"/>
    <n v="254208.33"/>
    <n v="-28307.33"/>
    <x v="42"/>
    <x v="1"/>
    <s v="Petty Cash"/>
    <s v="FY2024-2025"/>
    <s v="Recurring"/>
    <s v="Expense"/>
    <m/>
  </r>
  <r>
    <x v="44"/>
    <x v="4"/>
    <x v="8"/>
    <x v="10"/>
    <n v="173047"/>
    <n v="149662.31"/>
    <m/>
    <x v="43"/>
    <x v="1"/>
    <s v="Vendor Credit"/>
    <s v="FY2023-2024"/>
    <s v="Under review"/>
    <s v="Expense"/>
    <m/>
  </r>
  <r>
    <x v="45"/>
    <x v="3"/>
    <x v="10"/>
    <x v="3"/>
    <n v="247370"/>
    <n v="268703.57"/>
    <n v="-21333.57"/>
    <x v="44"/>
    <x v="1"/>
    <s v="Bank Transfer"/>
    <s v="FY2024-2025"/>
    <s v=""/>
    <s v="Expense"/>
    <m/>
  </r>
  <r>
    <x v="46"/>
    <x v="4"/>
    <x v="2"/>
    <x v="5"/>
    <n v="295595"/>
    <n v="333028.71000000002"/>
    <n v="-37433.71"/>
    <x v="45"/>
    <x v="0"/>
    <s v="Vendor Credit"/>
    <s v="FY2024-2025"/>
    <s v="Urgent"/>
    <s v="Expense"/>
    <s v="Flag: High-Value Pending"/>
  </r>
  <r>
    <x v="47"/>
    <x v="3"/>
    <x v="8"/>
    <x v="1"/>
    <n v="344780"/>
    <n v="378391.66"/>
    <n v="-33611.660000000003"/>
    <x v="46"/>
    <x v="1"/>
    <s v="Bank Transfer"/>
    <s v="FY2022-2023"/>
    <s v=""/>
    <s v="Expense"/>
    <m/>
  </r>
  <r>
    <x v="48"/>
    <x v="3"/>
    <x v="8"/>
    <x v="0"/>
    <n v="228003"/>
    <n v="192790.08"/>
    <n v="35212.92"/>
    <x v="47"/>
    <x v="1"/>
    <s v="Credit Card"/>
    <s v="FY2023-2024"/>
    <s v="Under review"/>
    <s v="Expense"/>
    <m/>
  </r>
  <r>
    <x v="49"/>
    <x v="5"/>
    <x v="8"/>
    <x v="14"/>
    <n v="205500"/>
    <n v="166546.9"/>
    <n v="38953.1"/>
    <x v="48"/>
    <x v="1"/>
    <s v="Vendor Credit"/>
    <s v="FY2023-2024"/>
    <s v="Duplicate entry"/>
    <s v="Expense"/>
    <m/>
  </r>
  <r>
    <x v="50"/>
    <x v="2"/>
    <x v="1"/>
    <x v="13"/>
    <n v="336583"/>
    <n v="372109.92"/>
    <n v="-35526.92"/>
    <x v="49"/>
    <x v="1"/>
    <s v="Credit Card"/>
    <s v="FY2022-2023"/>
    <s v="Under review"/>
    <s v="Expense"/>
    <m/>
  </r>
  <r>
    <x v="51"/>
    <x v="5"/>
    <x v="11"/>
    <x v="9"/>
    <n v="76037"/>
    <n v="88996.479999999996"/>
    <n v="-12959.48"/>
    <x v="50"/>
    <x v="1"/>
    <s v="Bank Transfer"/>
    <s v="FY2023-2024"/>
    <s v=""/>
    <s v="Expense"/>
    <m/>
  </r>
  <r>
    <x v="52"/>
    <x v="5"/>
    <x v="3"/>
    <x v="14"/>
    <n v="51292"/>
    <n v="52199.26"/>
    <n v="-907.26"/>
    <x v="51"/>
    <x v="1"/>
    <s v="Petty Cash"/>
    <s v="FY2023-2024"/>
    <s v="Urgent"/>
    <s v="Expense"/>
    <m/>
  </r>
  <r>
    <x v="53"/>
    <x v="5"/>
    <x v="8"/>
    <x v="1"/>
    <n v="-307191"/>
    <n v="328740.27"/>
    <n v="-21549.27"/>
    <x v="52"/>
    <x v="1"/>
    <s v="Bank Transfer"/>
    <s v="FY2024-2025"/>
    <s v="Under review"/>
    <s v="Credit/Refund"/>
    <m/>
  </r>
  <r>
    <x v="54"/>
    <x v="1"/>
    <x v="2"/>
    <x v="3"/>
    <n v="333909"/>
    <n v="401580.86"/>
    <n v="-67671.86"/>
    <x v="53"/>
    <x v="2"/>
    <s v="Bank Transfer"/>
    <s v="FY2023-2024"/>
    <s v="Recurring"/>
    <s v="Expense"/>
    <s v="Flag: High-Value Pending"/>
  </r>
  <r>
    <x v="55"/>
    <x v="3"/>
    <x v="8"/>
    <x v="2"/>
    <n v="325449"/>
    <n v="392529.63"/>
    <n v="-67080.63"/>
    <x v="54"/>
    <x v="1"/>
    <s v="Bank Transfer"/>
    <s v="FY2024-2025"/>
    <s v="Urgent"/>
    <s v="Expense"/>
    <m/>
  </r>
  <r>
    <x v="56"/>
    <x v="1"/>
    <x v="5"/>
    <x v="5"/>
    <n v="10526"/>
    <n v="9003.5300000000007"/>
    <n v="1522.47"/>
    <x v="55"/>
    <x v="1"/>
    <s v="Bank Transfer"/>
    <s v="FY2023-2024"/>
    <s v="Under review"/>
    <s v="Expense"/>
    <m/>
  </r>
  <r>
    <x v="57"/>
    <x v="2"/>
    <x v="12"/>
    <x v="2"/>
    <n v="464884"/>
    <n v="581075.86"/>
    <n v="-116191.86"/>
    <x v="56"/>
    <x v="2"/>
    <s v="Vendor Credit"/>
    <s v="FY2024-2025"/>
    <s v="Duplicate entry"/>
    <s v="Expense"/>
    <s v="Flag: High-Value Pending"/>
  </r>
  <r>
    <x v="58"/>
    <x v="2"/>
    <x v="11"/>
    <x v="13"/>
    <n v="265649"/>
    <n v="235191.89"/>
    <n v="30457.11"/>
    <x v="57"/>
    <x v="1"/>
    <s v="Credit Card"/>
    <s v="FY2023-2024"/>
    <s v=""/>
    <s v="Expense"/>
    <m/>
  </r>
  <r>
    <x v="59"/>
    <x v="3"/>
    <x v="6"/>
    <x v="13"/>
    <n v="32268"/>
    <n v="26832.63"/>
    <n v="5435.37"/>
    <x v="36"/>
    <x v="1"/>
    <s v="Credit Card"/>
    <s v="FY2023-2024"/>
    <s v="Under review"/>
    <s v="Expense"/>
    <m/>
  </r>
  <r>
    <x v="60"/>
    <x v="3"/>
    <x v="3"/>
    <x v="5"/>
    <n v="79555"/>
    <n v="101962.75"/>
    <n v="-22407.75"/>
    <x v="58"/>
    <x v="1"/>
    <s v="Bank Transfer"/>
    <s v="FY2022-2023"/>
    <s v=""/>
    <s v="Expense"/>
    <m/>
  </r>
  <r>
    <x v="61"/>
    <x v="2"/>
    <x v="1"/>
    <x v="12"/>
    <n v="411030"/>
    <n v="392369.5"/>
    <n v="18660.5"/>
    <x v="59"/>
    <x v="1"/>
    <s v="Vendor Credit"/>
    <s v="FY2022-2023"/>
    <s v=""/>
    <s v="Expense"/>
    <m/>
  </r>
  <r>
    <x v="62"/>
    <x v="3"/>
    <x v="0"/>
    <x v="1"/>
    <n v="2583687"/>
    <n v="2695007.68"/>
    <n v="-111320.68"/>
    <x v="60"/>
    <x v="0"/>
    <s v="Vendor Credit"/>
    <s v="FY2024-2025"/>
    <s v=""/>
    <s v="Expense"/>
    <s v="Flag: High-Value Pending"/>
  </r>
  <r>
    <x v="63"/>
    <x v="2"/>
    <x v="6"/>
    <x v="12"/>
    <n v="99203"/>
    <n v="111995.57"/>
    <n v="-12792.57"/>
    <x v="61"/>
    <x v="1"/>
    <s v="Bank Transfer"/>
    <s v="FY2024-2025"/>
    <s v=""/>
    <s v="Expense"/>
    <m/>
  </r>
  <r>
    <x v="64"/>
    <x v="5"/>
    <x v="8"/>
    <x v="13"/>
    <n v="413818"/>
    <n v="475823.4"/>
    <n v="-62005.4"/>
    <x v="62"/>
    <x v="0"/>
    <s v="Credit Card"/>
    <s v="FY2024-2025"/>
    <s v=""/>
    <s v="Expense"/>
    <s v="Flag: High-Value Pending"/>
  </r>
  <r>
    <x v="65"/>
    <x v="6"/>
    <x v="1"/>
    <x v="14"/>
    <n v="277583"/>
    <n v="262488.11"/>
    <n v="15094.89"/>
    <x v="22"/>
    <x v="0"/>
    <s v="Credit Card"/>
    <s v="FY2023-2024"/>
    <s v="Urgent"/>
    <s v="Expense"/>
    <s v="Flag: High-Value Pending"/>
  </r>
  <r>
    <x v="66"/>
    <x v="2"/>
    <x v="8"/>
    <x v="15"/>
    <n v="457651"/>
    <n v="467629.28"/>
    <n v="-9978.2800000000007"/>
    <x v="63"/>
    <x v="1"/>
    <s v="Vendor Credit"/>
    <s v="FY2023-2024"/>
    <s v="Urgent"/>
    <s v="Expense"/>
    <m/>
  </r>
  <r>
    <x v="67"/>
    <x v="5"/>
    <x v="9"/>
    <x v="8"/>
    <n v="62205"/>
    <n v="68491.3"/>
    <m/>
    <x v="64"/>
    <x v="1"/>
    <s v="Petty Cash"/>
    <s v="FY2023-2024"/>
    <s v="Recurring"/>
    <s v="Expense"/>
    <m/>
  </r>
  <r>
    <x v="68"/>
    <x v="5"/>
    <x v="1"/>
    <x v="1"/>
    <n v="395114"/>
    <n v="453184.31"/>
    <n v="-58070.31"/>
    <x v="65"/>
    <x v="0"/>
    <s v="Petty Cash"/>
    <s v="FY2022-2023"/>
    <s v="Urgent"/>
    <s v="Expense"/>
    <s v="Flag: High-Value Pending"/>
  </r>
  <r>
    <x v="69"/>
    <x v="2"/>
    <x v="4"/>
    <x v="11"/>
    <n v="97690"/>
    <n v="91260.03"/>
    <n v="6429.97"/>
    <x v="66"/>
    <x v="1"/>
    <s v="Petty Cash"/>
    <s v="FY2024-2025"/>
    <s v=""/>
    <s v="Expense"/>
    <m/>
  </r>
  <r>
    <x v="70"/>
    <x v="1"/>
    <x v="11"/>
    <x v="12"/>
    <n v="491563"/>
    <n v="637066.96"/>
    <n v="-145503.96"/>
    <x v="67"/>
    <x v="1"/>
    <s v="Vendor Credit"/>
    <s v="FY2022-2023"/>
    <s v="Recurring"/>
    <s v="Expense"/>
    <m/>
  </r>
  <r>
    <x v="71"/>
    <x v="5"/>
    <x v="10"/>
    <x v="6"/>
    <n v="417255"/>
    <n v="398887.4"/>
    <n v="18367.599999999999"/>
    <x v="68"/>
    <x v="1"/>
    <s v="Vendor Credit"/>
    <s v="FY2023-2024"/>
    <s v="Duplicate entry"/>
    <s v="Expense"/>
    <m/>
  </r>
  <r>
    <x v="72"/>
    <x v="4"/>
    <x v="1"/>
    <x v="1"/>
    <n v="388564"/>
    <n v="433099.82"/>
    <n v="-44535.82"/>
    <x v="69"/>
    <x v="1"/>
    <s v="Credit Card"/>
    <s v="FY2023-2024"/>
    <s v="Urgent"/>
    <s v="Expense"/>
    <m/>
  </r>
  <r>
    <x v="73"/>
    <x v="2"/>
    <x v="12"/>
    <x v="15"/>
    <n v="476675"/>
    <n v="601228.87"/>
    <n v="-124553.87"/>
    <x v="70"/>
    <x v="1"/>
    <s v="Vendor Credit"/>
    <s v="FY2024-2025"/>
    <s v="Duplicate entry"/>
    <s v="Expense"/>
    <m/>
  </r>
  <r>
    <x v="74"/>
    <x v="2"/>
    <x v="7"/>
    <x v="1"/>
    <n v="118973"/>
    <n v="134000.41"/>
    <n v="-15027.41"/>
    <x v="71"/>
    <x v="1"/>
    <s v="Vendor Credit"/>
    <s v="FY2024-2025"/>
    <s v=""/>
    <s v="Expense"/>
    <m/>
  </r>
  <r>
    <x v="75"/>
    <x v="5"/>
    <x v="10"/>
    <x v="2"/>
    <n v="22538"/>
    <n v="19899.53"/>
    <n v="2638.47"/>
    <x v="72"/>
    <x v="1"/>
    <s v="Vendor Credit"/>
    <s v="FY2024-2025"/>
    <s v=""/>
    <s v="Expense"/>
    <m/>
  </r>
  <r>
    <x v="76"/>
    <x v="3"/>
    <x v="4"/>
    <x v="12"/>
    <n v="443662"/>
    <m/>
    <n v="85569.69"/>
    <x v="73"/>
    <x v="0"/>
    <s v="Vendor Credit"/>
    <s v="FY2024-2025"/>
    <s v="One-time"/>
    <s v="Expense"/>
    <s v="Flag: High-Value Pending"/>
  </r>
  <r>
    <x v="77"/>
    <x v="5"/>
    <x v="6"/>
    <x v="0"/>
    <n v="353333"/>
    <n v="458964.2"/>
    <n v="-105631.2"/>
    <x v="74"/>
    <x v="1"/>
    <s v="Credit Card"/>
    <s v="FY2024-2025"/>
    <s v="Urgent"/>
    <s v="Expense"/>
    <m/>
  </r>
  <r>
    <x v="78"/>
    <x v="7"/>
    <x v="11"/>
    <x v="6"/>
    <n v="290249"/>
    <n v="369613.63"/>
    <n v="-79364.63"/>
    <x v="75"/>
    <x v="1"/>
    <s v="Petty Cash"/>
    <s v="FY2023-2024"/>
    <s v="Under review"/>
    <s v="Expense"/>
    <m/>
  </r>
  <r>
    <x v="79"/>
    <x v="3"/>
    <x v="6"/>
    <x v="1"/>
    <n v="309034"/>
    <n v="273262.53000000003"/>
    <n v="35771.47"/>
    <x v="76"/>
    <x v="0"/>
    <s v="Petty Cash"/>
    <s v="FY2024-2025"/>
    <s v="Recurring"/>
    <s v="Expense"/>
    <s v="Flag: High-Value Pending"/>
  </r>
  <r>
    <x v="80"/>
    <x v="4"/>
    <x v="6"/>
    <x v="11"/>
    <n v="106902"/>
    <n v="123641.31"/>
    <n v="-16739.310000000001"/>
    <x v="77"/>
    <x v="0"/>
    <s v="Credit Card"/>
    <s v="FY2023-2024"/>
    <s v=""/>
    <s v="Expense"/>
    <m/>
  </r>
  <r>
    <x v="81"/>
    <x v="1"/>
    <x v="6"/>
    <x v="7"/>
    <n v="429973"/>
    <n v="376365.53"/>
    <n v="53607.47"/>
    <x v="78"/>
    <x v="0"/>
    <s v="Vendor Credit"/>
    <s v="FY2023-2024"/>
    <s v=""/>
    <s v="Expense"/>
    <s v="Flag: High-Value Pending"/>
  </r>
  <r>
    <x v="82"/>
    <x v="1"/>
    <x v="4"/>
    <x v="10"/>
    <n v="206116"/>
    <n v="229625.18"/>
    <n v="-23509.18"/>
    <x v="79"/>
    <x v="0"/>
    <s v="Vendor Credit"/>
    <s v="FY2024-2025"/>
    <s v=""/>
    <s v="Expense"/>
    <s v="Flag: High-Value Pending"/>
  </r>
  <r>
    <x v="83"/>
    <x v="0"/>
    <x v="6"/>
    <x v="11"/>
    <n v="1422304"/>
    <n v="1675743.07"/>
    <n v="-253439.07"/>
    <x v="2"/>
    <x v="1"/>
    <s v="Bank Transfer"/>
    <s v="FY2023-2024"/>
    <s v="Recurring"/>
    <s v="Expense"/>
    <m/>
  </r>
  <r>
    <x v="84"/>
    <x v="1"/>
    <x v="7"/>
    <x v="13"/>
    <n v="495376"/>
    <n v="532148.51"/>
    <n v="-36772.51"/>
    <x v="80"/>
    <x v="0"/>
    <s v="Petty Cash"/>
    <s v="FY2024-2025"/>
    <s v="Recurring"/>
    <s v="Expense"/>
    <s v="Flag: High-Value Pending"/>
  </r>
  <r>
    <x v="85"/>
    <x v="6"/>
    <x v="0"/>
    <x v="12"/>
    <n v="374421"/>
    <n v="472252.91"/>
    <n v="-97831.91"/>
    <x v="81"/>
    <x v="1"/>
    <s v="Credit Card"/>
    <s v="FY2023-2024"/>
    <s v=""/>
    <s v="Expense"/>
    <m/>
  </r>
  <r>
    <x v="86"/>
    <x v="6"/>
    <x v="4"/>
    <x v="0"/>
    <n v="277952"/>
    <n v="236373.9"/>
    <n v="41578.1"/>
    <x v="82"/>
    <x v="2"/>
    <s v="Credit Card"/>
    <s v="FY2024-2025"/>
    <s v=""/>
    <s v="Expense"/>
    <s v="Flag: High-Value Pending"/>
  </r>
  <r>
    <x v="87"/>
    <x v="3"/>
    <x v="10"/>
    <x v="15"/>
    <n v="314597"/>
    <n v="405247.51"/>
    <n v="-90650.51"/>
    <x v="83"/>
    <x v="0"/>
    <s v="Bank Transfer"/>
    <s v="FY2024-2025"/>
    <s v="Recurring"/>
    <s v="Expense"/>
    <s v="Flag: High-Value Pending"/>
  </r>
  <r>
    <x v="88"/>
    <x v="5"/>
    <x v="7"/>
    <x v="14"/>
    <n v="109346"/>
    <n v="139986.84"/>
    <n v="-30640.84"/>
    <x v="84"/>
    <x v="0"/>
    <s v="Credit Card"/>
    <s v="FY2023-2024"/>
    <s v="Recurring"/>
    <s v="Expense"/>
    <m/>
  </r>
  <r>
    <x v="89"/>
    <x v="2"/>
    <x v="4"/>
    <x v="7"/>
    <n v="-57182"/>
    <n v="60104.14"/>
    <m/>
    <x v="85"/>
    <x v="1"/>
    <s v="Bank Transfer"/>
    <s v="FY2023-2024"/>
    <s v=""/>
    <s v="Credit/Refund"/>
    <m/>
  </r>
  <r>
    <x v="90"/>
    <x v="6"/>
    <x v="4"/>
    <x v="2"/>
    <n v="429501"/>
    <n v="466352.17"/>
    <n v="-36851.17"/>
    <x v="86"/>
    <x v="0"/>
    <s v="Credit Card"/>
    <s v="FY2024-2025"/>
    <s v="Recurring"/>
    <s v="Expense"/>
    <s v="Flag: High-Value Pending"/>
  </r>
  <r>
    <x v="91"/>
    <x v="2"/>
    <x v="6"/>
    <x v="15"/>
    <n v="478753"/>
    <n v="566440.71"/>
    <n v="-87687.71"/>
    <x v="87"/>
    <x v="0"/>
    <s v="Bank Transfer"/>
    <s v="FY2023-2024"/>
    <s v="Recurring"/>
    <s v="Expense"/>
    <s v="Flag: High-Value Pending"/>
  </r>
  <r>
    <x v="92"/>
    <x v="2"/>
    <x v="8"/>
    <x v="0"/>
    <n v="62031"/>
    <n v="62498.04"/>
    <n v="-467.04"/>
    <x v="84"/>
    <x v="2"/>
    <s v="Bank Transfer"/>
    <s v="FY2023-2024"/>
    <s v=""/>
    <s v="Expense"/>
    <m/>
  </r>
  <r>
    <x v="93"/>
    <x v="7"/>
    <x v="2"/>
    <x v="0"/>
    <n v="288581"/>
    <n v="353638.16"/>
    <n v="-65057.16"/>
    <x v="88"/>
    <x v="1"/>
    <s v="Bank Transfer"/>
    <s v="FY2024-2025"/>
    <s v="Duplicate entry"/>
    <s v="Expense"/>
    <m/>
  </r>
  <r>
    <x v="94"/>
    <x v="7"/>
    <x v="1"/>
    <x v="6"/>
    <n v="123062"/>
    <n v="152975.35"/>
    <n v="-29913.35"/>
    <x v="89"/>
    <x v="0"/>
    <s v="Vendor Credit"/>
    <s v="FY2023-2024"/>
    <s v="Duplicate entry"/>
    <s v="Expense"/>
    <m/>
  </r>
  <r>
    <x v="95"/>
    <x v="7"/>
    <x v="5"/>
    <x v="8"/>
    <n v="481569"/>
    <n v="451100.97"/>
    <n v="30468.03"/>
    <x v="90"/>
    <x v="1"/>
    <s v="Petty Cash"/>
    <s v="FY2023-2024"/>
    <s v=""/>
    <s v="Expense"/>
    <m/>
  </r>
  <r>
    <x v="96"/>
    <x v="2"/>
    <x v="5"/>
    <x v="15"/>
    <n v="163410"/>
    <n v="200577.85"/>
    <m/>
    <x v="91"/>
    <x v="1"/>
    <s v="Bank Transfer"/>
    <s v="FY2024-2025"/>
    <s v="Urgent"/>
    <s v="Expense"/>
    <m/>
  </r>
  <r>
    <x v="97"/>
    <x v="6"/>
    <x v="6"/>
    <x v="4"/>
    <n v="377326"/>
    <n v="461081.99"/>
    <n v="-83755.990000000005"/>
    <x v="92"/>
    <x v="1"/>
    <s v="Vendor Credit"/>
    <s v="FY2023-2024"/>
    <s v=""/>
    <s v="Expense"/>
    <m/>
  </r>
  <r>
    <x v="98"/>
    <x v="1"/>
    <x v="2"/>
    <x v="4"/>
    <n v="79297"/>
    <n v="66599.44"/>
    <n v="12697.56"/>
    <x v="93"/>
    <x v="1"/>
    <s v="Petty Cash"/>
    <s v="FY2023-2024"/>
    <s v="Under review"/>
    <s v="Expense"/>
    <m/>
  </r>
  <r>
    <x v="99"/>
    <x v="3"/>
    <x v="3"/>
    <x v="15"/>
    <n v="487901"/>
    <n v="465035.01"/>
    <n v="22865.99"/>
    <x v="94"/>
    <x v="1"/>
    <s v="Credit Card"/>
    <s v="FY2024-2025"/>
    <s v=""/>
    <s v="Expense"/>
    <m/>
  </r>
  <r>
    <x v="100"/>
    <x v="5"/>
    <x v="2"/>
    <x v="4"/>
    <n v="369434"/>
    <n v="401049.67"/>
    <n v="-31615.67"/>
    <x v="95"/>
    <x v="1"/>
    <s v="Vendor Credit"/>
    <s v="FY2023-2024"/>
    <s v=""/>
    <s v="Expense"/>
    <m/>
  </r>
  <r>
    <x v="101"/>
    <x v="3"/>
    <x v="5"/>
    <x v="13"/>
    <n v="132717"/>
    <n v="125986.01"/>
    <n v="6730.99"/>
    <x v="50"/>
    <x v="1"/>
    <s v="Vendor Credit"/>
    <s v="FY2023-2024"/>
    <s v="Under review"/>
    <s v="Expense"/>
    <m/>
  </r>
  <r>
    <x v="102"/>
    <x v="4"/>
    <x v="8"/>
    <x v="1"/>
    <n v="367110"/>
    <n v="473125.19"/>
    <n v="-106015.19"/>
    <x v="77"/>
    <x v="1"/>
    <s v="Vendor Credit"/>
    <s v="FY2023-2024"/>
    <s v="One-time"/>
    <s v="Expense"/>
    <m/>
  </r>
  <r>
    <x v="103"/>
    <x v="4"/>
    <x v="7"/>
    <x v="13"/>
    <n v="308360"/>
    <n v="252679.46"/>
    <n v="55680.54"/>
    <x v="96"/>
    <x v="0"/>
    <s v="Credit Card"/>
    <s v="FY2024-2025"/>
    <s v="Under review"/>
    <s v="Expense"/>
    <s v="Flag: High-Value Pending"/>
  </r>
  <r>
    <x v="104"/>
    <x v="2"/>
    <x v="3"/>
    <x v="6"/>
    <n v="224677"/>
    <n v="281998.19"/>
    <n v="-57321.19"/>
    <x v="97"/>
    <x v="1"/>
    <s v="Credit Card"/>
    <s v="FY2023-2024"/>
    <s v="Recurring"/>
    <s v="Expense"/>
    <m/>
  </r>
  <r>
    <x v="105"/>
    <x v="1"/>
    <x v="1"/>
    <x v="9"/>
    <n v="494166"/>
    <n v="404213.86"/>
    <n v="89952.14"/>
    <x v="98"/>
    <x v="1"/>
    <s v="Petty Cash"/>
    <s v="FY2023-2024"/>
    <s v="Under review"/>
    <s v="Expense"/>
    <m/>
  </r>
  <r>
    <x v="106"/>
    <x v="6"/>
    <x v="4"/>
    <x v="11"/>
    <n v="195900"/>
    <n v="190971.73"/>
    <n v="4928.2700000000004"/>
    <x v="99"/>
    <x v="1"/>
    <s v="Credit Card"/>
    <s v="FY2024-2025"/>
    <s v=""/>
    <s v="Expense"/>
    <m/>
  </r>
  <r>
    <x v="107"/>
    <x v="2"/>
    <x v="0"/>
    <x v="13"/>
    <n v="335390"/>
    <n v="302933.23"/>
    <n v="32456.77"/>
    <x v="100"/>
    <x v="1"/>
    <s v="Petty Cash"/>
    <s v="FY2024-2025"/>
    <s v="One-time"/>
    <s v="Expense"/>
    <m/>
  </r>
  <r>
    <x v="108"/>
    <x v="4"/>
    <x v="9"/>
    <x v="15"/>
    <n v="177021"/>
    <n v="158438.09"/>
    <n v="18582.91"/>
    <x v="101"/>
    <x v="0"/>
    <s v="Bank Transfer"/>
    <s v="FY2024-2025"/>
    <s v=""/>
    <s v="Expense"/>
    <m/>
  </r>
  <r>
    <x v="109"/>
    <x v="6"/>
    <x v="5"/>
    <x v="11"/>
    <n v="314105"/>
    <n v="386778.37"/>
    <n v="-72673.37"/>
    <x v="102"/>
    <x v="2"/>
    <s v="Credit Card"/>
    <s v="FY2023-2024"/>
    <s v=""/>
    <s v="Expense"/>
    <s v="Flag: High-Value Pending"/>
  </r>
  <r>
    <x v="110"/>
    <x v="1"/>
    <x v="11"/>
    <x v="5"/>
    <n v="3110100"/>
    <n v="2633787.69"/>
    <n v="476312.31"/>
    <x v="103"/>
    <x v="0"/>
    <s v="Credit Card"/>
    <s v="FY2023-2024"/>
    <s v=""/>
    <s v="Expense"/>
    <s v="Flag: High-Value Pending"/>
  </r>
  <r>
    <x v="111"/>
    <x v="2"/>
    <x v="5"/>
    <x v="8"/>
    <n v="262104"/>
    <n v="215755.98"/>
    <n v="46348.02"/>
    <x v="104"/>
    <x v="1"/>
    <s v="Bank Transfer"/>
    <s v="FY2022-2023"/>
    <s v="Recurring"/>
    <s v="Expense"/>
    <m/>
  </r>
  <r>
    <x v="112"/>
    <x v="7"/>
    <x v="8"/>
    <x v="11"/>
    <n v="298624"/>
    <n v="355869.66"/>
    <n v="-57245.66"/>
    <x v="105"/>
    <x v="1"/>
    <s v="Bank Transfer"/>
    <s v="FY2024-2025"/>
    <s v=""/>
    <s v="Expense"/>
    <m/>
  </r>
  <r>
    <x v="113"/>
    <x v="1"/>
    <x v="11"/>
    <x v="7"/>
    <n v="244479"/>
    <n v="229972.17"/>
    <n v="14506.83"/>
    <x v="106"/>
    <x v="1"/>
    <s v="Petty Cash"/>
    <s v="FY2023-2024"/>
    <s v="One-time"/>
    <s v="Expense"/>
    <m/>
  </r>
  <r>
    <x v="114"/>
    <x v="2"/>
    <x v="6"/>
    <x v="1"/>
    <n v="458092"/>
    <n v="415250.85"/>
    <n v="42841.15"/>
    <x v="107"/>
    <x v="1"/>
    <s v="Vendor Credit"/>
    <s v="FY2023-2024"/>
    <s v="Urgent"/>
    <s v="Expense"/>
    <m/>
  </r>
  <r>
    <x v="115"/>
    <x v="6"/>
    <x v="2"/>
    <x v="6"/>
    <n v="216848"/>
    <n v="187274.9"/>
    <m/>
    <x v="108"/>
    <x v="1"/>
    <s v="Credit Card"/>
    <s v="FY2024-2025"/>
    <s v=""/>
    <s v="Expense"/>
    <m/>
  </r>
  <r>
    <x v="116"/>
    <x v="4"/>
    <x v="8"/>
    <x v="4"/>
    <n v="369273"/>
    <n v="394727.13"/>
    <n v="-25454.13"/>
    <x v="109"/>
    <x v="1"/>
    <s v="Petty Cash"/>
    <s v="FY2023-2024"/>
    <s v=""/>
    <s v="Expense"/>
    <m/>
  </r>
  <r>
    <x v="117"/>
    <x v="4"/>
    <x v="8"/>
    <x v="5"/>
    <n v="482284"/>
    <n v="386418.85"/>
    <n v="95865.15"/>
    <x v="110"/>
    <x v="1"/>
    <s v="Petty Cash"/>
    <s v="FY2023-2024"/>
    <s v=""/>
    <s v="Expense"/>
    <m/>
  </r>
  <r>
    <x v="118"/>
    <x v="6"/>
    <x v="6"/>
    <x v="12"/>
    <n v="114547"/>
    <n v="143027.81"/>
    <n v="-28480.81"/>
    <x v="111"/>
    <x v="1"/>
    <s v="Vendor Credit"/>
    <s v="FY2022-2023"/>
    <s v="Under review"/>
    <s v="Expense"/>
    <m/>
  </r>
  <r>
    <x v="119"/>
    <x v="5"/>
    <x v="11"/>
    <x v="3"/>
    <n v="334243"/>
    <n v="335560.21"/>
    <n v="-1317.21"/>
    <x v="112"/>
    <x v="1"/>
    <s v="Bank Transfer"/>
    <s v="FY2024-2025"/>
    <s v=""/>
    <s v="Expense"/>
    <m/>
  </r>
  <r>
    <x v="120"/>
    <x v="3"/>
    <x v="9"/>
    <x v="10"/>
    <n v="47119"/>
    <n v="38820.36"/>
    <n v="8298.64"/>
    <x v="113"/>
    <x v="2"/>
    <s v="Bank Transfer"/>
    <s v="FY2023-2024"/>
    <s v=""/>
    <s v="Expense"/>
    <m/>
  </r>
  <r>
    <x v="121"/>
    <x v="6"/>
    <x v="6"/>
    <x v="11"/>
    <n v="364029"/>
    <n v="317442.38"/>
    <n v="46586.62"/>
    <x v="114"/>
    <x v="1"/>
    <s v="Petty Cash"/>
    <s v="FY2024-2025"/>
    <s v="Under review"/>
    <s v="Expense"/>
    <m/>
  </r>
  <r>
    <x v="122"/>
    <x v="1"/>
    <x v="6"/>
    <x v="9"/>
    <n v="169355"/>
    <n v="195933.87"/>
    <n v="-26578.87"/>
    <x v="115"/>
    <x v="1"/>
    <s v="Bank Transfer"/>
    <s v="FY2022-2023"/>
    <s v="Recurring"/>
    <s v="Expense"/>
    <m/>
  </r>
  <r>
    <x v="123"/>
    <x v="4"/>
    <x v="1"/>
    <x v="1"/>
    <n v="137124"/>
    <n v="141448.92000000001"/>
    <n v="-4324.92"/>
    <x v="94"/>
    <x v="0"/>
    <s v="Bank Transfer"/>
    <s v="FY2024-2025"/>
    <s v=""/>
    <s v="Expense"/>
    <m/>
  </r>
  <r>
    <x v="124"/>
    <x v="7"/>
    <x v="12"/>
    <x v="10"/>
    <n v="326044"/>
    <n v="276349.53999999998"/>
    <n v="49694.46"/>
    <x v="89"/>
    <x v="1"/>
    <s v="Vendor Credit"/>
    <s v="FY2023-2024"/>
    <s v=""/>
    <s v="Expense"/>
    <m/>
  </r>
  <r>
    <x v="125"/>
    <x v="3"/>
    <x v="11"/>
    <x v="3"/>
    <n v="488286"/>
    <n v="445059.53"/>
    <n v="43226.47"/>
    <x v="116"/>
    <x v="0"/>
    <s v="Credit Card"/>
    <s v="FY2022-2023"/>
    <s v="Duplicate entry"/>
    <s v="Expense"/>
    <s v="Flag: High-Value Pending"/>
  </r>
  <r>
    <x v="126"/>
    <x v="2"/>
    <x v="3"/>
    <x v="0"/>
    <n v="249928"/>
    <n v="252956.29"/>
    <n v="-3028.29"/>
    <x v="117"/>
    <x v="1"/>
    <s v="Petty Cash"/>
    <s v="FY2024-2025"/>
    <s v=""/>
    <s v="Expense"/>
    <m/>
  </r>
  <r>
    <x v="127"/>
    <x v="3"/>
    <x v="5"/>
    <x v="0"/>
    <n v="380262"/>
    <n v="429276.79"/>
    <n v="-49014.79"/>
    <x v="42"/>
    <x v="1"/>
    <s v="Credit Card"/>
    <s v="FY2024-2025"/>
    <s v=""/>
    <s v="Expense"/>
    <m/>
  </r>
  <r>
    <x v="128"/>
    <x v="0"/>
    <x v="0"/>
    <x v="1"/>
    <n v="497608"/>
    <n v="610444.68999999994"/>
    <n v="-112836.69"/>
    <x v="118"/>
    <x v="2"/>
    <s v="Vendor Credit"/>
    <s v="FY2024-2025"/>
    <s v=""/>
    <s v="Expense"/>
    <s v="Flag: High-Value Pending"/>
  </r>
  <r>
    <x v="129"/>
    <x v="7"/>
    <x v="6"/>
    <x v="14"/>
    <n v="132369"/>
    <n v="155770.21"/>
    <n v="-23401.21"/>
    <x v="119"/>
    <x v="1"/>
    <s v="Vendor Credit"/>
    <s v="FY2024-2025"/>
    <s v="One-time"/>
    <s v="Expense"/>
    <m/>
  </r>
  <r>
    <x v="130"/>
    <x v="1"/>
    <x v="0"/>
    <x v="0"/>
    <n v="113120"/>
    <n v="128850.06"/>
    <n v="-15730.06"/>
    <x v="120"/>
    <x v="1"/>
    <s v="Credit Card"/>
    <s v="FY2024-2025"/>
    <s v=""/>
    <s v="Expense"/>
    <m/>
  </r>
  <r>
    <x v="131"/>
    <x v="3"/>
    <x v="8"/>
    <x v="14"/>
    <n v="339860"/>
    <n v="388536.49"/>
    <n v="-48676.49"/>
    <x v="121"/>
    <x v="1"/>
    <s v="Vendor Credit"/>
    <s v="FY2024-2025"/>
    <s v=""/>
    <s v="Expense"/>
    <m/>
  </r>
  <r>
    <x v="132"/>
    <x v="5"/>
    <x v="10"/>
    <x v="15"/>
    <n v="51429"/>
    <n v="53477.37"/>
    <n v="-2048.37"/>
    <x v="122"/>
    <x v="1"/>
    <s v="Bank Transfer"/>
    <s v="FY2024-2025"/>
    <s v="One-time"/>
    <s v="Expense"/>
    <m/>
  </r>
  <r>
    <x v="133"/>
    <x v="3"/>
    <x v="2"/>
    <x v="12"/>
    <n v="115872"/>
    <n v="115147.65"/>
    <n v="724.35"/>
    <x v="123"/>
    <x v="1"/>
    <s v="Petty Cash"/>
    <s v="FY2024-2025"/>
    <s v=""/>
    <s v="Expense"/>
    <m/>
  </r>
  <r>
    <x v="134"/>
    <x v="2"/>
    <x v="1"/>
    <x v="15"/>
    <n v="365187"/>
    <n v="331945.39"/>
    <n v="33241.61"/>
    <x v="124"/>
    <x v="1"/>
    <s v="Bank Transfer"/>
    <s v="FY2024-2025"/>
    <s v="Recurring"/>
    <s v="Expense"/>
    <m/>
  </r>
  <r>
    <x v="135"/>
    <x v="7"/>
    <x v="6"/>
    <x v="0"/>
    <n v="171763"/>
    <n v="214301.63"/>
    <n v="-42538.63"/>
    <x v="125"/>
    <x v="1"/>
    <s v="Petty Cash"/>
    <s v="FY2024-2025"/>
    <s v="Urgent"/>
    <s v="Expense"/>
    <m/>
  </r>
  <r>
    <x v="136"/>
    <x v="3"/>
    <x v="6"/>
    <x v="4"/>
    <n v="348146"/>
    <n v="280719.95"/>
    <n v="67426.05"/>
    <x v="126"/>
    <x v="1"/>
    <s v="Vendor Credit"/>
    <s v="FY2023-2024"/>
    <s v=""/>
    <s v="Expense"/>
    <m/>
  </r>
  <r>
    <x v="137"/>
    <x v="5"/>
    <x v="9"/>
    <x v="4"/>
    <n v="480801"/>
    <n v="468031.05"/>
    <n v="12769.95"/>
    <x v="127"/>
    <x v="1"/>
    <s v="Credit Card"/>
    <s v="FY2023-2024"/>
    <s v=""/>
    <s v="Expense"/>
    <m/>
  </r>
  <r>
    <x v="138"/>
    <x v="7"/>
    <x v="1"/>
    <x v="4"/>
    <n v="428532"/>
    <n v="371172.94"/>
    <n v="57359.06"/>
    <x v="128"/>
    <x v="1"/>
    <s v="Petty Cash"/>
    <s v="FY2024-2025"/>
    <s v="Duplicate entry"/>
    <s v="Expense"/>
    <m/>
  </r>
  <r>
    <x v="139"/>
    <x v="3"/>
    <x v="6"/>
    <x v="4"/>
    <n v="27222"/>
    <n v="29959.3"/>
    <n v="-2737.3"/>
    <x v="129"/>
    <x v="0"/>
    <s v="Credit Card"/>
    <s v="FY2024-2025"/>
    <s v=""/>
    <s v="Expense"/>
    <m/>
  </r>
  <r>
    <x v="140"/>
    <x v="0"/>
    <x v="10"/>
    <x v="9"/>
    <n v="242230"/>
    <n v="281806.86"/>
    <n v="-39576.86"/>
    <x v="130"/>
    <x v="1"/>
    <s v="Petty Cash"/>
    <s v="FY2023-2024"/>
    <s v=""/>
    <s v="Expense"/>
    <m/>
  </r>
  <r>
    <x v="141"/>
    <x v="3"/>
    <x v="6"/>
    <x v="4"/>
    <n v="392038"/>
    <n v="455114.05"/>
    <n v="-63076.05"/>
    <x v="131"/>
    <x v="0"/>
    <s v="Petty Cash"/>
    <s v="FY2023-2024"/>
    <s v="Under review"/>
    <s v="Expense"/>
    <s v="Flag: High-Value Pending"/>
  </r>
  <r>
    <x v="142"/>
    <x v="1"/>
    <x v="2"/>
    <x v="10"/>
    <n v="410556"/>
    <n v="369988.01"/>
    <n v="40567.99"/>
    <x v="132"/>
    <x v="1"/>
    <s v="Petty Cash"/>
    <s v="FY2024-2025"/>
    <s v=""/>
    <s v="Expense"/>
    <m/>
  </r>
  <r>
    <x v="143"/>
    <x v="6"/>
    <x v="2"/>
    <x v="1"/>
    <n v="316670"/>
    <n v="330471.40999999997"/>
    <n v="-13801.41"/>
    <x v="133"/>
    <x v="1"/>
    <s v="Credit Card"/>
    <s v="FY2024-2025"/>
    <s v="Recurring"/>
    <s v="Expense"/>
    <m/>
  </r>
  <r>
    <x v="144"/>
    <x v="7"/>
    <x v="11"/>
    <x v="7"/>
    <n v="160486"/>
    <n v="139737.38"/>
    <n v="20748.62"/>
    <x v="134"/>
    <x v="0"/>
    <s v="Vendor Credit"/>
    <s v="FY2023-2024"/>
    <s v=""/>
    <s v="Expense"/>
    <m/>
  </r>
  <r>
    <x v="145"/>
    <x v="6"/>
    <x v="2"/>
    <x v="15"/>
    <n v="109864"/>
    <n v="96347.03"/>
    <n v="13516.97"/>
    <x v="135"/>
    <x v="1"/>
    <s v="Bank Transfer"/>
    <s v="FY2024-2025"/>
    <s v=""/>
    <s v="Expense"/>
    <m/>
  </r>
  <r>
    <x v="146"/>
    <x v="6"/>
    <x v="6"/>
    <x v="0"/>
    <n v="61031"/>
    <n v="71993.47"/>
    <n v="-10962.47"/>
    <x v="136"/>
    <x v="1"/>
    <s v="Credit Card"/>
    <s v="FY2023-2024"/>
    <s v="Duplicate entry"/>
    <s v="Expense"/>
    <m/>
  </r>
  <r>
    <x v="147"/>
    <x v="2"/>
    <x v="8"/>
    <x v="3"/>
    <n v="464497"/>
    <n v="444903.98"/>
    <n v="19593.02"/>
    <x v="137"/>
    <x v="1"/>
    <s v="Vendor Credit"/>
    <s v="FY2023-2024"/>
    <s v=""/>
    <s v="Expense"/>
    <m/>
  </r>
  <r>
    <x v="148"/>
    <x v="4"/>
    <x v="3"/>
    <x v="13"/>
    <n v="422084"/>
    <m/>
    <n v="-106956.09"/>
    <x v="2"/>
    <x v="1"/>
    <s v="Petty Cash"/>
    <s v="FY2023-2024"/>
    <s v=""/>
    <s v="Expense"/>
    <m/>
  </r>
  <r>
    <x v="149"/>
    <x v="5"/>
    <x v="6"/>
    <x v="9"/>
    <n v="477890"/>
    <n v="544686.32999999996"/>
    <n v="-66796.33"/>
    <x v="138"/>
    <x v="1"/>
    <s v="Petty Cash"/>
    <s v="FY2024-2025"/>
    <s v="One-time"/>
    <s v="Expense"/>
    <m/>
  </r>
  <r>
    <x v="150"/>
    <x v="0"/>
    <x v="9"/>
    <x v="15"/>
    <n v="337982"/>
    <n v="423284.97"/>
    <n v="-85302.97"/>
    <x v="139"/>
    <x v="1"/>
    <s v="Petty Cash"/>
    <s v="FY2024-2025"/>
    <s v=""/>
    <s v="Expense"/>
    <m/>
  </r>
  <r>
    <x v="151"/>
    <x v="6"/>
    <x v="12"/>
    <x v="7"/>
    <n v="454577"/>
    <n v="580311.71"/>
    <n v="-125734.71"/>
    <x v="140"/>
    <x v="1"/>
    <s v="Petty Cash"/>
    <s v="FY2023-2024"/>
    <s v=""/>
    <s v="Expense"/>
    <m/>
  </r>
  <r>
    <x v="152"/>
    <x v="0"/>
    <x v="6"/>
    <x v="13"/>
    <n v="226756"/>
    <n v="211964.68"/>
    <n v="14791.32"/>
    <x v="141"/>
    <x v="1"/>
    <s v="Credit Card"/>
    <s v="FY2024-2025"/>
    <s v=""/>
    <s v="Expense"/>
    <m/>
  </r>
  <r>
    <x v="153"/>
    <x v="7"/>
    <x v="2"/>
    <x v="8"/>
    <n v="244563"/>
    <n v="224303.12"/>
    <n v="20259.88"/>
    <x v="21"/>
    <x v="1"/>
    <s v="Petty Cash"/>
    <s v="FY2023-2024"/>
    <s v="Duplicate entry"/>
    <s v="Expense"/>
    <m/>
  </r>
  <r>
    <x v="154"/>
    <x v="1"/>
    <x v="7"/>
    <x v="7"/>
    <n v="349024"/>
    <n v="295827.33"/>
    <n v="53196.67"/>
    <x v="142"/>
    <x v="1"/>
    <s v="Petty Cash"/>
    <s v="FY2024-2025"/>
    <s v="Duplicate entry"/>
    <s v="Expense"/>
    <m/>
  </r>
  <r>
    <x v="155"/>
    <x v="4"/>
    <x v="0"/>
    <x v="14"/>
    <n v="39030"/>
    <n v="46367.88"/>
    <n v="-7337.88"/>
    <x v="143"/>
    <x v="1"/>
    <s v="Credit Card"/>
    <s v="FY2023-2024"/>
    <s v="One-time"/>
    <s v="Expense"/>
    <m/>
  </r>
  <r>
    <x v="156"/>
    <x v="4"/>
    <x v="3"/>
    <x v="1"/>
    <n v="42427"/>
    <n v="43196.66"/>
    <n v="-769.66"/>
    <x v="144"/>
    <x v="2"/>
    <s v="Credit Card"/>
    <s v="FY2023-2024"/>
    <s v=""/>
    <s v="Expense"/>
    <m/>
  </r>
  <r>
    <x v="157"/>
    <x v="3"/>
    <x v="8"/>
    <x v="0"/>
    <n v="176689"/>
    <n v="163052.01999999999"/>
    <n v="13636.98"/>
    <x v="145"/>
    <x v="1"/>
    <s v="Petty Cash"/>
    <s v="FY2024-2025"/>
    <s v="Recurring"/>
    <s v="Expense"/>
    <m/>
  </r>
  <r>
    <x v="158"/>
    <x v="6"/>
    <x v="9"/>
    <x v="1"/>
    <n v="83678"/>
    <n v="69242.31"/>
    <n v="14435.69"/>
    <x v="146"/>
    <x v="1"/>
    <s v="Credit Card"/>
    <s v="FY2022-2023"/>
    <s v=""/>
    <s v="Expense"/>
    <m/>
  </r>
  <r>
    <x v="159"/>
    <x v="4"/>
    <x v="8"/>
    <x v="2"/>
    <n v="-457910"/>
    <n v="396108.52"/>
    <n v="61801.48"/>
    <x v="147"/>
    <x v="0"/>
    <s v="Petty Cash"/>
    <s v="FY2024-2025"/>
    <s v=""/>
    <s v="Credit/Refund"/>
    <m/>
  </r>
  <r>
    <x v="160"/>
    <x v="7"/>
    <x v="10"/>
    <x v="6"/>
    <n v="153180"/>
    <n v="192658"/>
    <n v="-39478"/>
    <x v="30"/>
    <x v="2"/>
    <s v="Vendor Credit"/>
    <s v="FY2023-2024"/>
    <s v="Urgent"/>
    <s v="Expense"/>
    <m/>
  </r>
  <r>
    <x v="161"/>
    <x v="1"/>
    <x v="7"/>
    <x v="0"/>
    <n v="488021"/>
    <n v="444651.21"/>
    <n v="43369.79"/>
    <x v="148"/>
    <x v="1"/>
    <s v="Bank Transfer"/>
    <s v="FY2023-2024"/>
    <s v="Duplicate entry"/>
    <s v="Expense"/>
    <m/>
  </r>
  <r>
    <x v="162"/>
    <x v="1"/>
    <x v="0"/>
    <x v="10"/>
    <n v="-200949"/>
    <n v="190209.9"/>
    <n v="10739.1"/>
    <x v="149"/>
    <x v="1"/>
    <s v="Bank Transfer"/>
    <s v="FY2023-2024"/>
    <s v="Under review"/>
    <s v="Credit/Refund"/>
    <m/>
  </r>
  <r>
    <x v="163"/>
    <x v="7"/>
    <x v="7"/>
    <x v="8"/>
    <n v="145470"/>
    <n v="180539.45"/>
    <n v="-35069.449999999997"/>
    <x v="150"/>
    <x v="2"/>
    <s v="Bank Transfer"/>
    <s v="FY2024-2025"/>
    <s v=""/>
    <s v="Expense"/>
    <m/>
  </r>
  <r>
    <x v="164"/>
    <x v="0"/>
    <x v="11"/>
    <x v="7"/>
    <n v="240723"/>
    <n v="257329.16"/>
    <n v="-16606.16"/>
    <x v="37"/>
    <x v="1"/>
    <s v="Credit Card"/>
    <s v="FY2024-2025"/>
    <s v=""/>
    <s v="Expense"/>
    <m/>
  </r>
  <r>
    <x v="165"/>
    <x v="2"/>
    <x v="11"/>
    <x v="8"/>
    <n v="446250"/>
    <n v="566865.56000000006"/>
    <n v="-120615.56"/>
    <x v="151"/>
    <x v="2"/>
    <s v="Bank Transfer"/>
    <s v="FY2024-2025"/>
    <s v=""/>
    <s v="Expense"/>
    <s v="Flag: High-Value Pending"/>
  </r>
  <r>
    <x v="166"/>
    <x v="2"/>
    <x v="0"/>
    <x v="14"/>
    <n v="166850"/>
    <n v="169233.68"/>
    <n v="-2383.6799999999998"/>
    <x v="152"/>
    <x v="1"/>
    <s v="Credit Card"/>
    <s v="FY2024-2025"/>
    <s v="One-time"/>
    <s v="Expense"/>
    <m/>
  </r>
  <r>
    <x v="167"/>
    <x v="2"/>
    <x v="4"/>
    <x v="2"/>
    <n v="196494"/>
    <n v="177665.33"/>
    <n v="18828.669999999998"/>
    <x v="60"/>
    <x v="0"/>
    <s v="Petty Cash"/>
    <s v="FY2024-2025"/>
    <s v="Duplicate entry"/>
    <s v="Expense"/>
    <m/>
  </r>
  <r>
    <x v="168"/>
    <x v="7"/>
    <x v="6"/>
    <x v="10"/>
    <n v="408520"/>
    <n v="396403.55"/>
    <n v="12116.45"/>
    <x v="153"/>
    <x v="0"/>
    <s v="Credit Card"/>
    <s v="FY2023-2024"/>
    <s v="One-time"/>
    <s v="Expense"/>
    <s v="Flag: High-Value Pending"/>
  </r>
  <r>
    <x v="169"/>
    <x v="2"/>
    <x v="5"/>
    <x v="10"/>
    <n v="421940"/>
    <n v="481074.03"/>
    <n v="-59134.03"/>
    <x v="92"/>
    <x v="1"/>
    <s v="Vendor Credit"/>
    <s v="FY2023-2024"/>
    <s v="Recurring"/>
    <s v="Expense"/>
    <m/>
  </r>
  <r>
    <x v="170"/>
    <x v="2"/>
    <x v="7"/>
    <x v="0"/>
    <n v="216958"/>
    <n v="200250.56"/>
    <n v="16707.439999999999"/>
    <x v="154"/>
    <x v="2"/>
    <s v="Bank Transfer"/>
    <s v="FY2022-2023"/>
    <s v=""/>
    <s v="Expense"/>
    <s v="Flag: High-Value Pending"/>
  </r>
  <r>
    <x v="171"/>
    <x v="7"/>
    <x v="3"/>
    <x v="3"/>
    <n v="-415686"/>
    <m/>
    <n v="-120435.6"/>
    <x v="155"/>
    <x v="1"/>
    <s v="Petty Cash"/>
    <s v="FY2023-2024"/>
    <s v="Duplicate entry"/>
    <s v="Credit/Refund"/>
    <m/>
  </r>
  <r>
    <x v="172"/>
    <x v="5"/>
    <x v="2"/>
    <x v="12"/>
    <n v="184393"/>
    <n v="177852.39"/>
    <n v="6540.61"/>
    <x v="156"/>
    <x v="2"/>
    <s v="Petty Cash"/>
    <s v="FY2023-2024"/>
    <s v="Urgent"/>
    <s v="Expense"/>
    <m/>
  </r>
  <r>
    <x v="173"/>
    <x v="6"/>
    <x v="10"/>
    <x v="9"/>
    <n v="179590"/>
    <n v="150858.98000000001"/>
    <n v="28731.02"/>
    <x v="157"/>
    <x v="1"/>
    <s v="Bank Transfer"/>
    <s v="FY2023-2024"/>
    <s v="Under review"/>
    <s v="Expense"/>
    <m/>
  </r>
  <r>
    <x v="174"/>
    <x v="2"/>
    <x v="2"/>
    <x v="11"/>
    <n v="273756"/>
    <n v="346697.43"/>
    <n v="-72941.429999999993"/>
    <x v="158"/>
    <x v="1"/>
    <s v="Bank Transfer"/>
    <s v="FY2022-2023"/>
    <s v="Duplicate entry"/>
    <s v="Expense"/>
    <m/>
  </r>
  <r>
    <x v="175"/>
    <x v="1"/>
    <x v="11"/>
    <x v="3"/>
    <n v="198526"/>
    <m/>
    <n v="-637.71"/>
    <x v="159"/>
    <x v="1"/>
    <s v="Petty Cash"/>
    <s v="FY2023-2024"/>
    <s v="Duplicate entry"/>
    <s v="Expense"/>
    <m/>
  </r>
  <r>
    <x v="176"/>
    <x v="4"/>
    <x v="9"/>
    <x v="13"/>
    <n v="122121"/>
    <n v="133734.62"/>
    <n v="-11613.62"/>
    <x v="160"/>
    <x v="1"/>
    <s v="Credit Card"/>
    <s v="FY2024-2025"/>
    <s v="One-time"/>
    <s v="Expense"/>
    <m/>
  </r>
  <r>
    <x v="177"/>
    <x v="6"/>
    <x v="11"/>
    <x v="7"/>
    <n v="269682"/>
    <n v="285890.94"/>
    <n v="-16208.94"/>
    <x v="90"/>
    <x v="1"/>
    <s v="Bank Transfer"/>
    <s v="FY2023-2024"/>
    <s v=""/>
    <s v="Expense"/>
    <m/>
  </r>
  <r>
    <x v="178"/>
    <x v="3"/>
    <x v="8"/>
    <x v="4"/>
    <n v="231321"/>
    <n v="266216.59000000003"/>
    <n v="-34895.589999999997"/>
    <x v="161"/>
    <x v="1"/>
    <s v="Vendor Credit"/>
    <s v="FY2023-2024"/>
    <s v=""/>
    <s v="Expense"/>
    <m/>
  </r>
  <r>
    <x v="179"/>
    <x v="4"/>
    <x v="5"/>
    <x v="0"/>
    <n v="140762"/>
    <n v="149735.54999999999"/>
    <n v="-8973.5499999999993"/>
    <x v="86"/>
    <x v="0"/>
    <s v="Vendor Credit"/>
    <s v="FY2024-2025"/>
    <s v=""/>
    <s v="Expense"/>
    <m/>
  </r>
  <r>
    <x v="180"/>
    <x v="2"/>
    <x v="4"/>
    <x v="0"/>
    <n v="28743"/>
    <n v="37250.660000000003"/>
    <n v="-8507.66"/>
    <x v="87"/>
    <x v="2"/>
    <s v="Petty Cash"/>
    <s v="FY2023-2024"/>
    <s v="Under review"/>
    <s v="Expense"/>
    <m/>
  </r>
  <r>
    <x v="181"/>
    <x v="2"/>
    <x v="7"/>
    <x v="14"/>
    <n v="100219"/>
    <n v="105905.2"/>
    <n v="-5686.2"/>
    <x v="162"/>
    <x v="1"/>
    <s v="Credit Card"/>
    <s v="FY2023-2024"/>
    <s v="Under review"/>
    <s v="Expense"/>
    <m/>
  </r>
  <r>
    <x v="182"/>
    <x v="4"/>
    <x v="3"/>
    <x v="11"/>
    <n v="84007"/>
    <n v="85989.72"/>
    <n v="-1982.72"/>
    <x v="163"/>
    <x v="1"/>
    <s v="Vendor Credit"/>
    <s v="FY2023-2024"/>
    <s v=""/>
    <s v="Expense"/>
    <m/>
  </r>
  <r>
    <x v="183"/>
    <x v="1"/>
    <x v="6"/>
    <x v="11"/>
    <n v="154564"/>
    <n v="152945.44"/>
    <n v="1618.56"/>
    <x v="159"/>
    <x v="2"/>
    <s v="Bank Transfer"/>
    <s v="FY2023-2024"/>
    <s v=""/>
    <s v="Expense"/>
    <m/>
  </r>
  <r>
    <x v="184"/>
    <x v="7"/>
    <x v="11"/>
    <x v="2"/>
    <n v="263639"/>
    <n v="307345.42"/>
    <n v="-43706.42"/>
    <x v="164"/>
    <x v="1"/>
    <s v="Credit Card"/>
    <s v="FY2024-2025"/>
    <s v=""/>
    <s v="Expense"/>
    <m/>
  </r>
  <r>
    <x v="185"/>
    <x v="3"/>
    <x v="6"/>
    <x v="1"/>
    <n v="179272"/>
    <n v="163363.64000000001"/>
    <n v="15908.36"/>
    <x v="165"/>
    <x v="1"/>
    <s v="Vendor Credit"/>
    <s v="FY2024-2025"/>
    <s v="Under review"/>
    <s v="Expense"/>
    <m/>
  </r>
  <r>
    <x v="186"/>
    <x v="3"/>
    <x v="6"/>
    <x v="11"/>
    <n v="163804"/>
    <n v="169256.65"/>
    <n v="-5452.65"/>
    <x v="166"/>
    <x v="0"/>
    <s v="Credit Card"/>
    <s v="FY2023-2024"/>
    <s v="Urgent"/>
    <s v="Expense"/>
    <m/>
  </r>
  <r>
    <x v="187"/>
    <x v="6"/>
    <x v="3"/>
    <x v="12"/>
    <n v="464663"/>
    <n v="446327.43"/>
    <n v="18335.57"/>
    <x v="167"/>
    <x v="1"/>
    <s v="Petty Cash"/>
    <s v="FY2023-2024"/>
    <s v=""/>
    <s v="Expense"/>
    <m/>
  </r>
  <r>
    <x v="188"/>
    <x v="1"/>
    <x v="3"/>
    <x v="3"/>
    <n v="108818"/>
    <n v="96064.58"/>
    <n v="12753.42"/>
    <x v="168"/>
    <x v="1"/>
    <s v="Bank Transfer"/>
    <s v="FY2023-2024"/>
    <s v=""/>
    <s v="Expense"/>
    <m/>
  </r>
  <r>
    <x v="189"/>
    <x v="1"/>
    <x v="2"/>
    <x v="5"/>
    <n v="209841"/>
    <n v="267667.65000000002"/>
    <n v="-57826.65"/>
    <x v="169"/>
    <x v="1"/>
    <s v="Credit Card"/>
    <s v="FY2024-2025"/>
    <s v="One-time"/>
    <s v="Expense"/>
    <m/>
  </r>
  <r>
    <x v="190"/>
    <x v="6"/>
    <x v="10"/>
    <x v="5"/>
    <n v="403040"/>
    <n v="409228.69"/>
    <n v="-6188.69"/>
    <x v="140"/>
    <x v="1"/>
    <s v="Vendor Credit"/>
    <s v="FY2023-2024"/>
    <s v=""/>
    <s v="Expense"/>
    <m/>
  </r>
  <r>
    <x v="191"/>
    <x v="2"/>
    <x v="10"/>
    <x v="1"/>
    <n v="391100"/>
    <n v="435730.43"/>
    <n v="-44630.43"/>
    <x v="170"/>
    <x v="0"/>
    <s v="Petty Cash"/>
    <s v="FY2024-2025"/>
    <s v="Urgent"/>
    <s v="Expense"/>
    <s v="Flag: High-Value Pending"/>
  </r>
  <r>
    <x v="192"/>
    <x v="3"/>
    <x v="9"/>
    <x v="10"/>
    <n v="218566"/>
    <n v="184113.08"/>
    <n v="34452.92"/>
    <x v="171"/>
    <x v="0"/>
    <s v="Bank Transfer"/>
    <s v="FY2024-2025"/>
    <s v="Duplicate entry"/>
    <s v="Expense"/>
    <s v="Flag: High-Value Pending"/>
  </r>
  <r>
    <x v="193"/>
    <x v="1"/>
    <x v="11"/>
    <x v="0"/>
    <n v="256504"/>
    <n v="211732.84"/>
    <n v="44771.16"/>
    <x v="145"/>
    <x v="1"/>
    <s v="Credit Card"/>
    <s v="FY2024-2025"/>
    <s v="One-time"/>
    <s v="Expense"/>
    <m/>
  </r>
  <r>
    <x v="194"/>
    <x v="4"/>
    <x v="3"/>
    <x v="6"/>
    <n v="62023"/>
    <n v="63121.35"/>
    <n v="-1098.3499999999999"/>
    <x v="61"/>
    <x v="0"/>
    <s v="Petty Cash"/>
    <s v="FY2024-2025"/>
    <s v=""/>
    <s v="Expense"/>
    <m/>
  </r>
  <r>
    <x v="195"/>
    <x v="2"/>
    <x v="2"/>
    <x v="9"/>
    <n v="402315"/>
    <n v="503453.96"/>
    <n v="-101138.96"/>
    <x v="172"/>
    <x v="1"/>
    <s v="Vendor Credit"/>
    <s v="FY2022-2023"/>
    <s v=""/>
    <s v="Expense"/>
    <m/>
  </r>
  <r>
    <x v="196"/>
    <x v="4"/>
    <x v="10"/>
    <x v="11"/>
    <n v="190234"/>
    <n v="195022.49"/>
    <n v="-4788.49"/>
    <x v="173"/>
    <x v="1"/>
    <s v="Vendor Credit"/>
    <s v="FY2023-2024"/>
    <s v="One-time"/>
    <s v="Expense"/>
    <m/>
  </r>
  <r>
    <x v="197"/>
    <x v="5"/>
    <x v="6"/>
    <x v="9"/>
    <n v="430666"/>
    <n v="491719.94"/>
    <n v="-61053.94"/>
    <x v="81"/>
    <x v="1"/>
    <s v="Bank Transfer"/>
    <s v="FY2023-2024"/>
    <s v="Recurring"/>
    <s v="Expense"/>
    <m/>
  </r>
  <r>
    <x v="198"/>
    <x v="3"/>
    <x v="3"/>
    <x v="2"/>
    <n v="426807"/>
    <n v="517878.65"/>
    <n v="-91071.65"/>
    <x v="174"/>
    <x v="1"/>
    <s v="Petty Cash"/>
    <s v="FY2023-2024"/>
    <s v="Recurring"/>
    <s v="Expense"/>
    <m/>
  </r>
  <r>
    <x v="199"/>
    <x v="4"/>
    <x v="4"/>
    <x v="10"/>
    <n v="81607"/>
    <n v="88342.07"/>
    <n v="-6735.07"/>
    <x v="6"/>
    <x v="1"/>
    <s v="Bank Transfer"/>
    <s v="FY2023-2024"/>
    <s v="Recurring"/>
    <s v="Expense"/>
    <m/>
  </r>
  <r>
    <x v="200"/>
    <x v="4"/>
    <x v="2"/>
    <x v="7"/>
    <n v="-1506386"/>
    <n v="1551861.49"/>
    <n v="-45475.49"/>
    <x v="175"/>
    <x v="0"/>
    <s v="Credit Card"/>
    <s v="FY2024-2025"/>
    <s v="One-time"/>
    <s v="Credit/Refund"/>
    <m/>
  </r>
  <r>
    <x v="201"/>
    <x v="7"/>
    <x v="8"/>
    <x v="10"/>
    <n v="163855"/>
    <n v="132397.54"/>
    <n v="31457.46"/>
    <x v="112"/>
    <x v="1"/>
    <s v="Credit Card"/>
    <s v="FY2024-2025"/>
    <s v=""/>
    <s v="Expense"/>
    <m/>
  </r>
  <r>
    <x v="202"/>
    <x v="7"/>
    <x v="0"/>
    <x v="6"/>
    <n v="369117"/>
    <n v="446534.05"/>
    <n v="-77417.05"/>
    <x v="176"/>
    <x v="1"/>
    <s v="Petty Cash"/>
    <s v="FY2023-2024"/>
    <s v="Under review"/>
    <s v="Expense"/>
    <m/>
  </r>
  <r>
    <x v="203"/>
    <x v="3"/>
    <x v="7"/>
    <x v="8"/>
    <n v="7963"/>
    <n v="7018.02"/>
    <n v="944.98"/>
    <x v="104"/>
    <x v="1"/>
    <s v="Bank Transfer"/>
    <s v="FY2022-2023"/>
    <s v="One-time"/>
    <s v="Expense"/>
    <m/>
  </r>
  <r>
    <x v="204"/>
    <x v="4"/>
    <x v="4"/>
    <x v="13"/>
    <n v="188886"/>
    <n v="226410.36"/>
    <n v="-37524.36"/>
    <x v="177"/>
    <x v="1"/>
    <s v="Vendor Credit"/>
    <s v="FY2023-2024"/>
    <s v="Under review"/>
    <s v="Expense"/>
    <m/>
  </r>
  <r>
    <x v="205"/>
    <x v="2"/>
    <x v="4"/>
    <x v="3"/>
    <n v="276595"/>
    <n v="268972.81"/>
    <n v="7622.19"/>
    <x v="178"/>
    <x v="1"/>
    <s v="Vendor Credit"/>
    <s v="FY2024-2025"/>
    <s v=""/>
    <s v="Expense"/>
    <m/>
  </r>
  <r>
    <x v="206"/>
    <x v="2"/>
    <x v="2"/>
    <x v="9"/>
    <n v="44240"/>
    <n v="52340.94"/>
    <n v="-8100.94"/>
    <x v="179"/>
    <x v="1"/>
    <s v="Bank Transfer"/>
    <s v="FY2023-2024"/>
    <s v="Urgent"/>
    <s v="Expense"/>
    <m/>
  </r>
  <r>
    <x v="207"/>
    <x v="6"/>
    <x v="0"/>
    <x v="13"/>
    <n v="143366"/>
    <n v="181407.49"/>
    <n v="-38041.49"/>
    <x v="180"/>
    <x v="1"/>
    <s v="Bank Transfer"/>
    <s v="FY2024-2025"/>
    <s v="Duplicate entry"/>
    <s v="Expense"/>
    <m/>
  </r>
  <r>
    <x v="208"/>
    <x v="6"/>
    <x v="4"/>
    <x v="11"/>
    <n v="258034"/>
    <n v="224063.19"/>
    <n v="33970.81"/>
    <x v="95"/>
    <x v="1"/>
    <s v="Petty Cash"/>
    <s v="FY2023-2024"/>
    <s v="Urgent"/>
    <s v="Expense"/>
    <m/>
  </r>
  <r>
    <x v="209"/>
    <x v="5"/>
    <x v="6"/>
    <x v="0"/>
    <n v="281507"/>
    <n v="318929.33"/>
    <n v="-37422.33"/>
    <x v="181"/>
    <x v="1"/>
    <s v="Bank Transfer"/>
    <s v="FY2024-2025"/>
    <s v="Urgent"/>
    <s v="Expense"/>
    <m/>
  </r>
  <r>
    <x v="210"/>
    <x v="1"/>
    <x v="5"/>
    <x v="3"/>
    <n v="-39522"/>
    <n v="49554.94"/>
    <n v="-10032.94"/>
    <x v="182"/>
    <x v="1"/>
    <s v="Bank Transfer"/>
    <s v="FY2023-2024"/>
    <s v="Under review"/>
    <s v="Credit/Refund"/>
    <m/>
  </r>
  <r>
    <x v="211"/>
    <x v="1"/>
    <x v="6"/>
    <x v="0"/>
    <n v="331249"/>
    <n v="422562.5"/>
    <m/>
    <x v="183"/>
    <x v="1"/>
    <s v="Bank Transfer"/>
    <s v="FY2024-2025"/>
    <s v="One-time"/>
    <s v="Expense"/>
    <m/>
  </r>
  <r>
    <x v="212"/>
    <x v="6"/>
    <x v="3"/>
    <x v="5"/>
    <n v="393018"/>
    <n v="315468.99"/>
    <n v="77549.009999999995"/>
    <x v="184"/>
    <x v="2"/>
    <s v="Bank Transfer"/>
    <s v="FY2024-2025"/>
    <s v="Recurring"/>
    <s v="Expense"/>
    <s v="Flag: High-Value Pending"/>
  </r>
  <r>
    <x v="213"/>
    <x v="7"/>
    <x v="8"/>
    <x v="14"/>
    <n v="340412"/>
    <n v="417538.8"/>
    <n v="-77126.8"/>
    <x v="185"/>
    <x v="1"/>
    <s v="Vendor Credit"/>
    <s v="FY2023-2024"/>
    <s v=""/>
    <s v="Expense"/>
    <m/>
  </r>
  <r>
    <x v="214"/>
    <x v="5"/>
    <x v="0"/>
    <x v="4"/>
    <n v="81882"/>
    <n v="87003.26"/>
    <n v="-5121.26"/>
    <x v="186"/>
    <x v="0"/>
    <s v="Bank Transfer"/>
    <s v="FY2023-2024"/>
    <s v="Recurring"/>
    <s v="Expense"/>
    <m/>
  </r>
  <r>
    <x v="215"/>
    <x v="6"/>
    <x v="7"/>
    <x v="7"/>
    <n v="37534"/>
    <n v="31854.25"/>
    <n v="5679.75"/>
    <x v="187"/>
    <x v="1"/>
    <s v="Bank Transfer"/>
    <s v="FY2024-2025"/>
    <s v=""/>
    <s v="Expense"/>
    <m/>
  </r>
  <r>
    <x v="216"/>
    <x v="7"/>
    <x v="7"/>
    <x v="2"/>
    <n v="340834"/>
    <n v="280310.48"/>
    <n v="60523.519999999997"/>
    <x v="188"/>
    <x v="1"/>
    <s v="Petty Cash"/>
    <s v="FY2023-2024"/>
    <s v="Duplicate entry"/>
    <s v="Expense"/>
    <m/>
  </r>
  <r>
    <x v="217"/>
    <x v="1"/>
    <x v="10"/>
    <x v="4"/>
    <n v="392114"/>
    <n v="347030.43"/>
    <n v="45083.57"/>
    <x v="126"/>
    <x v="1"/>
    <s v="Bank Transfer"/>
    <s v="FY2023-2024"/>
    <s v="Under review"/>
    <s v="Expense"/>
    <m/>
  </r>
  <r>
    <x v="218"/>
    <x v="1"/>
    <x v="10"/>
    <x v="3"/>
    <n v="386213"/>
    <n v="442191.91"/>
    <n v="-55978.91"/>
    <x v="189"/>
    <x v="1"/>
    <s v="Vendor Credit"/>
    <s v="FY2024-2025"/>
    <s v=""/>
    <s v="Expense"/>
    <m/>
  </r>
  <r>
    <x v="219"/>
    <x v="6"/>
    <x v="2"/>
    <x v="9"/>
    <n v="27258"/>
    <n v="33695.97"/>
    <n v="-6437.97"/>
    <x v="190"/>
    <x v="1"/>
    <s v="Bank Transfer"/>
    <s v="FY2024-2025"/>
    <s v="Urgent"/>
    <s v="Expense"/>
    <m/>
  </r>
  <r>
    <x v="220"/>
    <x v="4"/>
    <x v="3"/>
    <x v="9"/>
    <n v="-248623"/>
    <m/>
    <n v="16498.91"/>
    <x v="191"/>
    <x v="0"/>
    <s v="Petty Cash"/>
    <s v="FY2024-2025"/>
    <s v=""/>
    <s v="Credit/Refund"/>
    <m/>
  </r>
  <r>
    <x v="221"/>
    <x v="6"/>
    <x v="0"/>
    <x v="6"/>
    <n v="234765"/>
    <n v="294259"/>
    <n v="-59494"/>
    <x v="192"/>
    <x v="1"/>
    <s v="Bank Transfer"/>
    <s v="FY2023-2024"/>
    <s v=""/>
    <s v="Expense"/>
    <m/>
  </r>
  <r>
    <x v="222"/>
    <x v="5"/>
    <x v="5"/>
    <x v="5"/>
    <n v="5961"/>
    <n v="7373.15"/>
    <n v="-1412.15"/>
    <x v="193"/>
    <x v="1"/>
    <s v="Credit Card"/>
    <s v="FY2023-2024"/>
    <s v="Urgent"/>
    <s v="Expense"/>
    <m/>
  </r>
  <r>
    <x v="223"/>
    <x v="1"/>
    <x v="9"/>
    <x v="11"/>
    <n v="18083"/>
    <n v="22154.68"/>
    <n v="-4071.68"/>
    <x v="194"/>
    <x v="1"/>
    <s v="Bank Transfer"/>
    <s v="FY2022-2023"/>
    <s v="Under review"/>
    <s v="Expense"/>
    <m/>
  </r>
  <r>
    <x v="224"/>
    <x v="4"/>
    <x v="9"/>
    <x v="7"/>
    <n v="4846353"/>
    <n v="6043271.75"/>
    <n v="-1196918.75"/>
    <x v="195"/>
    <x v="0"/>
    <s v="Vendor Credit"/>
    <s v="FY2023-2024"/>
    <s v="Under review"/>
    <s v="Expense"/>
    <s v="Flag: High-Value Pending"/>
  </r>
  <r>
    <x v="225"/>
    <x v="3"/>
    <x v="4"/>
    <x v="7"/>
    <n v="223641"/>
    <n v="216619.3"/>
    <n v="7021.7"/>
    <x v="196"/>
    <x v="1"/>
    <s v="Credit Card"/>
    <s v="FY2024-2025"/>
    <s v=""/>
    <s v="Expense"/>
    <m/>
  </r>
  <r>
    <x v="226"/>
    <x v="4"/>
    <x v="6"/>
    <x v="4"/>
    <n v="2943906"/>
    <n v="2847629.21"/>
    <m/>
    <x v="197"/>
    <x v="1"/>
    <s v="Petty Cash"/>
    <s v="FY2024-2025"/>
    <s v=""/>
    <s v="Expense"/>
    <m/>
  </r>
  <r>
    <x v="227"/>
    <x v="2"/>
    <x v="9"/>
    <x v="5"/>
    <n v="31886"/>
    <n v="37984.400000000001"/>
    <n v="-6098.4"/>
    <x v="25"/>
    <x v="1"/>
    <s v="Credit Card"/>
    <s v="FY2024-2025"/>
    <s v="Recurring"/>
    <s v="Expense"/>
    <m/>
  </r>
  <r>
    <x v="228"/>
    <x v="3"/>
    <x v="7"/>
    <x v="4"/>
    <n v="110565"/>
    <n v="101797.79"/>
    <n v="8767.2099999999991"/>
    <x v="198"/>
    <x v="0"/>
    <s v="Credit Card"/>
    <s v="FY2023-2024"/>
    <s v=""/>
    <s v="Expense"/>
    <m/>
  </r>
  <r>
    <x v="229"/>
    <x v="4"/>
    <x v="10"/>
    <x v="7"/>
    <n v="288172"/>
    <n v="300418.28999999998"/>
    <n v="-12246.29"/>
    <x v="199"/>
    <x v="2"/>
    <s v="Vendor Credit"/>
    <s v="FY2024-2025"/>
    <s v=""/>
    <s v="Expense"/>
    <s v="Flag: High-Value Pending"/>
  </r>
  <r>
    <x v="230"/>
    <x v="3"/>
    <x v="0"/>
    <x v="0"/>
    <n v="223300"/>
    <n v="227664.62"/>
    <n v="-4364.62"/>
    <x v="80"/>
    <x v="0"/>
    <s v="Vendor Credit"/>
    <s v="FY2024-2025"/>
    <s v="One-time"/>
    <s v="Expense"/>
    <s v="Flag: High-Value Pending"/>
  </r>
  <r>
    <x v="231"/>
    <x v="2"/>
    <x v="6"/>
    <x v="9"/>
    <n v="275337"/>
    <n v="306563.01"/>
    <n v="-31226.01"/>
    <x v="121"/>
    <x v="0"/>
    <s v="Petty Cash"/>
    <s v="FY2024-2025"/>
    <s v=""/>
    <s v="Expense"/>
    <s v="Flag: High-Value Pending"/>
  </r>
  <r>
    <x v="232"/>
    <x v="2"/>
    <x v="5"/>
    <x v="2"/>
    <n v="142075"/>
    <n v="149959.41"/>
    <n v="-7884.41"/>
    <x v="200"/>
    <x v="1"/>
    <s v="Credit Card"/>
    <s v="FY2023-2024"/>
    <s v="Under review"/>
    <s v="Expense"/>
    <m/>
  </r>
  <r>
    <x v="233"/>
    <x v="5"/>
    <x v="7"/>
    <x v="11"/>
    <n v="7472"/>
    <n v="6179.9"/>
    <n v="1292.0999999999999"/>
    <x v="201"/>
    <x v="1"/>
    <s v="Vendor Credit"/>
    <s v="FY2022-2023"/>
    <s v=""/>
    <s v="Expense"/>
    <m/>
  </r>
  <r>
    <x v="234"/>
    <x v="4"/>
    <x v="2"/>
    <x v="1"/>
    <n v="289678"/>
    <n v="371350.89"/>
    <n v="-81672.89"/>
    <x v="111"/>
    <x v="1"/>
    <s v="Petty Cash"/>
    <s v="FY2022-2023"/>
    <s v="Urgent"/>
    <s v="Expense"/>
    <m/>
  </r>
  <r>
    <x v="235"/>
    <x v="7"/>
    <x v="2"/>
    <x v="10"/>
    <n v="54775"/>
    <n v="66998.53"/>
    <n v="-12223.53"/>
    <x v="202"/>
    <x v="1"/>
    <s v="Vendor Credit"/>
    <s v="FY2023-2024"/>
    <s v="Duplicate entry"/>
    <s v="Expense"/>
    <m/>
  </r>
  <r>
    <x v="236"/>
    <x v="6"/>
    <x v="3"/>
    <x v="2"/>
    <n v="76843"/>
    <n v="97279.89"/>
    <n v="-20436.89"/>
    <x v="203"/>
    <x v="1"/>
    <s v="Vendor Credit"/>
    <s v="FY2023-2024"/>
    <s v=""/>
    <s v="Expense"/>
    <m/>
  </r>
  <r>
    <x v="237"/>
    <x v="5"/>
    <x v="1"/>
    <x v="0"/>
    <n v="357334"/>
    <n v="307538.07"/>
    <n v="49795.93"/>
    <x v="204"/>
    <x v="2"/>
    <s v="Vendor Credit"/>
    <s v="FY2023-2024"/>
    <s v="Recurring"/>
    <s v="Expense"/>
    <s v="Flag: High-Value Pending"/>
  </r>
  <r>
    <x v="238"/>
    <x v="6"/>
    <x v="2"/>
    <x v="5"/>
    <n v="187885"/>
    <n v="161463.51999999999"/>
    <n v="26421.48"/>
    <x v="137"/>
    <x v="0"/>
    <s v="Bank Transfer"/>
    <s v="FY2023-2024"/>
    <s v="Duplicate entry"/>
    <s v="Expense"/>
    <m/>
  </r>
  <r>
    <x v="239"/>
    <x v="4"/>
    <x v="3"/>
    <x v="0"/>
    <n v="382790"/>
    <n v="448577.44"/>
    <n v="-65787.44"/>
    <x v="130"/>
    <x v="1"/>
    <s v="Credit Card"/>
    <s v="FY2023-2024"/>
    <s v="Duplicate entry"/>
    <s v="Expense"/>
    <m/>
  </r>
  <r>
    <x v="240"/>
    <x v="3"/>
    <x v="6"/>
    <x v="14"/>
    <n v="76592"/>
    <m/>
    <n v="-21705.62"/>
    <x v="205"/>
    <x v="1"/>
    <s v="Petty Cash"/>
    <s v="FY2023-2024"/>
    <s v=""/>
    <s v="Expense"/>
    <m/>
  </r>
  <r>
    <x v="241"/>
    <x v="5"/>
    <x v="0"/>
    <x v="12"/>
    <n v="172736"/>
    <n v="212951.33"/>
    <n v="-40215.33"/>
    <x v="206"/>
    <x v="1"/>
    <s v="Credit Card"/>
    <s v="FY2023-2024"/>
    <s v=""/>
    <s v="Expense"/>
    <m/>
  </r>
  <r>
    <x v="242"/>
    <x v="7"/>
    <x v="1"/>
    <x v="15"/>
    <n v="66115"/>
    <n v="70988.100000000006"/>
    <n v="-4873.1000000000004"/>
    <x v="207"/>
    <x v="0"/>
    <s v="Petty Cash"/>
    <s v="FY2024-2025"/>
    <s v="Under review"/>
    <s v="Expense"/>
    <m/>
  </r>
  <r>
    <x v="243"/>
    <x v="5"/>
    <x v="5"/>
    <x v="3"/>
    <n v="151632"/>
    <n v="160166.51999999999"/>
    <n v="-8534.52"/>
    <x v="205"/>
    <x v="1"/>
    <s v="Bank Transfer"/>
    <s v="FY2023-2024"/>
    <s v=""/>
    <s v="Expense"/>
    <m/>
  </r>
  <r>
    <x v="244"/>
    <x v="4"/>
    <x v="0"/>
    <x v="11"/>
    <n v="412198"/>
    <n v="508251.82"/>
    <n v="-96053.82"/>
    <x v="208"/>
    <x v="1"/>
    <s v="Petty Cash"/>
    <s v="FY2022-2023"/>
    <s v=""/>
    <s v="Expense"/>
    <m/>
  </r>
  <r>
    <x v="245"/>
    <x v="7"/>
    <x v="6"/>
    <x v="12"/>
    <n v="52195"/>
    <n v="57318.27"/>
    <n v="-5123.2700000000004"/>
    <x v="209"/>
    <x v="1"/>
    <s v="Bank Transfer"/>
    <s v="FY2024-2025"/>
    <s v="Under review"/>
    <s v="Expense"/>
    <m/>
  </r>
  <r>
    <x v="246"/>
    <x v="3"/>
    <x v="9"/>
    <x v="4"/>
    <n v="48152"/>
    <n v="48056.14"/>
    <n v="95.86"/>
    <x v="210"/>
    <x v="0"/>
    <s v="Vendor Credit"/>
    <s v="FY2024-2025"/>
    <s v="Under review"/>
    <s v="Expense"/>
    <m/>
  </r>
  <r>
    <x v="247"/>
    <x v="5"/>
    <x v="3"/>
    <x v="13"/>
    <n v="16799"/>
    <n v="19123.79"/>
    <n v="-2324.79"/>
    <x v="74"/>
    <x v="1"/>
    <s v="Vendor Credit"/>
    <s v="FY2024-2025"/>
    <s v=""/>
    <s v="Expense"/>
    <m/>
  </r>
  <r>
    <x v="248"/>
    <x v="6"/>
    <x v="3"/>
    <x v="4"/>
    <n v="498331"/>
    <n v="590530.18999999994"/>
    <n v="-92199.19"/>
    <x v="211"/>
    <x v="0"/>
    <s v="Vendor Credit"/>
    <s v="FY2023-2024"/>
    <s v="One-time"/>
    <s v="Expense"/>
    <s v="Flag: High-Value Pending"/>
  </r>
  <r>
    <x v="249"/>
    <x v="6"/>
    <x v="8"/>
    <x v="2"/>
    <n v="331933"/>
    <n v="269005.58"/>
    <n v="62927.42"/>
    <x v="212"/>
    <x v="2"/>
    <s v="Bank Transfer"/>
    <s v="FY2023-2024"/>
    <s v="Duplicate entry"/>
    <s v="Expense"/>
    <s v="Flag: High-Value Pending"/>
  </r>
  <r>
    <x v="250"/>
    <x v="0"/>
    <x v="5"/>
    <x v="15"/>
    <n v="334513"/>
    <n v="429654.62"/>
    <n v="-95141.62"/>
    <x v="213"/>
    <x v="1"/>
    <s v="Vendor Credit"/>
    <s v="FY2022-2023"/>
    <s v=""/>
    <s v="Expense"/>
    <m/>
  </r>
  <r>
    <x v="251"/>
    <x v="4"/>
    <x v="1"/>
    <x v="4"/>
    <n v="267847"/>
    <n v="224402.4"/>
    <n v="43444.6"/>
    <x v="214"/>
    <x v="0"/>
    <s v="Petty Cash"/>
    <s v="FY2024-2025"/>
    <s v="Recurring"/>
    <s v="Expense"/>
    <s v="Flag: High-Value Pending"/>
  </r>
  <r>
    <x v="252"/>
    <x v="6"/>
    <x v="9"/>
    <x v="11"/>
    <n v="60387"/>
    <n v="77599.47"/>
    <n v="-17212.47"/>
    <x v="215"/>
    <x v="1"/>
    <s v="Vendor Credit"/>
    <s v="FY2022-2023"/>
    <s v="Urgent"/>
    <s v="Expense"/>
    <m/>
  </r>
  <r>
    <x v="253"/>
    <x v="4"/>
    <x v="12"/>
    <x v="1"/>
    <n v="175225"/>
    <n v="180530"/>
    <n v="-5305"/>
    <x v="207"/>
    <x v="1"/>
    <s v="Vendor Credit"/>
    <s v="FY2024-2025"/>
    <s v="One-time"/>
    <s v="Expense"/>
    <m/>
  </r>
  <r>
    <x v="254"/>
    <x v="2"/>
    <x v="9"/>
    <x v="6"/>
    <n v="341861"/>
    <n v="313537.26"/>
    <n v="28323.74"/>
    <x v="216"/>
    <x v="0"/>
    <s v="Credit Card"/>
    <s v="FY2023-2024"/>
    <s v="Recurring"/>
    <s v="Expense"/>
    <s v="Flag: High-Value Pending"/>
  </r>
  <r>
    <x v="255"/>
    <x v="7"/>
    <x v="1"/>
    <x v="3"/>
    <n v="39407"/>
    <n v="45445.79"/>
    <m/>
    <x v="213"/>
    <x v="0"/>
    <s v="Petty Cash"/>
    <s v="FY2022-2023"/>
    <s v=""/>
    <s v="Expense"/>
    <m/>
  </r>
  <r>
    <x v="256"/>
    <x v="1"/>
    <x v="6"/>
    <x v="10"/>
    <n v="89432"/>
    <n v="106809.32"/>
    <n v="-17377.32"/>
    <x v="217"/>
    <x v="1"/>
    <s v="Petty Cash"/>
    <s v="FY2023-2024"/>
    <s v=""/>
    <s v="Expense"/>
    <m/>
  </r>
  <r>
    <x v="257"/>
    <x v="3"/>
    <x v="12"/>
    <x v="8"/>
    <n v="263512"/>
    <n v="324627.93"/>
    <n v="-61115.93"/>
    <x v="218"/>
    <x v="2"/>
    <s v="Credit Card"/>
    <s v="FY2023-2024"/>
    <s v=""/>
    <s v="Expense"/>
    <s v="Flag: High-Value Pending"/>
  </r>
  <r>
    <x v="258"/>
    <x v="2"/>
    <x v="5"/>
    <x v="9"/>
    <n v="199679"/>
    <n v="200742.29"/>
    <n v="-1063.29"/>
    <x v="209"/>
    <x v="1"/>
    <s v="Petty Cash"/>
    <s v="FY2024-2025"/>
    <s v=""/>
    <s v="Expense"/>
    <m/>
  </r>
  <r>
    <x v="259"/>
    <x v="2"/>
    <x v="4"/>
    <x v="1"/>
    <n v="375444"/>
    <m/>
    <n v="42263.75"/>
    <x v="91"/>
    <x v="2"/>
    <s v="Petty Cash"/>
    <s v="FY2024-2025"/>
    <s v=""/>
    <s v="Expense"/>
    <s v="Flag: High-Value Pending"/>
  </r>
  <r>
    <x v="260"/>
    <x v="1"/>
    <x v="8"/>
    <x v="14"/>
    <n v="225874"/>
    <n v="240659.78"/>
    <n v="-14785.78"/>
    <x v="219"/>
    <x v="1"/>
    <s v="Bank Transfer"/>
    <s v="FY2022-2023"/>
    <s v="Under review"/>
    <s v="Expense"/>
    <m/>
  </r>
  <r>
    <x v="261"/>
    <x v="1"/>
    <x v="3"/>
    <x v="10"/>
    <n v="415441"/>
    <n v="402243.02"/>
    <n v="13197.98"/>
    <x v="59"/>
    <x v="1"/>
    <s v="Petty Cash"/>
    <s v="FY2022-2023"/>
    <s v="Duplicate entry"/>
    <s v="Expense"/>
    <m/>
  </r>
  <r>
    <x v="262"/>
    <x v="4"/>
    <x v="8"/>
    <x v="12"/>
    <n v="169992"/>
    <n v="217401.98"/>
    <n v="-47409.98"/>
    <x v="220"/>
    <x v="1"/>
    <s v="Bank Transfer"/>
    <s v="FY2024-2025"/>
    <s v="Duplicate entry"/>
    <s v="Expense"/>
    <m/>
  </r>
  <r>
    <x v="263"/>
    <x v="6"/>
    <x v="8"/>
    <x v="2"/>
    <n v="276210"/>
    <n v="336215.59"/>
    <n v="-60005.59"/>
    <x v="221"/>
    <x v="1"/>
    <s v="Credit Card"/>
    <s v="FY2024-2025"/>
    <s v="Urgent"/>
    <s v="Expense"/>
    <m/>
  </r>
  <r>
    <x v="264"/>
    <x v="5"/>
    <x v="3"/>
    <x v="1"/>
    <n v="8467"/>
    <n v="6825.29"/>
    <n v="1641.71"/>
    <x v="222"/>
    <x v="1"/>
    <s v="Vendor Credit"/>
    <s v="FY2024-2025"/>
    <s v="Urgent"/>
    <s v="Expense"/>
    <m/>
  </r>
  <r>
    <x v="265"/>
    <x v="4"/>
    <x v="11"/>
    <x v="11"/>
    <n v="433961"/>
    <n v="489742.12"/>
    <n v="-55781.120000000003"/>
    <x v="161"/>
    <x v="1"/>
    <s v="Credit Card"/>
    <s v="FY2023-2024"/>
    <s v="Urgent"/>
    <s v="Expense"/>
    <m/>
  </r>
  <r>
    <x v="266"/>
    <x v="0"/>
    <x v="8"/>
    <x v="8"/>
    <n v="253473"/>
    <n v="209229.23"/>
    <n v="44243.77"/>
    <x v="223"/>
    <x v="1"/>
    <s v="Petty Cash"/>
    <s v="FY2023-2024"/>
    <s v=""/>
    <s v="Expense"/>
    <m/>
  </r>
  <r>
    <x v="267"/>
    <x v="4"/>
    <x v="10"/>
    <x v="12"/>
    <n v="283088"/>
    <n v="273645.90999999997"/>
    <n v="9442.09"/>
    <x v="224"/>
    <x v="0"/>
    <s v="Vendor Credit"/>
    <s v="FY2023-2024"/>
    <s v=""/>
    <s v="Expense"/>
    <s v="Flag: High-Value Pending"/>
  </r>
  <r>
    <x v="268"/>
    <x v="1"/>
    <x v="0"/>
    <x v="10"/>
    <n v="36809"/>
    <n v="31242.97"/>
    <n v="5566.03"/>
    <x v="225"/>
    <x v="2"/>
    <s v="Petty Cash"/>
    <s v="FY2023-2024"/>
    <s v="Duplicate entry"/>
    <s v="Expense"/>
    <m/>
  </r>
  <r>
    <x v="269"/>
    <x v="4"/>
    <x v="12"/>
    <x v="0"/>
    <n v="176240"/>
    <n v="162052.35"/>
    <n v="14187.65"/>
    <x v="226"/>
    <x v="1"/>
    <s v="Bank Transfer"/>
    <s v="FY2024-2025"/>
    <s v="One-time"/>
    <s v="Expense"/>
    <m/>
  </r>
  <r>
    <x v="270"/>
    <x v="1"/>
    <x v="8"/>
    <x v="7"/>
    <n v="287836"/>
    <n v="288895.81"/>
    <n v="-1059.81"/>
    <x v="227"/>
    <x v="2"/>
    <s v="Petty Cash"/>
    <s v="FY2024-2025"/>
    <s v=""/>
    <s v="Expense"/>
    <s v="Flag: High-Value Pending"/>
  </r>
  <r>
    <x v="271"/>
    <x v="7"/>
    <x v="8"/>
    <x v="4"/>
    <n v="62129"/>
    <n v="69505.89"/>
    <n v="-7376.89"/>
    <x v="148"/>
    <x v="1"/>
    <s v="Bank Transfer"/>
    <s v="FY2023-2024"/>
    <s v="Under review"/>
    <s v="Expense"/>
    <m/>
  </r>
  <r>
    <x v="272"/>
    <x v="4"/>
    <x v="2"/>
    <x v="9"/>
    <n v="39600"/>
    <n v="49734.57"/>
    <n v="-10134.57"/>
    <x v="228"/>
    <x v="0"/>
    <s v="Petty Cash"/>
    <s v="FY2024-2025"/>
    <s v="Under review"/>
    <s v="Expense"/>
    <m/>
  </r>
  <r>
    <x v="273"/>
    <x v="7"/>
    <x v="10"/>
    <x v="9"/>
    <n v="233554"/>
    <n v="252983.66"/>
    <n v="-19429.66"/>
    <x v="229"/>
    <x v="1"/>
    <s v="Bank Transfer"/>
    <s v="FY2023-2024"/>
    <s v=""/>
    <s v="Expense"/>
    <m/>
  </r>
  <r>
    <x v="274"/>
    <x v="1"/>
    <x v="2"/>
    <x v="6"/>
    <n v="184967"/>
    <m/>
    <n v="35452.879999999997"/>
    <x v="230"/>
    <x v="0"/>
    <s v="Petty Cash"/>
    <s v="FY2023-2024"/>
    <s v=""/>
    <s v="Expense"/>
    <m/>
  </r>
  <r>
    <x v="275"/>
    <x v="4"/>
    <x v="2"/>
    <x v="8"/>
    <n v="451511"/>
    <n v="378996.91"/>
    <n v="72514.09"/>
    <x v="231"/>
    <x v="0"/>
    <s v="Vendor Credit"/>
    <s v="FY2023-2024"/>
    <s v="Recurring"/>
    <s v="Expense"/>
    <s v="Flag: High-Value Pending"/>
  </r>
  <r>
    <x v="276"/>
    <x v="7"/>
    <x v="12"/>
    <x v="5"/>
    <n v="90672"/>
    <n v="115291.34"/>
    <n v="-24619.34"/>
    <x v="232"/>
    <x v="1"/>
    <s v="Credit Card"/>
    <s v="FY2024-2025"/>
    <s v=""/>
    <s v="Expense"/>
    <m/>
  </r>
  <r>
    <x v="277"/>
    <x v="6"/>
    <x v="8"/>
    <x v="13"/>
    <n v="117298"/>
    <n v="149508.38"/>
    <n v="-32210.38"/>
    <x v="170"/>
    <x v="2"/>
    <s v="Vendor Credit"/>
    <s v="FY2024-2025"/>
    <s v="One-time"/>
    <s v="Expense"/>
    <m/>
  </r>
  <r>
    <x v="278"/>
    <x v="6"/>
    <x v="0"/>
    <x v="4"/>
    <n v="102465"/>
    <n v="119023.91"/>
    <m/>
    <x v="233"/>
    <x v="0"/>
    <s v="Petty Cash"/>
    <s v="FY2024-2025"/>
    <s v=""/>
    <s v="Expense"/>
    <m/>
  </r>
  <r>
    <x v="279"/>
    <x v="7"/>
    <x v="2"/>
    <x v="14"/>
    <n v="161058"/>
    <n v="169436.08"/>
    <n v="-8378.08"/>
    <x v="135"/>
    <x v="1"/>
    <s v="Vendor Credit"/>
    <s v="FY2024-2025"/>
    <s v=""/>
    <s v="Expense"/>
    <m/>
  </r>
  <r>
    <x v="280"/>
    <x v="2"/>
    <x v="9"/>
    <x v="6"/>
    <n v="310200"/>
    <n v="318474.48"/>
    <n v="-8274.48"/>
    <x v="234"/>
    <x v="1"/>
    <s v="Bank Transfer"/>
    <s v="FY2023-2024"/>
    <s v=""/>
    <s v="Expense"/>
    <m/>
  </r>
  <r>
    <x v="281"/>
    <x v="6"/>
    <x v="9"/>
    <x v="10"/>
    <n v="415834"/>
    <n v="414415.59"/>
    <n v="1418.41"/>
    <x v="235"/>
    <x v="0"/>
    <s v="Credit Card"/>
    <s v="FY2023-2024"/>
    <s v="Urgent"/>
    <s v="Expense"/>
    <s v="Flag: High-Value Pending"/>
  </r>
  <r>
    <x v="282"/>
    <x v="1"/>
    <x v="8"/>
    <x v="5"/>
    <n v="106700"/>
    <n v="135158.73000000001"/>
    <n v="-28458.73"/>
    <x v="113"/>
    <x v="1"/>
    <s v="Vendor Credit"/>
    <s v="FY2023-2024"/>
    <s v="Urgent"/>
    <s v="Expense"/>
    <m/>
  </r>
  <r>
    <x v="283"/>
    <x v="1"/>
    <x v="1"/>
    <x v="11"/>
    <n v="372555"/>
    <n v="361375"/>
    <n v="11180"/>
    <x v="236"/>
    <x v="1"/>
    <s v="Petty Cash"/>
    <s v="FY2024-2025"/>
    <s v="Duplicate entry"/>
    <s v="Expense"/>
    <m/>
  </r>
  <r>
    <x v="284"/>
    <x v="1"/>
    <x v="7"/>
    <x v="9"/>
    <n v="-295644"/>
    <n v="375294.28"/>
    <n v="-79650.28"/>
    <x v="237"/>
    <x v="1"/>
    <s v="Vendor Credit"/>
    <s v="FY2024-2025"/>
    <s v="One-time"/>
    <s v="Credit/Refund"/>
    <m/>
  </r>
  <r>
    <x v="285"/>
    <x v="7"/>
    <x v="3"/>
    <x v="7"/>
    <n v="341728"/>
    <n v="431392.19"/>
    <n v="-89664.19"/>
    <x v="25"/>
    <x v="0"/>
    <s v="Vendor Credit"/>
    <s v="FY2024-2025"/>
    <s v=""/>
    <s v="Expense"/>
    <s v="Flag: High-Value Pending"/>
  </r>
  <r>
    <x v="286"/>
    <x v="0"/>
    <x v="3"/>
    <x v="14"/>
    <n v="346055"/>
    <n v="292280"/>
    <n v="53775"/>
    <x v="49"/>
    <x v="1"/>
    <s v="Bank Transfer"/>
    <s v="FY2022-2023"/>
    <s v="Urgent"/>
    <s v="Expense"/>
    <m/>
  </r>
  <r>
    <x v="287"/>
    <x v="7"/>
    <x v="9"/>
    <x v="2"/>
    <n v="370801"/>
    <n v="399115.32"/>
    <n v="-28314.32"/>
    <x v="142"/>
    <x v="1"/>
    <s v="Credit Card"/>
    <s v="FY2024-2025"/>
    <s v="Recurring"/>
    <s v="Expense"/>
    <m/>
  </r>
  <r>
    <x v="288"/>
    <x v="2"/>
    <x v="8"/>
    <x v="8"/>
    <n v="150199"/>
    <n v="192054.12"/>
    <n v="-41855.120000000003"/>
    <x v="238"/>
    <x v="1"/>
    <s v="Vendor Credit"/>
    <s v="FY2023-2024"/>
    <s v="Under review"/>
    <s v="Expense"/>
    <m/>
  </r>
  <r>
    <x v="289"/>
    <x v="2"/>
    <x v="4"/>
    <x v="5"/>
    <n v="291041"/>
    <n v="358620.07"/>
    <n v="-67579.070000000007"/>
    <x v="174"/>
    <x v="1"/>
    <s v="Credit Card"/>
    <s v="FY2023-2024"/>
    <s v="One-time"/>
    <s v="Expense"/>
    <m/>
  </r>
  <r>
    <x v="290"/>
    <x v="6"/>
    <x v="11"/>
    <x v="8"/>
    <n v="211857"/>
    <n v="256056.27"/>
    <n v="-44199.27"/>
    <x v="239"/>
    <x v="1"/>
    <s v="Vendor Credit"/>
    <s v="FY2024-2025"/>
    <s v="Duplicate entry"/>
    <s v="Expense"/>
    <m/>
  </r>
  <r>
    <x v="291"/>
    <x v="2"/>
    <x v="8"/>
    <x v="11"/>
    <n v="251802"/>
    <n v="303026.15000000002"/>
    <n v="-51224.15"/>
    <x v="240"/>
    <x v="1"/>
    <s v="Credit Card"/>
    <s v="FY2024-2025"/>
    <s v="Recurring"/>
    <s v="Expense"/>
    <m/>
  </r>
  <r>
    <x v="292"/>
    <x v="7"/>
    <x v="8"/>
    <x v="12"/>
    <n v="76656"/>
    <n v="71437.11"/>
    <n v="5218.8900000000003"/>
    <x v="167"/>
    <x v="1"/>
    <s v="Vendor Credit"/>
    <s v="FY2023-2024"/>
    <s v=""/>
    <s v="Expense"/>
    <m/>
  </r>
  <r>
    <x v="293"/>
    <x v="3"/>
    <x v="7"/>
    <x v="6"/>
    <n v="362710"/>
    <n v="366215.27"/>
    <n v="-3505.27"/>
    <x v="241"/>
    <x v="1"/>
    <s v="Petty Cash"/>
    <s v="FY2024-2025"/>
    <s v="Duplicate entry"/>
    <s v="Expense"/>
    <m/>
  </r>
  <r>
    <x v="294"/>
    <x v="5"/>
    <x v="0"/>
    <x v="4"/>
    <n v="10572"/>
    <n v="9878.34"/>
    <n v="693.66"/>
    <x v="200"/>
    <x v="1"/>
    <s v="Bank Transfer"/>
    <s v="FY2023-2024"/>
    <s v=""/>
    <s v="Expense"/>
    <m/>
  </r>
  <r>
    <x v="295"/>
    <x v="4"/>
    <x v="5"/>
    <x v="13"/>
    <n v="16215"/>
    <n v="15546.6"/>
    <n v="668.4"/>
    <x v="242"/>
    <x v="2"/>
    <s v="Vendor Credit"/>
    <s v="FY2024-2025"/>
    <s v="One-time"/>
    <s v="Expense"/>
    <m/>
  </r>
  <r>
    <x v="296"/>
    <x v="3"/>
    <x v="2"/>
    <x v="11"/>
    <n v="415913"/>
    <n v="384867.42"/>
    <n v="31045.58"/>
    <x v="243"/>
    <x v="1"/>
    <s v="Credit Card"/>
    <s v="FY2024-2025"/>
    <s v="Duplicate entry"/>
    <s v="Expense"/>
    <m/>
  </r>
  <r>
    <x v="297"/>
    <x v="6"/>
    <x v="7"/>
    <x v="14"/>
    <n v="459471"/>
    <n v="437328.44"/>
    <n v="22142.560000000001"/>
    <x v="195"/>
    <x v="0"/>
    <s v="Credit Card"/>
    <s v="FY2023-2024"/>
    <s v="Urgent"/>
    <s v="Expense"/>
    <s v="Flag: High-Value Pending"/>
  </r>
  <r>
    <x v="298"/>
    <x v="6"/>
    <x v="11"/>
    <x v="1"/>
    <n v="356518"/>
    <n v="384593.26"/>
    <n v="-28075.26"/>
    <x v="244"/>
    <x v="1"/>
    <s v="Credit Card"/>
    <s v="FY2023-2024"/>
    <s v="Duplicate entry"/>
    <s v="Expense"/>
    <m/>
  </r>
  <r>
    <x v="299"/>
    <x v="5"/>
    <x v="0"/>
    <x v="3"/>
    <n v="29243"/>
    <n v="28194.98"/>
    <n v="1048.02"/>
    <x v="245"/>
    <x v="1"/>
    <s v="Credit Card"/>
    <s v="FY2023-2024"/>
    <s v="Duplicate entry"/>
    <s v="Expense"/>
    <m/>
  </r>
  <r>
    <x v="300"/>
    <x v="4"/>
    <x v="3"/>
    <x v="0"/>
    <n v="141275"/>
    <n v="149514.95000000001"/>
    <n v="-8239.9500000000007"/>
    <x v="34"/>
    <x v="1"/>
    <s v="Petty Cash"/>
    <s v="FY2023-2024"/>
    <s v="One-time"/>
    <s v="Expense"/>
    <m/>
  </r>
  <r>
    <x v="301"/>
    <x v="1"/>
    <x v="6"/>
    <x v="9"/>
    <n v="419574"/>
    <n v="390433.1"/>
    <n v="29140.9"/>
    <x v="246"/>
    <x v="1"/>
    <s v="Vendor Credit"/>
    <s v="FY2022-2023"/>
    <s v=""/>
    <s v="Expense"/>
    <m/>
  </r>
  <r>
    <x v="302"/>
    <x v="6"/>
    <x v="2"/>
    <x v="7"/>
    <n v="163344"/>
    <n v="206602.59"/>
    <n v="-43258.59"/>
    <x v="247"/>
    <x v="0"/>
    <s v="Vendor Credit"/>
    <s v="FY2023-2024"/>
    <s v="Duplicate entry"/>
    <s v="Expense"/>
    <m/>
  </r>
  <r>
    <x v="303"/>
    <x v="6"/>
    <x v="0"/>
    <x v="15"/>
    <n v="384800"/>
    <n v="444252.73"/>
    <n v="-59452.73"/>
    <x v="248"/>
    <x v="1"/>
    <s v="Credit Card"/>
    <s v="FY2023-2024"/>
    <s v=""/>
    <s v="Expense"/>
    <m/>
  </r>
  <r>
    <x v="304"/>
    <x v="0"/>
    <x v="9"/>
    <x v="10"/>
    <n v="363889"/>
    <n v="336570.16"/>
    <n v="27318.84"/>
    <x v="249"/>
    <x v="0"/>
    <s v="Petty Cash"/>
    <s v="FY2024-2025"/>
    <s v="Recurring"/>
    <s v="Expense"/>
    <s v="Flag: High-Value Pending"/>
  </r>
  <r>
    <x v="305"/>
    <x v="1"/>
    <x v="9"/>
    <x v="14"/>
    <n v="268970"/>
    <n v="257710.55"/>
    <n v="11259.45"/>
    <x v="250"/>
    <x v="2"/>
    <s v="Petty Cash"/>
    <s v="FY2023-2024"/>
    <s v=""/>
    <s v="Expense"/>
    <s v="Flag: High-Value Pending"/>
  </r>
  <r>
    <x v="306"/>
    <x v="7"/>
    <x v="5"/>
    <x v="6"/>
    <n v="346860"/>
    <n v="288543.01"/>
    <n v="58316.99"/>
    <x v="251"/>
    <x v="1"/>
    <s v="Vendor Credit"/>
    <s v="FY2024-2025"/>
    <s v=""/>
    <s v="Expense"/>
    <m/>
  </r>
  <r>
    <x v="307"/>
    <x v="1"/>
    <x v="7"/>
    <x v="0"/>
    <n v="240676"/>
    <n v="225254.53"/>
    <n v="15421.47"/>
    <x v="252"/>
    <x v="1"/>
    <s v="Vendor Credit"/>
    <s v="FY2024-2025"/>
    <s v="One-time"/>
    <s v="Expense"/>
    <m/>
  </r>
  <r>
    <x v="308"/>
    <x v="0"/>
    <x v="7"/>
    <x v="10"/>
    <n v="229898"/>
    <n v="203605.91"/>
    <n v="26292.09"/>
    <x v="253"/>
    <x v="1"/>
    <s v="Credit Card"/>
    <s v="FY2024-2025"/>
    <s v=""/>
    <s v="Expense"/>
    <m/>
  </r>
  <r>
    <x v="309"/>
    <x v="4"/>
    <x v="5"/>
    <x v="11"/>
    <n v="132424"/>
    <n v="109111.86"/>
    <n v="23312.14"/>
    <x v="254"/>
    <x v="0"/>
    <s v="Petty Cash"/>
    <s v="FY2023-2024"/>
    <s v=""/>
    <s v="Expense"/>
    <m/>
  </r>
  <r>
    <x v="310"/>
    <x v="3"/>
    <x v="11"/>
    <x v="12"/>
    <n v="100845"/>
    <n v="120316.66"/>
    <n v="-19471.66"/>
    <x v="255"/>
    <x v="1"/>
    <s v="Bank Transfer"/>
    <s v="FY2024-2025"/>
    <s v=""/>
    <s v="Expense"/>
    <m/>
  </r>
  <r>
    <x v="311"/>
    <x v="6"/>
    <x v="5"/>
    <x v="8"/>
    <n v="3599626"/>
    <n v="3224517.74"/>
    <n v="375108.26"/>
    <x v="256"/>
    <x v="1"/>
    <s v="Bank Transfer"/>
    <s v="FY2024-2025"/>
    <s v="Urgent"/>
    <s v="Expense"/>
    <m/>
  </r>
  <r>
    <x v="312"/>
    <x v="7"/>
    <x v="10"/>
    <x v="10"/>
    <n v="78374"/>
    <n v="77099.360000000001"/>
    <n v="1274.6400000000001"/>
    <x v="84"/>
    <x v="1"/>
    <s v="Credit Card"/>
    <s v="FY2023-2024"/>
    <s v=""/>
    <s v="Expense"/>
    <m/>
  </r>
  <r>
    <x v="313"/>
    <x v="3"/>
    <x v="3"/>
    <x v="14"/>
    <n v="476567"/>
    <n v="513028.09"/>
    <n v="-36461.089999999997"/>
    <x v="202"/>
    <x v="1"/>
    <s v="Bank Transfer"/>
    <s v="FY2023-2024"/>
    <s v=""/>
    <s v="Expense"/>
    <m/>
  </r>
  <r>
    <x v="314"/>
    <x v="7"/>
    <x v="6"/>
    <x v="6"/>
    <n v="139446"/>
    <n v="169737.73"/>
    <n v="-30291.73"/>
    <x v="257"/>
    <x v="1"/>
    <s v="Petty Cash"/>
    <s v="FY2024-2025"/>
    <s v="One-time"/>
    <s v="Expense"/>
    <m/>
  </r>
  <r>
    <x v="315"/>
    <x v="4"/>
    <x v="5"/>
    <x v="8"/>
    <n v="136563"/>
    <n v="162916.26"/>
    <m/>
    <x v="258"/>
    <x v="1"/>
    <s v="Vendor Credit"/>
    <s v="FY2023-2024"/>
    <s v=""/>
    <s v="Expense"/>
    <m/>
  </r>
  <r>
    <x v="316"/>
    <x v="0"/>
    <x v="5"/>
    <x v="13"/>
    <n v="22382"/>
    <n v="18042.599999999999"/>
    <n v="4339.3999999999996"/>
    <x v="259"/>
    <x v="0"/>
    <s v="Petty Cash"/>
    <s v="FY2023-2024"/>
    <s v=""/>
    <s v="Expense"/>
    <m/>
  </r>
  <r>
    <x v="317"/>
    <x v="4"/>
    <x v="6"/>
    <x v="7"/>
    <n v="155451"/>
    <n v="144377.19"/>
    <n v="11073.81"/>
    <x v="260"/>
    <x v="1"/>
    <s v="Credit Card"/>
    <s v="FY2024-2025"/>
    <s v=""/>
    <s v="Expense"/>
    <m/>
  </r>
  <r>
    <x v="318"/>
    <x v="4"/>
    <x v="7"/>
    <x v="7"/>
    <n v="269249"/>
    <n v="308734.33"/>
    <m/>
    <x v="261"/>
    <x v="1"/>
    <s v="Bank Transfer"/>
    <s v="FY2023-2024"/>
    <s v="Urgent"/>
    <s v="Expense"/>
    <m/>
  </r>
  <r>
    <x v="319"/>
    <x v="2"/>
    <x v="6"/>
    <x v="14"/>
    <n v="435004"/>
    <n v="504598.66"/>
    <n v="-69594.66"/>
    <x v="262"/>
    <x v="0"/>
    <s v="Bank Transfer"/>
    <s v="FY2022-2023"/>
    <s v="Duplicate entry"/>
    <s v="Expense"/>
    <s v="Flag: High-Value Pending"/>
  </r>
  <r>
    <x v="320"/>
    <x v="1"/>
    <x v="10"/>
    <x v="10"/>
    <n v="424596"/>
    <n v="339971.4"/>
    <n v="84624.6"/>
    <x v="150"/>
    <x v="0"/>
    <s v="Vendor Credit"/>
    <s v="FY2024-2025"/>
    <s v="Recurring"/>
    <s v="Expense"/>
    <s v="Flag: High-Value Pending"/>
  </r>
  <r>
    <x v="321"/>
    <x v="1"/>
    <x v="2"/>
    <x v="11"/>
    <n v="458771"/>
    <n v="375638.71"/>
    <n v="83132.289999999994"/>
    <x v="263"/>
    <x v="1"/>
    <s v="Vendor Credit"/>
    <s v="FY2022-2023"/>
    <s v="Recurring"/>
    <s v="Expense"/>
    <m/>
  </r>
  <r>
    <x v="322"/>
    <x v="3"/>
    <x v="6"/>
    <x v="5"/>
    <n v="377822"/>
    <n v="320802.62"/>
    <n v="57019.38"/>
    <x v="264"/>
    <x v="1"/>
    <s v="Vendor Credit"/>
    <s v="FY2023-2024"/>
    <s v="Recurring"/>
    <s v="Expense"/>
    <m/>
  </r>
  <r>
    <x v="323"/>
    <x v="6"/>
    <x v="1"/>
    <x v="13"/>
    <n v="26148"/>
    <n v="25412.61"/>
    <n v="735.39"/>
    <x v="106"/>
    <x v="1"/>
    <s v="Petty Cash"/>
    <s v="FY2023-2024"/>
    <s v="Under review"/>
    <s v="Expense"/>
    <m/>
  </r>
  <r>
    <x v="324"/>
    <x v="5"/>
    <x v="10"/>
    <x v="14"/>
    <n v="64993"/>
    <n v="57540.42"/>
    <n v="7452.58"/>
    <x v="265"/>
    <x v="1"/>
    <s v="Vendor Credit"/>
    <s v="FY2024-2025"/>
    <s v=""/>
    <s v="Expense"/>
    <m/>
  </r>
  <r>
    <x v="325"/>
    <x v="5"/>
    <x v="8"/>
    <x v="4"/>
    <n v="482501"/>
    <n v="544564.68999999994"/>
    <n v="-62063.69"/>
    <x v="262"/>
    <x v="0"/>
    <s v="Vendor Credit"/>
    <s v="FY2022-2023"/>
    <s v="One-time"/>
    <s v="Expense"/>
    <s v="Flag: High-Value Pending"/>
  </r>
  <r>
    <x v="326"/>
    <x v="7"/>
    <x v="6"/>
    <x v="7"/>
    <n v="493276"/>
    <n v="610985.74"/>
    <n v="-117709.74"/>
    <x v="188"/>
    <x v="1"/>
    <s v="Vendor Credit"/>
    <s v="FY2023-2024"/>
    <s v=""/>
    <s v="Expense"/>
    <m/>
  </r>
  <r>
    <x v="327"/>
    <x v="4"/>
    <x v="7"/>
    <x v="5"/>
    <n v="86033"/>
    <n v="80709.67"/>
    <n v="5323.33"/>
    <x v="266"/>
    <x v="0"/>
    <s v="Vendor Credit"/>
    <s v="FY2022-2023"/>
    <s v=""/>
    <s v="Expense"/>
    <m/>
  </r>
  <r>
    <x v="328"/>
    <x v="4"/>
    <x v="7"/>
    <x v="3"/>
    <n v="-279029"/>
    <m/>
    <n v="-38873.03"/>
    <x v="267"/>
    <x v="1"/>
    <s v="Vendor Credit"/>
    <s v="FY2023-2024"/>
    <s v="Under review"/>
    <s v="Credit/Refund"/>
    <m/>
  </r>
  <r>
    <x v="329"/>
    <x v="6"/>
    <x v="7"/>
    <x v="1"/>
    <n v="383752"/>
    <n v="410378.48"/>
    <n v="-26626.48"/>
    <x v="252"/>
    <x v="0"/>
    <s v="Credit Card"/>
    <s v="FY2024-2025"/>
    <s v=""/>
    <s v="Expense"/>
    <s v="Flag: High-Value Pending"/>
  </r>
  <r>
    <x v="330"/>
    <x v="7"/>
    <x v="5"/>
    <x v="8"/>
    <n v="59701"/>
    <m/>
    <n v="-1952.11"/>
    <x v="150"/>
    <x v="1"/>
    <s v="Petty Cash"/>
    <s v="FY2024-2025"/>
    <s v="Under review"/>
    <s v="Expense"/>
    <m/>
  </r>
  <r>
    <x v="331"/>
    <x v="4"/>
    <x v="8"/>
    <x v="10"/>
    <n v="87470"/>
    <n v="98521.95"/>
    <n v="-11051.95"/>
    <x v="66"/>
    <x v="1"/>
    <s v="Petty Cash"/>
    <s v="FY2024-2025"/>
    <s v="Under review"/>
    <s v="Expense"/>
    <m/>
  </r>
  <r>
    <x v="332"/>
    <x v="2"/>
    <x v="10"/>
    <x v="12"/>
    <n v="37014"/>
    <n v="35509.760000000002"/>
    <n v="1504.24"/>
    <x v="268"/>
    <x v="0"/>
    <s v="Petty Cash"/>
    <s v="FY2023-2024"/>
    <s v=""/>
    <s v="Expense"/>
    <m/>
  </r>
  <r>
    <x v="333"/>
    <x v="3"/>
    <x v="0"/>
    <x v="5"/>
    <n v="307446"/>
    <n v="286117.08"/>
    <n v="21328.92"/>
    <x v="244"/>
    <x v="1"/>
    <s v="Credit Card"/>
    <s v="FY2023-2024"/>
    <s v=""/>
    <s v="Expense"/>
    <m/>
  </r>
  <r>
    <x v="334"/>
    <x v="7"/>
    <x v="7"/>
    <x v="15"/>
    <n v="-4033752"/>
    <n v="3329796.67"/>
    <n v="703955.33"/>
    <x v="269"/>
    <x v="1"/>
    <s v="Petty Cash"/>
    <s v="FY2024-2025"/>
    <s v=""/>
    <s v="Credit/Refund"/>
    <m/>
  </r>
  <r>
    <x v="335"/>
    <x v="7"/>
    <x v="3"/>
    <x v="5"/>
    <n v="126773"/>
    <n v="141296.37"/>
    <n v="-14523.37"/>
    <x v="270"/>
    <x v="1"/>
    <s v="Petty Cash"/>
    <s v="FY2023-2024"/>
    <s v="Under review"/>
    <s v="Expense"/>
    <m/>
  </r>
  <r>
    <x v="336"/>
    <x v="7"/>
    <x v="7"/>
    <x v="10"/>
    <n v="404431"/>
    <n v="452206.81"/>
    <m/>
    <x v="121"/>
    <x v="2"/>
    <s v="Credit Card"/>
    <s v="FY2024-2025"/>
    <s v="Recurring"/>
    <s v="Expense"/>
    <s v="Flag: High-Value Pending"/>
  </r>
  <r>
    <x v="337"/>
    <x v="7"/>
    <x v="10"/>
    <x v="14"/>
    <n v="52012"/>
    <n v="43876.37"/>
    <n v="8135.63"/>
    <x v="271"/>
    <x v="1"/>
    <s v="Petty Cash"/>
    <s v="FY2024-2025"/>
    <s v="One-time"/>
    <s v="Expense"/>
    <m/>
  </r>
  <r>
    <x v="338"/>
    <x v="2"/>
    <x v="4"/>
    <x v="6"/>
    <n v="-254726"/>
    <n v="252659.65"/>
    <n v="2066.35"/>
    <x v="272"/>
    <x v="1"/>
    <s v="Vendor Credit"/>
    <s v="FY2023-2024"/>
    <s v="Under review"/>
    <s v="Credit/Refund"/>
    <m/>
  </r>
  <r>
    <x v="339"/>
    <x v="1"/>
    <x v="8"/>
    <x v="7"/>
    <n v="336844"/>
    <n v="367169.25"/>
    <n v="-30325.25"/>
    <x v="125"/>
    <x v="1"/>
    <s v="Credit Card"/>
    <s v="FY2024-2025"/>
    <s v=""/>
    <s v="Expense"/>
    <m/>
  </r>
  <r>
    <x v="340"/>
    <x v="4"/>
    <x v="12"/>
    <x v="4"/>
    <n v="474095"/>
    <n v="385102.35"/>
    <n v="88992.65"/>
    <x v="225"/>
    <x v="2"/>
    <s v="Vendor Credit"/>
    <s v="FY2023-2024"/>
    <s v="Recurring"/>
    <s v="Expense"/>
    <s v="Flag: High-Value Pending"/>
  </r>
  <r>
    <x v="341"/>
    <x v="1"/>
    <x v="6"/>
    <x v="12"/>
    <n v="251199"/>
    <n v="290685.15000000002"/>
    <n v="-39486.15"/>
    <x v="165"/>
    <x v="0"/>
    <s v="Credit Card"/>
    <s v="FY2024-2025"/>
    <s v="One-time"/>
    <s v="Expense"/>
    <s v="Flag: High-Value Pending"/>
  </r>
  <r>
    <x v="342"/>
    <x v="1"/>
    <x v="8"/>
    <x v="8"/>
    <n v="428567"/>
    <n v="471952.98"/>
    <n v="-43385.98"/>
    <x v="273"/>
    <x v="1"/>
    <s v="Petty Cash"/>
    <s v="FY2024-2025"/>
    <s v="Duplicate entry"/>
    <s v="Expense"/>
    <m/>
  </r>
  <r>
    <x v="343"/>
    <x v="2"/>
    <x v="8"/>
    <x v="12"/>
    <n v="483664"/>
    <n v="529402.16"/>
    <n v="-45738.16"/>
    <x v="274"/>
    <x v="1"/>
    <s v="Petty Cash"/>
    <s v="FY2024-2025"/>
    <s v="Recurring"/>
    <s v="Expense"/>
    <m/>
  </r>
  <r>
    <x v="344"/>
    <x v="5"/>
    <x v="0"/>
    <x v="13"/>
    <n v="391654"/>
    <m/>
    <n v="65597.63"/>
    <x v="120"/>
    <x v="1"/>
    <s v="Credit Card"/>
    <s v="FY2024-2025"/>
    <s v="One-time"/>
    <s v="Expense"/>
    <m/>
  </r>
  <r>
    <x v="345"/>
    <x v="6"/>
    <x v="9"/>
    <x v="10"/>
    <n v="295989"/>
    <n v="314647.3"/>
    <n v="-18658.3"/>
    <x v="144"/>
    <x v="0"/>
    <s v="Credit Card"/>
    <s v="FY2023-2024"/>
    <s v="Recurring"/>
    <s v="Expense"/>
    <s v="Flag: High-Value Pending"/>
  </r>
  <r>
    <x v="346"/>
    <x v="0"/>
    <x v="6"/>
    <x v="5"/>
    <n v="305798"/>
    <n v="247167.65"/>
    <n v="58630.35"/>
    <x v="275"/>
    <x v="1"/>
    <s v="Vendor Credit"/>
    <s v="FY2023-2024"/>
    <s v="Under review"/>
    <s v="Expense"/>
    <m/>
  </r>
  <r>
    <x v="347"/>
    <x v="4"/>
    <x v="0"/>
    <x v="4"/>
    <n v="4265591"/>
    <n v="4106997.2"/>
    <n v="158593.79999999999"/>
    <x v="276"/>
    <x v="1"/>
    <s v="Petty Cash"/>
    <s v="FY2023-2024"/>
    <s v=""/>
    <s v="Expense"/>
    <m/>
  </r>
  <r>
    <x v="348"/>
    <x v="1"/>
    <x v="5"/>
    <x v="0"/>
    <n v="30067"/>
    <n v="32152.35"/>
    <n v="-2085.35"/>
    <x v="87"/>
    <x v="1"/>
    <s v="Petty Cash"/>
    <s v="FY2023-2024"/>
    <s v="Under review"/>
    <s v="Expense"/>
    <m/>
  </r>
  <r>
    <x v="349"/>
    <x v="4"/>
    <x v="8"/>
    <x v="9"/>
    <n v="439322"/>
    <n v="512559.35"/>
    <n v="-73237.350000000006"/>
    <x v="52"/>
    <x v="1"/>
    <s v="Bank Transfer"/>
    <s v="FY2024-2025"/>
    <s v=""/>
    <s v="Expense"/>
    <m/>
  </r>
  <r>
    <x v="350"/>
    <x v="6"/>
    <x v="4"/>
    <x v="12"/>
    <n v="276241"/>
    <n v="260577.09"/>
    <n v="15663.91"/>
    <x v="161"/>
    <x v="1"/>
    <s v="Bank Transfer"/>
    <s v="FY2023-2024"/>
    <s v=""/>
    <s v="Expense"/>
    <m/>
  </r>
  <r>
    <x v="351"/>
    <x v="5"/>
    <x v="5"/>
    <x v="11"/>
    <n v="55208"/>
    <n v="70125.36"/>
    <n v="-14917.36"/>
    <x v="28"/>
    <x v="1"/>
    <s v="Vendor Credit"/>
    <s v="FY2024-2025"/>
    <s v=""/>
    <s v="Expense"/>
    <m/>
  </r>
  <r>
    <x v="352"/>
    <x v="5"/>
    <x v="1"/>
    <x v="5"/>
    <n v="239291"/>
    <n v="294400.19"/>
    <n v="-55109.19"/>
    <x v="157"/>
    <x v="1"/>
    <s v="Credit Card"/>
    <s v="FY2023-2024"/>
    <s v="Duplicate entry"/>
    <s v="Expense"/>
    <m/>
  </r>
  <r>
    <x v="353"/>
    <x v="7"/>
    <x v="4"/>
    <x v="6"/>
    <n v="156023"/>
    <n v="144831.13"/>
    <n v="11191.87"/>
    <x v="264"/>
    <x v="2"/>
    <s v="Bank Transfer"/>
    <s v="FY2023-2024"/>
    <s v="Recurring"/>
    <s v="Expense"/>
    <m/>
  </r>
  <r>
    <x v="354"/>
    <x v="4"/>
    <x v="3"/>
    <x v="14"/>
    <n v="486643"/>
    <n v="494228.82"/>
    <n v="-7585.82"/>
    <x v="277"/>
    <x v="2"/>
    <s v="Credit Card"/>
    <s v="FY2023-2024"/>
    <s v="Recurring"/>
    <s v="Expense"/>
    <s v="Flag: High-Value Pending"/>
  </r>
  <r>
    <x v="355"/>
    <x v="7"/>
    <x v="10"/>
    <x v="14"/>
    <n v="194539"/>
    <n v="192336.4"/>
    <n v="2202.6"/>
    <x v="277"/>
    <x v="0"/>
    <s v="Vendor Credit"/>
    <s v="FY2023-2024"/>
    <s v="Urgent"/>
    <s v="Expense"/>
    <m/>
  </r>
  <r>
    <x v="356"/>
    <x v="6"/>
    <x v="1"/>
    <x v="11"/>
    <n v="117521"/>
    <n v="147338.94"/>
    <n v="-29817.94"/>
    <x v="141"/>
    <x v="1"/>
    <s v="Petty Cash"/>
    <s v="FY2024-2025"/>
    <s v="Duplicate entry"/>
    <s v="Expense"/>
    <m/>
  </r>
  <r>
    <x v="357"/>
    <x v="1"/>
    <x v="1"/>
    <x v="10"/>
    <n v="253850"/>
    <n v="223021.17"/>
    <n v="30828.83"/>
    <x v="278"/>
    <x v="1"/>
    <s v="Bank Transfer"/>
    <s v="FY2023-2024"/>
    <s v="Duplicate entry"/>
    <s v="Expense"/>
    <m/>
  </r>
  <r>
    <x v="358"/>
    <x v="7"/>
    <x v="11"/>
    <x v="1"/>
    <n v="221390"/>
    <n v="203658.51"/>
    <n v="17731.490000000002"/>
    <x v="132"/>
    <x v="1"/>
    <s v="Credit Card"/>
    <s v="FY2024-2025"/>
    <s v="Urgent"/>
    <s v="Expense"/>
    <m/>
  </r>
  <r>
    <x v="359"/>
    <x v="7"/>
    <x v="4"/>
    <x v="5"/>
    <n v="164975"/>
    <n v="167893.96"/>
    <n v="-2918.96"/>
    <x v="279"/>
    <x v="0"/>
    <s v="Petty Cash"/>
    <s v="FY2024-2025"/>
    <s v=""/>
    <s v="Expense"/>
    <m/>
  </r>
  <r>
    <x v="360"/>
    <x v="7"/>
    <x v="10"/>
    <x v="4"/>
    <n v="486312"/>
    <n v="493117.33"/>
    <n v="-6805.33"/>
    <x v="280"/>
    <x v="1"/>
    <s v="Vendor Credit"/>
    <s v="FY2024-2025"/>
    <s v="Under review"/>
    <s v="Expense"/>
    <m/>
  </r>
  <r>
    <x v="361"/>
    <x v="4"/>
    <x v="3"/>
    <x v="11"/>
    <n v="460670"/>
    <n v="595790.31000000006"/>
    <n v="-135120.31"/>
    <x v="281"/>
    <x v="1"/>
    <s v="Petty Cash"/>
    <s v="FY2023-2024"/>
    <s v=""/>
    <s v="Expense"/>
    <m/>
  </r>
  <r>
    <x v="362"/>
    <x v="6"/>
    <x v="0"/>
    <x v="10"/>
    <n v="239146"/>
    <n v="238892.64"/>
    <n v="253.36"/>
    <x v="282"/>
    <x v="1"/>
    <s v="Bank Transfer"/>
    <s v="FY2024-2025"/>
    <s v=""/>
    <s v="Expense"/>
    <m/>
  </r>
  <r>
    <x v="363"/>
    <x v="5"/>
    <x v="11"/>
    <x v="8"/>
    <n v="403214"/>
    <n v="419622.61"/>
    <m/>
    <x v="145"/>
    <x v="0"/>
    <s v="Bank Transfer"/>
    <s v="FY2024-2025"/>
    <s v=""/>
    <s v="Expense"/>
    <s v="Flag: High-Value Pending"/>
  </r>
  <r>
    <x v="364"/>
    <x v="3"/>
    <x v="10"/>
    <x v="13"/>
    <n v="225603"/>
    <n v="214916.56"/>
    <n v="10686.44"/>
    <x v="283"/>
    <x v="0"/>
    <s v="Bank Transfer"/>
    <s v="FY2023-2024"/>
    <s v=""/>
    <s v="Expense"/>
    <s v="Flag: High-Value Pending"/>
  </r>
  <r>
    <x v="365"/>
    <x v="3"/>
    <x v="2"/>
    <x v="1"/>
    <n v="429569"/>
    <n v="352146.36"/>
    <n v="77422.64"/>
    <x v="284"/>
    <x v="2"/>
    <s v="Bank Transfer"/>
    <s v="FY2024-2025"/>
    <s v=""/>
    <s v="Expense"/>
    <s v="Flag: High-Value Pending"/>
  </r>
  <r>
    <x v="366"/>
    <x v="0"/>
    <x v="5"/>
    <x v="14"/>
    <n v="-391336"/>
    <n v="431860.77"/>
    <m/>
    <x v="285"/>
    <x v="1"/>
    <s v="Vendor Credit"/>
    <s v="FY2022-2023"/>
    <s v=""/>
    <s v="Credit/Refund"/>
    <m/>
  </r>
  <r>
    <x v="367"/>
    <x v="5"/>
    <x v="4"/>
    <x v="2"/>
    <n v="242792"/>
    <n v="266048.5"/>
    <m/>
    <x v="286"/>
    <x v="1"/>
    <s v="Petty Cash"/>
    <s v="FY2024-2025"/>
    <s v=""/>
    <s v="Expense"/>
    <m/>
  </r>
  <r>
    <x v="368"/>
    <x v="4"/>
    <x v="9"/>
    <x v="7"/>
    <n v="208403"/>
    <n v="262175.05"/>
    <n v="-53772.05"/>
    <x v="287"/>
    <x v="1"/>
    <s v="Credit Card"/>
    <s v="FY2024-2025"/>
    <s v=""/>
    <s v="Expense"/>
    <m/>
  </r>
  <r>
    <x v="369"/>
    <x v="6"/>
    <x v="4"/>
    <x v="3"/>
    <n v="489646"/>
    <n v="571822.06999999995"/>
    <n v="-82176.070000000007"/>
    <x v="288"/>
    <x v="1"/>
    <s v="Bank Transfer"/>
    <s v="FY2023-2024"/>
    <s v="Duplicate entry"/>
    <s v="Expense"/>
    <m/>
  </r>
  <r>
    <x v="370"/>
    <x v="3"/>
    <x v="4"/>
    <x v="8"/>
    <n v="411870"/>
    <n v="511379.26"/>
    <n v="-99509.26"/>
    <x v="280"/>
    <x v="1"/>
    <s v="Vendor Credit"/>
    <s v="FY2024-2025"/>
    <s v="Urgent"/>
    <s v="Expense"/>
    <m/>
  </r>
  <r>
    <x v="371"/>
    <x v="6"/>
    <x v="6"/>
    <x v="15"/>
    <n v="108453"/>
    <n v="93266.07"/>
    <n v="15186.93"/>
    <x v="289"/>
    <x v="1"/>
    <s v="Vendor Credit"/>
    <s v="FY2024-2025"/>
    <s v=""/>
    <s v="Expense"/>
    <m/>
  </r>
  <r>
    <x v="372"/>
    <x v="3"/>
    <x v="6"/>
    <x v="14"/>
    <n v="138343"/>
    <n v="112386.6"/>
    <n v="25956.400000000001"/>
    <x v="290"/>
    <x v="0"/>
    <s v="Vendor Credit"/>
    <s v="FY2023-2024"/>
    <s v=""/>
    <s v="Expense"/>
    <m/>
  </r>
  <r>
    <x v="373"/>
    <x v="7"/>
    <x v="5"/>
    <x v="12"/>
    <n v="253357"/>
    <n v="237003.61"/>
    <n v="16353.39"/>
    <x v="94"/>
    <x v="1"/>
    <s v="Petty Cash"/>
    <s v="FY2024-2025"/>
    <s v="Under review"/>
    <s v="Expense"/>
    <m/>
  </r>
  <r>
    <x v="374"/>
    <x v="3"/>
    <x v="1"/>
    <x v="7"/>
    <n v="422348"/>
    <n v="373973.55"/>
    <n v="48374.45"/>
    <x v="291"/>
    <x v="0"/>
    <s v="Bank Transfer"/>
    <s v="FY2024-2025"/>
    <s v=""/>
    <s v="Expense"/>
    <s v="Flag: High-Value Pending"/>
  </r>
  <r>
    <x v="375"/>
    <x v="4"/>
    <x v="7"/>
    <x v="15"/>
    <n v="420845"/>
    <n v="401109.66"/>
    <n v="19735.34"/>
    <x v="292"/>
    <x v="1"/>
    <s v="Petty Cash"/>
    <s v="FY2022-2023"/>
    <s v=""/>
    <s v="Expense"/>
    <m/>
  </r>
  <r>
    <x v="376"/>
    <x v="7"/>
    <x v="10"/>
    <x v="4"/>
    <n v="332522"/>
    <n v="273875.71000000002"/>
    <n v="58646.29"/>
    <x v="268"/>
    <x v="1"/>
    <s v="Bank Transfer"/>
    <s v="FY2023-2024"/>
    <s v=""/>
    <s v="Expense"/>
    <m/>
  </r>
  <r>
    <x v="377"/>
    <x v="4"/>
    <x v="5"/>
    <x v="13"/>
    <n v="-268398"/>
    <n v="235037.82"/>
    <n v="33360.18"/>
    <x v="293"/>
    <x v="0"/>
    <s v="Credit Card"/>
    <s v="FY2024-2025"/>
    <s v=""/>
    <s v="Credit/Refund"/>
    <m/>
  </r>
  <r>
    <x v="378"/>
    <x v="5"/>
    <x v="7"/>
    <x v="4"/>
    <n v="166104"/>
    <n v="164704.53"/>
    <n v="1399.47"/>
    <x v="294"/>
    <x v="1"/>
    <s v="Bank Transfer"/>
    <s v="FY2024-2025"/>
    <s v="Recurring"/>
    <s v="Expense"/>
    <m/>
  </r>
  <r>
    <x v="379"/>
    <x v="1"/>
    <x v="9"/>
    <x v="5"/>
    <n v="12538"/>
    <n v="10350.469999999999"/>
    <m/>
    <x v="295"/>
    <x v="1"/>
    <s v="Petty Cash"/>
    <s v="FY2023-2024"/>
    <s v="One-time"/>
    <s v="Expense"/>
    <m/>
  </r>
  <r>
    <x v="380"/>
    <x v="0"/>
    <x v="9"/>
    <x v="14"/>
    <n v="223136"/>
    <n v="272052.57"/>
    <n v="-48916.57"/>
    <x v="255"/>
    <x v="1"/>
    <s v="Credit Card"/>
    <s v="FY2024-2025"/>
    <s v="Urgent"/>
    <s v="Expense"/>
    <m/>
  </r>
  <r>
    <x v="381"/>
    <x v="7"/>
    <x v="7"/>
    <x v="0"/>
    <n v="182620"/>
    <n v="193942.24"/>
    <n v="-11322.24"/>
    <x v="296"/>
    <x v="1"/>
    <s v="Vendor Credit"/>
    <s v="FY2024-2025"/>
    <s v=""/>
    <s v="Expense"/>
    <m/>
  </r>
  <r>
    <x v="382"/>
    <x v="1"/>
    <x v="9"/>
    <x v="10"/>
    <n v="323325"/>
    <n v="281804.53000000003"/>
    <n v="41520.47"/>
    <x v="297"/>
    <x v="1"/>
    <s v="Vendor Credit"/>
    <s v="FY2024-2025"/>
    <s v="Duplicate entry"/>
    <s v="Expense"/>
    <m/>
  </r>
  <r>
    <x v="383"/>
    <x v="6"/>
    <x v="2"/>
    <x v="7"/>
    <n v="327303"/>
    <n v="396053.98"/>
    <n v="-68750.98"/>
    <x v="298"/>
    <x v="2"/>
    <s v="Petty Cash"/>
    <s v="FY2024-2025"/>
    <s v="Recurring"/>
    <s v="Expense"/>
    <s v="Flag: High-Value Pending"/>
  </r>
  <r>
    <x v="384"/>
    <x v="5"/>
    <x v="2"/>
    <x v="3"/>
    <n v="111860"/>
    <n v="100608.75"/>
    <n v="11251.25"/>
    <x v="254"/>
    <x v="1"/>
    <s v="Bank Transfer"/>
    <s v="FY2023-2024"/>
    <s v="One-time"/>
    <s v="Expense"/>
    <m/>
  </r>
  <r>
    <x v="385"/>
    <x v="5"/>
    <x v="9"/>
    <x v="14"/>
    <n v="358246"/>
    <n v="293348.11"/>
    <n v="64897.89"/>
    <x v="299"/>
    <x v="1"/>
    <s v="Bank Transfer"/>
    <s v="FY2024-2025"/>
    <s v=""/>
    <s v="Expense"/>
    <m/>
  </r>
  <r>
    <x v="386"/>
    <x v="6"/>
    <x v="8"/>
    <x v="0"/>
    <n v="12064"/>
    <n v="10549.18"/>
    <n v="1514.82"/>
    <x v="300"/>
    <x v="1"/>
    <s v="Petty Cash"/>
    <s v="FY2023-2024"/>
    <s v=""/>
    <s v="Expense"/>
    <m/>
  </r>
  <r>
    <x v="387"/>
    <x v="3"/>
    <x v="10"/>
    <x v="14"/>
    <n v="296061"/>
    <n v="300001.24"/>
    <n v="-3940.24"/>
    <x v="301"/>
    <x v="0"/>
    <s v="Credit Card"/>
    <s v="FY2023-2024"/>
    <s v="One-time"/>
    <s v="Expense"/>
    <s v="Flag: High-Value Pending"/>
  </r>
  <r>
    <x v="388"/>
    <x v="1"/>
    <x v="0"/>
    <x v="1"/>
    <n v="30949"/>
    <n v="25412.68"/>
    <m/>
    <x v="302"/>
    <x v="1"/>
    <s v="Vendor Credit"/>
    <s v="FY2023-2024"/>
    <s v=""/>
    <s v="Expense"/>
    <m/>
  </r>
  <r>
    <x v="389"/>
    <x v="1"/>
    <x v="2"/>
    <x v="12"/>
    <n v="372466"/>
    <n v="447228.52"/>
    <n v="-74762.52"/>
    <x v="303"/>
    <x v="0"/>
    <s v="Petty Cash"/>
    <s v="FY2023-2024"/>
    <s v=""/>
    <s v="Expense"/>
    <s v="Flag: High-Value Pending"/>
  </r>
  <r>
    <x v="390"/>
    <x v="4"/>
    <x v="8"/>
    <x v="15"/>
    <n v="244642"/>
    <n v="282609.32"/>
    <n v="-37967.32"/>
    <x v="88"/>
    <x v="1"/>
    <s v="Credit Card"/>
    <s v="FY2024-2025"/>
    <s v="Recurring"/>
    <s v="Expense"/>
    <m/>
  </r>
  <r>
    <x v="391"/>
    <x v="2"/>
    <x v="11"/>
    <x v="12"/>
    <n v="258459"/>
    <n v="255111.38"/>
    <n v="3347.62"/>
    <x v="304"/>
    <x v="1"/>
    <s v="Petty Cash"/>
    <s v="FY2023-2024"/>
    <s v="Urgent"/>
    <s v="Expense"/>
    <m/>
  </r>
  <r>
    <x v="392"/>
    <x v="4"/>
    <x v="0"/>
    <x v="7"/>
    <n v="202077"/>
    <n v="207699.46"/>
    <n v="-5622.46"/>
    <x v="305"/>
    <x v="2"/>
    <s v="Credit Card"/>
    <s v="FY2024-2025"/>
    <s v=""/>
    <s v="Expense"/>
    <s v="Flag: High-Value Pending"/>
  </r>
  <r>
    <x v="393"/>
    <x v="1"/>
    <x v="2"/>
    <x v="12"/>
    <n v="451509"/>
    <n v="530679.26"/>
    <n v="-79170.259999999995"/>
    <x v="306"/>
    <x v="1"/>
    <s v="Credit Card"/>
    <s v="FY2023-2024"/>
    <s v=""/>
    <s v="Expense"/>
    <m/>
  </r>
  <r>
    <x v="394"/>
    <x v="7"/>
    <x v="12"/>
    <x v="11"/>
    <n v="163925"/>
    <n v="157330.82"/>
    <n v="6594.18"/>
    <x v="307"/>
    <x v="1"/>
    <s v="Bank Transfer"/>
    <s v="FY2023-2024"/>
    <s v="Recurring"/>
    <s v="Expense"/>
    <m/>
  </r>
  <r>
    <x v="395"/>
    <x v="3"/>
    <x v="9"/>
    <x v="8"/>
    <n v="355503"/>
    <n v="400742.71"/>
    <n v="-45239.71"/>
    <x v="216"/>
    <x v="1"/>
    <s v="Vendor Credit"/>
    <s v="FY2023-2024"/>
    <s v="Duplicate entry"/>
    <s v="Expense"/>
    <m/>
  </r>
  <r>
    <x v="396"/>
    <x v="2"/>
    <x v="4"/>
    <x v="9"/>
    <n v="317282"/>
    <n v="354047.57"/>
    <n v="-36765.57"/>
    <x v="308"/>
    <x v="1"/>
    <s v="Bank Transfer"/>
    <s v="FY2022-2023"/>
    <s v=""/>
    <s v="Expense"/>
    <m/>
  </r>
  <r>
    <x v="397"/>
    <x v="3"/>
    <x v="9"/>
    <x v="5"/>
    <n v="29791"/>
    <n v="32121.77"/>
    <n v="-2330.77"/>
    <x v="309"/>
    <x v="1"/>
    <s v="Credit Card"/>
    <s v="FY2022-2023"/>
    <s v=""/>
    <s v="Expense"/>
    <m/>
  </r>
  <r>
    <x v="398"/>
    <x v="2"/>
    <x v="2"/>
    <x v="8"/>
    <n v="260298"/>
    <n v="302710.19"/>
    <n v="-42412.19"/>
    <x v="140"/>
    <x v="1"/>
    <s v="Petty Cash"/>
    <s v="FY2023-2024"/>
    <s v=""/>
    <s v="Expense"/>
    <m/>
  </r>
  <r>
    <x v="399"/>
    <x v="2"/>
    <x v="5"/>
    <x v="2"/>
    <n v="170062"/>
    <n v="201142.77"/>
    <n v="-31080.77"/>
    <x v="99"/>
    <x v="1"/>
    <s v="Bank Transfer"/>
    <s v="FY2024-2025"/>
    <s v="Recurring"/>
    <s v="Expense"/>
    <m/>
  </r>
  <r>
    <x v="400"/>
    <x v="2"/>
    <x v="2"/>
    <x v="1"/>
    <n v="493046"/>
    <n v="516759.34"/>
    <n v="-23713.34"/>
    <x v="310"/>
    <x v="1"/>
    <s v="Vendor Credit"/>
    <s v="FY2023-2024"/>
    <s v=""/>
    <s v="Expense"/>
    <m/>
  </r>
  <r>
    <x v="401"/>
    <x v="5"/>
    <x v="8"/>
    <x v="13"/>
    <n v="272783"/>
    <n v="232960.38"/>
    <n v="39822.620000000003"/>
    <x v="311"/>
    <x v="1"/>
    <s v="Bank Transfer"/>
    <s v="FY2023-2024"/>
    <s v="Under review"/>
    <s v="Expense"/>
    <m/>
  </r>
  <r>
    <x v="402"/>
    <x v="0"/>
    <x v="8"/>
    <x v="6"/>
    <n v="4688784"/>
    <n v="3938191.01"/>
    <n v="750592.99"/>
    <x v="312"/>
    <x v="2"/>
    <s v="Credit Card"/>
    <s v="FY2022-2023"/>
    <s v=""/>
    <s v="Expense"/>
    <s v="Flag: High-Value Pending"/>
  </r>
  <r>
    <x v="403"/>
    <x v="7"/>
    <x v="2"/>
    <x v="9"/>
    <n v="160016"/>
    <n v="189994.81"/>
    <n v="-29978.81"/>
    <x v="167"/>
    <x v="1"/>
    <s v="Bank Transfer"/>
    <s v="FY2023-2024"/>
    <s v="Urgent"/>
    <s v="Expense"/>
    <m/>
  </r>
  <r>
    <x v="404"/>
    <x v="4"/>
    <x v="5"/>
    <x v="13"/>
    <n v="-30156"/>
    <n v="30446.67"/>
    <n v="-290.67"/>
    <x v="313"/>
    <x v="1"/>
    <s v="Petty Cash"/>
    <s v="FY2023-2024"/>
    <s v=""/>
    <s v="Credit/Refund"/>
    <m/>
  </r>
  <r>
    <x v="405"/>
    <x v="7"/>
    <x v="3"/>
    <x v="2"/>
    <n v="498758"/>
    <n v="486607.94"/>
    <n v="12150.06"/>
    <x v="314"/>
    <x v="0"/>
    <s v="Vendor Credit"/>
    <s v="FY2024-2025"/>
    <s v=""/>
    <s v="Expense"/>
    <s v="Flag: High-Value Pending"/>
  </r>
  <r>
    <x v="406"/>
    <x v="2"/>
    <x v="9"/>
    <x v="5"/>
    <n v="390496"/>
    <n v="406666.97"/>
    <n v="-16170.97"/>
    <x v="315"/>
    <x v="2"/>
    <s v="Petty Cash"/>
    <s v="FY2023-2024"/>
    <s v=""/>
    <s v="Expense"/>
    <s v="Flag: High-Value Pending"/>
  </r>
  <r>
    <x v="407"/>
    <x v="6"/>
    <x v="6"/>
    <x v="6"/>
    <n v="379186"/>
    <n v="388036.42"/>
    <n v="-8850.42"/>
    <x v="316"/>
    <x v="1"/>
    <s v="Vendor Credit"/>
    <s v="FY2022-2023"/>
    <s v=""/>
    <s v="Expense"/>
    <m/>
  </r>
  <r>
    <x v="408"/>
    <x v="6"/>
    <x v="1"/>
    <x v="9"/>
    <n v="474316"/>
    <n v="519064.02"/>
    <n v="-44748.02"/>
    <x v="210"/>
    <x v="2"/>
    <s v="Vendor Credit"/>
    <s v="FY2024-2025"/>
    <s v=""/>
    <s v="Expense"/>
    <s v="Flag: High-Value Pending"/>
  </r>
  <r>
    <x v="409"/>
    <x v="5"/>
    <x v="11"/>
    <x v="11"/>
    <n v="-118413"/>
    <n v="108123.08"/>
    <n v="10289.92"/>
    <x v="32"/>
    <x v="1"/>
    <s v="Vendor Credit"/>
    <s v="FY2024-2025"/>
    <s v="Under review"/>
    <s v="Credit/Refund"/>
    <m/>
  </r>
  <r>
    <x v="410"/>
    <x v="6"/>
    <x v="0"/>
    <x v="10"/>
    <n v="495983"/>
    <n v="486156.54"/>
    <n v="9826.4599999999991"/>
    <x v="317"/>
    <x v="1"/>
    <s v="Bank Transfer"/>
    <s v="FY2023-2024"/>
    <s v="Under review"/>
    <s v="Expense"/>
    <m/>
  </r>
  <r>
    <x v="411"/>
    <x v="5"/>
    <x v="8"/>
    <x v="2"/>
    <n v="186645"/>
    <m/>
    <n v="12334.99"/>
    <x v="318"/>
    <x v="0"/>
    <s v="Credit Card"/>
    <s v="FY2023-2024"/>
    <s v="Urgent"/>
    <s v="Expense"/>
    <m/>
  </r>
  <r>
    <x v="412"/>
    <x v="0"/>
    <x v="5"/>
    <x v="5"/>
    <n v="342928"/>
    <n v="445230.91"/>
    <n v="-102302.91"/>
    <x v="319"/>
    <x v="1"/>
    <s v="Bank Transfer"/>
    <s v="FY2023-2024"/>
    <s v="Urgent"/>
    <s v="Expense"/>
    <m/>
  </r>
  <r>
    <x v="413"/>
    <x v="1"/>
    <x v="4"/>
    <x v="2"/>
    <n v="389265"/>
    <n v="359305.9"/>
    <n v="29959.1"/>
    <x v="117"/>
    <x v="1"/>
    <s v="Bank Transfer"/>
    <s v="FY2024-2025"/>
    <s v=""/>
    <s v="Expense"/>
    <m/>
  </r>
  <r>
    <x v="414"/>
    <x v="1"/>
    <x v="9"/>
    <x v="4"/>
    <n v="197078"/>
    <n v="238559.88"/>
    <n v="-41481.879999999997"/>
    <x v="320"/>
    <x v="1"/>
    <s v="Vendor Credit"/>
    <s v="FY2023-2024"/>
    <s v="Recurring"/>
    <s v="Expense"/>
    <m/>
  </r>
  <r>
    <x v="415"/>
    <x v="7"/>
    <x v="3"/>
    <x v="9"/>
    <n v="469132"/>
    <n v="453619.26"/>
    <n v="15512.74"/>
    <x v="321"/>
    <x v="1"/>
    <s v="Petty Cash"/>
    <s v="FY2023-2024"/>
    <s v="Recurring"/>
    <s v="Expense"/>
    <m/>
  </r>
  <r>
    <x v="416"/>
    <x v="1"/>
    <x v="5"/>
    <x v="10"/>
    <n v="3584033"/>
    <n v="3448909.77"/>
    <n v="135123.23000000001"/>
    <x v="322"/>
    <x v="1"/>
    <s v="Bank Transfer"/>
    <s v="FY2023-2024"/>
    <s v="Recurring"/>
    <s v="Expense"/>
    <m/>
  </r>
  <r>
    <x v="417"/>
    <x v="7"/>
    <x v="8"/>
    <x v="8"/>
    <n v="31705"/>
    <n v="30836.74"/>
    <n v="868.26"/>
    <x v="323"/>
    <x v="1"/>
    <s v="Vendor Credit"/>
    <s v="FY2024-2025"/>
    <s v=""/>
    <s v="Expense"/>
    <m/>
  </r>
  <r>
    <x v="418"/>
    <x v="3"/>
    <x v="7"/>
    <x v="5"/>
    <n v="68786"/>
    <n v="71406.789999999994"/>
    <n v="-2620.79"/>
    <x v="38"/>
    <x v="2"/>
    <s v="Vendor Credit"/>
    <s v="FY2024-2025"/>
    <s v="Under review"/>
    <s v="Expense"/>
    <m/>
  </r>
  <r>
    <x v="419"/>
    <x v="1"/>
    <x v="11"/>
    <x v="9"/>
    <n v="160198"/>
    <n v="159898.99"/>
    <n v="299.01"/>
    <x v="324"/>
    <x v="1"/>
    <s v="Credit Card"/>
    <s v="FY2024-2025"/>
    <s v=""/>
    <s v="Expense"/>
    <m/>
  </r>
  <r>
    <x v="420"/>
    <x v="6"/>
    <x v="4"/>
    <x v="12"/>
    <n v="385403"/>
    <m/>
    <n v="28329.64"/>
    <x v="42"/>
    <x v="1"/>
    <s v="Petty Cash"/>
    <s v="FY2024-2025"/>
    <s v="Urgent"/>
    <s v="Expense"/>
    <m/>
  </r>
  <r>
    <x v="421"/>
    <x v="2"/>
    <x v="7"/>
    <x v="4"/>
    <n v="211236"/>
    <n v="224181.03"/>
    <n v="-12945.03"/>
    <x v="325"/>
    <x v="0"/>
    <s v="Vendor Credit"/>
    <s v="FY2023-2024"/>
    <s v=""/>
    <s v="Expense"/>
    <s v="Flag: High-Value Pending"/>
  </r>
  <r>
    <x v="422"/>
    <x v="6"/>
    <x v="7"/>
    <x v="6"/>
    <n v="177999"/>
    <n v="164780.06"/>
    <n v="13218.94"/>
    <x v="73"/>
    <x v="1"/>
    <s v="Credit Card"/>
    <s v="FY2024-2025"/>
    <s v=""/>
    <s v="Expense"/>
    <m/>
  </r>
  <r>
    <x v="423"/>
    <x v="5"/>
    <x v="11"/>
    <x v="5"/>
    <n v="421120"/>
    <n v="523406.55"/>
    <n v="-102286.55"/>
    <x v="15"/>
    <x v="2"/>
    <s v="Credit Card"/>
    <s v="FY2024-2025"/>
    <s v=""/>
    <s v="Expense"/>
    <s v="Flag: High-Value Pending"/>
  </r>
  <r>
    <x v="424"/>
    <x v="6"/>
    <x v="4"/>
    <x v="9"/>
    <n v="457162"/>
    <n v="493650.62"/>
    <n v="-36488.620000000003"/>
    <x v="17"/>
    <x v="1"/>
    <s v="Petty Cash"/>
    <s v="FY2023-2024"/>
    <s v="One-time"/>
    <s v="Expense"/>
    <m/>
  </r>
  <r>
    <x v="425"/>
    <x v="6"/>
    <x v="6"/>
    <x v="3"/>
    <n v="70751"/>
    <m/>
    <n v="-103.65"/>
    <x v="326"/>
    <x v="1"/>
    <s v="Petty Cash"/>
    <s v="FY2024-2025"/>
    <s v="One-time"/>
    <s v="Expense"/>
    <m/>
  </r>
  <r>
    <x v="426"/>
    <x v="7"/>
    <x v="9"/>
    <x v="4"/>
    <n v="360402"/>
    <n v="439137.03"/>
    <n v="-78735.03"/>
    <x v="203"/>
    <x v="0"/>
    <s v="Petty Cash"/>
    <s v="FY2023-2024"/>
    <s v="One-time"/>
    <s v="Expense"/>
    <s v="Flag: High-Value Pending"/>
  </r>
  <r>
    <x v="427"/>
    <x v="0"/>
    <x v="4"/>
    <x v="8"/>
    <n v="-364146"/>
    <n v="312185.55"/>
    <n v="51960.45"/>
    <x v="224"/>
    <x v="0"/>
    <s v="Petty Cash"/>
    <s v="FY2023-2024"/>
    <s v="Urgent"/>
    <s v="Credit/Refund"/>
    <m/>
  </r>
  <r>
    <x v="428"/>
    <x v="1"/>
    <x v="10"/>
    <x v="3"/>
    <n v="68610"/>
    <n v="85073.21"/>
    <n v="-16463.21"/>
    <x v="284"/>
    <x v="0"/>
    <s v="Petty Cash"/>
    <s v="FY2024-2025"/>
    <s v="Urgent"/>
    <s v="Expense"/>
    <m/>
  </r>
  <r>
    <x v="429"/>
    <x v="5"/>
    <x v="11"/>
    <x v="4"/>
    <n v="135822"/>
    <n v="174308.75"/>
    <n v="-38486.75"/>
    <x v="217"/>
    <x v="0"/>
    <s v="Bank Transfer"/>
    <s v="FY2023-2024"/>
    <s v="Under review"/>
    <s v="Expense"/>
    <m/>
  </r>
  <r>
    <x v="430"/>
    <x v="2"/>
    <x v="0"/>
    <x v="12"/>
    <n v="345563"/>
    <n v="301764.7"/>
    <n v="43798.3"/>
    <x v="143"/>
    <x v="0"/>
    <s v="Petty Cash"/>
    <s v="FY2023-2024"/>
    <s v=""/>
    <s v="Expense"/>
    <s v="Flag: High-Value Pending"/>
  </r>
  <r>
    <x v="431"/>
    <x v="4"/>
    <x v="0"/>
    <x v="2"/>
    <n v="156894"/>
    <n v="163264.04999999999"/>
    <m/>
    <x v="327"/>
    <x v="1"/>
    <s v="Vendor Credit"/>
    <s v="FY2024-2025"/>
    <s v="One-time"/>
    <s v="Expense"/>
    <m/>
  </r>
  <r>
    <x v="432"/>
    <x v="1"/>
    <x v="5"/>
    <x v="2"/>
    <n v="61984"/>
    <n v="49905.3"/>
    <n v="12078.7"/>
    <x v="300"/>
    <x v="1"/>
    <s v="Bank Transfer"/>
    <s v="FY2023-2024"/>
    <s v=""/>
    <s v="Expense"/>
    <m/>
  </r>
  <r>
    <x v="433"/>
    <x v="1"/>
    <x v="0"/>
    <x v="2"/>
    <n v="369543"/>
    <n v="335826.66"/>
    <n v="33716.339999999997"/>
    <x v="255"/>
    <x v="1"/>
    <s v="Credit Card"/>
    <s v="FY2024-2025"/>
    <s v="Recurring"/>
    <s v="Expense"/>
    <m/>
  </r>
  <r>
    <x v="434"/>
    <x v="3"/>
    <x v="11"/>
    <x v="15"/>
    <n v="22047"/>
    <n v="18732.650000000001"/>
    <n v="3314.35"/>
    <x v="328"/>
    <x v="1"/>
    <s v="Vendor Credit"/>
    <s v="FY2023-2024"/>
    <s v=""/>
    <s v="Expense"/>
    <m/>
  </r>
  <r>
    <x v="435"/>
    <x v="5"/>
    <x v="0"/>
    <x v="4"/>
    <n v="459776"/>
    <n v="483816.84"/>
    <n v="-24040.84"/>
    <x v="329"/>
    <x v="1"/>
    <s v="Credit Card"/>
    <s v="FY2023-2024"/>
    <s v="Under review"/>
    <s v="Expense"/>
    <m/>
  </r>
  <r>
    <x v="436"/>
    <x v="0"/>
    <x v="4"/>
    <x v="7"/>
    <n v="7126"/>
    <n v="6813.12"/>
    <n v="312.88"/>
    <x v="205"/>
    <x v="1"/>
    <s v="Credit Card"/>
    <s v="FY2023-2024"/>
    <s v="Duplicate entry"/>
    <s v="Expense"/>
    <m/>
  </r>
  <r>
    <x v="437"/>
    <x v="1"/>
    <x v="9"/>
    <x v="5"/>
    <n v="240283"/>
    <n v="238054.36"/>
    <n v="2228.64"/>
    <x v="330"/>
    <x v="1"/>
    <s v="Credit Card"/>
    <s v="FY2024-2025"/>
    <s v="Duplicate entry"/>
    <s v="Expense"/>
    <m/>
  </r>
  <r>
    <x v="438"/>
    <x v="7"/>
    <x v="4"/>
    <x v="7"/>
    <n v="390911"/>
    <n v="466963.63"/>
    <n v="-76052.63"/>
    <x v="235"/>
    <x v="1"/>
    <s v="Bank Transfer"/>
    <s v="FY2023-2024"/>
    <s v=""/>
    <s v="Expense"/>
    <m/>
  </r>
  <r>
    <x v="439"/>
    <x v="1"/>
    <x v="6"/>
    <x v="7"/>
    <n v="129860"/>
    <n v="115706.78"/>
    <n v="14153.22"/>
    <x v="331"/>
    <x v="1"/>
    <s v="Petty Cash"/>
    <s v="FY2023-2024"/>
    <s v="One-time"/>
    <s v="Expense"/>
    <m/>
  </r>
  <r>
    <x v="440"/>
    <x v="3"/>
    <x v="0"/>
    <x v="2"/>
    <n v="486522"/>
    <n v="422407.6"/>
    <n v="64114.400000000001"/>
    <x v="332"/>
    <x v="2"/>
    <s v="Vendor Credit"/>
    <s v="FY2023-2024"/>
    <s v=""/>
    <s v="Expense"/>
    <s v="Flag: High-Value Pending"/>
  </r>
  <r>
    <x v="441"/>
    <x v="1"/>
    <x v="10"/>
    <x v="14"/>
    <n v="104377"/>
    <n v="105713.39"/>
    <n v="-1336.39"/>
    <x v="333"/>
    <x v="1"/>
    <s v="Petty Cash"/>
    <s v="FY2022-2023"/>
    <s v=""/>
    <s v="Expense"/>
    <m/>
  </r>
  <r>
    <x v="442"/>
    <x v="5"/>
    <x v="5"/>
    <x v="11"/>
    <n v="385423"/>
    <n v="436848.89"/>
    <n v="-51425.89"/>
    <x v="334"/>
    <x v="1"/>
    <s v="Petty Cash"/>
    <s v="FY2022-2023"/>
    <s v=""/>
    <s v="Expense"/>
    <m/>
  </r>
  <r>
    <x v="443"/>
    <x v="5"/>
    <x v="9"/>
    <x v="5"/>
    <n v="39349"/>
    <m/>
    <n v="-5428.59"/>
    <x v="48"/>
    <x v="1"/>
    <s v="Vendor Credit"/>
    <s v="FY2023-2024"/>
    <s v="Duplicate entry"/>
    <s v="Expense"/>
    <m/>
  </r>
  <r>
    <x v="444"/>
    <x v="7"/>
    <x v="10"/>
    <x v="5"/>
    <n v="211242"/>
    <n v="197885.54"/>
    <n v="13356.46"/>
    <x v="149"/>
    <x v="0"/>
    <s v="Credit Card"/>
    <s v="FY2023-2024"/>
    <s v=""/>
    <s v="Expense"/>
    <s v="Flag: High-Value Pending"/>
  </r>
  <r>
    <x v="445"/>
    <x v="3"/>
    <x v="4"/>
    <x v="3"/>
    <n v="192510"/>
    <n v="241497.34"/>
    <n v="-48987.34"/>
    <x v="335"/>
    <x v="1"/>
    <s v="Vendor Credit"/>
    <s v="FY2024-2025"/>
    <s v=""/>
    <s v="Expense"/>
    <m/>
  </r>
  <r>
    <x v="446"/>
    <x v="3"/>
    <x v="8"/>
    <x v="14"/>
    <n v="372529"/>
    <n v="330444.99"/>
    <n v="42084.01"/>
    <x v="336"/>
    <x v="1"/>
    <s v="Credit Card"/>
    <s v="FY2023-2024"/>
    <s v=""/>
    <s v="Expense"/>
    <m/>
  </r>
  <r>
    <x v="447"/>
    <x v="5"/>
    <x v="2"/>
    <x v="13"/>
    <n v="124174"/>
    <n v="134999.20000000001"/>
    <n v="-10825.2"/>
    <x v="337"/>
    <x v="1"/>
    <s v="Credit Card"/>
    <s v="FY2024-2025"/>
    <s v=""/>
    <s v="Expense"/>
    <m/>
  </r>
  <r>
    <x v="448"/>
    <x v="5"/>
    <x v="9"/>
    <x v="7"/>
    <n v="1513418"/>
    <n v="1861019.9"/>
    <n v="-347601.9"/>
    <x v="338"/>
    <x v="1"/>
    <s v="Bank Transfer"/>
    <s v="FY2024-2025"/>
    <s v="Under review"/>
    <s v="Expense"/>
    <m/>
  </r>
  <r>
    <x v="449"/>
    <x v="3"/>
    <x v="5"/>
    <x v="0"/>
    <n v="88024"/>
    <n v="75983.5"/>
    <n v="12040.5"/>
    <x v="205"/>
    <x v="0"/>
    <s v="Petty Cash"/>
    <s v="FY2023-2024"/>
    <s v="Duplicate entry"/>
    <s v="Expense"/>
    <m/>
  </r>
  <r>
    <x v="450"/>
    <x v="4"/>
    <x v="5"/>
    <x v="14"/>
    <n v="155428"/>
    <n v="159304.06"/>
    <n v="-3876.06"/>
    <x v="339"/>
    <x v="1"/>
    <s v="Vendor Credit"/>
    <s v="FY2023-2024"/>
    <s v="Recurring"/>
    <s v="Expense"/>
    <m/>
  </r>
  <r>
    <x v="451"/>
    <x v="4"/>
    <x v="8"/>
    <x v="4"/>
    <n v="9342"/>
    <n v="8812.44"/>
    <n v="529.55999999999995"/>
    <x v="270"/>
    <x v="1"/>
    <s v="Petty Cash"/>
    <s v="FY2023-2024"/>
    <s v=""/>
    <s v="Expense"/>
    <m/>
  </r>
  <r>
    <x v="452"/>
    <x v="2"/>
    <x v="5"/>
    <x v="1"/>
    <n v="459794"/>
    <n v="495521.89"/>
    <n v="-35727.89"/>
    <x v="340"/>
    <x v="1"/>
    <s v="Credit Card"/>
    <s v="FY2023-2024"/>
    <s v="Urgent"/>
    <s v="Expense"/>
    <m/>
  </r>
  <r>
    <x v="453"/>
    <x v="4"/>
    <x v="2"/>
    <x v="12"/>
    <n v="1152819"/>
    <n v="976232.83"/>
    <n v="176586.17"/>
    <x v="264"/>
    <x v="1"/>
    <s v="Credit Card"/>
    <s v="FY2023-2024"/>
    <s v="Under review"/>
    <s v="Expense"/>
    <m/>
  </r>
  <r>
    <x v="454"/>
    <x v="0"/>
    <x v="6"/>
    <x v="12"/>
    <n v="124434"/>
    <n v="102991.71"/>
    <n v="21442.29"/>
    <x v="341"/>
    <x v="2"/>
    <s v="Bank Transfer"/>
    <s v="FY2023-2024"/>
    <s v="Duplicate entry"/>
    <s v="Expense"/>
    <m/>
  </r>
  <r>
    <x v="455"/>
    <x v="2"/>
    <x v="11"/>
    <x v="8"/>
    <n v="337273"/>
    <n v="283126.71000000002"/>
    <n v="54146.29"/>
    <x v="278"/>
    <x v="1"/>
    <s v="Vendor Credit"/>
    <s v="FY2023-2024"/>
    <s v=""/>
    <s v="Expense"/>
    <m/>
  </r>
  <r>
    <x v="456"/>
    <x v="5"/>
    <x v="2"/>
    <x v="1"/>
    <n v="366383"/>
    <m/>
    <n v="-3244.17"/>
    <x v="342"/>
    <x v="0"/>
    <s v="Petty Cash"/>
    <s v="FY2023-2024"/>
    <s v=""/>
    <s v="Expense"/>
    <s v="Flag: High-Value Pending"/>
  </r>
  <r>
    <x v="457"/>
    <x v="1"/>
    <x v="4"/>
    <x v="3"/>
    <n v="185302"/>
    <m/>
    <n v="144.37"/>
    <x v="333"/>
    <x v="1"/>
    <s v="Credit Card"/>
    <s v="FY2022-2023"/>
    <s v=""/>
    <s v="Expense"/>
    <m/>
  </r>
  <r>
    <x v="458"/>
    <x v="4"/>
    <x v="2"/>
    <x v="12"/>
    <n v="1730163"/>
    <n v="1962863.34"/>
    <n v="-232700.34"/>
    <x v="150"/>
    <x v="2"/>
    <s v="Bank Transfer"/>
    <s v="FY2024-2025"/>
    <s v="Duplicate entry"/>
    <s v="Expense"/>
    <s v="Flag: High-Value Pending"/>
  </r>
  <r>
    <x v="459"/>
    <x v="7"/>
    <x v="7"/>
    <x v="13"/>
    <n v="431195"/>
    <n v="354014.53"/>
    <n v="77180.47"/>
    <x v="343"/>
    <x v="1"/>
    <s v="Bank Transfer"/>
    <s v="FY2022-2023"/>
    <s v="Under review"/>
    <s v="Expense"/>
    <m/>
  </r>
  <r>
    <x v="460"/>
    <x v="1"/>
    <x v="3"/>
    <x v="14"/>
    <n v="468114"/>
    <n v="486733.61"/>
    <n v="-18619.61"/>
    <x v="344"/>
    <x v="1"/>
    <s v="Credit Card"/>
    <s v="FY2024-2025"/>
    <s v="Under review"/>
    <s v="Expense"/>
    <m/>
  </r>
  <r>
    <x v="461"/>
    <x v="7"/>
    <x v="11"/>
    <x v="0"/>
    <n v="106866"/>
    <n v="111424.06"/>
    <n v="-4558.0600000000004"/>
    <x v="90"/>
    <x v="0"/>
    <s v="Petty Cash"/>
    <s v="FY2023-2024"/>
    <s v="Under review"/>
    <s v="Expense"/>
    <m/>
  </r>
  <r>
    <x v="462"/>
    <x v="3"/>
    <x v="10"/>
    <x v="9"/>
    <n v="136390"/>
    <n v="114143.32"/>
    <n v="22246.68"/>
    <x v="254"/>
    <x v="1"/>
    <s v="Credit Card"/>
    <s v="FY2023-2024"/>
    <s v=""/>
    <s v="Expense"/>
    <m/>
  </r>
  <r>
    <x v="463"/>
    <x v="6"/>
    <x v="5"/>
    <x v="5"/>
    <n v="184423"/>
    <n v="189513.63"/>
    <n v="-5090.63"/>
    <x v="345"/>
    <x v="1"/>
    <s v="Vendor Credit"/>
    <s v="FY2024-2025"/>
    <s v=""/>
    <s v="Expense"/>
    <m/>
  </r>
  <r>
    <x v="464"/>
    <x v="2"/>
    <x v="3"/>
    <x v="4"/>
    <n v="135949"/>
    <n v="145617.13"/>
    <n v="-9668.1299999999992"/>
    <x v="346"/>
    <x v="1"/>
    <s v="Credit Card"/>
    <s v="FY2024-2025"/>
    <s v=""/>
    <s v="Expense"/>
    <m/>
  </r>
  <r>
    <x v="465"/>
    <x v="2"/>
    <x v="11"/>
    <x v="15"/>
    <n v="355013"/>
    <n v="433873.38"/>
    <n v="-78860.38"/>
    <x v="347"/>
    <x v="1"/>
    <s v="Vendor Credit"/>
    <s v="FY2024-2025"/>
    <s v=""/>
    <s v="Expense"/>
    <m/>
  </r>
  <r>
    <x v="466"/>
    <x v="7"/>
    <x v="7"/>
    <x v="4"/>
    <n v="-381127"/>
    <n v="468418.11"/>
    <n v="-87291.11"/>
    <x v="348"/>
    <x v="0"/>
    <s v="Credit Card"/>
    <s v="FY2022-2023"/>
    <s v=""/>
    <s v="Credit/Refund"/>
    <m/>
  </r>
  <r>
    <x v="467"/>
    <x v="5"/>
    <x v="5"/>
    <x v="4"/>
    <n v="229598"/>
    <n v="234101.51"/>
    <n v="-4503.51"/>
    <x v="18"/>
    <x v="0"/>
    <s v="Vendor Credit"/>
    <s v="FY2022-2023"/>
    <s v="One-time"/>
    <s v="Expense"/>
    <s v="Flag: High-Value Pending"/>
  </r>
  <r>
    <x v="468"/>
    <x v="1"/>
    <x v="3"/>
    <x v="8"/>
    <n v="352503"/>
    <n v="351974.97"/>
    <m/>
    <x v="349"/>
    <x v="1"/>
    <s v="Bank Transfer"/>
    <s v="FY2023-2024"/>
    <s v="Under review"/>
    <s v="Expense"/>
    <m/>
  </r>
  <r>
    <x v="469"/>
    <x v="5"/>
    <x v="8"/>
    <x v="9"/>
    <n v="404119"/>
    <n v="507789.71"/>
    <n v="-103670.71"/>
    <x v="282"/>
    <x v="0"/>
    <s v="Credit Card"/>
    <s v="FY2024-2025"/>
    <s v=""/>
    <s v="Expense"/>
    <s v="Flag: High-Value Pending"/>
  </r>
  <r>
    <x v="470"/>
    <x v="5"/>
    <x v="4"/>
    <x v="8"/>
    <n v="237486"/>
    <m/>
    <n v="-62189.72"/>
    <x v="350"/>
    <x v="1"/>
    <s v="Credit Card"/>
    <s v="FY2024-2025"/>
    <s v="Duplicate entry"/>
    <s v="Expense"/>
    <m/>
  </r>
  <r>
    <x v="471"/>
    <x v="5"/>
    <x v="10"/>
    <x v="9"/>
    <n v="433693"/>
    <n v="367031.48"/>
    <n v="66661.52"/>
    <x v="351"/>
    <x v="1"/>
    <s v="Vendor Credit"/>
    <s v="FY2023-2024"/>
    <s v="Urgent"/>
    <s v="Expense"/>
    <m/>
  </r>
  <r>
    <x v="472"/>
    <x v="4"/>
    <x v="6"/>
    <x v="3"/>
    <n v="96611"/>
    <n v="108653.68"/>
    <n v="-12042.68"/>
    <x v="351"/>
    <x v="2"/>
    <s v="Vendor Credit"/>
    <s v="FY2023-2024"/>
    <s v="Urgent"/>
    <s v="Expense"/>
    <m/>
  </r>
  <r>
    <x v="473"/>
    <x v="4"/>
    <x v="2"/>
    <x v="12"/>
    <n v="183443"/>
    <n v="197492.61"/>
    <n v="-14049.61"/>
    <x v="352"/>
    <x v="0"/>
    <s v="Vendor Credit"/>
    <s v="FY2024-2025"/>
    <s v="Recurring"/>
    <s v="Expense"/>
    <m/>
  </r>
  <r>
    <x v="474"/>
    <x v="4"/>
    <x v="7"/>
    <x v="7"/>
    <n v="174207"/>
    <n v="212011.61"/>
    <n v="-37804.61"/>
    <x v="353"/>
    <x v="1"/>
    <s v="Vendor Credit"/>
    <s v="FY2024-2025"/>
    <s v="Recurring"/>
    <s v="Expense"/>
    <m/>
  </r>
  <r>
    <x v="475"/>
    <x v="7"/>
    <x v="0"/>
    <x v="6"/>
    <n v="396708"/>
    <n v="357430.06"/>
    <n v="39277.94"/>
    <x v="354"/>
    <x v="1"/>
    <s v="Credit Card"/>
    <s v="FY2024-2025"/>
    <s v="Under review"/>
    <s v="Expense"/>
    <m/>
  </r>
  <r>
    <x v="476"/>
    <x v="5"/>
    <x v="2"/>
    <x v="11"/>
    <n v="341837"/>
    <n v="347284.19"/>
    <n v="-5447.19"/>
    <x v="43"/>
    <x v="1"/>
    <s v="Bank Transfer"/>
    <s v="FY2023-2024"/>
    <s v=""/>
    <s v="Expense"/>
    <m/>
  </r>
  <r>
    <x v="477"/>
    <x v="6"/>
    <x v="5"/>
    <x v="7"/>
    <n v="376158"/>
    <n v="339960.48"/>
    <n v="36197.519999999997"/>
    <x v="355"/>
    <x v="1"/>
    <s v="Vendor Credit"/>
    <s v="FY2022-2023"/>
    <s v=""/>
    <s v="Expense"/>
    <m/>
  </r>
  <r>
    <x v="478"/>
    <x v="1"/>
    <x v="0"/>
    <x v="12"/>
    <n v="458826"/>
    <n v="457487.77"/>
    <n v="1338.23"/>
    <x v="356"/>
    <x v="1"/>
    <s v="Bank Transfer"/>
    <s v="FY2023-2024"/>
    <s v="One-time"/>
    <s v="Expense"/>
    <m/>
  </r>
  <r>
    <x v="479"/>
    <x v="5"/>
    <x v="10"/>
    <x v="1"/>
    <n v="420952"/>
    <n v="369624.75"/>
    <n v="51327.25"/>
    <x v="330"/>
    <x v="1"/>
    <s v="Vendor Credit"/>
    <s v="FY2024-2025"/>
    <s v=""/>
    <s v="Expense"/>
    <m/>
  </r>
  <r>
    <x v="480"/>
    <x v="6"/>
    <x v="5"/>
    <x v="3"/>
    <n v="337906"/>
    <n v="276385.51"/>
    <n v="61520.49"/>
    <x v="357"/>
    <x v="1"/>
    <s v="Bank Transfer"/>
    <s v="FY2023-2024"/>
    <s v="Duplicate entry"/>
    <s v="Expense"/>
    <m/>
  </r>
  <r>
    <x v="481"/>
    <x v="2"/>
    <x v="4"/>
    <x v="9"/>
    <n v="164440"/>
    <n v="178586.21"/>
    <n v="-14146.21"/>
    <x v="144"/>
    <x v="1"/>
    <s v="Vendor Credit"/>
    <s v="FY2023-2024"/>
    <s v=""/>
    <s v="Expense"/>
    <m/>
  </r>
  <r>
    <x v="482"/>
    <x v="4"/>
    <x v="11"/>
    <x v="13"/>
    <n v="32187"/>
    <n v="34475.03"/>
    <n v="-2288.0300000000002"/>
    <x v="125"/>
    <x v="0"/>
    <s v="Credit Card"/>
    <s v="FY2024-2025"/>
    <s v="One-time"/>
    <s v="Expense"/>
    <m/>
  </r>
  <r>
    <x v="483"/>
    <x v="5"/>
    <x v="11"/>
    <x v="10"/>
    <n v="324601"/>
    <n v="287171.81"/>
    <n v="37429.19"/>
    <x v="324"/>
    <x v="1"/>
    <s v="Vendor Credit"/>
    <s v="FY2024-2025"/>
    <s v="Duplicate entry"/>
    <s v="Expense"/>
    <m/>
  </r>
  <r>
    <x v="484"/>
    <x v="1"/>
    <x v="0"/>
    <x v="7"/>
    <n v="331654"/>
    <n v="268479.61"/>
    <n v="63174.39"/>
    <x v="257"/>
    <x v="1"/>
    <s v="Credit Card"/>
    <s v="FY2024-2025"/>
    <s v="Urgent"/>
    <s v="Expense"/>
    <m/>
  </r>
  <r>
    <x v="485"/>
    <x v="7"/>
    <x v="6"/>
    <x v="6"/>
    <n v="44661"/>
    <n v="41481.31"/>
    <n v="3179.69"/>
    <x v="358"/>
    <x v="1"/>
    <s v="Petty Cash"/>
    <s v="FY2023-2024"/>
    <s v=""/>
    <s v="Expense"/>
    <m/>
  </r>
  <r>
    <x v="486"/>
    <x v="5"/>
    <x v="7"/>
    <x v="7"/>
    <n v="453730"/>
    <n v="510152.61"/>
    <n v="-56422.61"/>
    <x v="147"/>
    <x v="0"/>
    <s v="Petty Cash"/>
    <s v="FY2024-2025"/>
    <s v="Recurring"/>
    <s v="Expense"/>
    <s v="Flag: High-Value Pending"/>
  </r>
  <r>
    <x v="487"/>
    <x v="2"/>
    <x v="8"/>
    <x v="1"/>
    <n v="423764"/>
    <n v="405457.04"/>
    <n v="18306.96"/>
    <x v="359"/>
    <x v="0"/>
    <s v="Credit Card"/>
    <s v="FY2022-2023"/>
    <s v="Recurring"/>
    <s v="Expense"/>
    <s v="Flag: High-Value Pending"/>
  </r>
  <r>
    <x v="488"/>
    <x v="2"/>
    <x v="2"/>
    <x v="6"/>
    <n v="144259"/>
    <n v="121518.78"/>
    <n v="22740.22"/>
    <x v="317"/>
    <x v="1"/>
    <s v="Bank Transfer"/>
    <s v="FY2023-2024"/>
    <s v="One-time"/>
    <s v="Expense"/>
    <m/>
  </r>
  <r>
    <x v="489"/>
    <x v="6"/>
    <x v="2"/>
    <x v="3"/>
    <n v="147402"/>
    <n v="124565.51"/>
    <n v="22836.49"/>
    <x v="360"/>
    <x v="0"/>
    <s v="Petty Cash"/>
    <s v="FY2024-2025"/>
    <s v="Recurring"/>
    <s v="Expense"/>
    <m/>
  </r>
  <r>
    <x v="490"/>
    <x v="7"/>
    <x v="8"/>
    <x v="14"/>
    <n v="225623"/>
    <m/>
    <m/>
    <x v="361"/>
    <x v="1"/>
    <s v="Petty Cash"/>
    <s v="FY2024-2025"/>
    <s v=""/>
    <s v="Expense"/>
    <m/>
  </r>
  <r>
    <x v="491"/>
    <x v="4"/>
    <x v="1"/>
    <x v="10"/>
    <n v="166425"/>
    <n v="135189.43"/>
    <n v="31235.57"/>
    <x v="50"/>
    <x v="0"/>
    <s v="Vendor Credit"/>
    <s v="FY2023-2024"/>
    <s v="Recurring"/>
    <s v="Expense"/>
    <m/>
  </r>
  <r>
    <x v="492"/>
    <x v="1"/>
    <x v="2"/>
    <x v="14"/>
    <n v="273290"/>
    <n v="311758.25"/>
    <n v="-38468.25"/>
    <x v="324"/>
    <x v="0"/>
    <s v="Credit Card"/>
    <s v="FY2024-2025"/>
    <s v="Recurring"/>
    <s v="Expense"/>
    <s v="Flag: High-Value Pending"/>
  </r>
  <r>
    <x v="493"/>
    <x v="3"/>
    <x v="0"/>
    <x v="2"/>
    <n v="128602"/>
    <n v="114727.23"/>
    <n v="13874.77"/>
    <x v="362"/>
    <x v="1"/>
    <s v="Vendor Credit"/>
    <s v="FY2023-2024"/>
    <s v=""/>
    <s v="Expense"/>
    <m/>
  </r>
  <r>
    <x v="494"/>
    <x v="5"/>
    <x v="6"/>
    <x v="9"/>
    <n v="4800245"/>
    <n v="5636583.5300000003"/>
    <n v="-836338.53"/>
    <x v="164"/>
    <x v="0"/>
    <s v="Vendor Credit"/>
    <s v="FY2024-2025"/>
    <s v="One-time"/>
    <s v="Expense"/>
    <s v="Flag: High-Value Pending"/>
  </r>
  <r>
    <x v="495"/>
    <x v="4"/>
    <x v="11"/>
    <x v="11"/>
    <n v="209161"/>
    <n v="233184.37"/>
    <n v="-24023.37"/>
    <x v="363"/>
    <x v="0"/>
    <s v="Credit Card"/>
    <s v="FY2024-2025"/>
    <s v="Duplicate entry"/>
    <s v="Expense"/>
    <s v="Flag: High-Value Pending"/>
  </r>
  <r>
    <x v="496"/>
    <x v="0"/>
    <x v="3"/>
    <x v="1"/>
    <n v="152175"/>
    <n v="193269.34"/>
    <n v="-41094.339999999997"/>
    <x v="231"/>
    <x v="1"/>
    <s v="Credit Card"/>
    <s v="FY2023-2024"/>
    <s v=""/>
    <s v="Expense"/>
    <m/>
  </r>
  <r>
    <x v="497"/>
    <x v="7"/>
    <x v="8"/>
    <x v="5"/>
    <n v="57859"/>
    <n v="64236.01"/>
    <n v="-6377.01"/>
    <x v="364"/>
    <x v="1"/>
    <s v="Petty Cash"/>
    <s v="FY2023-2024"/>
    <s v="Recurring"/>
    <s v="Expense"/>
    <m/>
  </r>
  <r>
    <x v="498"/>
    <x v="3"/>
    <x v="7"/>
    <x v="6"/>
    <n v="472955"/>
    <n v="469734.61"/>
    <n v="3220.39"/>
    <x v="365"/>
    <x v="1"/>
    <s v="Petty Cash"/>
    <s v="FY2024-2025"/>
    <s v=""/>
    <s v="Expense"/>
    <m/>
  </r>
  <r>
    <x v="499"/>
    <x v="4"/>
    <x v="0"/>
    <x v="5"/>
    <n v="489458"/>
    <n v="631283.81999999995"/>
    <n v="-141825.82"/>
    <x v="289"/>
    <x v="1"/>
    <s v="Credit Card"/>
    <s v="FY2024-2025"/>
    <s v=""/>
    <s v="Expense"/>
    <m/>
  </r>
  <r>
    <x v="500"/>
    <x v="1"/>
    <x v="11"/>
    <x v="2"/>
    <n v="477763"/>
    <m/>
    <n v="-42558.59"/>
    <x v="366"/>
    <x v="1"/>
    <s v="Bank Transfer"/>
    <s v="FY2023-2024"/>
    <s v="One-time"/>
    <s v="Expense"/>
    <m/>
  </r>
  <r>
    <x v="501"/>
    <x v="3"/>
    <x v="9"/>
    <x v="8"/>
    <n v="49062"/>
    <n v="62332.62"/>
    <n v="-13270.62"/>
    <x v="222"/>
    <x v="1"/>
    <s v="Vendor Credit"/>
    <s v="FY2024-2025"/>
    <s v="Duplicate entry"/>
    <s v="Expense"/>
    <m/>
  </r>
  <r>
    <x v="502"/>
    <x v="7"/>
    <x v="9"/>
    <x v="14"/>
    <n v="304215"/>
    <n v="327764.47999999998"/>
    <n v="-23549.48"/>
    <x v="367"/>
    <x v="1"/>
    <s v="Petty Cash"/>
    <s v="FY2024-2025"/>
    <s v="Urgent"/>
    <s v="Expense"/>
    <m/>
  </r>
  <r>
    <x v="503"/>
    <x v="2"/>
    <x v="1"/>
    <x v="14"/>
    <n v="279164"/>
    <n v="339590.04"/>
    <n v="-60426.04"/>
    <x v="123"/>
    <x v="0"/>
    <s v="Petty Cash"/>
    <s v="FY2024-2025"/>
    <s v=""/>
    <s v="Expense"/>
    <s v="Flag: High-Value Pending"/>
  </r>
  <r>
    <x v="504"/>
    <x v="4"/>
    <x v="11"/>
    <x v="12"/>
    <n v="239465"/>
    <n v="273381.19"/>
    <n v="-33916.19"/>
    <x v="368"/>
    <x v="2"/>
    <s v="Bank Transfer"/>
    <s v="FY2023-2024"/>
    <s v=""/>
    <s v="Expense"/>
    <s v="Flag: High-Value Pending"/>
  </r>
  <r>
    <x v="505"/>
    <x v="6"/>
    <x v="7"/>
    <x v="13"/>
    <n v="327656"/>
    <n v="330558.96000000002"/>
    <n v="-2902.96"/>
    <x v="369"/>
    <x v="1"/>
    <s v="Bank Transfer"/>
    <s v="FY2024-2025"/>
    <s v="One-time"/>
    <s v="Expense"/>
    <m/>
  </r>
  <r>
    <x v="506"/>
    <x v="1"/>
    <x v="9"/>
    <x v="14"/>
    <n v="-481907"/>
    <n v="574285.49"/>
    <n v="-92378.49"/>
    <x v="370"/>
    <x v="1"/>
    <s v="Vendor Credit"/>
    <s v="FY2023-2024"/>
    <s v=""/>
    <s v="Credit/Refund"/>
    <m/>
  </r>
  <r>
    <x v="507"/>
    <x v="6"/>
    <x v="2"/>
    <x v="3"/>
    <n v="1608463"/>
    <n v="1418787.56"/>
    <n v="189675.44"/>
    <x v="333"/>
    <x v="1"/>
    <s v="Petty Cash"/>
    <s v="FY2022-2023"/>
    <s v=""/>
    <s v="Expense"/>
    <m/>
  </r>
  <r>
    <x v="508"/>
    <x v="1"/>
    <x v="7"/>
    <x v="2"/>
    <n v="141903"/>
    <n v="179555.76"/>
    <n v="-37652.76"/>
    <x v="260"/>
    <x v="1"/>
    <s v="Vendor Credit"/>
    <s v="FY2024-2025"/>
    <s v="Urgent"/>
    <s v="Expense"/>
    <m/>
  </r>
  <r>
    <x v="509"/>
    <x v="2"/>
    <x v="11"/>
    <x v="5"/>
    <n v="441309"/>
    <n v="483917.39"/>
    <n v="-42608.39"/>
    <x v="17"/>
    <x v="1"/>
    <s v="Bank Transfer"/>
    <s v="FY2023-2024"/>
    <s v=""/>
    <s v="Expense"/>
    <m/>
  </r>
  <r>
    <x v="510"/>
    <x v="3"/>
    <x v="6"/>
    <x v="10"/>
    <n v="80966"/>
    <n v="103931.53"/>
    <n v="-22965.53"/>
    <x v="371"/>
    <x v="1"/>
    <s v="Credit Card"/>
    <s v="FY2023-2024"/>
    <s v="Recurring"/>
    <s v="Expense"/>
    <m/>
  </r>
  <r>
    <x v="511"/>
    <x v="5"/>
    <x v="1"/>
    <x v="2"/>
    <n v="294015"/>
    <n v="276075.45"/>
    <n v="17939.55"/>
    <x v="372"/>
    <x v="1"/>
    <s v="Bank Transfer"/>
    <s v="FY2024-2025"/>
    <s v="Recurring"/>
    <s v="Expense"/>
    <m/>
  </r>
  <r>
    <x v="512"/>
    <x v="5"/>
    <x v="9"/>
    <x v="7"/>
    <n v="153303"/>
    <n v="177135.38"/>
    <n v="-23832.38"/>
    <x v="106"/>
    <x v="1"/>
    <s v="Bank Transfer"/>
    <s v="FY2023-2024"/>
    <s v=""/>
    <s v="Expense"/>
    <m/>
  </r>
  <r>
    <x v="513"/>
    <x v="3"/>
    <x v="11"/>
    <x v="8"/>
    <n v="211411"/>
    <n v="252479.02"/>
    <n v="-41068.019999999997"/>
    <x v="3"/>
    <x v="0"/>
    <s v="Bank Transfer"/>
    <s v="FY2024-2025"/>
    <s v="One-time"/>
    <s v="Expense"/>
    <s v="Flag: High-Value Pending"/>
  </r>
  <r>
    <x v="514"/>
    <x v="5"/>
    <x v="10"/>
    <x v="1"/>
    <n v="373244"/>
    <n v="480332.25"/>
    <n v="-107088.25"/>
    <x v="92"/>
    <x v="1"/>
    <s v="Credit Card"/>
    <s v="FY2023-2024"/>
    <s v="Recurring"/>
    <s v="Expense"/>
    <m/>
  </r>
  <r>
    <x v="515"/>
    <x v="2"/>
    <x v="6"/>
    <x v="9"/>
    <n v="267652"/>
    <m/>
    <n v="-13213.99"/>
    <x v="373"/>
    <x v="0"/>
    <s v="Petty Cash"/>
    <s v="FY2024-2025"/>
    <s v="One-time"/>
    <s v="Expense"/>
    <s v="Flag: High-Value Pending"/>
  </r>
  <r>
    <x v="516"/>
    <x v="1"/>
    <x v="5"/>
    <x v="5"/>
    <n v="220365"/>
    <n v="282212.24"/>
    <n v="-61847.24"/>
    <x v="133"/>
    <x v="1"/>
    <s v="Petty Cash"/>
    <s v="FY2024-2025"/>
    <s v=""/>
    <s v="Expense"/>
    <m/>
  </r>
  <r>
    <x v="517"/>
    <x v="0"/>
    <x v="8"/>
    <x v="11"/>
    <n v="311812"/>
    <n v="335222.12"/>
    <n v="-23410.12"/>
    <x v="335"/>
    <x v="0"/>
    <s v="Vendor Credit"/>
    <s v="FY2024-2025"/>
    <s v="Urgent"/>
    <s v="Expense"/>
    <s v="Flag: High-Value Pending"/>
  </r>
  <r>
    <x v="518"/>
    <x v="2"/>
    <x v="9"/>
    <x v="13"/>
    <n v="54662"/>
    <n v="46375.08"/>
    <n v="8286.92"/>
    <x v="374"/>
    <x v="1"/>
    <s v="Vendor Credit"/>
    <s v="FY2024-2025"/>
    <s v=""/>
    <s v="Expense"/>
    <m/>
  </r>
  <r>
    <x v="519"/>
    <x v="6"/>
    <x v="1"/>
    <x v="1"/>
    <n v="173148"/>
    <n v="159275.15"/>
    <n v="13872.85"/>
    <x v="375"/>
    <x v="1"/>
    <s v="Vendor Credit"/>
    <s v="FY2024-2025"/>
    <s v="Recurring"/>
    <s v="Expense"/>
    <m/>
  </r>
  <r>
    <x v="520"/>
    <x v="1"/>
    <x v="2"/>
    <x v="1"/>
    <n v="467487"/>
    <n v="504063.51"/>
    <n v="-36576.51"/>
    <x v="48"/>
    <x v="1"/>
    <s v="Credit Card"/>
    <s v="FY2023-2024"/>
    <s v="Urgent"/>
    <s v="Expense"/>
    <m/>
  </r>
  <r>
    <x v="521"/>
    <x v="4"/>
    <x v="1"/>
    <x v="1"/>
    <n v="-320442"/>
    <n v="347695.35999999999"/>
    <n v="-27253.360000000001"/>
    <x v="376"/>
    <x v="0"/>
    <s v="Credit Card"/>
    <s v="FY2024-2025"/>
    <s v="Recurring"/>
    <s v="Credit/Refund"/>
    <m/>
  </r>
  <r>
    <x v="522"/>
    <x v="3"/>
    <x v="6"/>
    <x v="8"/>
    <n v="452049"/>
    <n v="552989.04"/>
    <n v="-100940.04"/>
    <x v="85"/>
    <x v="1"/>
    <s v="Vendor Credit"/>
    <s v="FY2023-2024"/>
    <s v="Recurring"/>
    <s v="Expense"/>
    <m/>
  </r>
  <r>
    <x v="523"/>
    <x v="5"/>
    <x v="0"/>
    <x v="3"/>
    <n v="478495"/>
    <n v="412509.84"/>
    <n v="65985.16"/>
    <x v="377"/>
    <x v="1"/>
    <s v="Vendor Credit"/>
    <s v="FY2022-2023"/>
    <s v=""/>
    <s v="Expense"/>
    <m/>
  </r>
  <r>
    <x v="524"/>
    <x v="4"/>
    <x v="4"/>
    <x v="2"/>
    <n v="20639"/>
    <n v="18677.73"/>
    <n v="1961.27"/>
    <x v="378"/>
    <x v="1"/>
    <s v="Credit Card"/>
    <s v="FY2023-2024"/>
    <s v="Recurring"/>
    <s v="Expense"/>
    <m/>
  </r>
  <r>
    <x v="525"/>
    <x v="3"/>
    <x v="11"/>
    <x v="0"/>
    <n v="434916"/>
    <n v="402840.15"/>
    <n v="32075.85"/>
    <x v="379"/>
    <x v="1"/>
    <s v="Vendor Credit"/>
    <s v="FY2024-2025"/>
    <s v="Urgent"/>
    <s v="Expense"/>
    <m/>
  </r>
  <r>
    <x v="526"/>
    <x v="6"/>
    <x v="5"/>
    <x v="15"/>
    <n v="187040"/>
    <m/>
    <n v="-9687.6299999999992"/>
    <x v="149"/>
    <x v="1"/>
    <s v="Vendor Credit"/>
    <s v="FY2023-2024"/>
    <s v="Under review"/>
    <s v="Expense"/>
    <m/>
  </r>
  <r>
    <x v="527"/>
    <x v="7"/>
    <x v="6"/>
    <x v="2"/>
    <n v="108129"/>
    <n v="97670.78"/>
    <n v="10458.219999999999"/>
    <x v="380"/>
    <x v="0"/>
    <s v="Petty Cash"/>
    <s v="FY2024-2025"/>
    <s v="Urgent"/>
    <s v="Expense"/>
    <m/>
  </r>
  <r>
    <x v="528"/>
    <x v="5"/>
    <x v="7"/>
    <x v="14"/>
    <n v="496893"/>
    <n v="539724.06000000006"/>
    <n v="-42831.06"/>
    <x v="70"/>
    <x v="1"/>
    <s v="Petty Cash"/>
    <s v="FY2024-2025"/>
    <s v=""/>
    <s v="Expense"/>
    <m/>
  </r>
  <r>
    <x v="529"/>
    <x v="5"/>
    <x v="7"/>
    <x v="7"/>
    <n v="315242"/>
    <n v="353921.75"/>
    <n v="-38679.75"/>
    <x v="381"/>
    <x v="2"/>
    <s v="Petty Cash"/>
    <s v="FY2023-2024"/>
    <s v="Urgent"/>
    <s v="Expense"/>
    <s v="Flag: High-Value Pending"/>
  </r>
  <r>
    <x v="530"/>
    <x v="2"/>
    <x v="5"/>
    <x v="5"/>
    <n v="223813"/>
    <n v="205492.11"/>
    <n v="18320.89"/>
    <x v="382"/>
    <x v="1"/>
    <s v="Credit Card"/>
    <s v="FY2023-2024"/>
    <s v=""/>
    <s v="Expense"/>
    <m/>
  </r>
  <r>
    <x v="531"/>
    <x v="7"/>
    <x v="2"/>
    <x v="14"/>
    <n v="366449"/>
    <n v="378351.62"/>
    <n v="-11902.62"/>
    <x v="383"/>
    <x v="0"/>
    <s v="Credit Card"/>
    <s v="FY2022-2023"/>
    <s v=""/>
    <s v="Expense"/>
    <s v="Flag: High-Value Pending"/>
  </r>
  <r>
    <x v="532"/>
    <x v="0"/>
    <x v="0"/>
    <x v="6"/>
    <n v="25682"/>
    <n v="30711.55"/>
    <n v="-5029.55"/>
    <x v="384"/>
    <x v="1"/>
    <s v="Petty Cash"/>
    <s v="FY2024-2025"/>
    <s v=""/>
    <s v="Expense"/>
    <m/>
  </r>
  <r>
    <x v="533"/>
    <x v="4"/>
    <x v="8"/>
    <x v="9"/>
    <n v="45078"/>
    <n v="46626.720000000001"/>
    <n v="-1548.72"/>
    <x v="385"/>
    <x v="1"/>
    <s v="Vendor Credit"/>
    <s v="FY2023-2024"/>
    <s v=""/>
    <s v="Expense"/>
    <m/>
  </r>
  <r>
    <x v="534"/>
    <x v="7"/>
    <x v="1"/>
    <x v="9"/>
    <n v="359864"/>
    <n v="417616.71"/>
    <n v="-57752.71"/>
    <x v="386"/>
    <x v="2"/>
    <s v="Credit Card"/>
    <s v="FY2024-2025"/>
    <s v=""/>
    <s v="Expense"/>
    <s v="Flag: High-Value Pending"/>
  </r>
  <r>
    <x v="535"/>
    <x v="5"/>
    <x v="6"/>
    <x v="9"/>
    <n v="378394"/>
    <n v="417751.85"/>
    <n v="-39357.85"/>
    <x v="222"/>
    <x v="1"/>
    <s v="Bank Transfer"/>
    <s v="FY2024-2025"/>
    <s v=""/>
    <s v="Expense"/>
    <m/>
  </r>
  <r>
    <x v="536"/>
    <x v="2"/>
    <x v="5"/>
    <x v="0"/>
    <n v="244293"/>
    <n v="308057.15000000002"/>
    <n v="-63764.15"/>
    <x v="387"/>
    <x v="1"/>
    <s v="Vendor Credit"/>
    <s v="FY2023-2024"/>
    <s v="Urgent"/>
    <s v="Expense"/>
    <m/>
  </r>
  <r>
    <x v="537"/>
    <x v="4"/>
    <x v="3"/>
    <x v="12"/>
    <n v="438697"/>
    <n v="394827.65"/>
    <n v="43869.35"/>
    <x v="217"/>
    <x v="1"/>
    <s v="Vendor Credit"/>
    <s v="FY2023-2024"/>
    <s v="Under review"/>
    <s v="Expense"/>
    <m/>
  </r>
  <r>
    <x v="538"/>
    <x v="6"/>
    <x v="11"/>
    <x v="7"/>
    <n v="494478"/>
    <n v="425644.3"/>
    <n v="68833.7"/>
    <x v="388"/>
    <x v="1"/>
    <s v="Petty Cash"/>
    <s v="FY2024-2025"/>
    <s v="Recurring"/>
    <s v="Expense"/>
    <m/>
  </r>
  <r>
    <x v="539"/>
    <x v="6"/>
    <x v="8"/>
    <x v="6"/>
    <n v="90424"/>
    <n v="98893.58"/>
    <n v="-8469.58"/>
    <x v="389"/>
    <x v="1"/>
    <s v="Bank Transfer"/>
    <s v="FY2024-2025"/>
    <s v=""/>
    <s v="Expense"/>
    <m/>
  </r>
  <r>
    <x v="540"/>
    <x v="5"/>
    <x v="8"/>
    <x v="5"/>
    <n v="391262"/>
    <n v="331538.21000000002"/>
    <n v="59723.79"/>
    <x v="249"/>
    <x v="1"/>
    <s v="Credit Card"/>
    <s v="FY2024-2025"/>
    <s v=""/>
    <s v="Expense"/>
    <m/>
  </r>
  <r>
    <x v="541"/>
    <x v="6"/>
    <x v="5"/>
    <x v="7"/>
    <n v="97915"/>
    <m/>
    <n v="12794.13"/>
    <x v="390"/>
    <x v="0"/>
    <s v="Credit Card"/>
    <s v="FY2024-2025"/>
    <s v="Urgent"/>
    <s v="Expense"/>
    <m/>
  </r>
  <r>
    <x v="542"/>
    <x v="5"/>
    <x v="5"/>
    <x v="6"/>
    <n v="360413"/>
    <n v="394450.86"/>
    <n v="-34037.86"/>
    <x v="391"/>
    <x v="1"/>
    <s v="Petty Cash"/>
    <s v="FY2023-2024"/>
    <s v="Duplicate entry"/>
    <s v="Expense"/>
    <m/>
  </r>
  <r>
    <x v="543"/>
    <x v="7"/>
    <x v="1"/>
    <x v="9"/>
    <n v="211741"/>
    <n v="259695.42"/>
    <n v="-47954.42"/>
    <x v="392"/>
    <x v="1"/>
    <s v="Bank Transfer"/>
    <s v="FY2023-2024"/>
    <s v="Under review"/>
    <s v="Expense"/>
    <m/>
  </r>
  <r>
    <x v="544"/>
    <x v="7"/>
    <x v="7"/>
    <x v="8"/>
    <n v="252414"/>
    <n v="300603.15000000002"/>
    <n v="-48189.15"/>
    <x v="393"/>
    <x v="0"/>
    <s v="Bank Transfer"/>
    <s v="FY2024-2025"/>
    <s v=""/>
    <s v="Expense"/>
    <s v="Flag: High-Value Pending"/>
  </r>
  <r>
    <x v="545"/>
    <x v="7"/>
    <x v="10"/>
    <x v="4"/>
    <n v="182510"/>
    <n v="171655.83"/>
    <n v="10854.17"/>
    <x v="394"/>
    <x v="1"/>
    <s v="Credit Card"/>
    <s v="FY2023-2024"/>
    <s v=""/>
    <s v="Expense"/>
    <m/>
  </r>
  <r>
    <x v="546"/>
    <x v="5"/>
    <x v="4"/>
    <x v="4"/>
    <n v="269988"/>
    <n v="246791.93"/>
    <n v="23196.07"/>
    <x v="395"/>
    <x v="1"/>
    <s v="Credit Card"/>
    <s v="FY2024-2025"/>
    <s v="Under review"/>
    <s v="Expense"/>
    <m/>
  </r>
  <r>
    <x v="547"/>
    <x v="5"/>
    <x v="10"/>
    <x v="12"/>
    <n v="3713747"/>
    <n v="3704060.42"/>
    <n v="9686.58"/>
    <x v="26"/>
    <x v="1"/>
    <s v="Bank Transfer"/>
    <s v="FY2024-2025"/>
    <s v=""/>
    <s v="Expense"/>
    <m/>
  </r>
  <r>
    <x v="548"/>
    <x v="2"/>
    <x v="6"/>
    <x v="9"/>
    <n v="172544"/>
    <n v="204995.71"/>
    <n v="-32451.71"/>
    <x v="357"/>
    <x v="1"/>
    <s v="Petty Cash"/>
    <s v="FY2023-2024"/>
    <s v="Urgent"/>
    <s v="Expense"/>
    <m/>
  </r>
  <r>
    <x v="549"/>
    <x v="6"/>
    <x v="4"/>
    <x v="14"/>
    <n v="-127359"/>
    <n v="114724.18"/>
    <n v="12634.82"/>
    <x v="125"/>
    <x v="1"/>
    <s v="Petty Cash"/>
    <s v="FY2024-2025"/>
    <s v=""/>
    <s v="Credit/Refund"/>
    <m/>
  </r>
  <r>
    <x v="550"/>
    <x v="5"/>
    <x v="9"/>
    <x v="5"/>
    <n v="372228"/>
    <n v="403678.43"/>
    <m/>
    <x v="396"/>
    <x v="2"/>
    <s v="Credit Card"/>
    <s v="FY2023-2024"/>
    <s v="Under review"/>
    <s v="Expense"/>
    <s v="Flag: High-Value Pending"/>
  </r>
  <r>
    <x v="551"/>
    <x v="1"/>
    <x v="11"/>
    <x v="5"/>
    <n v="168643"/>
    <n v="164538.23999999999"/>
    <n v="4104.76"/>
    <x v="397"/>
    <x v="1"/>
    <s v="Credit Card"/>
    <s v="FY2023-2024"/>
    <s v="Recurring"/>
    <s v="Expense"/>
    <m/>
  </r>
  <r>
    <x v="552"/>
    <x v="7"/>
    <x v="2"/>
    <x v="6"/>
    <n v="462507"/>
    <n v="382064.83"/>
    <n v="80442.17"/>
    <x v="255"/>
    <x v="1"/>
    <s v="Vendor Credit"/>
    <s v="FY2024-2025"/>
    <s v=""/>
    <s v="Expense"/>
    <m/>
  </r>
  <r>
    <x v="553"/>
    <x v="2"/>
    <x v="1"/>
    <x v="10"/>
    <n v="267508"/>
    <n v="263079.67999999999"/>
    <n v="4428.32"/>
    <x v="387"/>
    <x v="2"/>
    <s v="Credit Card"/>
    <s v="FY2023-2024"/>
    <s v=""/>
    <s v="Expense"/>
    <s v="Flag: High-Value Pending"/>
  </r>
  <r>
    <x v="554"/>
    <x v="1"/>
    <x v="4"/>
    <x v="15"/>
    <n v="390884"/>
    <n v="374286.3"/>
    <n v="16597.7"/>
    <x v="280"/>
    <x v="1"/>
    <s v="Vendor Credit"/>
    <s v="FY2024-2025"/>
    <s v="One-time"/>
    <s v="Expense"/>
    <m/>
  </r>
  <r>
    <x v="555"/>
    <x v="3"/>
    <x v="10"/>
    <x v="0"/>
    <n v="459680"/>
    <n v="442515.12"/>
    <n v="17164.88"/>
    <x v="398"/>
    <x v="1"/>
    <s v="Bank Transfer"/>
    <s v="FY2022-2023"/>
    <s v="Urgent"/>
    <s v="Expense"/>
    <m/>
  </r>
  <r>
    <x v="556"/>
    <x v="2"/>
    <x v="9"/>
    <x v="11"/>
    <n v="-300675"/>
    <n v="324757.98"/>
    <n v="-24082.98"/>
    <x v="40"/>
    <x v="1"/>
    <s v="Bank Transfer"/>
    <s v="FY2023-2024"/>
    <s v="One-time"/>
    <s v="Credit/Refund"/>
    <m/>
  </r>
  <r>
    <x v="557"/>
    <x v="3"/>
    <x v="1"/>
    <x v="13"/>
    <n v="465199"/>
    <n v="577067.32999999996"/>
    <n v="-111868.33"/>
    <x v="328"/>
    <x v="1"/>
    <s v="Bank Transfer"/>
    <s v="FY2023-2024"/>
    <s v=""/>
    <s v="Expense"/>
    <m/>
  </r>
  <r>
    <x v="558"/>
    <x v="7"/>
    <x v="8"/>
    <x v="13"/>
    <n v="166289"/>
    <n v="178135.73"/>
    <n v="-11846.73"/>
    <x v="175"/>
    <x v="1"/>
    <s v="Vendor Credit"/>
    <s v="FY2024-2025"/>
    <s v="Under review"/>
    <s v="Expense"/>
    <m/>
  </r>
  <r>
    <x v="559"/>
    <x v="3"/>
    <x v="7"/>
    <x v="1"/>
    <n v="246882"/>
    <n v="237164.36"/>
    <n v="9717.64"/>
    <x v="399"/>
    <x v="1"/>
    <s v="Vendor Credit"/>
    <s v="FY2024-2025"/>
    <s v=""/>
    <s v="Expense"/>
    <m/>
  </r>
  <r>
    <x v="560"/>
    <x v="4"/>
    <x v="0"/>
    <x v="1"/>
    <n v="51577"/>
    <n v="56897.67"/>
    <n v="-5320.67"/>
    <x v="400"/>
    <x v="2"/>
    <s v="Petty Cash"/>
    <s v="FY2023-2024"/>
    <s v=""/>
    <s v="Expense"/>
    <m/>
  </r>
  <r>
    <x v="561"/>
    <x v="3"/>
    <x v="9"/>
    <x v="12"/>
    <n v="297578"/>
    <n v="298238.42"/>
    <n v="-660.42"/>
    <x v="219"/>
    <x v="1"/>
    <s v="Bank Transfer"/>
    <s v="FY2022-2023"/>
    <s v=""/>
    <s v="Expense"/>
    <m/>
  </r>
  <r>
    <x v="562"/>
    <x v="5"/>
    <x v="2"/>
    <x v="15"/>
    <n v="95596"/>
    <n v="78741.84"/>
    <n v="16854.16"/>
    <x v="229"/>
    <x v="1"/>
    <s v="Petty Cash"/>
    <s v="FY2023-2024"/>
    <s v=""/>
    <s v="Expense"/>
    <m/>
  </r>
  <r>
    <x v="563"/>
    <x v="2"/>
    <x v="11"/>
    <x v="10"/>
    <n v="56472"/>
    <n v="62808.17"/>
    <n v="-6336.17"/>
    <x v="401"/>
    <x v="1"/>
    <s v="Vendor Credit"/>
    <s v="FY2023-2024"/>
    <s v=""/>
    <s v="Expense"/>
    <m/>
  </r>
  <r>
    <x v="564"/>
    <x v="3"/>
    <x v="4"/>
    <x v="10"/>
    <n v="473688"/>
    <n v="570098.88"/>
    <n v="-96410.880000000005"/>
    <x v="25"/>
    <x v="0"/>
    <s v="Bank Transfer"/>
    <s v="FY2024-2025"/>
    <s v="One-time"/>
    <s v="Expense"/>
    <s v="Flag: High-Value Pending"/>
  </r>
  <r>
    <x v="565"/>
    <x v="4"/>
    <x v="6"/>
    <x v="12"/>
    <n v="143902"/>
    <n v="164879.64000000001"/>
    <n v="-20977.64"/>
    <x v="402"/>
    <x v="1"/>
    <s v="Credit Card"/>
    <s v="FY2023-2024"/>
    <s v="Duplicate entry"/>
    <s v="Expense"/>
    <m/>
  </r>
  <r>
    <x v="566"/>
    <x v="6"/>
    <x v="10"/>
    <x v="4"/>
    <n v="345077"/>
    <n v="406184.97"/>
    <n v="-61107.97"/>
    <x v="344"/>
    <x v="1"/>
    <s v="Credit Card"/>
    <s v="FY2024-2025"/>
    <s v=""/>
    <s v="Expense"/>
    <m/>
  </r>
  <r>
    <x v="567"/>
    <x v="6"/>
    <x v="0"/>
    <x v="15"/>
    <n v="494859"/>
    <n v="567526.82999999996"/>
    <m/>
    <x v="403"/>
    <x v="1"/>
    <s v="Petty Cash"/>
    <s v="FY2024-2025"/>
    <s v=""/>
    <s v="Expense"/>
    <m/>
  </r>
  <r>
    <x v="568"/>
    <x v="3"/>
    <x v="3"/>
    <x v="2"/>
    <n v="443452"/>
    <n v="575687.89"/>
    <n v="-132235.89000000001"/>
    <x v="404"/>
    <x v="1"/>
    <s v="Petty Cash"/>
    <s v="FY2024-2025"/>
    <s v=""/>
    <s v="Expense"/>
    <m/>
  </r>
  <r>
    <x v="569"/>
    <x v="0"/>
    <x v="11"/>
    <x v="12"/>
    <n v="40368"/>
    <n v="44470.92"/>
    <n v="-4102.92"/>
    <x v="333"/>
    <x v="1"/>
    <s v="Vendor Credit"/>
    <s v="FY2022-2023"/>
    <s v=""/>
    <s v="Expense"/>
    <m/>
  </r>
  <r>
    <x v="570"/>
    <x v="7"/>
    <x v="3"/>
    <x v="14"/>
    <n v="471872"/>
    <n v="566563.03"/>
    <n v="-94691.03"/>
    <x v="405"/>
    <x v="1"/>
    <s v="Vendor Credit"/>
    <s v="FY2023-2024"/>
    <s v=""/>
    <s v="Expense"/>
    <m/>
  </r>
  <r>
    <x v="571"/>
    <x v="7"/>
    <x v="9"/>
    <x v="11"/>
    <n v="99051"/>
    <n v="91537.26"/>
    <n v="7513.74"/>
    <x v="367"/>
    <x v="1"/>
    <s v="Petty Cash"/>
    <s v="FY2024-2025"/>
    <s v="Under review"/>
    <s v="Expense"/>
    <m/>
  </r>
  <r>
    <x v="572"/>
    <x v="5"/>
    <x v="11"/>
    <x v="6"/>
    <n v="308813"/>
    <n v="393590.64"/>
    <n v="-84777.64"/>
    <x v="406"/>
    <x v="1"/>
    <s v="Petty Cash"/>
    <s v="FY2022-2023"/>
    <s v=""/>
    <s v="Expense"/>
    <m/>
  </r>
  <r>
    <x v="573"/>
    <x v="4"/>
    <x v="1"/>
    <x v="4"/>
    <n v="279525"/>
    <m/>
    <n v="-62165.66"/>
    <x v="64"/>
    <x v="1"/>
    <s v="Bank Transfer"/>
    <s v="FY2023-2024"/>
    <s v=""/>
    <s v="Expense"/>
    <m/>
  </r>
  <r>
    <x v="574"/>
    <x v="3"/>
    <x v="6"/>
    <x v="2"/>
    <n v="176344"/>
    <n v="147089.59"/>
    <n v="29254.41"/>
    <x v="407"/>
    <x v="0"/>
    <s v="Vendor Credit"/>
    <s v="FY2022-2023"/>
    <s v=""/>
    <s v="Expense"/>
    <m/>
  </r>
  <r>
    <x v="575"/>
    <x v="2"/>
    <x v="10"/>
    <x v="14"/>
    <n v="202059"/>
    <n v="214400.08"/>
    <n v="-12341.08"/>
    <x v="408"/>
    <x v="1"/>
    <s v="Bank Transfer"/>
    <s v="FY2024-2025"/>
    <s v="Recurring"/>
    <s v="Expense"/>
    <m/>
  </r>
  <r>
    <x v="576"/>
    <x v="6"/>
    <x v="0"/>
    <x v="3"/>
    <n v="204347"/>
    <n v="265256.24"/>
    <n v="-60909.24"/>
    <x v="339"/>
    <x v="1"/>
    <s v="Petty Cash"/>
    <s v="FY2023-2024"/>
    <s v=""/>
    <s v="Expense"/>
    <m/>
  </r>
  <r>
    <x v="577"/>
    <x v="7"/>
    <x v="4"/>
    <x v="1"/>
    <n v="371913"/>
    <n v="475768.76"/>
    <n v="-103855.76"/>
    <x v="409"/>
    <x v="2"/>
    <s v="Credit Card"/>
    <s v="FY2023-2024"/>
    <s v="Recurring"/>
    <s v="Expense"/>
    <s v="Flag: High-Value Pending"/>
  </r>
  <r>
    <x v="578"/>
    <x v="5"/>
    <x v="4"/>
    <x v="10"/>
    <n v="-108504"/>
    <n v="96552.71"/>
    <n v="11951.29"/>
    <x v="334"/>
    <x v="1"/>
    <s v="Bank Transfer"/>
    <s v="FY2022-2023"/>
    <s v="Duplicate entry"/>
    <s v="Credit/Refund"/>
    <m/>
  </r>
  <r>
    <x v="579"/>
    <x v="2"/>
    <x v="11"/>
    <x v="6"/>
    <n v="151657"/>
    <n v="124726.85"/>
    <n v="26930.15"/>
    <x v="99"/>
    <x v="1"/>
    <s v="Credit Card"/>
    <s v="FY2024-2025"/>
    <s v="Recurring"/>
    <s v="Expense"/>
    <m/>
  </r>
  <r>
    <x v="580"/>
    <x v="6"/>
    <x v="6"/>
    <x v="14"/>
    <n v="340393"/>
    <n v="291407.78000000003"/>
    <n v="48985.22"/>
    <x v="410"/>
    <x v="1"/>
    <s v="Petty Cash"/>
    <s v="FY2022-2023"/>
    <s v=""/>
    <s v="Expense"/>
    <m/>
  </r>
  <r>
    <x v="581"/>
    <x v="2"/>
    <x v="2"/>
    <x v="5"/>
    <n v="200091"/>
    <n v="186754.24"/>
    <n v="13336.76"/>
    <x v="243"/>
    <x v="1"/>
    <s v="Bank Transfer"/>
    <s v="FY2024-2025"/>
    <s v="One-time"/>
    <s v="Expense"/>
    <m/>
  </r>
  <r>
    <x v="582"/>
    <x v="0"/>
    <x v="4"/>
    <x v="13"/>
    <n v="358325"/>
    <n v="461258.94"/>
    <m/>
    <x v="308"/>
    <x v="1"/>
    <s v="Bank Transfer"/>
    <s v="FY2022-2023"/>
    <s v=""/>
    <s v="Expense"/>
    <m/>
  </r>
  <r>
    <x v="583"/>
    <x v="1"/>
    <x v="0"/>
    <x v="6"/>
    <n v="-35128"/>
    <n v="29966.82"/>
    <m/>
    <x v="411"/>
    <x v="0"/>
    <s v="Credit Card"/>
    <s v="FY2023-2024"/>
    <s v="Under review"/>
    <s v="Credit/Refund"/>
    <m/>
  </r>
  <r>
    <x v="584"/>
    <x v="3"/>
    <x v="3"/>
    <x v="5"/>
    <n v="4358293"/>
    <n v="5166695"/>
    <n v="-808402"/>
    <x v="412"/>
    <x v="1"/>
    <s v="Credit Card"/>
    <s v="FY2023-2024"/>
    <s v="Under review"/>
    <s v="Expense"/>
    <m/>
  </r>
  <r>
    <x v="585"/>
    <x v="3"/>
    <x v="3"/>
    <x v="9"/>
    <n v="132876"/>
    <n v="147462.63"/>
    <n v="-14586.63"/>
    <x v="32"/>
    <x v="1"/>
    <s v="Credit Card"/>
    <s v="FY2024-2025"/>
    <s v=""/>
    <s v="Expense"/>
    <m/>
  </r>
  <r>
    <x v="586"/>
    <x v="4"/>
    <x v="4"/>
    <x v="7"/>
    <n v="54614"/>
    <n v="70308.759999999995"/>
    <n v="-15694.76"/>
    <x v="413"/>
    <x v="1"/>
    <s v="Vendor Credit"/>
    <s v="FY2023-2024"/>
    <s v="Urgent"/>
    <s v="Expense"/>
    <m/>
  </r>
  <r>
    <x v="587"/>
    <x v="5"/>
    <x v="3"/>
    <x v="3"/>
    <n v="414463"/>
    <m/>
    <n v="54184.76"/>
    <x v="414"/>
    <x v="1"/>
    <s v="Vendor Credit"/>
    <s v="FY2023-2024"/>
    <s v="Duplicate entry"/>
    <s v="Expense"/>
    <m/>
  </r>
  <r>
    <x v="588"/>
    <x v="7"/>
    <x v="3"/>
    <x v="4"/>
    <n v="443121"/>
    <n v="551963.4"/>
    <n v="-108842.4"/>
    <x v="253"/>
    <x v="0"/>
    <s v="Vendor Credit"/>
    <s v="FY2024-2025"/>
    <s v="Recurring"/>
    <s v="Expense"/>
    <s v="Flag: High-Value Pending"/>
  </r>
  <r>
    <x v="589"/>
    <x v="7"/>
    <x v="0"/>
    <x v="4"/>
    <n v="234541"/>
    <n v="225716.25"/>
    <n v="8824.75"/>
    <x v="415"/>
    <x v="1"/>
    <s v="Vendor Credit"/>
    <s v="FY2024-2025"/>
    <s v="Duplicate entry"/>
    <s v="Expense"/>
    <m/>
  </r>
  <r>
    <x v="590"/>
    <x v="3"/>
    <x v="12"/>
    <x v="14"/>
    <n v="-240438"/>
    <n v="254793.43"/>
    <n v="-14355.43"/>
    <x v="347"/>
    <x v="0"/>
    <s v="Petty Cash"/>
    <s v="FY2024-2025"/>
    <s v=""/>
    <s v="Credit/Refund"/>
    <m/>
  </r>
  <r>
    <x v="591"/>
    <x v="3"/>
    <x v="8"/>
    <x v="15"/>
    <n v="93904"/>
    <n v="111592.85"/>
    <n v="-17688.849999999999"/>
    <x v="393"/>
    <x v="1"/>
    <s v="Credit Card"/>
    <s v="FY2024-2025"/>
    <s v=""/>
    <s v="Expense"/>
    <m/>
  </r>
  <r>
    <x v="592"/>
    <x v="1"/>
    <x v="11"/>
    <x v="7"/>
    <n v="169006"/>
    <n v="183369.65"/>
    <n v="-14363.65"/>
    <x v="416"/>
    <x v="1"/>
    <s v="Petty Cash"/>
    <s v="FY2024-2025"/>
    <s v=""/>
    <s v="Expense"/>
    <m/>
  </r>
  <r>
    <x v="593"/>
    <x v="7"/>
    <x v="0"/>
    <x v="9"/>
    <n v="155157"/>
    <n v="166937.54999999999"/>
    <n v="-11780.55"/>
    <x v="417"/>
    <x v="1"/>
    <s v="Vendor Credit"/>
    <s v="FY2024-2025"/>
    <s v=""/>
    <s v="Expense"/>
    <m/>
  </r>
  <r>
    <x v="594"/>
    <x v="3"/>
    <x v="11"/>
    <x v="0"/>
    <n v="234555"/>
    <n v="295708.01"/>
    <n v="-61153.01"/>
    <x v="418"/>
    <x v="1"/>
    <s v="Bank Transfer"/>
    <s v="FY2023-2024"/>
    <s v=""/>
    <s v="Expense"/>
    <m/>
  </r>
  <r>
    <x v="595"/>
    <x v="6"/>
    <x v="1"/>
    <x v="1"/>
    <n v="285882"/>
    <n v="241023.35999999999"/>
    <n v="44858.64"/>
    <x v="285"/>
    <x v="1"/>
    <s v="Credit Card"/>
    <s v="FY2022-2023"/>
    <s v=""/>
    <s v="Expense"/>
    <m/>
  </r>
  <r>
    <x v="596"/>
    <x v="4"/>
    <x v="0"/>
    <x v="0"/>
    <n v="170840"/>
    <n v="195983.39"/>
    <n v="-25143.39"/>
    <x v="300"/>
    <x v="1"/>
    <s v="Bank Transfer"/>
    <s v="FY2023-2024"/>
    <s v=""/>
    <s v="Expense"/>
    <m/>
  </r>
  <r>
    <x v="597"/>
    <x v="3"/>
    <x v="2"/>
    <x v="2"/>
    <n v="463398"/>
    <n v="404538.19"/>
    <n v="58859.81"/>
    <x v="419"/>
    <x v="1"/>
    <s v="Petty Cash"/>
    <s v="FY2022-2023"/>
    <s v=""/>
    <s v="Expense"/>
    <m/>
  </r>
  <r>
    <x v="598"/>
    <x v="3"/>
    <x v="9"/>
    <x v="7"/>
    <n v="268218"/>
    <n v="259866.86"/>
    <n v="8351.14"/>
    <x v="366"/>
    <x v="0"/>
    <s v="Vendor Credit"/>
    <s v="FY2023-2024"/>
    <s v=""/>
    <s v="Expense"/>
    <s v="Flag: High-Value Pending"/>
  </r>
  <r>
    <x v="599"/>
    <x v="5"/>
    <x v="3"/>
    <x v="3"/>
    <n v="11967"/>
    <n v="12554.29"/>
    <n v="-587.29"/>
    <x v="420"/>
    <x v="0"/>
    <s v="Vendor Credit"/>
    <s v="FY2023-2024"/>
    <s v="Under review"/>
    <s v="Expense"/>
    <m/>
  </r>
  <r>
    <x v="600"/>
    <x v="1"/>
    <x v="10"/>
    <x v="7"/>
    <n v="366725"/>
    <n v="418050.52"/>
    <n v="-51325.52"/>
    <x v="421"/>
    <x v="1"/>
    <s v="Bank Transfer"/>
    <s v="FY2024-2025"/>
    <s v="One-time"/>
    <s v="Expense"/>
    <m/>
  </r>
  <r>
    <x v="601"/>
    <x v="7"/>
    <x v="0"/>
    <x v="2"/>
    <n v="313933"/>
    <n v="404263.33"/>
    <n v="-90330.33"/>
    <x v="422"/>
    <x v="0"/>
    <s v="Vendor Credit"/>
    <s v="FY2024-2025"/>
    <s v="Under review"/>
    <s v="Expense"/>
    <s v="Flag: High-Value Pending"/>
  </r>
  <r>
    <x v="602"/>
    <x v="7"/>
    <x v="0"/>
    <x v="3"/>
    <n v="369633"/>
    <m/>
    <n v="-91374.27"/>
    <x v="423"/>
    <x v="1"/>
    <s v="Bank Transfer"/>
    <s v="FY2024-2025"/>
    <s v=""/>
    <s v="Expense"/>
    <m/>
  </r>
  <r>
    <x v="603"/>
    <x v="7"/>
    <x v="11"/>
    <x v="6"/>
    <n v="225458"/>
    <n v="282950.07"/>
    <n v="-57492.07"/>
    <x v="424"/>
    <x v="1"/>
    <s v="Bank Transfer"/>
    <s v="FY2024-2025"/>
    <s v=""/>
    <s v="Expense"/>
    <m/>
  </r>
  <r>
    <x v="604"/>
    <x v="5"/>
    <x v="0"/>
    <x v="1"/>
    <n v="355880"/>
    <n v="416455.43"/>
    <m/>
    <x v="425"/>
    <x v="1"/>
    <s v="Vendor Credit"/>
    <s v="FY2024-2025"/>
    <s v="One-time"/>
    <s v="Expense"/>
    <m/>
  </r>
  <r>
    <x v="605"/>
    <x v="1"/>
    <x v="12"/>
    <x v="7"/>
    <n v="256522"/>
    <n v="314177.12"/>
    <n v="-57655.12"/>
    <x v="426"/>
    <x v="1"/>
    <s v="Bank Transfer"/>
    <s v="FY2023-2024"/>
    <s v="One-time"/>
    <s v="Expense"/>
    <m/>
  </r>
  <r>
    <x v="606"/>
    <x v="7"/>
    <x v="6"/>
    <x v="4"/>
    <n v="341743"/>
    <m/>
    <n v="53888.7"/>
    <x v="244"/>
    <x v="1"/>
    <s v="Petty Cash"/>
    <s v="FY2023-2024"/>
    <s v="Recurring"/>
    <s v="Expense"/>
    <m/>
  </r>
  <r>
    <x v="607"/>
    <x v="4"/>
    <x v="5"/>
    <x v="0"/>
    <n v="433989"/>
    <n v="560209.31000000006"/>
    <m/>
    <x v="427"/>
    <x v="1"/>
    <s v="Bank Transfer"/>
    <s v="FY2023-2024"/>
    <s v="Duplicate entry"/>
    <s v="Expense"/>
    <m/>
  </r>
  <r>
    <x v="608"/>
    <x v="7"/>
    <x v="2"/>
    <x v="15"/>
    <n v="353541"/>
    <n v="437206.53"/>
    <n v="-83665.53"/>
    <x v="149"/>
    <x v="1"/>
    <s v="Credit Card"/>
    <s v="FY2023-2024"/>
    <s v=""/>
    <s v="Expense"/>
    <m/>
  </r>
  <r>
    <x v="609"/>
    <x v="7"/>
    <x v="9"/>
    <x v="0"/>
    <n v="373087"/>
    <m/>
    <n v="27056.95"/>
    <x v="428"/>
    <x v="0"/>
    <s v="Petty Cash"/>
    <s v="FY2024-2025"/>
    <s v="Under review"/>
    <s v="Expense"/>
    <s v="Flag: High-Value Pending"/>
  </r>
  <r>
    <x v="610"/>
    <x v="3"/>
    <x v="10"/>
    <x v="6"/>
    <n v="279563"/>
    <n v="234612.89"/>
    <n v="44950.11"/>
    <x v="415"/>
    <x v="1"/>
    <s v="Credit Card"/>
    <s v="FY2024-2025"/>
    <s v=""/>
    <s v="Expense"/>
    <m/>
  </r>
  <r>
    <x v="611"/>
    <x v="3"/>
    <x v="1"/>
    <x v="5"/>
    <n v="487139"/>
    <n v="421965.28"/>
    <n v="65173.72"/>
    <x v="429"/>
    <x v="0"/>
    <s v="Credit Card"/>
    <s v="FY2023-2024"/>
    <s v="Under review"/>
    <s v="Expense"/>
    <s v="Flag: High-Value Pending"/>
  </r>
  <r>
    <x v="612"/>
    <x v="1"/>
    <x v="4"/>
    <x v="9"/>
    <n v="101020"/>
    <n v="107948.77"/>
    <n v="-6928.77"/>
    <x v="430"/>
    <x v="1"/>
    <s v="Bank Transfer"/>
    <s v="FY2024-2025"/>
    <s v="Duplicate entry"/>
    <s v="Expense"/>
    <m/>
  </r>
  <r>
    <x v="613"/>
    <x v="1"/>
    <x v="2"/>
    <x v="10"/>
    <n v="3871580"/>
    <n v="4477180.8600000003"/>
    <n v="-605600.86"/>
    <x v="431"/>
    <x v="1"/>
    <s v="Bank Transfer"/>
    <s v="FY2024-2025"/>
    <s v="Under review"/>
    <s v="Expense"/>
    <m/>
  </r>
  <r>
    <x v="614"/>
    <x v="4"/>
    <x v="9"/>
    <x v="4"/>
    <n v="206855"/>
    <n v="241953.53"/>
    <n v="-35098.53"/>
    <x v="432"/>
    <x v="1"/>
    <s v="Petty Cash"/>
    <s v="FY2024-2025"/>
    <s v=""/>
    <s v="Expense"/>
    <m/>
  </r>
  <r>
    <x v="615"/>
    <x v="6"/>
    <x v="7"/>
    <x v="12"/>
    <n v="110290"/>
    <n v="120734.21"/>
    <n v="-10444.209999999999"/>
    <x v="241"/>
    <x v="1"/>
    <s v="Credit Card"/>
    <s v="FY2024-2025"/>
    <s v=""/>
    <s v="Expense"/>
    <m/>
  </r>
  <r>
    <x v="616"/>
    <x v="7"/>
    <x v="4"/>
    <x v="11"/>
    <n v="192063"/>
    <n v="226771.37"/>
    <n v="-34708.370000000003"/>
    <x v="186"/>
    <x v="1"/>
    <s v="Petty Cash"/>
    <s v="FY2023-2024"/>
    <s v="Duplicate entry"/>
    <s v="Expense"/>
    <m/>
  </r>
  <r>
    <x v="617"/>
    <x v="4"/>
    <x v="3"/>
    <x v="12"/>
    <n v="224252"/>
    <n v="185020.29"/>
    <n v="39231.71"/>
    <x v="433"/>
    <x v="0"/>
    <s v="Credit Card"/>
    <s v="FY2024-2025"/>
    <s v="One-time"/>
    <s v="Expense"/>
    <s v="Flag: High-Value Pending"/>
  </r>
  <r>
    <x v="618"/>
    <x v="4"/>
    <x v="11"/>
    <x v="13"/>
    <n v="32855"/>
    <n v="38176.58"/>
    <n v="-5321.58"/>
    <x v="56"/>
    <x v="0"/>
    <s v="Vendor Credit"/>
    <s v="FY2024-2025"/>
    <s v="Under review"/>
    <s v="Expense"/>
    <m/>
  </r>
  <r>
    <x v="619"/>
    <x v="6"/>
    <x v="6"/>
    <x v="0"/>
    <n v="136601"/>
    <n v="159694.84"/>
    <n v="-23093.84"/>
    <x v="148"/>
    <x v="1"/>
    <s v="Credit Card"/>
    <s v="FY2023-2024"/>
    <s v=""/>
    <s v="Expense"/>
    <m/>
  </r>
  <r>
    <x v="620"/>
    <x v="3"/>
    <x v="4"/>
    <x v="1"/>
    <n v="360122"/>
    <n v="401001.23"/>
    <n v="-40879.230000000003"/>
    <x v="434"/>
    <x v="1"/>
    <s v="Vendor Credit"/>
    <s v="FY2024-2025"/>
    <s v="Urgent"/>
    <s v="Expense"/>
    <m/>
  </r>
  <r>
    <x v="621"/>
    <x v="4"/>
    <x v="5"/>
    <x v="8"/>
    <n v="126970"/>
    <n v="120592.95"/>
    <n v="6377.05"/>
    <x v="435"/>
    <x v="1"/>
    <s v="Vendor Credit"/>
    <s v="FY2022-2023"/>
    <s v=""/>
    <s v="Expense"/>
    <m/>
  </r>
  <r>
    <x v="622"/>
    <x v="4"/>
    <x v="11"/>
    <x v="14"/>
    <n v="441904"/>
    <n v="499211.03"/>
    <n v="-57307.03"/>
    <x v="436"/>
    <x v="1"/>
    <s v="Bank Transfer"/>
    <s v="FY2024-2025"/>
    <s v="One-time"/>
    <s v="Expense"/>
    <m/>
  </r>
  <r>
    <x v="623"/>
    <x v="1"/>
    <x v="10"/>
    <x v="6"/>
    <n v="309027"/>
    <n v="360549.36"/>
    <n v="-51522.36"/>
    <x v="80"/>
    <x v="1"/>
    <s v="Vendor Credit"/>
    <s v="FY2024-2025"/>
    <s v=""/>
    <s v="Expense"/>
    <m/>
  </r>
  <r>
    <x v="624"/>
    <x v="1"/>
    <x v="5"/>
    <x v="6"/>
    <n v="413361"/>
    <n v="485666.79"/>
    <n v="-72305.789999999994"/>
    <x v="437"/>
    <x v="2"/>
    <s v="Vendor Credit"/>
    <s v="FY2024-2025"/>
    <s v=""/>
    <s v="Expense"/>
    <s v="Flag: High-Value Pending"/>
  </r>
  <r>
    <x v="625"/>
    <x v="7"/>
    <x v="7"/>
    <x v="10"/>
    <n v="189952"/>
    <n v="208997.94"/>
    <n v="-19045.939999999999"/>
    <x v="113"/>
    <x v="1"/>
    <s v="Petty Cash"/>
    <s v="FY2023-2024"/>
    <s v=""/>
    <s v="Expense"/>
    <m/>
  </r>
  <r>
    <x v="626"/>
    <x v="7"/>
    <x v="9"/>
    <x v="10"/>
    <n v="78379"/>
    <n v="88467.55"/>
    <n v="-10088.549999999999"/>
    <x v="438"/>
    <x v="2"/>
    <s v="Bank Transfer"/>
    <s v="FY2024-2025"/>
    <s v="Duplicate entry"/>
    <s v="Expense"/>
    <m/>
  </r>
  <r>
    <x v="627"/>
    <x v="4"/>
    <x v="9"/>
    <x v="12"/>
    <n v="-60952"/>
    <n v="72912.62"/>
    <n v="-11960.62"/>
    <x v="136"/>
    <x v="1"/>
    <s v="Vendor Credit"/>
    <s v="FY2023-2024"/>
    <s v="One-time"/>
    <s v="Credit/Refund"/>
    <m/>
  </r>
  <r>
    <x v="628"/>
    <x v="3"/>
    <x v="6"/>
    <x v="14"/>
    <n v="269339"/>
    <n v="288948.13"/>
    <n v="-19609.13"/>
    <x v="267"/>
    <x v="1"/>
    <s v="Vendor Credit"/>
    <s v="FY2023-2024"/>
    <s v=""/>
    <s v="Expense"/>
    <m/>
  </r>
  <r>
    <x v="629"/>
    <x v="5"/>
    <x v="1"/>
    <x v="10"/>
    <n v="274282"/>
    <n v="229786.46"/>
    <n v="44495.54"/>
    <x v="143"/>
    <x v="2"/>
    <s v="Petty Cash"/>
    <s v="FY2023-2024"/>
    <s v="One-time"/>
    <s v="Expense"/>
    <s v="Flag: High-Value Pending"/>
  </r>
  <r>
    <x v="630"/>
    <x v="7"/>
    <x v="3"/>
    <x v="13"/>
    <n v="2978304"/>
    <n v="3616084.01"/>
    <n v="-637780.01"/>
    <x v="388"/>
    <x v="2"/>
    <s v="Credit Card"/>
    <s v="FY2024-2025"/>
    <s v=""/>
    <s v="Expense"/>
    <s v="Flag: High-Value Pending"/>
  </r>
  <r>
    <x v="631"/>
    <x v="3"/>
    <x v="8"/>
    <x v="13"/>
    <n v="455959"/>
    <n v="368542.6"/>
    <n v="87416.4"/>
    <x v="381"/>
    <x v="1"/>
    <s v="Credit Card"/>
    <s v="FY2023-2024"/>
    <s v="Duplicate entry"/>
    <s v="Expense"/>
    <m/>
  </r>
  <r>
    <x v="632"/>
    <x v="7"/>
    <x v="9"/>
    <x v="14"/>
    <n v="385655"/>
    <n v="420574.97"/>
    <n v="-34919.97"/>
    <x v="72"/>
    <x v="1"/>
    <s v="Bank Transfer"/>
    <s v="FY2024-2025"/>
    <s v=""/>
    <s v="Expense"/>
    <m/>
  </r>
  <r>
    <x v="633"/>
    <x v="0"/>
    <x v="9"/>
    <x v="11"/>
    <n v="154946"/>
    <n v="196174.27"/>
    <n v="-41228.269999999997"/>
    <x v="370"/>
    <x v="1"/>
    <s v="Vendor Credit"/>
    <s v="FY2023-2024"/>
    <s v=""/>
    <s v="Expense"/>
    <m/>
  </r>
  <r>
    <x v="634"/>
    <x v="4"/>
    <x v="3"/>
    <x v="2"/>
    <n v="177724"/>
    <n v="225967.83"/>
    <n v="-48243.83"/>
    <x v="439"/>
    <x v="1"/>
    <s v="Credit Card"/>
    <s v="FY2024-2025"/>
    <s v=""/>
    <s v="Expense"/>
    <m/>
  </r>
  <r>
    <x v="635"/>
    <x v="4"/>
    <x v="10"/>
    <x v="7"/>
    <n v="163856"/>
    <n v="149335.29"/>
    <n v="14520.71"/>
    <x v="440"/>
    <x v="1"/>
    <s v="Bank Transfer"/>
    <s v="FY2023-2024"/>
    <s v=""/>
    <s v="Expense"/>
    <m/>
  </r>
  <r>
    <x v="636"/>
    <x v="2"/>
    <x v="3"/>
    <x v="14"/>
    <n v="196085"/>
    <n v="235636.22"/>
    <m/>
    <x v="343"/>
    <x v="0"/>
    <s v="Bank Transfer"/>
    <s v="FY2022-2023"/>
    <s v="Urgent"/>
    <s v="Expense"/>
    <m/>
  </r>
  <r>
    <x v="637"/>
    <x v="5"/>
    <x v="9"/>
    <x v="12"/>
    <n v="188428"/>
    <n v="202347.11"/>
    <n v="-13919.11"/>
    <x v="100"/>
    <x v="1"/>
    <s v="Petty Cash"/>
    <s v="FY2024-2025"/>
    <s v="One-time"/>
    <s v="Expense"/>
    <m/>
  </r>
  <r>
    <x v="638"/>
    <x v="5"/>
    <x v="8"/>
    <x v="0"/>
    <n v="23493"/>
    <n v="22343.54"/>
    <n v="1149.46"/>
    <x v="441"/>
    <x v="1"/>
    <s v="Credit Card"/>
    <s v="FY2024-2025"/>
    <s v="Duplicate entry"/>
    <s v="Expense"/>
    <m/>
  </r>
  <r>
    <x v="639"/>
    <x v="5"/>
    <x v="3"/>
    <x v="14"/>
    <n v="482592"/>
    <n v="497325.81"/>
    <n v="-14733.81"/>
    <x v="155"/>
    <x v="0"/>
    <s v="Petty Cash"/>
    <s v="FY2023-2024"/>
    <s v="One-time"/>
    <s v="Expense"/>
    <s v="Flag: High-Value Pending"/>
  </r>
  <r>
    <x v="640"/>
    <x v="5"/>
    <x v="5"/>
    <x v="5"/>
    <n v="273900"/>
    <n v="255513.07"/>
    <n v="18386.93"/>
    <x v="396"/>
    <x v="1"/>
    <s v="Bank Transfer"/>
    <s v="FY2023-2024"/>
    <s v=""/>
    <s v="Expense"/>
    <m/>
  </r>
  <r>
    <x v="641"/>
    <x v="6"/>
    <x v="4"/>
    <x v="3"/>
    <n v="59074"/>
    <n v="60585.23"/>
    <n v="-1511.23"/>
    <x v="442"/>
    <x v="1"/>
    <s v="Credit Card"/>
    <s v="FY2022-2023"/>
    <s v="One-time"/>
    <s v="Expense"/>
    <m/>
  </r>
  <r>
    <x v="642"/>
    <x v="6"/>
    <x v="1"/>
    <x v="11"/>
    <n v="69757"/>
    <n v="86250.27"/>
    <n v="-16493.27"/>
    <x v="443"/>
    <x v="0"/>
    <s v="Bank Transfer"/>
    <s v="FY2024-2025"/>
    <s v="Duplicate entry"/>
    <s v="Expense"/>
    <m/>
  </r>
  <r>
    <x v="643"/>
    <x v="4"/>
    <x v="2"/>
    <x v="0"/>
    <n v="251254"/>
    <n v="218808.44"/>
    <n v="32445.56"/>
    <x v="83"/>
    <x v="1"/>
    <s v="Vendor Credit"/>
    <s v="FY2024-2025"/>
    <s v="One-time"/>
    <s v="Expense"/>
    <m/>
  </r>
  <r>
    <x v="644"/>
    <x v="5"/>
    <x v="6"/>
    <x v="9"/>
    <n v="440497"/>
    <n v="413309.43"/>
    <n v="27187.57"/>
    <x v="444"/>
    <x v="1"/>
    <s v="Petty Cash"/>
    <s v="FY2023-2024"/>
    <s v=""/>
    <s v="Expense"/>
    <m/>
  </r>
  <r>
    <x v="645"/>
    <x v="1"/>
    <x v="6"/>
    <x v="15"/>
    <n v="72960"/>
    <n v="63624.22"/>
    <n v="9335.7800000000007"/>
    <x v="108"/>
    <x v="1"/>
    <s v="Petty Cash"/>
    <s v="FY2024-2025"/>
    <s v=""/>
    <s v="Expense"/>
    <m/>
  </r>
  <r>
    <x v="646"/>
    <x v="2"/>
    <x v="8"/>
    <x v="0"/>
    <n v="223349"/>
    <n v="214786.72"/>
    <n v="8562.2800000000007"/>
    <x v="372"/>
    <x v="1"/>
    <s v="Vendor Credit"/>
    <s v="FY2024-2025"/>
    <s v=""/>
    <s v="Expense"/>
    <m/>
  </r>
  <r>
    <x v="647"/>
    <x v="5"/>
    <x v="11"/>
    <x v="11"/>
    <n v="426324"/>
    <n v="511837.01"/>
    <n v="-85513.01"/>
    <x v="212"/>
    <x v="0"/>
    <s v="Credit Card"/>
    <s v="FY2023-2024"/>
    <s v=""/>
    <s v="Expense"/>
    <s v="Flag: High-Value Pending"/>
  </r>
  <r>
    <x v="648"/>
    <x v="6"/>
    <x v="2"/>
    <x v="9"/>
    <n v="52829"/>
    <n v="46790.34"/>
    <n v="6038.66"/>
    <x v="445"/>
    <x v="1"/>
    <s v="Bank Transfer"/>
    <s v="FY2024-2025"/>
    <s v=""/>
    <s v="Expense"/>
    <m/>
  </r>
  <r>
    <x v="649"/>
    <x v="7"/>
    <x v="12"/>
    <x v="1"/>
    <n v="277874"/>
    <n v="297760.69"/>
    <n v="-19886.689999999999"/>
    <x v="446"/>
    <x v="1"/>
    <s v="Vendor Credit"/>
    <s v="FY2023-2024"/>
    <s v=""/>
    <s v="Expense"/>
    <m/>
  </r>
  <r>
    <x v="650"/>
    <x v="4"/>
    <x v="8"/>
    <x v="5"/>
    <n v="484354"/>
    <n v="601393.41"/>
    <n v="-117039.41"/>
    <x v="447"/>
    <x v="0"/>
    <s v="Bank Transfer"/>
    <s v="FY2023-2024"/>
    <s v=""/>
    <s v="Expense"/>
    <s v="Flag: High-Value Pending"/>
  </r>
  <r>
    <x v="651"/>
    <x v="1"/>
    <x v="0"/>
    <x v="2"/>
    <n v="267336"/>
    <m/>
    <n v="-66738.820000000007"/>
    <x v="143"/>
    <x v="1"/>
    <s v="Credit Card"/>
    <s v="FY2023-2024"/>
    <s v=""/>
    <s v="Expense"/>
    <m/>
  </r>
  <r>
    <x v="652"/>
    <x v="3"/>
    <x v="8"/>
    <x v="0"/>
    <n v="234724"/>
    <n v="228850.97"/>
    <n v="5873.03"/>
    <x v="186"/>
    <x v="1"/>
    <s v="Petty Cash"/>
    <s v="FY2023-2024"/>
    <s v=""/>
    <s v="Expense"/>
    <m/>
  </r>
  <r>
    <x v="653"/>
    <x v="5"/>
    <x v="6"/>
    <x v="9"/>
    <n v="57908"/>
    <n v="52714.69"/>
    <n v="5193.3100000000004"/>
    <x v="448"/>
    <x v="0"/>
    <s v="Bank Transfer"/>
    <s v="FY2024-2025"/>
    <s v=""/>
    <s v="Expense"/>
    <m/>
  </r>
  <r>
    <x v="654"/>
    <x v="4"/>
    <x v="8"/>
    <x v="8"/>
    <n v="170596"/>
    <n v="198553.44"/>
    <n v="-27957.439999999999"/>
    <x v="103"/>
    <x v="0"/>
    <s v="Credit Card"/>
    <s v="FY2023-2024"/>
    <s v=""/>
    <s v="Expense"/>
    <m/>
  </r>
  <r>
    <x v="655"/>
    <x v="7"/>
    <x v="11"/>
    <x v="5"/>
    <n v="406142"/>
    <n v="459946.66"/>
    <n v="-53804.66"/>
    <x v="92"/>
    <x v="1"/>
    <s v="Bank Transfer"/>
    <s v="FY2023-2024"/>
    <s v=""/>
    <s v="Expense"/>
    <m/>
  </r>
  <r>
    <x v="656"/>
    <x v="4"/>
    <x v="8"/>
    <x v="15"/>
    <n v="213389"/>
    <n v="269457.19"/>
    <n v="-56068.19"/>
    <x v="107"/>
    <x v="0"/>
    <s v="Vendor Credit"/>
    <s v="FY2023-2024"/>
    <s v=""/>
    <s v="Expense"/>
    <s v="Flag: High-Value Pending"/>
  </r>
  <r>
    <x v="657"/>
    <x v="3"/>
    <x v="5"/>
    <x v="15"/>
    <n v="453323"/>
    <n v="367797.88"/>
    <n v="85525.119999999995"/>
    <x v="449"/>
    <x v="0"/>
    <s v="Petty Cash"/>
    <s v="FY2023-2024"/>
    <s v=""/>
    <s v="Expense"/>
    <s v="Flag: High-Value Pending"/>
  </r>
  <r>
    <x v="658"/>
    <x v="4"/>
    <x v="9"/>
    <x v="15"/>
    <n v="269050"/>
    <n v="333174.65000000002"/>
    <n v="-64124.65"/>
    <x v="336"/>
    <x v="1"/>
    <s v="Credit Card"/>
    <s v="FY2023-2024"/>
    <s v=""/>
    <s v="Expense"/>
    <m/>
  </r>
  <r>
    <x v="659"/>
    <x v="7"/>
    <x v="10"/>
    <x v="7"/>
    <n v="51108"/>
    <n v="46369.98"/>
    <n v="4738.0200000000004"/>
    <x v="31"/>
    <x v="1"/>
    <s v="Petty Cash"/>
    <s v="FY2023-2024"/>
    <s v="Recurring"/>
    <s v="Expense"/>
    <m/>
  </r>
  <r>
    <x v="660"/>
    <x v="1"/>
    <x v="12"/>
    <x v="0"/>
    <n v="371069"/>
    <n v="418595.72"/>
    <n v="-47526.720000000001"/>
    <x v="450"/>
    <x v="0"/>
    <s v="Petty Cash"/>
    <s v="FY2023-2024"/>
    <s v=""/>
    <s v="Expense"/>
    <s v="Flag: High-Value Pending"/>
  </r>
  <r>
    <x v="661"/>
    <x v="1"/>
    <x v="2"/>
    <x v="14"/>
    <n v="372842"/>
    <n v="397469.52"/>
    <n v="-24627.52"/>
    <x v="451"/>
    <x v="1"/>
    <s v="Vendor Credit"/>
    <s v="FY2024-2025"/>
    <s v="One-time"/>
    <s v="Expense"/>
    <m/>
  </r>
  <r>
    <x v="662"/>
    <x v="2"/>
    <x v="9"/>
    <x v="10"/>
    <n v="1811621"/>
    <n v="1654255.19"/>
    <n v="157365.81"/>
    <x v="332"/>
    <x v="1"/>
    <s v="Credit Card"/>
    <s v="FY2023-2024"/>
    <s v="Recurring"/>
    <s v="Expense"/>
    <m/>
  </r>
  <r>
    <x v="663"/>
    <x v="7"/>
    <x v="7"/>
    <x v="13"/>
    <n v="175404"/>
    <n v="214676.76"/>
    <n v="-39272.76"/>
    <x v="348"/>
    <x v="2"/>
    <s v="Credit Card"/>
    <s v="FY2022-2023"/>
    <s v=""/>
    <s v="Expense"/>
    <m/>
  </r>
  <r>
    <x v="664"/>
    <x v="1"/>
    <x v="6"/>
    <x v="8"/>
    <n v="208150"/>
    <n v="249693.88"/>
    <n v="-41543.879999999997"/>
    <x v="452"/>
    <x v="1"/>
    <s v="Petty Cash"/>
    <s v="FY2024-2025"/>
    <s v=""/>
    <s v="Expense"/>
    <m/>
  </r>
  <r>
    <x v="665"/>
    <x v="1"/>
    <x v="8"/>
    <x v="14"/>
    <n v="-465791"/>
    <n v="405659.2"/>
    <n v="60131.8"/>
    <x v="156"/>
    <x v="1"/>
    <s v="Vendor Credit"/>
    <s v="FY2023-2024"/>
    <s v=""/>
    <s v="Credit/Refund"/>
    <m/>
  </r>
  <r>
    <x v="666"/>
    <x v="6"/>
    <x v="9"/>
    <x v="11"/>
    <n v="432960"/>
    <n v="437124.63"/>
    <m/>
    <x v="453"/>
    <x v="1"/>
    <s v="Credit Card"/>
    <s v="FY2023-2024"/>
    <s v="One-time"/>
    <s v="Expense"/>
    <m/>
  </r>
  <r>
    <x v="667"/>
    <x v="3"/>
    <x v="4"/>
    <x v="0"/>
    <n v="20956"/>
    <n v="17326.400000000001"/>
    <n v="3629.6"/>
    <x v="18"/>
    <x v="2"/>
    <s v="Bank Transfer"/>
    <s v="FY2022-2023"/>
    <s v=""/>
    <s v="Expense"/>
    <m/>
  </r>
  <r>
    <x v="668"/>
    <x v="7"/>
    <x v="11"/>
    <x v="9"/>
    <n v="227030"/>
    <n v="287338.31"/>
    <n v="-60308.31"/>
    <x v="250"/>
    <x v="1"/>
    <s v="Vendor Credit"/>
    <s v="FY2023-2024"/>
    <s v="Recurring"/>
    <s v="Expense"/>
    <m/>
  </r>
  <r>
    <x v="669"/>
    <x v="2"/>
    <x v="12"/>
    <x v="7"/>
    <n v="497199"/>
    <n v="587241.94999999995"/>
    <n v="-90042.95"/>
    <x v="225"/>
    <x v="1"/>
    <s v="Bank Transfer"/>
    <s v="FY2023-2024"/>
    <s v=""/>
    <s v="Expense"/>
    <m/>
  </r>
  <r>
    <x v="670"/>
    <x v="4"/>
    <x v="1"/>
    <x v="12"/>
    <n v="17494"/>
    <n v="21819.33"/>
    <n v="-4325.33"/>
    <x v="50"/>
    <x v="0"/>
    <s v="Vendor Credit"/>
    <s v="FY2023-2024"/>
    <s v=""/>
    <s v="Expense"/>
    <m/>
  </r>
  <r>
    <x v="671"/>
    <x v="5"/>
    <x v="5"/>
    <x v="3"/>
    <n v="310160"/>
    <n v="351074.26"/>
    <n v="-40914.26"/>
    <x v="454"/>
    <x v="1"/>
    <s v="Petty Cash"/>
    <s v="FY2023-2024"/>
    <s v="Recurring"/>
    <s v="Expense"/>
    <m/>
  </r>
  <r>
    <x v="672"/>
    <x v="2"/>
    <x v="2"/>
    <x v="0"/>
    <n v="215143"/>
    <n v="173090.34"/>
    <n v="42052.66"/>
    <x v="343"/>
    <x v="1"/>
    <s v="Petty Cash"/>
    <s v="FY2022-2023"/>
    <s v=""/>
    <s v="Expense"/>
    <m/>
  </r>
  <r>
    <x v="673"/>
    <x v="6"/>
    <x v="1"/>
    <x v="12"/>
    <n v="144022"/>
    <n v="151176.37"/>
    <n v="-7154.37"/>
    <x v="206"/>
    <x v="1"/>
    <s v="Petty Cash"/>
    <s v="FY2023-2024"/>
    <s v=""/>
    <s v="Expense"/>
    <m/>
  </r>
  <r>
    <x v="674"/>
    <x v="1"/>
    <x v="8"/>
    <x v="5"/>
    <n v="299426"/>
    <n v="281637.83"/>
    <n v="17788.169999999998"/>
    <x v="257"/>
    <x v="1"/>
    <s v="Petty Cash"/>
    <s v="FY2024-2025"/>
    <s v="Recurring"/>
    <s v="Expense"/>
    <m/>
  </r>
  <r>
    <x v="675"/>
    <x v="5"/>
    <x v="8"/>
    <x v="15"/>
    <n v="371377"/>
    <m/>
    <n v="27780.1"/>
    <x v="86"/>
    <x v="1"/>
    <s v="Bank Transfer"/>
    <s v="FY2024-2025"/>
    <s v="Duplicate entry"/>
    <s v="Expense"/>
    <m/>
  </r>
  <r>
    <x v="676"/>
    <x v="5"/>
    <x v="2"/>
    <x v="11"/>
    <n v="175604"/>
    <n v="212918.44"/>
    <n v="-37314.44"/>
    <x v="126"/>
    <x v="1"/>
    <s v="Bank Transfer"/>
    <s v="FY2023-2024"/>
    <s v=""/>
    <s v="Expense"/>
    <m/>
  </r>
  <r>
    <x v="677"/>
    <x v="7"/>
    <x v="6"/>
    <x v="1"/>
    <n v="281456"/>
    <n v="247438.74"/>
    <n v="34017.26"/>
    <x v="151"/>
    <x v="1"/>
    <s v="Credit Card"/>
    <s v="FY2024-2025"/>
    <s v="One-time"/>
    <s v="Expense"/>
    <m/>
  </r>
  <r>
    <x v="678"/>
    <x v="0"/>
    <x v="9"/>
    <x v="5"/>
    <n v="346906"/>
    <n v="299819.77"/>
    <n v="47086.23"/>
    <x v="31"/>
    <x v="2"/>
    <s v="Bank Transfer"/>
    <s v="FY2023-2024"/>
    <s v=""/>
    <s v="Expense"/>
    <s v="Flag: High-Value Pending"/>
  </r>
  <r>
    <x v="679"/>
    <x v="1"/>
    <x v="2"/>
    <x v="0"/>
    <n v="69004"/>
    <n v="66399.42"/>
    <n v="2604.58"/>
    <x v="455"/>
    <x v="1"/>
    <s v="Vendor Credit"/>
    <s v="FY2024-2025"/>
    <s v="Duplicate entry"/>
    <s v="Expense"/>
    <m/>
  </r>
  <r>
    <x v="680"/>
    <x v="7"/>
    <x v="5"/>
    <x v="7"/>
    <n v="245775"/>
    <n v="198192.49"/>
    <n v="47582.51"/>
    <x v="456"/>
    <x v="0"/>
    <s v="Vendor Credit"/>
    <s v="FY2023-2024"/>
    <s v="Recurring"/>
    <s v="Expense"/>
    <s v="Flag: High-Value Pending"/>
  </r>
  <r>
    <x v="681"/>
    <x v="4"/>
    <x v="9"/>
    <x v="10"/>
    <n v="79739"/>
    <m/>
    <n v="2716.18"/>
    <x v="332"/>
    <x v="2"/>
    <s v="Bank Transfer"/>
    <s v="FY2023-2024"/>
    <s v=""/>
    <s v="Expense"/>
    <m/>
  </r>
  <r>
    <x v="682"/>
    <x v="0"/>
    <x v="6"/>
    <x v="2"/>
    <n v="475254"/>
    <n v="614613.85"/>
    <n v="-139359.85"/>
    <x v="313"/>
    <x v="1"/>
    <s v="Credit Card"/>
    <s v="FY2023-2024"/>
    <s v=""/>
    <s v="Expense"/>
    <m/>
  </r>
  <r>
    <x v="683"/>
    <x v="2"/>
    <x v="3"/>
    <x v="11"/>
    <n v="398103"/>
    <n v="495766.71"/>
    <n v="-97663.71"/>
    <x v="181"/>
    <x v="2"/>
    <s v="Credit Card"/>
    <s v="FY2024-2025"/>
    <s v=""/>
    <s v="Expense"/>
    <s v="Flag: High-Value Pending"/>
  </r>
  <r>
    <x v="684"/>
    <x v="5"/>
    <x v="5"/>
    <x v="8"/>
    <n v="260242"/>
    <n v="323419.07"/>
    <n v="-63177.07"/>
    <x v="457"/>
    <x v="1"/>
    <s v="Vendor Credit"/>
    <s v="FY2024-2025"/>
    <s v="Urgent"/>
    <s v="Expense"/>
    <m/>
  </r>
  <r>
    <x v="685"/>
    <x v="4"/>
    <x v="11"/>
    <x v="4"/>
    <n v="158593"/>
    <n v="189811.45"/>
    <n v="-31218.45"/>
    <x v="458"/>
    <x v="1"/>
    <s v="Petty Cash"/>
    <s v="FY2023-2024"/>
    <s v=""/>
    <s v="Expense"/>
    <m/>
  </r>
  <r>
    <x v="686"/>
    <x v="7"/>
    <x v="9"/>
    <x v="7"/>
    <n v="22033"/>
    <n v="26884.92"/>
    <n v="-4851.92"/>
    <x v="89"/>
    <x v="1"/>
    <s v="Petty Cash"/>
    <s v="FY2023-2024"/>
    <s v=""/>
    <s v="Expense"/>
    <m/>
  </r>
  <r>
    <x v="687"/>
    <x v="7"/>
    <x v="12"/>
    <x v="2"/>
    <n v="122344"/>
    <n v="98440.35"/>
    <n v="23903.65"/>
    <x v="124"/>
    <x v="0"/>
    <s v="Petty Cash"/>
    <s v="FY2024-2025"/>
    <s v=""/>
    <s v="Expense"/>
    <m/>
  </r>
  <r>
    <x v="688"/>
    <x v="4"/>
    <x v="7"/>
    <x v="6"/>
    <n v="214170"/>
    <n v="193322.14"/>
    <n v="20847.86"/>
    <x v="459"/>
    <x v="1"/>
    <s v="Vendor Credit"/>
    <s v="FY2023-2024"/>
    <s v=""/>
    <s v="Expense"/>
    <m/>
  </r>
  <r>
    <x v="689"/>
    <x v="7"/>
    <x v="3"/>
    <x v="11"/>
    <n v="3822383"/>
    <n v="3168723.63"/>
    <n v="653659.37"/>
    <x v="167"/>
    <x v="1"/>
    <s v="Credit Card"/>
    <s v="FY2023-2024"/>
    <s v=""/>
    <s v="Expense"/>
    <m/>
  </r>
  <r>
    <x v="690"/>
    <x v="6"/>
    <x v="5"/>
    <x v="5"/>
    <n v="89658"/>
    <n v="75892.789999999994"/>
    <n v="13765.21"/>
    <x v="152"/>
    <x v="1"/>
    <s v="Bank Transfer"/>
    <s v="FY2024-2025"/>
    <s v=""/>
    <s v="Expense"/>
    <m/>
  </r>
  <r>
    <x v="691"/>
    <x v="2"/>
    <x v="12"/>
    <x v="5"/>
    <n v="35480"/>
    <n v="46114.75"/>
    <n v="-10634.75"/>
    <x v="460"/>
    <x v="0"/>
    <s v="Vendor Credit"/>
    <s v="FY2024-2025"/>
    <s v=""/>
    <s v="Expense"/>
    <m/>
  </r>
  <r>
    <x v="692"/>
    <x v="3"/>
    <x v="4"/>
    <x v="0"/>
    <n v="310632"/>
    <n v="250617.47"/>
    <n v="60014.53"/>
    <x v="461"/>
    <x v="1"/>
    <s v="Petty Cash"/>
    <s v="FY2023-2024"/>
    <s v="One-time"/>
    <s v="Expense"/>
    <m/>
  </r>
  <r>
    <x v="693"/>
    <x v="1"/>
    <x v="1"/>
    <x v="9"/>
    <n v="424438"/>
    <n v="494028.26"/>
    <n v="-69590.259999999995"/>
    <x v="107"/>
    <x v="1"/>
    <s v="Vendor Credit"/>
    <s v="FY2023-2024"/>
    <s v=""/>
    <s v="Expense"/>
    <m/>
  </r>
  <r>
    <x v="694"/>
    <x v="3"/>
    <x v="1"/>
    <x v="9"/>
    <n v="22535"/>
    <m/>
    <n v="4387.13"/>
    <x v="433"/>
    <x v="1"/>
    <s v="Petty Cash"/>
    <s v="FY2024-2025"/>
    <s v="Under review"/>
    <s v="Expense"/>
    <m/>
  </r>
  <r>
    <x v="695"/>
    <x v="5"/>
    <x v="2"/>
    <x v="5"/>
    <n v="3850812"/>
    <n v="3234335.68"/>
    <n v="616476.31999999995"/>
    <x v="210"/>
    <x v="1"/>
    <s v="Credit Card"/>
    <s v="FY2024-2025"/>
    <s v=""/>
    <s v="Expense"/>
    <m/>
  </r>
  <r>
    <x v="696"/>
    <x v="3"/>
    <x v="4"/>
    <x v="14"/>
    <n v="185774"/>
    <n v="195983.52"/>
    <n v="-10209.52"/>
    <x v="462"/>
    <x v="1"/>
    <s v="Bank Transfer"/>
    <s v="FY2024-2025"/>
    <s v="Duplicate entry"/>
    <s v="Expense"/>
    <m/>
  </r>
  <r>
    <x v="697"/>
    <x v="6"/>
    <x v="6"/>
    <x v="15"/>
    <n v="198986"/>
    <n v="239082.26"/>
    <n v="-40096.26"/>
    <x v="170"/>
    <x v="1"/>
    <s v="Vendor Credit"/>
    <s v="FY2024-2025"/>
    <s v="Duplicate entry"/>
    <s v="Expense"/>
    <m/>
  </r>
  <r>
    <x v="698"/>
    <x v="5"/>
    <x v="9"/>
    <x v="11"/>
    <n v="219434"/>
    <m/>
    <n v="-44566.7"/>
    <x v="454"/>
    <x v="1"/>
    <s v="Bank Transfer"/>
    <s v="FY2023-2024"/>
    <s v=""/>
    <s v="Expense"/>
    <m/>
  </r>
  <r>
    <x v="699"/>
    <x v="6"/>
    <x v="8"/>
    <x v="4"/>
    <n v="459002"/>
    <n v="515040.04"/>
    <n v="-56038.04"/>
    <x v="463"/>
    <x v="1"/>
    <s v="Vendor Credit"/>
    <s v="FY2023-2024"/>
    <s v=""/>
    <s v="Expense"/>
    <m/>
  </r>
  <r>
    <x v="700"/>
    <x v="5"/>
    <x v="4"/>
    <x v="13"/>
    <n v="279796"/>
    <n v="340405.24"/>
    <n v="-60609.24"/>
    <x v="464"/>
    <x v="1"/>
    <s v="Credit Card"/>
    <s v="FY2024-2025"/>
    <s v="One-time"/>
    <s v="Expense"/>
    <m/>
  </r>
  <r>
    <x v="701"/>
    <x v="5"/>
    <x v="4"/>
    <x v="1"/>
    <n v="130966"/>
    <n v="160856.99"/>
    <n v="-29890.99"/>
    <x v="465"/>
    <x v="1"/>
    <s v="Credit Card"/>
    <s v="FY2024-2025"/>
    <s v=""/>
    <s v="Expense"/>
    <m/>
  </r>
  <r>
    <x v="702"/>
    <x v="1"/>
    <x v="5"/>
    <x v="11"/>
    <n v="436714"/>
    <n v="541586.1"/>
    <n v="-104872.1"/>
    <x v="466"/>
    <x v="0"/>
    <s v="Vendor Credit"/>
    <s v="FY2023-2024"/>
    <s v=""/>
    <s v="Expense"/>
    <s v="Flag: High-Value Pending"/>
  </r>
  <r>
    <x v="703"/>
    <x v="7"/>
    <x v="0"/>
    <x v="1"/>
    <n v="470117"/>
    <n v="426638.91"/>
    <n v="43478.09"/>
    <x v="274"/>
    <x v="1"/>
    <s v="Bank Transfer"/>
    <s v="FY2024-2025"/>
    <s v=""/>
    <s v="Expense"/>
    <m/>
  </r>
  <r>
    <x v="704"/>
    <x v="1"/>
    <x v="3"/>
    <x v="3"/>
    <n v="421801"/>
    <n v="542788.9"/>
    <m/>
    <x v="467"/>
    <x v="1"/>
    <s v="Bank Transfer"/>
    <s v="FY2024-2025"/>
    <s v=""/>
    <s v="Expense"/>
    <m/>
  </r>
  <r>
    <x v="705"/>
    <x v="4"/>
    <x v="9"/>
    <x v="2"/>
    <n v="45851"/>
    <n v="38583.03"/>
    <n v="7267.97"/>
    <x v="140"/>
    <x v="1"/>
    <s v="Bank Transfer"/>
    <s v="FY2023-2024"/>
    <s v="Urgent"/>
    <s v="Expense"/>
    <m/>
  </r>
  <r>
    <x v="706"/>
    <x v="4"/>
    <x v="6"/>
    <x v="9"/>
    <n v="53313"/>
    <n v="50666.5"/>
    <n v="2646.5"/>
    <x v="468"/>
    <x v="1"/>
    <s v="Petty Cash"/>
    <s v="FY2022-2023"/>
    <s v=""/>
    <s v="Expense"/>
    <m/>
  </r>
  <r>
    <x v="707"/>
    <x v="5"/>
    <x v="10"/>
    <x v="8"/>
    <n v="452489"/>
    <n v="461452.81"/>
    <n v="-8963.81"/>
    <x v="56"/>
    <x v="1"/>
    <s v="Petty Cash"/>
    <s v="FY2024-2025"/>
    <s v="One-time"/>
    <s v="Expense"/>
    <m/>
  </r>
  <r>
    <x v="708"/>
    <x v="4"/>
    <x v="2"/>
    <x v="8"/>
    <n v="36246"/>
    <n v="38737.800000000003"/>
    <n v="-2491.8000000000002"/>
    <x v="315"/>
    <x v="1"/>
    <s v="Vendor Credit"/>
    <s v="FY2023-2024"/>
    <s v=""/>
    <s v="Expense"/>
    <m/>
  </r>
  <r>
    <x v="709"/>
    <x v="6"/>
    <x v="9"/>
    <x v="13"/>
    <n v="209996"/>
    <n v="243691"/>
    <n v="-33695"/>
    <x v="120"/>
    <x v="1"/>
    <s v="Vendor Credit"/>
    <s v="FY2024-2025"/>
    <s v="Duplicate entry"/>
    <s v="Expense"/>
    <m/>
  </r>
  <r>
    <x v="710"/>
    <x v="2"/>
    <x v="6"/>
    <x v="11"/>
    <n v="113531"/>
    <n v="133028.99"/>
    <n v="-19497.990000000002"/>
    <x v="469"/>
    <x v="2"/>
    <s v="Credit Card"/>
    <s v="FY2023-2024"/>
    <s v=""/>
    <s v="Expense"/>
    <m/>
  </r>
  <r>
    <x v="711"/>
    <x v="3"/>
    <x v="4"/>
    <x v="14"/>
    <n v="379506"/>
    <n v="347157.14"/>
    <n v="32348.86"/>
    <x v="395"/>
    <x v="1"/>
    <s v="Bank Transfer"/>
    <s v="FY2024-2025"/>
    <s v="Recurring"/>
    <s v="Expense"/>
    <m/>
  </r>
  <r>
    <x v="712"/>
    <x v="1"/>
    <x v="3"/>
    <x v="10"/>
    <n v="339420"/>
    <n v="365658.17"/>
    <n v="-26238.17"/>
    <x v="460"/>
    <x v="2"/>
    <s v="Bank Transfer"/>
    <s v="FY2024-2025"/>
    <s v=""/>
    <s v="Expense"/>
    <s v="Flag: High-Value Pending"/>
  </r>
  <r>
    <x v="713"/>
    <x v="6"/>
    <x v="10"/>
    <x v="0"/>
    <n v="241358"/>
    <n v="279603.75"/>
    <n v="-38245.75"/>
    <x v="271"/>
    <x v="1"/>
    <s v="Credit Card"/>
    <s v="FY2024-2025"/>
    <s v="Recurring"/>
    <s v="Expense"/>
    <m/>
  </r>
  <r>
    <x v="714"/>
    <x v="6"/>
    <x v="3"/>
    <x v="8"/>
    <n v="4553011"/>
    <n v="5566948.4299999997"/>
    <n v="-1013937.43"/>
    <x v="413"/>
    <x v="1"/>
    <s v="Credit Card"/>
    <s v="FY2023-2024"/>
    <s v=""/>
    <s v="Expense"/>
    <m/>
  </r>
  <r>
    <x v="715"/>
    <x v="4"/>
    <x v="4"/>
    <x v="11"/>
    <n v="475898"/>
    <n v="548590.42000000004"/>
    <n v="-72692.42"/>
    <x v="158"/>
    <x v="1"/>
    <s v="Credit Card"/>
    <s v="FY2022-2023"/>
    <s v=""/>
    <s v="Expense"/>
    <m/>
  </r>
  <r>
    <x v="716"/>
    <x v="4"/>
    <x v="1"/>
    <x v="7"/>
    <n v="49983"/>
    <m/>
    <n v="-7108.96"/>
    <x v="371"/>
    <x v="1"/>
    <s v="Vendor Credit"/>
    <s v="FY2023-2024"/>
    <s v="Urgent"/>
    <s v="Expense"/>
    <m/>
  </r>
  <r>
    <x v="717"/>
    <x v="3"/>
    <x v="4"/>
    <x v="12"/>
    <n v="306684"/>
    <n v="366786.93"/>
    <n v="-60102.93"/>
    <x v="470"/>
    <x v="1"/>
    <s v="Credit Card"/>
    <s v="FY2022-2023"/>
    <s v="Urgent"/>
    <s v="Expense"/>
    <m/>
  </r>
  <r>
    <x v="718"/>
    <x v="1"/>
    <x v="3"/>
    <x v="6"/>
    <n v="357162"/>
    <n v="401350.71"/>
    <n v="-44188.71"/>
    <x v="471"/>
    <x v="2"/>
    <s v="Bank Transfer"/>
    <s v="FY2024-2025"/>
    <s v="One-time"/>
    <s v="Expense"/>
    <s v="Flag: High-Value Pending"/>
  </r>
  <r>
    <x v="719"/>
    <x v="4"/>
    <x v="8"/>
    <x v="8"/>
    <n v="135756"/>
    <n v="171145.25"/>
    <n v="-35389.25"/>
    <x v="472"/>
    <x v="1"/>
    <s v="Credit Card"/>
    <s v="FY2022-2023"/>
    <s v=""/>
    <s v="Expense"/>
    <m/>
  </r>
  <r>
    <x v="720"/>
    <x v="4"/>
    <x v="8"/>
    <x v="3"/>
    <n v="-454060"/>
    <n v="541468.72"/>
    <n v="-87408.72"/>
    <x v="300"/>
    <x v="1"/>
    <s v="Bank Transfer"/>
    <s v="FY2023-2024"/>
    <s v=""/>
    <s v="Credit/Refund"/>
    <m/>
  </r>
  <r>
    <x v="721"/>
    <x v="1"/>
    <x v="4"/>
    <x v="9"/>
    <n v="180981"/>
    <n v="202962.35"/>
    <n v="-21981.35"/>
    <x v="159"/>
    <x v="0"/>
    <s v="Petty Cash"/>
    <s v="FY2023-2024"/>
    <s v="Duplicate entry"/>
    <s v="Expense"/>
    <m/>
  </r>
  <r>
    <x v="722"/>
    <x v="4"/>
    <x v="11"/>
    <x v="12"/>
    <n v="217431"/>
    <n v="192943.18"/>
    <n v="24487.82"/>
    <x v="473"/>
    <x v="1"/>
    <s v="Vendor Credit"/>
    <s v="FY2024-2025"/>
    <s v="Duplicate entry"/>
    <s v="Expense"/>
    <m/>
  </r>
  <r>
    <x v="723"/>
    <x v="5"/>
    <x v="10"/>
    <x v="13"/>
    <n v="456859"/>
    <n v="418180.83"/>
    <n v="38678.17"/>
    <x v="42"/>
    <x v="1"/>
    <s v="Credit Card"/>
    <s v="FY2024-2025"/>
    <s v=""/>
    <s v="Expense"/>
    <m/>
  </r>
  <r>
    <x v="724"/>
    <x v="2"/>
    <x v="2"/>
    <x v="11"/>
    <n v="138304"/>
    <n v="121588.97"/>
    <m/>
    <x v="474"/>
    <x v="1"/>
    <s v="Vendor Credit"/>
    <s v="FY2023-2024"/>
    <s v=""/>
    <s v="Expense"/>
    <m/>
  </r>
  <r>
    <x v="725"/>
    <x v="4"/>
    <x v="4"/>
    <x v="3"/>
    <n v="257469"/>
    <n v="258131.14"/>
    <m/>
    <x v="475"/>
    <x v="1"/>
    <s v="Petty Cash"/>
    <s v="FY2024-2025"/>
    <s v="Recurring"/>
    <s v="Expense"/>
    <m/>
  </r>
  <r>
    <x v="726"/>
    <x v="3"/>
    <x v="5"/>
    <x v="0"/>
    <n v="492950"/>
    <n v="504226"/>
    <n v="-11276"/>
    <x v="476"/>
    <x v="1"/>
    <s v="Vendor Credit"/>
    <s v="FY2024-2025"/>
    <s v=""/>
    <s v="Expense"/>
    <m/>
  </r>
  <r>
    <x v="727"/>
    <x v="7"/>
    <x v="0"/>
    <x v="5"/>
    <n v="495963"/>
    <n v="486284.39"/>
    <n v="9678.61"/>
    <x v="477"/>
    <x v="1"/>
    <s v="Vendor Credit"/>
    <s v="FY2024-2025"/>
    <s v=""/>
    <s v="Expense"/>
    <m/>
  </r>
  <r>
    <x v="728"/>
    <x v="1"/>
    <x v="10"/>
    <x v="12"/>
    <n v="215775"/>
    <n v="205206.27"/>
    <n v="10568.73"/>
    <x v="326"/>
    <x v="0"/>
    <s v="Credit Card"/>
    <s v="FY2024-2025"/>
    <s v="Under review"/>
    <s v="Expense"/>
    <s v="Flag: High-Value Pending"/>
  </r>
  <r>
    <x v="729"/>
    <x v="6"/>
    <x v="8"/>
    <x v="2"/>
    <n v="3987139"/>
    <n v="3613274.29"/>
    <n v="373864.71"/>
    <x v="397"/>
    <x v="1"/>
    <s v="Credit Card"/>
    <s v="FY2023-2024"/>
    <s v="One-time"/>
    <s v="Expense"/>
    <m/>
  </r>
  <r>
    <x v="730"/>
    <x v="3"/>
    <x v="7"/>
    <x v="2"/>
    <n v="31262"/>
    <n v="30459.49"/>
    <n v="802.51"/>
    <x v="478"/>
    <x v="1"/>
    <s v="Bank Transfer"/>
    <s v="FY2024-2025"/>
    <s v=""/>
    <s v="Expense"/>
    <m/>
  </r>
  <r>
    <x v="731"/>
    <x v="6"/>
    <x v="3"/>
    <x v="6"/>
    <n v="21608"/>
    <n v="21731.88"/>
    <n v="-123.88"/>
    <x v="46"/>
    <x v="0"/>
    <s v="Bank Transfer"/>
    <s v="FY2022-2023"/>
    <s v="Urgent"/>
    <s v="Expense"/>
    <m/>
  </r>
  <r>
    <x v="732"/>
    <x v="6"/>
    <x v="10"/>
    <x v="6"/>
    <n v="152980"/>
    <n v="166179.15"/>
    <n v="-13199.15"/>
    <x v="448"/>
    <x v="1"/>
    <s v="Petty Cash"/>
    <s v="FY2024-2025"/>
    <s v=""/>
    <s v="Expense"/>
    <m/>
  </r>
  <r>
    <x v="733"/>
    <x v="4"/>
    <x v="9"/>
    <x v="6"/>
    <n v="32515"/>
    <n v="33972.97"/>
    <n v="-1457.97"/>
    <x v="350"/>
    <x v="0"/>
    <s v="Petty Cash"/>
    <s v="FY2024-2025"/>
    <s v="Urgent"/>
    <s v="Expense"/>
    <m/>
  </r>
  <r>
    <x v="734"/>
    <x v="4"/>
    <x v="1"/>
    <x v="6"/>
    <n v="195589"/>
    <n v="191747.64"/>
    <n v="3841.36"/>
    <x v="479"/>
    <x v="0"/>
    <s v="Credit Card"/>
    <s v="FY2024-2025"/>
    <s v="One-time"/>
    <s v="Expense"/>
    <m/>
  </r>
  <r>
    <x v="735"/>
    <x v="2"/>
    <x v="8"/>
    <x v="10"/>
    <n v="207083"/>
    <n v="190317.26"/>
    <m/>
    <x v="262"/>
    <x v="0"/>
    <s v="Bank Transfer"/>
    <s v="FY2022-2023"/>
    <s v="Duplicate entry"/>
    <s v="Expense"/>
    <s v="Flag: High-Value Pending"/>
  </r>
  <r>
    <x v="736"/>
    <x v="4"/>
    <x v="10"/>
    <x v="10"/>
    <n v="408903"/>
    <n v="385116.53"/>
    <n v="23786.47"/>
    <x v="382"/>
    <x v="0"/>
    <s v="Bank Transfer"/>
    <s v="FY2023-2024"/>
    <s v=""/>
    <s v="Expense"/>
    <s v="Flag: High-Value Pending"/>
  </r>
  <r>
    <x v="737"/>
    <x v="1"/>
    <x v="1"/>
    <x v="8"/>
    <n v="90070"/>
    <n v="106873.96"/>
    <n v="-16803.96"/>
    <x v="251"/>
    <x v="1"/>
    <s v="Bank Transfer"/>
    <s v="FY2024-2025"/>
    <s v="Duplicate entry"/>
    <s v="Expense"/>
    <m/>
  </r>
  <r>
    <x v="738"/>
    <x v="0"/>
    <x v="3"/>
    <x v="15"/>
    <n v="70355"/>
    <n v="81689.77"/>
    <n v="-11334.77"/>
    <x v="480"/>
    <x v="1"/>
    <s v="Vendor Credit"/>
    <s v="FY2023-2024"/>
    <s v=""/>
    <s v="Expense"/>
    <m/>
  </r>
  <r>
    <x v="739"/>
    <x v="1"/>
    <x v="0"/>
    <x v="12"/>
    <n v="-75828"/>
    <n v="81600.58"/>
    <n v="-5772.58"/>
    <x v="98"/>
    <x v="0"/>
    <s v="Petty Cash"/>
    <s v="FY2023-2024"/>
    <s v=""/>
    <s v="Credit/Refund"/>
    <m/>
  </r>
  <r>
    <x v="740"/>
    <x v="6"/>
    <x v="6"/>
    <x v="13"/>
    <n v="1149403"/>
    <n v="1033128.69"/>
    <n v="116274.31"/>
    <x v="481"/>
    <x v="1"/>
    <s v="Vendor Credit"/>
    <s v="FY2023-2024"/>
    <s v=""/>
    <s v="Expense"/>
    <m/>
  </r>
  <r>
    <x v="741"/>
    <x v="3"/>
    <x v="0"/>
    <x v="15"/>
    <n v="-459741"/>
    <m/>
    <n v="-106154.25"/>
    <x v="289"/>
    <x v="1"/>
    <s v="Bank Transfer"/>
    <s v="FY2024-2025"/>
    <s v="Duplicate entry"/>
    <s v="Credit/Refund"/>
    <m/>
  </r>
  <r>
    <x v="742"/>
    <x v="6"/>
    <x v="9"/>
    <x v="3"/>
    <n v="120321"/>
    <n v="96259.98"/>
    <n v="24061.02"/>
    <x v="482"/>
    <x v="1"/>
    <s v="Bank Transfer"/>
    <s v="FY2024-2025"/>
    <s v="Duplicate entry"/>
    <s v="Expense"/>
    <m/>
  </r>
  <r>
    <x v="743"/>
    <x v="7"/>
    <x v="8"/>
    <x v="7"/>
    <n v="318895"/>
    <n v="263063.44"/>
    <n v="55831.56"/>
    <x v="62"/>
    <x v="0"/>
    <s v="Vendor Credit"/>
    <s v="FY2024-2025"/>
    <s v="Under review"/>
    <s v="Expense"/>
    <s v="Flag: High-Value Pending"/>
  </r>
  <r>
    <x v="744"/>
    <x v="2"/>
    <x v="10"/>
    <x v="14"/>
    <n v="490856"/>
    <n v="485440.31"/>
    <n v="5415.69"/>
    <x v="249"/>
    <x v="0"/>
    <s v="Vendor Credit"/>
    <s v="FY2024-2025"/>
    <s v=""/>
    <s v="Expense"/>
    <s v="Flag: High-Value Pending"/>
  </r>
  <r>
    <x v="745"/>
    <x v="3"/>
    <x v="1"/>
    <x v="0"/>
    <n v="457290"/>
    <n v="477968.21"/>
    <n v="-20678.21"/>
    <x v="140"/>
    <x v="0"/>
    <s v="Vendor Credit"/>
    <s v="FY2023-2024"/>
    <s v=""/>
    <s v="Expense"/>
    <s v="Flag: High-Value Pending"/>
  </r>
  <r>
    <x v="746"/>
    <x v="3"/>
    <x v="5"/>
    <x v="4"/>
    <n v="232010"/>
    <n v="250718.99"/>
    <n v="-18708.990000000002"/>
    <x v="483"/>
    <x v="1"/>
    <s v="Petty Cash"/>
    <s v="FY2023-2024"/>
    <s v=""/>
    <s v="Expense"/>
    <m/>
  </r>
  <r>
    <x v="747"/>
    <x v="7"/>
    <x v="5"/>
    <x v="7"/>
    <n v="34888"/>
    <n v="43551.95"/>
    <n v="-8663.9500000000007"/>
    <x v="195"/>
    <x v="1"/>
    <s v="Bank Transfer"/>
    <s v="FY2023-2024"/>
    <s v="Recurring"/>
    <s v="Expense"/>
    <m/>
  </r>
  <r>
    <x v="748"/>
    <x v="4"/>
    <x v="7"/>
    <x v="11"/>
    <n v="442821"/>
    <n v="492553.85"/>
    <n v="-49732.85"/>
    <x v="426"/>
    <x v="0"/>
    <s v="Bank Transfer"/>
    <s v="FY2023-2024"/>
    <s v=""/>
    <s v="Expense"/>
    <s v="Flag: High-Value Pending"/>
  </r>
  <r>
    <x v="749"/>
    <x v="6"/>
    <x v="9"/>
    <x v="9"/>
    <n v="24861"/>
    <n v="29993.25"/>
    <n v="-5132.25"/>
    <x v="64"/>
    <x v="1"/>
    <s v="Credit Card"/>
    <s v="FY2023-2024"/>
    <s v="Recurring"/>
    <s v="Expense"/>
    <m/>
  </r>
  <r>
    <x v="750"/>
    <x v="2"/>
    <x v="10"/>
    <x v="15"/>
    <n v="107549"/>
    <n v="115101.72"/>
    <n v="-7552.72"/>
    <x v="484"/>
    <x v="1"/>
    <s v="Credit Card"/>
    <s v="FY2023-2024"/>
    <s v=""/>
    <s v="Expense"/>
    <m/>
  </r>
  <r>
    <x v="751"/>
    <x v="4"/>
    <x v="3"/>
    <x v="0"/>
    <n v="-16108"/>
    <n v="14660.94"/>
    <n v="1447.06"/>
    <x v="29"/>
    <x v="1"/>
    <s v="Vendor Credit"/>
    <s v="FY2023-2024"/>
    <s v=""/>
    <s v="Credit/Refund"/>
    <m/>
  </r>
  <r>
    <x v="752"/>
    <x v="7"/>
    <x v="1"/>
    <x v="3"/>
    <n v="236053"/>
    <n v="284918.45"/>
    <n v="-48865.45"/>
    <x v="186"/>
    <x v="0"/>
    <s v="Bank Transfer"/>
    <s v="FY2023-2024"/>
    <s v="Under review"/>
    <s v="Expense"/>
    <s v="Flag: High-Value Pending"/>
  </r>
  <r>
    <x v="753"/>
    <x v="2"/>
    <x v="2"/>
    <x v="13"/>
    <n v="324977"/>
    <n v="289642.40000000002"/>
    <n v="35334.6"/>
    <x v="442"/>
    <x v="1"/>
    <s v="Credit Card"/>
    <s v="FY2022-2023"/>
    <s v=""/>
    <s v="Expense"/>
    <m/>
  </r>
  <r>
    <x v="754"/>
    <x v="4"/>
    <x v="6"/>
    <x v="7"/>
    <n v="164769"/>
    <n v="138610.93"/>
    <n v="26158.07"/>
    <x v="82"/>
    <x v="1"/>
    <s v="Petty Cash"/>
    <s v="FY2024-2025"/>
    <s v=""/>
    <s v="Expense"/>
    <m/>
  </r>
  <r>
    <x v="755"/>
    <x v="4"/>
    <x v="11"/>
    <x v="0"/>
    <n v="214304"/>
    <n v="201065.68"/>
    <n v="13238.32"/>
    <x v="485"/>
    <x v="1"/>
    <s v="Bank Transfer"/>
    <s v="FY2023-2024"/>
    <s v=""/>
    <s v="Expense"/>
    <m/>
  </r>
  <r>
    <x v="756"/>
    <x v="7"/>
    <x v="3"/>
    <x v="9"/>
    <n v="308258"/>
    <m/>
    <n v="52497.88"/>
    <x v="15"/>
    <x v="1"/>
    <s v="Vendor Credit"/>
    <s v="FY2024-2025"/>
    <s v="Urgent"/>
    <s v="Expense"/>
    <m/>
  </r>
  <r>
    <x v="757"/>
    <x v="1"/>
    <x v="7"/>
    <x v="13"/>
    <n v="469790"/>
    <n v="438865.16"/>
    <n v="30924.84"/>
    <x v="486"/>
    <x v="0"/>
    <s v="Petty Cash"/>
    <s v="FY2023-2024"/>
    <s v=""/>
    <s v="Expense"/>
    <s v="Flag: High-Value Pending"/>
  </r>
  <r>
    <x v="758"/>
    <x v="7"/>
    <x v="0"/>
    <x v="12"/>
    <n v="4080302"/>
    <n v="5095533.09"/>
    <n v="-1015231.09"/>
    <x v="487"/>
    <x v="1"/>
    <s v="Bank Transfer"/>
    <s v="FY2023-2024"/>
    <s v="One-time"/>
    <s v="Expense"/>
    <m/>
  </r>
  <r>
    <x v="759"/>
    <x v="0"/>
    <x v="2"/>
    <x v="2"/>
    <n v="424165"/>
    <n v="545562.53"/>
    <n v="-121397.53"/>
    <x v="488"/>
    <x v="2"/>
    <s v="Petty Cash"/>
    <s v="FY2023-2024"/>
    <s v=""/>
    <s v="Expense"/>
    <s v="Flag: High-Value Pending"/>
  </r>
  <r>
    <x v="760"/>
    <x v="1"/>
    <x v="4"/>
    <x v="15"/>
    <n v="16329"/>
    <n v="17461.91"/>
    <n v="-1132.9100000000001"/>
    <x v="227"/>
    <x v="2"/>
    <s v="Vendor Credit"/>
    <s v="FY2024-2025"/>
    <s v="Under review"/>
    <s v="Expense"/>
    <m/>
  </r>
  <r>
    <x v="761"/>
    <x v="5"/>
    <x v="1"/>
    <x v="3"/>
    <n v="167339"/>
    <n v="151879.25"/>
    <n v="15459.75"/>
    <x v="489"/>
    <x v="0"/>
    <s v="Vendor Credit"/>
    <s v="FY2023-2024"/>
    <s v="Urgent"/>
    <s v="Expense"/>
    <m/>
  </r>
  <r>
    <x v="762"/>
    <x v="1"/>
    <x v="7"/>
    <x v="9"/>
    <n v="175865"/>
    <n v="195903.13"/>
    <n v="-20038.13"/>
    <x v="490"/>
    <x v="1"/>
    <s v="Vendor Credit"/>
    <s v="FY2024-2025"/>
    <s v="Duplicate entry"/>
    <s v="Expense"/>
    <m/>
  </r>
  <r>
    <x v="763"/>
    <x v="2"/>
    <x v="3"/>
    <x v="2"/>
    <n v="487754"/>
    <n v="518966.75"/>
    <n v="-31212.75"/>
    <x v="491"/>
    <x v="1"/>
    <s v="Bank Transfer"/>
    <s v="FY2022-2023"/>
    <s v="Duplicate entry"/>
    <s v="Expense"/>
    <m/>
  </r>
  <r>
    <x v="764"/>
    <x v="1"/>
    <x v="5"/>
    <x v="8"/>
    <n v="459805"/>
    <n v="418693.11"/>
    <n v="41111.89"/>
    <x v="492"/>
    <x v="0"/>
    <s v="Credit Card"/>
    <s v="FY2023-2024"/>
    <s v=""/>
    <s v="Expense"/>
    <s v="Flag: High-Value Pending"/>
  </r>
  <r>
    <x v="765"/>
    <x v="3"/>
    <x v="4"/>
    <x v="9"/>
    <n v="363544"/>
    <n v="411111.13"/>
    <n v="-47567.13"/>
    <x v="140"/>
    <x v="1"/>
    <s v="Petty Cash"/>
    <s v="FY2023-2024"/>
    <s v="One-time"/>
    <s v="Expense"/>
    <m/>
  </r>
  <r>
    <x v="766"/>
    <x v="7"/>
    <x v="12"/>
    <x v="10"/>
    <n v="270977"/>
    <n v="284437.09999999998"/>
    <m/>
    <x v="235"/>
    <x v="2"/>
    <s v="Petty Cash"/>
    <s v="FY2023-2024"/>
    <s v="Under review"/>
    <s v="Expense"/>
    <s v="Flag: High-Value Pending"/>
  </r>
  <r>
    <x v="767"/>
    <x v="7"/>
    <x v="8"/>
    <x v="5"/>
    <n v="446426"/>
    <n v="565500.15"/>
    <n v="-119074.15"/>
    <x v="151"/>
    <x v="1"/>
    <s v="Vendor Credit"/>
    <s v="FY2024-2025"/>
    <s v=""/>
    <s v="Expense"/>
    <m/>
  </r>
  <r>
    <x v="768"/>
    <x v="6"/>
    <x v="9"/>
    <x v="11"/>
    <n v="160693"/>
    <n v="189037.66"/>
    <n v="-28344.66"/>
    <x v="445"/>
    <x v="1"/>
    <s v="Credit Card"/>
    <s v="FY2024-2025"/>
    <s v=""/>
    <s v="Expense"/>
    <m/>
  </r>
  <r>
    <x v="769"/>
    <x v="2"/>
    <x v="11"/>
    <x v="12"/>
    <n v="369585"/>
    <n v="312154.65999999997"/>
    <n v="57430.34"/>
    <x v="493"/>
    <x v="1"/>
    <s v="Credit Card"/>
    <s v="FY2023-2024"/>
    <s v="Urgent"/>
    <s v="Expense"/>
    <m/>
  </r>
  <r>
    <x v="770"/>
    <x v="5"/>
    <x v="9"/>
    <x v="1"/>
    <n v="253400"/>
    <n v="277502.51"/>
    <m/>
    <x v="494"/>
    <x v="1"/>
    <s v="Bank Transfer"/>
    <s v="FY2023-2024"/>
    <s v="Recurring"/>
    <s v="Expense"/>
    <m/>
  </r>
  <r>
    <x v="771"/>
    <x v="7"/>
    <x v="2"/>
    <x v="1"/>
    <n v="167305"/>
    <n v="182180.82"/>
    <n v="-14875.82"/>
    <x v="495"/>
    <x v="1"/>
    <s v="Bank Transfer"/>
    <s v="FY2023-2024"/>
    <s v="Duplicate entry"/>
    <s v="Expense"/>
    <m/>
  </r>
  <r>
    <x v="772"/>
    <x v="1"/>
    <x v="6"/>
    <x v="1"/>
    <n v="461269"/>
    <n v="409343.83"/>
    <n v="51925.17"/>
    <x v="410"/>
    <x v="1"/>
    <s v="Petty Cash"/>
    <s v="FY2022-2023"/>
    <s v="Recurring"/>
    <s v="Expense"/>
    <m/>
  </r>
  <r>
    <x v="773"/>
    <x v="6"/>
    <x v="8"/>
    <x v="0"/>
    <n v="198602"/>
    <n v="226523.84"/>
    <n v="-27921.84"/>
    <x v="130"/>
    <x v="1"/>
    <s v="Credit Card"/>
    <s v="FY2023-2024"/>
    <s v="Recurring"/>
    <s v="Expense"/>
    <m/>
  </r>
  <r>
    <x v="774"/>
    <x v="2"/>
    <x v="2"/>
    <x v="0"/>
    <n v="8274"/>
    <n v="7305.97"/>
    <n v="968.03"/>
    <x v="367"/>
    <x v="0"/>
    <s v="Vendor Credit"/>
    <s v="FY2024-2025"/>
    <s v=""/>
    <s v="Expense"/>
    <m/>
  </r>
  <r>
    <x v="775"/>
    <x v="4"/>
    <x v="0"/>
    <x v="13"/>
    <n v="7375"/>
    <n v="8604.23"/>
    <n v="-1229.23"/>
    <x v="54"/>
    <x v="1"/>
    <s v="Petty Cash"/>
    <s v="FY2024-2025"/>
    <s v=""/>
    <s v="Expense"/>
    <m/>
  </r>
  <r>
    <x v="776"/>
    <x v="6"/>
    <x v="0"/>
    <x v="8"/>
    <n v="12919"/>
    <n v="13934.68"/>
    <n v="-1015.68"/>
    <x v="257"/>
    <x v="1"/>
    <s v="Petty Cash"/>
    <s v="FY2024-2025"/>
    <s v="Duplicate entry"/>
    <s v="Expense"/>
    <m/>
  </r>
  <r>
    <x v="777"/>
    <x v="2"/>
    <x v="4"/>
    <x v="8"/>
    <n v="95949"/>
    <n v="88296.02"/>
    <n v="7652.98"/>
    <x v="181"/>
    <x v="2"/>
    <s v="Bank Transfer"/>
    <s v="FY2024-2025"/>
    <s v=""/>
    <s v="Expense"/>
    <m/>
  </r>
  <r>
    <x v="778"/>
    <x v="6"/>
    <x v="11"/>
    <x v="7"/>
    <n v="496330"/>
    <n v="435374.25"/>
    <n v="60955.75"/>
    <x v="467"/>
    <x v="1"/>
    <s v="Petty Cash"/>
    <s v="FY2024-2025"/>
    <s v=""/>
    <s v="Expense"/>
    <m/>
  </r>
  <r>
    <x v="779"/>
    <x v="4"/>
    <x v="8"/>
    <x v="0"/>
    <n v="448339"/>
    <n v="359746.24"/>
    <n v="88592.76"/>
    <x v="68"/>
    <x v="0"/>
    <s v="Vendor Credit"/>
    <s v="FY2023-2024"/>
    <s v=""/>
    <s v="Expense"/>
    <s v="Flag: High-Value Pending"/>
  </r>
  <r>
    <x v="780"/>
    <x v="5"/>
    <x v="4"/>
    <x v="13"/>
    <n v="168693"/>
    <n v="161722.9"/>
    <n v="6970.1"/>
    <x v="308"/>
    <x v="0"/>
    <s v="Credit Card"/>
    <s v="FY2022-2023"/>
    <s v="One-time"/>
    <s v="Expense"/>
    <m/>
  </r>
  <r>
    <x v="781"/>
    <x v="6"/>
    <x v="12"/>
    <x v="1"/>
    <n v="173546"/>
    <n v="173452.46"/>
    <n v="93.54"/>
    <x v="496"/>
    <x v="0"/>
    <s v="Credit Card"/>
    <s v="FY2023-2024"/>
    <s v=""/>
    <s v="Expense"/>
    <m/>
  </r>
  <r>
    <x v="782"/>
    <x v="0"/>
    <x v="3"/>
    <x v="15"/>
    <n v="412881"/>
    <n v="340039.67999999999"/>
    <n v="72841.320000000007"/>
    <x v="497"/>
    <x v="2"/>
    <s v="Bank Transfer"/>
    <s v="FY2022-2023"/>
    <s v=""/>
    <s v="Expense"/>
    <s v="Flag: High-Value Pending"/>
  </r>
  <r>
    <x v="783"/>
    <x v="2"/>
    <x v="7"/>
    <x v="4"/>
    <n v="35927"/>
    <n v="45914.36"/>
    <n v="-9987.36"/>
    <x v="218"/>
    <x v="1"/>
    <s v="Petty Cash"/>
    <s v="FY2023-2024"/>
    <s v=""/>
    <s v="Expense"/>
    <m/>
  </r>
  <r>
    <x v="784"/>
    <x v="7"/>
    <x v="1"/>
    <x v="2"/>
    <n v="390986"/>
    <n v="404619.5"/>
    <n v="-13633.5"/>
    <x v="252"/>
    <x v="1"/>
    <s v="Vendor Credit"/>
    <s v="FY2024-2025"/>
    <s v="Recurring"/>
    <s v="Expense"/>
    <m/>
  </r>
  <r>
    <x v="785"/>
    <x v="4"/>
    <x v="4"/>
    <x v="11"/>
    <n v="135960"/>
    <n v="116749.08"/>
    <n v="19210.919999999998"/>
    <x v="113"/>
    <x v="1"/>
    <s v="Bank Transfer"/>
    <s v="FY2023-2024"/>
    <s v="One-time"/>
    <s v="Expense"/>
    <m/>
  </r>
  <r>
    <x v="786"/>
    <x v="7"/>
    <x v="0"/>
    <x v="11"/>
    <n v="-89871"/>
    <n v="83190.36"/>
    <n v="6680.64"/>
    <x v="498"/>
    <x v="1"/>
    <s v="Petty Cash"/>
    <s v="FY2024-2025"/>
    <s v="Urgent"/>
    <s v="Credit/Refund"/>
    <m/>
  </r>
  <r>
    <x v="787"/>
    <x v="7"/>
    <x v="11"/>
    <x v="13"/>
    <n v="108072"/>
    <n v="88284.56"/>
    <n v="19787.439999999999"/>
    <x v="444"/>
    <x v="1"/>
    <s v="Petty Cash"/>
    <s v="FY2023-2024"/>
    <s v="Under review"/>
    <s v="Expense"/>
    <m/>
  </r>
  <r>
    <x v="788"/>
    <x v="6"/>
    <x v="5"/>
    <x v="5"/>
    <n v="428750"/>
    <n v="479842.72"/>
    <n v="-51092.72"/>
    <x v="499"/>
    <x v="1"/>
    <s v="Petty Cash"/>
    <s v="FY2024-2025"/>
    <s v="Under review"/>
    <s v="Expense"/>
    <m/>
  </r>
  <r>
    <x v="789"/>
    <x v="6"/>
    <x v="10"/>
    <x v="11"/>
    <n v="239077"/>
    <n v="200844.41"/>
    <n v="38232.589999999997"/>
    <x v="500"/>
    <x v="1"/>
    <s v="Credit Card"/>
    <s v="FY2023-2024"/>
    <s v="Under review"/>
    <s v="Expense"/>
    <m/>
  </r>
  <r>
    <x v="790"/>
    <x v="5"/>
    <x v="7"/>
    <x v="5"/>
    <n v="84385"/>
    <n v="78834.36"/>
    <n v="5550.64"/>
    <x v="501"/>
    <x v="1"/>
    <s v="Bank Transfer"/>
    <s v="FY2024-2025"/>
    <s v=""/>
    <s v="Expense"/>
    <m/>
  </r>
  <r>
    <x v="791"/>
    <x v="7"/>
    <x v="7"/>
    <x v="12"/>
    <n v="388040"/>
    <n v="410506.58"/>
    <n v="-22466.58"/>
    <x v="502"/>
    <x v="1"/>
    <s v="Bank Transfer"/>
    <s v="FY2022-2023"/>
    <s v="Under review"/>
    <s v="Expense"/>
    <m/>
  </r>
  <r>
    <x v="792"/>
    <x v="1"/>
    <x v="4"/>
    <x v="9"/>
    <n v="287929"/>
    <n v="321097.12"/>
    <n v="-33168.120000000003"/>
    <x v="503"/>
    <x v="2"/>
    <s v="Bank Transfer"/>
    <s v="FY2024-2025"/>
    <s v=""/>
    <s v="Expense"/>
    <s v="Flag: High-Value Pending"/>
  </r>
  <r>
    <x v="793"/>
    <x v="2"/>
    <x v="10"/>
    <x v="12"/>
    <n v="32986"/>
    <n v="39333.22"/>
    <n v="-6347.22"/>
    <x v="504"/>
    <x v="1"/>
    <s v="Petty Cash"/>
    <s v="FY2023-2024"/>
    <s v=""/>
    <s v="Expense"/>
    <m/>
  </r>
  <r>
    <x v="794"/>
    <x v="6"/>
    <x v="10"/>
    <x v="0"/>
    <n v="156627"/>
    <n v="127580.83"/>
    <n v="29046.17"/>
    <x v="193"/>
    <x v="1"/>
    <s v="Bank Transfer"/>
    <s v="FY2023-2024"/>
    <s v=""/>
    <s v="Expense"/>
    <m/>
  </r>
  <r>
    <x v="795"/>
    <x v="7"/>
    <x v="0"/>
    <x v="4"/>
    <n v="253063"/>
    <n v="286029.01"/>
    <n v="-32966.01"/>
    <x v="60"/>
    <x v="1"/>
    <s v="Bank Transfer"/>
    <s v="FY2024-2025"/>
    <s v="Duplicate entry"/>
    <s v="Expense"/>
    <m/>
  </r>
  <r>
    <x v="796"/>
    <x v="7"/>
    <x v="11"/>
    <x v="1"/>
    <n v="404024"/>
    <n v="467959"/>
    <n v="-63935"/>
    <x v="78"/>
    <x v="1"/>
    <s v="Credit Card"/>
    <s v="FY2023-2024"/>
    <s v="Urgent"/>
    <s v="Expense"/>
    <m/>
  </r>
  <r>
    <x v="797"/>
    <x v="4"/>
    <x v="11"/>
    <x v="6"/>
    <n v="229257"/>
    <n v="239289.46"/>
    <n v="-10032.459999999999"/>
    <x v="505"/>
    <x v="1"/>
    <s v="Bank Transfer"/>
    <s v="FY2023-2024"/>
    <s v=""/>
    <s v="Expense"/>
    <m/>
  </r>
  <r>
    <x v="798"/>
    <x v="7"/>
    <x v="9"/>
    <x v="6"/>
    <n v="125151"/>
    <n v="111634.11"/>
    <n v="13516.89"/>
    <x v="506"/>
    <x v="1"/>
    <s v="Petty Cash"/>
    <s v="FY2022-2023"/>
    <s v="Under review"/>
    <s v="Expense"/>
    <m/>
  </r>
  <r>
    <x v="799"/>
    <x v="4"/>
    <x v="9"/>
    <x v="1"/>
    <n v="443067"/>
    <n v="406271.66"/>
    <n v="36795.339999999997"/>
    <x v="507"/>
    <x v="1"/>
    <s v="Credit Card"/>
    <s v="FY2022-2023"/>
    <s v="Duplicate entry"/>
    <s v="Expense"/>
    <m/>
  </r>
  <r>
    <x v="800"/>
    <x v="6"/>
    <x v="5"/>
    <x v="5"/>
    <n v="-492588"/>
    <n v="629810.97"/>
    <n v="-137222.97"/>
    <x v="128"/>
    <x v="1"/>
    <s v="Bank Transfer"/>
    <s v="FY2024-2025"/>
    <s v=""/>
    <s v="Credit/Refund"/>
    <m/>
  </r>
  <r>
    <x v="801"/>
    <x v="3"/>
    <x v="11"/>
    <x v="3"/>
    <n v="279567"/>
    <n v="251553.16"/>
    <n v="28013.84"/>
    <x v="214"/>
    <x v="2"/>
    <s v="Vendor Credit"/>
    <s v="FY2024-2025"/>
    <s v="One-time"/>
    <s v="Expense"/>
    <s v="Flag: High-Value Pending"/>
  </r>
  <r>
    <x v="802"/>
    <x v="3"/>
    <x v="4"/>
    <x v="12"/>
    <n v="380515"/>
    <m/>
    <n v="-20196.47"/>
    <x v="508"/>
    <x v="1"/>
    <s v="Vendor Credit"/>
    <s v="FY2023-2024"/>
    <s v="Recurring"/>
    <s v="Expense"/>
    <m/>
  </r>
  <r>
    <x v="803"/>
    <x v="6"/>
    <x v="1"/>
    <x v="1"/>
    <n v="335067"/>
    <n v="363966"/>
    <n v="-28899"/>
    <x v="139"/>
    <x v="1"/>
    <s v="Credit Card"/>
    <s v="FY2024-2025"/>
    <s v=""/>
    <s v="Expense"/>
    <m/>
  </r>
  <r>
    <x v="804"/>
    <x v="5"/>
    <x v="7"/>
    <x v="9"/>
    <n v="473508"/>
    <n v="539400.85"/>
    <n v="-65892.850000000006"/>
    <x v="509"/>
    <x v="2"/>
    <s v="Bank Transfer"/>
    <s v="FY2023-2024"/>
    <s v=""/>
    <s v="Expense"/>
    <s v="Flag: High-Value Pending"/>
  </r>
  <r>
    <x v="805"/>
    <x v="4"/>
    <x v="8"/>
    <x v="4"/>
    <n v="384032"/>
    <n v="396359.56"/>
    <n v="-12327.56"/>
    <x v="510"/>
    <x v="1"/>
    <s v="Credit Card"/>
    <s v="FY2024-2025"/>
    <s v="Duplicate entry"/>
    <s v="Expense"/>
    <m/>
  </r>
  <r>
    <x v="806"/>
    <x v="7"/>
    <x v="6"/>
    <x v="13"/>
    <n v="246878"/>
    <n v="295590.25"/>
    <n v="-48712.25"/>
    <x v="511"/>
    <x v="1"/>
    <s v="Bank Transfer"/>
    <s v="FY2024-2025"/>
    <s v=""/>
    <s v="Expense"/>
    <m/>
  </r>
  <r>
    <x v="807"/>
    <x v="1"/>
    <x v="10"/>
    <x v="10"/>
    <n v="358219"/>
    <n v="298904.96000000002"/>
    <n v="59314.04"/>
    <x v="512"/>
    <x v="0"/>
    <s v="Vendor Credit"/>
    <s v="FY2024-2025"/>
    <s v="One-time"/>
    <s v="Expense"/>
    <s v="Flag: High-Value Pending"/>
  </r>
  <r>
    <x v="808"/>
    <x v="7"/>
    <x v="7"/>
    <x v="8"/>
    <n v="475278"/>
    <n v="418002.98"/>
    <n v="57275.02"/>
    <x v="419"/>
    <x v="1"/>
    <s v="Petty Cash"/>
    <s v="FY2022-2023"/>
    <s v=""/>
    <s v="Expense"/>
    <m/>
  </r>
  <r>
    <x v="809"/>
    <x v="5"/>
    <x v="7"/>
    <x v="13"/>
    <n v="217149"/>
    <n v="208982.39999999999"/>
    <n v="8166.6"/>
    <x v="17"/>
    <x v="1"/>
    <s v="Petty Cash"/>
    <s v="FY2023-2024"/>
    <s v=""/>
    <s v="Expense"/>
    <m/>
  </r>
  <r>
    <x v="810"/>
    <x v="3"/>
    <x v="8"/>
    <x v="2"/>
    <n v="265427"/>
    <n v="274377.01"/>
    <n v="-8950.01"/>
    <x v="513"/>
    <x v="0"/>
    <s v="Petty Cash"/>
    <s v="FY2024-2025"/>
    <s v=""/>
    <s v="Expense"/>
    <s v="Flag: High-Value Pending"/>
  </r>
  <r>
    <x v="811"/>
    <x v="3"/>
    <x v="8"/>
    <x v="12"/>
    <n v="27117"/>
    <n v="33382.21"/>
    <n v="-6265.21"/>
    <x v="514"/>
    <x v="1"/>
    <s v="Bank Transfer"/>
    <s v="FY2024-2025"/>
    <s v=""/>
    <s v="Expense"/>
    <m/>
  </r>
  <r>
    <x v="812"/>
    <x v="7"/>
    <x v="8"/>
    <x v="0"/>
    <n v="486269"/>
    <n v="401150.6"/>
    <n v="85118.399999999994"/>
    <x v="515"/>
    <x v="1"/>
    <s v="Vendor Credit"/>
    <s v="FY2024-2025"/>
    <s v=""/>
    <s v="Expense"/>
    <m/>
  </r>
  <r>
    <x v="813"/>
    <x v="3"/>
    <x v="7"/>
    <x v="8"/>
    <n v="490350"/>
    <n v="534460.18999999994"/>
    <n v="-44110.19"/>
    <x v="516"/>
    <x v="1"/>
    <s v="Credit Card"/>
    <s v="FY2023-2024"/>
    <s v="Recurring"/>
    <s v="Expense"/>
    <m/>
  </r>
  <r>
    <x v="814"/>
    <x v="3"/>
    <x v="2"/>
    <x v="14"/>
    <n v="320947"/>
    <n v="256776.3"/>
    <n v="64170.7"/>
    <x v="517"/>
    <x v="1"/>
    <s v="Vendor Credit"/>
    <s v="FY2022-2023"/>
    <s v=""/>
    <s v="Expense"/>
    <m/>
  </r>
  <r>
    <x v="815"/>
    <x v="5"/>
    <x v="4"/>
    <x v="10"/>
    <n v="317409"/>
    <n v="267579.83"/>
    <n v="49829.17"/>
    <x v="518"/>
    <x v="1"/>
    <s v="Bank Transfer"/>
    <s v="FY2023-2024"/>
    <s v="One-time"/>
    <s v="Expense"/>
    <m/>
  </r>
  <r>
    <x v="816"/>
    <x v="2"/>
    <x v="6"/>
    <x v="12"/>
    <n v="447953"/>
    <n v="542934.6"/>
    <n v="-94981.6"/>
    <x v="333"/>
    <x v="0"/>
    <s v="Petty Cash"/>
    <s v="FY2022-2023"/>
    <s v="Under review"/>
    <s v="Expense"/>
    <s v="Flag: High-Value Pending"/>
  </r>
  <r>
    <x v="817"/>
    <x v="7"/>
    <x v="3"/>
    <x v="2"/>
    <n v="42730"/>
    <n v="54657.81"/>
    <n v="-11927.81"/>
    <x v="157"/>
    <x v="1"/>
    <s v="Bank Transfer"/>
    <s v="FY2023-2024"/>
    <s v="Recurring"/>
    <s v="Expense"/>
    <m/>
  </r>
  <r>
    <x v="818"/>
    <x v="5"/>
    <x v="7"/>
    <x v="4"/>
    <n v="157027"/>
    <n v="131202.97"/>
    <n v="25824.03"/>
    <x v="519"/>
    <x v="0"/>
    <s v="Bank Transfer"/>
    <s v="FY2022-2023"/>
    <s v="Recurring"/>
    <s v="Expense"/>
    <m/>
  </r>
  <r>
    <x v="819"/>
    <x v="1"/>
    <x v="8"/>
    <x v="11"/>
    <n v="201521"/>
    <n v="189535.4"/>
    <n v="11985.6"/>
    <x v="502"/>
    <x v="1"/>
    <s v="Bank Transfer"/>
    <s v="FY2022-2023"/>
    <s v=""/>
    <s v="Expense"/>
    <m/>
  </r>
  <r>
    <x v="820"/>
    <x v="4"/>
    <x v="8"/>
    <x v="14"/>
    <n v="51013"/>
    <n v="53300.56"/>
    <n v="-2287.56"/>
    <x v="520"/>
    <x v="1"/>
    <s v="Vendor Credit"/>
    <s v="FY2022-2023"/>
    <s v="One-time"/>
    <s v="Expense"/>
    <m/>
  </r>
  <r>
    <x v="821"/>
    <x v="1"/>
    <x v="11"/>
    <x v="5"/>
    <n v="437402"/>
    <n v="487674.31"/>
    <n v="-50272.31"/>
    <x v="521"/>
    <x v="1"/>
    <s v="Petty Cash"/>
    <s v="FY2023-2024"/>
    <s v=""/>
    <s v="Expense"/>
    <m/>
  </r>
  <r>
    <x v="822"/>
    <x v="2"/>
    <x v="2"/>
    <x v="10"/>
    <n v="469164"/>
    <n v="555054.97"/>
    <n v="-85890.97"/>
    <x v="475"/>
    <x v="0"/>
    <s v="Bank Transfer"/>
    <s v="FY2024-2025"/>
    <s v="Duplicate entry"/>
    <s v="Expense"/>
    <s v="Flag: High-Value Pending"/>
  </r>
  <r>
    <x v="823"/>
    <x v="5"/>
    <x v="1"/>
    <x v="8"/>
    <n v="238776"/>
    <n v="191381.1"/>
    <n v="47394.9"/>
    <x v="30"/>
    <x v="0"/>
    <s v="Bank Transfer"/>
    <s v="FY2023-2024"/>
    <s v=""/>
    <s v="Expense"/>
    <s v="Flag: High-Value Pending"/>
  </r>
  <r>
    <x v="824"/>
    <x v="7"/>
    <x v="2"/>
    <x v="4"/>
    <n v="155011"/>
    <n v="158821.14000000001"/>
    <n v="-3810.14"/>
    <x v="522"/>
    <x v="2"/>
    <s v="Vendor Credit"/>
    <s v="FY2024-2025"/>
    <s v="One-time"/>
    <s v="Expense"/>
    <m/>
  </r>
  <r>
    <x v="825"/>
    <x v="6"/>
    <x v="0"/>
    <x v="0"/>
    <n v="418713"/>
    <n v="451496.33"/>
    <n v="-32783.33"/>
    <x v="523"/>
    <x v="1"/>
    <s v="Credit Card"/>
    <s v="FY2024-2025"/>
    <s v="One-time"/>
    <s v="Expense"/>
    <m/>
  </r>
  <r>
    <x v="826"/>
    <x v="4"/>
    <x v="4"/>
    <x v="2"/>
    <n v="85651"/>
    <n v="97599.15"/>
    <n v="-11948.15"/>
    <x v="524"/>
    <x v="0"/>
    <s v="Bank Transfer"/>
    <s v="FY2022-2023"/>
    <s v="One-time"/>
    <s v="Expense"/>
    <m/>
  </r>
  <r>
    <x v="827"/>
    <x v="2"/>
    <x v="9"/>
    <x v="7"/>
    <n v="316179"/>
    <n v="258248.38"/>
    <n v="57930.62"/>
    <x v="96"/>
    <x v="1"/>
    <s v="Bank Transfer"/>
    <s v="FY2024-2025"/>
    <s v="Under review"/>
    <s v="Expense"/>
    <m/>
  </r>
  <r>
    <x v="828"/>
    <x v="7"/>
    <x v="3"/>
    <x v="9"/>
    <n v="-124146"/>
    <n v="147834.22"/>
    <n v="-23688.22"/>
    <x v="525"/>
    <x v="1"/>
    <s v="Vendor Credit"/>
    <s v="FY2022-2023"/>
    <s v=""/>
    <s v="Credit/Refund"/>
    <m/>
  </r>
  <r>
    <x v="829"/>
    <x v="5"/>
    <x v="5"/>
    <x v="5"/>
    <n v="204597"/>
    <n v="185145.44"/>
    <n v="19451.560000000001"/>
    <x v="507"/>
    <x v="2"/>
    <s v="Credit Card"/>
    <s v="FY2022-2023"/>
    <s v="One-time"/>
    <s v="Expense"/>
    <s v="Flag: High-Value Pending"/>
  </r>
  <r>
    <x v="830"/>
    <x v="4"/>
    <x v="3"/>
    <x v="4"/>
    <n v="23674"/>
    <n v="30695.72"/>
    <n v="-7021.72"/>
    <x v="526"/>
    <x v="1"/>
    <s v="Credit Card"/>
    <s v="FY2023-2024"/>
    <s v=""/>
    <s v="Expense"/>
    <m/>
  </r>
  <r>
    <x v="831"/>
    <x v="4"/>
    <x v="5"/>
    <x v="11"/>
    <n v="129748"/>
    <n v="121212"/>
    <n v="8536"/>
    <x v="527"/>
    <x v="0"/>
    <s v="Vendor Credit"/>
    <s v="FY2024-2025"/>
    <s v=""/>
    <s v="Expense"/>
    <m/>
  </r>
  <r>
    <x v="832"/>
    <x v="4"/>
    <x v="3"/>
    <x v="0"/>
    <n v="108538"/>
    <n v="119529.29"/>
    <n v="-10991.29"/>
    <x v="387"/>
    <x v="0"/>
    <s v="Vendor Credit"/>
    <s v="FY2023-2024"/>
    <s v=""/>
    <s v="Expense"/>
    <m/>
  </r>
  <r>
    <x v="833"/>
    <x v="1"/>
    <x v="3"/>
    <x v="4"/>
    <n v="217317"/>
    <n v="230592.77"/>
    <n v="-13275.77"/>
    <x v="77"/>
    <x v="1"/>
    <s v="Credit Card"/>
    <s v="FY2023-2024"/>
    <s v="Recurring"/>
    <s v="Expense"/>
    <m/>
  </r>
  <r>
    <x v="834"/>
    <x v="2"/>
    <x v="1"/>
    <x v="11"/>
    <n v="394994"/>
    <n v="434359.15"/>
    <n v="-39365.15"/>
    <x v="80"/>
    <x v="1"/>
    <s v="Petty Cash"/>
    <s v="FY2024-2025"/>
    <s v=""/>
    <s v="Expense"/>
    <m/>
  </r>
  <r>
    <x v="835"/>
    <x v="2"/>
    <x v="2"/>
    <x v="8"/>
    <n v="499654"/>
    <n v="567733.93999999994"/>
    <m/>
    <x v="250"/>
    <x v="1"/>
    <s v="Credit Card"/>
    <s v="FY2023-2024"/>
    <s v="One-time"/>
    <s v="Expense"/>
    <m/>
  </r>
  <r>
    <x v="836"/>
    <x v="1"/>
    <x v="1"/>
    <x v="7"/>
    <n v="434274"/>
    <n v="497122.38"/>
    <n v="-62848.38"/>
    <x v="101"/>
    <x v="1"/>
    <s v="Petty Cash"/>
    <s v="FY2024-2025"/>
    <s v="Recurring"/>
    <s v="Expense"/>
    <m/>
  </r>
  <r>
    <x v="837"/>
    <x v="6"/>
    <x v="4"/>
    <x v="10"/>
    <n v="496132"/>
    <n v="573145.44999999995"/>
    <n v="-77013.45"/>
    <x v="528"/>
    <x v="1"/>
    <s v="Credit Card"/>
    <s v="FY2023-2024"/>
    <s v="Recurring"/>
    <s v="Expense"/>
    <m/>
  </r>
  <r>
    <x v="838"/>
    <x v="6"/>
    <x v="3"/>
    <x v="11"/>
    <n v="412246"/>
    <n v="455124.97"/>
    <n v="-42878.97"/>
    <x v="112"/>
    <x v="2"/>
    <s v="Bank Transfer"/>
    <s v="FY2024-2025"/>
    <s v=""/>
    <s v="Expense"/>
    <s v="Flag: High-Value Pending"/>
  </r>
  <r>
    <x v="839"/>
    <x v="5"/>
    <x v="0"/>
    <x v="3"/>
    <n v="60429"/>
    <n v="77072.570000000007"/>
    <n v="-16643.57"/>
    <x v="529"/>
    <x v="1"/>
    <s v="Bank Transfer"/>
    <s v="FY2022-2023"/>
    <s v="Under review"/>
    <s v="Expense"/>
    <m/>
  </r>
  <r>
    <x v="840"/>
    <x v="3"/>
    <x v="2"/>
    <x v="4"/>
    <n v="374625"/>
    <n v="456726.65"/>
    <n v="-82101.649999999994"/>
    <x v="530"/>
    <x v="1"/>
    <s v="Vendor Credit"/>
    <s v="FY2024-2025"/>
    <s v="Duplicate entry"/>
    <s v="Expense"/>
    <m/>
  </r>
  <r>
    <x v="841"/>
    <x v="1"/>
    <x v="5"/>
    <x v="2"/>
    <n v="158870"/>
    <n v="185140.64"/>
    <n v="-26270.639999999999"/>
    <x v="515"/>
    <x v="1"/>
    <s v="Credit Card"/>
    <s v="FY2024-2025"/>
    <s v=""/>
    <s v="Expense"/>
    <m/>
  </r>
  <r>
    <x v="842"/>
    <x v="3"/>
    <x v="10"/>
    <x v="1"/>
    <n v="33731"/>
    <n v="32413.5"/>
    <n v="1317.5"/>
    <x v="393"/>
    <x v="1"/>
    <s v="Credit Card"/>
    <s v="FY2024-2025"/>
    <s v="Recurring"/>
    <s v="Expense"/>
    <m/>
  </r>
  <r>
    <x v="843"/>
    <x v="1"/>
    <x v="8"/>
    <x v="2"/>
    <n v="351052"/>
    <n v="286163.15000000002"/>
    <n v="64888.85"/>
    <x v="531"/>
    <x v="1"/>
    <s v="Vendor Credit"/>
    <s v="FY2024-2025"/>
    <s v=""/>
    <s v="Expense"/>
    <m/>
  </r>
  <r>
    <x v="844"/>
    <x v="3"/>
    <x v="6"/>
    <x v="11"/>
    <n v="163158"/>
    <n v="169309.95"/>
    <n v="-6151.95"/>
    <x v="532"/>
    <x v="1"/>
    <s v="Vendor Credit"/>
    <s v="FY2024-2025"/>
    <s v="Recurring"/>
    <s v="Expense"/>
    <m/>
  </r>
  <r>
    <x v="845"/>
    <x v="1"/>
    <x v="3"/>
    <x v="0"/>
    <n v="459947"/>
    <m/>
    <n v="42227.839999999997"/>
    <x v="533"/>
    <x v="1"/>
    <s v="Credit Card"/>
    <s v="FY2023-2024"/>
    <s v=""/>
    <s v="Expense"/>
    <m/>
  </r>
  <r>
    <x v="846"/>
    <x v="7"/>
    <x v="10"/>
    <x v="2"/>
    <n v="160414"/>
    <n v="190617.63"/>
    <m/>
    <x v="490"/>
    <x v="1"/>
    <s v="Petty Cash"/>
    <s v="FY2024-2025"/>
    <s v="Recurring"/>
    <s v="Expense"/>
    <m/>
  </r>
  <r>
    <x v="847"/>
    <x v="3"/>
    <x v="4"/>
    <x v="13"/>
    <n v="193856"/>
    <n v="236969.67"/>
    <n v="-43113.67"/>
    <x v="88"/>
    <x v="0"/>
    <s v="Vendor Credit"/>
    <s v="FY2024-2025"/>
    <s v=""/>
    <s v="Expense"/>
    <m/>
  </r>
  <r>
    <x v="848"/>
    <x v="5"/>
    <x v="7"/>
    <x v="8"/>
    <n v="285814"/>
    <n v="274229.90999999997"/>
    <n v="11584.09"/>
    <x v="177"/>
    <x v="1"/>
    <s v="Vendor Credit"/>
    <s v="FY2023-2024"/>
    <s v=""/>
    <s v="Expense"/>
    <m/>
  </r>
  <r>
    <x v="849"/>
    <x v="4"/>
    <x v="5"/>
    <x v="10"/>
    <n v="154986"/>
    <n v="172437.2"/>
    <n v="-17451.2"/>
    <x v="175"/>
    <x v="1"/>
    <s v="Credit Card"/>
    <s v="FY2024-2025"/>
    <s v="One-time"/>
    <s v="Expense"/>
    <m/>
  </r>
  <r>
    <x v="850"/>
    <x v="7"/>
    <x v="6"/>
    <x v="4"/>
    <n v="109902"/>
    <n v="138749.79999999999"/>
    <n v="-28847.8"/>
    <x v="289"/>
    <x v="1"/>
    <s v="Vendor Credit"/>
    <s v="FY2024-2025"/>
    <s v=""/>
    <s v="Expense"/>
    <m/>
  </r>
  <r>
    <x v="851"/>
    <x v="4"/>
    <x v="1"/>
    <x v="10"/>
    <n v="324040"/>
    <n v="322243.25"/>
    <n v="1796.75"/>
    <x v="534"/>
    <x v="1"/>
    <s v="Vendor Credit"/>
    <s v="FY2024-2025"/>
    <s v="Under review"/>
    <s v="Expense"/>
    <m/>
  </r>
  <r>
    <x v="852"/>
    <x v="1"/>
    <x v="2"/>
    <x v="6"/>
    <n v="1009569"/>
    <n v="1256355.31"/>
    <n v="-246786.31"/>
    <x v="343"/>
    <x v="0"/>
    <s v="Credit Card"/>
    <s v="FY2022-2023"/>
    <s v=""/>
    <s v="Expense"/>
    <s v="Flag: High-Value Pending"/>
  </r>
  <r>
    <x v="853"/>
    <x v="4"/>
    <x v="8"/>
    <x v="11"/>
    <n v="141275"/>
    <n v="160348.10999999999"/>
    <n v="-19073.11"/>
    <x v="260"/>
    <x v="1"/>
    <s v="Petty Cash"/>
    <s v="FY2024-2025"/>
    <s v=""/>
    <s v="Expense"/>
    <m/>
  </r>
  <r>
    <x v="854"/>
    <x v="7"/>
    <x v="0"/>
    <x v="15"/>
    <n v="30137"/>
    <n v="32641.68"/>
    <n v="-2504.6799999999998"/>
    <x v="406"/>
    <x v="1"/>
    <s v="Credit Card"/>
    <s v="FY2022-2023"/>
    <s v=""/>
    <s v="Expense"/>
    <m/>
  </r>
  <r>
    <x v="855"/>
    <x v="2"/>
    <x v="2"/>
    <x v="12"/>
    <n v="65763"/>
    <n v="74023.31"/>
    <n v="-8260.31"/>
    <x v="202"/>
    <x v="0"/>
    <s v="Petty Cash"/>
    <s v="FY2023-2024"/>
    <s v="One-time"/>
    <s v="Expense"/>
    <m/>
  </r>
  <r>
    <x v="856"/>
    <x v="7"/>
    <x v="2"/>
    <x v="9"/>
    <n v="29660"/>
    <n v="25504.05"/>
    <n v="4155.95"/>
    <x v="535"/>
    <x v="1"/>
    <s v="Petty Cash"/>
    <s v="FY2023-2024"/>
    <s v="One-time"/>
    <s v="Expense"/>
    <m/>
  </r>
  <r>
    <x v="857"/>
    <x v="1"/>
    <x v="7"/>
    <x v="8"/>
    <n v="338211"/>
    <n v="342254.12"/>
    <n v="-4043.12"/>
    <x v="536"/>
    <x v="1"/>
    <s v="Bank Transfer"/>
    <s v="FY2023-2024"/>
    <s v="Recurring"/>
    <s v="Expense"/>
    <m/>
  </r>
  <r>
    <x v="858"/>
    <x v="3"/>
    <x v="5"/>
    <x v="6"/>
    <n v="430475"/>
    <n v="434488.96"/>
    <n v="-4013.96"/>
    <x v="338"/>
    <x v="1"/>
    <s v="Petty Cash"/>
    <s v="FY2024-2025"/>
    <s v="Under review"/>
    <s v="Expense"/>
    <m/>
  </r>
  <r>
    <x v="859"/>
    <x v="1"/>
    <x v="2"/>
    <x v="9"/>
    <n v="386919"/>
    <n v="409039.34"/>
    <n v="-22120.34"/>
    <x v="537"/>
    <x v="1"/>
    <s v="Petty Cash"/>
    <s v="FY2024-2025"/>
    <s v=""/>
    <s v="Expense"/>
    <m/>
  </r>
  <r>
    <x v="860"/>
    <x v="6"/>
    <x v="6"/>
    <x v="14"/>
    <n v="198311"/>
    <n v="202285.82"/>
    <n v="-3974.82"/>
    <x v="538"/>
    <x v="0"/>
    <s v="Petty Cash"/>
    <s v="FY2024-2025"/>
    <s v="Recurring"/>
    <s v="Expense"/>
    <m/>
  </r>
  <r>
    <x v="861"/>
    <x v="5"/>
    <x v="4"/>
    <x v="8"/>
    <n v="270513"/>
    <n v="296890.17"/>
    <n v="-26377.17"/>
    <x v="464"/>
    <x v="0"/>
    <s v="Vendor Credit"/>
    <s v="FY2024-2025"/>
    <s v="Recurring"/>
    <s v="Expense"/>
    <s v="Flag: High-Value Pending"/>
  </r>
  <r>
    <x v="862"/>
    <x v="7"/>
    <x v="0"/>
    <x v="9"/>
    <n v="81879"/>
    <n v="104151.21"/>
    <n v="-22272.21"/>
    <x v="539"/>
    <x v="2"/>
    <s v="Credit Card"/>
    <s v="FY2024-2025"/>
    <s v=""/>
    <s v="Expense"/>
    <m/>
  </r>
  <r>
    <x v="863"/>
    <x v="1"/>
    <x v="9"/>
    <x v="4"/>
    <n v="367595"/>
    <n v="430319.99"/>
    <n v="-62724.99"/>
    <x v="426"/>
    <x v="1"/>
    <s v="Vendor Credit"/>
    <s v="FY2023-2024"/>
    <s v=""/>
    <s v="Expense"/>
    <m/>
  </r>
  <r>
    <x v="864"/>
    <x v="2"/>
    <x v="1"/>
    <x v="10"/>
    <n v="289597"/>
    <n v="282397.92"/>
    <n v="7199.08"/>
    <x v="540"/>
    <x v="1"/>
    <s v="Vendor Credit"/>
    <s v="FY2023-2024"/>
    <s v=""/>
    <s v="Expense"/>
    <m/>
  </r>
  <r>
    <x v="865"/>
    <x v="4"/>
    <x v="2"/>
    <x v="1"/>
    <n v="444300"/>
    <m/>
    <n v="-23709.82"/>
    <x v="268"/>
    <x v="1"/>
    <s v="Credit Card"/>
    <s v="FY2023-2024"/>
    <s v=""/>
    <s v="Expense"/>
    <m/>
  </r>
  <r>
    <x v="866"/>
    <x v="1"/>
    <x v="3"/>
    <x v="14"/>
    <n v="229406"/>
    <n v="256266.91"/>
    <n v="-26860.91"/>
    <x v="418"/>
    <x v="1"/>
    <s v="Bank Transfer"/>
    <s v="FY2023-2024"/>
    <s v="Recurring"/>
    <s v="Expense"/>
    <m/>
  </r>
  <r>
    <x v="867"/>
    <x v="6"/>
    <x v="0"/>
    <x v="15"/>
    <n v="433873"/>
    <n v="471343.29"/>
    <n v="-37470.29"/>
    <x v="44"/>
    <x v="1"/>
    <s v="Bank Transfer"/>
    <s v="FY2024-2025"/>
    <s v="Urgent"/>
    <s v="Expense"/>
    <m/>
  </r>
  <r>
    <x v="868"/>
    <x v="6"/>
    <x v="11"/>
    <x v="5"/>
    <n v="412046"/>
    <n v="414572.17"/>
    <n v="-2526.17"/>
    <x v="399"/>
    <x v="1"/>
    <s v="Credit Card"/>
    <s v="FY2024-2025"/>
    <s v=""/>
    <s v="Expense"/>
    <m/>
  </r>
  <r>
    <x v="869"/>
    <x v="6"/>
    <x v="0"/>
    <x v="8"/>
    <n v="352830"/>
    <n v="323583.27"/>
    <n v="29246.73"/>
    <x v="541"/>
    <x v="1"/>
    <s v="Petty Cash"/>
    <s v="FY2023-2024"/>
    <s v=""/>
    <s v="Expense"/>
    <m/>
  </r>
  <r>
    <x v="870"/>
    <x v="7"/>
    <x v="3"/>
    <x v="10"/>
    <n v="83091"/>
    <n v="80652.12"/>
    <n v="2438.88"/>
    <x v="542"/>
    <x v="1"/>
    <s v="Petty Cash"/>
    <s v="FY2022-2023"/>
    <s v=""/>
    <s v="Expense"/>
    <m/>
  </r>
  <r>
    <x v="871"/>
    <x v="3"/>
    <x v="2"/>
    <x v="3"/>
    <n v="489090"/>
    <n v="508698.44"/>
    <n v="-19608.439999999999"/>
    <x v="8"/>
    <x v="1"/>
    <s v="Petty Cash"/>
    <s v="FY2024-2025"/>
    <s v=""/>
    <s v="Expense"/>
    <m/>
  </r>
  <r>
    <x v="872"/>
    <x v="3"/>
    <x v="0"/>
    <x v="5"/>
    <n v="53049"/>
    <n v="62831.16"/>
    <n v="-9782.16"/>
    <x v="148"/>
    <x v="2"/>
    <s v="Credit Card"/>
    <s v="FY2023-2024"/>
    <s v="Urgent"/>
    <s v="Expense"/>
    <m/>
  </r>
  <r>
    <x v="873"/>
    <x v="1"/>
    <x v="6"/>
    <x v="0"/>
    <n v="-263534"/>
    <n v="274868.96000000002"/>
    <m/>
    <x v="229"/>
    <x v="2"/>
    <s v="Vendor Credit"/>
    <s v="FY2023-2024"/>
    <s v="Urgent"/>
    <s v="Credit/Refund"/>
    <m/>
  </r>
  <r>
    <x v="874"/>
    <x v="3"/>
    <x v="4"/>
    <x v="3"/>
    <n v="-314516"/>
    <n v="275322.02"/>
    <n v="39193.980000000003"/>
    <x v="543"/>
    <x v="0"/>
    <s v="Petty Cash"/>
    <s v="FY2023-2024"/>
    <s v=""/>
    <s v="Credit/Refund"/>
    <m/>
  </r>
  <r>
    <x v="875"/>
    <x v="7"/>
    <x v="4"/>
    <x v="14"/>
    <n v="390526"/>
    <n v="476205.24"/>
    <m/>
    <x v="55"/>
    <x v="1"/>
    <s v="Petty Cash"/>
    <s v="FY2023-2024"/>
    <s v=""/>
    <s v="Expense"/>
    <m/>
  </r>
  <r>
    <x v="876"/>
    <x v="6"/>
    <x v="3"/>
    <x v="12"/>
    <n v="162145"/>
    <n v="130887.25"/>
    <n v="31257.75"/>
    <x v="484"/>
    <x v="1"/>
    <s v="Bank Transfer"/>
    <s v="FY2023-2024"/>
    <s v="Urgent"/>
    <s v="Expense"/>
    <m/>
  </r>
  <r>
    <x v="877"/>
    <x v="1"/>
    <x v="6"/>
    <x v="3"/>
    <n v="389446"/>
    <n v="441845.35"/>
    <n v="-52399.35"/>
    <x v="50"/>
    <x v="1"/>
    <s v="Petty Cash"/>
    <s v="FY2023-2024"/>
    <s v="Under review"/>
    <s v="Expense"/>
    <m/>
  </r>
  <r>
    <x v="878"/>
    <x v="7"/>
    <x v="11"/>
    <x v="1"/>
    <n v="459009"/>
    <n v="566572.53"/>
    <n v="-107563.53"/>
    <x v="137"/>
    <x v="0"/>
    <s v="Credit Card"/>
    <s v="FY2023-2024"/>
    <s v=""/>
    <s v="Expense"/>
    <s v="Flag: High-Value Pending"/>
  </r>
  <r>
    <x v="879"/>
    <x v="2"/>
    <x v="2"/>
    <x v="10"/>
    <n v="190747"/>
    <n v="213302.01"/>
    <n v="-22555.01"/>
    <x v="458"/>
    <x v="0"/>
    <s v="Vendor Credit"/>
    <s v="FY2023-2024"/>
    <s v="Urgent"/>
    <s v="Expense"/>
    <m/>
  </r>
  <r>
    <x v="880"/>
    <x v="5"/>
    <x v="12"/>
    <x v="15"/>
    <n v="328626"/>
    <n v="393670.11"/>
    <n v="-65044.11"/>
    <x v="2"/>
    <x v="0"/>
    <s v="Bank Transfer"/>
    <s v="FY2023-2024"/>
    <s v="Duplicate entry"/>
    <s v="Expense"/>
    <s v="Flag: High-Value Pending"/>
  </r>
  <r>
    <x v="881"/>
    <x v="5"/>
    <x v="7"/>
    <x v="5"/>
    <n v="225579"/>
    <n v="281255.76"/>
    <m/>
    <x v="535"/>
    <x v="0"/>
    <s v="Bank Transfer"/>
    <s v="FY2023-2024"/>
    <s v="Duplicate entry"/>
    <s v="Expense"/>
    <s v="Flag: High-Value Pending"/>
  </r>
  <r>
    <x v="882"/>
    <x v="4"/>
    <x v="7"/>
    <x v="7"/>
    <n v="406692"/>
    <n v="495019.41"/>
    <n v="-88327.41"/>
    <x v="544"/>
    <x v="1"/>
    <s v="Bank Transfer"/>
    <s v="FY2023-2024"/>
    <s v="Recurring"/>
    <s v="Expense"/>
    <m/>
  </r>
  <r>
    <x v="883"/>
    <x v="3"/>
    <x v="8"/>
    <x v="2"/>
    <n v="377199"/>
    <n v="344024.27"/>
    <n v="33174.730000000003"/>
    <x v="496"/>
    <x v="0"/>
    <s v="Credit Card"/>
    <s v="FY2023-2024"/>
    <s v="One-time"/>
    <s v="Expense"/>
    <s v="Flag: High-Value Pending"/>
  </r>
  <r>
    <x v="884"/>
    <x v="1"/>
    <x v="6"/>
    <x v="4"/>
    <n v="111710"/>
    <n v="123408.52"/>
    <n v="-11698.52"/>
    <x v="17"/>
    <x v="1"/>
    <s v="Petty Cash"/>
    <s v="FY2023-2024"/>
    <s v="Duplicate entry"/>
    <s v="Expense"/>
    <m/>
  </r>
  <r>
    <x v="885"/>
    <x v="6"/>
    <x v="8"/>
    <x v="5"/>
    <n v="476868"/>
    <m/>
    <n v="70934.83"/>
    <x v="254"/>
    <x v="1"/>
    <s v="Vendor Credit"/>
    <s v="FY2023-2024"/>
    <s v="Duplicate entry"/>
    <s v="Expense"/>
    <m/>
  </r>
  <r>
    <x v="886"/>
    <x v="3"/>
    <x v="1"/>
    <x v="13"/>
    <n v="395554"/>
    <n v="367928.69"/>
    <n v="27625.31"/>
    <x v="147"/>
    <x v="2"/>
    <s v="Vendor Credit"/>
    <s v="FY2024-2025"/>
    <s v="Under review"/>
    <s v="Expense"/>
    <s v="Flag: High-Value Pending"/>
  </r>
  <r>
    <x v="887"/>
    <x v="2"/>
    <x v="2"/>
    <x v="14"/>
    <n v="360337"/>
    <n v="414434.12"/>
    <n v="-54097.120000000003"/>
    <x v="254"/>
    <x v="1"/>
    <s v="Bank Transfer"/>
    <s v="FY2023-2024"/>
    <s v=""/>
    <s v="Expense"/>
    <m/>
  </r>
  <r>
    <x v="888"/>
    <x v="4"/>
    <x v="1"/>
    <x v="2"/>
    <n v="351028"/>
    <n v="385039.95"/>
    <n v="-34011.949999999997"/>
    <x v="545"/>
    <x v="1"/>
    <s v="Bank Transfer"/>
    <s v="FY2024-2025"/>
    <s v="Recurring"/>
    <s v="Expense"/>
    <m/>
  </r>
  <r>
    <x v="889"/>
    <x v="2"/>
    <x v="10"/>
    <x v="12"/>
    <n v="309529"/>
    <n v="306562.45"/>
    <n v="2966.55"/>
    <x v="170"/>
    <x v="1"/>
    <s v="Vendor Credit"/>
    <s v="FY2024-2025"/>
    <s v=""/>
    <s v="Expense"/>
    <m/>
  </r>
  <r>
    <x v="890"/>
    <x v="6"/>
    <x v="8"/>
    <x v="9"/>
    <n v="66495"/>
    <n v="76533.45"/>
    <m/>
    <x v="117"/>
    <x v="1"/>
    <s v="Petty Cash"/>
    <s v="FY2024-2025"/>
    <s v="Urgent"/>
    <s v="Expense"/>
    <m/>
  </r>
  <r>
    <x v="891"/>
    <x v="4"/>
    <x v="7"/>
    <x v="9"/>
    <n v="420489"/>
    <n v="490489.93"/>
    <n v="-70000.929999999993"/>
    <x v="196"/>
    <x v="1"/>
    <s v="Bank Transfer"/>
    <s v="FY2024-2025"/>
    <s v=""/>
    <s v="Expense"/>
    <m/>
  </r>
  <r>
    <x v="892"/>
    <x v="3"/>
    <x v="10"/>
    <x v="12"/>
    <n v="284661"/>
    <n v="274429.94"/>
    <n v="10231.06"/>
    <x v="358"/>
    <x v="0"/>
    <s v="Vendor Credit"/>
    <s v="FY2023-2024"/>
    <s v=""/>
    <s v="Expense"/>
    <s v="Flag: High-Value Pending"/>
  </r>
  <r>
    <x v="893"/>
    <x v="7"/>
    <x v="4"/>
    <x v="15"/>
    <n v="458087"/>
    <n v="503162.26"/>
    <n v="-45075.26"/>
    <x v="442"/>
    <x v="1"/>
    <s v="Credit Card"/>
    <s v="FY2022-2023"/>
    <s v=""/>
    <s v="Expense"/>
    <m/>
  </r>
  <r>
    <x v="894"/>
    <x v="6"/>
    <x v="10"/>
    <x v="9"/>
    <n v="370541"/>
    <n v="356161.54"/>
    <n v="14379.46"/>
    <x v="546"/>
    <x v="1"/>
    <s v="Credit Card"/>
    <s v="FY2024-2025"/>
    <s v="Urgent"/>
    <s v="Expense"/>
    <m/>
  </r>
  <r>
    <x v="895"/>
    <x v="1"/>
    <x v="1"/>
    <x v="1"/>
    <n v="386744"/>
    <n v="448470.01"/>
    <n v="-61726.01"/>
    <x v="244"/>
    <x v="1"/>
    <s v="Bank Transfer"/>
    <s v="FY2023-2024"/>
    <s v=""/>
    <s v="Expense"/>
    <m/>
  </r>
  <r>
    <x v="896"/>
    <x v="2"/>
    <x v="10"/>
    <x v="12"/>
    <n v="239819"/>
    <n v="252413.51"/>
    <n v="-12594.51"/>
    <x v="536"/>
    <x v="2"/>
    <s v="Bank Transfer"/>
    <s v="FY2023-2024"/>
    <s v="One-time"/>
    <s v="Expense"/>
    <s v="Flag: High-Value Pending"/>
  </r>
  <r>
    <x v="897"/>
    <x v="3"/>
    <x v="8"/>
    <x v="4"/>
    <n v="396834"/>
    <n v="335318.40999999997"/>
    <m/>
    <x v="339"/>
    <x v="2"/>
    <s v="Vendor Credit"/>
    <s v="FY2023-2024"/>
    <s v=""/>
    <s v="Expense"/>
    <s v="Flag: High-Value Pending"/>
  </r>
  <r>
    <x v="898"/>
    <x v="7"/>
    <x v="10"/>
    <x v="11"/>
    <n v="7916"/>
    <n v="6849.37"/>
    <n v="1066.6300000000001"/>
    <x v="59"/>
    <x v="1"/>
    <s v="Vendor Credit"/>
    <s v="FY2022-2023"/>
    <s v=""/>
    <s v="Expense"/>
    <m/>
  </r>
  <r>
    <x v="899"/>
    <x v="3"/>
    <x v="0"/>
    <x v="6"/>
    <n v="323243"/>
    <n v="399059.48"/>
    <n v="-75816.479999999996"/>
    <x v="477"/>
    <x v="1"/>
    <s v="Petty Cash"/>
    <s v="FY2024-2025"/>
    <s v="Recurring"/>
    <s v="Expense"/>
    <m/>
  </r>
  <r>
    <x v="900"/>
    <x v="2"/>
    <x v="6"/>
    <x v="4"/>
    <n v="398985"/>
    <n v="395738.02"/>
    <n v="3246.98"/>
    <x v="547"/>
    <x v="1"/>
    <s v="Petty Cash"/>
    <s v="FY2023-2024"/>
    <s v=""/>
    <s v="Expense"/>
    <m/>
  </r>
  <r>
    <x v="901"/>
    <x v="3"/>
    <x v="1"/>
    <x v="9"/>
    <n v="343562"/>
    <n v="410532.73"/>
    <n v="-66970.73"/>
    <x v="548"/>
    <x v="2"/>
    <s v="Bank Transfer"/>
    <s v="FY2024-2025"/>
    <s v=""/>
    <s v="Expense"/>
    <s v="Flag: High-Value Pending"/>
  </r>
  <r>
    <x v="902"/>
    <x v="2"/>
    <x v="5"/>
    <x v="11"/>
    <n v="46352"/>
    <n v="49435.68"/>
    <n v="-3083.68"/>
    <x v="212"/>
    <x v="1"/>
    <s v="Bank Transfer"/>
    <s v="FY2023-2024"/>
    <s v="Under review"/>
    <s v="Expense"/>
    <m/>
  </r>
  <r>
    <x v="903"/>
    <x v="5"/>
    <x v="11"/>
    <x v="8"/>
    <n v="248690"/>
    <n v="310113.71000000002"/>
    <n v="-61423.71"/>
    <x v="353"/>
    <x v="1"/>
    <s v="Bank Transfer"/>
    <s v="FY2024-2025"/>
    <s v=""/>
    <s v="Expense"/>
    <m/>
  </r>
  <r>
    <x v="904"/>
    <x v="1"/>
    <x v="3"/>
    <x v="5"/>
    <n v="486729"/>
    <n v="517012.08"/>
    <n v="-30283.08"/>
    <x v="549"/>
    <x v="1"/>
    <s v="Vendor Credit"/>
    <s v="FY2022-2023"/>
    <s v="One-time"/>
    <s v="Expense"/>
    <m/>
  </r>
  <r>
    <x v="905"/>
    <x v="0"/>
    <x v="8"/>
    <x v="0"/>
    <n v="79229"/>
    <n v="68410.240000000005"/>
    <n v="10818.76"/>
    <x v="550"/>
    <x v="0"/>
    <s v="Bank Transfer"/>
    <s v="FY2023-2024"/>
    <s v="One-time"/>
    <s v="Expense"/>
    <m/>
  </r>
  <r>
    <x v="906"/>
    <x v="4"/>
    <x v="8"/>
    <x v="3"/>
    <n v="86309"/>
    <n v="75559.28"/>
    <n v="10749.72"/>
    <x v="551"/>
    <x v="1"/>
    <s v="Petty Cash"/>
    <s v="FY2024-2025"/>
    <s v="Under review"/>
    <s v="Expense"/>
    <m/>
  </r>
  <r>
    <x v="907"/>
    <x v="5"/>
    <x v="7"/>
    <x v="4"/>
    <n v="111079"/>
    <n v="104283.1"/>
    <n v="6795.9"/>
    <x v="552"/>
    <x v="0"/>
    <s v="Petty Cash"/>
    <s v="FY2023-2024"/>
    <s v=""/>
    <s v="Expense"/>
    <m/>
  </r>
  <r>
    <x v="908"/>
    <x v="3"/>
    <x v="7"/>
    <x v="0"/>
    <n v="159124"/>
    <n v="143818.44"/>
    <n v="15305.56"/>
    <x v="553"/>
    <x v="1"/>
    <s v="Bank Transfer"/>
    <s v="FY2024-2025"/>
    <s v="One-time"/>
    <s v="Expense"/>
    <m/>
  </r>
  <r>
    <x v="909"/>
    <x v="5"/>
    <x v="1"/>
    <x v="7"/>
    <n v="80224"/>
    <n v="71471.3"/>
    <n v="8752.7000000000007"/>
    <x v="197"/>
    <x v="1"/>
    <s v="Vendor Credit"/>
    <s v="FY2024-2025"/>
    <s v="Duplicate entry"/>
    <s v="Expense"/>
    <m/>
  </r>
  <r>
    <x v="910"/>
    <x v="4"/>
    <x v="1"/>
    <x v="9"/>
    <n v="498854"/>
    <n v="429445.83"/>
    <n v="69408.17"/>
    <x v="554"/>
    <x v="1"/>
    <s v="Vendor Credit"/>
    <s v="FY2024-2025"/>
    <s v="One-time"/>
    <s v="Expense"/>
    <m/>
  </r>
  <r>
    <x v="911"/>
    <x v="4"/>
    <x v="10"/>
    <x v="10"/>
    <n v="-409293"/>
    <n v="342007.51"/>
    <n v="67285.490000000005"/>
    <x v="106"/>
    <x v="1"/>
    <s v="Vendor Credit"/>
    <s v="FY2023-2024"/>
    <s v="Urgent"/>
    <s v="Credit/Refund"/>
    <m/>
  </r>
  <r>
    <x v="912"/>
    <x v="7"/>
    <x v="1"/>
    <x v="13"/>
    <n v="410844"/>
    <n v="405782.91"/>
    <n v="5061.09"/>
    <x v="335"/>
    <x v="1"/>
    <s v="Credit Card"/>
    <s v="FY2024-2025"/>
    <s v=""/>
    <s v="Expense"/>
    <m/>
  </r>
  <r>
    <x v="913"/>
    <x v="2"/>
    <x v="10"/>
    <x v="11"/>
    <n v="-365851"/>
    <n v="429202.67"/>
    <n v="-63351.67"/>
    <x v="145"/>
    <x v="1"/>
    <s v="Bank Transfer"/>
    <s v="FY2024-2025"/>
    <s v="Under review"/>
    <s v="Credit/Refund"/>
    <m/>
  </r>
  <r>
    <x v="914"/>
    <x v="5"/>
    <x v="2"/>
    <x v="1"/>
    <n v="243174"/>
    <n v="215513.25"/>
    <n v="27660.75"/>
    <x v="460"/>
    <x v="2"/>
    <s v="Vendor Credit"/>
    <s v="FY2024-2025"/>
    <s v="One-time"/>
    <s v="Expense"/>
    <s v="Flag: High-Value Pending"/>
  </r>
  <r>
    <x v="915"/>
    <x v="1"/>
    <x v="0"/>
    <x v="7"/>
    <n v="460341"/>
    <n v="501553.2"/>
    <n v="-41212.199999999997"/>
    <x v="555"/>
    <x v="2"/>
    <s v="Credit Card"/>
    <s v="FY2023-2024"/>
    <s v="Recurring"/>
    <s v="Expense"/>
    <s v="Flag: High-Value Pending"/>
  </r>
  <r>
    <x v="916"/>
    <x v="1"/>
    <x v="3"/>
    <x v="10"/>
    <n v="176359"/>
    <n v="203534.64"/>
    <n v="-27175.64"/>
    <x v="41"/>
    <x v="1"/>
    <s v="Bank Transfer"/>
    <s v="FY2023-2024"/>
    <s v="Duplicate entry"/>
    <s v="Expense"/>
    <m/>
  </r>
  <r>
    <x v="917"/>
    <x v="6"/>
    <x v="5"/>
    <x v="5"/>
    <n v="50128"/>
    <n v="54308.31"/>
    <n v="-4180.3100000000004"/>
    <x v="45"/>
    <x v="1"/>
    <s v="Petty Cash"/>
    <s v="FY2024-2025"/>
    <s v="One-time"/>
    <s v="Expense"/>
    <m/>
  </r>
  <r>
    <x v="918"/>
    <x v="6"/>
    <x v="10"/>
    <x v="13"/>
    <n v="333550"/>
    <n v="344603.39"/>
    <n v="-11053.39"/>
    <x v="416"/>
    <x v="1"/>
    <s v="Vendor Credit"/>
    <s v="FY2024-2025"/>
    <s v=""/>
    <s v="Expense"/>
    <m/>
  </r>
  <r>
    <x v="919"/>
    <x v="3"/>
    <x v="1"/>
    <x v="6"/>
    <n v="291057"/>
    <n v="367148.7"/>
    <n v="-76091.7"/>
    <x v="474"/>
    <x v="1"/>
    <s v="Vendor Credit"/>
    <s v="FY2023-2024"/>
    <s v="Duplicate entry"/>
    <s v="Expense"/>
    <m/>
  </r>
  <r>
    <x v="920"/>
    <x v="2"/>
    <x v="5"/>
    <x v="5"/>
    <n v="86794"/>
    <n v="96648.5"/>
    <n v="-9854.5"/>
    <x v="260"/>
    <x v="1"/>
    <s v="Vendor Credit"/>
    <s v="FY2024-2025"/>
    <s v=""/>
    <s v="Expense"/>
    <m/>
  </r>
  <r>
    <x v="921"/>
    <x v="4"/>
    <x v="12"/>
    <x v="7"/>
    <n v="430138"/>
    <n v="480530.1"/>
    <n v="-50392.1"/>
    <x v="556"/>
    <x v="1"/>
    <s v="Bank Transfer"/>
    <s v="FY2024-2025"/>
    <s v="Duplicate entry"/>
    <s v="Expense"/>
    <m/>
  </r>
  <r>
    <x v="922"/>
    <x v="5"/>
    <x v="6"/>
    <x v="4"/>
    <n v="277220"/>
    <n v="277889.01"/>
    <n v="-669.01"/>
    <x v="550"/>
    <x v="1"/>
    <s v="Bank Transfer"/>
    <s v="FY2023-2024"/>
    <s v=""/>
    <s v="Expense"/>
    <m/>
  </r>
  <r>
    <x v="923"/>
    <x v="1"/>
    <x v="8"/>
    <x v="6"/>
    <n v="499478"/>
    <n v="511122.57"/>
    <n v="-11644.57"/>
    <x v="557"/>
    <x v="1"/>
    <s v="Petty Cash"/>
    <s v="FY2023-2024"/>
    <s v=""/>
    <s v="Expense"/>
    <m/>
  </r>
  <r>
    <x v="924"/>
    <x v="1"/>
    <x v="2"/>
    <x v="7"/>
    <n v="76845"/>
    <n v="63790.53"/>
    <n v="13054.47"/>
    <x v="446"/>
    <x v="1"/>
    <s v="Petty Cash"/>
    <s v="FY2023-2024"/>
    <s v=""/>
    <s v="Expense"/>
    <m/>
  </r>
  <r>
    <x v="925"/>
    <x v="5"/>
    <x v="5"/>
    <x v="10"/>
    <n v="487319"/>
    <n v="556137.76"/>
    <n v="-68818.759999999995"/>
    <x v="558"/>
    <x v="0"/>
    <s v="Petty Cash"/>
    <s v="FY2023-2024"/>
    <s v=""/>
    <s v="Expense"/>
    <s v="Flag: High-Value Pending"/>
  </r>
  <r>
    <x v="926"/>
    <x v="6"/>
    <x v="8"/>
    <x v="3"/>
    <n v="76629"/>
    <n v="81359.81"/>
    <m/>
    <x v="490"/>
    <x v="1"/>
    <s v="Bank Transfer"/>
    <s v="FY2024-2025"/>
    <s v=""/>
    <s v="Expense"/>
    <m/>
  </r>
  <r>
    <x v="927"/>
    <x v="6"/>
    <x v="8"/>
    <x v="9"/>
    <n v="468155"/>
    <n v="519858.4"/>
    <n v="-51703.4"/>
    <x v="223"/>
    <x v="0"/>
    <s v="Vendor Credit"/>
    <s v="FY2023-2024"/>
    <s v=""/>
    <s v="Expense"/>
    <s v="Flag: High-Value Pending"/>
  </r>
  <r>
    <x v="928"/>
    <x v="4"/>
    <x v="3"/>
    <x v="7"/>
    <n v="399688"/>
    <n v="389275.04"/>
    <n v="10412.959999999999"/>
    <x v="98"/>
    <x v="2"/>
    <s v="Vendor Credit"/>
    <s v="FY2023-2024"/>
    <s v=""/>
    <s v="Expense"/>
    <s v="Flag: High-Value Pending"/>
  </r>
  <r>
    <x v="929"/>
    <x v="6"/>
    <x v="2"/>
    <x v="1"/>
    <n v="214509"/>
    <n v="230804.26"/>
    <n v="-16295.26"/>
    <x v="179"/>
    <x v="0"/>
    <s v="Petty Cash"/>
    <s v="FY2023-2024"/>
    <s v=""/>
    <s v="Expense"/>
    <s v="Flag: High-Value Pending"/>
  </r>
  <r>
    <x v="930"/>
    <x v="3"/>
    <x v="8"/>
    <x v="5"/>
    <n v="462100"/>
    <n v="520680.06"/>
    <n v="-58580.06"/>
    <x v="324"/>
    <x v="1"/>
    <s v="Credit Card"/>
    <s v="FY2024-2025"/>
    <s v="Under review"/>
    <s v="Expense"/>
    <m/>
  </r>
  <r>
    <x v="931"/>
    <x v="1"/>
    <x v="7"/>
    <x v="13"/>
    <n v="335867"/>
    <n v="328625.09000000003"/>
    <n v="7241.91"/>
    <x v="95"/>
    <x v="1"/>
    <s v="Credit Card"/>
    <s v="FY2023-2024"/>
    <s v="One-time"/>
    <s v="Expense"/>
    <m/>
  </r>
  <r>
    <x v="932"/>
    <x v="6"/>
    <x v="1"/>
    <x v="7"/>
    <n v="321335"/>
    <n v="355160.31"/>
    <n v="-33825.31"/>
    <x v="559"/>
    <x v="0"/>
    <s v="Bank Transfer"/>
    <s v="FY2024-2025"/>
    <s v="Duplicate entry"/>
    <s v="Expense"/>
    <s v="Flag: High-Value Pending"/>
  </r>
  <r>
    <x v="933"/>
    <x v="6"/>
    <x v="3"/>
    <x v="14"/>
    <n v="282538"/>
    <n v="279029.98"/>
    <n v="3508.02"/>
    <x v="560"/>
    <x v="1"/>
    <s v="Vendor Credit"/>
    <s v="FY2023-2024"/>
    <s v="Under review"/>
    <s v="Expense"/>
    <m/>
  </r>
  <r>
    <x v="934"/>
    <x v="5"/>
    <x v="0"/>
    <x v="2"/>
    <n v="497186"/>
    <n v="638221.61"/>
    <n v="-141035.60999999999"/>
    <x v="177"/>
    <x v="1"/>
    <s v="Vendor Credit"/>
    <s v="FY2023-2024"/>
    <s v="One-time"/>
    <s v="Expense"/>
    <m/>
  </r>
  <r>
    <x v="935"/>
    <x v="5"/>
    <x v="10"/>
    <x v="15"/>
    <n v="369946"/>
    <n v="423565.82"/>
    <n v="-53619.82"/>
    <x v="561"/>
    <x v="1"/>
    <s v="Credit Card"/>
    <s v="FY2023-2024"/>
    <s v=""/>
    <s v="Expense"/>
    <m/>
  </r>
  <r>
    <x v="936"/>
    <x v="3"/>
    <x v="6"/>
    <x v="10"/>
    <n v="311511"/>
    <n v="333501.96999999997"/>
    <n v="-21990.97"/>
    <x v="562"/>
    <x v="0"/>
    <s v="Vendor Credit"/>
    <s v="FY2022-2023"/>
    <s v=""/>
    <s v="Expense"/>
    <s v="Flag: High-Value Pending"/>
  </r>
  <r>
    <x v="937"/>
    <x v="7"/>
    <x v="12"/>
    <x v="12"/>
    <n v="159696"/>
    <n v="172996.13"/>
    <n v="-13300.13"/>
    <x v="73"/>
    <x v="1"/>
    <s v="Petty Cash"/>
    <s v="FY2024-2025"/>
    <s v="Duplicate entry"/>
    <s v="Expense"/>
    <m/>
  </r>
  <r>
    <x v="938"/>
    <x v="0"/>
    <x v="11"/>
    <x v="15"/>
    <n v="287823"/>
    <n v="326728.3"/>
    <n v="-38905.300000000003"/>
    <x v="370"/>
    <x v="0"/>
    <s v="Bank Transfer"/>
    <s v="FY2023-2024"/>
    <s v="Recurring"/>
    <s v="Expense"/>
    <s v="Flag: High-Value Pending"/>
  </r>
  <r>
    <x v="939"/>
    <x v="6"/>
    <x v="4"/>
    <x v="3"/>
    <n v="222238"/>
    <m/>
    <n v="15926.96"/>
    <x v="563"/>
    <x v="1"/>
    <s v="Vendor Credit"/>
    <s v="FY2024-2025"/>
    <s v="Under review"/>
    <s v="Expense"/>
    <m/>
  </r>
  <r>
    <x v="940"/>
    <x v="5"/>
    <x v="5"/>
    <x v="1"/>
    <n v="325799"/>
    <n v="407695.68"/>
    <n v="-81896.679999999993"/>
    <x v="191"/>
    <x v="1"/>
    <s v="Credit Card"/>
    <s v="FY2024-2025"/>
    <s v="Recurring"/>
    <s v="Expense"/>
    <m/>
  </r>
  <r>
    <x v="941"/>
    <x v="1"/>
    <x v="10"/>
    <x v="10"/>
    <n v="388292"/>
    <n v="354480.19"/>
    <n v="33811.81"/>
    <x v="564"/>
    <x v="2"/>
    <s v="Credit Card"/>
    <s v="FY2024-2025"/>
    <s v=""/>
    <s v="Expense"/>
    <s v="Flag: High-Value Pending"/>
  </r>
  <r>
    <x v="942"/>
    <x v="2"/>
    <x v="3"/>
    <x v="4"/>
    <n v="189639"/>
    <n v="196448.91"/>
    <n v="-6809.91"/>
    <x v="565"/>
    <x v="1"/>
    <s v="Petty Cash"/>
    <s v="FY2023-2024"/>
    <s v="Urgent"/>
    <s v="Expense"/>
    <m/>
  </r>
  <r>
    <x v="943"/>
    <x v="6"/>
    <x v="6"/>
    <x v="8"/>
    <n v="222437"/>
    <n v="236308.27"/>
    <n v="-13871.27"/>
    <x v="244"/>
    <x v="0"/>
    <s v="Vendor Credit"/>
    <s v="FY2023-2024"/>
    <s v="Urgent"/>
    <s v="Expense"/>
    <s v="Flag: High-Value Pending"/>
  </r>
  <r>
    <x v="944"/>
    <x v="3"/>
    <x v="7"/>
    <x v="2"/>
    <n v="331095"/>
    <n v="379350.06"/>
    <n v="-48255.06"/>
    <x v="424"/>
    <x v="1"/>
    <s v="Petty Cash"/>
    <s v="FY2024-2025"/>
    <s v="Urgent"/>
    <s v="Expense"/>
    <m/>
  </r>
  <r>
    <x v="945"/>
    <x v="1"/>
    <x v="1"/>
    <x v="12"/>
    <n v="3139665"/>
    <n v="2934545.77"/>
    <n v="205119.23"/>
    <x v="449"/>
    <x v="1"/>
    <s v="Vendor Credit"/>
    <s v="FY2023-2024"/>
    <s v="One-time"/>
    <s v="Expense"/>
    <m/>
  </r>
  <r>
    <x v="946"/>
    <x v="7"/>
    <x v="9"/>
    <x v="9"/>
    <n v="145773"/>
    <n v="182855.52"/>
    <n v="-37082.519999999997"/>
    <x v="566"/>
    <x v="1"/>
    <s v="Credit Card"/>
    <s v="FY2023-2024"/>
    <s v=""/>
    <s v="Expense"/>
    <m/>
  </r>
  <r>
    <x v="947"/>
    <x v="2"/>
    <x v="12"/>
    <x v="15"/>
    <n v="371827"/>
    <n v="407887.03"/>
    <n v="-36060.03"/>
    <x v="47"/>
    <x v="1"/>
    <s v="Petty Cash"/>
    <s v="FY2023-2024"/>
    <s v="Duplicate entry"/>
    <s v="Expense"/>
    <m/>
  </r>
  <r>
    <x v="948"/>
    <x v="5"/>
    <x v="10"/>
    <x v="1"/>
    <n v="493349"/>
    <n v="613825.41"/>
    <n v="-120476.41"/>
    <x v="529"/>
    <x v="1"/>
    <s v="Vendor Credit"/>
    <s v="FY2022-2023"/>
    <s v=""/>
    <s v="Expense"/>
    <m/>
  </r>
  <r>
    <x v="949"/>
    <x v="5"/>
    <x v="5"/>
    <x v="9"/>
    <n v="228733"/>
    <n v="273263.33"/>
    <n v="-44530.33"/>
    <x v="226"/>
    <x v="1"/>
    <s v="Petty Cash"/>
    <s v="FY2024-2025"/>
    <s v="Recurring"/>
    <s v="Expense"/>
    <m/>
  </r>
  <r>
    <x v="950"/>
    <x v="6"/>
    <x v="2"/>
    <x v="13"/>
    <n v="398937"/>
    <n v="503582.79"/>
    <n v="-104645.79"/>
    <x v="448"/>
    <x v="0"/>
    <s v="Petty Cash"/>
    <s v="FY2024-2025"/>
    <s v=""/>
    <s v="Expense"/>
    <s v="Flag: High-Value Pending"/>
  </r>
  <r>
    <x v="951"/>
    <x v="3"/>
    <x v="3"/>
    <x v="13"/>
    <n v="173643"/>
    <n v="153624.97"/>
    <n v="20018.03"/>
    <x v="547"/>
    <x v="1"/>
    <s v="Petty Cash"/>
    <s v="FY2023-2024"/>
    <s v=""/>
    <s v="Expense"/>
    <m/>
  </r>
  <r>
    <x v="952"/>
    <x v="4"/>
    <x v="1"/>
    <x v="13"/>
    <n v="234386"/>
    <n v="212382.27"/>
    <m/>
    <x v="286"/>
    <x v="1"/>
    <s v="Petty Cash"/>
    <s v="FY2024-2025"/>
    <s v=""/>
    <s v="Expense"/>
    <m/>
  </r>
  <r>
    <x v="953"/>
    <x v="7"/>
    <x v="0"/>
    <x v="14"/>
    <n v="181746"/>
    <n v="208947.95"/>
    <n v="-27201.95"/>
    <x v="567"/>
    <x v="1"/>
    <s v="Petty Cash"/>
    <s v="FY2024-2025"/>
    <s v=""/>
    <s v="Expense"/>
    <m/>
  </r>
  <r>
    <x v="954"/>
    <x v="6"/>
    <x v="0"/>
    <x v="11"/>
    <n v="55073"/>
    <n v="58223.08"/>
    <n v="-3150.08"/>
    <x v="161"/>
    <x v="1"/>
    <s v="Vendor Credit"/>
    <s v="FY2023-2024"/>
    <s v=""/>
    <s v="Expense"/>
    <m/>
  </r>
  <r>
    <x v="955"/>
    <x v="6"/>
    <x v="0"/>
    <x v="5"/>
    <n v="49537"/>
    <n v="40116.1"/>
    <n v="9420.9"/>
    <x v="98"/>
    <x v="1"/>
    <s v="Petty Cash"/>
    <s v="FY2023-2024"/>
    <s v=""/>
    <s v="Expense"/>
    <m/>
  </r>
  <r>
    <x v="956"/>
    <x v="7"/>
    <x v="9"/>
    <x v="15"/>
    <n v="459613"/>
    <n v="431414.06"/>
    <n v="28198.94"/>
    <x v="568"/>
    <x v="0"/>
    <s v="Petty Cash"/>
    <s v="FY2023-2024"/>
    <s v=""/>
    <s v="Expense"/>
    <s v="Flag: High-Value Pending"/>
  </r>
  <r>
    <x v="957"/>
    <x v="5"/>
    <x v="3"/>
    <x v="2"/>
    <n v="475204"/>
    <n v="489797.03"/>
    <n v="-14593.03"/>
    <x v="569"/>
    <x v="1"/>
    <s v="Vendor Credit"/>
    <s v="FY2023-2024"/>
    <s v=""/>
    <s v="Expense"/>
    <m/>
  </r>
  <r>
    <x v="958"/>
    <x v="3"/>
    <x v="7"/>
    <x v="13"/>
    <n v="67835"/>
    <n v="80281.960000000006"/>
    <n v="-12446.96"/>
    <x v="254"/>
    <x v="0"/>
    <s v="Bank Transfer"/>
    <s v="FY2023-2024"/>
    <s v="One-time"/>
    <s v="Expense"/>
    <m/>
  </r>
  <r>
    <x v="959"/>
    <x v="4"/>
    <x v="2"/>
    <x v="6"/>
    <n v="78214"/>
    <n v="79012.27"/>
    <n v="-798.27"/>
    <x v="570"/>
    <x v="1"/>
    <s v="Bank Transfer"/>
    <s v="FY2023-2024"/>
    <s v=""/>
    <s v="Expense"/>
    <m/>
  </r>
  <r>
    <x v="960"/>
    <x v="6"/>
    <x v="0"/>
    <x v="3"/>
    <n v="411867"/>
    <n v="391784.97"/>
    <n v="20082.03"/>
    <x v="114"/>
    <x v="1"/>
    <s v="Bank Transfer"/>
    <s v="FY2024-2025"/>
    <s v=""/>
    <s v="Expense"/>
    <m/>
  </r>
  <r>
    <x v="961"/>
    <x v="1"/>
    <x v="10"/>
    <x v="6"/>
    <n v="327306"/>
    <n v="335063.33"/>
    <n v="-7757.33"/>
    <x v="522"/>
    <x v="1"/>
    <s v="Bank Transfer"/>
    <s v="FY2024-2025"/>
    <s v=""/>
    <s v="Expense"/>
    <m/>
  </r>
  <r>
    <x v="962"/>
    <x v="6"/>
    <x v="1"/>
    <x v="2"/>
    <n v="496776"/>
    <n v="622433.26"/>
    <n v="-125657.26"/>
    <x v="571"/>
    <x v="1"/>
    <s v="Credit Card"/>
    <s v="FY2024-2025"/>
    <s v=""/>
    <s v="Expense"/>
    <m/>
  </r>
  <r>
    <x v="963"/>
    <x v="5"/>
    <x v="5"/>
    <x v="5"/>
    <n v="153975"/>
    <n v="125669.04"/>
    <n v="28305.96"/>
    <x v="168"/>
    <x v="0"/>
    <s v="Petty Cash"/>
    <s v="FY2023-2024"/>
    <s v="Urgent"/>
    <s v="Expense"/>
    <m/>
  </r>
  <r>
    <x v="964"/>
    <x v="2"/>
    <x v="5"/>
    <x v="3"/>
    <n v="111730"/>
    <n v="143597.31"/>
    <n v="-31867.31"/>
    <x v="370"/>
    <x v="1"/>
    <s v="Credit Card"/>
    <s v="FY2023-2024"/>
    <s v=""/>
    <s v="Expense"/>
    <m/>
  </r>
  <r>
    <x v="965"/>
    <x v="4"/>
    <x v="6"/>
    <x v="1"/>
    <n v="199917"/>
    <n v="241477.78"/>
    <n v="-41560.78"/>
    <x v="410"/>
    <x v="1"/>
    <s v="Vendor Credit"/>
    <s v="FY2022-2023"/>
    <s v="Duplicate entry"/>
    <s v="Expense"/>
    <m/>
  </r>
  <r>
    <x v="966"/>
    <x v="5"/>
    <x v="3"/>
    <x v="8"/>
    <n v="173941"/>
    <n v="195652.13"/>
    <n v="-21711.13"/>
    <x v="572"/>
    <x v="1"/>
    <s v="Vendor Credit"/>
    <s v="FY2024-2025"/>
    <s v="Urgent"/>
    <s v="Expense"/>
    <m/>
  </r>
  <r>
    <x v="967"/>
    <x v="6"/>
    <x v="7"/>
    <x v="1"/>
    <n v="174406"/>
    <n v="178594.68"/>
    <n v="-4188.68"/>
    <x v="92"/>
    <x v="1"/>
    <s v="Vendor Credit"/>
    <s v="FY2023-2024"/>
    <s v=""/>
    <s v="Expense"/>
    <m/>
  </r>
  <r>
    <x v="968"/>
    <x v="2"/>
    <x v="2"/>
    <x v="4"/>
    <n v="35690"/>
    <n v="34616.5"/>
    <n v="1073.5"/>
    <x v="573"/>
    <x v="1"/>
    <s v="Bank Transfer"/>
    <s v="FY2023-2024"/>
    <s v=""/>
    <s v="Expense"/>
    <m/>
  </r>
  <r>
    <x v="969"/>
    <x v="7"/>
    <x v="5"/>
    <x v="4"/>
    <n v="296369"/>
    <n v="259622.89"/>
    <n v="36746.11"/>
    <x v="20"/>
    <x v="1"/>
    <s v="Bank Transfer"/>
    <s v="FY2023-2024"/>
    <s v=""/>
    <s v="Expense"/>
    <m/>
  </r>
  <r>
    <x v="970"/>
    <x v="2"/>
    <x v="2"/>
    <x v="14"/>
    <n v="95257"/>
    <m/>
    <n v="11964.93"/>
    <x v="574"/>
    <x v="2"/>
    <s v="Vendor Credit"/>
    <s v="FY2023-2024"/>
    <s v=""/>
    <s v="Expense"/>
    <m/>
  </r>
  <r>
    <x v="971"/>
    <x v="7"/>
    <x v="10"/>
    <x v="14"/>
    <n v="484871"/>
    <n v="414563.33"/>
    <n v="70307.67"/>
    <x v="72"/>
    <x v="1"/>
    <s v="Petty Cash"/>
    <s v="FY2024-2025"/>
    <s v="Recurring"/>
    <s v="Expense"/>
    <m/>
  </r>
  <r>
    <x v="972"/>
    <x v="7"/>
    <x v="8"/>
    <x v="5"/>
    <n v="484961"/>
    <n v="551172.42000000004"/>
    <n v="-66211.42"/>
    <x v="568"/>
    <x v="1"/>
    <s v="Vendor Credit"/>
    <s v="FY2023-2024"/>
    <s v="Duplicate entry"/>
    <s v="Expense"/>
    <m/>
  </r>
  <r>
    <x v="973"/>
    <x v="6"/>
    <x v="4"/>
    <x v="0"/>
    <n v="435152"/>
    <n v="419757.66"/>
    <n v="15394.34"/>
    <x v="49"/>
    <x v="1"/>
    <s v="Vendor Credit"/>
    <s v="FY2022-2023"/>
    <s v="Duplicate entry"/>
    <s v="Expense"/>
    <m/>
  </r>
  <r>
    <x v="974"/>
    <x v="1"/>
    <x v="5"/>
    <x v="7"/>
    <n v="438261"/>
    <n v="392680.27"/>
    <n v="45580.73"/>
    <x v="555"/>
    <x v="2"/>
    <s v="Vendor Credit"/>
    <s v="FY2023-2024"/>
    <s v=""/>
    <s v="Expense"/>
    <s v="Flag: High-Value Pending"/>
  </r>
  <r>
    <x v="975"/>
    <x v="1"/>
    <x v="2"/>
    <x v="0"/>
    <n v="316609"/>
    <n v="265760.36"/>
    <n v="50848.639999999999"/>
    <x v="575"/>
    <x v="0"/>
    <s v="Petty Cash"/>
    <s v="FY2023-2024"/>
    <s v=""/>
    <s v="Expense"/>
    <s v="Flag: High-Value Pending"/>
  </r>
  <r>
    <x v="976"/>
    <x v="5"/>
    <x v="5"/>
    <x v="14"/>
    <n v="329541"/>
    <n v="374513.75"/>
    <n v="-44972.75"/>
    <x v="576"/>
    <x v="1"/>
    <s v="Vendor Credit"/>
    <s v="FY2024-2025"/>
    <s v=""/>
    <s v="Expense"/>
    <m/>
  </r>
  <r>
    <x v="977"/>
    <x v="1"/>
    <x v="10"/>
    <x v="0"/>
    <n v="205509"/>
    <n v="263773.81"/>
    <n v="-58264.81"/>
    <x v="274"/>
    <x v="0"/>
    <s v="Bank Transfer"/>
    <s v="FY2024-2025"/>
    <s v="Urgent"/>
    <s v="Expense"/>
    <s v="Flag: High-Value Pending"/>
  </r>
  <r>
    <x v="978"/>
    <x v="4"/>
    <x v="6"/>
    <x v="13"/>
    <n v="203711"/>
    <n v="167309.89000000001"/>
    <n v="36401.11"/>
    <x v="390"/>
    <x v="2"/>
    <s v="Vendor Credit"/>
    <s v="FY2024-2025"/>
    <s v=""/>
    <s v="Expense"/>
    <s v="Flag: High-Value Pending"/>
  </r>
  <r>
    <x v="979"/>
    <x v="3"/>
    <x v="6"/>
    <x v="9"/>
    <n v="374984"/>
    <n v="474429.06"/>
    <n v="-99445.06"/>
    <x v="89"/>
    <x v="2"/>
    <s v="Petty Cash"/>
    <s v="FY2023-2024"/>
    <s v="One-time"/>
    <s v="Expense"/>
    <s v="Flag: High-Value Pending"/>
  </r>
  <r>
    <x v="980"/>
    <x v="7"/>
    <x v="9"/>
    <x v="10"/>
    <n v="63562"/>
    <n v="72261.86"/>
    <n v="-8699.86"/>
    <x v="145"/>
    <x v="2"/>
    <s v="Petty Cash"/>
    <s v="FY2024-2025"/>
    <s v=""/>
    <s v="Expense"/>
    <m/>
  </r>
  <r>
    <x v="981"/>
    <x v="6"/>
    <x v="8"/>
    <x v="5"/>
    <n v="103409"/>
    <n v="126559.48"/>
    <n v="-23150.48"/>
    <x v="130"/>
    <x v="1"/>
    <s v="Petty Cash"/>
    <s v="FY2023-2024"/>
    <s v=""/>
    <s v="Expense"/>
    <m/>
  </r>
  <r>
    <x v="982"/>
    <x v="1"/>
    <x v="6"/>
    <x v="8"/>
    <n v="225695"/>
    <n v="282111.32"/>
    <n v="-56416.32"/>
    <x v="577"/>
    <x v="1"/>
    <s v="Bank Transfer"/>
    <s v="FY2022-2023"/>
    <s v="Duplicate entry"/>
    <s v="Expense"/>
    <m/>
  </r>
  <r>
    <x v="983"/>
    <x v="7"/>
    <x v="7"/>
    <x v="1"/>
    <n v="176260"/>
    <n v="144798.84"/>
    <n v="31461.16"/>
    <x v="541"/>
    <x v="2"/>
    <s v="Credit Card"/>
    <s v="FY2023-2024"/>
    <s v="Duplicate entry"/>
    <s v="Expense"/>
    <m/>
  </r>
  <r>
    <x v="984"/>
    <x v="2"/>
    <x v="5"/>
    <x v="15"/>
    <n v="46862"/>
    <n v="51765.35"/>
    <n v="-4903.3500000000004"/>
    <x v="471"/>
    <x v="1"/>
    <s v="Petty Cash"/>
    <s v="FY2024-2025"/>
    <s v=""/>
    <s v="Expense"/>
    <m/>
  </r>
  <r>
    <x v="985"/>
    <x v="1"/>
    <x v="12"/>
    <x v="15"/>
    <n v="463343"/>
    <n v="477823.89"/>
    <m/>
    <x v="548"/>
    <x v="1"/>
    <s v="Vendor Credit"/>
    <s v="FY2024-2025"/>
    <s v=""/>
    <s v="Expense"/>
    <m/>
  </r>
  <r>
    <x v="986"/>
    <x v="3"/>
    <x v="2"/>
    <x v="3"/>
    <n v="237696"/>
    <n v="303276.53999999998"/>
    <n v="-65580.539999999994"/>
    <x v="151"/>
    <x v="1"/>
    <s v="Petty Cash"/>
    <s v="FY2024-2025"/>
    <s v="Recurring"/>
    <s v="Expense"/>
    <m/>
  </r>
  <r>
    <x v="987"/>
    <x v="1"/>
    <x v="6"/>
    <x v="2"/>
    <n v="369677"/>
    <m/>
    <n v="22161.08"/>
    <x v="259"/>
    <x v="1"/>
    <s v="Bank Transfer"/>
    <s v="FY2023-2024"/>
    <s v=""/>
    <s v="Expense"/>
    <m/>
  </r>
  <r>
    <x v="988"/>
    <x v="3"/>
    <x v="1"/>
    <x v="3"/>
    <n v="96536"/>
    <n v="120913.93"/>
    <n v="-24377.93"/>
    <x v="578"/>
    <x v="0"/>
    <s v="Bank Transfer"/>
    <s v="FY2023-2024"/>
    <s v=""/>
    <s v="Expense"/>
    <m/>
  </r>
  <r>
    <x v="989"/>
    <x v="4"/>
    <x v="8"/>
    <x v="11"/>
    <n v="263547"/>
    <m/>
    <n v="33941.35"/>
    <x v="579"/>
    <x v="2"/>
    <s v="Bank Transfer"/>
    <s v="FY2024-2025"/>
    <s v=""/>
    <s v="Expense"/>
    <s v="Flag: High-Value Pending"/>
  </r>
  <r>
    <x v="990"/>
    <x v="1"/>
    <x v="2"/>
    <x v="1"/>
    <n v="99314"/>
    <n v="101175.77"/>
    <n v="-1861.77"/>
    <x v="580"/>
    <x v="1"/>
    <s v="Petty Cash"/>
    <s v="FY2023-2024"/>
    <s v=""/>
    <s v="Expense"/>
    <m/>
  </r>
  <r>
    <x v="991"/>
    <x v="4"/>
    <x v="11"/>
    <x v="1"/>
    <n v="45983"/>
    <n v="43718.5"/>
    <n v="2264.5"/>
    <x v="69"/>
    <x v="1"/>
    <s v="Bank Transfer"/>
    <s v="FY2023-2024"/>
    <s v="Urgent"/>
    <s v="Expense"/>
    <m/>
  </r>
  <r>
    <x v="992"/>
    <x v="7"/>
    <x v="9"/>
    <x v="14"/>
    <n v="203154"/>
    <n v="200909.71"/>
    <n v="2244.29"/>
    <x v="56"/>
    <x v="1"/>
    <s v="Petty Cash"/>
    <s v="FY2024-2025"/>
    <s v=""/>
    <s v="Expense"/>
    <m/>
  </r>
  <r>
    <x v="993"/>
    <x v="7"/>
    <x v="3"/>
    <x v="7"/>
    <n v="486116"/>
    <n v="574372.51"/>
    <n v="-88256.51"/>
    <x v="2"/>
    <x v="1"/>
    <s v="Vendor Credit"/>
    <s v="FY2023-2024"/>
    <s v=""/>
    <s v="Expense"/>
    <m/>
  </r>
  <r>
    <x v="994"/>
    <x v="5"/>
    <x v="3"/>
    <x v="8"/>
    <n v="203965"/>
    <n v="231171.86"/>
    <n v="-27206.86"/>
    <x v="367"/>
    <x v="1"/>
    <s v="Credit Card"/>
    <s v="FY2024-2025"/>
    <s v=""/>
    <s v="Expense"/>
    <m/>
  </r>
  <r>
    <x v="995"/>
    <x v="3"/>
    <x v="6"/>
    <x v="7"/>
    <n v="110275"/>
    <n v="127267.2"/>
    <n v="-16992.2"/>
    <x v="1"/>
    <x v="1"/>
    <s v="Petty Cash"/>
    <s v="FY2023-2024"/>
    <s v=""/>
    <s v="Expense"/>
    <m/>
  </r>
  <r>
    <x v="996"/>
    <x v="5"/>
    <x v="4"/>
    <x v="4"/>
    <n v="255503"/>
    <n v="291452.08"/>
    <n v="-35949.08"/>
    <x v="581"/>
    <x v="1"/>
    <s v="Vendor Credit"/>
    <s v="FY2024-2025"/>
    <s v="Under review"/>
    <s v="Expense"/>
    <m/>
  </r>
  <r>
    <x v="997"/>
    <x v="4"/>
    <x v="11"/>
    <x v="1"/>
    <n v="100368"/>
    <n v="99027.89"/>
    <n v="1340.11"/>
    <x v="128"/>
    <x v="2"/>
    <s v="Credit Card"/>
    <s v="FY2024-2025"/>
    <s v="Under review"/>
    <s v="Expense"/>
    <m/>
  </r>
  <r>
    <x v="998"/>
    <x v="1"/>
    <x v="4"/>
    <x v="5"/>
    <n v="495273"/>
    <n v="476285.59"/>
    <n v="18987.41"/>
    <x v="582"/>
    <x v="1"/>
    <s v="Credit Card"/>
    <s v="FY2022-2023"/>
    <s v="Duplicate entry"/>
    <s v="Expense"/>
    <m/>
  </r>
  <r>
    <x v="999"/>
    <x v="2"/>
    <x v="1"/>
    <x v="0"/>
    <n v="235938"/>
    <n v="291327.15000000002"/>
    <n v="-55389.15"/>
    <x v="443"/>
    <x v="1"/>
    <s v="Bank Transfer"/>
    <s v="FY2024-2025"/>
    <s v="Under review"/>
    <s v="Expens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9258C-FBC1-4283-89DE-731C48CB35E3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70:A79" firstHeaderRow="1" firstDataRow="1" firstDataCol="1"/>
  <pivotFields count="14">
    <pivotField compact="0" outline="0" showAll="0"/>
    <pivotField compact="0" outline="0"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7"/>
        <item x="2"/>
        <item x="3"/>
        <item x="4"/>
        <item x="1"/>
        <item x="0"/>
        <item x="6"/>
        <item x="8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formats count="16">
    <format dxfId="2006">
      <pivotArea type="all" dataOnly="0" outline="0" fieldPosition="0"/>
    </format>
    <format dxfId="2005">
      <pivotArea field="1" type="button" dataOnly="0" labelOnly="1" outline="0"/>
    </format>
    <format dxfId="2004">
      <pivotArea dataOnly="0" labelOnly="1" grandRow="1" outline="0" fieldPosition="0"/>
    </format>
    <format dxfId="2003">
      <pivotArea field="1" type="button" dataOnly="0" labelOnly="1" outline="0"/>
    </format>
    <format dxfId="2002">
      <pivotArea field="1" type="button" dataOnly="0" labelOnly="1" outline="0"/>
    </format>
    <format dxfId="2001">
      <pivotArea outline="0" collapsedLevelsAreSubtotals="1" fieldPosition="0"/>
    </format>
    <format dxfId="2000">
      <pivotArea field="4" type="button" dataOnly="0" labelOnly="1" outline="0" axis="axisRow" fieldPosition="0"/>
    </format>
    <format dxfId="1999">
      <pivotArea field="4" type="button" dataOnly="0" labelOnly="1" outline="0" axis="axisRow" fieldPosition="0"/>
    </format>
    <format dxfId="1998">
      <pivotArea type="all" dataOnly="0" outline="0" fieldPosition="0"/>
    </format>
    <format dxfId="1997">
      <pivotArea dataOnly="0" labelOnly="1" outline="0" fieldPosition="0">
        <references count="1">
          <reference field="4" count="0"/>
        </references>
      </pivotArea>
    </format>
    <format dxfId="1996">
      <pivotArea dataOnly="0" labelOnly="1" outline="0" fieldPosition="0">
        <references count="1">
          <reference field="4" count="0"/>
        </references>
      </pivotArea>
    </format>
    <format dxfId="1995">
      <pivotArea type="all" dataOnly="0" outline="0" fieldPosition="0"/>
    </format>
    <format dxfId="1994">
      <pivotArea field="4" type="button" dataOnly="0" labelOnly="1" outline="0" axis="axisRow" fieldPosition="0"/>
    </format>
    <format dxfId="1993">
      <pivotArea dataOnly="0" labelOnly="1" outline="0" fieldPosition="0">
        <references count="1">
          <reference field="4" count="0"/>
        </references>
      </pivotArea>
    </format>
    <format dxfId="1992">
      <pivotArea field="4" type="button" dataOnly="0" labelOnly="1" outline="0" axis="axisRow" fieldPosition="0"/>
    </format>
    <format dxfId="1991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4EF63-016F-4128-A245-5CEB61E5FCAB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Quarter">
  <location ref="A89:B98" firstHeaderRow="1" firstDataRow="1" firstDataCol="1" rowPageCount="1" colPageCount="1"/>
  <pivotFields count="14">
    <pivotField showAll="0"/>
    <pivotField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showAll="0"/>
    <pivotField showAll="0"/>
    <pivotField showAll="0">
      <items count="10">
        <item x="7"/>
        <item x="2"/>
        <item x="3"/>
        <item x="4"/>
        <item x="1"/>
        <item x="0"/>
        <item x="6"/>
        <item x="8"/>
        <item x="5"/>
        <item t="default"/>
      </items>
    </pivotField>
    <pivotField axis="axisPage" showAll="0">
      <items count="7">
        <item x="0"/>
        <item x="3"/>
        <item x="5"/>
        <item x="2"/>
        <item x="1"/>
        <item x="4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axis="axisRow" showAll="0" nonAutoSortDefault="1">
      <items count="10">
        <item x="2"/>
        <item x="1"/>
        <item x="6"/>
        <item x="0"/>
        <item x="5"/>
        <item x="7"/>
        <item x="8"/>
        <item x="3"/>
        <item x="4"/>
        <item t="default"/>
      </items>
    </pivotField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5" item="1" hier="-1"/>
  </pageFields>
  <dataFields count="1">
    <dataField name="Closed Won Revenue (INR)" fld="6" baseField="0" baseItem="0"/>
  </dataFields>
  <formats count="37">
    <format dxfId="2043">
      <pivotArea type="all" dataOnly="0" outline="0" fieldPosition="0"/>
    </format>
    <format dxfId="2042">
      <pivotArea field="1" type="button" dataOnly="0" labelOnly="1" outline="0"/>
    </format>
    <format dxfId="2041">
      <pivotArea dataOnly="0" labelOnly="1" grandRow="1" outline="0" fieldPosition="0"/>
    </format>
    <format dxfId="2040">
      <pivotArea field="1" type="button" dataOnly="0" labelOnly="1" outline="0"/>
    </format>
    <format dxfId="2039">
      <pivotArea field="1" type="button" dataOnly="0" labelOnly="1" outline="0"/>
    </format>
    <format dxfId="2038">
      <pivotArea outline="0" collapsedLevelsAreSubtotals="1" fieldPosition="0"/>
    </format>
    <format dxfId="2037">
      <pivotArea field="4" type="button" dataOnly="0" labelOnly="1" outline="0"/>
    </format>
    <format dxfId="2036">
      <pivotArea field="4" type="button" dataOnly="0" labelOnly="1" outline="0"/>
    </format>
    <format dxfId="2035">
      <pivotArea collapsedLevelsAreSubtotals="1" fieldPosition="0">
        <references count="1">
          <reference field="12" count="0"/>
        </references>
      </pivotArea>
    </format>
    <format dxfId="2034">
      <pivotArea collapsedLevelsAreSubtotals="1" fieldPosition="0">
        <references count="1">
          <reference field="12" count="0"/>
        </references>
      </pivotArea>
    </format>
    <format dxfId="2033">
      <pivotArea dataOnly="0" labelOnly="1" fieldPosition="0">
        <references count="1">
          <reference field="12" count="0"/>
        </references>
      </pivotArea>
    </format>
    <format dxfId="2032">
      <pivotArea field="12" type="button" dataOnly="0" labelOnly="1" outline="0" axis="axisRow" fieldPosition="0"/>
    </format>
    <format dxfId="2031">
      <pivotArea dataOnly="0" labelOnly="1" outline="0" axis="axisValues" fieldPosition="0"/>
    </format>
    <format dxfId="2030">
      <pivotArea field="12" type="button" dataOnly="0" labelOnly="1" outline="0" axis="axisRow" fieldPosition="0"/>
    </format>
    <format dxfId="2029">
      <pivotArea dataOnly="0" labelOnly="1" outline="0" axis="axisValues" fieldPosition="0"/>
    </format>
    <format dxfId="2028">
      <pivotArea type="all" dataOnly="0" outline="0" fieldPosition="0"/>
    </format>
    <format dxfId="2027">
      <pivotArea outline="0" collapsedLevelsAreSubtotals="1" fieldPosition="0"/>
    </format>
    <format dxfId="2026">
      <pivotArea field="12" type="button" dataOnly="0" labelOnly="1" outline="0" axis="axisRow" fieldPosition="0"/>
    </format>
    <format dxfId="2025">
      <pivotArea dataOnly="0" labelOnly="1" fieldPosition="0">
        <references count="1">
          <reference field="12" count="0"/>
        </references>
      </pivotArea>
    </format>
    <format dxfId="2024">
      <pivotArea dataOnly="0" labelOnly="1" outline="0" axis="axisValues" fieldPosition="0"/>
    </format>
    <format dxfId="2023">
      <pivotArea type="all" dataOnly="0" outline="0" fieldPosition="0"/>
    </format>
    <format dxfId="2022">
      <pivotArea outline="0" collapsedLevelsAreSubtotals="1" fieldPosition="0"/>
    </format>
    <format dxfId="2021">
      <pivotArea field="12" type="button" dataOnly="0" labelOnly="1" outline="0" axis="axisRow" fieldPosition="0"/>
    </format>
    <format dxfId="2020">
      <pivotArea dataOnly="0" labelOnly="1" fieldPosition="0">
        <references count="1">
          <reference field="12" count="0"/>
        </references>
      </pivotArea>
    </format>
    <format dxfId="2019">
      <pivotArea dataOnly="0" labelOnly="1" outline="0" axis="axisValues" fieldPosition="0"/>
    </format>
    <format dxfId="2018">
      <pivotArea dataOnly="0" labelOnly="1" outline="0" axis="axisValues" fieldPosition="0"/>
    </format>
    <format dxfId="2017">
      <pivotArea field="12" type="button" dataOnly="0" labelOnly="1" outline="0" axis="axisRow" fieldPosition="0"/>
    </format>
    <format dxfId="2016">
      <pivotArea dataOnly="0" labelOnly="1" outline="0" axis="axisValues" fieldPosition="0"/>
    </format>
    <format dxfId="2015">
      <pivotArea type="all" dataOnly="0" outline="0" fieldPosition="0"/>
    </format>
    <format dxfId="2014">
      <pivotArea outline="0" collapsedLevelsAreSubtotals="1" fieldPosition="0"/>
    </format>
    <format dxfId="2013">
      <pivotArea field="12" type="button" dataOnly="0" labelOnly="1" outline="0" axis="axisRow" fieldPosition="0"/>
    </format>
    <format dxfId="2012">
      <pivotArea dataOnly="0" labelOnly="1" fieldPosition="0">
        <references count="1">
          <reference field="12" count="0"/>
        </references>
      </pivotArea>
    </format>
    <format dxfId="2011">
      <pivotArea dataOnly="0" labelOnly="1" outline="0" axis="axisValues" fieldPosition="0"/>
    </format>
    <format dxfId="2010">
      <pivotArea field="12" type="button" dataOnly="0" labelOnly="1" outline="0" axis="axisRow" fieldPosition="0"/>
    </format>
    <format dxfId="2009">
      <pivotArea dataOnly="0" labelOnly="1" outline="0" axis="axisValues" fieldPosition="0"/>
    </format>
    <format dxfId="2008">
      <pivotArea field="12" type="button" dataOnly="0" labelOnly="1" outline="0" axis="axisRow" fieldPosition="0"/>
    </format>
    <format dxfId="2007">
      <pivotArea dataOnly="0" labelOnly="1" outline="0" axis="axisValues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64B21-78E7-4688-B954-25D10A33BB25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0:A46" firstHeaderRow="1" firstDataRow="1" firstDataCol="1"/>
  <pivotFields count="14">
    <pivotField compact="0" outline="0" showAll="0"/>
    <pivotField axis="axisRow" compact="0" outline="0"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formats count="16">
    <format dxfId="2059">
      <pivotArea type="all" dataOnly="0" outline="0" fieldPosition="0"/>
    </format>
    <format dxfId="2058">
      <pivotArea field="1" type="button" dataOnly="0" labelOnly="1" outline="0" axis="axisRow" fieldPosition="0"/>
    </format>
    <format dxfId="2057">
      <pivotArea dataOnly="0" labelOnly="1" grandRow="1" outline="0" fieldPosition="0"/>
    </format>
    <format dxfId="2056">
      <pivotArea field="1" type="button" dataOnly="0" labelOnly="1" outline="0" axis="axisRow" fieldPosition="0"/>
    </format>
    <format dxfId="2055">
      <pivotArea field="1" type="button" dataOnly="0" labelOnly="1" outline="0" axis="axisRow" fieldPosition="0"/>
    </format>
    <format dxfId="2054">
      <pivotArea outline="0" collapsedLevelsAreSubtotals="1" fieldPosition="0"/>
    </format>
    <format dxfId="2053">
      <pivotArea type="all" dataOnly="0" outline="0" fieldPosition="0"/>
    </format>
    <format dxfId="2052">
      <pivotArea field="1" type="button" dataOnly="0" labelOnly="1" outline="0" axis="axisRow" fieldPosition="0"/>
    </format>
    <format dxfId="2051">
      <pivotArea dataOnly="0" labelOnly="1" outline="0" fieldPosition="0">
        <references count="1">
          <reference field="1" count="0"/>
        </references>
      </pivotArea>
    </format>
    <format dxfId="2050">
      <pivotArea type="all" dataOnly="0" outline="0" fieldPosition="0"/>
    </format>
    <format dxfId="2049">
      <pivotArea field="1" type="button" dataOnly="0" labelOnly="1" outline="0" axis="axisRow" fieldPosition="0"/>
    </format>
    <format dxfId="2048">
      <pivotArea dataOnly="0" labelOnly="1" outline="0" fieldPosition="0">
        <references count="1">
          <reference field="1" count="0"/>
        </references>
      </pivotArea>
    </format>
    <format dxfId="2047">
      <pivotArea type="all" dataOnly="0" outline="0" fieldPosition="0"/>
    </format>
    <format dxfId="2046">
      <pivotArea field="1" type="button" dataOnly="0" labelOnly="1" outline="0" axis="axisRow" fieldPosition="0"/>
    </format>
    <format dxfId="2045">
      <pivotArea dataOnly="0" labelOnly="1" outline="0" fieldPosition="0">
        <references count="1">
          <reference field="1" count="0"/>
        </references>
      </pivotArea>
    </format>
    <format dxfId="2044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159A8-E5EE-46E2-85B4-A799E2A62BC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K25" firstHeaderRow="1" firstDataRow="2" firstDataCol="1"/>
  <pivotFields count="14">
    <pivotField dataField="1" showAll="0"/>
    <pivotField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showAll="0"/>
    <pivotField showAll="0"/>
    <pivotField showAll="0"/>
    <pivotField axis="axisRow" showAll="0">
      <items count="7">
        <item x="0"/>
        <item x="3"/>
        <item x="5"/>
        <item x="2"/>
        <item x="1"/>
        <item x="4"/>
        <item t="default"/>
      </items>
    </pivotField>
    <pivotField showAll="0"/>
    <pivotField numFmtId="164" showAll="0"/>
    <pivotField showAll="0"/>
    <pivotField showAll="0"/>
    <pivotField showAll="0"/>
    <pivotField showAll="0"/>
    <pivotField axis="axisCol" showAll="0">
      <items count="10">
        <item x="2"/>
        <item x="5"/>
        <item x="4"/>
        <item x="1"/>
        <item x="7"/>
        <item x="6"/>
        <item x="8"/>
        <item x="0"/>
        <item x="3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Deal_ID" fld="0" subtotal="count" baseField="0" baseItem="0"/>
  </dataFields>
  <formats count="40">
    <format dxfId="2099">
      <pivotArea type="all" dataOnly="0" outline="0" fieldPosition="0"/>
    </format>
    <format dxfId="2098">
      <pivotArea field="1" type="button" dataOnly="0" labelOnly="1" outline="0"/>
    </format>
    <format dxfId="2097">
      <pivotArea field="1" type="button" dataOnly="0" labelOnly="1" outline="0"/>
    </format>
    <format dxfId="2096">
      <pivotArea field="1" type="button" dataOnly="0" labelOnly="1" outline="0"/>
    </format>
    <format dxfId="2095">
      <pivotArea outline="0" collapsedLevelsAreSubtotals="1" fieldPosition="0"/>
    </format>
    <format dxfId="2094">
      <pivotArea outline="0" collapsedLevelsAreSubtotals="1" fieldPosition="0"/>
    </format>
    <format dxfId="2093">
      <pivotArea field="5" type="button" dataOnly="0" labelOnly="1" outline="0" axis="axisRow" fieldPosition="0"/>
    </format>
    <format dxfId="2092">
      <pivotArea dataOnly="0" labelOnly="1" fieldPosition="0">
        <references count="1">
          <reference field="12" count="0"/>
        </references>
      </pivotArea>
    </format>
    <format dxfId="2091">
      <pivotArea dataOnly="0" labelOnly="1" grandCol="1" outline="0" fieldPosition="0"/>
    </format>
    <format dxfId="2090">
      <pivotArea field="5" type="button" dataOnly="0" labelOnly="1" outline="0" axis="axisRow" fieldPosition="0"/>
    </format>
    <format dxfId="2089">
      <pivotArea dataOnly="0" labelOnly="1" fieldPosition="0">
        <references count="1">
          <reference field="12" count="0"/>
        </references>
      </pivotArea>
    </format>
    <format dxfId="2088">
      <pivotArea dataOnly="0" labelOnly="1" grandCol="1" outline="0" fieldPosition="0"/>
    </format>
    <format dxfId="2087">
      <pivotArea type="all" dataOnly="0" outline="0" fieldPosition="0"/>
    </format>
    <format dxfId="2086">
      <pivotArea outline="0" collapsedLevelsAreSubtotals="1" fieldPosition="0"/>
    </format>
    <format dxfId="2085">
      <pivotArea field="5" type="button" dataOnly="0" labelOnly="1" outline="0" axis="axisRow" fieldPosition="0"/>
    </format>
    <format dxfId="2084">
      <pivotArea dataOnly="0" labelOnly="1" fieldPosition="0">
        <references count="1">
          <reference field="5" count="0"/>
        </references>
      </pivotArea>
    </format>
    <format dxfId="2083">
      <pivotArea dataOnly="0" labelOnly="1" grandRow="1" outline="0" fieldPosition="0"/>
    </format>
    <format dxfId="2082">
      <pivotArea dataOnly="0" labelOnly="1" fieldPosition="0">
        <references count="1">
          <reference field="12" count="0"/>
        </references>
      </pivotArea>
    </format>
    <format dxfId="2081">
      <pivotArea dataOnly="0" labelOnly="1" grandCol="1" outline="0" fieldPosition="0"/>
    </format>
    <format dxfId="2080">
      <pivotArea outline="0" collapsedLevelsAreSubtotals="1" fieldPosition="0"/>
    </format>
    <format dxfId="2079">
      <pivotArea field="5" type="button" dataOnly="0" labelOnly="1" outline="0" axis="axisRow" fieldPosition="0"/>
    </format>
    <format dxfId="2078">
      <pivotArea dataOnly="0" labelOnly="1" fieldPosition="0">
        <references count="1">
          <reference field="5" count="0"/>
        </references>
      </pivotArea>
    </format>
    <format dxfId="2077">
      <pivotArea dataOnly="0" labelOnly="1" grandRow="1" outline="0" fieldPosition="0"/>
    </format>
    <format dxfId="2076">
      <pivotArea dataOnly="0" labelOnly="1" fieldPosition="0">
        <references count="1">
          <reference field="12" count="0"/>
        </references>
      </pivotArea>
    </format>
    <format dxfId="2075">
      <pivotArea dataOnly="0" labelOnly="1" grandCol="1" outline="0" fieldPosition="0"/>
    </format>
    <format dxfId="2074">
      <pivotArea type="all" dataOnly="0" outline="0" fieldPosition="0"/>
    </format>
    <format dxfId="2073">
      <pivotArea outline="0" collapsedLevelsAreSubtotals="1" fieldPosition="0"/>
    </format>
    <format dxfId="2072">
      <pivotArea type="origin" dataOnly="0" labelOnly="1" outline="0" fieldPosition="0"/>
    </format>
    <format dxfId="2071">
      <pivotArea field="12" type="button" dataOnly="0" labelOnly="1" outline="0" axis="axisCol" fieldPosition="0"/>
    </format>
    <format dxfId="2070">
      <pivotArea type="topRight" dataOnly="0" labelOnly="1" outline="0" fieldPosition="0"/>
    </format>
    <format dxfId="2069">
      <pivotArea field="5" type="button" dataOnly="0" labelOnly="1" outline="0" axis="axisRow" fieldPosition="0"/>
    </format>
    <format dxfId="2068">
      <pivotArea dataOnly="0" labelOnly="1" fieldPosition="0">
        <references count="1">
          <reference field="5" count="0"/>
        </references>
      </pivotArea>
    </format>
    <format dxfId="2067">
      <pivotArea dataOnly="0" labelOnly="1" grandRow="1" outline="0" fieldPosition="0"/>
    </format>
    <format dxfId="2066">
      <pivotArea dataOnly="0" labelOnly="1" fieldPosition="0">
        <references count="1">
          <reference field="12" count="0"/>
        </references>
      </pivotArea>
    </format>
    <format dxfId="2065">
      <pivotArea dataOnly="0" labelOnly="1" grandCol="1" outline="0" fieldPosition="0"/>
    </format>
    <format dxfId="2064">
      <pivotArea dataOnly="0" labelOnly="1" fieldPosition="0">
        <references count="1">
          <reference field="12" count="0"/>
        </references>
      </pivotArea>
    </format>
    <format dxfId="2063">
      <pivotArea dataOnly="0" labelOnly="1" grandCol="1" outline="0" fieldPosition="0"/>
    </format>
    <format dxfId="2062">
      <pivotArea dataOnly="0" labelOnly="1" fieldPosition="0">
        <references count="1">
          <reference field="12" count="0"/>
        </references>
      </pivotArea>
    </format>
    <format dxfId="2061">
      <pivotArea dataOnly="0" labelOnly="1" grandCol="1" outline="0" fieldPosition="0"/>
    </format>
    <format dxfId="20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6BB20-CCB3-493F-8853-ECD7103D7654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0:A66" firstHeaderRow="1" firstDataRow="1" firstDataCol="1"/>
  <pivotFields count="14">
    <pivotField compact="0" outline="0" showAll="0"/>
    <pivotField compact="0" outline="0"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compact="0" outline="0" showAll="0"/>
    <pivotField axis="axisRow"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formats count="18">
    <format dxfId="2117">
      <pivotArea type="all" dataOnly="0" outline="0" fieldPosition="0"/>
    </format>
    <format dxfId="2116">
      <pivotArea field="1" type="button" dataOnly="0" labelOnly="1" outline="0"/>
    </format>
    <format dxfId="2115">
      <pivotArea dataOnly="0" labelOnly="1" grandRow="1" outline="0" fieldPosition="0"/>
    </format>
    <format dxfId="2114">
      <pivotArea field="1" type="button" dataOnly="0" labelOnly="1" outline="0"/>
    </format>
    <format dxfId="2113">
      <pivotArea field="1" type="button" dataOnly="0" labelOnly="1" outline="0"/>
    </format>
    <format dxfId="2112">
      <pivotArea outline="0" collapsedLevelsAreSubtotals="1" fieldPosition="0"/>
    </format>
    <format dxfId="2111">
      <pivotArea field="3" type="button" dataOnly="0" labelOnly="1" outline="0" axis="axisRow" fieldPosition="0"/>
    </format>
    <format dxfId="2110">
      <pivotArea field="3" type="button" dataOnly="0" labelOnly="1" outline="0" axis="axisRow" fieldPosition="0"/>
    </format>
    <format dxfId="2109">
      <pivotArea type="all" dataOnly="0" outline="0" fieldPosition="0"/>
    </format>
    <format dxfId="2108">
      <pivotArea field="3" type="button" dataOnly="0" labelOnly="1" outline="0" axis="axisRow" fieldPosition="0"/>
    </format>
    <format dxfId="2107">
      <pivotArea dataOnly="0" labelOnly="1" outline="0" fieldPosition="0">
        <references count="1">
          <reference field="3" count="0"/>
        </references>
      </pivotArea>
    </format>
    <format dxfId="2106">
      <pivotArea type="all" dataOnly="0" outline="0" fieldPosition="0"/>
    </format>
    <format dxfId="2105">
      <pivotArea field="3" type="button" dataOnly="0" labelOnly="1" outline="0" axis="axisRow" fieldPosition="0"/>
    </format>
    <format dxfId="2104">
      <pivotArea dataOnly="0" labelOnly="1" outline="0" fieldPosition="0">
        <references count="1">
          <reference field="3" count="0"/>
        </references>
      </pivotArea>
    </format>
    <format dxfId="2103">
      <pivotArea type="all" dataOnly="0" outline="0" fieldPosition="0"/>
    </format>
    <format dxfId="2102">
      <pivotArea field="3" type="button" dataOnly="0" labelOnly="1" outline="0" axis="axisRow" fieldPosition="0"/>
    </format>
    <format dxfId="2101">
      <pivotArea dataOnly="0" labelOnly="1" outline="0" fieldPosition="0">
        <references count="1">
          <reference field="3" count="0"/>
        </references>
      </pivotArea>
    </format>
    <format dxfId="2100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CB1B6-8509-477C-91BD-C076AD3C85C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9:A53" firstHeaderRow="1" firstDataRow="1" firstDataCol="1"/>
  <pivotFields count="14">
    <pivotField compact="0" outline="0" showAll="0"/>
    <pivotField compact="0" outline="0" showAll="0">
      <items count="17">
        <item x="5"/>
        <item x="1"/>
        <item x="7"/>
        <item x="13"/>
        <item x="14"/>
        <item x="6"/>
        <item x="12"/>
        <item x="15"/>
        <item x="9"/>
        <item x="10"/>
        <item x="0"/>
        <item x="8"/>
        <item x="3"/>
        <item x="4"/>
        <item x="1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formats count="18">
    <format dxfId="2135">
      <pivotArea type="all" dataOnly="0" outline="0" fieldPosition="0"/>
    </format>
    <format dxfId="2134">
      <pivotArea field="1" type="button" dataOnly="0" labelOnly="1" outline="0"/>
    </format>
    <format dxfId="2133">
      <pivotArea dataOnly="0" labelOnly="1" grandRow="1" outline="0" fieldPosition="0"/>
    </format>
    <format dxfId="2132">
      <pivotArea field="1" type="button" dataOnly="0" labelOnly="1" outline="0"/>
    </format>
    <format dxfId="2131">
      <pivotArea field="1" type="button" dataOnly="0" labelOnly="1" outline="0"/>
    </format>
    <format dxfId="2130">
      <pivotArea outline="0" collapsedLevelsAreSubtotals="1" fieldPosition="0"/>
    </format>
    <format dxfId="2129">
      <pivotArea field="11" type="button" dataOnly="0" labelOnly="1" outline="0" axis="axisRow" fieldPosition="0"/>
    </format>
    <format dxfId="2128">
      <pivotArea field="11" type="button" dataOnly="0" labelOnly="1" outline="0" axis="axisRow" fieldPosition="0"/>
    </format>
    <format dxfId="2127">
      <pivotArea type="all" dataOnly="0" outline="0" fieldPosition="0"/>
    </format>
    <format dxfId="2126">
      <pivotArea field="11" type="button" dataOnly="0" labelOnly="1" outline="0" axis="axisRow" fieldPosition="0"/>
    </format>
    <format dxfId="2125">
      <pivotArea dataOnly="0" labelOnly="1" outline="0" fieldPosition="0">
        <references count="1">
          <reference field="11" count="0"/>
        </references>
      </pivotArea>
    </format>
    <format dxfId="2124">
      <pivotArea type="all" dataOnly="0" outline="0" fieldPosition="0"/>
    </format>
    <format dxfId="2123">
      <pivotArea field="11" type="button" dataOnly="0" labelOnly="1" outline="0" axis="axisRow" fieldPosition="0"/>
    </format>
    <format dxfId="2122">
      <pivotArea dataOnly="0" labelOnly="1" outline="0" fieldPosition="0">
        <references count="1">
          <reference field="11" count="0"/>
        </references>
      </pivotArea>
    </format>
    <format dxfId="2121">
      <pivotArea type="all" dataOnly="0" outline="0" fieldPosition="0"/>
    </format>
    <format dxfId="2120">
      <pivotArea field="11" type="button" dataOnly="0" labelOnly="1" outline="0" axis="axisRow" fieldPosition="0"/>
    </format>
    <format dxfId="2119">
      <pivotArea dataOnly="0" labelOnly="1" outline="0" fieldPosition="0">
        <references count="1">
          <reference field="11" count="0"/>
        </references>
      </pivotArea>
    </format>
    <format dxfId="2118">
      <pivotArea field="1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D1513-C481-4903-B210-AA0D71672E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K14" firstHeaderRow="1" firstDataRow="2" firstDataCol="1"/>
  <pivotFields count="14"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1"/>
        <item x="4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axis="axisCol" showAll="0">
      <items count="10">
        <item x="2"/>
        <item x="5"/>
        <item x="4"/>
        <item x="1"/>
        <item x="7"/>
        <item x="6"/>
        <item x="8"/>
        <item x="0"/>
        <item x="3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Deal_Value_INR" fld="6" baseField="0" baseItem="0" numFmtId="165"/>
  </dataFields>
  <formats count="40">
    <format dxfId="2175">
      <pivotArea type="all" dataOnly="0" outline="0" fieldPosition="0"/>
    </format>
    <format dxfId="2174">
      <pivotArea outline="0" collapsedLevelsAreSubtotals="1" fieldPosition="0"/>
    </format>
    <format dxfId="2173">
      <pivotArea field="5" type="button" dataOnly="0" labelOnly="1" outline="0" axis="axisRow" fieldPosition="0"/>
    </format>
    <format dxfId="2172">
      <pivotArea dataOnly="0" labelOnly="1" fieldPosition="0">
        <references count="1">
          <reference field="12" count="0"/>
        </references>
      </pivotArea>
    </format>
    <format dxfId="2171">
      <pivotArea dataOnly="0" labelOnly="1" grandCol="1" outline="0" fieldPosition="0"/>
    </format>
    <format dxfId="2170">
      <pivotArea field="5" type="button" dataOnly="0" labelOnly="1" outline="0" axis="axisRow" fieldPosition="0"/>
    </format>
    <format dxfId="2169">
      <pivotArea dataOnly="0" labelOnly="1" fieldPosition="0">
        <references count="1">
          <reference field="12" count="0"/>
        </references>
      </pivotArea>
    </format>
    <format dxfId="2168">
      <pivotArea dataOnly="0" labelOnly="1" grandCol="1" outline="0" fieldPosition="0"/>
    </format>
    <format dxfId="2167">
      <pivotArea field="5" type="button" dataOnly="0" labelOnly="1" outline="0" axis="axisRow" fieldPosition="0"/>
    </format>
    <format dxfId="2166">
      <pivotArea dataOnly="0" labelOnly="1" fieldPosition="0">
        <references count="1">
          <reference field="12" count="0"/>
        </references>
      </pivotArea>
    </format>
    <format dxfId="2165">
      <pivotArea dataOnly="0" labelOnly="1" grandCol="1" outline="0" fieldPosition="0"/>
    </format>
    <format dxfId="2164">
      <pivotArea outline="0" collapsedLevelsAreSubtotals="1" fieldPosition="0"/>
    </format>
    <format dxfId="2163">
      <pivotArea type="all" dataOnly="0" outline="0" fieldPosition="0"/>
    </format>
    <format dxfId="2162">
      <pivotArea outline="0" collapsedLevelsAreSubtotals="1" fieldPosition="0"/>
    </format>
    <format dxfId="2161">
      <pivotArea field="5" type="button" dataOnly="0" labelOnly="1" outline="0" axis="axisRow" fieldPosition="0"/>
    </format>
    <format dxfId="2160">
      <pivotArea dataOnly="0" labelOnly="1" fieldPosition="0">
        <references count="1">
          <reference field="5" count="0"/>
        </references>
      </pivotArea>
    </format>
    <format dxfId="2159">
      <pivotArea dataOnly="0" labelOnly="1" grandRow="1" outline="0" fieldPosition="0"/>
    </format>
    <format dxfId="2158">
      <pivotArea dataOnly="0" labelOnly="1" fieldPosition="0">
        <references count="1">
          <reference field="12" count="0"/>
        </references>
      </pivotArea>
    </format>
    <format dxfId="2157">
      <pivotArea dataOnly="0" labelOnly="1" grandCol="1" outline="0" fieldPosition="0"/>
    </format>
    <format dxfId="2156">
      <pivotArea outline="0" collapsedLevelsAreSubtotals="1" fieldPosition="0"/>
    </format>
    <format dxfId="2155">
      <pivotArea field="5" type="button" dataOnly="0" labelOnly="1" outline="0" axis="axisRow" fieldPosition="0"/>
    </format>
    <format dxfId="2154">
      <pivotArea dataOnly="0" labelOnly="1" fieldPosition="0">
        <references count="1">
          <reference field="5" count="0"/>
        </references>
      </pivotArea>
    </format>
    <format dxfId="2153">
      <pivotArea dataOnly="0" labelOnly="1" grandRow="1" outline="0" fieldPosition="0"/>
    </format>
    <format dxfId="2152">
      <pivotArea dataOnly="0" labelOnly="1" fieldPosition="0">
        <references count="1">
          <reference field="12" count="0"/>
        </references>
      </pivotArea>
    </format>
    <format dxfId="2151">
      <pivotArea dataOnly="0" labelOnly="1" grandCol="1" outline="0" fieldPosition="0"/>
    </format>
    <format dxfId="2150">
      <pivotArea type="origin" dataOnly="0" labelOnly="1" outline="0" fieldPosition="0"/>
    </format>
    <format dxfId="2149">
      <pivotArea type="all" dataOnly="0" outline="0" fieldPosition="0"/>
    </format>
    <format dxfId="2148">
      <pivotArea outline="0" collapsedLevelsAreSubtotals="1" fieldPosition="0"/>
    </format>
    <format dxfId="2147">
      <pivotArea type="origin" dataOnly="0" labelOnly="1" outline="0" fieldPosition="0"/>
    </format>
    <format dxfId="2146">
      <pivotArea field="12" type="button" dataOnly="0" labelOnly="1" outline="0" axis="axisCol" fieldPosition="0"/>
    </format>
    <format dxfId="2145">
      <pivotArea type="topRight" dataOnly="0" labelOnly="1" outline="0" fieldPosition="0"/>
    </format>
    <format dxfId="2144">
      <pivotArea field="5" type="button" dataOnly="0" labelOnly="1" outline="0" axis="axisRow" fieldPosition="0"/>
    </format>
    <format dxfId="2143">
      <pivotArea dataOnly="0" labelOnly="1" fieldPosition="0">
        <references count="1">
          <reference field="5" count="0"/>
        </references>
      </pivotArea>
    </format>
    <format dxfId="2142">
      <pivotArea dataOnly="0" labelOnly="1" grandRow="1" outline="0" fieldPosition="0"/>
    </format>
    <format dxfId="2141">
      <pivotArea dataOnly="0" labelOnly="1" fieldPosition="0">
        <references count="1">
          <reference field="12" count="0"/>
        </references>
      </pivotArea>
    </format>
    <format dxfId="2140">
      <pivotArea dataOnly="0" labelOnly="1" grandCol="1" outline="0" fieldPosition="0"/>
    </format>
    <format dxfId="2139">
      <pivotArea dataOnly="0" labelOnly="1" fieldPosition="0">
        <references count="1">
          <reference field="12" count="0"/>
        </references>
      </pivotArea>
    </format>
    <format dxfId="2138">
      <pivotArea dataOnly="0" labelOnly="1" grandCol="1" outline="0" fieldPosition="0"/>
    </format>
    <format dxfId="2137">
      <pivotArea dataOnly="0" labelOnly="1" fieldPosition="0">
        <references count="1">
          <reference field="12" count="0"/>
        </references>
      </pivotArea>
    </format>
    <format dxfId="21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4D22A-3A74-4CD8-9905-9AA01C164298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O15" firstHeaderRow="1" firstDataRow="2" firstDataCol="1"/>
  <pivotFields count="17">
    <pivotField showAll="0"/>
    <pivotField axis="axisRow" showAll="0">
      <items count="10">
        <item x="4"/>
        <item x="3"/>
        <item x="6"/>
        <item x="7"/>
        <item x="1"/>
        <item x="2"/>
        <item x="5"/>
        <item x="0"/>
        <item m="1" x="8"/>
        <item t="default"/>
      </items>
    </pivotField>
    <pivotField axis="axisCol" showAll="0">
      <items count="15">
        <item x="0"/>
        <item x="5"/>
        <item x="3"/>
        <item x="10"/>
        <item x="2"/>
        <item x="4"/>
        <item x="11"/>
        <item x="9"/>
        <item x="7"/>
        <item x="8"/>
        <item x="6"/>
        <item x="12"/>
        <item x="1"/>
        <item m="1" x="13"/>
        <item t="default"/>
      </items>
    </pivotField>
    <pivotField showAll="0"/>
    <pivotField dataField="1" showAll="0"/>
    <pivotField showAll="0"/>
    <pivotField showAll="0"/>
    <pivotField numFmtId="164" showAll="0">
      <items count="584">
        <item x="266"/>
        <item x="154"/>
        <item x="208"/>
        <item x="549"/>
        <item x="359"/>
        <item x="502"/>
        <item x="316"/>
        <item x="517"/>
        <item x="67"/>
        <item x="491"/>
        <item x="146"/>
        <item x="525"/>
        <item x="582"/>
        <item x="333"/>
        <item x="562"/>
        <item x="219"/>
        <item x="470"/>
        <item x="111"/>
        <item x="104"/>
        <item x="506"/>
        <item x="292"/>
        <item x="334"/>
        <item x="383"/>
        <item x="58"/>
        <item x="308"/>
        <item x="472"/>
        <item x="19"/>
        <item x="4"/>
        <item x="194"/>
        <item x="59"/>
        <item x="542"/>
        <item x="519"/>
        <item x="406"/>
        <item x="524"/>
        <item x="442"/>
        <item x="18"/>
        <item x="46"/>
        <item x="577"/>
        <item x="398"/>
        <item x="116"/>
        <item x="262"/>
        <item x="343"/>
        <item x="158"/>
        <item x="49"/>
        <item x="410"/>
        <item x="201"/>
        <item x="215"/>
        <item x="246"/>
        <item x="529"/>
        <item x="24"/>
        <item x="520"/>
        <item x="435"/>
        <item x="468"/>
        <item x="309"/>
        <item x="65"/>
        <item x="497"/>
        <item x="172"/>
        <item x="348"/>
        <item x="377"/>
        <item x="419"/>
        <item x="407"/>
        <item x="285"/>
        <item x="263"/>
        <item x="312"/>
        <item x="355"/>
        <item x="115"/>
        <item x="507"/>
        <item x="213"/>
        <item x="140"/>
        <item x="378"/>
        <item x="77"/>
        <item x="93"/>
        <item x="177"/>
        <item x="331"/>
        <item x="254"/>
        <item x="466"/>
        <item x="319"/>
        <item x="488"/>
        <item x="161"/>
        <item x="557"/>
        <item x="547"/>
        <item x="278"/>
        <item x="320"/>
        <item x="566"/>
        <item x="339"/>
        <item x="302"/>
        <item x="565"/>
        <item x="223"/>
        <item x="429"/>
        <item x="202"/>
        <item x="449"/>
        <item x="85"/>
        <item x="485"/>
        <item x="341"/>
        <item x="179"/>
        <item x="370"/>
        <item x="163"/>
        <item x="552"/>
        <item x="385"/>
        <item x="203"/>
        <item x="109"/>
        <item x="155"/>
        <item x="459"/>
        <item x="495"/>
        <item x="281"/>
        <item x="261"/>
        <item x="536"/>
        <item x="505"/>
        <item x="162"/>
        <item x="450"/>
        <item x="426"/>
        <item x="31"/>
        <item x="90"/>
        <item x="492"/>
        <item x="444"/>
        <item x="174"/>
        <item x="153"/>
        <item x="30"/>
        <item x="229"/>
        <item x="396"/>
        <item x="268"/>
        <item x="418"/>
        <item x="300"/>
        <item x="446"/>
        <item x="106"/>
        <item x="157"/>
        <item x="543"/>
        <item x="533"/>
        <item x="217"/>
        <item x="212"/>
        <item x="427"/>
        <item x="195"/>
        <item x="137"/>
        <item x="397"/>
        <item x="440"/>
        <item x="126"/>
        <item x="301"/>
        <item x="504"/>
        <item x="568"/>
        <item x="349"/>
        <item x="230"/>
        <item x="156"/>
        <item x="81"/>
        <item x="0"/>
        <item x="176"/>
        <item x="461"/>
        <item x="168"/>
        <item x="34"/>
        <item x="315"/>
        <item x="521"/>
        <item x="420"/>
        <item x="144"/>
        <item x="295"/>
        <item x="102"/>
        <item x="366"/>
        <item x="318"/>
        <item x="110"/>
        <item x="40"/>
        <item x="469"/>
        <item x="7"/>
        <item x="332"/>
        <item x="516"/>
        <item x="411"/>
        <item x="277"/>
        <item x="6"/>
        <item x="313"/>
        <item x="103"/>
        <item x="267"/>
        <item x="36"/>
        <item x="489"/>
        <item x="247"/>
        <item x="509"/>
        <item x="148"/>
        <item x="87"/>
        <item x="200"/>
        <item x="328"/>
        <item x="381"/>
        <item x="231"/>
        <item x="550"/>
        <item x="496"/>
        <item x="480"/>
        <item x="107"/>
        <item x="456"/>
        <item x="41"/>
        <item x="487"/>
        <item x="84"/>
        <item x="362"/>
        <item x="48"/>
        <item x="474"/>
        <item x="493"/>
        <item x="259"/>
        <item x="486"/>
        <item x="97"/>
        <item x="401"/>
        <item x="182"/>
        <item x="198"/>
        <item x="387"/>
        <item x="317"/>
        <item x="311"/>
        <item x="322"/>
        <item x="304"/>
        <item x="235"/>
        <item x="89"/>
        <item x="392"/>
        <item x="98"/>
        <item x="483"/>
        <item x="544"/>
        <item x="356"/>
        <item x="258"/>
        <item x="192"/>
        <item x="1"/>
        <item x="244"/>
        <item x="494"/>
        <item x="185"/>
        <item x="578"/>
        <item x="575"/>
        <item x="560"/>
        <item x="55"/>
        <item x="458"/>
        <item x="368"/>
        <item x="535"/>
        <item x="307"/>
        <item x="306"/>
        <item x="453"/>
        <item x="225"/>
        <item x="561"/>
        <item x="68"/>
        <item x="50"/>
        <item x="78"/>
        <item x="248"/>
        <item x="188"/>
        <item x="216"/>
        <item x="555"/>
        <item x="573"/>
        <item x="95"/>
        <item x="224"/>
        <item x="21"/>
        <item x="357"/>
        <item x="43"/>
        <item x="51"/>
        <item x="526"/>
        <item x="329"/>
        <item x="290"/>
        <item x="508"/>
        <item x="92"/>
        <item x="340"/>
        <item x="540"/>
        <item x="113"/>
        <item x="570"/>
        <item x="402"/>
        <item x="206"/>
        <item x="127"/>
        <item x="275"/>
        <item x="310"/>
        <item x="484"/>
        <item x="22"/>
        <item x="382"/>
        <item x="447"/>
        <item x="371"/>
        <item x="131"/>
        <item x="321"/>
        <item x="580"/>
        <item x="558"/>
        <item x="414"/>
        <item x="400"/>
        <item x="204"/>
        <item x="518"/>
        <item x="463"/>
        <item x="413"/>
        <item x="159"/>
        <item x="409"/>
        <item x="351"/>
        <item x="57"/>
        <item x="75"/>
        <item x="218"/>
        <item x="69"/>
        <item x="130"/>
        <item x="238"/>
        <item x="64"/>
        <item x="63"/>
        <item x="569"/>
        <item x="29"/>
        <item x="2"/>
        <item x="405"/>
        <item x="412"/>
        <item x="283"/>
        <item x="205"/>
        <item x="272"/>
        <item x="53"/>
        <item x="276"/>
        <item x="173"/>
        <item x="17"/>
        <item x="481"/>
        <item x="528"/>
        <item x="134"/>
        <item x="303"/>
        <item x="264"/>
        <item x="541"/>
        <item x="454"/>
        <item x="35"/>
        <item x="136"/>
        <item x="166"/>
        <item x="20"/>
        <item x="325"/>
        <item x="11"/>
        <item x="500"/>
        <item x="167"/>
        <item x="391"/>
        <item x="143"/>
        <item x="270"/>
        <item x="193"/>
        <item x="358"/>
        <item x="288"/>
        <item x="211"/>
        <item x="336"/>
        <item x="574"/>
        <item x="5"/>
        <item x="47"/>
        <item x="16"/>
        <item x="250"/>
        <item x="342"/>
        <item x="394"/>
        <item x="234"/>
        <item x="186"/>
        <item x="245"/>
        <item x="149"/>
        <item x="364"/>
        <item x="76"/>
        <item x="227"/>
        <item x="305"/>
        <item x="236"/>
        <item x="294"/>
        <item x="94"/>
        <item x="260"/>
        <item x="32"/>
        <item x="374"/>
        <item x="196"/>
        <item x="145"/>
        <item x="286"/>
        <item x="457"/>
        <item x="124"/>
        <item x="299"/>
        <item x="256"/>
        <item x="269"/>
        <item x="120"/>
        <item x="354"/>
        <item x="532"/>
        <item x="293"/>
        <item x="142"/>
        <item x="141"/>
        <item x="271"/>
        <item x="393"/>
        <item x="273"/>
        <item x="251"/>
        <item x="363"/>
        <item x="323"/>
        <item x="72"/>
        <item x="70"/>
        <item x="33"/>
        <item x="180"/>
        <item x="499"/>
        <item x="222"/>
        <item x="448"/>
        <item x="132"/>
        <item x="399"/>
        <item x="464"/>
        <item x="8"/>
        <item x="425"/>
        <item x="66"/>
        <item x="171"/>
        <item x="27"/>
        <item x="433"/>
        <item x="240"/>
        <item x="297"/>
        <item x="477"/>
        <item x="437"/>
        <item x="455"/>
        <item x="199"/>
        <item x="15"/>
        <item x="25"/>
        <item x="12"/>
        <item x="91"/>
        <item x="242"/>
        <item x="191"/>
        <item x="62"/>
        <item x="553"/>
        <item x="39"/>
        <item x="274"/>
        <item x="164"/>
        <item x="503"/>
        <item x="439"/>
        <item x="417"/>
        <item x="372"/>
        <item x="237"/>
        <item x="432"/>
        <item x="352"/>
        <item x="443"/>
        <item x="373"/>
        <item x="581"/>
        <item x="324"/>
        <item x="515"/>
        <item x="390"/>
        <item x="389"/>
        <item x="388"/>
        <item x="523"/>
        <item x="28"/>
        <item x="112"/>
        <item x="280"/>
        <item x="361"/>
        <item x="539"/>
        <item x="183"/>
        <item x="178"/>
        <item x="326"/>
        <item x="475"/>
        <item x="101"/>
        <item x="531"/>
        <item x="249"/>
        <item x="330"/>
        <item x="431"/>
        <item x="207"/>
        <item x="291"/>
        <item x="287"/>
        <item x="114"/>
        <item x="257"/>
        <item x="452"/>
        <item x="42"/>
        <item x="451"/>
        <item x="365"/>
        <item x="367"/>
        <item x="510"/>
        <item x="567"/>
        <item x="422"/>
        <item x="252"/>
        <item x="232"/>
        <item x="347"/>
        <item x="239"/>
        <item x="579"/>
        <item x="511"/>
        <item x="38"/>
        <item x="118"/>
        <item x="350"/>
        <item x="369"/>
        <item x="537"/>
        <item x="501"/>
        <item x="473"/>
        <item x="26"/>
        <item x="44"/>
        <item x="45"/>
        <item x="548"/>
        <item x="135"/>
        <item x="428"/>
        <item x="147"/>
        <item x="434"/>
        <item x="265"/>
        <item x="187"/>
        <item x="169"/>
        <item x="241"/>
        <item x="338"/>
        <item x="150"/>
        <item x="436"/>
        <item x="37"/>
        <item x="296"/>
        <item x="83"/>
        <item x="117"/>
        <item x="423"/>
        <item x="375"/>
        <item x="298"/>
        <item x="314"/>
        <item x="160"/>
        <item x="181"/>
        <item x="23"/>
        <item x="527"/>
        <item x="445"/>
        <item x="152"/>
        <item x="353"/>
        <item x="467"/>
        <item x="119"/>
        <item x="289"/>
        <item x="88"/>
        <item x="404"/>
        <item x="226"/>
        <item x="408"/>
        <item x="538"/>
        <item x="530"/>
        <item x="554"/>
        <item x="344"/>
        <item x="490"/>
        <item x="424"/>
        <item x="61"/>
        <item x="482"/>
        <item x="253"/>
        <item x="513"/>
        <item x="421"/>
        <item x="415"/>
        <item x="564"/>
        <item x="128"/>
        <item x="559"/>
        <item x="471"/>
        <item x="138"/>
        <item x="360"/>
        <item x="56"/>
        <item x="86"/>
        <item x="545"/>
        <item x="534"/>
        <item x="465"/>
        <item x="462"/>
        <item x="395"/>
        <item x="13"/>
        <item x="403"/>
        <item x="556"/>
        <item x="416"/>
        <item x="184"/>
        <item x="220"/>
        <item x="327"/>
        <item x="60"/>
        <item x="123"/>
        <item x="122"/>
        <item x="233"/>
        <item x="170"/>
        <item x="189"/>
        <item x="551"/>
        <item x="190"/>
        <item x="346"/>
        <item x="82"/>
        <item x="151"/>
        <item x="228"/>
        <item x="71"/>
        <item x="73"/>
        <item x="210"/>
        <item x="209"/>
        <item x="337"/>
        <item x="512"/>
        <item x="345"/>
        <item x="121"/>
        <item x="546"/>
        <item x="522"/>
        <item x="335"/>
        <item x="52"/>
        <item x="165"/>
        <item x="478"/>
        <item x="282"/>
        <item x="380"/>
        <item x="10"/>
        <item x="376"/>
        <item x="476"/>
        <item x="279"/>
        <item x="129"/>
        <item x="576"/>
        <item x="100"/>
        <item x="79"/>
        <item x="384"/>
        <item x="460"/>
        <item x="74"/>
        <item x="175"/>
        <item x="221"/>
        <item x="441"/>
        <item x="125"/>
        <item x="54"/>
        <item x="214"/>
        <item x="133"/>
        <item x="243"/>
        <item x="514"/>
        <item x="479"/>
        <item x="108"/>
        <item x="14"/>
        <item x="255"/>
        <item x="99"/>
        <item x="498"/>
        <item x="197"/>
        <item x="284"/>
        <item x="80"/>
        <item x="105"/>
        <item x="430"/>
        <item x="3"/>
        <item x="139"/>
        <item x="96"/>
        <item x="571"/>
        <item x="9"/>
        <item x="379"/>
        <item x="563"/>
        <item x="438"/>
        <item x="386"/>
        <item x="57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Amount_INR" fld="4" baseField="0" baseItem="0" numFmtId="165"/>
  </dataFields>
  <formats count="34"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Col="1" outline="0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Col="1" outline="0" fieldPosition="0"/>
    </format>
    <format dxfId="24">
      <pivotArea field="1" type="button" dataOnly="0" labelOnly="1" outline="0" axis="axisRow" fieldPosition="0"/>
    </format>
    <format dxfId="23">
      <pivotArea outline="0" collapsedLevelsAreSubtotals="1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outline="0" fieldPosition="0">
        <references count="1">
          <reference field="2" count="1">
            <x v="5"/>
          </reference>
        </references>
      </pivotArea>
    </format>
    <format dxfId="19">
      <pivotArea collapsedLevelsAreSubtotals="1" fieldPosition="0">
        <references count="2">
          <reference field="1" count="0"/>
          <reference field="2" count="1" selected="0">
            <x v="4"/>
          </reference>
        </references>
      </pivotArea>
    </format>
    <format dxfId="18">
      <pivotArea collapsedLevelsAreSubtotals="1" fieldPosition="0">
        <references count="2">
          <reference field="1" count="0"/>
          <reference field="2" count="1" selected="0">
            <x v="4"/>
          </reference>
        </references>
      </pivotArea>
    </format>
    <format dxfId="17">
      <pivotArea outline="0" collapsedLevelsAreSubtotals="1" fieldPosition="0">
        <references count="1">
          <reference field="2" count="1" selected="0">
            <x v="4"/>
          </reference>
        </references>
      </pivotArea>
    </format>
    <format dxfId="16">
      <pivotArea dataOnly="0" labelOnly="1" fieldPosition="0">
        <references count="1">
          <reference field="2" count="1">
            <x v="4"/>
          </reference>
        </references>
      </pivotArea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2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D9A35-C36A-43F4-B5F6-40D53F87DA15}" name="PivotTable18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2:F223" firstHeaderRow="1" firstDataRow="1" firstDataCol="5"/>
  <pivotFields count="17">
    <pivotField name="Expense_ID" axis="axisRow" compact="0" outline="0" showAll="0" measureFilter="1" sortType="descending" defaultSubtotal="0">
      <items count="1000">
        <item x="184"/>
        <item x="147"/>
        <item x="879"/>
        <item x="240"/>
        <item x="713"/>
        <item x="389"/>
        <item x="315"/>
        <item x="532"/>
        <item x="737"/>
        <item x="868"/>
        <item x="163"/>
        <item x="991"/>
        <item x="629"/>
        <item x="626"/>
        <item x="128"/>
        <item x="454"/>
        <item x="829"/>
        <item x="492"/>
        <item x="832"/>
        <item x="397"/>
        <item x="267"/>
        <item x="515"/>
        <item x="723"/>
        <item x="45"/>
        <item x="883"/>
        <item x="243"/>
        <item x="259"/>
        <item x="757"/>
        <item x="361"/>
        <item x="780"/>
        <item x="149"/>
        <item x="816"/>
        <item x="73"/>
        <item x="28"/>
        <item x="659"/>
        <item x="828"/>
        <item x="950"/>
        <item x="455"/>
        <item x="512"/>
        <item x="607"/>
        <item x="740"/>
        <item x="880"/>
        <item x="538"/>
        <item x="564"/>
        <item x="125"/>
        <item x="988"/>
        <item x="959"/>
        <item x="751"/>
        <item x="198"/>
        <item x="300"/>
        <item x="921"/>
        <item x="786"/>
        <item x="101"/>
        <item x="709"/>
        <item x="692"/>
        <item x="385"/>
        <item x="119"/>
        <item x="580"/>
        <item x="272"/>
        <item x="416"/>
        <item x="146"/>
        <item x="502"/>
        <item x="631"/>
        <item x="598"/>
        <item x="307"/>
        <item x="901"/>
        <item x="340"/>
        <item x="707"/>
        <item x="623"/>
        <item x="420"/>
        <item x="15"/>
        <item x="260"/>
        <item x="521"/>
        <item x="768"/>
        <item x="730"/>
        <item x="326"/>
        <item x="563"/>
        <item x="547"/>
        <item x="324"/>
        <item x="328"/>
        <item x="646"/>
        <item x="428"/>
        <item x="33"/>
        <item x="417"/>
        <item x="66"/>
        <item x="885"/>
        <item x="604"/>
        <item x="477"/>
        <item x="68"/>
        <item x="987"/>
        <item x="814"/>
        <item x="886"/>
        <item x="223"/>
        <item x="819"/>
        <item x="133"/>
        <item x="186"/>
        <item x="434"/>
        <item x="542"/>
        <item x="320"/>
        <item x="289"/>
        <item x="365"/>
        <item x="430"/>
        <item x="319"/>
        <item x="185"/>
        <item x="402"/>
        <item x="905"/>
        <item x="391"/>
        <item x="126"/>
        <item x="181"/>
        <item x="877"/>
        <item x="303"/>
        <item x="787"/>
        <item x="891"/>
        <item x="867"/>
        <item x="359"/>
        <item x="498"/>
        <item x="459"/>
        <item x="653"/>
        <item x="714"/>
        <item x="749"/>
        <item x="229"/>
        <item x="804"/>
        <item x="576"/>
        <item x="773"/>
        <item x="698"/>
        <item x="763"/>
        <item x="373"/>
        <item x="606"/>
        <item x="285"/>
        <item x="467"/>
        <item x="770"/>
        <item x="225"/>
        <item x="958"/>
        <item x="495"/>
        <item x="247"/>
        <item x="431"/>
        <item x="703"/>
        <item x="189"/>
        <item x="904"/>
        <item x="893"/>
        <item x="517"/>
        <item x="540"/>
        <item x="996"/>
        <item x="347"/>
        <item x="903"/>
        <item x="848"/>
        <item x="59"/>
        <item x="134"/>
        <item x="946"/>
        <item x="104"/>
        <item x="778"/>
        <item x="869"/>
        <item x="481"/>
        <item x="753"/>
        <item x="231"/>
        <item x="354"/>
        <item x="501"/>
        <item x="918"/>
        <item x="825"/>
        <item x="695"/>
        <item x="552"/>
        <item x="541"/>
        <item x="77"/>
        <item x="766"/>
        <item x="742"/>
        <item x="321"/>
        <item x="496"/>
        <item x="519"/>
        <item x="91"/>
        <item x="812"/>
        <item x="211"/>
        <item x="35"/>
        <item x="913"/>
        <item x="914"/>
        <item x="717"/>
        <item x="801"/>
        <item x="973"/>
        <item x="3"/>
        <item x="97"/>
        <item x="156"/>
        <item x="6"/>
        <item x="654"/>
        <item x="316"/>
        <item x="934"/>
        <item x="317"/>
        <item x="479"/>
        <item x="719"/>
        <item x="414"/>
        <item x="841"/>
        <item x="559"/>
        <item x="738"/>
        <item x="336"/>
        <item x="193"/>
        <item x="404"/>
        <item x="187"/>
        <item x="337"/>
        <item x="720"/>
        <item x="208"/>
        <item x="931"/>
        <item x="29"/>
        <item x="795"/>
        <item x="783"/>
        <item x="159"/>
        <item x="624"/>
        <item x="299"/>
        <item x="696"/>
        <item x="65"/>
        <item x="224"/>
        <item x="67"/>
        <item x="386"/>
        <item x="678"/>
        <item x="984"/>
        <item x="956"/>
        <item x="862"/>
        <item x="664"/>
        <item x="746"/>
        <item x="697"/>
        <item x="292"/>
        <item x="47"/>
        <item x="791"/>
        <item x="535"/>
        <item x="764"/>
        <item x="283"/>
        <item x="246"/>
        <item x="620"/>
        <item x="177"/>
        <item x="122"/>
        <item x="962"/>
        <item x="566"/>
        <item x="767"/>
        <item x="50"/>
        <item x="418"/>
        <item x="14"/>
        <item x="339"/>
        <item x="49"/>
        <item x="872"/>
        <item x="588"/>
        <item x="342"/>
        <item x="669"/>
        <item x="881"/>
        <item x="572"/>
        <item x="406"/>
        <item x="408"/>
        <item x="941"/>
        <item x="567"/>
        <item x="162"/>
        <item x="957"/>
        <item x="213"/>
        <item x="570"/>
        <item x="113"/>
        <item x="248"/>
        <item x="835"/>
        <item x="528"/>
        <item x="131"/>
        <item x="422"/>
        <item x="944"/>
        <item x="583"/>
        <item x="990"/>
        <item x="884"/>
        <item x="483"/>
        <item x="919"/>
        <item x="392"/>
        <item x="123"/>
        <item x="756"/>
        <item x="444"/>
        <item x="902"/>
        <item x="121"/>
        <item x="545"/>
        <item x="634"/>
        <item x="999"/>
        <item x="84"/>
        <item x="85"/>
        <item x="509"/>
        <item x="235"/>
        <item x="41"/>
        <item x="536"/>
        <item x="7"/>
        <item x="508"/>
        <item x="465"/>
        <item x="648"/>
        <item x="776"/>
        <item x="400"/>
        <item x="362"/>
        <item x="276"/>
        <item x="895"/>
        <item x="507"/>
        <item x="673"/>
        <item x="398"/>
        <item x="405"/>
        <item x="145"/>
        <item x="371"/>
        <item x="882"/>
        <item x="468"/>
        <item x="232"/>
        <item x="679"/>
        <item x="550"/>
        <item x="961"/>
        <item x="220"/>
        <item x="915"/>
        <item x="176"/>
        <item x="52"/>
        <item x="568"/>
        <item x="978"/>
        <item x="628"/>
        <item x="589"/>
        <item x="258"/>
        <item x="357"/>
        <item x="705"/>
        <item x="827"/>
        <item x="551"/>
        <item x="830"/>
        <item x="529"/>
        <item x="311"/>
        <item x="440"/>
        <item x="312"/>
        <item x="733"/>
        <item x="555"/>
        <item x="48"/>
        <item x="130"/>
        <item x="327"/>
        <item x="98"/>
        <item x="925"/>
        <item x="870"/>
        <item x="141"/>
        <item x="549"/>
        <item x="471"/>
        <item x="966"/>
        <item x="997"/>
        <item x="911"/>
        <item x="367"/>
        <item x="394"/>
        <item x="652"/>
        <item x="562"/>
        <item x="168"/>
        <item x="644"/>
        <item x="263"/>
        <item x="37"/>
        <item x="343"/>
        <item x="9"/>
        <item x="700"/>
        <item x="217"/>
        <item x="680"/>
        <item x="366"/>
        <item x="518"/>
        <item x="475"/>
        <item x="909"/>
        <item x="855"/>
        <item x="60"/>
        <item x="888"/>
        <item x="729"/>
        <item x="183"/>
        <item x="297"/>
        <item x="447"/>
        <item x="26"/>
        <item x="937"/>
        <item x="173"/>
        <item x="499"/>
        <item x="771"/>
        <item x="878"/>
        <item x="154"/>
        <item x="806"/>
        <item x="765"/>
        <item x="268"/>
        <item x="237"/>
        <item x="124"/>
        <item x="441"/>
        <item x="351"/>
        <item x="379"/>
        <item x="20"/>
        <item x="849"/>
        <item x="88"/>
        <item x="61"/>
        <item x="180"/>
        <item x="437"/>
        <item x="544"/>
        <item x="348"/>
        <item x="811"/>
        <item x="411"/>
        <item x="712"/>
        <item x="581"/>
        <item x="892"/>
        <item x="75"/>
        <item x="333"/>
        <item x="523"/>
        <item x="215"/>
        <item x="710"/>
        <item x="649"/>
        <item x="452"/>
        <item x="807"/>
        <item x="22"/>
        <item x="323"/>
        <item x="341"/>
        <item x="945"/>
        <item x="421"/>
        <item x="399"/>
        <item x="82"/>
        <item x="62"/>
        <item x="975"/>
        <item x="754"/>
        <item x="602"/>
        <item x="769"/>
        <item x="486"/>
        <item x="80"/>
        <item x="940"/>
        <item x="368"/>
        <item x="822"/>
        <item x="100"/>
        <item x="671"/>
        <item x="603"/>
        <item x="166"/>
        <item x="25"/>
        <item x="630"/>
        <item x="995"/>
        <item x="688"/>
        <item x="731"/>
        <item x="372"/>
        <item x="266"/>
        <item x="500"/>
        <item x="290"/>
        <item x="178"/>
        <item x="670"/>
        <item x="558"/>
        <item x="350"/>
        <item x="120"/>
        <item x="611"/>
        <item x="779"/>
        <item x="335"/>
        <item x="415"/>
        <item x="846"/>
        <item x="46"/>
        <item x="171"/>
        <item x="526"/>
        <item x="286"/>
        <item x="774"/>
        <item x="721"/>
        <item x="722"/>
        <item x="665"/>
        <item x="750"/>
        <item x="952"/>
        <item x="579"/>
        <item x="974"/>
        <item x="275"/>
        <item x="325"/>
        <item x="314"/>
        <item x="190"/>
        <item x="593"/>
        <item x="775"/>
        <item x="516"/>
        <item x="58"/>
        <item x="449"/>
        <item x="785"/>
        <item x="329"/>
        <item x="760"/>
        <item x="192"/>
        <item x="948"/>
        <item x="332"/>
        <item x="736"/>
        <item x="301"/>
        <item x="998"/>
        <item x="910"/>
        <item x="820"/>
        <item x="794"/>
        <item x="443"/>
        <item x="565"/>
        <item x="590"/>
        <item x="42"/>
        <item x="188"/>
        <item x="331"/>
        <item x="724"/>
        <item x="71"/>
        <item x="214"/>
        <item x="920"/>
        <item x="345"/>
        <item x="140"/>
        <item x="112"/>
        <item x="982"/>
        <item x="151"/>
        <item x="857"/>
        <item x="310"/>
        <item x="859"/>
        <item x="401"/>
        <item x="949"/>
        <item x="726"/>
        <item x="612"/>
        <item x="453"/>
        <item x="693"/>
        <item x="533"/>
        <item x="255"/>
        <item x="293"/>
        <item x="57"/>
        <item x="685"/>
        <item x="942"/>
        <item x="245"/>
        <item x="789"/>
        <item x="1"/>
        <item x="715"/>
        <item x="390"/>
        <item x="875"/>
        <item x="403"/>
        <item x="818"/>
        <item x="164"/>
        <item x="922"/>
        <item x="539"/>
        <item x="599"/>
        <item x="309"/>
        <item x="93"/>
        <item x="930"/>
        <item x="298"/>
        <item x="615"/>
        <item x="561"/>
        <item x="284"/>
        <item x="148"/>
        <item x="856"/>
        <item x="99"/>
        <item x="8"/>
        <item x="503"/>
        <item x="117"/>
        <item x="510"/>
        <item x="396"/>
        <item x="23"/>
        <item x="642"/>
        <item x="358"/>
        <item x="732"/>
        <item x="852"/>
        <item x="451"/>
        <item x="419"/>
        <item x="983"/>
        <item x="490"/>
        <item x="493"/>
        <item x="102"/>
        <item x="36"/>
        <item x="95"/>
        <item x="87"/>
        <item x="645"/>
        <item x="759"/>
        <item x="305"/>
        <item x="338"/>
        <item x="682"/>
        <item x="302"/>
        <item x="94"/>
        <item x="330"/>
        <item x="762"/>
        <item x="802"/>
        <item x="803"/>
        <item x="781"/>
        <item x="31"/>
        <item x="591"/>
        <item x="55"/>
        <item x="935"/>
        <item x="76"/>
        <item x="610"/>
        <item x="108"/>
        <item x="105"/>
        <item x="395"/>
        <item x="10"/>
        <item x="847"/>
        <item x="143"/>
        <item x="734"/>
        <item x="964"/>
        <item x="205"/>
        <item x="197"/>
        <item x="625"/>
        <item x="291"/>
        <item x="158"/>
        <item x="992"/>
        <item x="280"/>
        <item x="701"/>
        <item x="129"/>
        <item x="81"/>
        <item x="971"/>
        <item x="423"/>
        <item x="784"/>
        <item x="206"/>
        <item x="344"/>
        <item x="212"/>
        <item x="306"/>
        <item x="965"/>
        <item x="912"/>
        <item x="728"/>
        <item x="165"/>
        <item x="662"/>
        <item x="174"/>
        <item x="86"/>
        <item x="637"/>
        <item x="445"/>
        <item x="897"/>
        <item x="2"/>
        <item x="979"/>
        <item x="456"/>
        <item x="676"/>
        <item x="613"/>
        <item x="144"/>
        <item x="250"/>
        <item x="0"/>
        <item x="826"/>
        <item x="222"/>
        <item x="448"/>
        <item x="207"/>
        <item x="873"/>
        <item x="27"/>
        <item x="40"/>
        <item x="32"/>
        <item x="318"/>
        <item x="636"/>
        <item x="796"/>
        <item x="230"/>
        <item x="17"/>
        <item x="466"/>
        <item x="985"/>
        <item x="718"/>
        <item x="898"/>
        <item x="464"/>
        <item x="655"/>
        <item x="617"/>
        <item x="777"/>
        <item x="943"/>
        <item x="53"/>
        <item x="458"/>
        <item x="363"/>
        <item x="647"/>
        <item x="138"/>
        <item x="527"/>
        <item x="380"/>
        <item x="546"/>
        <item x="906"/>
        <item x="234"/>
        <item x="155"/>
        <item x="201"/>
        <item x="851"/>
        <item x="308"/>
        <item x="249"/>
        <item x="810"/>
        <item x="429"/>
        <item x="758"/>
        <item x="677"/>
        <item x="74"/>
        <item x="772"/>
        <item x="273"/>
        <item x="793"/>
        <item x="614"/>
        <item x="981"/>
        <item x="227"/>
        <item x="871"/>
        <item x="482"/>
        <item x="531"/>
        <item x="861"/>
        <item x="489"/>
        <item x="798"/>
        <item x="929"/>
        <item x="439"/>
        <item x="18"/>
        <item x="19"/>
        <item x="433"/>
        <item x="152"/>
        <item x="505"/>
        <item x="353"/>
        <item x="427"/>
        <item x="244"/>
        <item x="741"/>
        <item x="64"/>
        <item x="450"/>
        <item x="968"/>
        <item x="43"/>
        <item x="278"/>
        <item x="755"/>
        <item x="175"/>
        <item x="605"/>
        <item x="242"/>
        <item x="409"/>
        <item x="821"/>
        <item x="191"/>
        <item x="666"/>
        <item x="643"/>
        <item x="5"/>
        <item x="150"/>
        <item x="686"/>
        <item x="691"/>
        <item x="586"/>
        <item x="153"/>
        <item x="51"/>
        <item x="210"/>
        <item x="194"/>
        <item x="92"/>
        <item x="378"/>
        <item x="352"/>
        <item x="196"/>
        <item x="842"/>
        <item x="600"/>
        <item x="346"/>
        <item x="387"/>
        <item x="13"/>
        <item x="257"/>
        <item x="135"/>
        <item x="478"/>
        <item x="170"/>
        <item x="928"/>
        <item x="989"/>
        <item x="618"/>
        <item x="239"/>
        <item x="933"/>
        <item x="253"/>
        <item x="844"/>
        <item x="573"/>
        <item x="661"/>
        <item x="364"/>
        <item x="182"/>
        <item x="896"/>
        <item x="860"/>
        <item x="967"/>
        <item x="304"/>
        <item x="863"/>
        <item x="936"/>
        <item x="683"/>
        <item x="216"/>
        <item x="748"/>
        <item x="553"/>
        <item x="39"/>
        <item x="241"/>
        <item x="569"/>
        <item x="72"/>
        <item x="21"/>
        <item x="474"/>
        <item x="687"/>
        <item x="513"/>
        <item x="265"/>
        <item x="204"/>
        <item x="79"/>
        <item x="511"/>
        <item x="951"/>
        <item x="534"/>
        <item x="461"/>
        <item x="219"/>
        <item x="899"/>
        <item x="288"/>
        <item x="587"/>
        <item x="384"/>
        <item x="597"/>
        <item x="56"/>
        <item x="116"/>
        <item x="621"/>
        <item x="139"/>
        <item x="745"/>
        <item x="221"/>
        <item x="506"/>
        <item x="917"/>
        <item x="708"/>
        <item x="976"/>
        <item x="287"/>
        <item x="520"/>
        <item x="34"/>
        <item x="800"/>
        <item x="838"/>
        <item x="594"/>
        <item x="107"/>
        <item x="574"/>
        <item x="747"/>
        <item x="744"/>
        <item x="977"/>
        <item x="833"/>
        <item x="485"/>
        <item x="514"/>
        <item x="370"/>
        <item x="853"/>
        <item x="269"/>
        <item x="202"/>
        <item x="663"/>
        <item x="106"/>
        <item x="438"/>
        <item x="938"/>
        <item x="672"/>
        <item x="463"/>
        <item x="413"/>
        <item x="560"/>
        <item x="947"/>
        <item x="376"/>
        <item x="195"/>
        <item x="360"/>
        <item x="118"/>
        <item x="262"/>
        <item x="356"/>
        <item x="264"/>
        <item x="699"/>
        <item x="735"/>
        <item x="383"/>
        <item x="548"/>
        <item x="876"/>
        <item x="813"/>
        <item x="894"/>
        <item x="667"/>
        <item x="834"/>
        <item x="866"/>
        <item x="472"/>
        <item x="412"/>
        <item x="132"/>
        <item x="78"/>
        <item x="294"/>
        <item x="261"/>
        <item x="424"/>
        <item x="953"/>
        <item x="641"/>
        <item x="136"/>
        <item x="864"/>
        <item x="11"/>
        <item x="622"/>
        <item x="993"/>
        <item x="63"/>
        <item x="994"/>
        <item x="954"/>
        <item x="836"/>
        <item x="658"/>
        <item x="916"/>
        <item x="595"/>
        <item x="704"/>
        <item x="809"/>
        <item x="592"/>
        <item x="926"/>
        <item x="252"/>
        <item x="633"/>
        <item x="716"/>
        <item x="684"/>
        <item x="932"/>
        <item x="690"/>
        <item x="963"/>
        <item x="271"/>
        <item x="639"/>
        <item x="609"/>
        <item x="887"/>
        <item x="840"/>
        <item x="805"/>
        <item x="650"/>
        <item x="601"/>
        <item x="38"/>
        <item x="460"/>
        <item x="281"/>
        <item x="89"/>
        <item x="843"/>
        <item x="377"/>
        <item x="103"/>
        <item x="270"/>
        <item x="689"/>
        <item x="889"/>
        <item x="369"/>
        <item x="939"/>
        <item x="322"/>
        <item x="831"/>
        <item x="295"/>
        <item x="488"/>
        <item x="425"/>
        <item x="127"/>
        <item x="790"/>
        <item x="277"/>
        <item x="596"/>
        <item x="393"/>
        <item x="203"/>
        <item x="577"/>
        <item x="349"/>
        <item x="557"/>
        <item x="808"/>
        <item x="960"/>
        <item x="16"/>
        <item x="823"/>
        <item x="575"/>
        <item x="711"/>
        <item x="907"/>
        <item x="83"/>
        <item x="657"/>
        <item x="702"/>
        <item x="436"/>
        <item x="4"/>
        <item x="874"/>
        <item x="924"/>
        <item x="199"/>
        <item x="218"/>
        <item x="497"/>
        <item x="12"/>
        <item x="110"/>
        <item x="675"/>
        <item x="530"/>
        <item x="457"/>
        <item x="254"/>
        <item x="233"/>
        <item x="334"/>
        <item x="236"/>
        <item x="142"/>
        <item x="619"/>
        <item x="743"/>
        <item x="782"/>
        <item x="226"/>
        <item x="69"/>
        <item x="504"/>
        <item x="137"/>
        <item x="375"/>
        <item x="616"/>
        <item x="578"/>
        <item x="410"/>
        <item x="522"/>
        <item x="279"/>
        <item x="96"/>
        <item x="70"/>
        <item x="839"/>
        <item x="554"/>
        <item x="706"/>
        <item x="668"/>
        <item x="651"/>
        <item x="584"/>
        <item x="890"/>
        <item x="674"/>
        <item x="969"/>
        <item x="111"/>
        <item x="608"/>
        <item x="638"/>
        <item x="739"/>
        <item x="282"/>
        <item x="788"/>
        <item x="115"/>
        <item x="908"/>
        <item x="114"/>
        <item x="582"/>
        <item x="228"/>
        <item x="815"/>
        <item x="627"/>
        <item x="725"/>
        <item x="90"/>
        <item x="179"/>
        <item x="30"/>
        <item x="865"/>
        <item x="473"/>
        <item x="727"/>
        <item x="694"/>
        <item x="388"/>
        <item x="407"/>
        <item x="927"/>
        <item x="469"/>
        <item x="817"/>
        <item x="256"/>
        <item x="494"/>
        <item x="824"/>
        <item x="209"/>
        <item x="381"/>
        <item x="854"/>
        <item x="109"/>
        <item x="850"/>
        <item x="313"/>
        <item x="161"/>
        <item x="446"/>
        <item x="476"/>
        <item x="238"/>
        <item x="632"/>
        <item x="585"/>
        <item x="858"/>
        <item x="484"/>
        <item x="970"/>
        <item x="355"/>
        <item x="44"/>
        <item x="792"/>
        <item x="752"/>
        <item x="900"/>
        <item x="845"/>
        <item x="955"/>
        <item x="980"/>
        <item x="167"/>
        <item x="426"/>
        <item x="432"/>
        <item x="480"/>
        <item x="491"/>
        <item x="296"/>
        <item x="972"/>
        <item x="681"/>
        <item x="470"/>
        <item x="799"/>
        <item x="24"/>
        <item x="525"/>
        <item x="435"/>
        <item x="374"/>
        <item x="797"/>
        <item x="640"/>
        <item x="169"/>
        <item x="656"/>
        <item x="382"/>
        <item x="524"/>
        <item x="200"/>
        <item x="157"/>
        <item x="487"/>
        <item x="274"/>
        <item x="537"/>
        <item x="543"/>
        <item x="923"/>
        <item x="660"/>
        <item x="556"/>
        <item x="172"/>
        <item x="635"/>
        <item x="442"/>
        <item x="837"/>
        <item x="54"/>
        <item x="251"/>
        <item x="986"/>
        <item x="462"/>
        <item x="761"/>
        <item x="571"/>
        <item x="1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x="4"/>
        <item x="3"/>
        <item x="6"/>
        <item x="7"/>
        <item x="1"/>
        <item x="2"/>
        <item x="5"/>
        <item x="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5"/>
        <item x="3"/>
        <item x="10"/>
        <item x="2"/>
        <item x="4"/>
        <item x="11"/>
        <item x="9"/>
        <item x="7"/>
        <item x="8"/>
        <item x="6"/>
        <item x="12"/>
        <item x="1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3"/>
        <item x="10"/>
        <item x="7"/>
        <item x="8"/>
        <item x="1"/>
        <item x="3"/>
        <item x="14"/>
        <item x="9"/>
        <item x="11"/>
        <item x="6"/>
        <item x="15"/>
        <item x="2"/>
        <item x="0"/>
        <item x="4"/>
        <item x="5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xpense Date" axis="axisRow" compact="0" numFmtId="164" outline="0" showAll="0" defaultSubtotal="0">
      <items count="583">
        <item x="266"/>
        <item x="154"/>
        <item x="208"/>
        <item x="549"/>
        <item x="359"/>
        <item x="502"/>
        <item x="316"/>
        <item x="517"/>
        <item x="67"/>
        <item x="491"/>
        <item x="146"/>
        <item x="525"/>
        <item x="582"/>
        <item x="333"/>
        <item x="562"/>
        <item x="219"/>
        <item x="470"/>
        <item x="111"/>
        <item x="104"/>
        <item x="506"/>
        <item x="292"/>
        <item x="334"/>
        <item x="383"/>
        <item x="58"/>
        <item x="308"/>
        <item x="472"/>
        <item x="19"/>
        <item x="4"/>
        <item x="194"/>
        <item x="59"/>
        <item x="542"/>
        <item x="519"/>
        <item x="406"/>
        <item x="524"/>
        <item x="442"/>
        <item x="18"/>
        <item x="46"/>
        <item x="577"/>
        <item x="398"/>
        <item x="116"/>
        <item x="262"/>
        <item x="343"/>
        <item x="158"/>
        <item x="49"/>
        <item x="410"/>
        <item x="201"/>
        <item x="215"/>
        <item x="246"/>
        <item x="529"/>
        <item x="24"/>
        <item x="520"/>
        <item x="435"/>
        <item x="468"/>
        <item x="309"/>
        <item x="65"/>
        <item x="497"/>
        <item x="172"/>
        <item x="348"/>
        <item x="377"/>
        <item x="419"/>
        <item x="407"/>
        <item x="285"/>
        <item x="263"/>
        <item x="312"/>
        <item x="355"/>
        <item x="115"/>
        <item x="507"/>
        <item x="213"/>
        <item x="140"/>
        <item x="378"/>
        <item x="77"/>
        <item x="93"/>
        <item x="177"/>
        <item x="331"/>
        <item x="254"/>
        <item x="466"/>
        <item x="319"/>
        <item x="488"/>
        <item x="161"/>
        <item x="557"/>
        <item x="547"/>
        <item x="278"/>
        <item x="320"/>
        <item x="566"/>
        <item x="339"/>
        <item x="302"/>
        <item x="565"/>
        <item x="223"/>
        <item x="429"/>
        <item x="202"/>
        <item x="449"/>
        <item x="85"/>
        <item x="485"/>
        <item x="341"/>
        <item x="179"/>
        <item x="370"/>
        <item x="163"/>
        <item x="552"/>
        <item x="385"/>
        <item x="203"/>
        <item x="109"/>
        <item x="155"/>
        <item x="459"/>
        <item x="495"/>
        <item x="281"/>
        <item x="261"/>
        <item x="536"/>
        <item x="505"/>
        <item x="162"/>
        <item x="450"/>
        <item x="426"/>
        <item x="31"/>
        <item x="90"/>
        <item x="492"/>
        <item x="444"/>
        <item x="174"/>
        <item x="153"/>
        <item x="30"/>
        <item x="229"/>
        <item x="396"/>
        <item x="268"/>
        <item x="418"/>
        <item x="300"/>
        <item x="446"/>
        <item x="106"/>
        <item x="157"/>
        <item x="543"/>
        <item x="533"/>
        <item x="217"/>
        <item x="212"/>
        <item x="427"/>
        <item x="195"/>
        <item x="137"/>
        <item x="397"/>
        <item x="440"/>
        <item x="126"/>
        <item x="301"/>
        <item x="504"/>
        <item x="568"/>
        <item x="349"/>
        <item x="230"/>
        <item x="156"/>
        <item x="81"/>
        <item x="0"/>
        <item x="176"/>
        <item x="461"/>
        <item x="168"/>
        <item x="34"/>
        <item x="315"/>
        <item x="521"/>
        <item x="420"/>
        <item x="144"/>
        <item x="295"/>
        <item x="102"/>
        <item x="366"/>
        <item x="318"/>
        <item x="110"/>
        <item x="40"/>
        <item x="469"/>
        <item x="7"/>
        <item x="332"/>
        <item x="516"/>
        <item x="411"/>
        <item x="277"/>
        <item x="6"/>
        <item x="313"/>
        <item x="103"/>
        <item x="267"/>
        <item x="36"/>
        <item x="489"/>
        <item x="247"/>
        <item x="509"/>
        <item x="148"/>
        <item x="87"/>
        <item x="200"/>
        <item x="328"/>
        <item x="381"/>
        <item x="231"/>
        <item x="550"/>
        <item x="496"/>
        <item x="480"/>
        <item x="107"/>
        <item x="456"/>
        <item x="41"/>
        <item x="487"/>
        <item x="84"/>
        <item x="362"/>
        <item x="48"/>
        <item x="474"/>
        <item x="493"/>
        <item x="259"/>
        <item x="486"/>
        <item x="97"/>
        <item x="401"/>
        <item x="182"/>
        <item x="198"/>
        <item x="387"/>
        <item x="317"/>
        <item x="311"/>
        <item x="322"/>
        <item x="304"/>
        <item x="235"/>
        <item x="89"/>
        <item x="392"/>
        <item x="98"/>
        <item x="483"/>
        <item x="544"/>
        <item x="356"/>
        <item x="258"/>
        <item x="192"/>
        <item x="1"/>
        <item x="244"/>
        <item x="494"/>
        <item x="185"/>
        <item x="578"/>
        <item x="575"/>
        <item x="560"/>
        <item x="55"/>
        <item x="458"/>
        <item x="368"/>
        <item x="535"/>
        <item x="307"/>
        <item x="306"/>
        <item x="453"/>
        <item x="225"/>
        <item x="561"/>
        <item x="68"/>
        <item x="50"/>
        <item x="78"/>
        <item x="248"/>
        <item x="188"/>
        <item x="216"/>
        <item x="555"/>
        <item x="573"/>
        <item x="95"/>
        <item x="224"/>
        <item x="21"/>
        <item x="357"/>
        <item x="43"/>
        <item x="51"/>
        <item x="526"/>
        <item x="329"/>
        <item x="290"/>
        <item x="508"/>
        <item x="92"/>
        <item x="340"/>
        <item x="540"/>
        <item x="113"/>
        <item x="570"/>
        <item x="402"/>
        <item x="206"/>
        <item x="127"/>
        <item x="275"/>
        <item x="310"/>
        <item x="484"/>
        <item x="22"/>
        <item x="382"/>
        <item x="447"/>
        <item x="371"/>
        <item x="131"/>
        <item x="321"/>
        <item x="580"/>
        <item x="558"/>
        <item x="414"/>
        <item x="400"/>
        <item x="204"/>
        <item x="518"/>
        <item x="463"/>
        <item x="413"/>
        <item x="159"/>
        <item x="409"/>
        <item x="351"/>
        <item x="57"/>
        <item x="75"/>
        <item x="218"/>
        <item x="69"/>
        <item x="130"/>
        <item x="238"/>
        <item x="64"/>
        <item x="63"/>
        <item x="569"/>
        <item x="29"/>
        <item x="2"/>
        <item x="405"/>
        <item x="412"/>
        <item x="283"/>
        <item x="205"/>
        <item x="272"/>
        <item x="53"/>
        <item x="276"/>
        <item x="173"/>
        <item x="17"/>
        <item x="481"/>
        <item x="528"/>
        <item x="134"/>
        <item x="303"/>
        <item x="264"/>
        <item x="541"/>
        <item x="454"/>
        <item x="35"/>
        <item x="136"/>
        <item x="166"/>
        <item x="20"/>
        <item x="325"/>
        <item x="11"/>
        <item x="500"/>
        <item x="167"/>
        <item x="391"/>
        <item x="143"/>
        <item x="270"/>
        <item x="193"/>
        <item x="358"/>
        <item x="288"/>
        <item x="211"/>
        <item x="336"/>
        <item x="574"/>
        <item x="5"/>
        <item x="47"/>
        <item x="16"/>
        <item x="250"/>
        <item x="342"/>
        <item x="394"/>
        <item x="234"/>
        <item x="186"/>
        <item x="245"/>
        <item x="149"/>
        <item x="364"/>
        <item x="76"/>
        <item x="227"/>
        <item x="305"/>
        <item x="236"/>
        <item x="294"/>
        <item x="94"/>
        <item x="260"/>
        <item x="32"/>
        <item x="374"/>
        <item x="196"/>
        <item x="145"/>
        <item x="286"/>
        <item x="457"/>
        <item x="124"/>
        <item x="299"/>
        <item x="256"/>
        <item x="269"/>
        <item x="120"/>
        <item x="354"/>
        <item x="532"/>
        <item x="293"/>
        <item x="142"/>
        <item x="141"/>
        <item x="271"/>
        <item x="393"/>
        <item x="273"/>
        <item x="251"/>
        <item x="363"/>
        <item x="323"/>
        <item x="72"/>
        <item x="70"/>
        <item x="33"/>
        <item x="180"/>
        <item x="499"/>
        <item x="222"/>
        <item x="448"/>
        <item x="132"/>
        <item x="399"/>
        <item x="464"/>
        <item x="8"/>
        <item x="425"/>
        <item x="66"/>
        <item x="171"/>
        <item x="27"/>
        <item x="433"/>
        <item x="240"/>
        <item x="297"/>
        <item x="477"/>
        <item x="437"/>
        <item x="455"/>
        <item x="199"/>
        <item x="15"/>
        <item x="25"/>
        <item x="12"/>
        <item x="91"/>
        <item x="242"/>
        <item x="191"/>
        <item x="62"/>
        <item x="553"/>
        <item x="39"/>
        <item x="274"/>
        <item x="164"/>
        <item x="503"/>
        <item x="439"/>
        <item x="417"/>
        <item x="372"/>
        <item x="237"/>
        <item x="432"/>
        <item x="352"/>
        <item x="443"/>
        <item x="373"/>
        <item x="581"/>
        <item x="324"/>
        <item x="515"/>
        <item x="390"/>
        <item x="389"/>
        <item x="388"/>
        <item x="523"/>
        <item x="28"/>
        <item x="112"/>
        <item x="280"/>
        <item x="361"/>
        <item x="539"/>
        <item x="183"/>
        <item x="178"/>
        <item x="326"/>
        <item x="475"/>
        <item x="101"/>
        <item x="531"/>
        <item x="249"/>
        <item x="330"/>
        <item x="431"/>
        <item x="207"/>
        <item x="291"/>
        <item x="287"/>
        <item x="114"/>
        <item x="257"/>
        <item x="452"/>
        <item x="42"/>
        <item x="451"/>
        <item x="365"/>
        <item x="367"/>
        <item x="510"/>
        <item x="567"/>
        <item x="422"/>
        <item x="252"/>
        <item x="232"/>
        <item x="347"/>
        <item x="239"/>
        <item x="579"/>
        <item x="511"/>
        <item x="38"/>
        <item x="118"/>
        <item x="350"/>
        <item x="369"/>
        <item x="537"/>
        <item x="501"/>
        <item x="473"/>
        <item x="26"/>
        <item x="44"/>
        <item x="45"/>
        <item x="548"/>
        <item x="135"/>
        <item x="428"/>
        <item x="147"/>
        <item x="434"/>
        <item x="265"/>
        <item x="187"/>
        <item x="169"/>
        <item x="241"/>
        <item x="338"/>
        <item x="150"/>
        <item x="436"/>
        <item x="37"/>
        <item x="296"/>
        <item x="83"/>
        <item x="117"/>
        <item x="423"/>
        <item x="375"/>
        <item x="298"/>
        <item x="314"/>
        <item x="160"/>
        <item x="181"/>
        <item x="23"/>
        <item x="527"/>
        <item x="445"/>
        <item x="152"/>
        <item x="353"/>
        <item x="467"/>
        <item x="119"/>
        <item x="289"/>
        <item x="88"/>
        <item x="404"/>
        <item x="226"/>
        <item x="408"/>
        <item x="538"/>
        <item x="530"/>
        <item x="554"/>
        <item x="344"/>
        <item x="490"/>
        <item x="424"/>
        <item x="61"/>
        <item x="482"/>
        <item x="253"/>
        <item x="513"/>
        <item x="421"/>
        <item x="415"/>
        <item x="564"/>
        <item x="128"/>
        <item x="559"/>
        <item x="471"/>
        <item x="138"/>
        <item x="360"/>
        <item x="56"/>
        <item x="86"/>
        <item x="545"/>
        <item x="534"/>
        <item x="465"/>
        <item x="462"/>
        <item x="395"/>
        <item x="13"/>
        <item x="403"/>
        <item x="556"/>
        <item x="416"/>
        <item x="184"/>
        <item x="220"/>
        <item x="327"/>
        <item x="60"/>
        <item x="123"/>
        <item x="122"/>
        <item x="233"/>
        <item x="170"/>
        <item x="189"/>
        <item x="551"/>
        <item x="190"/>
        <item x="346"/>
        <item x="82"/>
        <item x="151"/>
        <item x="228"/>
        <item x="71"/>
        <item x="73"/>
        <item x="210"/>
        <item x="209"/>
        <item x="337"/>
        <item x="512"/>
        <item x="345"/>
        <item x="121"/>
        <item x="546"/>
        <item x="522"/>
        <item x="335"/>
        <item x="52"/>
        <item x="165"/>
        <item x="478"/>
        <item x="282"/>
        <item x="380"/>
        <item x="10"/>
        <item x="376"/>
        <item x="476"/>
        <item x="279"/>
        <item x="129"/>
        <item x="576"/>
        <item x="100"/>
        <item x="79"/>
        <item x="384"/>
        <item x="460"/>
        <item x="74"/>
        <item x="175"/>
        <item x="221"/>
        <item x="441"/>
        <item x="125"/>
        <item x="54"/>
        <item x="214"/>
        <item x="133"/>
        <item x="243"/>
        <item x="514"/>
        <item x="479"/>
        <item x="108"/>
        <item x="14"/>
        <item x="255"/>
        <item x="99"/>
        <item x="498"/>
        <item x="197"/>
        <item x="284"/>
        <item x="80"/>
        <item x="105"/>
        <item x="430"/>
        <item x="3"/>
        <item x="139"/>
        <item x="96"/>
        <item x="571"/>
        <item x="9"/>
        <item x="379"/>
        <item x="563"/>
        <item x="438"/>
        <item x="386"/>
        <item x="5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pproval Status" axis="axisRow" compact="0" outline="0" multipleItemSelectionAllowed="1" showAll="0" defaultSubtotal="0">
      <items count="3">
        <item h="1"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2"/>
    <field x="3"/>
    <field x="8"/>
    <field x="7"/>
  </rowFields>
  <rowItems count="181">
    <i>
      <x v="207"/>
      <x v="7"/>
      <x v="2"/>
      <x v="1"/>
      <x v="131"/>
    </i>
    <i>
      <x v="935"/>
      <x v="10"/>
      <x v="7"/>
      <x v="1"/>
      <x v="388"/>
    </i>
    <i>
      <x v="104"/>
      <x v="9"/>
      <x v="9"/>
      <x v="2"/>
      <x v="63"/>
    </i>
    <i>
      <x v="716"/>
      <x v="5"/>
      <x v="6"/>
      <x v="1"/>
      <x v="386"/>
    </i>
    <i>
      <x v="875"/>
      <x v="6"/>
      <x v="14"/>
      <x v="1"/>
      <x v="166"/>
    </i>
    <i>
      <x v="411"/>
      <x v="2"/>
      <x/>
      <x v="2"/>
      <x v="403"/>
    </i>
    <i>
      <x v="396"/>
      <x/>
      <x v="4"/>
      <x v="1"/>
      <x v="514"/>
    </i>
    <i>
      <x v="617"/>
      <x v="4"/>
      <x v="15"/>
      <x v="2"/>
      <x v="458"/>
    </i>
    <i>
      <x v="523"/>
      <x v="4"/>
      <x v="9"/>
      <x v="1"/>
      <x v="41"/>
    </i>
    <i>
      <x v="288"/>
      <x v="2"/>
      <x v="11"/>
      <x v="1"/>
      <x v="467"/>
    </i>
    <i>
      <x v="250"/>
      <x v="2"/>
      <x v="13"/>
      <x v="1"/>
      <x v="313"/>
    </i>
    <i>
      <x v="14"/>
      <x/>
      <x v="4"/>
      <x v="2"/>
      <x v="439"/>
    </i>
    <i>
      <x v="270"/>
      <x v="8"/>
      <x/>
      <x v="1"/>
      <x v="570"/>
    </i>
    <i>
      <x v="756"/>
      <x v="3"/>
      <x v="6"/>
      <x v="1"/>
      <x v="416"/>
    </i>
    <i>
      <x v="44"/>
      <x v="6"/>
      <x v="5"/>
      <x v="1"/>
      <x v="39"/>
    </i>
    <i>
      <x v="321"/>
      <x v="1"/>
      <x v="1"/>
      <x v="1"/>
      <x v="262"/>
    </i>
    <i>
      <x v="424"/>
      <x v="12"/>
      <x v="14"/>
      <x v="1"/>
      <x v="88"/>
    </i>
    <i>
      <x v="155"/>
      <x v="2"/>
      <x v="6"/>
      <x v="2"/>
      <x v="163"/>
    </i>
    <i>
      <x v="313"/>
      <x/>
      <x v="11"/>
      <x v="2"/>
      <x v="160"/>
    </i>
    <i>
      <x v="829"/>
      <x v="9"/>
      <x v="14"/>
      <x v="1"/>
      <x v="257"/>
    </i>
    <i>
      <x v="824"/>
      <x v="2"/>
      <x v="6"/>
      <x v="1"/>
      <x v="101"/>
    </i>
    <i>
      <x v="442"/>
      <x v="9"/>
      <x v="13"/>
      <x v="1"/>
      <x v="40"/>
    </i>
    <i>
      <x v="168"/>
      <x v="10"/>
      <x v="10"/>
      <x v="1"/>
      <x v="173"/>
    </i>
    <i>
      <x v="242"/>
      <x v="12"/>
      <x v="7"/>
      <x v="2"/>
      <x v="528"/>
    </i>
    <i>
      <x v="66"/>
      <x v="11"/>
      <x v="13"/>
      <x v="2"/>
      <x v="224"/>
    </i>
    <i>
      <x v="43"/>
      <x v="5"/>
      <x v="1"/>
      <x v="1"/>
      <x v="379"/>
    </i>
    <i>
      <x v="121"/>
      <x v="8"/>
      <x v="7"/>
      <x v="2"/>
      <x v="171"/>
    </i>
    <i>
      <x v="27"/>
      <x v="8"/>
      <x/>
      <x v="1"/>
      <x v="191"/>
    </i>
    <i>
      <x v="405"/>
      <x v="4"/>
      <x v="1"/>
      <x v="1"/>
      <x v="413"/>
    </i>
    <i>
      <x v="931"/>
      <x v="9"/>
      <x v="7"/>
      <x v="1"/>
      <x v="87"/>
    </i>
    <i>
      <x v="489"/>
      <x v="11"/>
      <x v="11"/>
      <x v="2"/>
      <x v="500"/>
    </i>
    <i>
      <x v="298"/>
      <x/>
      <x v="2"/>
      <x v="2"/>
      <x v="232"/>
    </i>
    <i>
      <x v="221"/>
      <x v="1"/>
      <x v="3"/>
      <x v="1"/>
      <x v="113"/>
    </i>
    <i>
      <x v="212"/>
      <x v="7"/>
      <x v="10"/>
      <x v="1"/>
      <x v="138"/>
    </i>
    <i>
      <x v="351"/>
      <x v="8"/>
      <x v="6"/>
      <x v="1"/>
      <x v="131"/>
    </i>
    <i>
      <x v="358"/>
      <x v="6"/>
      <x v="4"/>
      <x v="1"/>
      <x v="132"/>
    </i>
    <i>
      <x v="741"/>
      <x v="12"/>
      <x v="12"/>
      <x v="1"/>
      <x v="68"/>
    </i>
    <i>
      <x v="401"/>
      <x v="8"/>
      <x v="2"/>
      <x v="1"/>
      <x v="451"/>
    </i>
    <i>
      <x v="865"/>
      <x v="1"/>
      <x v="10"/>
      <x v="1"/>
      <x v="90"/>
    </i>
    <i>
      <x v="441"/>
      <x v="4"/>
      <x v="3"/>
      <x v="1"/>
      <x v="177"/>
    </i>
    <i>
      <x v="425"/>
      <x v="9"/>
      <x v="12"/>
      <x v="1"/>
      <x v="226"/>
    </i>
    <i>
      <x v="31"/>
      <x v="10"/>
      <x v="15"/>
      <x v="1"/>
      <x v="13"/>
    </i>
    <i>
      <x v="579"/>
      <x v="6"/>
      <x v="3"/>
      <x v="2"/>
      <x v="524"/>
    </i>
    <i>
      <x v="549"/>
      <x v="5"/>
      <x v="15"/>
      <x v="1"/>
      <x v="527"/>
    </i>
    <i>
      <x v="236"/>
      <x v="2"/>
      <x v="13"/>
      <x v="1"/>
      <x v="490"/>
    </i>
    <i>
      <x v="714"/>
      <x v="8"/>
      <x v="8"/>
      <x v="1"/>
      <x v="110"/>
    </i>
    <i>
      <x v="440"/>
      <x v="1"/>
      <x v="2"/>
      <x v="2"/>
      <x v="232"/>
    </i>
    <i>
      <x v="866"/>
      <x v="1"/>
      <x v="8"/>
      <x v="1"/>
      <x v="75"/>
    </i>
    <i>
      <x v="102"/>
      <x v="10"/>
      <x v="6"/>
      <x v="1"/>
      <x v="40"/>
    </i>
    <i>
      <x v="568"/>
      <x v="10"/>
      <x v="2"/>
      <x v="1"/>
      <x v="228"/>
    </i>
    <i>
      <x v="100"/>
      <x v="4"/>
      <x v="4"/>
      <x v="2"/>
      <x v="569"/>
    </i>
    <i>
      <x v="922"/>
      <x v="5"/>
      <x v="11"/>
      <x v="1"/>
      <x v="501"/>
    </i>
    <i>
      <x v="619"/>
      <x v="6"/>
      <x v="8"/>
      <x v="1"/>
      <x v="129"/>
    </i>
    <i>
      <x v="98"/>
      <x v="3"/>
      <x v="1"/>
      <x v="1"/>
      <x v="458"/>
    </i>
    <i>
      <x v="534"/>
      <x v="4"/>
      <x v="11"/>
      <x v="2"/>
      <x v="77"/>
    </i>
    <i>
      <x v="982"/>
      <x v="9"/>
      <x v="4"/>
      <x v="1"/>
      <x v="4"/>
    </i>
    <i>
      <x v="973"/>
      <x v="12"/>
      <x v="2"/>
      <x v="1"/>
      <x v="420"/>
    </i>
    <i>
      <x v="570"/>
      <x v="6"/>
      <x v="14"/>
      <x v="2"/>
      <x v="378"/>
    </i>
    <i>
      <x v="833"/>
      <x v="7"/>
      <x v="1"/>
      <x v="1"/>
      <x v="201"/>
    </i>
    <i>
      <x v="659"/>
      <x v="9"/>
      <x/>
      <x v="1"/>
      <x v="384"/>
    </i>
    <i>
      <x v="203"/>
      <x v="1"/>
      <x v="9"/>
      <x v="2"/>
      <x v="375"/>
    </i>
    <i>
      <x v="886"/>
      <x v="2"/>
      <x v="10"/>
      <x v="2"/>
      <x v="55"/>
    </i>
    <i>
      <x v="751"/>
      <x v="2"/>
      <x v="8"/>
      <x v="2"/>
      <x v="406"/>
    </i>
    <i>
      <x v="456"/>
      <x v="3"/>
      <x v="1"/>
      <x v="1"/>
      <x v="256"/>
    </i>
    <i>
      <x v="333"/>
      <x v="10"/>
      <x v="1"/>
      <x v="1"/>
      <x v="116"/>
    </i>
    <i>
      <x v="191"/>
      <x v="8"/>
      <x v="1"/>
      <x v="2"/>
      <x v="533"/>
    </i>
    <i>
      <x v="932"/>
      <x v="9"/>
      <x v="7"/>
      <x v="1"/>
      <x v="540"/>
    </i>
    <i>
      <x v="618"/>
      <x v="6"/>
      <x v="3"/>
      <x v="1"/>
      <x v="337"/>
    </i>
    <i>
      <x v="695"/>
      <x v="2"/>
      <x v="2"/>
      <x v="2"/>
      <x v="204"/>
    </i>
    <i>
      <x v="36"/>
      <x v="4"/>
      <x/>
      <x v="1"/>
      <x v="362"/>
    </i>
    <i>
      <x v="712"/>
      <x v="2"/>
      <x v="8"/>
      <x v="2"/>
      <x v="469"/>
    </i>
    <i>
      <x v="199"/>
      <x v="7"/>
      <x v="13"/>
      <x v="1"/>
      <x v="281"/>
    </i>
    <i>
      <x v="585"/>
      <x v="9"/>
      <x v="13"/>
      <x v="2"/>
      <x v="84"/>
    </i>
    <i>
      <x v="91"/>
      <x v="12"/>
      <x/>
      <x v="2"/>
      <x v="451"/>
    </i>
    <i>
      <x v="88"/>
      <x v="12"/>
      <x v="4"/>
      <x v="1"/>
      <x v="54"/>
    </i>
    <i>
      <x v="574"/>
      <x v="2"/>
      <x v="14"/>
      <x v="2"/>
      <x v="511"/>
    </i>
    <i>
      <x v="323"/>
      <x v="10"/>
      <x v="13"/>
      <x v="1"/>
      <x v="259"/>
    </i>
    <i>
      <x v="670"/>
      <x v="3"/>
      <x v="4"/>
      <x v="1"/>
      <x v="518"/>
    </i>
    <i>
      <x v="241"/>
      <x v="7"/>
      <x v="14"/>
      <x v="2"/>
      <x v="148"/>
    </i>
    <i>
      <x v="33"/>
      <x v="1"/>
      <x v="9"/>
      <x v="1"/>
      <x v="405"/>
    </i>
    <i>
      <x v="243"/>
      <x v="3"/>
      <x v="1"/>
      <x v="2"/>
      <x v="494"/>
    </i>
    <i>
      <x v="451"/>
      <x v="8"/>
      <x v="4"/>
      <x v="1"/>
      <x v="432"/>
    </i>
    <i>
      <x v="24"/>
      <x v="9"/>
      <x v="11"/>
      <x v="1"/>
      <x v="179"/>
    </i>
    <i>
      <x v="70"/>
      <x v="2"/>
      <x v="4"/>
      <x v="1"/>
      <x v="378"/>
    </i>
    <i>
      <x v="26"/>
      <x v="5"/>
      <x v="4"/>
      <x v="2"/>
      <x v="381"/>
    </i>
    <i>
      <x v="587"/>
      <x v="10"/>
      <x v="7"/>
      <x v="2"/>
      <x v="202"/>
    </i>
    <i>
      <x v="825"/>
      <x v="7"/>
      <x v="12"/>
      <x v="1"/>
      <x v="450"/>
    </i>
    <i>
      <x v="5"/>
      <x v="4"/>
      <x v="15"/>
      <x v="1"/>
      <x v="295"/>
    </i>
    <i>
      <x v="295"/>
      <x v="7"/>
      <x v="14"/>
      <x v="2"/>
      <x v="119"/>
    </i>
    <i>
      <x v="854"/>
      <x v="5"/>
      <x v="4"/>
      <x v="2"/>
      <x v="270"/>
    </i>
    <i>
      <x v="987"/>
      <x v="11"/>
      <x v="12"/>
      <x v="1"/>
      <x v="109"/>
    </i>
    <i>
      <x v="924"/>
      <x v="8"/>
      <x v="3"/>
      <x v="1"/>
      <x v="117"/>
    </i>
    <i>
      <x v="644"/>
      <x v="4"/>
      <x v="6"/>
      <x v="1"/>
      <x v="22"/>
    </i>
    <i>
      <x v="588"/>
      <x v="4"/>
      <x v="4"/>
      <x v="1"/>
      <x v="320"/>
    </i>
    <i>
      <x v="709"/>
      <x v="7"/>
      <x v="1"/>
      <x v="1"/>
      <x v="416"/>
    </i>
    <i>
      <x v="180"/>
      <x v="2"/>
      <x v="12"/>
      <x v="1"/>
      <x v="164"/>
    </i>
    <i>
      <x v="961"/>
      <x v="7"/>
      <x v="13"/>
      <x v="1"/>
      <x v="99"/>
    </i>
    <i>
      <x v="729"/>
      <x v="12"/>
      <x v="7"/>
      <x v="2"/>
      <x v="581"/>
    </i>
    <i>
      <x v="388"/>
      <x v="3"/>
      <x v="1"/>
      <x v="1"/>
      <x v="531"/>
    </i>
    <i>
      <x v="363"/>
      <x v="12"/>
      <x v="12"/>
      <x v="2"/>
      <x v="265"/>
    </i>
    <i>
      <x v="609"/>
      <x v="2"/>
      <x v="9"/>
      <x v="2"/>
      <x v="497"/>
    </i>
    <i>
      <x v="210"/>
      <x v="7"/>
      <x v="14"/>
      <x v="2"/>
      <x v="111"/>
    </i>
    <i>
      <x v="101"/>
      <x/>
      <x v="15"/>
      <x v="1"/>
      <x v="308"/>
    </i>
    <i>
      <x v="65"/>
      <x v="12"/>
      <x v="7"/>
      <x v="2"/>
      <x v="448"/>
    </i>
    <i>
      <x v="879"/>
      <x v="7"/>
      <x v="9"/>
      <x v="1"/>
      <x v="231"/>
    </i>
    <i>
      <x v="128"/>
      <x v="2"/>
      <x v="2"/>
      <x v="1"/>
      <x v="379"/>
    </i>
    <i>
      <x v="378"/>
      <x v="2"/>
      <x v="1"/>
      <x v="2"/>
      <x v="551"/>
    </i>
    <i>
      <x v="993"/>
      <x v="4"/>
      <x v="5"/>
      <x v="2"/>
      <x v="288"/>
    </i>
    <i>
      <x v="630"/>
      <x v="9"/>
      <x v="11"/>
      <x v="2"/>
      <x v="129"/>
    </i>
    <i>
      <x v="41"/>
      <x v="11"/>
      <x v="10"/>
      <x v="1"/>
      <x v="282"/>
    </i>
    <i>
      <x v="783"/>
      <x v="4"/>
      <x v="2"/>
      <x v="2"/>
      <x v="466"/>
    </i>
    <i>
      <x v="820"/>
      <x v="12"/>
      <x v="2"/>
      <x v="1"/>
      <x v="496"/>
    </i>
    <i>
      <x v="885"/>
      <x v="9"/>
      <x v="2"/>
      <x v="1"/>
      <x v="384"/>
    </i>
    <i>
      <x v="397"/>
      <x v="4"/>
      <x v="12"/>
      <x v="1"/>
      <x v="215"/>
    </i>
    <i>
      <x v="311"/>
      <x v="8"/>
      <x v="2"/>
      <x v="2"/>
      <x v="176"/>
    </i>
    <i>
      <x v="532"/>
      <x v="3"/>
      <x v="10"/>
      <x v="1"/>
      <x v="462"/>
    </i>
    <i>
      <x v="940"/>
      <x v="1"/>
      <x v="8"/>
      <x v="2"/>
      <x v="153"/>
    </i>
    <i>
      <x v="830"/>
      <x/>
      <x v="11"/>
      <x v="1"/>
      <x v="431"/>
    </i>
    <i>
      <x v="389"/>
      <x v="1"/>
      <x v="14"/>
      <x v="1"/>
      <x v="255"/>
    </i>
    <i>
      <x v="140"/>
      <x v="9"/>
      <x v="8"/>
      <x v="1"/>
      <x v="536"/>
    </i>
    <i>
      <x v="711"/>
      <x v="10"/>
      <x v="1"/>
      <x v="1"/>
      <x v="14"/>
    </i>
    <i>
      <x v="726"/>
      <x v="10"/>
      <x v="4"/>
      <x v="1"/>
      <x v="327"/>
    </i>
    <i>
      <x v="837"/>
      <x v="8"/>
      <x/>
      <x v="1"/>
      <x v="575"/>
    </i>
    <i>
      <x v="689"/>
      <x v="3"/>
      <x v="6"/>
      <x v="1"/>
      <x v="136"/>
    </i>
    <i>
      <x v="472"/>
      <x v="7"/>
      <x v="1"/>
      <x v="1"/>
      <x v="151"/>
    </i>
    <i>
      <x v="429"/>
      <x v="4"/>
      <x v="14"/>
      <x v="1"/>
      <x v="447"/>
    </i>
    <i>
      <x v="120"/>
      <x v="3"/>
      <x v="2"/>
      <x v="2"/>
      <x v="377"/>
    </i>
    <i>
      <x v="954"/>
      <x v="5"/>
      <x v="7"/>
      <x v="2"/>
      <x v="389"/>
    </i>
    <i>
      <x v="838"/>
      <x v="9"/>
      <x v="2"/>
      <x v="2"/>
      <x v="328"/>
    </i>
    <i>
      <x v="768"/>
      <x v="6"/>
      <x v="10"/>
      <x v="1"/>
      <x v="95"/>
    </i>
    <i>
      <x v="380"/>
      <x v="3"/>
      <x v="15"/>
      <x v="1"/>
      <x v="311"/>
    </i>
    <i>
      <x v="20"/>
      <x v="3"/>
      <x v="15"/>
      <x v="1"/>
      <x v="235"/>
    </i>
    <i>
      <x v="175"/>
      <x v="6"/>
      <x v="5"/>
      <x v="2"/>
      <x v="558"/>
    </i>
    <i>
      <x v="515"/>
      <x v="12"/>
      <x v="6"/>
      <x v="1"/>
      <x v="515"/>
    </i>
    <i>
      <x v="582"/>
      <x v="5"/>
      <x v="12"/>
      <x v="2"/>
      <x v="523"/>
    </i>
    <i>
      <x v="206"/>
      <x v="12"/>
      <x v="6"/>
      <x v="1"/>
      <x v="255"/>
    </i>
    <i>
      <x v="154"/>
      <x v="10"/>
      <x v="7"/>
      <x v="1"/>
      <x v="533"/>
    </i>
    <i>
      <x v="12"/>
      <x v="12"/>
      <x v="1"/>
      <x v="2"/>
      <x v="308"/>
    </i>
    <i>
      <x v="17"/>
      <x v="4"/>
      <x v="6"/>
      <x v="1"/>
      <x v="399"/>
    </i>
    <i>
      <x v="163"/>
      <x v="11"/>
      <x v="1"/>
      <x v="2"/>
      <x v="201"/>
    </i>
    <i>
      <x v="645"/>
      <x v="5"/>
      <x v="3"/>
      <x v="1"/>
      <x v="365"/>
    </i>
    <i>
      <x v="535"/>
      <x v="7"/>
      <x v="6"/>
      <x v="2"/>
      <x v="319"/>
    </i>
    <i>
      <x v="63"/>
      <x v="7"/>
      <x v="2"/>
      <x v="1"/>
      <x v="154"/>
    </i>
    <i>
      <x v="994"/>
      <x v="12"/>
      <x v="13"/>
      <x v="1"/>
      <x v="558"/>
    </i>
    <i>
      <x v="21"/>
      <x v="10"/>
      <x v="7"/>
      <x v="1"/>
      <x v="397"/>
    </i>
    <i>
      <x v="715"/>
      <x v="12"/>
      <x v="1"/>
      <x v="2"/>
      <x v="196"/>
    </i>
    <i>
      <x v="631"/>
      <x v="9"/>
      <x v="11"/>
      <x v="1"/>
      <x v="491"/>
    </i>
    <i>
      <x v="696"/>
      <x v="9"/>
      <x v="8"/>
      <x v="2"/>
      <x v="436"/>
    </i>
    <i>
      <x v="691"/>
      <x v="11"/>
      <x v="3"/>
      <x v="2"/>
      <x v="274"/>
    </i>
    <i>
      <x v="374"/>
      <x v="8"/>
      <x v="3"/>
      <x v="1"/>
      <x v="351"/>
    </i>
    <i>
      <x v="391"/>
      <x v="10"/>
      <x v="15"/>
      <x v="1"/>
      <x v="538"/>
    </i>
    <i>
      <x v="341"/>
      <x v="1"/>
      <x v="2"/>
      <x v="1"/>
      <x v="182"/>
    </i>
    <i>
      <x v="173"/>
      <x v="4"/>
      <x v="4"/>
      <x v="2"/>
      <x v="551"/>
    </i>
    <i>
      <x v="706"/>
      <x v="3"/>
      <x v="15"/>
      <x v="2"/>
      <x v="106"/>
    </i>
    <i>
      <x v="889"/>
      <x v="6"/>
      <x v="15"/>
      <x v="2"/>
      <x v="219"/>
    </i>
    <i>
      <x v="860"/>
      <x v="12"/>
      <x v="3"/>
      <x v="1"/>
      <x v="117"/>
    </i>
    <i>
      <x v="955"/>
      <x v="12"/>
      <x v="5"/>
      <x v="1"/>
      <x v="323"/>
    </i>
    <i>
      <x v="129"/>
      <x v="1"/>
      <x v="13"/>
      <x v="1"/>
      <x v="35"/>
    </i>
    <i>
      <x v="704"/>
      <x v="3"/>
      <x/>
      <x v="1"/>
      <x v="285"/>
    </i>
    <i>
      <x v="239"/>
      <x v="8"/>
      <x v="14"/>
      <x v="1"/>
      <x v="220"/>
    </i>
    <i>
      <x v="613"/>
      <x v="2"/>
      <x v="15"/>
      <x v="1"/>
      <x v="371"/>
    </i>
    <i>
      <x v="605"/>
      <x/>
      <x v="12"/>
      <x v="1"/>
      <x v="570"/>
    </i>
    <i>
      <x v="615"/>
      <x v="10"/>
      <x v="3"/>
      <x v="1"/>
      <x v="211"/>
    </i>
    <i>
      <x v="453"/>
      <x v="7"/>
      <x v="1"/>
      <x v="1"/>
      <x v="369"/>
    </i>
    <i>
      <x v="694"/>
      <x v="8"/>
      <x v="12"/>
      <x v="2"/>
      <x v="1"/>
    </i>
    <i>
      <x v="578"/>
      <x v="3"/>
      <x v="15"/>
      <x v="1"/>
      <x v="412"/>
    </i>
    <i>
      <x v="82"/>
      <x v="3"/>
      <x v="14"/>
      <x v="2"/>
      <x v="358"/>
    </i>
    <i>
      <x v="648"/>
      <x v="4"/>
      <x v="4"/>
      <x v="1"/>
      <x v="94"/>
    </i>
    <i>
      <x v="977"/>
      <x v="9"/>
      <x v="10"/>
      <x v="1"/>
      <x v="181"/>
    </i>
    <i>
      <x v="723"/>
      <x v="6"/>
      <x v="3"/>
      <x v="1"/>
      <x v="573"/>
    </i>
    <i>
      <x v="264"/>
      <x v="3"/>
      <x v="14"/>
      <x v="1"/>
      <x v="325"/>
    </i>
    <i>
      <x v="393"/>
      <x v="8"/>
      <x v="13"/>
      <x v="1"/>
      <x v="303"/>
    </i>
    <i>
      <x v="593"/>
      <x/>
      <x v="12"/>
      <x v="1"/>
      <x v="143"/>
    </i>
    <i>
      <x v="133"/>
      <x v="6"/>
      <x v="8"/>
      <x v="1"/>
      <x v="354"/>
    </i>
    <i>
      <x v="782"/>
      <x v="9"/>
      <x v="1"/>
      <x v="1"/>
      <x v="40"/>
    </i>
    <i>
      <x v="395"/>
      <x v="5"/>
      <x v="1"/>
      <x v="1"/>
      <x v="549"/>
    </i>
    <i>
      <x v="757"/>
      <x v="3"/>
      <x v="12"/>
      <x v="1"/>
      <x v="387"/>
    </i>
    <i>
      <x v="16"/>
      <x v="1"/>
      <x v="14"/>
      <x v="2"/>
      <x v="66"/>
    </i>
    <i>
      <x v="302"/>
      <x v="10"/>
      <x/>
      <x v="2"/>
      <x v="401"/>
    </i>
    <i>
      <x v="261"/>
      <x/>
      <x v="2"/>
      <x v="2"/>
      <x v="329"/>
    </i>
    <i>
      <x v="232"/>
      <x v="1"/>
      <x v="3"/>
      <x v="1"/>
      <x v="564"/>
    </i>
  </rowItems>
  <colItems count="1">
    <i/>
  </colItems>
  <dataFields count="1">
    <dataField name="Sum of Amount (INR)" fld="4" baseField="0" baseItem="0"/>
  </dataFields>
  <formats count="1910">
    <format dxfId="1943">
      <pivotArea outline="0" collapsedLevelsAreSubtotals="1" fieldPosition="0"/>
    </format>
    <format dxfId="1942">
      <pivotArea field="1" type="button" dataOnly="0" labelOnly="1" outline="0"/>
    </format>
    <format dxfId="1941">
      <pivotArea field="1" type="button" dataOnly="0" labelOnly="1" outline="0"/>
    </format>
    <format dxfId="1940">
      <pivotArea field="1" type="button" dataOnly="0" labelOnly="1" outline="0"/>
    </format>
    <format dxfId="1939">
      <pivotArea field="0" type="button" dataOnly="0" labelOnly="1" outline="0" axis="axisRow" fieldPosition="0"/>
    </format>
    <format dxfId="1938">
      <pivotArea field="2" type="button" dataOnly="0" labelOnly="1" outline="0" axis="axisRow" fieldPosition="1"/>
    </format>
    <format dxfId="1937">
      <pivotArea field="3" type="button" dataOnly="0" labelOnly="1" outline="0" axis="axisRow" fieldPosition="2"/>
    </format>
    <format dxfId="1936">
      <pivotArea field="8" type="button" dataOnly="0" labelOnly="1" outline="0" axis="axisRow" fieldPosition="3"/>
    </format>
    <format dxfId="1935">
      <pivotArea field="7" type="button" dataOnly="0" labelOnly="1" outline="0" axis="axisRow" fieldPosition="4"/>
    </format>
    <format dxfId="1934">
      <pivotArea dataOnly="0" labelOnly="1" outline="0" axis="axisValues" fieldPosition="0"/>
    </format>
    <format dxfId="1933">
      <pivotArea field="0" type="button" dataOnly="0" labelOnly="1" outline="0" axis="axisRow" fieldPosition="0"/>
    </format>
    <format dxfId="1932">
      <pivotArea field="2" type="button" dataOnly="0" labelOnly="1" outline="0" axis="axisRow" fieldPosition="1"/>
    </format>
    <format dxfId="1931">
      <pivotArea field="3" type="button" dataOnly="0" labelOnly="1" outline="0" axis="axisRow" fieldPosition="2"/>
    </format>
    <format dxfId="1930">
      <pivotArea field="8" type="button" dataOnly="0" labelOnly="1" outline="0" axis="axisRow" fieldPosition="3"/>
    </format>
    <format dxfId="1929">
      <pivotArea field="7" type="button" dataOnly="0" labelOnly="1" outline="0" axis="axisRow" fieldPosition="4"/>
    </format>
    <format dxfId="1928">
      <pivotArea dataOnly="0" labelOnly="1" outline="0" axis="axisValues" fieldPosition="0"/>
    </format>
    <format dxfId="1927">
      <pivotArea type="all" dataOnly="0" outline="0" fieldPosition="0"/>
    </format>
    <format dxfId="1926">
      <pivotArea outline="0" collapsedLevelsAreSubtotals="1" fieldPosition="0"/>
    </format>
    <format dxfId="1925">
      <pivotArea field="0" type="button" dataOnly="0" labelOnly="1" outline="0" axis="axisRow" fieldPosition="0"/>
    </format>
    <format dxfId="1924">
      <pivotArea field="2" type="button" dataOnly="0" labelOnly="1" outline="0" axis="axisRow" fieldPosition="1"/>
    </format>
    <format dxfId="1923">
      <pivotArea field="3" type="button" dataOnly="0" labelOnly="1" outline="0" axis="axisRow" fieldPosition="2"/>
    </format>
    <format dxfId="1922">
      <pivotArea field="8" type="button" dataOnly="0" labelOnly="1" outline="0" axis="axisRow" fieldPosition="3"/>
    </format>
    <format dxfId="1921">
      <pivotArea field="7" type="button" dataOnly="0" labelOnly="1" outline="0" axis="axisRow" fieldPosition="4"/>
    </format>
    <format dxfId="1920">
      <pivotArea dataOnly="0" labelOnly="1" outline="0" fieldPosition="0">
        <references count="1">
          <reference field="0" count="50">
            <x v="14"/>
            <x v="27"/>
            <x v="31"/>
            <x v="43"/>
            <x v="44"/>
            <x v="66"/>
            <x v="102"/>
            <x v="104"/>
            <x v="121"/>
            <x v="155"/>
            <x v="168"/>
            <x v="207"/>
            <x v="212"/>
            <x v="221"/>
            <x v="236"/>
            <x v="242"/>
            <x v="250"/>
            <x v="270"/>
            <x v="288"/>
            <x v="298"/>
            <x v="313"/>
            <x v="321"/>
            <x v="351"/>
            <x v="358"/>
            <x v="396"/>
            <x v="401"/>
            <x v="405"/>
            <x v="411"/>
            <x v="424"/>
            <x v="425"/>
            <x v="440"/>
            <x v="441"/>
            <x v="442"/>
            <x v="489"/>
            <x v="523"/>
            <x v="549"/>
            <x v="568"/>
            <x v="579"/>
            <x v="617"/>
            <x v="714"/>
            <x v="716"/>
            <x v="741"/>
            <x v="756"/>
            <x v="824"/>
            <x v="829"/>
            <x v="865"/>
            <x v="866"/>
            <x v="875"/>
            <x v="931"/>
            <x v="935"/>
          </reference>
        </references>
      </pivotArea>
    </format>
    <format dxfId="1919">
      <pivotArea dataOnly="0" labelOnly="1" outline="0" fieldPosition="0">
        <references count="1">
          <reference field="0" count="50">
            <x v="5"/>
            <x v="24"/>
            <x v="26"/>
            <x v="33"/>
            <x v="36"/>
            <x v="70"/>
            <x v="88"/>
            <x v="91"/>
            <x v="98"/>
            <x v="100"/>
            <x v="180"/>
            <x v="191"/>
            <x v="199"/>
            <x v="203"/>
            <x v="241"/>
            <x v="243"/>
            <x v="295"/>
            <x v="323"/>
            <x v="333"/>
            <x v="363"/>
            <x v="388"/>
            <x v="451"/>
            <x v="456"/>
            <x v="534"/>
            <x v="570"/>
            <x v="574"/>
            <x v="585"/>
            <x v="587"/>
            <x v="588"/>
            <x v="618"/>
            <x v="619"/>
            <x v="644"/>
            <x v="659"/>
            <x v="670"/>
            <x v="695"/>
            <x v="709"/>
            <x v="712"/>
            <x v="729"/>
            <x v="751"/>
            <x v="825"/>
            <x v="833"/>
            <x v="854"/>
            <x v="886"/>
            <x v="922"/>
            <x v="924"/>
            <x v="932"/>
            <x v="961"/>
            <x v="973"/>
            <x v="982"/>
            <x v="987"/>
          </reference>
        </references>
      </pivotArea>
    </format>
    <format dxfId="1918">
      <pivotArea dataOnly="0" labelOnly="1" outline="0" fieldPosition="0">
        <references count="1">
          <reference field="0" count="50">
            <x v="12"/>
            <x v="17"/>
            <x v="20"/>
            <x v="21"/>
            <x v="41"/>
            <x v="63"/>
            <x v="65"/>
            <x v="101"/>
            <x v="120"/>
            <x v="128"/>
            <x v="140"/>
            <x v="154"/>
            <x v="163"/>
            <x v="175"/>
            <x v="206"/>
            <x v="210"/>
            <x v="311"/>
            <x v="374"/>
            <x v="378"/>
            <x v="380"/>
            <x v="389"/>
            <x v="397"/>
            <x v="429"/>
            <x v="472"/>
            <x v="515"/>
            <x v="532"/>
            <x v="535"/>
            <x v="582"/>
            <x v="609"/>
            <x v="630"/>
            <x v="631"/>
            <x v="645"/>
            <x v="689"/>
            <x v="691"/>
            <x v="696"/>
            <x v="711"/>
            <x v="715"/>
            <x v="726"/>
            <x v="768"/>
            <x v="783"/>
            <x v="820"/>
            <x v="830"/>
            <x v="837"/>
            <x v="838"/>
            <x v="879"/>
            <x v="885"/>
            <x v="940"/>
            <x v="954"/>
            <x v="993"/>
            <x v="994"/>
          </reference>
        </references>
      </pivotArea>
    </format>
    <format dxfId="1917">
      <pivotArea dataOnly="0" labelOnly="1" outline="0" fieldPosition="0">
        <references count="1">
          <reference field="0" count="31">
            <x v="16"/>
            <x v="82"/>
            <x v="129"/>
            <x v="133"/>
            <x v="173"/>
            <x v="232"/>
            <x v="239"/>
            <x v="261"/>
            <x v="264"/>
            <x v="302"/>
            <x v="341"/>
            <x v="391"/>
            <x v="393"/>
            <x v="395"/>
            <x v="453"/>
            <x v="578"/>
            <x v="593"/>
            <x v="605"/>
            <x v="613"/>
            <x v="615"/>
            <x v="648"/>
            <x v="694"/>
            <x v="704"/>
            <x v="706"/>
            <x v="723"/>
            <x v="757"/>
            <x v="782"/>
            <x v="860"/>
            <x v="889"/>
            <x v="955"/>
            <x v="977"/>
          </reference>
        </references>
      </pivotArea>
    </format>
    <format dxfId="1916">
      <pivotArea dataOnly="0" labelOnly="1" outline="0" fieldPosition="0">
        <references count="2">
          <reference field="0" count="1" selected="0">
            <x v="207"/>
          </reference>
          <reference field="2" count="1">
            <x v="7"/>
          </reference>
        </references>
      </pivotArea>
    </format>
    <format dxfId="1915">
      <pivotArea dataOnly="0" labelOnly="1" outline="0" fieldPosition="0">
        <references count="2">
          <reference field="0" count="1" selected="0">
            <x v="935"/>
          </reference>
          <reference field="2" count="1">
            <x v="10"/>
          </reference>
        </references>
      </pivotArea>
    </format>
    <format dxfId="1914">
      <pivotArea dataOnly="0" labelOnly="1" outline="0" fieldPosition="0">
        <references count="2">
          <reference field="0" count="1" selected="0">
            <x v="104"/>
          </reference>
          <reference field="2" count="1">
            <x v="9"/>
          </reference>
        </references>
      </pivotArea>
    </format>
    <format dxfId="1913">
      <pivotArea dataOnly="0" labelOnly="1" outline="0" fieldPosition="0">
        <references count="2">
          <reference field="0" count="1" selected="0">
            <x v="716"/>
          </reference>
          <reference field="2" count="1">
            <x v="5"/>
          </reference>
        </references>
      </pivotArea>
    </format>
    <format dxfId="1912">
      <pivotArea dataOnly="0" labelOnly="1" outline="0" fieldPosition="0">
        <references count="2">
          <reference field="0" count="1" selected="0">
            <x v="875"/>
          </reference>
          <reference field="2" count="1">
            <x v="6"/>
          </reference>
        </references>
      </pivotArea>
    </format>
    <format dxfId="1911">
      <pivotArea dataOnly="0" labelOnly="1" outline="0" fieldPosition="0">
        <references count="2">
          <reference field="0" count="1" selected="0">
            <x v="411"/>
          </reference>
          <reference field="2" count="1">
            <x v="2"/>
          </reference>
        </references>
      </pivotArea>
    </format>
    <format dxfId="1910">
      <pivotArea dataOnly="0" labelOnly="1" outline="0" fieldPosition="0">
        <references count="2">
          <reference field="0" count="1" selected="0">
            <x v="396"/>
          </reference>
          <reference field="2" count="1">
            <x v="0"/>
          </reference>
        </references>
      </pivotArea>
    </format>
    <format dxfId="1909">
      <pivotArea dataOnly="0" labelOnly="1" outline="0" fieldPosition="0">
        <references count="2">
          <reference field="0" count="1" selected="0">
            <x v="617"/>
          </reference>
          <reference field="2" count="1">
            <x v="4"/>
          </reference>
        </references>
      </pivotArea>
    </format>
    <format dxfId="1908">
      <pivotArea dataOnly="0" labelOnly="1" outline="0" fieldPosition="0">
        <references count="2">
          <reference field="0" count="1" selected="0">
            <x v="288"/>
          </reference>
          <reference field="2" count="1">
            <x v="2"/>
          </reference>
        </references>
      </pivotArea>
    </format>
    <format dxfId="1907">
      <pivotArea dataOnly="0" labelOnly="1" outline="0" fieldPosition="0">
        <references count="2">
          <reference field="0" count="1" selected="0">
            <x v="14"/>
          </reference>
          <reference field="2" count="1">
            <x v="0"/>
          </reference>
        </references>
      </pivotArea>
    </format>
    <format dxfId="1906">
      <pivotArea dataOnly="0" labelOnly="1" outline="0" fieldPosition="0">
        <references count="2">
          <reference field="0" count="1" selected="0">
            <x v="270"/>
          </reference>
          <reference field="2" count="1">
            <x v="8"/>
          </reference>
        </references>
      </pivotArea>
    </format>
    <format dxfId="1905">
      <pivotArea dataOnly="0" labelOnly="1" outline="0" fieldPosition="0">
        <references count="2">
          <reference field="0" count="1" selected="0">
            <x v="756"/>
          </reference>
          <reference field="2" count="1">
            <x v="3"/>
          </reference>
        </references>
      </pivotArea>
    </format>
    <format dxfId="1904">
      <pivotArea dataOnly="0" labelOnly="1" outline="0" fieldPosition="0">
        <references count="2">
          <reference field="0" count="1" selected="0">
            <x v="44"/>
          </reference>
          <reference field="2" count="1">
            <x v="6"/>
          </reference>
        </references>
      </pivotArea>
    </format>
    <format dxfId="1903">
      <pivotArea dataOnly="0" labelOnly="1" outline="0" fieldPosition="0">
        <references count="2">
          <reference field="0" count="1" selected="0">
            <x v="321"/>
          </reference>
          <reference field="2" count="1">
            <x v="1"/>
          </reference>
        </references>
      </pivotArea>
    </format>
    <format dxfId="1902">
      <pivotArea dataOnly="0" labelOnly="1" outline="0" fieldPosition="0">
        <references count="2">
          <reference field="0" count="1" selected="0">
            <x v="424"/>
          </reference>
          <reference field="2" count="1">
            <x v="12"/>
          </reference>
        </references>
      </pivotArea>
    </format>
    <format dxfId="1901">
      <pivotArea dataOnly="0" labelOnly="1" outline="0" fieldPosition="0">
        <references count="2">
          <reference field="0" count="1" selected="0">
            <x v="155"/>
          </reference>
          <reference field="2" count="1">
            <x v="2"/>
          </reference>
        </references>
      </pivotArea>
    </format>
    <format dxfId="1900">
      <pivotArea dataOnly="0" labelOnly="1" outline="0" fieldPosition="0">
        <references count="2">
          <reference field="0" count="1" selected="0">
            <x v="313"/>
          </reference>
          <reference field="2" count="1">
            <x v="0"/>
          </reference>
        </references>
      </pivotArea>
    </format>
    <format dxfId="1899">
      <pivotArea dataOnly="0" labelOnly="1" outline="0" fieldPosition="0">
        <references count="2">
          <reference field="0" count="1" selected="0">
            <x v="829"/>
          </reference>
          <reference field="2" count="1">
            <x v="9"/>
          </reference>
        </references>
      </pivotArea>
    </format>
    <format dxfId="1898">
      <pivotArea dataOnly="0" labelOnly="1" outline="0" fieldPosition="0">
        <references count="2">
          <reference field="0" count="1" selected="0">
            <x v="824"/>
          </reference>
          <reference field="2" count="1">
            <x v="2"/>
          </reference>
        </references>
      </pivotArea>
    </format>
    <format dxfId="1897">
      <pivotArea dataOnly="0" labelOnly="1" outline="0" fieldPosition="0">
        <references count="2">
          <reference field="0" count="1" selected="0">
            <x v="442"/>
          </reference>
          <reference field="2" count="1">
            <x v="9"/>
          </reference>
        </references>
      </pivotArea>
    </format>
    <format dxfId="1896">
      <pivotArea dataOnly="0" labelOnly="1" outline="0" fieldPosition="0">
        <references count="2">
          <reference field="0" count="1" selected="0">
            <x v="168"/>
          </reference>
          <reference field="2" count="1">
            <x v="10"/>
          </reference>
        </references>
      </pivotArea>
    </format>
    <format dxfId="1895">
      <pivotArea dataOnly="0" labelOnly="1" outline="0" fieldPosition="0">
        <references count="2">
          <reference field="0" count="1" selected="0">
            <x v="242"/>
          </reference>
          <reference field="2" count="1">
            <x v="12"/>
          </reference>
        </references>
      </pivotArea>
    </format>
    <format dxfId="1894">
      <pivotArea dataOnly="0" labelOnly="1" outline="0" fieldPosition="0">
        <references count="2">
          <reference field="0" count="1" selected="0">
            <x v="66"/>
          </reference>
          <reference field="2" count="1">
            <x v="11"/>
          </reference>
        </references>
      </pivotArea>
    </format>
    <format dxfId="1893">
      <pivotArea dataOnly="0" labelOnly="1" outline="0" fieldPosition="0">
        <references count="2">
          <reference field="0" count="1" selected="0">
            <x v="43"/>
          </reference>
          <reference field="2" count="1">
            <x v="5"/>
          </reference>
        </references>
      </pivotArea>
    </format>
    <format dxfId="1892">
      <pivotArea dataOnly="0" labelOnly="1" outline="0" fieldPosition="0">
        <references count="2">
          <reference field="0" count="1" selected="0">
            <x v="121"/>
          </reference>
          <reference field="2" count="1">
            <x v="8"/>
          </reference>
        </references>
      </pivotArea>
    </format>
    <format dxfId="1891">
      <pivotArea dataOnly="0" labelOnly="1" outline="0" fieldPosition="0">
        <references count="2">
          <reference field="0" count="1" selected="0">
            <x v="405"/>
          </reference>
          <reference field="2" count="1">
            <x v="4"/>
          </reference>
        </references>
      </pivotArea>
    </format>
    <format dxfId="1890">
      <pivotArea dataOnly="0" labelOnly="1" outline="0" fieldPosition="0">
        <references count="2">
          <reference field="0" count="1" selected="0">
            <x v="931"/>
          </reference>
          <reference field="2" count="1">
            <x v="9"/>
          </reference>
        </references>
      </pivotArea>
    </format>
    <format dxfId="1889">
      <pivotArea dataOnly="0" labelOnly="1" outline="0" fieldPosition="0">
        <references count="2">
          <reference field="0" count="1" selected="0">
            <x v="489"/>
          </reference>
          <reference field="2" count="1">
            <x v="11"/>
          </reference>
        </references>
      </pivotArea>
    </format>
    <format dxfId="1888">
      <pivotArea dataOnly="0" labelOnly="1" outline="0" fieldPosition="0">
        <references count="2">
          <reference field="0" count="1" selected="0">
            <x v="298"/>
          </reference>
          <reference field="2" count="1">
            <x v="0"/>
          </reference>
        </references>
      </pivotArea>
    </format>
    <format dxfId="1887">
      <pivotArea dataOnly="0" labelOnly="1" outline="0" fieldPosition="0">
        <references count="2">
          <reference field="0" count="1" selected="0">
            <x v="221"/>
          </reference>
          <reference field="2" count="1">
            <x v="1"/>
          </reference>
        </references>
      </pivotArea>
    </format>
    <format dxfId="1886">
      <pivotArea dataOnly="0" labelOnly="1" outline="0" fieldPosition="0">
        <references count="2">
          <reference field="0" count="1" selected="0">
            <x v="212"/>
          </reference>
          <reference field="2" count="1">
            <x v="7"/>
          </reference>
        </references>
      </pivotArea>
    </format>
    <format dxfId="1885">
      <pivotArea dataOnly="0" labelOnly="1" outline="0" fieldPosition="0">
        <references count="2">
          <reference field="0" count="1" selected="0">
            <x v="351"/>
          </reference>
          <reference field="2" count="1">
            <x v="8"/>
          </reference>
        </references>
      </pivotArea>
    </format>
    <format dxfId="1884">
      <pivotArea dataOnly="0" labelOnly="1" outline="0" fieldPosition="0">
        <references count="2">
          <reference field="0" count="1" selected="0">
            <x v="358"/>
          </reference>
          <reference field="2" count="1">
            <x v="6"/>
          </reference>
        </references>
      </pivotArea>
    </format>
    <format dxfId="1883">
      <pivotArea dataOnly="0" labelOnly="1" outline="0" fieldPosition="0">
        <references count="2">
          <reference field="0" count="1" selected="0">
            <x v="741"/>
          </reference>
          <reference field="2" count="1">
            <x v="12"/>
          </reference>
        </references>
      </pivotArea>
    </format>
    <format dxfId="1882">
      <pivotArea dataOnly="0" labelOnly="1" outline="0" fieldPosition="0">
        <references count="2">
          <reference field="0" count="1" selected="0">
            <x v="401"/>
          </reference>
          <reference field="2" count="1">
            <x v="8"/>
          </reference>
        </references>
      </pivotArea>
    </format>
    <format dxfId="1881">
      <pivotArea dataOnly="0" labelOnly="1" outline="0" fieldPosition="0">
        <references count="2">
          <reference field="0" count="1" selected="0">
            <x v="865"/>
          </reference>
          <reference field="2" count="1">
            <x v="1"/>
          </reference>
        </references>
      </pivotArea>
    </format>
    <format dxfId="1880">
      <pivotArea dataOnly="0" labelOnly="1" outline="0" fieldPosition="0">
        <references count="2">
          <reference field="0" count="1" selected="0">
            <x v="441"/>
          </reference>
          <reference field="2" count="1">
            <x v="4"/>
          </reference>
        </references>
      </pivotArea>
    </format>
    <format dxfId="1879">
      <pivotArea dataOnly="0" labelOnly="1" outline="0" fieldPosition="0">
        <references count="2">
          <reference field="0" count="1" selected="0">
            <x v="425"/>
          </reference>
          <reference field="2" count="1">
            <x v="9"/>
          </reference>
        </references>
      </pivotArea>
    </format>
    <format dxfId="1878">
      <pivotArea dataOnly="0" labelOnly="1" outline="0" fieldPosition="0">
        <references count="2">
          <reference field="0" count="1" selected="0">
            <x v="31"/>
          </reference>
          <reference field="2" count="1">
            <x v="10"/>
          </reference>
        </references>
      </pivotArea>
    </format>
    <format dxfId="1877">
      <pivotArea dataOnly="0" labelOnly="1" outline="0" fieldPosition="0">
        <references count="2">
          <reference field="0" count="1" selected="0">
            <x v="579"/>
          </reference>
          <reference field="2" count="1">
            <x v="6"/>
          </reference>
        </references>
      </pivotArea>
    </format>
    <format dxfId="1876">
      <pivotArea dataOnly="0" labelOnly="1" outline="0" fieldPosition="0">
        <references count="2">
          <reference field="0" count="1" selected="0">
            <x v="549"/>
          </reference>
          <reference field="2" count="1">
            <x v="5"/>
          </reference>
        </references>
      </pivotArea>
    </format>
    <format dxfId="1875">
      <pivotArea dataOnly="0" labelOnly="1" outline="0" fieldPosition="0">
        <references count="2">
          <reference field="0" count="1" selected="0">
            <x v="236"/>
          </reference>
          <reference field="2" count="1">
            <x v="2"/>
          </reference>
        </references>
      </pivotArea>
    </format>
    <format dxfId="1874">
      <pivotArea dataOnly="0" labelOnly="1" outline="0" fieldPosition="0">
        <references count="2">
          <reference field="0" count="1" selected="0">
            <x v="714"/>
          </reference>
          <reference field="2" count="1">
            <x v="8"/>
          </reference>
        </references>
      </pivotArea>
    </format>
    <format dxfId="1873">
      <pivotArea dataOnly="0" labelOnly="1" outline="0" fieldPosition="0">
        <references count="2">
          <reference field="0" count="1" selected="0">
            <x v="440"/>
          </reference>
          <reference field="2" count="1">
            <x v="1"/>
          </reference>
        </references>
      </pivotArea>
    </format>
    <format dxfId="1872">
      <pivotArea dataOnly="0" labelOnly="1" outline="0" fieldPosition="0">
        <references count="2">
          <reference field="0" count="1" selected="0">
            <x v="102"/>
          </reference>
          <reference field="2" count="1">
            <x v="10"/>
          </reference>
        </references>
      </pivotArea>
    </format>
    <format dxfId="1871">
      <pivotArea dataOnly="0" labelOnly="1" outline="0" fieldPosition="0">
        <references count="2">
          <reference field="0" count="1" selected="0">
            <x v="100"/>
          </reference>
          <reference field="2" count="1">
            <x v="4"/>
          </reference>
        </references>
      </pivotArea>
    </format>
    <format dxfId="1870">
      <pivotArea dataOnly="0" labelOnly="1" outline="0" fieldPosition="0">
        <references count="2">
          <reference field="0" count="1" selected="0">
            <x v="922"/>
          </reference>
          <reference field="2" count="1">
            <x v="5"/>
          </reference>
        </references>
      </pivotArea>
    </format>
    <format dxfId="1869">
      <pivotArea dataOnly="0" labelOnly="1" outline="0" fieldPosition="0">
        <references count="2">
          <reference field="0" count="1" selected="0">
            <x v="619"/>
          </reference>
          <reference field="2" count="1">
            <x v="6"/>
          </reference>
        </references>
      </pivotArea>
    </format>
    <format dxfId="1868">
      <pivotArea dataOnly="0" labelOnly="1" outline="0" fieldPosition="0">
        <references count="2">
          <reference field="0" count="1" selected="0">
            <x v="98"/>
          </reference>
          <reference field="2" count="1">
            <x v="3"/>
          </reference>
        </references>
      </pivotArea>
    </format>
    <format dxfId="1867">
      <pivotArea dataOnly="0" labelOnly="1" outline="0" fieldPosition="0">
        <references count="2">
          <reference field="0" count="1" selected="0">
            <x v="534"/>
          </reference>
          <reference field="2" count="1">
            <x v="4"/>
          </reference>
        </references>
      </pivotArea>
    </format>
    <format dxfId="1866">
      <pivotArea dataOnly="0" labelOnly="1" outline="0" fieldPosition="0">
        <references count="2">
          <reference field="0" count="1" selected="0">
            <x v="982"/>
          </reference>
          <reference field="2" count="1">
            <x v="9"/>
          </reference>
        </references>
      </pivotArea>
    </format>
    <format dxfId="1865">
      <pivotArea dataOnly="0" labelOnly="1" outline="0" fieldPosition="0">
        <references count="2">
          <reference field="0" count="1" selected="0">
            <x v="973"/>
          </reference>
          <reference field="2" count="1">
            <x v="12"/>
          </reference>
        </references>
      </pivotArea>
    </format>
    <format dxfId="1864">
      <pivotArea dataOnly="0" labelOnly="1" outline="0" fieldPosition="0">
        <references count="2">
          <reference field="0" count="1" selected="0">
            <x v="570"/>
          </reference>
          <reference field="2" count="1">
            <x v="6"/>
          </reference>
        </references>
      </pivotArea>
    </format>
    <format dxfId="1863">
      <pivotArea dataOnly="0" labelOnly="1" outline="0" fieldPosition="0">
        <references count="2">
          <reference field="0" count="1" selected="0">
            <x v="833"/>
          </reference>
          <reference field="2" count="1">
            <x v="7"/>
          </reference>
        </references>
      </pivotArea>
    </format>
    <format dxfId="1862">
      <pivotArea dataOnly="0" labelOnly="1" outline="0" fieldPosition="0">
        <references count="2">
          <reference field="0" count="1" selected="0">
            <x v="659"/>
          </reference>
          <reference field="2" count="1">
            <x v="9"/>
          </reference>
        </references>
      </pivotArea>
    </format>
    <format dxfId="1861">
      <pivotArea dataOnly="0" labelOnly="1" outline="0" fieldPosition="0">
        <references count="2">
          <reference field="0" count="1" selected="0">
            <x v="203"/>
          </reference>
          <reference field="2" count="1">
            <x v="1"/>
          </reference>
        </references>
      </pivotArea>
    </format>
    <format dxfId="1860">
      <pivotArea dataOnly="0" labelOnly="1" outline="0" fieldPosition="0">
        <references count="2">
          <reference field="0" count="1" selected="0">
            <x v="886"/>
          </reference>
          <reference field="2" count="1">
            <x v="2"/>
          </reference>
        </references>
      </pivotArea>
    </format>
    <format dxfId="1859">
      <pivotArea dataOnly="0" labelOnly="1" outline="0" fieldPosition="0">
        <references count="2">
          <reference field="0" count="1" selected="0">
            <x v="456"/>
          </reference>
          <reference field="2" count="1">
            <x v="3"/>
          </reference>
        </references>
      </pivotArea>
    </format>
    <format dxfId="1858">
      <pivotArea dataOnly="0" labelOnly="1" outline="0" fieldPosition="0">
        <references count="2">
          <reference field="0" count="1" selected="0">
            <x v="333"/>
          </reference>
          <reference field="2" count="1">
            <x v="10"/>
          </reference>
        </references>
      </pivotArea>
    </format>
    <format dxfId="1857">
      <pivotArea dataOnly="0" labelOnly="1" outline="0" fieldPosition="0">
        <references count="2">
          <reference field="0" count="1" selected="0">
            <x v="191"/>
          </reference>
          <reference field="2" count="1">
            <x v="8"/>
          </reference>
        </references>
      </pivotArea>
    </format>
    <format dxfId="1856">
      <pivotArea dataOnly="0" labelOnly="1" outline="0" fieldPosition="0">
        <references count="2">
          <reference field="0" count="1" selected="0">
            <x v="932"/>
          </reference>
          <reference field="2" count="1">
            <x v="9"/>
          </reference>
        </references>
      </pivotArea>
    </format>
    <format dxfId="1855">
      <pivotArea dataOnly="0" labelOnly="1" outline="0" fieldPosition="0">
        <references count="2">
          <reference field="0" count="1" selected="0">
            <x v="618"/>
          </reference>
          <reference field="2" count="1">
            <x v="6"/>
          </reference>
        </references>
      </pivotArea>
    </format>
    <format dxfId="1854">
      <pivotArea dataOnly="0" labelOnly="1" outline="0" fieldPosition="0">
        <references count="2">
          <reference field="0" count="1" selected="0">
            <x v="695"/>
          </reference>
          <reference field="2" count="1">
            <x v="2"/>
          </reference>
        </references>
      </pivotArea>
    </format>
    <format dxfId="1853">
      <pivotArea dataOnly="0" labelOnly="1" outline="0" fieldPosition="0">
        <references count="2">
          <reference field="0" count="1" selected="0">
            <x v="36"/>
          </reference>
          <reference field="2" count="1">
            <x v="4"/>
          </reference>
        </references>
      </pivotArea>
    </format>
    <format dxfId="1852">
      <pivotArea dataOnly="0" labelOnly="1" outline="0" fieldPosition="0">
        <references count="2">
          <reference field="0" count="1" selected="0">
            <x v="712"/>
          </reference>
          <reference field="2" count="1">
            <x v="2"/>
          </reference>
        </references>
      </pivotArea>
    </format>
    <format dxfId="1851">
      <pivotArea dataOnly="0" labelOnly="1" outline="0" fieldPosition="0">
        <references count="2">
          <reference field="0" count="1" selected="0">
            <x v="199"/>
          </reference>
          <reference field="2" count="1">
            <x v="7"/>
          </reference>
        </references>
      </pivotArea>
    </format>
    <format dxfId="1850">
      <pivotArea dataOnly="0" labelOnly="1" outline="0" fieldPosition="0">
        <references count="2">
          <reference field="0" count="1" selected="0">
            <x v="585"/>
          </reference>
          <reference field="2" count="1">
            <x v="9"/>
          </reference>
        </references>
      </pivotArea>
    </format>
    <format dxfId="1849">
      <pivotArea dataOnly="0" labelOnly="1" outline="0" fieldPosition="0">
        <references count="2">
          <reference field="0" count="1" selected="0">
            <x v="91"/>
          </reference>
          <reference field="2" count="1">
            <x v="12"/>
          </reference>
        </references>
      </pivotArea>
    </format>
    <format dxfId="1848">
      <pivotArea dataOnly="0" labelOnly="1" outline="0" fieldPosition="0">
        <references count="2">
          <reference field="0" count="1" selected="0">
            <x v="574"/>
          </reference>
          <reference field="2" count="1">
            <x v="2"/>
          </reference>
        </references>
      </pivotArea>
    </format>
    <format dxfId="1847">
      <pivotArea dataOnly="0" labelOnly="1" outline="0" fieldPosition="0">
        <references count="2">
          <reference field="0" count="1" selected="0">
            <x v="323"/>
          </reference>
          <reference field="2" count="1">
            <x v="10"/>
          </reference>
        </references>
      </pivotArea>
    </format>
    <format dxfId="1846">
      <pivotArea dataOnly="0" labelOnly="1" outline="0" fieldPosition="0">
        <references count="2">
          <reference field="0" count="1" selected="0">
            <x v="670"/>
          </reference>
          <reference field="2" count="1">
            <x v="3"/>
          </reference>
        </references>
      </pivotArea>
    </format>
    <format dxfId="1845">
      <pivotArea dataOnly="0" labelOnly="1" outline="0" fieldPosition="0">
        <references count="2">
          <reference field="0" count="1" selected="0">
            <x v="241"/>
          </reference>
          <reference field="2" count="1">
            <x v="7"/>
          </reference>
        </references>
      </pivotArea>
    </format>
    <format dxfId="1844">
      <pivotArea dataOnly="0" labelOnly="1" outline="0" fieldPosition="0">
        <references count="2">
          <reference field="0" count="1" selected="0">
            <x v="33"/>
          </reference>
          <reference field="2" count="1">
            <x v="1"/>
          </reference>
        </references>
      </pivotArea>
    </format>
    <format dxfId="1843">
      <pivotArea dataOnly="0" labelOnly="1" outline="0" fieldPosition="0">
        <references count="2">
          <reference field="0" count="1" selected="0">
            <x v="243"/>
          </reference>
          <reference field="2" count="1">
            <x v="3"/>
          </reference>
        </references>
      </pivotArea>
    </format>
    <format dxfId="1842">
      <pivotArea dataOnly="0" labelOnly="1" outline="0" fieldPosition="0">
        <references count="2">
          <reference field="0" count="1" selected="0">
            <x v="451"/>
          </reference>
          <reference field="2" count="1">
            <x v="8"/>
          </reference>
        </references>
      </pivotArea>
    </format>
    <format dxfId="1841">
      <pivotArea dataOnly="0" labelOnly="1" outline="0" fieldPosition="0">
        <references count="2">
          <reference field="0" count="1" selected="0">
            <x v="24"/>
          </reference>
          <reference field="2" count="1">
            <x v="9"/>
          </reference>
        </references>
      </pivotArea>
    </format>
    <format dxfId="1840">
      <pivotArea dataOnly="0" labelOnly="1" outline="0" fieldPosition="0">
        <references count="2">
          <reference field="0" count="1" selected="0">
            <x v="70"/>
          </reference>
          <reference field="2" count="1">
            <x v="2"/>
          </reference>
        </references>
      </pivotArea>
    </format>
    <format dxfId="1839">
      <pivotArea dataOnly="0" labelOnly="1" outline="0" fieldPosition="0">
        <references count="2">
          <reference field="0" count="1" selected="0">
            <x v="26"/>
          </reference>
          <reference field="2" count="1">
            <x v="5"/>
          </reference>
        </references>
      </pivotArea>
    </format>
    <format dxfId="1838">
      <pivotArea dataOnly="0" labelOnly="1" outline="0" fieldPosition="0">
        <references count="2">
          <reference field="0" count="1" selected="0">
            <x v="587"/>
          </reference>
          <reference field="2" count="1">
            <x v="10"/>
          </reference>
        </references>
      </pivotArea>
    </format>
    <format dxfId="1837">
      <pivotArea dataOnly="0" labelOnly="1" outline="0" fieldPosition="0">
        <references count="2">
          <reference field="0" count="1" selected="0">
            <x v="825"/>
          </reference>
          <reference field="2" count="1">
            <x v="7"/>
          </reference>
        </references>
      </pivotArea>
    </format>
    <format dxfId="1836">
      <pivotArea dataOnly="0" labelOnly="1" outline="0" fieldPosition="0">
        <references count="2">
          <reference field="0" count="1" selected="0">
            <x v="5"/>
          </reference>
          <reference field="2" count="1">
            <x v="4"/>
          </reference>
        </references>
      </pivotArea>
    </format>
    <format dxfId="1835">
      <pivotArea dataOnly="0" labelOnly="1" outline="0" fieldPosition="0">
        <references count="2">
          <reference field="0" count="1" selected="0">
            <x v="295"/>
          </reference>
          <reference field="2" count="1">
            <x v="7"/>
          </reference>
        </references>
      </pivotArea>
    </format>
    <format dxfId="1834">
      <pivotArea dataOnly="0" labelOnly="1" outline="0" fieldPosition="0">
        <references count="2">
          <reference field="0" count="1" selected="0">
            <x v="854"/>
          </reference>
          <reference field="2" count="1">
            <x v="5"/>
          </reference>
        </references>
      </pivotArea>
    </format>
    <format dxfId="1833">
      <pivotArea dataOnly="0" labelOnly="1" outline="0" fieldPosition="0">
        <references count="2">
          <reference field="0" count="1" selected="0">
            <x v="987"/>
          </reference>
          <reference field="2" count="1">
            <x v="11"/>
          </reference>
        </references>
      </pivotArea>
    </format>
    <format dxfId="1832">
      <pivotArea dataOnly="0" labelOnly="1" outline="0" fieldPosition="0">
        <references count="2">
          <reference field="0" count="1" selected="0">
            <x v="924"/>
          </reference>
          <reference field="2" count="1">
            <x v="8"/>
          </reference>
        </references>
      </pivotArea>
    </format>
    <format dxfId="1831">
      <pivotArea dataOnly="0" labelOnly="1" outline="0" fieldPosition="0">
        <references count="2">
          <reference field="0" count="1" selected="0">
            <x v="644"/>
          </reference>
          <reference field="2" count="1">
            <x v="4"/>
          </reference>
        </references>
      </pivotArea>
    </format>
    <format dxfId="1830">
      <pivotArea dataOnly="0" labelOnly="1" outline="0" fieldPosition="0">
        <references count="2">
          <reference field="0" count="1" selected="0">
            <x v="709"/>
          </reference>
          <reference field="2" count="1">
            <x v="7"/>
          </reference>
        </references>
      </pivotArea>
    </format>
    <format dxfId="1829">
      <pivotArea dataOnly="0" labelOnly="1" outline="0" fieldPosition="0">
        <references count="2">
          <reference field="0" count="1" selected="0">
            <x v="180"/>
          </reference>
          <reference field="2" count="1">
            <x v="2"/>
          </reference>
        </references>
      </pivotArea>
    </format>
    <format dxfId="1828">
      <pivotArea dataOnly="0" labelOnly="1" outline="0" fieldPosition="0">
        <references count="2">
          <reference field="0" count="1" selected="0">
            <x v="961"/>
          </reference>
          <reference field="2" count="1">
            <x v="7"/>
          </reference>
        </references>
      </pivotArea>
    </format>
    <format dxfId="1827">
      <pivotArea dataOnly="0" labelOnly="1" outline="0" fieldPosition="0">
        <references count="2">
          <reference field="0" count="1" selected="0">
            <x v="729"/>
          </reference>
          <reference field="2" count="1">
            <x v="12"/>
          </reference>
        </references>
      </pivotArea>
    </format>
    <format dxfId="1826">
      <pivotArea dataOnly="0" labelOnly="1" outline="0" fieldPosition="0">
        <references count="2">
          <reference field="0" count="1" selected="0">
            <x v="388"/>
          </reference>
          <reference field="2" count="1">
            <x v="3"/>
          </reference>
        </references>
      </pivotArea>
    </format>
    <format dxfId="1825">
      <pivotArea dataOnly="0" labelOnly="1" outline="0" fieldPosition="0">
        <references count="2">
          <reference field="0" count="1" selected="0">
            <x v="363"/>
          </reference>
          <reference field="2" count="1">
            <x v="12"/>
          </reference>
        </references>
      </pivotArea>
    </format>
    <format dxfId="1824">
      <pivotArea dataOnly="0" labelOnly="1" outline="0" fieldPosition="0">
        <references count="2">
          <reference field="0" count="1" selected="0">
            <x v="609"/>
          </reference>
          <reference field="2" count="1">
            <x v="2"/>
          </reference>
        </references>
      </pivotArea>
    </format>
    <format dxfId="1823">
      <pivotArea dataOnly="0" labelOnly="1" outline="0" fieldPosition="0">
        <references count="2">
          <reference field="0" count="1" selected="0">
            <x v="210"/>
          </reference>
          <reference field="2" count="1">
            <x v="7"/>
          </reference>
        </references>
      </pivotArea>
    </format>
    <format dxfId="1822">
      <pivotArea dataOnly="0" labelOnly="1" outline="0" fieldPosition="0">
        <references count="2">
          <reference field="0" count="1" selected="0">
            <x v="101"/>
          </reference>
          <reference field="2" count="1">
            <x v="0"/>
          </reference>
        </references>
      </pivotArea>
    </format>
    <format dxfId="1821">
      <pivotArea dataOnly="0" labelOnly="1" outline="0" fieldPosition="0">
        <references count="2">
          <reference field="0" count="1" selected="0">
            <x v="65"/>
          </reference>
          <reference field="2" count="1">
            <x v="12"/>
          </reference>
        </references>
      </pivotArea>
    </format>
    <format dxfId="1820">
      <pivotArea dataOnly="0" labelOnly="1" outline="0" fieldPosition="0">
        <references count="2">
          <reference field="0" count="1" selected="0">
            <x v="879"/>
          </reference>
          <reference field="2" count="1">
            <x v="7"/>
          </reference>
        </references>
      </pivotArea>
    </format>
    <format dxfId="1819">
      <pivotArea dataOnly="0" labelOnly="1" outline="0" fieldPosition="0">
        <references count="2">
          <reference field="0" count="1" selected="0">
            <x v="128"/>
          </reference>
          <reference field="2" count="1">
            <x v="2"/>
          </reference>
        </references>
      </pivotArea>
    </format>
    <format dxfId="1818">
      <pivotArea dataOnly="0" labelOnly="1" outline="0" fieldPosition="0">
        <references count="2">
          <reference field="0" count="1" selected="0">
            <x v="993"/>
          </reference>
          <reference field="2" count="1">
            <x v="4"/>
          </reference>
        </references>
      </pivotArea>
    </format>
    <format dxfId="1817">
      <pivotArea dataOnly="0" labelOnly="1" outline="0" fieldPosition="0">
        <references count="2">
          <reference field="0" count="1" selected="0">
            <x v="630"/>
          </reference>
          <reference field="2" count="1">
            <x v="9"/>
          </reference>
        </references>
      </pivotArea>
    </format>
    <format dxfId="1816">
      <pivotArea dataOnly="0" labelOnly="1" outline="0" fieldPosition="0">
        <references count="2">
          <reference field="0" count="1" selected="0">
            <x v="41"/>
          </reference>
          <reference field="2" count="1">
            <x v="11"/>
          </reference>
        </references>
      </pivotArea>
    </format>
    <format dxfId="1815">
      <pivotArea dataOnly="0" labelOnly="1" outline="0" fieldPosition="0">
        <references count="2">
          <reference field="0" count="1" selected="0">
            <x v="783"/>
          </reference>
          <reference field="2" count="1">
            <x v="4"/>
          </reference>
        </references>
      </pivotArea>
    </format>
    <format dxfId="1814">
      <pivotArea dataOnly="0" labelOnly="1" outline="0" fieldPosition="0">
        <references count="2">
          <reference field="0" count="1" selected="0">
            <x v="820"/>
          </reference>
          <reference field="2" count="1">
            <x v="12"/>
          </reference>
        </references>
      </pivotArea>
    </format>
    <format dxfId="1813">
      <pivotArea dataOnly="0" labelOnly="1" outline="0" fieldPosition="0">
        <references count="2">
          <reference field="0" count="1" selected="0">
            <x v="885"/>
          </reference>
          <reference field="2" count="1">
            <x v="9"/>
          </reference>
        </references>
      </pivotArea>
    </format>
    <format dxfId="1812">
      <pivotArea dataOnly="0" labelOnly="1" outline="0" fieldPosition="0">
        <references count="2">
          <reference field="0" count="1" selected="0">
            <x v="397"/>
          </reference>
          <reference field="2" count="1">
            <x v="4"/>
          </reference>
        </references>
      </pivotArea>
    </format>
    <format dxfId="1811">
      <pivotArea dataOnly="0" labelOnly="1" outline="0" fieldPosition="0">
        <references count="2">
          <reference field="0" count="1" selected="0">
            <x v="311"/>
          </reference>
          <reference field="2" count="1">
            <x v="8"/>
          </reference>
        </references>
      </pivotArea>
    </format>
    <format dxfId="1810">
      <pivotArea dataOnly="0" labelOnly="1" outline="0" fieldPosition="0">
        <references count="2">
          <reference field="0" count="1" selected="0">
            <x v="532"/>
          </reference>
          <reference field="2" count="1">
            <x v="3"/>
          </reference>
        </references>
      </pivotArea>
    </format>
    <format dxfId="1809">
      <pivotArea dataOnly="0" labelOnly="1" outline="0" fieldPosition="0">
        <references count="2">
          <reference field="0" count="1" selected="0">
            <x v="940"/>
          </reference>
          <reference field="2" count="1">
            <x v="1"/>
          </reference>
        </references>
      </pivotArea>
    </format>
    <format dxfId="1808">
      <pivotArea dataOnly="0" labelOnly="1" outline="0" fieldPosition="0">
        <references count="2">
          <reference field="0" count="1" selected="0">
            <x v="830"/>
          </reference>
          <reference field="2" count="1">
            <x v="0"/>
          </reference>
        </references>
      </pivotArea>
    </format>
    <format dxfId="1807">
      <pivotArea dataOnly="0" labelOnly="1" outline="0" fieldPosition="0">
        <references count="2">
          <reference field="0" count="1" selected="0">
            <x v="389"/>
          </reference>
          <reference field="2" count="1">
            <x v="1"/>
          </reference>
        </references>
      </pivotArea>
    </format>
    <format dxfId="1806">
      <pivotArea dataOnly="0" labelOnly="1" outline="0" fieldPosition="0">
        <references count="2">
          <reference field="0" count="1" selected="0">
            <x v="140"/>
          </reference>
          <reference field="2" count="1">
            <x v="9"/>
          </reference>
        </references>
      </pivotArea>
    </format>
    <format dxfId="1805">
      <pivotArea dataOnly="0" labelOnly="1" outline="0" fieldPosition="0">
        <references count="2">
          <reference field="0" count="1" selected="0">
            <x v="711"/>
          </reference>
          <reference field="2" count="1">
            <x v="10"/>
          </reference>
        </references>
      </pivotArea>
    </format>
    <format dxfId="1804">
      <pivotArea dataOnly="0" labelOnly="1" outline="0" fieldPosition="0">
        <references count="2">
          <reference field="0" count="1" selected="0">
            <x v="837"/>
          </reference>
          <reference field="2" count="1">
            <x v="8"/>
          </reference>
        </references>
      </pivotArea>
    </format>
    <format dxfId="1803">
      <pivotArea dataOnly="0" labelOnly="1" outline="0" fieldPosition="0">
        <references count="2">
          <reference field="0" count="1" selected="0">
            <x v="689"/>
          </reference>
          <reference field="2" count="1">
            <x v="3"/>
          </reference>
        </references>
      </pivotArea>
    </format>
    <format dxfId="1802">
      <pivotArea dataOnly="0" labelOnly="1" outline="0" fieldPosition="0">
        <references count="2">
          <reference field="0" count="1" selected="0">
            <x v="472"/>
          </reference>
          <reference field="2" count="1">
            <x v="7"/>
          </reference>
        </references>
      </pivotArea>
    </format>
    <format dxfId="1801">
      <pivotArea dataOnly="0" labelOnly="1" outline="0" fieldPosition="0">
        <references count="2">
          <reference field="0" count="1" selected="0">
            <x v="429"/>
          </reference>
          <reference field="2" count="1">
            <x v="4"/>
          </reference>
        </references>
      </pivotArea>
    </format>
    <format dxfId="1800">
      <pivotArea dataOnly="0" labelOnly="1" outline="0" fieldPosition="0">
        <references count="2">
          <reference field="0" count="1" selected="0">
            <x v="120"/>
          </reference>
          <reference field="2" count="1">
            <x v="3"/>
          </reference>
        </references>
      </pivotArea>
    </format>
    <format dxfId="1799">
      <pivotArea dataOnly="0" labelOnly="1" outline="0" fieldPosition="0">
        <references count="2">
          <reference field="0" count="1" selected="0">
            <x v="954"/>
          </reference>
          <reference field="2" count="1">
            <x v="5"/>
          </reference>
        </references>
      </pivotArea>
    </format>
    <format dxfId="1798">
      <pivotArea dataOnly="0" labelOnly="1" outline="0" fieldPosition="0">
        <references count="2">
          <reference field="0" count="1" selected="0">
            <x v="838"/>
          </reference>
          <reference field="2" count="1">
            <x v="9"/>
          </reference>
        </references>
      </pivotArea>
    </format>
    <format dxfId="1797">
      <pivotArea dataOnly="0" labelOnly="1" outline="0" fieldPosition="0">
        <references count="2">
          <reference field="0" count="1" selected="0">
            <x v="768"/>
          </reference>
          <reference field="2" count="1">
            <x v="6"/>
          </reference>
        </references>
      </pivotArea>
    </format>
    <format dxfId="1796">
      <pivotArea dataOnly="0" labelOnly="1" outline="0" fieldPosition="0">
        <references count="2">
          <reference field="0" count="1" selected="0">
            <x v="380"/>
          </reference>
          <reference field="2" count="1">
            <x v="3"/>
          </reference>
        </references>
      </pivotArea>
    </format>
    <format dxfId="1795">
      <pivotArea dataOnly="0" labelOnly="1" outline="0" fieldPosition="0">
        <references count="2">
          <reference field="0" count="1" selected="0">
            <x v="175"/>
          </reference>
          <reference field="2" count="1">
            <x v="6"/>
          </reference>
        </references>
      </pivotArea>
    </format>
    <format dxfId="1794">
      <pivotArea dataOnly="0" labelOnly="1" outline="0" fieldPosition="0">
        <references count="2">
          <reference field="0" count="1" selected="0">
            <x v="515"/>
          </reference>
          <reference field="2" count="1">
            <x v="12"/>
          </reference>
        </references>
      </pivotArea>
    </format>
    <format dxfId="1793">
      <pivotArea dataOnly="0" labelOnly="1" outline="0" fieldPosition="0">
        <references count="2">
          <reference field="0" count="1" selected="0">
            <x v="582"/>
          </reference>
          <reference field="2" count="1">
            <x v="5"/>
          </reference>
        </references>
      </pivotArea>
    </format>
    <format dxfId="1792">
      <pivotArea dataOnly="0" labelOnly="1" outline="0" fieldPosition="0">
        <references count="2">
          <reference field="0" count="1" selected="0">
            <x v="206"/>
          </reference>
          <reference field="2" count="1">
            <x v="12"/>
          </reference>
        </references>
      </pivotArea>
    </format>
    <format dxfId="1791">
      <pivotArea dataOnly="0" labelOnly="1" outline="0" fieldPosition="0">
        <references count="2">
          <reference field="0" count="1" selected="0">
            <x v="154"/>
          </reference>
          <reference field="2" count="1">
            <x v="10"/>
          </reference>
        </references>
      </pivotArea>
    </format>
    <format dxfId="1790">
      <pivotArea dataOnly="0" labelOnly="1" outline="0" fieldPosition="0">
        <references count="2">
          <reference field="0" count="1" selected="0">
            <x v="12"/>
          </reference>
          <reference field="2" count="1">
            <x v="12"/>
          </reference>
        </references>
      </pivotArea>
    </format>
    <format dxfId="1789">
      <pivotArea dataOnly="0" labelOnly="1" outline="0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1788">
      <pivotArea dataOnly="0" labelOnly="1" outline="0" fieldPosition="0">
        <references count="2">
          <reference field="0" count="1" selected="0">
            <x v="163"/>
          </reference>
          <reference field="2" count="1">
            <x v="11"/>
          </reference>
        </references>
      </pivotArea>
    </format>
    <format dxfId="1787">
      <pivotArea dataOnly="0" labelOnly="1" outline="0" fieldPosition="0">
        <references count="2">
          <reference field="0" count="1" selected="0">
            <x v="645"/>
          </reference>
          <reference field="2" count="1">
            <x v="5"/>
          </reference>
        </references>
      </pivotArea>
    </format>
    <format dxfId="1786">
      <pivotArea dataOnly="0" labelOnly="1" outline="0" fieldPosition="0">
        <references count="2">
          <reference field="0" count="1" selected="0">
            <x v="535"/>
          </reference>
          <reference field="2" count="1">
            <x v="7"/>
          </reference>
        </references>
      </pivotArea>
    </format>
    <format dxfId="1785">
      <pivotArea dataOnly="0" labelOnly="1" outline="0" fieldPosition="0">
        <references count="2">
          <reference field="0" count="1" selected="0">
            <x v="994"/>
          </reference>
          <reference field="2" count="1">
            <x v="12"/>
          </reference>
        </references>
      </pivotArea>
    </format>
    <format dxfId="1784">
      <pivotArea dataOnly="0" labelOnly="1" outline="0" fieldPosition="0">
        <references count="2">
          <reference field="0" count="1" selected="0">
            <x v="21"/>
          </reference>
          <reference field="2" count="1">
            <x v="10"/>
          </reference>
        </references>
      </pivotArea>
    </format>
    <format dxfId="1783">
      <pivotArea dataOnly="0" labelOnly="1" outline="0" fieldPosition="0">
        <references count="2">
          <reference field="0" count="1" selected="0">
            <x v="715"/>
          </reference>
          <reference field="2" count="1">
            <x v="12"/>
          </reference>
        </references>
      </pivotArea>
    </format>
    <format dxfId="1782">
      <pivotArea dataOnly="0" labelOnly="1" outline="0" fieldPosition="0">
        <references count="2">
          <reference field="0" count="1" selected="0">
            <x v="631"/>
          </reference>
          <reference field="2" count="1">
            <x v="9"/>
          </reference>
        </references>
      </pivotArea>
    </format>
    <format dxfId="1781">
      <pivotArea dataOnly="0" labelOnly="1" outline="0" fieldPosition="0">
        <references count="2">
          <reference field="0" count="1" selected="0">
            <x v="691"/>
          </reference>
          <reference field="2" count="1">
            <x v="11"/>
          </reference>
        </references>
      </pivotArea>
    </format>
    <format dxfId="1780">
      <pivotArea dataOnly="0" labelOnly="1" outline="0" fieldPosition="0">
        <references count="2">
          <reference field="0" count="1" selected="0">
            <x v="374"/>
          </reference>
          <reference field="2" count="1">
            <x v="8"/>
          </reference>
        </references>
      </pivotArea>
    </format>
    <format dxfId="1779">
      <pivotArea dataOnly="0" labelOnly="1" outline="0" fieldPosition="0">
        <references count="2">
          <reference field="0" count="1" selected="0">
            <x v="391"/>
          </reference>
          <reference field="2" count="1">
            <x v="10"/>
          </reference>
        </references>
      </pivotArea>
    </format>
    <format dxfId="1778">
      <pivotArea dataOnly="0" labelOnly="1" outline="0" fieldPosition="0">
        <references count="2">
          <reference field="0" count="1" selected="0">
            <x v="341"/>
          </reference>
          <reference field="2" count="1">
            <x v="1"/>
          </reference>
        </references>
      </pivotArea>
    </format>
    <format dxfId="1777">
      <pivotArea dataOnly="0" labelOnly="1" outline="0" fieldPosition="0">
        <references count="2">
          <reference field="0" count="1" selected="0">
            <x v="173"/>
          </reference>
          <reference field="2" count="1">
            <x v="4"/>
          </reference>
        </references>
      </pivotArea>
    </format>
    <format dxfId="1776">
      <pivotArea dataOnly="0" labelOnly="1" outline="0" fieldPosition="0">
        <references count="2">
          <reference field="0" count="1" selected="0">
            <x v="706"/>
          </reference>
          <reference field="2" count="1">
            <x v="3"/>
          </reference>
        </references>
      </pivotArea>
    </format>
    <format dxfId="1775">
      <pivotArea dataOnly="0" labelOnly="1" outline="0" fieldPosition="0">
        <references count="2">
          <reference field="0" count="1" selected="0">
            <x v="889"/>
          </reference>
          <reference field="2" count="1">
            <x v="6"/>
          </reference>
        </references>
      </pivotArea>
    </format>
    <format dxfId="1774">
      <pivotArea dataOnly="0" labelOnly="1" outline="0" fieldPosition="0">
        <references count="2">
          <reference field="0" count="1" selected="0">
            <x v="860"/>
          </reference>
          <reference field="2" count="1">
            <x v="12"/>
          </reference>
        </references>
      </pivotArea>
    </format>
    <format dxfId="1773">
      <pivotArea dataOnly="0" labelOnly="1" outline="0" fieldPosition="0">
        <references count="2">
          <reference field="0" count="1" selected="0">
            <x v="129"/>
          </reference>
          <reference field="2" count="1">
            <x v="1"/>
          </reference>
        </references>
      </pivotArea>
    </format>
    <format dxfId="1772">
      <pivotArea dataOnly="0" labelOnly="1" outline="0" fieldPosition="0">
        <references count="2">
          <reference field="0" count="1" selected="0">
            <x v="704"/>
          </reference>
          <reference field="2" count="1">
            <x v="3"/>
          </reference>
        </references>
      </pivotArea>
    </format>
    <format dxfId="1771">
      <pivotArea dataOnly="0" labelOnly="1" outline="0" fieldPosition="0">
        <references count="2">
          <reference field="0" count="1" selected="0">
            <x v="239"/>
          </reference>
          <reference field="2" count="1">
            <x v="8"/>
          </reference>
        </references>
      </pivotArea>
    </format>
    <format dxfId="1770">
      <pivotArea dataOnly="0" labelOnly="1" outline="0" fieldPosition="0">
        <references count="2">
          <reference field="0" count="1" selected="0">
            <x v="613"/>
          </reference>
          <reference field="2" count="1">
            <x v="2"/>
          </reference>
        </references>
      </pivotArea>
    </format>
    <format dxfId="1769">
      <pivotArea dataOnly="0" labelOnly="1" outline="0" fieldPosition="0">
        <references count="2">
          <reference field="0" count="1" selected="0">
            <x v="605"/>
          </reference>
          <reference field="2" count="1">
            <x v="0"/>
          </reference>
        </references>
      </pivotArea>
    </format>
    <format dxfId="1768">
      <pivotArea dataOnly="0" labelOnly="1" outline="0" fieldPosition="0">
        <references count="2">
          <reference field="0" count="1" selected="0">
            <x v="615"/>
          </reference>
          <reference field="2" count="1">
            <x v="10"/>
          </reference>
        </references>
      </pivotArea>
    </format>
    <format dxfId="1767">
      <pivotArea dataOnly="0" labelOnly="1" outline="0" fieldPosition="0">
        <references count="2">
          <reference field="0" count="1" selected="0">
            <x v="453"/>
          </reference>
          <reference field="2" count="1">
            <x v="7"/>
          </reference>
        </references>
      </pivotArea>
    </format>
    <format dxfId="1766">
      <pivotArea dataOnly="0" labelOnly="1" outline="0" fieldPosition="0">
        <references count="2">
          <reference field="0" count="1" selected="0">
            <x v="694"/>
          </reference>
          <reference field="2" count="1">
            <x v="8"/>
          </reference>
        </references>
      </pivotArea>
    </format>
    <format dxfId="1765">
      <pivotArea dataOnly="0" labelOnly="1" outline="0" fieldPosition="0">
        <references count="2">
          <reference field="0" count="1" selected="0">
            <x v="578"/>
          </reference>
          <reference field="2" count="1">
            <x v="3"/>
          </reference>
        </references>
      </pivotArea>
    </format>
    <format dxfId="1764">
      <pivotArea dataOnly="0" labelOnly="1" outline="0" fieldPosition="0">
        <references count="2">
          <reference field="0" count="1" selected="0">
            <x v="648"/>
          </reference>
          <reference field="2" count="1">
            <x v="4"/>
          </reference>
        </references>
      </pivotArea>
    </format>
    <format dxfId="1763">
      <pivotArea dataOnly="0" labelOnly="1" outline="0" fieldPosition="0">
        <references count="2">
          <reference field="0" count="1" selected="0">
            <x v="977"/>
          </reference>
          <reference field="2" count="1">
            <x v="9"/>
          </reference>
        </references>
      </pivotArea>
    </format>
    <format dxfId="1762">
      <pivotArea dataOnly="0" labelOnly="1" outline="0" fieldPosition="0">
        <references count="2">
          <reference field="0" count="1" selected="0">
            <x v="723"/>
          </reference>
          <reference field="2" count="1">
            <x v="6"/>
          </reference>
        </references>
      </pivotArea>
    </format>
    <format dxfId="1761">
      <pivotArea dataOnly="0" labelOnly="1" outline="0" fieldPosition="0">
        <references count="2">
          <reference field="0" count="1" selected="0">
            <x v="264"/>
          </reference>
          <reference field="2" count="1">
            <x v="3"/>
          </reference>
        </references>
      </pivotArea>
    </format>
    <format dxfId="1760">
      <pivotArea dataOnly="0" labelOnly="1" outline="0" fieldPosition="0">
        <references count="2">
          <reference field="0" count="1" selected="0">
            <x v="393"/>
          </reference>
          <reference field="2" count="1">
            <x v="8"/>
          </reference>
        </references>
      </pivotArea>
    </format>
    <format dxfId="1759">
      <pivotArea dataOnly="0" labelOnly="1" outline="0" fieldPosition="0">
        <references count="2">
          <reference field="0" count="1" selected="0">
            <x v="593"/>
          </reference>
          <reference field="2" count="1">
            <x v="0"/>
          </reference>
        </references>
      </pivotArea>
    </format>
    <format dxfId="1758">
      <pivotArea dataOnly="0" labelOnly="1" outline="0" fieldPosition="0">
        <references count="2">
          <reference field="0" count="1" selected="0">
            <x v="133"/>
          </reference>
          <reference field="2" count="1">
            <x v="6"/>
          </reference>
        </references>
      </pivotArea>
    </format>
    <format dxfId="1757">
      <pivotArea dataOnly="0" labelOnly="1" outline="0" fieldPosition="0">
        <references count="2">
          <reference field="0" count="1" selected="0">
            <x v="782"/>
          </reference>
          <reference field="2" count="1">
            <x v="9"/>
          </reference>
        </references>
      </pivotArea>
    </format>
    <format dxfId="1756">
      <pivotArea dataOnly="0" labelOnly="1" outline="0" fieldPosition="0">
        <references count="2">
          <reference field="0" count="1" selected="0">
            <x v="395"/>
          </reference>
          <reference field="2" count="1">
            <x v="5"/>
          </reference>
        </references>
      </pivotArea>
    </format>
    <format dxfId="1755">
      <pivotArea dataOnly="0" labelOnly="1" outline="0" fieldPosition="0">
        <references count="2">
          <reference field="0" count="1" selected="0">
            <x v="757"/>
          </reference>
          <reference field="2" count="1">
            <x v="3"/>
          </reference>
        </references>
      </pivotArea>
    </format>
    <format dxfId="1754">
      <pivotArea dataOnly="0" labelOnly="1" outline="0" fieldPosition="0">
        <references count="2">
          <reference field="0" count="1" selected="0">
            <x v="16"/>
          </reference>
          <reference field="2" count="1">
            <x v="1"/>
          </reference>
        </references>
      </pivotArea>
    </format>
    <format dxfId="1753">
      <pivotArea dataOnly="0" labelOnly="1" outline="0" fieldPosition="0">
        <references count="2">
          <reference field="0" count="1" selected="0">
            <x v="302"/>
          </reference>
          <reference field="2" count="1">
            <x v="10"/>
          </reference>
        </references>
      </pivotArea>
    </format>
    <format dxfId="1752">
      <pivotArea dataOnly="0" labelOnly="1" outline="0" fieldPosition="0">
        <references count="2">
          <reference field="0" count="1" selected="0">
            <x v="261"/>
          </reference>
          <reference field="2" count="1">
            <x v="0"/>
          </reference>
        </references>
      </pivotArea>
    </format>
    <format dxfId="1751">
      <pivotArea dataOnly="0" labelOnly="1" outline="0" fieldPosition="0">
        <references count="2">
          <reference field="0" count="1" selected="0">
            <x v="232"/>
          </reference>
          <reference field="2" count="1">
            <x v="1"/>
          </reference>
        </references>
      </pivotArea>
    </format>
    <format dxfId="1750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1749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748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9"/>
          </reference>
          <reference field="3" count="1">
            <x v="9"/>
          </reference>
        </references>
      </pivotArea>
    </format>
    <format dxfId="1747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5"/>
          </reference>
          <reference field="3" count="1">
            <x v="6"/>
          </reference>
        </references>
      </pivotArea>
    </format>
    <format dxfId="1746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1745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2"/>
          </reference>
          <reference field="3" count="1">
            <x v="0"/>
          </reference>
        </references>
      </pivotArea>
    </format>
    <format dxfId="1744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1743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1742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4"/>
          </reference>
          <reference field="3" count="1">
            <x v="9"/>
          </reference>
        </references>
      </pivotArea>
    </format>
    <format dxfId="1741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2"/>
          </reference>
          <reference field="3" count="1">
            <x v="11"/>
          </reference>
        </references>
      </pivotArea>
    </format>
    <format dxfId="1740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1739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1738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1737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1736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1735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1734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12"/>
          </reference>
          <reference field="3" count="1">
            <x v="14"/>
          </reference>
        </references>
      </pivotArea>
    </format>
    <format dxfId="1733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1732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1731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9"/>
          </reference>
          <reference field="3" count="1">
            <x v="14"/>
          </reference>
        </references>
      </pivotArea>
    </format>
    <format dxfId="1730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1729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9"/>
          </reference>
          <reference field="3" count="1">
            <x v="13"/>
          </reference>
        </references>
      </pivotArea>
    </format>
    <format dxfId="1728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10"/>
          </reference>
          <reference field="3" count="1">
            <x v="10"/>
          </reference>
        </references>
      </pivotArea>
    </format>
    <format dxfId="1727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1726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11"/>
          </reference>
          <reference field="3" count="1">
            <x v="13"/>
          </reference>
        </references>
      </pivotArea>
    </format>
    <format dxfId="1725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724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8"/>
          </reference>
          <reference field="3" count="1">
            <x v="7"/>
          </reference>
        </references>
      </pivotArea>
    </format>
    <format dxfId="1723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1722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4"/>
          </reference>
          <reference field="3" count="1">
            <x v="1"/>
          </reference>
        </references>
      </pivotArea>
    </format>
    <format dxfId="1721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1720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11"/>
          </reference>
          <reference field="3" count="1">
            <x v="11"/>
          </reference>
        </references>
      </pivotArea>
    </format>
    <format dxfId="1719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718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717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7"/>
          </reference>
          <reference field="3" count="1">
            <x v="10"/>
          </reference>
        </references>
      </pivotArea>
    </format>
    <format dxfId="1716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8"/>
          </reference>
          <reference field="3" count="1">
            <x v="6"/>
          </reference>
        </references>
      </pivotArea>
    </format>
    <format dxfId="1715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6"/>
          </reference>
          <reference field="3" count="1">
            <x v="4"/>
          </reference>
        </references>
      </pivotArea>
    </format>
    <format dxfId="1714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1713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1712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"/>
          </reference>
          <reference field="3" count="1">
            <x v="10"/>
          </reference>
        </references>
      </pivotArea>
    </format>
    <format dxfId="1711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1710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9"/>
          </reference>
          <reference field="3" count="1">
            <x v="12"/>
          </reference>
        </references>
      </pivotArea>
    </format>
    <format dxfId="1709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1708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1707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5"/>
          </reference>
          <reference field="3" count="1">
            <x v="15"/>
          </reference>
        </references>
      </pivotArea>
    </format>
    <format dxfId="1706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1705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8"/>
          </reference>
          <reference field="3" count="1">
            <x v="8"/>
          </reference>
        </references>
      </pivotArea>
    </format>
    <format dxfId="1704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703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1702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10"/>
          </reference>
          <reference field="3" count="1">
            <x v="6"/>
          </reference>
        </references>
      </pivotArea>
    </format>
    <format dxfId="1701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2"/>
          </reference>
        </references>
      </pivotArea>
    </format>
    <format dxfId="1700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699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1698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1697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96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4"/>
          </reference>
          <reference field="3" count="1">
            <x v="11"/>
          </reference>
        </references>
      </pivotArea>
    </format>
    <format dxfId="1695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9"/>
          </reference>
          <reference field="3" count="1">
            <x v="4"/>
          </reference>
        </references>
      </pivotArea>
    </format>
    <format dxfId="1694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12"/>
          </reference>
          <reference field="3" count="1">
            <x v="2"/>
          </reference>
        </references>
      </pivotArea>
    </format>
    <format dxfId="1693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1692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691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1690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1689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2"/>
          </reference>
          <reference field="3" count="1">
            <x v="10"/>
          </reference>
        </references>
      </pivotArea>
    </format>
    <format dxfId="1688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1687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86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1685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1684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1683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1682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1681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12"/>
          </reference>
          <reference field="3" count="1">
            <x v="0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12"/>
          </reference>
          <reference field="3" count="1">
            <x v="4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2"/>
          </reference>
          <reference field="3" count="1">
            <x v="14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10"/>
          </reference>
          <reference field="3" count="1">
            <x v="13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3"/>
          </reference>
          <reference field="3" count="1">
            <x v="4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8"/>
          </reference>
          <reference field="3" count="1">
            <x v="4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7"/>
          </reference>
          <reference field="3" count="1">
            <x v="12"/>
          </reference>
        </references>
      </pivotArea>
    </format>
    <format dxfId="1667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1666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11"/>
          </reference>
          <reference field="3" count="1">
            <x v="12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659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2"/>
          </reference>
          <reference field="3" count="1">
            <x v="12"/>
          </reference>
        </references>
      </pivotArea>
    </format>
    <format dxfId="1658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1657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1656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655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1654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2"/>
          </reference>
          <reference field="3" count="1">
            <x v="9"/>
          </reference>
        </references>
      </pivotArea>
    </format>
    <format dxfId="1653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1652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1651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1650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7"/>
          </reference>
          <reference field="3" count="1">
            <x v="9"/>
          </reference>
        </references>
      </pivotArea>
    </format>
    <format dxfId="1649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1648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1647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1646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1645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11"/>
          </reference>
          <reference field="3" count="1">
            <x v="10"/>
          </reference>
        </references>
      </pivotArea>
    </format>
    <format dxfId="1644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4"/>
          </reference>
          <reference field="3" count="1">
            <x v="2"/>
          </reference>
        </references>
      </pivotArea>
    </format>
    <format dxfId="1643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4"/>
          </reference>
          <reference field="3" count="1">
            <x v="12"/>
          </reference>
        </references>
      </pivotArea>
    </format>
    <format dxfId="1642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1641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3"/>
          </reference>
          <reference field="3" count="1">
            <x v="10"/>
          </reference>
        </references>
      </pivotArea>
    </format>
    <format dxfId="1640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1639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1638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1637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1636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1635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0"/>
          </reference>
          <reference field="3" count="1">
            <x v="4"/>
          </reference>
        </references>
      </pivotArea>
    </format>
    <format dxfId="1634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1633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1632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631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4"/>
          </reference>
          <reference field="3" count="1">
            <x v="14"/>
          </reference>
        </references>
      </pivotArea>
    </format>
    <format dxfId="1630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1629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1628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1627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6"/>
          </reference>
          <reference field="3" count="1">
            <x v="10"/>
          </reference>
        </references>
      </pivotArea>
    </format>
    <format dxfId="1626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1625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1624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1623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5"/>
          </reference>
          <reference field="3" count="1">
            <x v="12"/>
          </reference>
        </references>
      </pivotArea>
    </format>
    <format dxfId="1622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1621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620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1619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1618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11"/>
          </reference>
          <reference field="3" count="1">
            <x v="1"/>
          </reference>
        </references>
      </pivotArea>
    </format>
    <format dxfId="1617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616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7"/>
          </reference>
          <reference field="3" count="1">
            <x v="6"/>
          </reference>
        </references>
      </pivotArea>
    </format>
    <format dxfId="1615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1614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12"/>
          </reference>
          <reference field="3" count="1">
            <x v="13"/>
          </reference>
        </references>
      </pivotArea>
    </format>
    <format dxfId="1613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612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1611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1610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1609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1"/>
          </reference>
          <reference field="3" count="1">
            <x v="3"/>
          </reference>
        </references>
      </pivotArea>
    </format>
    <format dxfId="1608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1607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606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605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1604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1603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2"/>
          </reference>
          <reference field="3" count="1">
            <x v="5"/>
          </reference>
        </references>
      </pivotArea>
    </format>
    <format dxfId="1602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1"/>
          </reference>
          <reference field="3" count="1">
            <x v="13"/>
          </reference>
        </references>
      </pivotArea>
    </format>
    <format dxfId="1601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1600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8"/>
          </reference>
          <reference field="3" count="1">
            <x v="14"/>
          </reference>
        </references>
      </pivotArea>
    </format>
    <format dxfId="1599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2"/>
          </reference>
          <reference field="3" count="1">
            <x v="15"/>
          </reference>
        </references>
      </pivotArea>
    </format>
    <format dxfId="1598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1597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1596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595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8"/>
          </reference>
          <reference field="3" count="1">
            <x v="12"/>
          </reference>
        </references>
      </pivotArea>
    </format>
    <format dxfId="1594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1593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1592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591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9"/>
          </reference>
          <reference field="3" count="1">
            <x v="10"/>
          </reference>
        </references>
      </pivotArea>
    </format>
    <format dxfId="1590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1589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1588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8"/>
          </reference>
          <reference field="3" count="1">
            <x v="13"/>
          </reference>
        </references>
      </pivotArea>
    </format>
    <format dxfId="1587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1586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1585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9"/>
          </reference>
          <reference field="3" count="1">
            <x v="1"/>
          </reference>
        </references>
      </pivotArea>
    </format>
    <format dxfId="1584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3"/>
          </reference>
          <reference field="3" count="1">
            <x v="12"/>
          </reference>
        </references>
      </pivotArea>
    </format>
    <format dxfId="1583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1582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10"/>
          </reference>
          <reference field="3" count="1">
            <x v="0"/>
          </reference>
        </references>
      </pivotArea>
    </format>
    <format dxfId="1581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580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57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1578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1577">
      <pivotArea dataOnly="0" labelOnly="1" outline="0" fieldPosition="0">
        <references count="4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1576">
      <pivotArea dataOnly="0" labelOnly="1" outline="0" fieldPosition="0">
        <references count="4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1575">
      <pivotArea dataOnly="0" labelOnly="1" outline="0" fieldPosition="0">
        <references count="4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1574">
      <pivotArea dataOnly="0" labelOnly="1" outline="0" fieldPosition="0">
        <references count="4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8" count="1">
            <x v="2"/>
          </reference>
        </references>
      </pivotArea>
    </format>
    <format dxfId="1573">
      <pivotArea dataOnly="0" labelOnly="1" outline="0" fieldPosition="0">
        <references count="4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1572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157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1570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1569">
      <pivotArea dataOnly="0" labelOnly="1" outline="0" fieldPosition="0">
        <references count="4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8" count="1">
            <x v="1"/>
          </reference>
        </references>
      </pivotArea>
    </format>
    <format dxfId="1568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1567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1566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1565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1564">
      <pivotArea dataOnly="0" labelOnly="1" outline="0" fieldPosition="0">
        <references count="4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1563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1562">
      <pivotArea dataOnly="0" labelOnly="1" outline="0" fieldPosition="0">
        <references count="4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1561">
      <pivotArea dataOnly="0" labelOnly="1" outline="0" fieldPosition="0">
        <references count="4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1560">
      <pivotArea dataOnly="0" labelOnly="1" outline="0" fieldPosition="0">
        <references count="4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559">
      <pivotArea dataOnly="0" labelOnly="1" outline="0" fieldPosition="0">
        <references count="4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1"/>
          </reference>
        </references>
      </pivotArea>
    </format>
    <format dxfId="155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1557">
      <pivotArea dataOnly="0" labelOnly="1" outline="0" fieldPosition="0">
        <references count="4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1556">
      <pivotArea dataOnly="0" labelOnly="1" outline="0" fieldPosition="0">
        <references count="4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1555">
      <pivotArea dataOnly="0" labelOnly="1" outline="0" fieldPosition="0">
        <references count="4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1554">
      <pivotArea dataOnly="0" labelOnly="1" outline="0" fieldPosition="0">
        <references count="4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553">
      <pivotArea dataOnly="0" labelOnly="1" outline="0" fieldPosition="0">
        <references count="4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1552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1551">
      <pivotArea dataOnly="0" labelOnly="1" outline="0" fieldPosition="0">
        <references count="4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1550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49">
      <pivotArea dataOnly="0" labelOnly="1" outline="0" fieldPosition="0">
        <references count="4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8" count="1">
            <x v="1"/>
          </reference>
        </references>
      </pivotArea>
    </format>
    <format dxfId="1548">
      <pivotArea dataOnly="0" labelOnly="1" outline="0" fieldPosition="0">
        <references count="4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547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1546">
      <pivotArea dataOnly="0" labelOnly="1" outline="0" fieldPosition="0">
        <references count="4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54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1544">
      <pivotArea dataOnly="0" labelOnly="1" outline="0" fieldPosition="0">
        <references count="4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8" count="1">
            <x v="2"/>
          </reference>
        </references>
      </pivotArea>
    </format>
    <format dxfId="1543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1542">
      <pivotArea dataOnly="0" labelOnly="1" outline="0" fieldPosition="0">
        <references count="4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541">
      <pivotArea dataOnly="0" labelOnly="1" outline="0" fieldPosition="0">
        <references count="4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1540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539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1538">
      <pivotArea dataOnly="0" labelOnly="1" outline="0" fieldPosition="0">
        <references count="4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37">
      <pivotArea dataOnly="0" labelOnly="1" outline="0" fieldPosition="0">
        <references count="4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1536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1535">
      <pivotArea dataOnly="0" labelOnly="1" outline="0" fieldPosition="0">
        <references count="4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1534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533">
      <pivotArea dataOnly="0" labelOnly="1" outline="0" fieldPosition="0">
        <references count="4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1532">
      <pivotArea dataOnly="0" labelOnly="1" outline="0" fieldPosition="0">
        <references count="4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1531">
      <pivotArea dataOnly="0" labelOnly="1" outline="0" fieldPosition="0">
        <references count="4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1530">
      <pivotArea dataOnly="0" labelOnly="1" outline="0" fieldPosition="0">
        <references count="4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1529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1528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1527">
      <pivotArea dataOnly="0" labelOnly="1" outline="0" fieldPosition="0">
        <references count="4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1526">
      <pivotArea dataOnly="0" labelOnly="1" outline="0" fieldPosition="0">
        <references count="4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25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1524">
      <pivotArea dataOnly="0" labelOnly="1" outline="0" fieldPosition="0">
        <references count="4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523">
      <pivotArea dataOnly="0" labelOnly="1" outline="0" fieldPosition="0">
        <references count="4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152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521">
      <pivotArea dataOnly="0" labelOnly="1" outline="0" fieldPosition="0">
        <references count="4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1520">
      <pivotArea dataOnly="0" labelOnly="1" outline="0" fieldPosition="0">
        <references count="4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519">
      <pivotArea dataOnly="0" labelOnly="1" outline="0" fieldPosition="0">
        <references count="4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1518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1517">
      <pivotArea dataOnly="0" labelOnly="1" outline="0" fieldPosition="0">
        <references count="4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151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8" count="1">
            <x v="2"/>
          </reference>
        </references>
      </pivotArea>
    </format>
    <format dxfId="1515">
      <pivotArea dataOnly="0" labelOnly="1" outline="0" fieldPosition="0">
        <references count="4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1514">
      <pivotArea dataOnly="0" labelOnly="1" outline="0" fieldPosition="0">
        <references count="4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1513">
      <pivotArea dataOnly="0" labelOnly="1" outline="0" fieldPosition="0">
        <references count="4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1512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1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1510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09">
      <pivotArea dataOnly="0" labelOnly="1" outline="0" fieldPosition="0">
        <references count="4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1508">
      <pivotArea dataOnly="0" labelOnly="1" outline="0" fieldPosition="0">
        <references count="4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1507">
      <pivotArea dataOnly="0" labelOnly="1" outline="0" fieldPosition="0">
        <references count="4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1506">
      <pivotArea dataOnly="0" labelOnly="1" outline="0" fieldPosition="0">
        <references count="4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1505">
      <pivotArea dataOnly="0" labelOnly="1" outline="0" fieldPosition="0">
        <references count="4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1504">
      <pivotArea dataOnly="0" labelOnly="1" outline="0" fieldPosition="0">
        <references count="4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1503">
      <pivotArea dataOnly="0" labelOnly="1" outline="0" fieldPosition="0">
        <references count="4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150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1501">
      <pivotArea dataOnly="0" labelOnly="1" outline="0" fieldPosition="0">
        <references count="4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1500">
      <pivotArea dataOnly="0" labelOnly="1" outline="0" fieldPosition="0">
        <references count="4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1499">
      <pivotArea dataOnly="0" labelOnly="1" outline="0" fieldPosition="0">
        <references count="4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1498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497">
      <pivotArea dataOnly="0" labelOnly="1" outline="0" fieldPosition="0">
        <references count="4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1496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1495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935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88"/>
          </reference>
          <reference field="8" count="1" selected="0">
            <x v="1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7" count="1">
            <x v="63"/>
          </reference>
          <reference field="8" count="1" selected="0">
            <x v="2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7" count="1">
            <x v="386"/>
          </reference>
          <reference field="8" count="1" selected="0">
            <x v="1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875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166"/>
          </reference>
          <reference field="8" count="1" selected="0">
            <x v="1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7" count="1">
            <x v="403"/>
          </reference>
          <reference field="8" count="1" selected="0">
            <x v="2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514"/>
          </reference>
          <reference field="8" count="1" selected="0">
            <x v="1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458"/>
          </reference>
          <reference field="8" count="1" selected="0">
            <x v="2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7" count="1">
            <x v="41"/>
          </reference>
          <reference field="8" count="1" selected="0">
            <x v="1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288"/>
          </reference>
          <reference field="2" count="1" selected="0">
            <x v="2"/>
          </reference>
          <reference field="3" count="1" selected="0">
            <x v="11"/>
          </reference>
          <reference field="7" count="1">
            <x v="467"/>
          </reference>
          <reference field="8" count="1" selected="0">
            <x v="1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313"/>
          </reference>
          <reference field="8" count="1" selected="0">
            <x v="1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439"/>
          </reference>
          <reference field="8" count="1" selected="0">
            <x v="2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756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39"/>
          </reference>
          <reference field="8" count="1" selected="0">
            <x v="1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321"/>
          </reference>
          <reference field="2" count="1" selected="0">
            <x v="1"/>
          </reference>
          <reference field="3" count="1" selected="0">
            <x v="1"/>
          </reference>
          <reference field="7" count="1">
            <x v="262"/>
          </reference>
          <reference field="8" count="1" selected="0">
            <x v="1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424"/>
          </reference>
          <reference field="2" count="1" selected="0">
            <x v="12"/>
          </reference>
          <reference field="3" count="1" selected="0">
            <x v="14"/>
          </reference>
          <reference field="7" count="1">
            <x v="88"/>
          </reference>
          <reference field="8" count="1" selected="0">
            <x v="1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63"/>
          </reference>
          <reference field="8" count="1" selected="0">
            <x v="2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160"/>
          </reference>
          <reference field="8" count="1" selected="0">
            <x v="2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7" count="1">
            <x v="257"/>
          </reference>
          <reference field="8" count="1" selected="0">
            <x v="1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824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01"/>
          </reference>
          <reference field="8" count="1" selected="0">
            <x v="1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442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0"/>
          </reference>
          <reference field="3" count="1" selected="0">
            <x v="10"/>
          </reference>
          <reference field="7" count="1">
            <x v="173"/>
          </reference>
          <reference field="8" count="1" selected="0">
            <x v="1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28"/>
          </reference>
          <reference field="8" count="1" selected="0">
            <x v="2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1"/>
          </reference>
          <reference field="3" count="1" selected="0">
            <x v="13"/>
          </reference>
          <reference field="7" count="1">
            <x v="224"/>
          </reference>
          <reference field="8" count="1" selected="0">
            <x v="2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7" count="1">
            <x v="171"/>
          </reference>
          <reference field="8" count="1" selected="0">
            <x v="2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191"/>
          </reference>
          <reference field="8" count="1" selected="0">
            <x v="1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405"/>
          </reference>
          <reference field="2" count="1" selected="0">
            <x v="4"/>
          </reference>
          <reference field="3" count="1" selected="0">
            <x v="1"/>
          </reference>
          <reference field="7" count="1">
            <x v="413"/>
          </reference>
          <reference field="8" count="1" selected="0">
            <x v="1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931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87"/>
          </reference>
          <reference field="8" count="1" selected="0">
            <x v="1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7" count="1">
            <x v="500"/>
          </reference>
          <reference field="8" count="1" selected="0">
            <x v="2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298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113"/>
          </reference>
          <reference field="8" count="1" selected="0">
            <x v="1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7"/>
          </reference>
          <reference field="3" count="1" selected="0">
            <x v="10"/>
          </reference>
          <reference field="7" count="1">
            <x v="138"/>
          </reference>
          <reference field="8" count="1" selected="0">
            <x v="1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351"/>
          </reference>
          <reference field="2" count="1" selected="0">
            <x v="8"/>
          </reference>
          <reference field="3" count="1" selected="0">
            <x v="6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358"/>
          </reference>
          <reference field="2" count="1" selected="0">
            <x v="6"/>
          </reference>
          <reference field="3" count="1" selected="0">
            <x v="4"/>
          </reference>
          <reference field="7" count="1">
            <x v="132"/>
          </reference>
          <reference field="8" count="1" selected="0">
            <x v="1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741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68"/>
          </reference>
          <reference field="8" count="1" selected="0">
            <x v="1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40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451"/>
          </reference>
          <reference field="8" count="1" selected="0">
            <x v="1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865"/>
          </reference>
          <reference field="2" count="1" selected="0">
            <x v="1"/>
          </reference>
          <reference field="3" count="1" selected="0">
            <x v="10"/>
          </reference>
          <reference field="7" count="1">
            <x v="90"/>
          </reference>
          <reference field="8" count="1" selected="0">
            <x v="1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441"/>
          </reference>
          <reference field="2" count="1" selected="0">
            <x v="4"/>
          </reference>
          <reference field="3" count="1" selected="0">
            <x v="3"/>
          </reference>
          <reference field="7" count="1">
            <x v="177"/>
          </reference>
          <reference field="8" count="1" selected="0">
            <x v="1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425"/>
          </reference>
          <reference field="2" count="1" selected="0">
            <x v="9"/>
          </reference>
          <reference field="3" count="1" selected="0">
            <x v="12"/>
          </reference>
          <reference field="7" count="1">
            <x v="226"/>
          </reference>
          <reference field="8" count="1" selected="0">
            <x v="1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3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13"/>
          </reference>
          <reference field="8" count="1" selected="0">
            <x v="1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24"/>
          </reference>
          <reference field="8" count="1" selected="0">
            <x v="2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7" count="1">
            <x v="527"/>
          </reference>
          <reference field="8" count="1" selected="0">
            <x v="1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490"/>
          </reference>
          <reference field="8" count="1" selected="0">
            <x v="1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714"/>
          </reference>
          <reference field="2" count="1" selected="0">
            <x v="8"/>
          </reference>
          <reference field="3" count="1" selected="0">
            <x v="8"/>
          </reference>
          <reference field="7" count="1">
            <x v="110"/>
          </reference>
          <reference field="8" count="1" selected="0">
            <x v="1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75"/>
          </reference>
          <reference field="8" count="1" selected="0">
            <x v="1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10"/>
          </reference>
          <reference field="3" count="1" selected="0">
            <x v="6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568"/>
          </reference>
          <reference field="2" count="1" selected="0">
            <x v="10"/>
          </reference>
          <reference field="3" count="1" selected="0">
            <x v="2"/>
          </reference>
          <reference field="7" count="1">
            <x v="228"/>
          </reference>
          <reference field="8" count="1" selected="0">
            <x v="1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69"/>
          </reference>
          <reference field="8" count="1" selected="0">
            <x v="2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7" count="1">
            <x v="501"/>
          </reference>
          <reference field="8" count="1" selected="0">
            <x v="1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619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129"/>
          </reference>
          <reference field="8" count="1" selected="0">
            <x v="1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58"/>
          </reference>
          <reference field="8" count="1" selected="0">
            <x v="1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7" count="1">
            <x v="77"/>
          </reference>
          <reference field="8" count="1" selected="0">
            <x v="2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7" count="1">
            <x v="4"/>
          </reference>
          <reference field="8" count="1" selected="0">
            <x v="1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973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20"/>
          </reference>
          <reference field="8" count="1" selected="0">
            <x v="1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378"/>
          </reference>
          <reference field="8" count="1" selected="0">
            <x v="2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1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659"/>
          </reference>
          <reference field="2" count="1" selected="0">
            <x v="9"/>
          </reference>
          <reference field="3" count="1" selected="0">
            <x v="0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375"/>
          </reference>
          <reference field="8" count="1" selected="0">
            <x v="2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886"/>
          </reference>
          <reference field="2" count="1" selected="0">
            <x v="2"/>
          </reference>
          <reference field="3" count="1" selected="0">
            <x v="10"/>
          </reference>
          <reference field="7" count="1">
            <x v="55"/>
          </reference>
          <reference field="8" count="1" selected="0">
            <x v="2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751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06"/>
          </reference>
          <reference field="8" count="1" selected="0">
            <x v="2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256"/>
          </reference>
          <reference field="8" count="1" selected="0">
            <x v="1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333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16"/>
          </reference>
          <reference field="8" count="1" selected="0">
            <x v="1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7" count="1">
            <x v="533"/>
          </reference>
          <reference field="8" count="1" selected="0">
            <x v="2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540"/>
          </reference>
          <reference field="8" count="1" selected="0">
            <x v="1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618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337"/>
          </reference>
          <reference field="8" count="1" selected="0">
            <x v="1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204"/>
          </reference>
          <reference field="8" count="1" selected="0">
            <x v="2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7" count="1">
            <x v="362"/>
          </reference>
          <reference field="8" count="1" selected="0">
            <x v="1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69"/>
          </reference>
          <reference field="8" count="1" selected="0">
            <x v="2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281"/>
          </reference>
          <reference field="8" count="1" selected="0">
            <x v="1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84"/>
          </reference>
          <reference field="8" count="1" selected="0">
            <x v="2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12"/>
          </reference>
          <reference field="3" count="1" selected="0">
            <x v="0"/>
          </reference>
          <reference field="7" count="1">
            <x v="451"/>
          </reference>
          <reference field="8" count="1" selected="0">
            <x v="2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7" count="1">
            <x v="54"/>
          </reference>
          <reference field="8" count="1" selected="0">
            <x v="1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7" count="1">
            <x v="511"/>
          </reference>
          <reference field="8" count="1" selected="0">
            <x v="2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7" count="1">
            <x v="259"/>
          </reference>
          <reference field="8" count="1" selected="0">
            <x v="1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670"/>
          </reference>
          <reference field="2" count="1" selected="0">
            <x v="3"/>
          </reference>
          <reference field="3" count="1" selected="0">
            <x v="4"/>
          </reference>
          <reference field="7" count="1">
            <x v="518"/>
          </reference>
          <reference field="8" count="1" selected="0">
            <x v="1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48"/>
          </reference>
          <reference field="8" count="1" selected="0">
            <x v="2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405"/>
          </reference>
          <reference field="8" count="1" selected="0">
            <x v="1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94"/>
          </reference>
          <reference field="8" count="1" selected="0">
            <x v="2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7" count="1">
            <x v="432"/>
          </reference>
          <reference field="8" count="1" selected="0">
            <x v="1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79"/>
          </reference>
          <reference field="8" count="1" selected="0">
            <x v="1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"/>
          </reference>
          <reference field="3" count="1" selected="0">
            <x v="4"/>
          </reference>
          <reference field="7" count="1">
            <x v="378"/>
          </reference>
          <reference field="8" count="1" selected="0">
            <x v="1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381"/>
          </reference>
          <reference field="8" count="1" selected="0">
            <x v="2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587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202"/>
          </reference>
          <reference field="8" count="1" selected="0">
            <x v="2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7" count="1">
            <x v="450"/>
          </reference>
          <reference field="8" count="1" selected="0">
            <x v="1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5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295"/>
          </reference>
          <reference field="8" count="1" selected="0">
            <x v="1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9"/>
          </reference>
          <reference field="8" count="1" selected="0">
            <x v="2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854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270"/>
          </reference>
          <reference field="8" count="1" selected="0">
            <x v="2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7" count="1">
            <x v="109"/>
          </reference>
          <reference field="8" count="1" selected="0">
            <x v="1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92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644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22"/>
          </reference>
          <reference field="8" count="1" selected="0">
            <x v="1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58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320"/>
          </reference>
          <reference field="8" count="1" selected="0">
            <x v="1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709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"/>
          </reference>
          <reference field="3" count="1" selected="0">
            <x v="12"/>
          </reference>
          <reference field="7" count="1">
            <x v="164"/>
          </reference>
          <reference field="8" count="1" selected="0">
            <x v="1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961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99"/>
          </reference>
          <reference field="8" count="1" selected="0">
            <x v="1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81"/>
          </reference>
          <reference field="8" count="1" selected="0">
            <x v="2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531"/>
          </reference>
          <reference field="8" count="1" selected="0">
            <x v="1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265"/>
          </reference>
          <reference field="8" count="1" selected="0">
            <x v="2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609"/>
          </reference>
          <reference field="2" count="1" selected="0">
            <x v="2"/>
          </reference>
          <reference field="3" count="1" selected="0">
            <x v="9"/>
          </reference>
          <reference field="7" count="1">
            <x v="497"/>
          </reference>
          <reference field="8" count="1" selected="0">
            <x v="2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1"/>
          </reference>
          <reference field="8" count="1" selected="0">
            <x v="2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7" count="1">
            <x v="308"/>
          </reference>
          <reference field="8" count="1" selected="0">
            <x v="1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448"/>
          </reference>
          <reference field="8" count="1" selected="0">
            <x v="2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7" count="1">
            <x v="231"/>
          </reference>
          <reference field="8" count="1" selected="0">
            <x v="1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993"/>
          </reference>
          <reference field="2" count="1" selected="0">
            <x v="4"/>
          </reference>
          <reference field="3" count="1" selected="0">
            <x v="5"/>
          </reference>
          <reference field="7" count="1">
            <x v="288"/>
          </reference>
          <reference field="8" count="1" selected="0">
            <x v="2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630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29"/>
          </reference>
          <reference field="8" count="1" selected="0">
            <x v="2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7" count="1">
            <x v="282"/>
          </reference>
          <reference field="8" count="1" selected="0">
            <x v="1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7" count="1">
            <x v="466"/>
          </reference>
          <reference field="8" count="1" selected="0">
            <x v="2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96"/>
          </reference>
          <reference field="8" count="1" selected="0">
            <x v="1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885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397"/>
          </reference>
          <reference field="2" count="1" selected="0">
            <x v="4"/>
          </reference>
          <reference field="3" count="1" selected="0">
            <x v="12"/>
          </reference>
          <reference field="7" count="1">
            <x v="215"/>
          </reference>
          <reference field="8" count="1" selected="0">
            <x v="1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176"/>
          </reference>
          <reference field="8" count="1" selected="0">
            <x v="2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7" count="1">
            <x v="462"/>
          </reference>
          <reference field="8" count="1" selected="0">
            <x v="1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153"/>
          </reference>
          <reference field="8" count="1" selected="0">
            <x v="2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431"/>
          </reference>
          <reference field="8" count="1" selected="0">
            <x v="1"/>
          </reference>
        </references>
      </pivotArea>
    </format>
    <format dxfId="1376">
      <pivotArea dataOnly="0" labelOnly="1" outline="0" fieldPosition="0">
        <references count="5">
          <reference field="0" count="1" selected="0">
            <x v="389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1375">
      <pivotArea dataOnly="0" labelOnly="1" outline="0" fieldPosition="0">
        <references count="5">
          <reference field="0" count="1" selected="0">
            <x v="140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536"/>
          </reference>
          <reference field="8" count="1" selected="0">
            <x v="1"/>
          </reference>
        </references>
      </pivotArea>
    </format>
    <format dxfId="1374">
      <pivotArea dataOnly="0" labelOnly="1" outline="0" fieldPosition="0">
        <references count="5">
          <reference field="0" count="1" selected="0">
            <x v="711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4"/>
          </reference>
          <reference field="8" count="1" selected="0">
            <x v="1"/>
          </reference>
        </references>
      </pivotArea>
    </format>
    <format dxfId="1373">
      <pivotArea dataOnly="0" labelOnly="1" outline="0" fieldPosition="0">
        <references count="5">
          <reference field="0" count="1" selected="0">
            <x v="726"/>
          </reference>
          <reference field="2" count="1" selected="0">
            <x v="10"/>
          </reference>
          <reference field="3" count="1" selected="0">
            <x v="4"/>
          </reference>
          <reference field="7" count="1">
            <x v="327"/>
          </reference>
          <reference field="8" count="1" selected="0">
            <x v="1"/>
          </reference>
        </references>
      </pivotArea>
    </format>
    <format dxfId="1372">
      <pivotArea dataOnly="0" labelOnly="1" outline="0" fieldPosition="0">
        <references count="5">
          <reference field="0" count="1" selected="0">
            <x v="83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5"/>
          </reference>
          <reference field="8" count="1" selected="0">
            <x v="1"/>
          </reference>
        </references>
      </pivotArea>
    </format>
    <format dxfId="1371">
      <pivotArea dataOnly="0" labelOnly="1" outline="0" fieldPosition="0">
        <references count="5">
          <reference field="0" count="1" selected="0">
            <x v="689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136"/>
          </reference>
          <reference field="8" count="1" selected="0">
            <x v="1"/>
          </reference>
        </references>
      </pivotArea>
    </format>
    <format dxfId="1370">
      <pivotArea dataOnly="0" labelOnly="1" outline="0" fieldPosition="0">
        <references count="5">
          <reference field="0" count="1" selected="0">
            <x v="472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151"/>
          </reference>
          <reference field="8" count="1" selected="0">
            <x v="1"/>
          </reference>
        </references>
      </pivotArea>
    </format>
    <format dxfId="1369">
      <pivotArea dataOnly="0" labelOnly="1" outline="0" fieldPosition="0">
        <references count="5">
          <reference field="0" count="1" selected="0">
            <x v="429"/>
          </reference>
          <reference field="2" count="1" selected="0">
            <x v="4"/>
          </reference>
          <reference field="3" count="1" selected="0">
            <x v="14"/>
          </reference>
          <reference field="7" count="1">
            <x v="447"/>
          </reference>
          <reference field="8" count="1" selected="0">
            <x v="1"/>
          </reference>
        </references>
      </pivotArea>
    </format>
    <format dxfId="1368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7" count="1">
            <x v="377"/>
          </reference>
          <reference field="8" count="1" selected="0">
            <x v="2"/>
          </reference>
        </references>
      </pivotArea>
    </format>
    <format dxfId="1367">
      <pivotArea dataOnly="0" labelOnly="1" outline="0" fieldPosition="0">
        <references count="5">
          <reference field="0" count="1" selected="0">
            <x v="954"/>
          </reference>
          <reference field="2" count="1" selected="0">
            <x v="5"/>
          </reference>
          <reference field="3" count="1" selected="0">
            <x v="7"/>
          </reference>
          <reference field="7" count="1">
            <x v="389"/>
          </reference>
          <reference field="8" count="1" selected="0">
            <x v="2"/>
          </reference>
        </references>
      </pivotArea>
    </format>
    <format dxfId="1366">
      <pivotArea dataOnly="0" labelOnly="1" outline="0" fieldPosition="0">
        <references count="5">
          <reference field="0" count="1" selected="0">
            <x v="838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28"/>
          </reference>
          <reference field="8" count="1" selected="0">
            <x v="2"/>
          </reference>
        </references>
      </pivotArea>
    </format>
    <format dxfId="1365">
      <pivotArea dataOnly="0" labelOnly="1" outline="0" fieldPosition="0">
        <references count="5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7" count="1">
            <x v="95"/>
          </reference>
          <reference field="8" count="1" selected="0">
            <x v="1"/>
          </reference>
        </references>
      </pivotArea>
    </format>
    <format dxfId="1364">
      <pivotArea dataOnly="0" labelOnly="1" outline="0" fieldPosition="0">
        <references count="5">
          <reference field="0" count="1" selected="0">
            <x v="38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311"/>
          </reference>
          <reference field="8" count="1" selected="0">
            <x v="1"/>
          </reference>
        </references>
      </pivotArea>
    </format>
    <format dxfId="1363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235"/>
          </reference>
          <reference field="8" count="1" selected="0">
            <x v="1"/>
          </reference>
        </references>
      </pivotArea>
    </format>
    <format dxfId="1362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558"/>
          </reference>
          <reference field="8" count="1" selected="0">
            <x v="2"/>
          </reference>
        </references>
      </pivotArea>
    </format>
    <format dxfId="1361">
      <pivotArea dataOnly="0" labelOnly="1" outline="0" fieldPosition="0">
        <references count="5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515"/>
          </reference>
          <reference field="8" count="1" selected="0">
            <x v="1"/>
          </reference>
        </references>
      </pivotArea>
    </format>
    <format dxfId="1360">
      <pivotArea dataOnly="0" labelOnly="1" outline="0" fieldPosition="0">
        <references count="5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7" count="1">
            <x v="523"/>
          </reference>
          <reference field="8" count="1" selected="0">
            <x v="2"/>
          </reference>
        </references>
      </pivotArea>
    </format>
    <format dxfId="1359">
      <pivotArea dataOnly="0" labelOnly="1" outline="0" fieldPosition="0">
        <references count="5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1358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533"/>
          </reference>
          <reference field="8" count="1" selected="0">
            <x v="1"/>
          </reference>
        </references>
      </pivotArea>
    </format>
    <format dxfId="1357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308"/>
          </reference>
          <reference field="8" count="1" selected="0">
            <x v="2"/>
          </reference>
        </references>
      </pivotArea>
    </format>
    <format dxfId="1356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399"/>
          </reference>
          <reference field="8" count="1" selected="0">
            <x v="1"/>
          </reference>
        </references>
      </pivotArea>
    </format>
    <format dxfId="1355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2"/>
          </reference>
        </references>
      </pivotArea>
    </format>
    <format dxfId="1354">
      <pivotArea dataOnly="0" labelOnly="1" outline="0" fieldPosition="0">
        <references count="5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7" count="1">
            <x v="365"/>
          </reference>
          <reference field="8" count="1" selected="0">
            <x v="1"/>
          </reference>
        </references>
      </pivotArea>
    </format>
    <format dxfId="1353">
      <pivotArea dataOnly="0" labelOnly="1" outline="0" fieldPosition="0">
        <references count="5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7" count="1">
            <x v="319"/>
          </reference>
          <reference field="8" count="1" selected="0">
            <x v="2"/>
          </reference>
        </references>
      </pivotArea>
    </format>
    <format dxfId="1352">
      <pivotArea dataOnly="0" labelOnly="1" outline="0" fieldPosition="0">
        <references count="5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54"/>
          </reference>
          <reference field="8" count="1" selected="0">
            <x v="1"/>
          </reference>
        </references>
      </pivotArea>
    </format>
    <format dxfId="1351">
      <pivotArea dataOnly="0" labelOnly="1" outline="0" fieldPosition="0">
        <references count="5">
          <reference field="0" count="1" selected="0">
            <x v="994"/>
          </reference>
          <reference field="2" count="1" selected="0">
            <x v="12"/>
          </reference>
          <reference field="3" count="1" selected="0">
            <x v="13"/>
          </reference>
          <reference field="7" count="1">
            <x v="558"/>
          </reference>
          <reference field="8" count="1" selected="0">
            <x v="1"/>
          </reference>
        </references>
      </pivotArea>
    </format>
    <format dxfId="1350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97"/>
          </reference>
          <reference field="8" count="1" selected="0">
            <x v="1"/>
          </reference>
        </references>
      </pivotArea>
    </format>
    <format dxfId="1349">
      <pivotArea dataOnly="0" labelOnly="1" outline="0" fieldPosition="0">
        <references count="5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196"/>
          </reference>
          <reference field="8" count="1" selected="0">
            <x v="2"/>
          </reference>
        </references>
      </pivotArea>
    </format>
    <format dxfId="1348">
      <pivotArea dataOnly="0" labelOnly="1" outline="0" fieldPosition="0">
        <references count="5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491"/>
          </reference>
          <reference field="8" count="1" selected="0">
            <x v="1"/>
          </reference>
        </references>
      </pivotArea>
    </format>
    <format dxfId="1347">
      <pivotArea dataOnly="0" labelOnly="1" outline="0" fieldPosition="0">
        <references count="5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436"/>
          </reference>
          <reference field="8" count="1" selected="0">
            <x v="2"/>
          </reference>
        </references>
      </pivotArea>
    </format>
    <format dxfId="1346">
      <pivotArea dataOnly="0" labelOnly="1" outline="0" fieldPosition="0">
        <references count="5">
          <reference field="0" count="1" selected="0">
            <x v="691"/>
          </reference>
          <reference field="2" count="1" selected="0">
            <x v="11"/>
          </reference>
          <reference field="3" count="1" selected="0">
            <x v="3"/>
          </reference>
          <reference field="7" count="1">
            <x v="274"/>
          </reference>
          <reference field="8" count="1" selected="0">
            <x v="2"/>
          </reference>
        </references>
      </pivotArea>
    </format>
    <format dxfId="1345">
      <pivotArea dataOnly="0" labelOnly="1" outline="0" fieldPosition="0">
        <references count="5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351"/>
          </reference>
          <reference field="8" count="1" selected="0">
            <x v="1"/>
          </reference>
        </references>
      </pivotArea>
    </format>
    <format dxfId="1344">
      <pivotArea dataOnly="0" labelOnly="1" outline="0" fieldPosition="0">
        <references count="5">
          <reference field="0" count="1" selected="0">
            <x v="39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538"/>
          </reference>
          <reference field="8" count="1" selected="0">
            <x v="1"/>
          </reference>
        </references>
      </pivotArea>
    </format>
    <format dxfId="1343">
      <pivotArea dataOnly="0" labelOnly="1" outline="0" fieldPosition="0">
        <references count="5">
          <reference field="0" count="1" selected="0">
            <x v="341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182"/>
          </reference>
          <reference field="8" count="1" selected="0">
            <x v="1"/>
          </reference>
        </references>
      </pivotArea>
    </format>
    <format dxfId="1342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1341">
      <pivotArea dataOnly="0" labelOnly="1" outline="0" fieldPosition="0">
        <references count="5">
          <reference field="0" count="1" selected="0">
            <x v="706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106"/>
          </reference>
          <reference field="8" count="1" selected="0">
            <x v="2"/>
          </reference>
        </references>
      </pivotArea>
    </format>
    <format dxfId="1340">
      <pivotArea dataOnly="0" labelOnly="1" outline="0" fieldPosition="0">
        <references count="5">
          <reference field="0" count="1" selected="0">
            <x v="889"/>
          </reference>
          <reference field="2" count="1" selected="0">
            <x v="6"/>
          </reference>
          <reference field="3" count="1" selected="0">
            <x v="15"/>
          </reference>
          <reference field="7" count="1">
            <x v="219"/>
          </reference>
          <reference field="8" count="1" selected="0">
            <x v="2"/>
          </reference>
        </references>
      </pivotArea>
    </format>
    <format dxfId="1339">
      <pivotArea dataOnly="0" labelOnly="1" outline="0" fieldPosition="0">
        <references count="5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1338">
      <pivotArea dataOnly="0" labelOnly="1" outline="0" fieldPosition="0">
        <references count="5">
          <reference field="0" count="1" selected="0">
            <x v="955"/>
          </reference>
          <reference field="2" count="1" selected="0">
            <x v="12"/>
          </reference>
          <reference field="3" count="1" selected="0">
            <x v="5"/>
          </reference>
          <reference field="7" count="1">
            <x v="323"/>
          </reference>
          <reference field="8" count="1" selected="0">
            <x v="1"/>
          </reference>
        </references>
      </pivotArea>
    </format>
    <format dxfId="1337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1"/>
          </reference>
          <reference field="3" count="1" selected="0">
            <x v="13"/>
          </reference>
          <reference field="7" count="1">
            <x v="35"/>
          </reference>
          <reference field="8" count="1" selected="0">
            <x v="1"/>
          </reference>
        </references>
      </pivotArea>
    </format>
    <format dxfId="1336">
      <pivotArea dataOnly="0" labelOnly="1" outline="0" fieldPosition="0">
        <references count="5">
          <reference field="0" count="1" selected="0">
            <x v="704"/>
          </reference>
          <reference field="2" count="1" selected="0">
            <x v="3"/>
          </reference>
          <reference field="3" count="1" selected="0">
            <x v="0"/>
          </reference>
          <reference field="7" count="1">
            <x v="285"/>
          </reference>
          <reference field="8" count="1" selected="0">
            <x v="1"/>
          </reference>
        </references>
      </pivotArea>
    </format>
    <format dxfId="1335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8"/>
          </reference>
          <reference field="3" count="1" selected="0">
            <x v="14"/>
          </reference>
          <reference field="7" count="1">
            <x v="220"/>
          </reference>
          <reference field="8" count="1" selected="0">
            <x v="1"/>
          </reference>
        </references>
      </pivotArea>
    </format>
    <format dxfId="1334">
      <pivotArea dataOnly="0" labelOnly="1" outline="0" fieldPosition="0">
        <references count="5">
          <reference field="0" count="1" selected="0">
            <x v="613"/>
          </reference>
          <reference field="2" count="1" selected="0">
            <x v="2"/>
          </reference>
          <reference field="3" count="1" selected="0">
            <x v="15"/>
          </reference>
          <reference field="7" count="1">
            <x v="371"/>
          </reference>
          <reference field="8" count="1" selected="0">
            <x v="1"/>
          </reference>
        </references>
      </pivotArea>
    </format>
    <format dxfId="1333">
      <pivotArea dataOnly="0" labelOnly="1" outline="0" fieldPosition="0">
        <references count="5">
          <reference field="0" count="1" selected="0">
            <x v="605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1332">
      <pivotArea dataOnly="0" labelOnly="1" outline="0" fieldPosition="0">
        <references count="5">
          <reference field="0" count="1" selected="0">
            <x v="615"/>
          </reference>
          <reference field="2" count="1" selected="0">
            <x v="10"/>
          </reference>
          <reference field="3" count="1" selected="0">
            <x v="3"/>
          </reference>
          <reference field="7" count="1">
            <x v="211"/>
          </reference>
          <reference field="8" count="1" selected="0">
            <x v="1"/>
          </reference>
        </references>
      </pivotArea>
    </format>
    <format dxfId="1331">
      <pivotArea dataOnly="0" labelOnly="1" outline="0" fieldPosition="0">
        <references count="5">
          <reference field="0" count="1" selected="0">
            <x v="45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369"/>
          </reference>
          <reference field="8" count="1" selected="0">
            <x v="1"/>
          </reference>
        </references>
      </pivotArea>
    </format>
    <format dxfId="1330">
      <pivotArea dataOnly="0" labelOnly="1" outline="0" fieldPosition="0">
        <references count="5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7" count="1">
            <x v="1"/>
          </reference>
          <reference field="8" count="1" selected="0">
            <x v="2"/>
          </reference>
        </references>
      </pivotArea>
    </format>
    <format dxfId="1329">
      <pivotArea dataOnly="0" labelOnly="1" outline="0" fieldPosition="0">
        <references count="5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412"/>
          </reference>
          <reference field="8" count="1" selected="0">
            <x v="1"/>
          </reference>
        </references>
      </pivotArea>
    </format>
    <format dxfId="1328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58"/>
          </reference>
          <reference field="8" count="1" selected="0">
            <x v="2"/>
          </reference>
        </references>
      </pivotArea>
    </format>
    <format dxfId="1327">
      <pivotArea dataOnly="0" labelOnly="1" outline="0" fieldPosition="0">
        <references count="5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94"/>
          </reference>
          <reference field="8" count="1" selected="0">
            <x v="1"/>
          </reference>
        </references>
      </pivotArea>
    </format>
    <format dxfId="1326">
      <pivotArea dataOnly="0" labelOnly="1" outline="0" fieldPosition="0">
        <references count="5">
          <reference field="0" count="1" selected="0">
            <x v="977"/>
          </reference>
          <reference field="2" count="1" selected="0">
            <x v="9"/>
          </reference>
          <reference field="3" count="1" selected="0">
            <x v="10"/>
          </reference>
          <reference field="7" count="1">
            <x v="181"/>
          </reference>
          <reference field="8" count="1" selected="0">
            <x v="1"/>
          </reference>
        </references>
      </pivotArea>
    </format>
    <format dxfId="1325">
      <pivotArea dataOnly="0" labelOnly="1" outline="0" fieldPosition="0">
        <references count="5">
          <reference field="0" count="1" selected="0">
            <x v="723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73"/>
          </reference>
          <reference field="8" count="1" selected="0">
            <x v="1"/>
          </reference>
        </references>
      </pivotArea>
    </format>
    <format dxfId="1324">
      <pivotArea dataOnly="0" labelOnly="1" outline="0" fieldPosition="0">
        <references count="5">
          <reference field="0" count="1" selected="0">
            <x v="264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25"/>
          </reference>
          <reference field="8" count="1" selected="0">
            <x v="1"/>
          </reference>
        </references>
      </pivotArea>
    </format>
    <format dxfId="1323">
      <pivotArea dataOnly="0" labelOnly="1" outline="0" fieldPosition="0">
        <references count="5">
          <reference field="0" count="1" selected="0">
            <x v="393"/>
          </reference>
          <reference field="2" count="1" selected="0">
            <x v="8"/>
          </reference>
          <reference field="3" count="1" selected="0">
            <x v="13"/>
          </reference>
          <reference field="7" count="1">
            <x v="303"/>
          </reference>
          <reference field="8" count="1" selected="0">
            <x v="1"/>
          </reference>
        </references>
      </pivotArea>
    </format>
    <format dxfId="1322">
      <pivotArea dataOnly="0" labelOnly="1" outline="0" fieldPosition="0">
        <references count="5">
          <reference field="0" count="1" selected="0">
            <x v="593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143"/>
          </reference>
          <reference field="8" count="1" selected="0">
            <x v="1"/>
          </reference>
        </references>
      </pivotArea>
    </format>
    <format dxfId="1321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354"/>
          </reference>
          <reference field="8" count="1" selected="0">
            <x v="1"/>
          </reference>
        </references>
      </pivotArea>
    </format>
    <format dxfId="1320">
      <pivotArea dataOnly="0" labelOnly="1" outline="0" fieldPosition="0">
        <references count="5">
          <reference field="0" count="1" selected="0">
            <x v="782"/>
          </reference>
          <reference field="2" count="1" selected="0">
            <x v="9"/>
          </reference>
          <reference field="3" count="1" selected="0">
            <x v="1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1319">
      <pivotArea dataOnly="0" labelOnly="1" outline="0" fieldPosition="0">
        <references count="5">
          <reference field="0" count="1" selected="0">
            <x v="395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549"/>
          </reference>
          <reference field="8" count="1" selected="0">
            <x v="1"/>
          </reference>
        </references>
      </pivotArea>
    </format>
    <format dxfId="1318">
      <pivotArea dataOnly="0" labelOnly="1" outline="0" fieldPosition="0">
        <references count="5">
          <reference field="0" count="1" selected="0">
            <x v="757"/>
          </reference>
          <reference field="2" count="1" selected="0">
            <x v="3"/>
          </reference>
          <reference field="3" count="1" selected="0">
            <x v="12"/>
          </reference>
          <reference field="7" count="1">
            <x v="387"/>
          </reference>
          <reference field="8" count="1" selected="0">
            <x v="1"/>
          </reference>
        </references>
      </pivotArea>
    </format>
    <format dxfId="131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66"/>
          </reference>
          <reference field="8" count="1" selected="0">
            <x v="2"/>
          </reference>
        </references>
      </pivotArea>
    </format>
    <format dxfId="1316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10"/>
          </reference>
          <reference field="3" count="1" selected="0">
            <x v="0"/>
          </reference>
          <reference field="7" count="1">
            <x v="401"/>
          </reference>
          <reference field="8" count="1" selected="0">
            <x v="2"/>
          </reference>
        </references>
      </pivotArea>
    </format>
    <format dxfId="1315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329"/>
          </reference>
          <reference field="8" count="1" selected="0">
            <x v="2"/>
          </reference>
        </references>
      </pivotArea>
    </format>
    <format dxfId="1314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564"/>
          </reference>
          <reference field="8" count="1" selected="0">
            <x v="1"/>
          </reference>
        </references>
      </pivotArea>
    </format>
    <format dxfId="1313">
      <pivotArea dataOnly="0" labelOnly="1" outline="0" axis="axisValues" fieldPosition="0"/>
    </format>
    <format dxfId="1312">
      <pivotArea field="0" type="button" dataOnly="0" labelOnly="1" outline="0" axis="axisRow" fieldPosition="0"/>
    </format>
    <format dxfId="1311">
      <pivotArea field="2" type="button" dataOnly="0" labelOnly="1" outline="0" axis="axisRow" fieldPosition="1"/>
    </format>
    <format dxfId="1310">
      <pivotArea field="3" type="button" dataOnly="0" labelOnly="1" outline="0" axis="axisRow" fieldPosition="2"/>
    </format>
    <format dxfId="1309">
      <pivotArea field="8" type="button" dataOnly="0" labelOnly="1" outline="0" axis="axisRow" fieldPosition="3"/>
    </format>
    <format dxfId="1308">
      <pivotArea field="7" type="button" dataOnly="0" labelOnly="1" outline="0" axis="axisRow" fieldPosition="4"/>
    </format>
    <format dxfId="1307">
      <pivotArea dataOnly="0" labelOnly="1" outline="0" axis="axisValues" fieldPosition="0"/>
    </format>
    <format dxfId="1306">
      <pivotArea field="8" type="button" dataOnly="0" labelOnly="1" outline="0" axis="axisRow" fieldPosition="3"/>
    </format>
    <format dxfId="1305">
      <pivotArea field="7" type="button" dataOnly="0" labelOnly="1" outline="0" axis="axisRow" fieldPosition="4"/>
    </format>
    <format dxfId="1304">
      <pivotArea dataOnly="0" labelOnly="1" outline="0" axis="axisValues" fieldPosition="0"/>
    </format>
    <format dxfId="1303">
      <pivotArea dataOnly="0" labelOnly="1" outline="0" axis="axisValues" fieldPosition="0"/>
    </format>
    <format dxfId="1302">
      <pivotArea field="8" type="button" dataOnly="0" labelOnly="1" outline="0" axis="axisRow" fieldPosition="3"/>
    </format>
    <format dxfId="1301">
      <pivotArea field="7" type="button" dataOnly="0" labelOnly="1" outline="0" axis="axisRow" fieldPosition="4"/>
    </format>
    <format dxfId="1300">
      <pivotArea field="0" type="button" dataOnly="0" labelOnly="1" outline="0" axis="axisRow" fieldPosition="0"/>
    </format>
    <format dxfId="1299">
      <pivotArea field="2" type="button" dataOnly="0" labelOnly="1" outline="0" axis="axisRow" fieldPosition="1"/>
    </format>
    <format dxfId="1298">
      <pivotArea field="3" type="button" dataOnly="0" labelOnly="1" outline="0" axis="axisRow" fieldPosition="2"/>
    </format>
    <format dxfId="1297">
      <pivotArea field="8" type="button" dataOnly="0" labelOnly="1" outline="0" axis="axisRow" fieldPosition="3"/>
    </format>
    <format dxfId="1296">
      <pivotArea field="7" type="button" dataOnly="0" labelOnly="1" outline="0" axis="axisRow" fieldPosition="4"/>
    </format>
    <format dxfId="1295">
      <pivotArea dataOnly="0" labelOnly="1" outline="0" axis="axisValues" fieldPosition="0"/>
    </format>
    <format dxfId="1294">
      <pivotArea dataOnly="0" labelOnly="1" outline="0" axis="axisValues" fieldPosition="0"/>
    </format>
    <format dxfId="1293">
      <pivotArea field="0" type="button" dataOnly="0" labelOnly="1" outline="0" axis="axisRow" fieldPosition="0"/>
    </format>
    <format dxfId="1292">
      <pivotArea field="2" type="button" dataOnly="0" labelOnly="1" outline="0" axis="axisRow" fieldPosition="1"/>
    </format>
    <format dxfId="1291">
      <pivotArea field="3" type="button" dataOnly="0" labelOnly="1" outline="0" axis="axisRow" fieldPosition="2"/>
    </format>
    <format dxfId="1290">
      <pivotArea field="8" type="button" dataOnly="0" labelOnly="1" outline="0" axis="axisRow" fieldPosition="3"/>
    </format>
    <format dxfId="1289">
      <pivotArea field="7" type="button" dataOnly="0" labelOnly="1" outline="0" axis="axisRow" fieldPosition="4"/>
    </format>
    <format dxfId="1288">
      <pivotArea dataOnly="0" labelOnly="1" outline="0" axis="axisValues" fieldPosition="0"/>
    </format>
    <format dxfId="1287">
      <pivotArea field="0" type="button" dataOnly="0" labelOnly="1" outline="0" axis="axisRow" fieldPosition="0"/>
    </format>
    <format dxfId="1286">
      <pivotArea field="2" type="button" dataOnly="0" labelOnly="1" outline="0" axis="axisRow" fieldPosition="1"/>
    </format>
    <format dxfId="1285">
      <pivotArea field="3" type="button" dataOnly="0" labelOnly="1" outline="0" axis="axisRow" fieldPosition="2"/>
    </format>
    <format dxfId="1284">
      <pivotArea field="8" type="button" dataOnly="0" labelOnly="1" outline="0" axis="axisRow" fieldPosition="3"/>
    </format>
    <format dxfId="1283">
      <pivotArea field="7" type="button" dataOnly="0" labelOnly="1" outline="0" axis="axisRow" fieldPosition="4"/>
    </format>
    <format dxfId="1282">
      <pivotArea dataOnly="0" labelOnly="1" outline="0" axis="axisValues" fieldPosition="0"/>
    </format>
    <format dxfId="1281">
      <pivotArea field="0" type="button" dataOnly="0" labelOnly="1" outline="0" axis="axisRow" fieldPosition="0"/>
    </format>
    <format dxfId="1280">
      <pivotArea field="2" type="button" dataOnly="0" labelOnly="1" outline="0" axis="axisRow" fieldPosition="1"/>
    </format>
    <format dxfId="1279">
      <pivotArea field="3" type="button" dataOnly="0" labelOnly="1" outline="0" axis="axisRow" fieldPosition="2"/>
    </format>
    <format dxfId="1278">
      <pivotArea field="8" type="button" dataOnly="0" labelOnly="1" outline="0" axis="axisRow" fieldPosition="3"/>
    </format>
    <format dxfId="1277">
      <pivotArea field="7" type="button" dataOnly="0" labelOnly="1" outline="0" axis="axisRow" fieldPosition="4"/>
    </format>
    <format dxfId="1276">
      <pivotArea dataOnly="0" labelOnly="1" outline="0" axis="axisValues" fieldPosition="0"/>
    </format>
    <format dxfId="1275">
      <pivotArea field="0" type="button" dataOnly="0" labelOnly="1" outline="0" axis="axisRow" fieldPosition="0"/>
    </format>
    <format dxfId="1274">
      <pivotArea field="2" type="button" dataOnly="0" labelOnly="1" outline="0" axis="axisRow" fieldPosition="1"/>
    </format>
    <format dxfId="1273">
      <pivotArea field="3" type="button" dataOnly="0" labelOnly="1" outline="0" axis="axisRow" fieldPosition="2"/>
    </format>
    <format dxfId="1272">
      <pivotArea field="8" type="button" dataOnly="0" labelOnly="1" outline="0" axis="axisRow" fieldPosition="3"/>
    </format>
    <format dxfId="1271">
      <pivotArea field="7" type="button" dataOnly="0" labelOnly="1" outline="0" axis="axisRow" fieldPosition="4"/>
    </format>
    <format dxfId="1270">
      <pivotArea dataOnly="0" labelOnly="1" outline="0" axis="axisValues" fieldPosition="0"/>
    </format>
    <format dxfId="1269">
      <pivotArea field="0" type="button" dataOnly="0" labelOnly="1" outline="0" axis="axisRow" fieldPosition="0"/>
    </format>
    <format dxfId="1268">
      <pivotArea field="2" type="button" dataOnly="0" labelOnly="1" outline="0" axis="axisRow" fieldPosition="1"/>
    </format>
    <format dxfId="1267">
      <pivotArea field="3" type="button" dataOnly="0" labelOnly="1" outline="0" axis="axisRow" fieldPosition="2"/>
    </format>
    <format dxfId="1266">
      <pivotArea field="8" type="button" dataOnly="0" labelOnly="1" outline="0" axis="axisRow" fieldPosition="3"/>
    </format>
    <format dxfId="1265">
      <pivotArea field="7" type="button" dataOnly="0" labelOnly="1" outline="0" axis="axisRow" fieldPosition="4"/>
    </format>
    <format dxfId="1264">
      <pivotArea dataOnly="0" labelOnly="1" outline="0" axis="axisValues" fieldPosition="0"/>
    </format>
    <format dxfId="1263">
      <pivotArea type="all" dataOnly="0" outline="0" fieldPosition="0"/>
    </format>
    <format dxfId="1262">
      <pivotArea outline="0" collapsedLevelsAreSubtotals="1" fieldPosition="0"/>
    </format>
    <format dxfId="1261">
      <pivotArea field="0" type="button" dataOnly="0" labelOnly="1" outline="0" axis="axisRow" fieldPosition="0"/>
    </format>
    <format dxfId="1260">
      <pivotArea field="2" type="button" dataOnly="0" labelOnly="1" outline="0" axis="axisRow" fieldPosition="1"/>
    </format>
    <format dxfId="1259">
      <pivotArea field="3" type="button" dataOnly="0" labelOnly="1" outline="0" axis="axisRow" fieldPosition="2"/>
    </format>
    <format dxfId="1258">
      <pivotArea field="8" type="button" dataOnly="0" labelOnly="1" outline="0" axis="axisRow" fieldPosition="3"/>
    </format>
    <format dxfId="1257">
      <pivotArea field="7" type="button" dataOnly="0" labelOnly="1" outline="0" axis="axisRow" fieldPosition="4"/>
    </format>
    <format dxfId="1256">
      <pivotArea dataOnly="0" labelOnly="1" outline="0" fieldPosition="0">
        <references count="1">
          <reference field="0" count="50">
            <x v="14"/>
            <x v="27"/>
            <x v="31"/>
            <x v="43"/>
            <x v="44"/>
            <x v="66"/>
            <x v="102"/>
            <x v="104"/>
            <x v="121"/>
            <x v="155"/>
            <x v="168"/>
            <x v="207"/>
            <x v="212"/>
            <x v="221"/>
            <x v="236"/>
            <x v="242"/>
            <x v="250"/>
            <x v="270"/>
            <x v="288"/>
            <x v="298"/>
            <x v="313"/>
            <x v="321"/>
            <x v="351"/>
            <x v="358"/>
            <x v="396"/>
            <x v="401"/>
            <x v="405"/>
            <x v="411"/>
            <x v="424"/>
            <x v="425"/>
            <x v="440"/>
            <x v="441"/>
            <x v="442"/>
            <x v="489"/>
            <x v="523"/>
            <x v="549"/>
            <x v="568"/>
            <x v="579"/>
            <x v="617"/>
            <x v="714"/>
            <x v="716"/>
            <x v="741"/>
            <x v="756"/>
            <x v="824"/>
            <x v="829"/>
            <x v="865"/>
            <x v="866"/>
            <x v="875"/>
            <x v="931"/>
            <x v="935"/>
          </reference>
        </references>
      </pivotArea>
    </format>
    <format dxfId="1255">
      <pivotArea dataOnly="0" labelOnly="1" outline="0" fieldPosition="0">
        <references count="1">
          <reference field="0" count="50">
            <x v="5"/>
            <x v="24"/>
            <x v="26"/>
            <x v="33"/>
            <x v="36"/>
            <x v="70"/>
            <x v="88"/>
            <x v="91"/>
            <x v="98"/>
            <x v="100"/>
            <x v="180"/>
            <x v="191"/>
            <x v="199"/>
            <x v="203"/>
            <x v="241"/>
            <x v="243"/>
            <x v="295"/>
            <x v="323"/>
            <x v="333"/>
            <x v="363"/>
            <x v="388"/>
            <x v="451"/>
            <x v="456"/>
            <x v="534"/>
            <x v="570"/>
            <x v="574"/>
            <x v="585"/>
            <x v="587"/>
            <x v="588"/>
            <x v="618"/>
            <x v="619"/>
            <x v="644"/>
            <x v="659"/>
            <x v="670"/>
            <x v="695"/>
            <x v="709"/>
            <x v="712"/>
            <x v="729"/>
            <x v="751"/>
            <x v="825"/>
            <x v="833"/>
            <x v="854"/>
            <x v="886"/>
            <x v="922"/>
            <x v="924"/>
            <x v="932"/>
            <x v="961"/>
            <x v="973"/>
            <x v="982"/>
            <x v="987"/>
          </reference>
        </references>
      </pivotArea>
    </format>
    <format dxfId="1254">
      <pivotArea dataOnly="0" labelOnly="1" outline="0" fieldPosition="0">
        <references count="1">
          <reference field="0" count="50">
            <x v="12"/>
            <x v="17"/>
            <x v="20"/>
            <x v="21"/>
            <x v="41"/>
            <x v="63"/>
            <x v="65"/>
            <x v="101"/>
            <x v="120"/>
            <x v="128"/>
            <x v="140"/>
            <x v="154"/>
            <x v="163"/>
            <x v="175"/>
            <x v="206"/>
            <x v="210"/>
            <x v="311"/>
            <x v="374"/>
            <x v="378"/>
            <x v="380"/>
            <x v="389"/>
            <x v="397"/>
            <x v="429"/>
            <x v="472"/>
            <x v="515"/>
            <x v="532"/>
            <x v="535"/>
            <x v="582"/>
            <x v="609"/>
            <x v="630"/>
            <x v="631"/>
            <x v="645"/>
            <x v="689"/>
            <x v="691"/>
            <x v="696"/>
            <x v="711"/>
            <x v="715"/>
            <x v="726"/>
            <x v="768"/>
            <x v="783"/>
            <x v="820"/>
            <x v="830"/>
            <x v="837"/>
            <x v="838"/>
            <x v="879"/>
            <x v="885"/>
            <x v="940"/>
            <x v="954"/>
            <x v="993"/>
            <x v="994"/>
          </reference>
        </references>
      </pivotArea>
    </format>
    <format dxfId="1253">
      <pivotArea dataOnly="0" labelOnly="1" outline="0" fieldPosition="0">
        <references count="1">
          <reference field="0" count="31">
            <x v="16"/>
            <x v="82"/>
            <x v="129"/>
            <x v="133"/>
            <x v="173"/>
            <x v="232"/>
            <x v="239"/>
            <x v="261"/>
            <x v="264"/>
            <x v="302"/>
            <x v="341"/>
            <x v="391"/>
            <x v="393"/>
            <x v="395"/>
            <x v="453"/>
            <x v="578"/>
            <x v="593"/>
            <x v="605"/>
            <x v="613"/>
            <x v="615"/>
            <x v="648"/>
            <x v="694"/>
            <x v="704"/>
            <x v="706"/>
            <x v="723"/>
            <x v="757"/>
            <x v="782"/>
            <x v="860"/>
            <x v="889"/>
            <x v="955"/>
            <x v="977"/>
          </reference>
        </references>
      </pivotArea>
    </format>
    <format dxfId="1252">
      <pivotArea dataOnly="0" labelOnly="1" outline="0" fieldPosition="0">
        <references count="2">
          <reference field="0" count="1" selected="0">
            <x v="207"/>
          </reference>
          <reference field="2" count="1">
            <x v="7"/>
          </reference>
        </references>
      </pivotArea>
    </format>
    <format dxfId="1251">
      <pivotArea dataOnly="0" labelOnly="1" outline="0" fieldPosition="0">
        <references count="2">
          <reference field="0" count="1" selected="0">
            <x v="935"/>
          </reference>
          <reference field="2" count="1">
            <x v="10"/>
          </reference>
        </references>
      </pivotArea>
    </format>
    <format dxfId="1250">
      <pivotArea dataOnly="0" labelOnly="1" outline="0" fieldPosition="0">
        <references count="2">
          <reference field="0" count="1" selected="0">
            <x v="104"/>
          </reference>
          <reference field="2" count="1">
            <x v="9"/>
          </reference>
        </references>
      </pivotArea>
    </format>
    <format dxfId="1249">
      <pivotArea dataOnly="0" labelOnly="1" outline="0" fieldPosition="0">
        <references count="2">
          <reference field="0" count="1" selected="0">
            <x v="716"/>
          </reference>
          <reference field="2" count="1">
            <x v="5"/>
          </reference>
        </references>
      </pivotArea>
    </format>
    <format dxfId="1248">
      <pivotArea dataOnly="0" labelOnly="1" outline="0" fieldPosition="0">
        <references count="2">
          <reference field="0" count="1" selected="0">
            <x v="875"/>
          </reference>
          <reference field="2" count="1">
            <x v="6"/>
          </reference>
        </references>
      </pivotArea>
    </format>
    <format dxfId="1247">
      <pivotArea dataOnly="0" labelOnly="1" outline="0" fieldPosition="0">
        <references count="2">
          <reference field="0" count="1" selected="0">
            <x v="411"/>
          </reference>
          <reference field="2" count="1">
            <x v="2"/>
          </reference>
        </references>
      </pivotArea>
    </format>
    <format dxfId="1246">
      <pivotArea dataOnly="0" labelOnly="1" outline="0" fieldPosition="0">
        <references count="2">
          <reference field="0" count="1" selected="0">
            <x v="396"/>
          </reference>
          <reference field="2" count="1">
            <x v="0"/>
          </reference>
        </references>
      </pivotArea>
    </format>
    <format dxfId="1245">
      <pivotArea dataOnly="0" labelOnly="1" outline="0" fieldPosition="0">
        <references count="2">
          <reference field="0" count="1" selected="0">
            <x v="617"/>
          </reference>
          <reference field="2" count="1">
            <x v="4"/>
          </reference>
        </references>
      </pivotArea>
    </format>
    <format dxfId="1244">
      <pivotArea dataOnly="0" labelOnly="1" outline="0" fieldPosition="0">
        <references count="2">
          <reference field="0" count="1" selected="0">
            <x v="288"/>
          </reference>
          <reference field="2" count="1">
            <x v="2"/>
          </reference>
        </references>
      </pivotArea>
    </format>
    <format dxfId="1243">
      <pivotArea dataOnly="0" labelOnly="1" outline="0" fieldPosition="0">
        <references count="2">
          <reference field="0" count="1" selected="0">
            <x v="14"/>
          </reference>
          <reference field="2" count="1">
            <x v="0"/>
          </reference>
        </references>
      </pivotArea>
    </format>
    <format dxfId="1242">
      <pivotArea dataOnly="0" labelOnly="1" outline="0" fieldPosition="0">
        <references count="2">
          <reference field="0" count="1" selected="0">
            <x v="270"/>
          </reference>
          <reference field="2" count="1">
            <x v="8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756"/>
          </reference>
          <reference field="2" count="1">
            <x v="3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44"/>
          </reference>
          <reference field="2" count="1">
            <x v="6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321"/>
          </reference>
          <reference field="2" count="1">
            <x v="1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424"/>
          </reference>
          <reference field="2" count="1">
            <x v="12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155"/>
          </reference>
          <reference field="2" count="1">
            <x v="2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313"/>
          </reference>
          <reference field="2" count="1">
            <x v="0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829"/>
          </reference>
          <reference field="2" count="1">
            <x v="9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824"/>
          </reference>
          <reference field="2" count="1">
            <x v="2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442"/>
          </reference>
          <reference field="2" count="1">
            <x v="9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168"/>
          </reference>
          <reference field="2" count="1">
            <x v="10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242"/>
          </reference>
          <reference field="2" count="1">
            <x v="12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66"/>
          </reference>
          <reference field="2" count="1">
            <x v="11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43"/>
          </reference>
          <reference field="2" count="1">
            <x v="5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121"/>
          </reference>
          <reference field="2" count="1">
            <x v="8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405"/>
          </reference>
          <reference field="2" count="1">
            <x v="4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931"/>
          </reference>
          <reference field="2" count="1">
            <x v="9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489"/>
          </reference>
          <reference field="2" count="1">
            <x v="11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298"/>
          </reference>
          <reference field="2" count="1">
            <x v="0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221"/>
          </reference>
          <reference field="2" count="1">
            <x v="1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212"/>
          </reference>
          <reference field="2" count="1">
            <x v="7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351"/>
          </reference>
          <reference field="2" count="1">
            <x v="8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358"/>
          </reference>
          <reference field="2" count="1">
            <x v="6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741"/>
          </reference>
          <reference field="2" count="1">
            <x v="12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401"/>
          </reference>
          <reference field="2" count="1">
            <x v="8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865"/>
          </reference>
          <reference field="2" count="1">
            <x v="1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441"/>
          </reference>
          <reference field="2" count="1">
            <x v="4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425"/>
          </reference>
          <reference field="2" count="1">
            <x v="9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31"/>
          </reference>
          <reference field="2" count="1">
            <x v="10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579"/>
          </reference>
          <reference field="2" count="1">
            <x v="6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549"/>
          </reference>
          <reference field="2" count="1">
            <x v="5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236"/>
          </reference>
          <reference field="2" count="1">
            <x v="2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714"/>
          </reference>
          <reference field="2" count="1">
            <x v="8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440"/>
          </reference>
          <reference field="2" count="1">
            <x v="1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102"/>
          </reference>
          <reference field="2" count="1">
            <x v="10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100"/>
          </reference>
          <reference field="2" count="1">
            <x v="4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922"/>
          </reference>
          <reference field="2" count="1">
            <x v="5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619"/>
          </reference>
          <reference field="2" count="1">
            <x v="6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98"/>
          </reference>
          <reference field="2" count="1">
            <x v="3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534"/>
          </reference>
          <reference field="2" count="1">
            <x v="4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982"/>
          </reference>
          <reference field="2" count="1">
            <x v="9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973"/>
          </reference>
          <reference field="2" count="1">
            <x v="12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570"/>
          </reference>
          <reference field="2" count="1">
            <x v="6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833"/>
          </reference>
          <reference field="2" count="1">
            <x v="7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659"/>
          </reference>
          <reference field="2" count="1">
            <x v="9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203"/>
          </reference>
          <reference field="2" count="1">
            <x v="1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886"/>
          </reference>
          <reference field="2" count="1">
            <x v="2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456"/>
          </reference>
          <reference field="2" count="1">
            <x v="3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333"/>
          </reference>
          <reference field="2" count="1">
            <x v="10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191"/>
          </reference>
          <reference field="2" count="1">
            <x v="8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932"/>
          </reference>
          <reference field="2" count="1">
            <x v="9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618"/>
          </reference>
          <reference field="2" count="1">
            <x v="6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695"/>
          </reference>
          <reference field="2" count="1">
            <x v="2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36"/>
          </reference>
          <reference field="2" count="1">
            <x v="4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712"/>
          </reference>
          <reference field="2" count="1">
            <x v="2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199"/>
          </reference>
          <reference field="2" count="1">
            <x v="7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585"/>
          </reference>
          <reference field="2" count="1">
            <x v="9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91"/>
          </reference>
          <reference field="2" count="1">
            <x v="12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574"/>
          </reference>
          <reference field="2" count="1">
            <x v="2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323"/>
          </reference>
          <reference field="2" count="1">
            <x v="10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670"/>
          </reference>
          <reference field="2" count="1">
            <x v="3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241"/>
          </reference>
          <reference field="2" count="1">
            <x v="7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33"/>
          </reference>
          <reference field="2" count="1">
            <x v="1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243"/>
          </reference>
          <reference field="2" count="1">
            <x v="3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451"/>
          </reference>
          <reference field="2" count="1">
            <x v="8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24"/>
          </reference>
          <reference field="2" count="1">
            <x v="9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70"/>
          </reference>
          <reference field="2" count="1">
            <x v="2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26"/>
          </reference>
          <reference field="2" count="1">
            <x v="5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587"/>
          </reference>
          <reference field="2" count="1">
            <x v="10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825"/>
          </reference>
          <reference field="2" count="1">
            <x v="7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5"/>
          </reference>
          <reference field="2" count="1">
            <x v="4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295"/>
          </reference>
          <reference field="2" count="1">
            <x v="7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854"/>
          </reference>
          <reference field="2" count="1">
            <x v="5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987"/>
          </reference>
          <reference field="2" count="1">
            <x v="11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924"/>
          </reference>
          <reference field="2" count="1">
            <x v="8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644"/>
          </reference>
          <reference field="2" count="1">
            <x v="4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709"/>
          </reference>
          <reference field="2" count="1">
            <x v="7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180"/>
          </reference>
          <reference field="2" count="1">
            <x v="2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961"/>
          </reference>
          <reference field="2" count="1">
            <x v="7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729"/>
          </reference>
          <reference field="2" count="1">
            <x v="12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388"/>
          </reference>
          <reference field="2" count="1">
            <x v="3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363"/>
          </reference>
          <reference field="2" count="1">
            <x v="12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609"/>
          </reference>
          <reference field="2" count="1">
            <x v="2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210"/>
          </reference>
          <reference field="2" count="1">
            <x v="7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101"/>
          </reference>
          <reference field="2" count="1">
            <x v="0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65"/>
          </reference>
          <reference field="2" count="1">
            <x v="12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879"/>
          </reference>
          <reference field="2" count="1">
            <x v="7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128"/>
          </reference>
          <reference field="2" count="1">
            <x v="2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993"/>
          </reference>
          <reference field="2" count="1">
            <x v="4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630"/>
          </reference>
          <reference field="2" count="1">
            <x v="9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41"/>
          </reference>
          <reference field="2" count="1">
            <x v="11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783"/>
          </reference>
          <reference field="2" count="1">
            <x v="4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820"/>
          </reference>
          <reference field="2" count="1">
            <x v="12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885"/>
          </reference>
          <reference field="2" count="1">
            <x v="9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397"/>
          </reference>
          <reference field="2" count="1">
            <x v="4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311"/>
          </reference>
          <reference field="2" count="1">
            <x v="8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532"/>
          </reference>
          <reference field="2" count="1">
            <x v="3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940"/>
          </reference>
          <reference field="2" count="1">
            <x v="1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830"/>
          </reference>
          <reference field="2" count="1">
            <x v="0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389"/>
          </reference>
          <reference field="2" count="1">
            <x v="1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140"/>
          </reference>
          <reference field="2" count="1">
            <x v="9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711"/>
          </reference>
          <reference field="2" count="1">
            <x v="10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837"/>
          </reference>
          <reference field="2" count="1">
            <x v="8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689"/>
          </reference>
          <reference field="2" count="1">
            <x v="3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472"/>
          </reference>
          <reference field="2" count="1">
            <x v="7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429"/>
          </reference>
          <reference field="2" count="1">
            <x v="4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120"/>
          </reference>
          <reference field="2" count="1">
            <x v="3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954"/>
          </reference>
          <reference field="2" count="1">
            <x v="5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838"/>
          </reference>
          <reference field="2" count="1">
            <x v="9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768"/>
          </reference>
          <reference field="2" count="1">
            <x v="6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380"/>
          </reference>
          <reference field="2" count="1">
            <x v="3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175"/>
          </reference>
          <reference field="2" count="1">
            <x v="6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515"/>
          </reference>
          <reference field="2" count="1">
            <x v="12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582"/>
          </reference>
          <reference field="2" count="1">
            <x v="5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206"/>
          </reference>
          <reference field="2" count="1">
            <x v="12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154"/>
          </reference>
          <reference field="2" count="1">
            <x v="10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12"/>
          </reference>
          <reference field="2" count="1">
            <x v="12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163"/>
          </reference>
          <reference field="2" count="1">
            <x v="11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645"/>
          </reference>
          <reference field="2" count="1">
            <x v="5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535"/>
          </reference>
          <reference field="2" count="1">
            <x v="7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994"/>
          </reference>
          <reference field="2" count="1">
            <x v="12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21"/>
          </reference>
          <reference field="2" count="1">
            <x v="10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715"/>
          </reference>
          <reference field="2" count="1">
            <x v="12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631"/>
          </reference>
          <reference field="2" count="1">
            <x v="9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691"/>
          </reference>
          <reference field="2" count="1">
            <x v="11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374"/>
          </reference>
          <reference field="2" count="1">
            <x v="8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391"/>
          </reference>
          <reference field="2" count="1">
            <x v="10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341"/>
          </reference>
          <reference field="2" count="1">
            <x v="1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173"/>
          </reference>
          <reference field="2" count="1">
            <x v="4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706"/>
          </reference>
          <reference field="2" count="1">
            <x v="3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889"/>
          </reference>
          <reference field="2" count="1">
            <x v="6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860"/>
          </reference>
          <reference field="2" count="1">
            <x v="12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129"/>
          </reference>
          <reference field="2" count="1">
            <x v="1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704"/>
          </reference>
          <reference field="2" count="1">
            <x v="3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239"/>
          </reference>
          <reference field="2" count="1">
            <x v="8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613"/>
          </reference>
          <reference field="2" count="1">
            <x v="2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605"/>
          </reference>
          <reference field="2" count="1">
            <x v="0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615"/>
          </reference>
          <reference field="2" count="1">
            <x v="10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453"/>
          </reference>
          <reference field="2" count="1">
            <x v="7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694"/>
          </reference>
          <reference field="2" count="1">
            <x v="8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578"/>
          </reference>
          <reference field="2" count="1">
            <x v="3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648"/>
          </reference>
          <reference field="2" count="1">
            <x v="4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977"/>
          </reference>
          <reference field="2" count="1">
            <x v="9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723"/>
          </reference>
          <reference field="2" count="1">
            <x v="6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264"/>
          </reference>
          <reference field="2" count="1">
            <x v="3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393"/>
          </reference>
          <reference field="2" count="1">
            <x v="8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593"/>
          </reference>
          <reference field="2" count="1">
            <x v="0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133"/>
          </reference>
          <reference field="2" count="1">
            <x v="6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782"/>
          </reference>
          <reference field="2" count="1">
            <x v="9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395"/>
          </reference>
          <reference field="2" count="1">
            <x v="5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757"/>
          </reference>
          <reference field="2" count="1">
            <x v="3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16"/>
          </reference>
          <reference field="2" count="1">
            <x v="1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302"/>
          </reference>
          <reference field="2" count="1">
            <x v="10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261"/>
          </reference>
          <reference field="2" count="1">
            <x v="0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232"/>
          </reference>
          <reference field="2" count="1">
            <x v="1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9"/>
          </reference>
          <reference field="3" count="1">
            <x v="9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5"/>
          </reference>
          <reference field="3" count="1">
            <x v="6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2"/>
          </reference>
          <reference field="3" count="1">
            <x v="0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4"/>
          </reference>
          <reference field="3" count="1">
            <x v="9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2"/>
          </reference>
          <reference field="3" count="1">
            <x v="11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12"/>
          </reference>
          <reference field="3" count="1">
            <x v="14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9"/>
          </reference>
          <reference field="3" count="1">
            <x v="14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9"/>
          </reference>
          <reference field="3" count="1">
            <x v="13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10"/>
          </reference>
          <reference field="3" count="1">
            <x v="10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11"/>
          </reference>
          <reference field="3" count="1">
            <x v="13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8"/>
          </reference>
          <reference field="3" count="1">
            <x v="7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4"/>
          </reference>
          <reference field="3" count="1">
            <x v="1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11"/>
          </reference>
          <reference field="3" count="1">
            <x v="11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7"/>
          </reference>
          <reference field="3" count="1">
            <x v="10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8"/>
          </reference>
          <reference field="3" count="1">
            <x v="6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6"/>
          </reference>
          <reference field="3" count="1">
            <x v="4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"/>
          </reference>
          <reference field="3" count="1">
            <x v="10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9"/>
          </reference>
          <reference field="3" count="1">
            <x v="12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5"/>
          </reference>
          <reference field="3" count="1">
            <x v="15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8"/>
          </reference>
          <reference field="3" count="1">
            <x v="8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10"/>
          </reference>
          <reference field="3" count="1">
            <x v="6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2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1033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32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4"/>
          </reference>
          <reference field="3" count="1">
            <x v="11"/>
          </reference>
        </references>
      </pivotArea>
    </format>
    <format dxfId="1031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9"/>
          </reference>
          <reference field="3" count="1">
            <x v="4"/>
          </reference>
        </references>
      </pivotArea>
    </format>
    <format dxfId="1030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12"/>
          </reference>
          <reference field="3" count="1">
            <x v="2"/>
          </reference>
        </references>
      </pivotArea>
    </format>
    <format dxfId="1029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1028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1027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1026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1025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2"/>
          </reference>
          <reference field="3" count="1">
            <x v="10"/>
          </reference>
        </references>
      </pivotArea>
    </format>
    <format dxfId="1024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1023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22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1021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1020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1019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1018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1017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1016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12"/>
          </reference>
          <reference field="3" count="1">
            <x v="0"/>
          </reference>
        </references>
      </pivotArea>
    </format>
    <format dxfId="1015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12"/>
          </reference>
          <reference field="3" count="1">
            <x v="4"/>
          </reference>
        </references>
      </pivotArea>
    </format>
    <format dxfId="1014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2"/>
          </reference>
          <reference field="3" count="1">
            <x v="14"/>
          </reference>
        </references>
      </pivotArea>
    </format>
    <format dxfId="1013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10"/>
          </reference>
          <reference field="3" count="1">
            <x v="13"/>
          </reference>
        </references>
      </pivotArea>
    </format>
    <format dxfId="1012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3"/>
          </reference>
          <reference field="3" count="1">
            <x v="4"/>
          </reference>
        </references>
      </pivotArea>
    </format>
    <format dxfId="1011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1010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1009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1008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8"/>
          </reference>
          <reference field="3" count="1">
            <x v="4"/>
          </reference>
        </references>
      </pivotArea>
    </format>
    <format dxfId="1007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1006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1005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1004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7"/>
          </reference>
          <reference field="3" count="1">
            <x v="12"/>
          </reference>
        </references>
      </pivotArea>
    </format>
    <format dxfId="1003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1002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1001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1000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11"/>
          </reference>
          <reference field="3" count="1">
            <x v="12"/>
          </reference>
        </references>
      </pivotArea>
    </format>
    <format dxfId="999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998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997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996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995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2"/>
          </reference>
          <reference field="3" count="1">
            <x v="12"/>
          </reference>
        </references>
      </pivotArea>
    </format>
    <format dxfId="994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993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992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91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990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2"/>
          </reference>
          <reference field="3" count="1">
            <x v="9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7"/>
          </reference>
          <reference field="3" count="1">
            <x v="9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11"/>
          </reference>
          <reference field="3" count="1">
            <x v="10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4"/>
          </reference>
          <reference field="3" count="1">
            <x v="2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4"/>
          </reference>
          <reference field="3" count="1">
            <x v="12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3"/>
          </reference>
          <reference field="3" count="1">
            <x v="10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0"/>
          </reference>
          <reference field="3" count="1">
            <x v="4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4"/>
          </reference>
          <reference field="3" count="1">
            <x v="14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6"/>
          </reference>
          <reference field="3" count="1">
            <x v="10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5"/>
          </reference>
          <reference field="3" count="1">
            <x v="12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11"/>
          </reference>
          <reference field="3" count="1">
            <x v="1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7"/>
          </reference>
          <reference field="3" count="1">
            <x v="6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12"/>
          </reference>
          <reference field="3" count="1">
            <x v="13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1"/>
          </reference>
          <reference field="3" count="1">
            <x v="3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2"/>
          </reference>
          <reference field="3" count="1">
            <x v="5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1"/>
          </reference>
          <reference field="3" count="1">
            <x v="13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8"/>
          </reference>
          <reference field="3" count="1">
            <x v="14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2"/>
          </reference>
          <reference field="3" count="1">
            <x v="15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8"/>
          </reference>
          <reference field="3" count="1">
            <x v="12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9"/>
          </reference>
          <reference field="3" count="1">
            <x v="10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8"/>
          </reference>
          <reference field="3" count="1">
            <x v="13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9"/>
          </reference>
          <reference field="3" count="1">
            <x v="1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3"/>
          </reference>
          <reference field="3" count="1">
            <x v="12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10"/>
          </reference>
          <reference field="3" count="1">
            <x v="0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915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91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913">
      <pivotArea dataOnly="0" labelOnly="1" outline="0" fieldPosition="0">
        <references count="4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912">
      <pivotArea dataOnly="0" labelOnly="1" outline="0" fieldPosition="0">
        <references count="4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911">
      <pivotArea dataOnly="0" labelOnly="1" outline="0" fieldPosition="0">
        <references count="4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910">
      <pivotArea dataOnly="0" labelOnly="1" outline="0" fieldPosition="0">
        <references count="4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8" count="1">
            <x v="2"/>
          </reference>
        </references>
      </pivotArea>
    </format>
    <format dxfId="909">
      <pivotArea dataOnly="0" labelOnly="1" outline="0" fieldPosition="0">
        <references count="4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90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907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906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905">
      <pivotArea dataOnly="0" labelOnly="1" outline="0" fieldPosition="0">
        <references count="4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8" count="1">
            <x v="1"/>
          </reference>
        </references>
      </pivotArea>
    </format>
    <format dxfId="904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903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902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901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900">
      <pivotArea dataOnly="0" labelOnly="1" outline="0" fieldPosition="0">
        <references count="4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89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898">
      <pivotArea dataOnly="0" labelOnly="1" outline="0" fieldPosition="0">
        <references count="4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897">
      <pivotArea dataOnly="0" labelOnly="1" outline="0" fieldPosition="0">
        <references count="4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896">
      <pivotArea dataOnly="0" labelOnly="1" outline="0" fieldPosition="0">
        <references count="4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895">
      <pivotArea dataOnly="0" labelOnly="1" outline="0" fieldPosition="0">
        <references count="4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1"/>
          </reference>
        </references>
      </pivotArea>
    </format>
    <format dxfId="894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893">
      <pivotArea dataOnly="0" labelOnly="1" outline="0" fieldPosition="0">
        <references count="4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892">
      <pivotArea dataOnly="0" labelOnly="1" outline="0" fieldPosition="0">
        <references count="4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891">
      <pivotArea dataOnly="0" labelOnly="1" outline="0" fieldPosition="0">
        <references count="4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890">
      <pivotArea dataOnly="0" labelOnly="1" outline="0" fieldPosition="0">
        <references count="4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89">
      <pivotArea dataOnly="0" labelOnly="1" outline="0" fieldPosition="0">
        <references count="4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888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887">
      <pivotArea dataOnly="0" labelOnly="1" outline="0" fieldPosition="0">
        <references count="4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886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85">
      <pivotArea dataOnly="0" labelOnly="1" outline="0" fieldPosition="0">
        <references count="4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8" count="1">
            <x v="1"/>
          </reference>
        </references>
      </pivotArea>
    </format>
    <format dxfId="884">
      <pivotArea dataOnly="0" labelOnly="1" outline="0" fieldPosition="0">
        <references count="4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883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882">
      <pivotArea dataOnly="0" labelOnly="1" outline="0" fieldPosition="0">
        <references count="4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88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880">
      <pivotArea dataOnly="0" labelOnly="1" outline="0" fieldPosition="0">
        <references count="4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8" count="1">
            <x v="2"/>
          </reference>
        </references>
      </pivotArea>
    </format>
    <format dxfId="87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878">
      <pivotArea dataOnly="0" labelOnly="1" outline="0" fieldPosition="0">
        <references count="4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77">
      <pivotArea dataOnly="0" labelOnly="1" outline="0" fieldPosition="0">
        <references count="4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876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75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874">
      <pivotArea dataOnly="0" labelOnly="1" outline="0" fieldPosition="0">
        <references count="4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73">
      <pivotArea dataOnly="0" labelOnly="1" outline="0" fieldPosition="0">
        <references count="4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872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871">
      <pivotArea dataOnly="0" labelOnly="1" outline="0" fieldPosition="0">
        <references count="4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870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69">
      <pivotArea dataOnly="0" labelOnly="1" outline="0" fieldPosition="0">
        <references count="4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868">
      <pivotArea dataOnly="0" labelOnly="1" outline="0" fieldPosition="0">
        <references count="4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867">
      <pivotArea dataOnly="0" labelOnly="1" outline="0" fieldPosition="0">
        <references count="4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866">
      <pivotArea dataOnly="0" labelOnly="1" outline="0" fieldPosition="0">
        <references count="4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865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864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863">
      <pivotArea dataOnly="0" labelOnly="1" outline="0" fieldPosition="0">
        <references count="4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862">
      <pivotArea dataOnly="0" labelOnly="1" outline="0" fieldPosition="0">
        <references count="4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61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860">
      <pivotArea dataOnly="0" labelOnly="1" outline="0" fieldPosition="0">
        <references count="4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859">
      <pivotArea dataOnly="0" labelOnly="1" outline="0" fieldPosition="0">
        <references count="4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85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857">
      <pivotArea dataOnly="0" labelOnly="1" outline="0" fieldPosition="0">
        <references count="4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856">
      <pivotArea dataOnly="0" labelOnly="1" outline="0" fieldPosition="0">
        <references count="4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855">
      <pivotArea dataOnly="0" labelOnly="1" outline="0" fieldPosition="0">
        <references count="4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854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853">
      <pivotArea dataOnly="0" labelOnly="1" outline="0" fieldPosition="0">
        <references count="4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852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8" count="1">
            <x v="2"/>
          </reference>
        </references>
      </pivotArea>
    </format>
    <format dxfId="851">
      <pivotArea dataOnly="0" labelOnly="1" outline="0" fieldPosition="0">
        <references count="4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850">
      <pivotArea dataOnly="0" labelOnly="1" outline="0" fieldPosition="0">
        <references count="4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849">
      <pivotArea dataOnly="0" labelOnly="1" outline="0" fieldPosition="0">
        <references count="4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848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47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84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45">
      <pivotArea dataOnly="0" labelOnly="1" outline="0" fieldPosition="0">
        <references count="4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844">
      <pivotArea dataOnly="0" labelOnly="1" outline="0" fieldPosition="0">
        <references count="4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843">
      <pivotArea dataOnly="0" labelOnly="1" outline="0" fieldPosition="0">
        <references count="4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842">
      <pivotArea dataOnly="0" labelOnly="1" outline="0" fieldPosition="0">
        <references count="4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841">
      <pivotArea dataOnly="0" labelOnly="1" outline="0" fieldPosition="0">
        <references count="4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840">
      <pivotArea dataOnly="0" labelOnly="1" outline="0" fieldPosition="0">
        <references count="4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839">
      <pivotArea dataOnly="0" labelOnly="1" outline="0" fieldPosition="0">
        <references count="4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838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837">
      <pivotArea dataOnly="0" labelOnly="1" outline="0" fieldPosition="0">
        <references count="4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836">
      <pivotArea dataOnly="0" labelOnly="1" outline="0" fieldPosition="0">
        <references count="4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835">
      <pivotArea dataOnly="0" labelOnly="1" outline="0" fieldPosition="0">
        <references count="4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834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33">
      <pivotArea dataOnly="0" labelOnly="1" outline="0" fieldPosition="0">
        <references count="4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83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83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830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829">
      <pivotArea dataOnly="0" labelOnly="1" outline="0" fieldPosition="0">
        <references count="5">
          <reference field="0" count="1" selected="0">
            <x v="935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88"/>
          </reference>
          <reference field="8" count="1" selected="0">
            <x v="1"/>
          </reference>
        </references>
      </pivotArea>
    </format>
    <format dxfId="82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7" count="1">
            <x v="63"/>
          </reference>
          <reference field="8" count="1" selected="0">
            <x v="2"/>
          </reference>
        </references>
      </pivotArea>
    </format>
    <format dxfId="827">
      <pivotArea dataOnly="0" labelOnly="1" outline="0" fieldPosition="0">
        <references count="5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7" count="1">
            <x v="386"/>
          </reference>
          <reference field="8" count="1" selected="0">
            <x v="1"/>
          </reference>
        </references>
      </pivotArea>
    </format>
    <format dxfId="826">
      <pivotArea dataOnly="0" labelOnly="1" outline="0" fieldPosition="0">
        <references count="5">
          <reference field="0" count="1" selected="0">
            <x v="875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166"/>
          </reference>
          <reference field="8" count="1" selected="0">
            <x v="1"/>
          </reference>
        </references>
      </pivotArea>
    </format>
    <format dxfId="825">
      <pivotArea dataOnly="0" labelOnly="1" outline="0" fieldPosition="0">
        <references count="5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7" count="1">
            <x v="403"/>
          </reference>
          <reference field="8" count="1" selected="0">
            <x v="2"/>
          </reference>
        </references>
      </pivotArea>
    </format>
    <format dxfId="824">
      <pivotArea dataOnly="0" labelOnly="1" outline="0" fieldPosition="0">
        <references count="5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514"/>
          </reference>
          <reference field="8" count="1" selected="0">
            <x v="1"/>
          </reference>
        </references>
      </pivotArea>
    </format>
    <format dxfId="823">
      <pivotArea dataOnly="0" labelOnly="1" outline="0" fieldPosition="0">
        <references count="5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458"/>
          </reference>
          <reference field="8" count="1" selected="0">
            <x v="2"/>
          </reference>
        </references>
      </pivotArea>
    </format>
    <format dxfId="822">
      <pivotArea dataOnly="0" labelOnly="1" outline="0" fieldPosition="0">
        <references count="5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7" count="1">
            <x v="41"/>
          </reference>
          <reference field="8" count="1" selected="0">
            <x v="1"/>
          </reference>
        </references>
      </pivotArea>
    </format>
    <format dxfId="821">
      <pivotArea dataOnly="0" labelOnly="1" outline="0" fieldPosition="0">
        <references count="5">
          <reference field="0" count="1" selected="0">
            <x v="288"/>
          </reference>
          <reference field="2" count="1" selected="0">
            <x v="2"/>
          </reference>
          <reference field="3" count="1" selected="0">
            <x v="11"/>
          </reference>
          <reference field="7" count="1">
            <x v="467"/>
          </reference>
          <reference field="8" count="1" selected="0">
            <x v="1"/>
          </reference>
        </references>
      </pivotArea>
    </format>
    <format dxfId="82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313"/>
          </reference>
          <reference field="8" count="1" selected="0">
            <x v="1"/>
          </reference>
        </references>
      </pivotArea>
    </format>
    <format dxfId="81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439"/>
          </reference>
          <reference field="8" count="1" selected="0">
            <x v="2"/>
          </reference>
        </references>
      </pivotArea>
    </format>
    <format dxfId="818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817">
      <pivotArea dataOnly="0" labelOnly="1" outline="0" fieldPosition="0">
        <references count="5">
          <reference field="0" count="1" selected="0">
            <x v="756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816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39"/>
          </reference>
          <reference field="8" count="1" selected="0">
            <x v="1"/>
          </reference>
        </references>
      </pivotArea>
    </format>
    <format dxfId="815">
      <pivotArea dataOnly="0" labelOnly="1" outline="0" fieldPosition="0">
        <references count="5">
          <reference field="0" count="1" selected="0">
            <x v="321"/>
          </reference>
          <reference field="2" count="1" selected="0">
            <x v="1"/>
          </reference>
          <reference field="3" count="1" selected="0">
            <x v="1"/>
          </reference>
          <reference field="7" count="1">
            <x v="262"/>
          </reference>
          <reference field="8" count="1" selected="0">
            <x v="1"/>
          </reference>
        </references>
      </pivotArea>
    </format>
    <format dxfId="814">
      <pivotArea dataOnly="0" labelOnly="1" outline="0" fieldPosition="0">
        <references count="5">
          <reference field="0" count="1" selected="0">
            <x v="424"/>
          </reference>
          <reference field="2" count="1" selected="0">
            <x v="12"/>
          </reference>
          <reference field="3" count="1" selected="0">
            <x v="14"/>
          </reference>
          <reference field="7" count="1">
            <x v="88"/>
          </reference>
          <reference field="8" count="1" selected="0">
            <x v="1"/>
          </reference>
        </references>
      </pivotArea>
    </format>
    <format dxfId="813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63"/>
          </reference>
          <reference field="8" count="1" selected="0">
            <x v="2"/>
          </reference>
        </references>
      </pivotArea>
    </format>
    <format dxfId="812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160"/>
          </reference>
          <reference field="8" count="1" selected="0">
            <x v="2"/>
          </reference>
        </references>
      </pivotArea>
    </format>
    <format dxfId="811">
      <pivotArea dataOnly="0" labelOnly="1" outline="0" fieldPosition="0">
        <references count="5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7" count="1">
            <x v="257"/>
          </reference>
          <reference field="8" count="1" selected="0">
            <x v="1"/>
          </reference>
        </references>
      </pivotArea>
    </format>
    <format dxfId="810">
      <pivotArea dataOnly="0" labelOnly="1" outline="0" fieldPosition="0">
        <references count="5">
          <reference field="0" count="1" selected="0">
            <x v="824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01"/>
          </reference>
          <reference field="8" count="1" selected="0">
            <x v="1"/>
          </reference>
        </references>
      </pivotArea>
    </format>
    <format dxfId="809">
      <pivotArea dataOnly="0" labelOnly="1" outline="0" fieldPosition="0">
        <references count="5">
          <reference field="0" count="1" selected="0">
            <x v="442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80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0"/>
          </reference>
          <reference field="3" count="1" selected="0">
            <x v="10"/>
          </reference>
          <reference field="7" count="1">
            <x v="173"/>
          </reference>
          <reference field="8" count="1" selected="0">
            <x v="1"/>
          </reference>
        </references>
      </pivotArea>
    </format>
    <format dxfId="807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28"/>
          </reference>
          <reference field="8" count="1" selected="0">
            <x v="2"/>
          </reference>
        </references>
      </pivotArea>
    </format>
    <format dxfId="806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1"/>
          </reference>
          <reference field="3" count="1" selected="0">
            <x v="13"/>
          </reference>
          <reference field="7" count="1">
            <x v="224"/>
          </reference>
          <reference field="8" count="1" selected="0">
            <x v="2"/>
          </reference>
        </references>
      </pivotArea>
    </format>
    <format dxfId="805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804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7" count="1">
            <x v="171"/>
          </reference>
          <reference field="8" count="1" selected="0">
            <x v="2"/>
          </reference>
        </references>
      </pivotArea>
    </format>
    <format dxfId="803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191"/>
          </reference>
          <reference field="8" count="1" selected="0">
            <x v="1"/>
          </reference>
        </references>
      </pivotArea>
    </format>
    <format dxfId="802">
      <pivotArea dataOnly="0" labelOnly="1" outline="0" fieldPosition="0">
        <references count="5">
          <reference field="0" count="1" selected="0">
            <x v="405"/>
          </reference>
          <reference field="2" count="1" selected="0">
            <x v="4"/>
          </reference>
          <reference field="3" count="1" selected="0">
            <x v="1"/>
          </reference>
          <reference field="7" count="1">
            <x v="413"/>
          </reference>
          <reference field="8" count="1" selected="0">
            <x v="1"/>
          </reference>
        </references>
      </pivotArea>
    </format>
    <format dxfId="801">
      <pivotArea dataOnly="0" labelOnly="1" outline="0" fieldPosition="0">
        <references count="5">
          <reference field="0" count="1" selected="0">
            <x v="931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87"/>
          </reference>
          <reference field="8" count="1" selected="0">
            <x v="1"/>
          </reference>
        </references>
      </pivotArea>
    </format>
    <format dxfId="800">
      <pivotArea dataOnly="0" labelOnly="1" outline="0" fieldPosition="0">
        <references count="5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7" count="1">
            <x v="500"/>
          </reference>
          <reference field="8" count="1" selected="0">
            <x v="2"/>
          </reference>
        </references>
      </pivotArea>
    </format>
    <format dxfId="799">
      <pivotArea dataOnly="0" labelOnly="1" outline="0" fieldPosition="0">
        <references count="5">
          <reference field="0" count="1" selected="0">
            <x v="298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79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113"/>
          </reference>
          <reference field="8" count="1" selected="0">
            <x v="1"/>
          </reference>
        </references>
      </pivotArea>
    </format>
    <format dxfId="797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7"/>
          </reference>
          <reference field="3" count="1" selected="0">
            <x v="10"/>
          </reference>
          <reference field="7" count="1">
            <x v="138"/>
          </reference>
          <reference field="8" count="1" selected="0">
            <x v="1"/>
          </reference>
        </references>
      </pivotArea>
    </format>
    <format dxfId="796">
      <pivotArea dataOnly="0" labelOnly="1" outline="0" fieldPosition="0">
        <references count="5">
          <reference field="0" count="1" selected="0">
            <x v="351"/>
          </reference>
          <reference field="2" count="1" selected="0">
            <x v="8"/>
          </reference>
          <reference field="3" count="1" selected="0">
            <x v="6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795">
      <pivotArea dataOnly="0" labelOnly="1" outline="0" fieldPosition="0">
        <references count="5">
          <reference field="0" count="1" selected="0">
            <x v="358"/>
          </reference>
          <reference field="2" count="1" selected="0">
            <x v="6"/>
          </reference>
          <reference field="3" count="1" selected="0">
            <x v="4"/>
          </reference>
          <reference field="7" count="1">
            <x v="132"/>
          </reference>
          <reference field="8" count="1" selected="0">
            <x v="1"/>
          </reference>
        </references>
      </pivotArea>
    </format>
    <format dxfId="794">
      <pivotArea dataOnly="0" labelOnly="1" outline="0" fieldPosition="0">
        <references count="5">
          <reference field="0" count="1" selected="0">
            <x v="741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68"/>
          </reference>
          <reference field="8" count="1" selected="0">
            <x v="1"/>
          </reference>
        </references>
      </pivotArea>
    </format>
    <format dxfId="793">
      <pivotArea dataOnly="0" labelOnly="1" outline="0" fieldPosition="0">
        <references count="5">
          <reference field="0" count="1" selected="0">
            <x v="40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451"/>
          </reference>
          <reference field="8" count="1" selected="0">
            <x v="1"/>
          </reference>
        </references>
      </pivotArea>
    </format>
    <format dxfId="792">
      <pivotArea dataOnly="0" labelOnly="1" outline="0" fieldPosition="0">
        <references count="5">
          <reference field="0" count="1" selected="0">
            <x v="865"/>
          </reference>
          <reference field="2" count="1" selected="0">
            <x v="1"/>
          </reference>
          <reference field="3" count="1" selected="0">
            <x v="10"/>
          </reference>
          <reference field="7" count="1">
            <x v="90"/>
          </reference>
          <reference field="8" count="1" selected="0">
            <x v="1"/>
          </reference>
        </references>
      </pivotArea>
    </format>
    <format dxfId="791">
      <pivotArea dataOnly="0" labelOnly="1" outline="0" fieldPosition="0">
        <references count="5">
          <reference field="0" count="1" selected="0">
            <x v="441"/>
          </reference>
          <reference field="2" count="1" selected="0">
            <x v="4"/>
          </reference>
          <reference field="3" count="1" selected="0">
            <x v="3"/>
          </reference>
          <reference field="7" count="1">
            <x v="177"/>
          </reference>
          <reference field="8" count="1" selected="0">
            <x v="1"/>
          </reference>
        </references>
      </pivotArea>
    </format>
    <format dxfId="790">
      <pivotArea dataOnly="0" labelOnly="1" outline="0" fieldPosition="0">
        <references count="5">
          <reference field="0" count="1" selected="0">
            <x v="425"/>
          </reference>
          <reference field="2" count="1" selected="0">
            <x v="9"/>
          </reference>
          <reference field="3" count="1" selected="0">
            <x v="12"/>
          </reference>
          <reference field="7" count="1">
            <x v="226"/>
          </reference>
          <reference field="8" count="1" selected="0">
            <x v="1"/>
          </reference>
        </references>
      </pivotArea>
    </format>
    <format dxfId="789">
      <pivotArea dataOnly="0" labelOnly="1" outline="0" fieldPosition="0">
        <references count="5">
          <reference field="0" count="1" selected="0">
            <x v="3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13"/>
          </reference>
          <reference field="8" count="1" selected="0">
            <x v="1"/>
          </reference>
        </references>
      </pivotArea>
    </format>
    <format dxfId="788">
      <pivotArea dataOnly="0" labelOnly="1" outline="0" fieldPosition="0">
        <references count="5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24"/>
          </reference>
          <reference field="8" count="1" selected="0">
            <x v="2"/>
          </reference>
        </references>
      </pivotArea>
    </format>
    <format dxfId="787">
      <pivotArea dataOnly="0" labelOnly="1" outline="0" fieldPosition="0">
        <references count="5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7" count="1">
            <x v="527"/>
          </reference>
          <reference field="8" count="1" selected="0">
            <x v="1"/>
          </reference>
        </references>
      </pivotArea>
    </format>
    <format dxfId="786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490"/>
          </reference>
          <reference field="8" count="1" selected="0">
            <x v="1"/>
          </reference>
        </references>
      </pivotArea>
    </format>
    <format dxfId="785">
      <pivotArea dataOnly="0" labelOnly="1" outline="0" fieldPosition="0">
        <references count="5">
          <reference field="0" count="1" selected="0">
            <x v="714"/>
          </reference>
          <reference field="2" count="1" selected="0">
            <x v="8"/>
          </reference>
          <reference field="3" count="1" selected="0">
            <x v="8"/>
          </reference>
          <reference field="7" count="1">
            <x v="110"/>
          </reference>
          <reference field="8" count="1" selected="0">
            <x v="1"/>
          </reference>
        </references>
      </pivotArea>
    </format>
    <format dxfId="784">
      <pivotArea dataOnly="0" labelOnly="1" outline="0" fieldPosition="0">
        <references count="5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783">
      <pivotArea dataOnly="0" labelOnly="1" outline="0" fieldPosition="0">
        <references count="5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75"/>
          </reference>
          <reference field="8" count="1" selected="0">
            <x v="1"/>
          </reference>
        </references>
      </pivotArea>
    </format>
    <format dxfId="782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10"/>
          </reference>
          <reference field="3" count="1" selected="0">
            <x v="6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781">
      <pivotArea dataOnly="0" labelOnly="1" outline="0" fieldPosition="0">
        <references count="5">
          <reference field="0" count="1" selected="0">
            <x v="568"/>
          </reference>
          <reference field="2" count="1" selected="0">
            <x v="10"/>
          </reference>
          <reference field="3" count="1" selected="0">
            <x v="2"/>
          </reference>
          <reference field="7" count="1">
            <x v="228"/>
          </reference>
          <reference field="8" count="1" selected="0">
            <x v="1"/>
          </reference>
        </references>
      </pivotArea>
    </format>
    <format dxfId="78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69"/>
          </reference>
          <reference field="8" count="1" selected="0">
            <x v="2"/>
          </reference>
        </references>
      </pivotArea>
    </format>
    <format dxfId="779">
      <pivotArea dataOnly="0" labelOnly="1" outline="0" fieldPosition="0">
        <references count="5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7" count="1">
            <x v="501"/>
          </reference>
          <reference field="8" count="1" selected="0">
            <x v="1"/>
          </reference>
        </references>
      </pivotArea>
    </format>
    <format dxfId="778">
      <pivotArea dataOnly="0" labelOnly="1" outline="0" fieldPosition="0">
        <references count="5">
          <reference field="0" count="1" selected="0">
            <x v="619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129"/>
          </reference>
          <reference field="8" count="1" selected="0">
            <x v="1"/>
          </reference>
        </references>
      </pivotArea>
    </format>
    <format dxfId="777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58"/>
          </reference>
          <reference field="8" count="1" selected="0">
            <x v="1"/>
          </reference>
        </references>
      </pivotArea>
    </format>
    <format dxfId="776">
      <pivotArea dataOnly="0" labelOnly="1" outline="0" fieldPosition="0">
        <references count="5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7" count="1">
            <x v="77"/>
          </reference>
          <reference field="8" count="1" selected="0">
            <x v="2"/>
          </reference>
        </references>
      </pivotArea>
    </format>
    <format dxfId="775">
      <pivotArea dataOnly="0" labelOnly="1" outline="0" fieldPosition="0">
        <references count="5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7" count="1">
            <x v="4"/>
          </reference>
          <reference field="8" count="1" selected="0">
            <x v="1"/>
          </reference>
        </references>
      </pivotArea>
    </format>
    <format dxfId="774">
      <pivotArea dataOnly="0" labelOnly="1" outline="0" fieldPosition="0">
        <references count="5">
          <reference field="0" count="1" selected="0">
            <x v="973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20"/>
          </reference>
          <reference field="8" count="1" selected="0">
            <x v="1"/>
          </reference>
        </references>
      </pivotArea>
    </format>
    <format dxfId="773">
      <pivotArea dataOnly="0" labelOnly="1" outline="0" fieldPosition="0">
        <references count="5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378"/>
          </reference>
          <reference field="8" count="1" selected="0">
            <x v="2"/>
          </reference>
        </references>
      </pivotArea>
    </format>
    <format dxfId="772">
      <pivotArea dataOnly="0" labelOnly="1" outline="0" fieldPosition="0">
        <references count="5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1"/>
          </reference>
        </references>
      </pivotArea>
    </format>
    <format dxfId="771">
      <pivotArea dataOnly="0" labelOnly="1" outline="0" fieldPosition="0">
        <references count="5">
          <reference field="0" count="1" selected="0">
            <x v="659"/>
          </reference>
          <reference field="2" count="1" selected="0">
            <x v="9"/>
          </reference>
          <reference field="3" count="1" selected="0">
            <x v="0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770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375"/>
          </reference>
          <reference field="8" count="1" selected="0">
            <x v="2"/>
          </reference>
        </references>
      </pivotArea>
    </format>
    <format dxfId="769">
      <pivotArea dataOnly="0" labelOnly="1" outline="0" fieldPosition="0">
        <references count="5">
          <reference field="0" count="1" selected="0">
            <x v="886"/>
          </reference>
          <reference field="2" count="1" selected="0">
            <x v="2"/>
          </reference>
          <reference field="3" count="1" selected="0">
            <x v="10"/>
          </reference>
          <reference field="7" count="1">
            <x v="55"/>
          </reference>
          <reference field="8" count="1" selected="0">
            <x v="2"/>
          </reference>
        </references>
      </pivotArea>
    </format>
    <format dxfId="768">
      <pivotArea dataOnly="0" labelOnly="1" outline="0" fieldPosition="0">
        <references count="5">
          <reference field="0" count="1" selected="0">
            <x v="751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06"/>
          </reference>
          <reference field="8" count="1" selected="0">
            <x v="2"/>
          </reference>
        </references>
      </pivotArea>
    </format>
    <format dxfId="767">
      <pivotArea dataOnly="0" labelOnly="1" outline="0" fieldPosition="0">
        <references count="5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256"/>
          </reference>
          <reference field="8" count="1" selected="0">
            <x v="1"/>
          </reference>
        </references>
      </pivotArea>
    </format>
    <format dxfId="766">
      <pivotArea dataOnly="0" labelOnly="1" outline="0" fieldPosition="0">
        <references count="5">
          <reference field="0" count="1" selected="0">
            <x v="333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16"/>
          </reference>
          <reference field="8" count="1" selected="0">
            <x v="1"/>
          </reference>
        </references>
      </pivotArea>
    </format>
    <format dxfId="765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7" count="1">
            <x v="533"/>
          </reference>
          <reference field="8" count="1" selected="0">
            <x v="2"/>
          </reference>
        </references>
      </pivotArea>
    </format>
    <format dxfId="764">
      <pivotArea dataOnly="0" labelOnly="1" outline="0" fieldPosition="0">
        <references count="5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540"/>
          </reference>
          <reference field="8" count="1" selected="0">
            <x v="1"/>
          </reference>
        </references>
      </pivotArea>
    </format>
    <format dxfId="763">
      <pivotArea dataOnly="0" labelOnly="1" outline="0" fieldPosition="0">
        <references count="5">
          <reference field="0" count="1" selected="0">
            <x v="618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337"/>
          </reference>
          <reference field="8" count="1" selected="0">
            <x v="1"/>
          </reference>
        </references>
      </pivotArea>
    </format>
    <format dxfId="762">
      <pivotArea dataOnly="0" labelOnly="1" outline="0" fieldPosition="0">
        <references count="5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204"/>
          </reference>
          <reference field="8" count="1" selected="0">
            <x v="2"/>
          </reference>
        </references>
      </pivotArea>
    </format>
    <format dxfId="761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7" count="1">
            <x v="362"/>
          </reference>
          <reference field="8" count="1" selected="0">
            <x v="1"/>
          </reference>
        </references>
      </pivotArea>
    </format>
    <format dxfId="760">
      <pivotArea dataOnly="0" labelOnly="1" outline="0" fieldPosition="0">
        <references count="5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69"/>
          </reference>
          <reference field="8" count="1" selected="0">
            <x v="2"/>
          </reference>
        </references>
      </pivotArea>
    </format>
    <format dxfId="759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281"/>
          </reference>
          <reference field="8" count="1" selected="0">
            <x v="1"/>
          </reference>
        </references>
      </pivotArea>
    </format>
    <format dxfId="758">
      <pivotArea dataOnly="0" labelOnly="1" outline="0" fieldPosition="0">
        <references count="5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84"/>
          </reference>
          <reference field="8" count="1" selected="0">
            <x v="2"/>
          </reference>
        </references>
      </pivotArea>
    </format>
    <format dxfId="757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12"/>
          </reference>
          <reference field="3" count="1" selected="0">
            <x v="0"/>
          </reference>
          <reference field="7" count="1">
            <x v="451"/>
          </reference>
          <reference field="8" count="1" selected="0">
            <x v="2"/>
          </reference>
        </references>
      </pivotArea>
    </format>
    <format dxfId="756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7" count="1">
            <x v="54"/>
          </reference>
          <reference field="8" count="1" selected="0">
            <x v="1"/>
          </reference>
        </references>
      </pivotArea>
    </format>
    <format dxfId="755">
      <pivotArea dataOnly="0" labelOnly="1" outline="0" fieldPosition="0">
        <references count="5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7" count="1">
            <x v="511"/>
          </reference>
          <reference field="8" count="1" selected="0">
            <x v="2"/>
          </reference>
        </references>
      </pivotArea>
    </format>
    <format dxfId="754">
      <pivotArea dataOnly="0" labelOnly="1" outline="0" fieldPosition="0">
        <references count="5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7" count="1">
            <x v="259"/>
          </reference>
          <reference field="8" count="1" selected="0">
            <x v="1"/>
          </reference>
        </references>
      </pivotArea>
    </format>
    <format dxfId="753">
      <pivotArea dataOnly="0" labelOnly="1" outline="0" fieldPosition="0">
        <references count="5">
          <reference field="0" count="1" selected="0">
            <x v="670"/>
          </reference>
          <reference field="2" count="1" selected="0">
            <x v="3"/>
          </reference>
          <reference field="3" count="1" selected="0">
            <x v="4"/>
          </reference>
          <reference field="7" count="1">
            <x v="518"/>
          </reference>
          <reference field="8" count="1" selected="0">
            <x v="1"/>
          </reference>
        </references>
      </pivotArea>
    </format>
    <format dxfId="75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48"/>
          </reference>
          <reference field="8" count="1" selected="0">
            <x v="2"/>
          </reference>
        </references>
      </pivotArea>
    </format>
    <format dxfId="75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405"/>
          </reference>
          <reference field="8" count="1" selected="0">
            <x v="1"/>
          </reference>
        </references>
      </pivotArea>
    </format>
    <format dxfId="750">
      <pivotArea dataOnly="0" labelOnly="1" outline="0" fieldPosition="0">
        <references count="5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94"/>
          </reference>
          <reference field="8" count="1" selected="0">
            <x v="2"/>
          </reference>
        </references>
      </pivotArea>
    </format>
    <format dxfId="749">
      <pivotArea dataOnly="0" labelOnly="1" outline="0" fieldPosition="0">
        <references count="5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7" count="1">
            <x v="432"/>
          </reference>
          <reference field="8" count="1" selected="0">
            <x v="1"/>
          </reference>
        </references>
      </pivotArea>
    </format>
    <format dxfId="748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79"/>
          </reference>
          <reference field="8" count="1" selected="0">
            <x v="1"/>
          </reference>
        </references>
      </pivotArea>
    </format>
    <format dxfId="74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"/>
          </reference>
          <reference field="3" count="1" selected="0">
            <x v="4"/>
          </reference>
          <reference field="7" count="1">
            <x v="378"/>
          </reference>
          <reference field="8" count="1" selected="0">
            <x v="1"/>
          </reference>
        </references>
      </pivotArea>
    </format>
    <format dxfId="746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381"/>
          </reference>
          <reference field="8" count="1" selected="0">
            <x v="2"/>
          </reference>
        </references>
      </pivotArea>
    </format>
    <format dxfId="745">
      <pivotArea dataOnly="0" labelOnly="1" outline="0" fieldPosition="0">
        <references count="5">
          <reference field="0" count="1" selected="0">
            <x v="587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202"/>
          </reference>
          <reference field="8" count="1" selected="0">
            <x v="2"/>
          </reference>
        </references>
      </pivotArea>
    </format>
    <format dxfId="744">
      <pivotArea dataOnly="0" labelOnly="1" outline="0" fieldPosition="0">
        <references count="5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7" count="1">
            <x v="450"/>
          </reference>
          <reference field="8" count="1" selected="0">
            <x v="1"/>
          </reference>
        </references>
      </pivotArea>
    </format>
    <format dxfId="743">
      <pivotArea dataOnly="0" labelOnly="1" outline="0" fieldPosition="0">
        <references count="5">
          <reference field="0" count="1" selected="0">
            <x v="5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295"/>
          </reference>
          <reference field="8" count="1" selected="0">
            <x v="1"/>
          </reference>
        </references>
      </pivotArea>
    </format>
    <format dxfId="742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9"/>
          </reference>
          <reference field="8" count="1" selected="0">
            <x v="2"/>
          </reference>
        </references>
      </pivotArea>
    </format>
    <format dxfId="741">
      <pivotArea dataOnly="0" labelOnly="1" outline="0" fieldPosition="0">
        <references count="5">
          <reference field="0" count="1" selected="0">
            <x v="854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270"/>
          </reference>
          <reference field="8" count="1" selected="0">
            <x v="2"/>
          </reference>
        </references>
      </pivotArea>
    </format>
    <format dxfId="740">
      <pivotArea dataOnly="0" labelOnly="1" outline="0" fieldPosition="0">
        <references count="5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7" count="1">
            <x v="109"/>
          </reference>
          <reference field="8" count="1" selected="0">
            <x v="1"/>
          </reference>
        </references>
      </pivotArea>
    </format>
    <format dxfId="739">
      <pivotArea dataOnly="0" labelOnly="1" outline="0" fieldPosition="0">
        <references count="5">
          <reference field="0" count="1" selected="0">
            <x v="92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738">
      <pivotArea dataOnly="0" labelOnly="1" outline="0" fieldPosition="0">
        <references count="5">
          <reference field="0" count="1" selected="0">
            <x v="644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22"/>
          </reference>
          <reference field="8" count="1" selected="0">
            <x v="1"/>
          </reference>
        </references>
      </pivotArea>
    </format>
    <format dxfId="737">
      <pivotArea dataOnly="0" labelOnly="1" outline="0" fieldPosition="0">
        <references count="5">
          <reference field="0" count="1" selected="0">
            <x v="58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320"/>
          </reference>
          <reference field="8" count="1" selected="0">
            <x v="1"/>
          </reference>
        </references>
      </pivotArea>
    </format>
    <format dxfId="736">
      <pivotArea dataOnly="0" labelOnly="1" outline="0" fieldPosition="0">
        <references count="5">
          <reference field="0" count="1" selected="0">
            <x v="709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735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"/>
          </reference>
          <reference field="3" count="1" selected="0">
            <x v="12"/>
          </reference>
          <reference field="7" count="1">
            <x v="164"/>
          </reference>
          <reference field="8" count="1" selected="0">
            <x v="1"/>
          </reference>
        </references>
      </pivotArea>
    </format>
    <format dxfId="734">
      <pivotArea dataOnly="0" labelOnly="1" outline="0" fieldPosition="0">
        <references count="5">
          <reference field="0" count="1" selected="0">
            <x v="961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99"/>
          </reference>
          <reference field="8" count="1" selected="0">
            <x v="1"/>
          </reference>
        </references>
      </pivotArea>
    </format>
    <format dxfId="733">
      <pivotArea dataOnly="0" labelOnly="1" outline="0" fieldPosition="0">
        <references count="5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81"/>
          </reference>
          <reference field="8" count="1" selected="0">
            <x v="2"/>
          </reference>
        </references>
      </pivotArea>
    </format>
    <format dxfId="732">
      <pivotArea dataOnly="0" labelOnly="1" outline="0" fieldPosition="0">
        <references count="5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531"/>
          </reference>
          <reference field="8" count="1" selected="0">
            <x v="1"/>
          </reference>
        </references>
      </pivotArea>
    </format>
    <format dxfId="731">
      <pivotArea dataOnly="0" labelOnly="1" outline="0" fieldPosition="0">
        <references count="5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265"/>
          </reference>
          <reference field="8" count="1" selected="0">
            <x v="2"/>
          </reference>
        </references>
      </pivotArea>
    </format>
    <format dxfId="730">
      <pivotArea dataOnly="0" labelOnly="1" outline="0" fieldPosition="0">
        <references count="5">
          <reference field="0" count="1" selected="0">
            <x v="609"/>
          </reference>
          <reference field="2" count="1" selected="0">
            <x v="2"/>
          </reference>
          <reference field="3" count="1" selected="0">
            <x v="9"/>
          </reference>
          <reference field="7" count="1">
            <x v="497"/>
          </reference>
          <reference field="8" count="1" selected="0">
            <x v="2"/>
          </reference>
        </references>
      </pivotArea>
    </format>
    <format dxfId="729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1"/>
          </reference>
          <reference field="8" count="1" selected="0">
            <x v="2"/>
          </reference>
        </references>
      </pivotArea>
    </format>
    <format dxfId="728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7" count="1">
            <x v="308"/>
          </reference>
          <reference field="8" count="1" selected="0">
            <x v="1"/>
          </reference>
        </references>
      </pivotArea>
    </format>
    <format dxfId="727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448"/>
          </reference>
          <reference field="8" count="1" selected="0">
            <x v="2"/>
          </reference>
        </references>
      </pivotArea>
    </format>
    <format dxfId="726">
      <pivotArea dataOnly="0" labelOnly="1" outline="0" fieldPosition="0">
        <references count="5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7" count="1">
            <x v="231"/>
          </reference>
          <reference field="8" count="1" selected="0">
            <x v="1"/>
          </reference>
        </references>
      </pivotArea>
    </format>
    <format dxfId="725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724">
      <pivotArea dataOnly="0" labelOnly="1" outline="0" fieldPosition="0">
        <references count="5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723">
      <pivotArea dataOnly="0" labelOnly="1" outline="0" fieldPosition="0">
        <references count="5">
          <reference field="0" count="1" selected="0">
            <x v="993"/>
          </reference>
          <reference field="2" count="1" selected="0">
            <x v="4"/>
          </reference>
          <reference field="3" count="1" selected="0">
            <x v="5"/>
          </reference>
          <reference field="7" count="1">
            <x v="288"/>
          </reference>
          <reference field="8" count="1" selected="0">
            <x v="2"/>
          </reference>
        </references>
      </pivotArea>
    </format>
    <format dxfId="722">
      <pivotArea dataOnly="0" labelOnly="1" outline="0" fieldPosition="0">
        <references count="5">
          <reference field="0" count="1" selected="0">
            <x v="630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29"/>
          </reference>
          <reference field="8" count="1" selected="0">
            <x v="2"/>
          </reference>
        </references>
      </pivotArea>
    </format>
    <format dxfId="721">
      <pivotArea dataOnly="0" labelOnly="1" outline="0" fieldPosition="0">
        <references count="5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7" count="1">
            <x v="282"/>
          </reference>
          <reference field="8" count="1" selected="0">
            <x v="1"/>
          </reference>
        </references>
      </pivotArea>
    </format>
    <format dxfId="720">
      <pivotArea dataOnly="0" labelOnly="1" outline="0" fieldPosition="0">
        <references count="5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7" count="1">
            <x v="466"/>
          </reference>
          <reference field="8" count="1" selected="0">
            <x v="2"/>
          </reference>
        </references>
      </pivotArea>
    </format>
    <format dxfId="719">
      <pivotArea dataOnly="0" labelOnly="1" outline="0" fieldPosition="0">
        <references count="5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96"/>
          </reference>
          <reference field="8" count="1" selected="0">
            <x v="1"/>
          </reference>
        </references>
      </pivotArea>
    </format>
    <format dxfId="718">
      <pivotArea dataOnly="0" labelOnly="1" outline="0" fieldPosition="0">
        <references count="5">
          <reference field="0" count="1" selected="0">
            <x v="885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717">
      <pivotArea dataOnly="0" labelOnly="1" outline="0" fieldPosition="0">
        <references count="5">
          <reference field="0" count="1" selected="0">
            <x v="397"/>
          </reference>
          <reference field="2" count="1" selected="0">
            <x v="4"/>
          </reference>
          <reference field="3" count="1" selected="0">
            <x v="12"/>
          </reference>
          <reference field="7" count="1">
            <x v="215"/>
          </reference>
          <reference field="8" count="1" selected="0">
            <x v="1"/>
          </reference>
        </references>
      </pivotArea>
    </format>
    <format dxfId="716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176"/>
          </reference>
          <reference field="8" count="1" selected="0">
            <x v="2"/>
          </reference>
        </references>
      </pivotArea>
    </format>
    <format dxfId="715">
      <pivotArea dataOnly="0" labelOnly="1" outline="0" fieldPosition="0">
        <references count="5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7" count="1">
            <x v="462"/>
          </reference>
          <reference field="8" count="1" selected="0">
            <x v="1"/>
          </reference>
        </references>
      </pivotArea>
    </format>
    <format dxfId="714">
      <pivotArea dataOnly="0" labelOnly="1" outline="0" fieldPosition="0">
        <references count="5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153"/>
          </reference>
          <reference field="8" count="1" selected="0">
            <x v="2"/>
          </reference>
        </references>
      </pivotArea>
    </format>
    <format dxfId="713">
      <pivotArea dataOnly="0" labelOnly="1" outline="0" fieldPosition="0">
        <references count="5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431"/>
          </reference>
          <reference field="8" count="1" selected="0">
            <x v="1"/>
          </reference>
        </references>
      </pivotArea>
    </format>
    <format dxfId="712">
      <pivotArea dataOnly="0" labelOnly="1" outline="0" fieldPosition="0">
        <references count="5">
          <reference field="0" count="1" selected="0">
            <x v="389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711">
      <pivotArea dataOnly="0" labelOnly="1" outline="0" fieldPosition="0">
        <references count="5">
          <reference field="0" count="1" selected="0">
            <x v="140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536"/>
          </reference>
          <reference field="8" count="1" selected="0">
            <x v="1"/>
          </reference>
        </references>
      </pivotArea>
    </format>
    <format dxfId="710">
      <pivotArea dataOnly="0" labelOnly="1" outline="0" fieldPosition="0">
        <references count="5">
          <reference field="0" count="1" selected="0">
            <x v="711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4"/>
          </reference>
          <reference field="8" count="1" selected="0">
            <x v="1"/>
          </reference>
        </references>
      </pivotArea>
    </format>
    <format dxfId="709">
      <pivotArea dataOnly="0" labelOnly="1" outline="0" fieldPosition="0">
        <references count="5">
          <reference field="0" count="1" selected="0">
            <x v="726"/>
          </reference>
          <reference field="2" count="1" selected="0">
            <x v="10"/>
          </reference>
          <reference field="3" count="1" selected="0">
            <x v="4"/>
          </reference>
          <reference field="7" count="1">
            <x v="327"/>
          </reference>
          <reference field="8" count="1" selected="0">
            <x v="1"/>
          </reference>
        </references>
      </pivotArea>
    </format>
    <format dxfId="708">
      <pivotArea dataOnly="0" labelOnly="1" outline="0" fieldPosition="0">
        <references count="5">
          <reference field="0" count="1" selected="0">
            <x v="83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5"/>
          </reference>
          <reference field="8" count="1" selected="0">
            <x v="1"/>
          </reference>
        </references>
      </pivotArea>
    </format>
    <format dxfId="707">
      <pivotArea dataOnly="0" labelOnly="1" outline="0" fieldPosition="0">
        <references count="5">
          <reference field="0" count="1" selected="0">
            <x v="689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136"/>
          </reference>
          <reference field="8" count="1" selected="0">
            <x v="1"/>
          </reference>
        </references>
      </pivotArea>
    </format>
    <format dxfId="706">
      <pivotArea dataOnly="0" labelOnly="1" outline="0" fieldPosition="0">
        <references count="5">
          <reference field="0" count="1" selected="0">
            <x v="472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151"/>
          </reference>
          <reference field="8" count="1" selected="0">
            <x v="1"/>
          </reference>
        </references>
      </pivotArea>
    </format>
    <format dxfId="705">
      <pivotArea dataOnly="0" labelOnly="1" outline="0" fieldPosition="0">
        <references count="5">
          <reference field="0" count="1" selected="0">
            <x v="429"/>
          </reference>
          <reference field="2" count="1" selected="0">
            <x v="4"/>
          </reference>
          <reference field="3" count="1" selected="0">
            <x v="14"/>
          </reference>
          <reference field="7" count="1">
            <x v="447"/>
          </reference>
          <reference field="8" count="1" selected="0">
            <x v="1"/>
          </reference>
        </references>
      </pivotArea>
    </format>
    <format dxfId="704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7" count="1">
            <x v="377"/>
          </reference>
          <reference field="8" count="1" selected="0">
            <x v="2"/>
          </reference>
        </references>
      </pivotArea>
    </format>
    <format dxfId="703">
      <pivotArea dataOnly="0" labelOnly="1" outline="0" fieldPosition="0">
        <references count="5">
          <reference field="0" count="1" selected="0">
            <x v="954"/>
          </reference>
          <reference field="2" count="1" selected="0">
            <x v="5"/>
          </reference>
          <reference field="3" count="1" selected="0">
            <x v="7"/>
          </reference>
          <reference field="7" count="1">
            <x v="389"/>
          </reference>
          <reference field="8" count="1" selected="0">
            <x v="2"/>
          </reference>
        </references>
      </pivotArea>
    </format>
    <format dxfId="702">
      <pivotArea dataOnly="0" labelOnly="1" outline="0" fieldPosition="0">
        <references count="5">
          <reference field="0" count="1" selected="0">
            <x v="838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28"/>
          </reference>
          <reference field="8" count="1" selected="0">
            <x v="2"/>
          </reference>
        </references>
      </pivotArea>
    </format>
    <format dxfId="701">
      <pivotArea dataOnly="0" labelOnly="1" outline="0" fieldPosition="0">
        <references count="5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7" count="1">
            <x v="95"/>
          </reference>
          <reference field="8" count="1" selected="0">
            <x v="1"/>
          </reference>
        </references>
      </pivotArea>
    </format>
    <format dxfId="700">
      <pivotArea dataOnly="0" labelOnly="1" outline="0" fieldPosition="0">
        <references count="5">
          <reference field="0" count="1" selected="0">
            <x v="38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311"/>
          </reference>
          <reference field="8" count="1" selected="0">
            <x v="1"/>
          </reference>
        </references>
      </pivotArea>
    </format>
    <format dxfId="699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235"/>
          </reference>
          <reference field="8" count="1" selected="0">
            <x v="1"/>
          </reference>
        </references>
      </pivotArea>
    </format>
    <format dxfId="698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558"/>
          </reference>
          <reference field="8" count="1" selected="0">
            <x v="2"/>
          </reference>
        </references>
      </pivotArea>
    </format>
    <format dxfId="697">
      <pivotArea dataOnly="0" labelOnly="1" outline="0" fieldPosition="0">
        <references count="5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515"/>
          </reference>
          <reference field="8" count="1" selected="0">
            <x v="1"/>
          </reference>
        </references>
      </pivotArea>
    </format>
    <format dxfId="696">
      <pivotArea dataOnly="0" labelOnly="1" outline="0" fieldPosition="0">
        <references count="5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7" count="1">
            <x v="523"/>
          </reference>
          <reference field="8" count="1" selected="0">
            <x v="2"/>
          </reference>
        </references>
      </pivotArea>
    </format>
    <format dxfId="695">
      <pivotArea dataOnly="0" labelOnly="1" outline="0" fieldPosition="0">
        <references count="5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694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533"/>
          </reference>
          <reference field="8" count="1" selected="0">
            <x v="1"/>
          </reference>
        </references>
      </pivotArea>
    </format>
    <format dxfId="693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308"/>
          </reference>
          <reference field="8" count="1" selected="0">
            <x v="2"/>
          </reference>
        </references>
      </pivotArea>
    </format>
    <format dxfId="692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399"/>
          </reference>
          <reference field="8" count="1" selected="0">
            <x v="1"/>
          </reference>
        </references>
      </pivotArea>
    </format>
    <format dxfId="691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2"/>
          </reference>
        </references>
      </pivotArea>
    </format>
    <format dxfId="690">
      <pivotArea dataOnly="0" labelOnly="1" outline="0" fieldPosition="0">
        <references count="5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7" count="1">
            <x v="365"/>
          </reference>
          <reference field="8" count="1" selected="0">
            <x v="1"/>
          </reference>
        </references>
      </pivotArea>
    </format>
    <format dxfId="689">
      <pivotArea dataOnly="0" labelOnly="1" outline="0" fieldPosition="0">
        <references count="5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7" count="1">
            <x v="319"/>
          </reference>
          <reference field="8" count="1" selected="0">
            <x v="2"/>
          </reference>
        </references>
      </pivotArea>
    </format>
    <format dxfId="688">
      <pivotArea dataOnly="0" labelOnly="1" outline="0" fieldPosition="0">
        <references count="5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54"/>
          </reference>
          <reference field="8" count="1" selected="0">
            <x v="1"/>
          </reference>
        </references>
      </pivotArea>
    </format>
    <format dxfId="687">
      <pivotArea dataOnly="0" labelOnly="1" outline="0" fieldPosition="0">
        <references count="5">
          <reference field="0" count="1" selected="0">
            <x v="994"/>
          </reference>
          <reference field="2" count="1" selected="0">
            <x v="12"/>
          </reference>
          <reference field="3" count="1" selected="0">
            <x v="13"/>
          </reference>
          <reference field="7" count="1">
            <x v="558"/>
          </reference>
          <reference field="8" count="1" selected="0">
            <x v="1"/>
          </reference>
        </references>
      </pivotArea>
    </format>
    <format dxfId="68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97"/>
          </reference>
          <reference field="8" count="1" selected="0">
            <x v="1"/>
          </reference>
        </references>
      </pivotArea>
    </format>
    <format dxfId="685">
      <pivotArea dataOnly="0" labelOnly="1" outline="0" fieldPosition="0">
        <references count="5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196"/>
          </reference>
          <reference field="8" count="1" selected="0">
            <x v="2"/>
          </reference>
        </references>
      </pivotArea>
    </format>
    <format dxfId="684">
      <pivotArea dataOnly="0" labelOnly="1" outline="0" fieldPosition="0">
        <references count="5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491"/>
          </reference>
          <reference field="8" count="1" selected="0">
            <x v="1"/>
          </reference>
        </references>
      </pivotArea>
    </format>
    <format dxfId="683">
      <pivotArea dataOnly="0" labelOnly="1" outline="0" fieldPosition="0">
        <references count="5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436"/>
          </reference>
          <reference field="8" count="1" selected="0">
            <x v="2"/>
          </reference>
        </references>
      </pivotArea>
    </format>
    <format dxfId="682">
      <pivotArea dataOnly="0" labelOnly="1" outline="0" fieldPosition="0">
        <references count="5">
          <reference field="0" count="1" selected="0">
            <x v="691"/>
          </reference>
          <reference field="2" count="1" selected="0">
            <x v="11"/>
          </reference>
          <reference field="3" count="1" selected="0">
            <x v="3"/>
          </reference>
          <reference field="7" count="1">
            <x v="274"/>
          </reference>
          <reference field="8" count="1" selected="0">
            <x v="2"/>
          </reference>
        </references>
      </pivotArea>
    </format>
    <format dxfId="681">
      <pivotArea dataOnly="0" labelOnly="1" outline="0" fieldPosition="0">
        <references count="5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351"/>
          </reference>
          <reference field="8" count="1" selected="0">
            <x v="1"/>
          </reference>
        </references>
      </pivotArea>
    </format>
    <format dxfId="680">
      <pivotArea dataOnly="0" labelOnly="1" outline="0" fieldPosition="0">
        <references count="5">
          <reference field="0" count="1" selected="0">
            <x v="39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538"/>
          </reference>
          <reference field="8" count="1" selected="0">
            <x v="1"/>
          </reference>
        </references>
      </pivotArea>
    </format>
    <format dxfId="679">
      <pivotArea dataOnly="0" labelOnly="1" outline="0" fieldPosition="0">
        <references count="5">
          <reference field="0" count="1" selected="0">
            <x v="341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182"/>
          </reference>
          <reference field="8" count="1" selected="0">
            <x v="1"/>
          </reference>
        </references>
      </pivotArea>
    </format>
    <format dxfId="678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677">
      <pivotArea dataOnly="0" labelOnly="1" outline="0" fieldPosition="0">
        <references count="5">
          <reference field="0" count="1" selected="0">
            <x v="706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106"/>
          </reference>
          <reference field="8" count="1" selected="0">
            <x v="2"/>
          </reference>
        </references>
      </pivotArea>
    </format>
    <format dxfId="676">
      <pivotArea dataOnly="0" labelOnly="1" outline="0" fieldPosition="0">
        <references count="5">
          <reference field="0" count="1" selected="0">
            <x v="889"/>
          </reference>
          <reference field="2" count="1" selected="0">
            <x v="6"/>
          </reference>
          <reference field="3" count="1" selected="0">
            <x v="15"/>
          </reference>
          <reference field="7" count="1">
            <x v="219"/>
          </reference>
          <reference field="8" count="1" selected="0">
            <x v="2"/>
          </reference>
        </references>
      </pivotArea>
    </format>
    <format dxfId="675">
      <pivotArea dataOnly="0" labelOnly="1" outline="0" fieldPosition="0">
        <references count="5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674">
      <pivotArea dataOnly="0" labelOnly="1" outline="0" fieldPosition="0">
        <references count="5">
          <reference field="0" count="1" selected="0">
            <x v="955"/>
          </reference>
          <reference field="2" count="1" selected="0">
            <x v="12"/>
          </reference>
          <reference field="3" count="1" selected="0">
            <x v="5"/>
          </reference>
          <reference field="7" count="1">
            <x v="323"/>
          </reference>
          <reference field="8" count="1" selected="0">
            <x v="1"/>
          </reference>
        </references>
      </pivotArea>
    </format>
    <format dxfId="673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1"/>
          </reference>
          <reference field="3" count="1" selected="0">
            <x v="13"/>
          </reference>
          <reference field="7" count="1">
            <x v="35"/>
          </reference>
          <reference field="8" count="1" selected="0">
            <x v="1"/>
          </reference>
        </references>
      </pivotArea>
    </format>
    <format dxfId="672">
      <pivotArea dataOnly="0" labelOnly="1" outline="0" fieldPosition="0">
        <references count="5">
          <reference field="0" count="1" selected="0">
            <x v="704"/>
          </reference>
          <reference field="2" count="1" selected="0">
            <x v="3"/>
          </reference>
          <reference field="3" count="1" selected="0">
            <x v="0"/>
          </reference>
          <reference field="7" count="1">
            <x v="285"/>
          </reference>
          <reference field="8" count="1" selected="0">
            <x v="1"/>
          </reference>
        </references>
      </pivotArea>
    </format>
    <format dxfId="671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8"/>
          </reference>
          <reference field="3" count="1" selected="0">
            <x v="14"/>
          </reference>
          <reference field="7" count="1">
            <x v="220"/>
          </reference>
          <reference field="8" count="1" selected="0">
            <x v="1"/>
          </reference>
        </references>
      </pivotArea>
    </format>
    <format dxfId="670">
      <pivotArea dataOnly="0" labelOnly="1" outline="0" fieldPosition="0">
        <references count="5">
          <reference field="0" count="1" selected="0">
            <x v="613"/>
          </reference>
          <reference field="2" count="1" selected="0">
            <x v="2"/>
          </reference>
          <reference field="3" count="1" selected="0">
            <x v="15"/>
          </reference>
          <reference field="7" count="1">
            <x v="371"/>
          </reference>
          <reference field="8" count="1" selected="0">
            <x v="1"/>
          </reference>
        </references>
      </pivotArea>
    </format>
    <format dxfId="669">
      <pivotArea dataOnly="0" labelOnly="1" outline="0" fieldPosition="0">
        <references count="5">
          <reference field="0" count="1" selected="0">
            <x v="605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668">
      <pivotArea dataOnly="0" labelOnly="1" outline="0" fieldPosition="0">
        <references count="5">
          <reference field="0" count="1" selected="0">
            <x v="615"/>
          </reference>
          <reference field="2" count="1" selected="0">
            <x v="10"/>
          </reference>
          <reference field="3" count="1" selected="0">
            <x v="3"/>
          </reference>
          <reference field="7" count="1">
            <x v="211"/>
          </reference>
          <reference field="8" count="1" selected="0">
            <x v="1"/>
          </reference>
        </references>
      </pivotArea>
    </format>
    <format dxfId="667">
      <pivotArea dataOnly="0" labelOnly="1" outline="0" fieldPosition="0">
        <references count="5">
          <reference field="0" count="1" selected="0">
            <x v="45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369"/>
          </reference>
          <reference field="8" count="1" selected="0">
            <x v="1"/>
          </reference>
        </references>
      </pivotArea>
    </format>
    <format dxfId="666">
      <pivotArea dataOnly="0" labelOnly="1" outline="0" fieldPosition="0">
        <references count="5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7" count="1">
            <x v="1"/>
          </reference>
          <reference field="8" count="1" selected="0">
            <x v="2"/>
          </reference>
        </references>
      </pivotArea>
    </format>
    <format dxfId="665">
      <pivotArea dataOnly="0" labelOnly="1" outline="0" fieldPosition="0">
        <references count="5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412"/>
          </reference>
          <reference field="8" count="1" selected="0">
            <x v="1"/>
          </reference>
        </references>
      </pivotArea>
    </format>
    <format dxfId="664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58"/>
          </reference>
          <reference field="8" count="1" selected="0">
            <x v="2"/>
          </reference>
        </references>
      </pivotArea>
    </format>
    <format dxfId="663">
      <pivotArea dataOnly="0" labelOnly="1" outline="0" fieldPosition="0">
        <references count="5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94"/>
          </reference>
          <reference field="8" count="1" selected="0">
            <x v="1"/>
          </reference>
        </references>
      </pivotArea>
    </format>
    <format dxfId="662">
      <pivotArea dataOnly="0" labelOnly="1" outline="0" fieldPosition="0">
        <references count="5">
          <reference field="0" count="1" selected="0">
            <x v="977"/>
          </reference>
          <reference field="2" count="1" selected="0">
            <x v="9"/>
          </reference>
          <reference field="3" count="1" selected="0">
            <x v="10"/>
          </reference>
          <reference field="7" count="1">
            <x v="181"/>
          </reference>
          <reference field="8" count="1" selected="0">
            <x v="1"/>
          </reference>
        </references>
      </pivotArea>
    </format>
    <format dxfId="661">
      <pivotArea dataOnly="0" labelOnly="1" outline="0" fieldPosition="0">
        <references count="5">
          <reference field="0" count="1" selected="0">
            <x v="723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73"/>
          </reference>
          <reference field="8" count="1" selected="0">
            <x v="1"/>
          </reference>
        </references>
      </pivotArea>
    </format>
    <format dxfId="660">
      <pivotArea dataOnly="0" labelOnly="1" outline="0" fieldPosition="0">
        <references count="5">
          <reference field="0" count="1" selected="0">
            <x v="264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25"/>
          </reference>
          <reference field="8" count="1" selected="0">
            <x v="1"/>
          </reference>
        </references>
      </pivotArea>
    </format>
    <format dxfId="659">
      <pivotArea dataOnly="0" labelOnly="1" outline="0" fieldPosition="0">
        <references count="5">
          <reference field="0" count="1" selected="0">
            <x v="393"/>
          </reference>
          <reference field="2" count="1" selected="0">
            <x v="8"/>
          </reference>
          <reference field="3" count="1" selected="0">
            <x v="13"/>
          </reference>
          <reference field="7" count="1">
            <x v="303"/>
          </reference>
          <reference field="8" count="1" selected="0">
            <x v="1"/>
          </reference>
        </references>
      </pivotArea>
    </format>
    <format dxfId="658">
      <pivotArea dataOnly="0" labelOnly="1" outline="0" fieldPosition="0">
        <references count="5">
          <reference field="0" count="1" selected="0">
            <x v="593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143"/>
          </reference>
          <reference field="8" count="1" selected="0">
            <x v="1"/>
          </reference>
        </references>
      </pivotArea>
    </format>
    <format dxfId="657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354"/>
          </reference>
          <reference field="8" count="1" selected="0">
            <x v="1"/>
          </reference>
        </references>
      </pivotArea>
    </format>
    <format dxfId="656">
      <pivotArea dataOnly="0" labelOnly="1" outline="0" fieldPosition="0">
        <references count="5">
          <reference field="0" count="1" selected="0">
            <x v="782"/>
          </reference>
          <reference field="2" count="1" selected="0">
            <x v="9"/>
          </reference>
          <reference field="3" count="1" selected="0">
            <x v="1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655">
      <pivotArea dataOnly="0" labelOnly="1" outline="0" fieldPosition="0">
        <references count="5">
          <reference field="0" count="1" selected="0">
            <x v="395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549"/>
          </reference>
          <reference field="8" count="1" selected="0">
            <x v="1"/>
          </reference>
        </references>
      </pivotArea>
    </format>
    <format dxfId="654">
      <pivotArea dataOnly="0" labelOnly="1" outline="0" fieldPosition="0">
        <references count="5">
          <reference field="0" count="1" selected="0">
            <x v="757"/>
          </reference>
          <reference field="2" count="1" selected="0">
            <x v="3"/>
          </reference>
          <reference field="3" count="1" selected="0">
            <x v="12"/>
          </reference>
          <reference field="7" count="1">
            <x v="387"/>
          </reference>
          <reference field="8" count="1" selected="0">
            <x v="1"/>
          </reference>
        </references>
      </pivotArea>
    </format>
    <format dxfId="653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66"/>
          </reference>
          <reference field="8" count="1" selected="0">
            <x v="2"/>
          </reference>
        </references>
      </pivotArea>
    </format>
    <format dxfId="652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10"/>
          </reference>
          <reference field="3" count="1" selected="0">
            <x v="0"/>
          </reference>
          <reference field="7" count="1">
            <x v="401"/>
          </reference>
          <reference field="8" count="1" selected="0">
            <x v="2"/>
          </reference>
        </references>
      </pivotArea>
    </format>
    <format dxfId="65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329"/>
          </reference>
          <reference field="8" count="1" selected="0">
            <x v="2"/>
          </reference>
        </references>
      </pivotArea>
    </format>
    <format dxfId="650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564"/>
          </reference>
          <reference field="8" count="1" selected="0">
            <x v="1"/>
          </reference>
        </references>
      </pivotArea>
    </format>
    <format dxfId="649">
      <pivotArea dataOnly="0" labelOnly="1" outline="0" axis="axisValues" fieldPosition="0"/>
    </format>
    <format dxfId="648">
      <pivotArea type="all" dataOnly="0" outline="0" fieldPosition="0"/>
    </format>
    <format dxfId="647">
      <pivotArea outline="0" collapsedLevelsAreSubtotals="1" fieldPosition="0"/>
    </format>
    <format dxfId="646">
      <pivotArea field="0" type="button" dataOnly="0" labelOnly="1" outline="0" axis="axisRow" fieldPosition="0"/>
    </format>
    <format dxfId="645">
      <pivotArea field="2" type="button" dataOnly="0" labelOnly="1" outline="0" axis="axisRow" fieldPosition="1"/>
    </format>
    <format dxfId="644">
      <pivotArea field="3" type="button" dataOnly="0" labelOnly="1" outline="0" axis="axisRow" fieldPosition="2"/>
    </format>
    <format dxfId="643">
      <pivotArea field="8" type="button" dataOnly="0" labelOnly="1" outline="0" axis="axisRow" fieldPosition="3"/>
    </format>
    <format dxfId="642">
      <pivotArea field="7" type="button" dataOnly="0" labelOnly="1" outline="0" axis="axisRow" fieldPosition="4"/>
    </format>
    <format dxfId="641">
      <pivotArea dataOnly="0" labelOnly="1" outline="0" fieldPosition="0">
        <references count="1">
          <reference field="0" count="50">
            <x v="14"/>
            <x v="27"/>
            <x v="31"/>
            <x v="43"/>
            <x v="44"/>
            <x v="66"/>
            <x v="102"/>
            <x v="104"/>
            <x v="121"/>
            <x v="155"/>
            <x v="168"/>
            <x v="207"/>
            <x v="212"/>
            <x v="221"/>
            <x v="236"/>
            <x v="242"/>
            <x v="250"/>
            <x v="270"/>
            <x v="288"/>
            <x v="298"/>
            <x v="313"/>
            <x v="321"/>
            <x v="351"/>
            <x v="358"/>
            <x v="396"/>
            <x v="401"/>
            <x v="405"/>
            <x v="411"/>
            <x v="424"/>
            <x v="425"/>
            <x v="440"/>
            <x v="441"/>
            <x v="442"/>
            <x v="489"/>
            <x v="523"/>
            <x v="549"/>
            <x v="568"/>
            <x v="579"/>
            <x v="617"/>
            <x v="714"/>
            <x v="716"/>
            <x v="741"/>
            <x v="756"/>
            <x v="824"/>
            <x v="829"/>
            <x v="865"/>
            <x v="866"/>
            <x v="875"/>
            <x v="931"/>
            <x v="935"/>
          </reference>
        </references>
      </pivotArea>
    </format>
    <format dxfId="640">
      <pivotArea dataOnly="0" labelOnly="1" outline="0" fieldPosition="0">
        <references count="1">
          <reference field="0" count="50">
            <x v="5"/>
            <x v="24"/>
            <x v="26"/>
            <x v="33"/>
            <x v="36"/>
            <x v="70"/>
            <x v="88"/>
            <x v="91"/>
            <x v="98"/>
            <x v="100"/>
            <x v="180"/>
            <x v="191"/>
            <x v="199"/>
            <x v="203"/>
            <x v="241"/>
            <x v="243"/>
            <x v="295"/>
            <x v="323"/>
            <x v="333"/>
            <x v="363"/>
            <x v="388"/>
            <x v="451"/>
            <x v="456"/>
            <x v="534"/>
            <x v="570"/>
            <x v="574"/>
            <x v="585"/>
            <x v="587"/>
            <x v="588"/>
            <x v="618"/>
            <x v="619"/>
            <x v="644"/>
            <x v="659"/>
            <x v="670"/>
            <x v="695"/>
            <x v="709"/>
            <x v="712"/>
            <x v="729"/>
            <x v="751"/>
            <x v="825"/>
            <x v="833"/>
            <x v="854"/>
            <x v="886"/>
            <x v="922"/>
            <x v="924"/>
            <x v="932"/>
            <x v="961"/>
            <x v="973"/>
            <x v="982"/>
            <x v="987"/>
          </reference>
        </references>
      </pivotArea>
    </format>
    <format dxfId="639">
      <pivotArea dataOnly="0" labelOnly="1" outline="0" fieldPosition="0">
        <references count="1">
          <reference field="0" count="50">
            <x v="12"/>
            <x v="17"/>
            <x v="20"/>
            <x v="21"/>
            <x v="41"/>
            <x v="63"/>
            <x v="65"/>
            <x v="101"/>
            <x v="120"/>
            <x v="128"/>
            <x v="140"/>
            <x v="154"/>
            <x v="163"/>
            <x v="175"/>
            <x v="206"/>
            <x v="210"/>
            <x v="311"/>
            <x v="374"/>
            <x v="378"/>
            <x v="380"/>
            <x v="389"/>
            <x v="397"/>
            <x v="429"/>
            <x v="472"/>
            <x v="515"/>
            <x v="532"/>
            <x v="535"/>
            <x v="582"/>
            <x v="609"/>
            <x v="630"/>
            <x v="631"/>
            <x v="645"/>
            <x v="689"/>
            <x v="691"/>
            <x v="696"/>
            <x v="711"/>
            <x v="715"/>
            <x v="726"/>
            <x v="768"/>
            <x v="783"/>
            <x v="820"/>
            <x v="830"/>
            <x v="837"/>
            <x v="838"/>
            <x v="879"/>
            <x v="885"/>
            <x v="940"/>
            <x v="954"/>
            <x v="993"/>
            <x v="994"/>
          </reference>
        </references>
      </pivotArea>
    </format>
    <format dxfId="638">
      <pivotArea dataOnly="0" labelOnly="1" outline="0" fieldPosition="0">
        <references count="1">
          <reference field="0" count="31">
            <x v="16"/>
            <x v="82"/>
            <x v="129"/>
            <x v="133"/>
            <x v="173"/>
            <x v="232"/>
            <x v="239"/>
            <x v="261"/>
            <x v="264"/>
            <x v="302"/>
            <x v="341"/>
            <x v="391"/>
            <x v="393"/>
            <x v="395"/>
            <x v="453"/>
            <x v="578"/>
            <x v="593"/>
            <x v="605"/>
            <x v="613"/>
            <x v="615"/>
            <x v="648"/>
            <x v="694"/>
            <x v="704"/>
            <x v="706"/>
            <x v="723"/>
            <x v="757"/>
            <x v="782"/>
            <x v="860"/>
            <x v="889"/>
            <x v="955"/>
            <x v="977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207"/>
          </reference>
          <reference field="2" count="1">
            <x v="7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935"/>
          </reference>
          <reference field="2" count="1">
            <x v="10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104"/>
          </reference>
          <reference field="2" count="1">
            <x v="9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716"/>
          </reference>
          <reference field="2" count="1">
            <x v="5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875"/>
          </reference>
          <reference field="2" count="1">
            <x v="6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411"/>
          </reference>
          <reference field="2" count="1">
            <x v="2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396"/>
          </reference>
          <reference field="2" count="1">
            <x v="0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617"/>
          </reference>
          <reference field="2" count="1">
            <x v="4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288"/>
          </reference>
          <reference field="2" count="1">
            <x v="2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14"/>
          </reference>
          <reference field="2" count="1">
            <x v="0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270"/>
          </reference>
          <reference field="2" count="1">
            <x v="8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756"/>
          </reference>
          <reference field="2" count="1">
            <x v="3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44"/>
          </reference>
          <reference field="2" count="1">
            <x v="6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321"/>
          </reference>
          <reference field="2" count="1">
            <x v="1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424"/>
          </reference>
          <reference field="2" count="1">
            <x v="12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155"/>
          </reference>
          <reference field="2" count="1">
            <x v="2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313"/>
          </reference>
          <reference field="2" count="1">
            <x v="0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829"/>
          </reference>
          <reference field="2" count="1">
            <x v="9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824"/>
          </reference>
          <reference field="2" count="1">
            <x v="2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442"/>
          </reference>
          <reference field="2" count="1">
            <x v="9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168"/>
          </reference>
          <reference field="2" count="1">
            <x v="10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242"/>
          </reference>
          <reference field="2" count="1">
            <x v="12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66"/>
          </reference>
          <reference field="2" count="1">
            <x v="11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43"/>
          </reference>
          <reference field="2" count="1">
            <x v="5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121"/>
          </reference>
          <reference field="2" count="1">
            <x v="8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405"/>
          </reference>
          <reference field="2" count="1">
            <x v="4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931"/>
          </reference>
          <reference field="2" count="1">
            <x v="9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489"/>
          </reference>
          <reference field="2" count="1">
            <x v="11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298"/>
          </reference>
          <reference field="2" count="1">
            <x v="0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221"/>
          </reference>
          <reference field="2" count="1">
            <x v="1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212"/>
          </reference>
          <reference field="2" count="1">
            <x v="7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351"/>
          </reference>
          <reference field="2" count="1">
            <x v="8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358"/>
          </reference>
          <reference field="2" count="1">
            <x v="6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741"/>
          </reference>
          <reference field="2" count="1">
            <x v="12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401"/>
          </reference>
          <reference field="2" count="1">
            <x v="8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865"/>
          </reference>
          <reference field="2" count="1">
            <x v="1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441"/>
          </reference>
          <reference field="2" count="1">
            <x v="4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425"/>
          </reference>
          <reference field="2" count="1">
            <x v="9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31"/>
          </reference>
          <reference field="2" count="1">
            <x v="10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579"/>
          </reference>
          <reference field="2" count="1">
            <x v="6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549"/>
          </reference>
          <reference field="2" count="1">
            <x v="5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236"/>
          </reference>
          <reference field="2" count="1">
            <x v="2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714"/>
          </reference>
          <reference field="2" count="1">
            <x v="8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440"/>
          </reference>
          <reference field="2" count="1">
            <x v="1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102"/>
          </reference>
          <reference field="2" count="1">
            <x v="10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100"/>
          </reference>
          <reference field="2" count="1">
            <x v="4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922"/>
          </reference>
          <reference field="2" count="1">
            <x v="5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619"/>
          </reference>
          <reference field="2" count="1">
            <x v="6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98"/>
          </reference>
          <reference field="2" count="1">
            <x v="3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534"/>
          </reference>
          <reference field="2" count="1">
            <x v="4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982"/>
          </reference>
          <reference field="2" count="1">
            <x v="9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973"/>
          </reference>
          <reference field="2" count="1">
            <x v="12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570"/>
          </reference>
          <reference field="2" count="1">
            <x v="6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833"/>
          </reference>
          <reference field="2" count="1">
            <x v="7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659"/>
          </reference>
          <reference field="2" count="1">
            <x v="9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203"/>
          </reference>
          <reference field="2" count="1">
            <x v="1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886"/>
          </reference>
          <reference field="2" count="1">
            <x v="2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456"/>
          </reference>
          <reference field="2" count="1">
            <x v="3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333"/>
          </reference>
          <reference field="2" count="1">
            <x v="10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191"/>
          </reference>
          <reference field="2" count="1">
            <x v="8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932"/>
          </reference>
          <reference field="2" count="1">
            <x v="9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618"/>
          </reference>
          <reference field="2" count="1">
            <x v="6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695"/>
          </reference>
          <reference field="2" count="1">
            <x v="2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36"/>
          </reference>
          <reference field="2" count="1">
            <x v="4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712"/>
          </reference>
          <reference field="2" count="1">
            <x v="2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199"/>
          </reference>
          <reference field="2" count="1">
            <x v="7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585"/>
          </reference>
          <reference field="2" count="1">
            <x v="9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91"/>
          </reference>
          <reference field="2" count="1">
            <x v="12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574"/>
          </reference>
          <reference field="2" count="1">
            <x v="2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323"/>
          </reference>
          <reference field="2" count="1">
            <x v="10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670"/>
          </reference>
          <reference field="2" count="1">
            <x v="3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241"/>
          </reference>
          <reference field="2" count="1">
            <x v="7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33"/>
          </reference>
          <reference field="2" count="1">
            <x v="1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243"/>
          </reference>
          <reference field="2" count="1">
            <x v="3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451"/>
          </reference>
          <reference field="2" count="1">
            <x v="8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24"/>
          </reference>
          <reference field="2" count="1">
            <x v="9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70"/>
          </reference>
          <reference field="2" count="1">
            <x v="2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26"/>
          </reference>
          <reference field="2" count="1">
            <x v="5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587"/>
          </reference>
          <reference field="2" count="1">
            <x v="10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825"/>
          </reference>
          <reference field="2" count="1">
            <x v="7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5"/>
          </reference>
          <reference field="2" count="1">
            <x v="4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295"/>
          </reference>
          <reference field="2" count="1">
            <x v="7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854"/>
          </reference>
          <reference field="2" count="1">
            <x v="5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987"/>
          </reference>
          <reference field="2" count="1">
            <x v="11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924"/>
          </reference>
          <reference field="2" count="1">
            <x v="8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644"/>
          </reference>
          <reference field="2" count="1">
            <x v="4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709"/>
          </reference>
          <reference field="2" count="1">
            <x v="7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180"/>
          </reference>
          <reference field="2" count="1">
            <x v="2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961"/>
          </reference>
          <reference field="2" count="1">
            <x v="7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729"/>
          </reference>
          <reference field="2" count="1">
            <x v="12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388"/>
          </reference>
          <reference field="2" count="1">
            <x v="3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363"/>
          </reference>
          <reference field="2" count="1">
            <x v="12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609"/>
          </reference>
          <reference field="2" count="1">
            <x v="2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210"/>
          </reference>
          <reference field="2" count="1">
            <x v="7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101"/>
          </reference>
          <reference field="2" count="1">
            <x v="0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65"/>
          </reference>
          <reference field="2" count="1">
            <x v="12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879"/>
          </reference>
          <reference field="2" count="1">
            <x v="7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128"/>
          </reference>
          <reference field="2" count="1">
            <x v="2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993"/>
          </reference>
          <reference field="2" count="1">
            <x v="4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630"/>
          </reference>
          <reference field="2" count="1">
            <x v="9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41"/>
          </reference>
          <reference field="2" count="1">
            <x v="11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783"/>
          </reference>
          <reference field="2" count="1">
            <x v="4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820"/>
          </reference>
          <reference field="2" count="1">
            <x v="12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885"/>
          </reference>
          <reference field="2" count="1">
            <x v="9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397"/>
          </reference>
          <reference field="2" count="1">
            <x v="4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311"/>
          </reference>
          <reference field="2" count="1">
            <x v="8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532"/>
          </reference>
          <reference field="2" count="1">
            <x v="3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940"/>
          </reference>
          <reference field="2" count="1">
            <x v="1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830"/>
          </reference>
          <reference field="2" count="1">
            <x v="0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389"/>
          </reference>
          <reference field="2" count="1">
            <x v="1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140"/>
          </reference>
          <reference field="2" count="1">
            <x v="9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711"/>
          </reference>
          <reference field="2" count="1">
            <x v="10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837"/>
          </reference>
          <reference field="2" count="1">
            <x v="8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689"/>
          </reference>
          <reference field="2" count="1">
            <x v="3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472"/>
          </reference>
          <reference field="2" count="1">
            <x v="7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429"/>
          </reference>
          <reference field="2" count="1">
            <x v="4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120"/>
          </reference>
          <reference field="2" count="1">
            <x v="3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954"/>
          </reference>
          <reference field="2" count="1">
            <x v="5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838"/>
          </reference>
          <reference field="2" count="1">
            <x v="9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768"/>
          </reference>
          <reference field="2" count="1">
            <x v="6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380"/>
          </reference>
          <reference field="2" count="1">
            <x v="3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175"/>
          </reference>
          <reference field="2" count="1">
            <x v="6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515"/>
          </reference>
          <reference field="2" count="1">
            <x v="12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582"/>
          </reference>
          <reference field="2" count="1">
            <x v="5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206"/>
          </reference>
          <reference field="2" count="1">
            <x v="12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154"/>
          </reference>
          <reference field="2" count="1">
            <x v="10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12"/>
          </reference>
          <reference field="2" count="1">
            <x v="12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17"/>
          </reference>
          <reference field="2" count="1">
            <x v="4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163"/>
          </reference>
          <reference field="2" count="1">
            <x v="11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645"/>
          </reference>
          <reference field="2" count="1">
            <x v="5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535"/>
          </reference>
          <reference field="2" count="1">
            <x v="7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994"/>
          </reference>
          <reference field="2" count="1">
            <x v="12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21"/>
          </reference>
          <reference field="2" count="1">
            <x v="10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715"/>
          </reference>
          <reference field="2" count="1">
            <x v="12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631"/>
          </reference>
          <reference field="2" count="1">
            <x v="9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691"/>
          </reference>
          <reference field="2" count="1">
            <x v="11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374"/>
          </reference>
          <reference field="2" count="1">
            <x v="8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391"/>
          </reference>
          <reference field="2" count="1">
            <x v="10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341"/>
          </reference>
          <reference field="2" count="1">
            <x v="1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173"/>
          </reference>
          <reference field="2" count="1">
            <x v="4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706"/>
          </reference>
          <reference field="2" count="1">
            <x v="3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889"/>
          </reference>
          <reference field="2" count="1">
            <x v="6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860"/>
          </reference>
          <reference field="2" count="1">
            <x v="12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129"/>
          </reference>
          <reference field="2" count="1">
            <x v="1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704"/>
          </reference>
          <reference field="2" count="1">
            <x v="3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239"/>
          </reference>
          <reference field="2" count="1">
            <x v="8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613"/>
          </reference>
          <reference field="2" count="1">
            <x v="2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605"/>
          </reference>
          <reference field="2" count="1">
            <x v="0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615"/>
          </reference>
          <reference field="2" count="1">
            <x v="10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453"/>
          </reference>
          <reference field="2" count="1">
            <x v="7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694"/>
          </reference>
          <reference field="2" count="1">
            <x v="8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578"/>
          </reference>
          <reference field="2" count="1">
            <x v="3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648"/>
          </reference>
          <reference field="2" count="1">
            <x v="4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977"/>
          </reference>
          <reference field="2" count="1">
            <x v="9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723"/>
          </reference>
          <reference field="2" count="1">
            <x v="6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264"/>
          </reference>
          <reference field="2" count="1">
            <x v="3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393"/>
          </reference>
          <reference field="2" count="1">
            <x v="8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593"/>
          </reference>
          <reference field="2" count="1">
            <x v="0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133"/>
          </reference>
          <reference field="2" count="1">
            <x v="6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782"/>
          </reference>
          <reference field="2" count="1">
            <x v="9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395"/>
          </reference>
          <reference field="2" count="1">
            <x v="5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757"/>
          </reference>
          <reference field="2" count="1">
            <x v="3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16"/>
          </reference>
          <reference field="2" count="1">
            <x v="1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302"/>
          </reference>
          <reference field="2" count="1">
            <x v="10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261"/>
          </reference>
          <reference field="2" count="1">
            <x v="0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232"/>
          </reference>
          <reference field="2" count="1">
            <x v="1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207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935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04"/>
          </reference>
          <reference field="2" count="1" selected="0">
            <x v="9"/>
          </reference>
          <reference field="3" count="1">
            <x v="9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716"/>
          </reference>
          <reference field="2" count="1" selected="0">
            <x v="5"/>
          </reference>
          <reference field="3" count="1">
            <x v="6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875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411"/>
          </reference>
          <reference field="2" count="1" selected="0">
            <x v="2"/>
          </reference>
          <reference field="3" count="1">
            <x v="0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396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617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523"/>
          </reference>
          <reference field="2" count="1" selected="0">
            <x v="4"/>
          </reference>
          <reference field="3" count="1">
            <x v="9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288"/>
          </reference>
          <reference field="2" count="1" selected="0">
            <x v="2"/>
          </reference>
          <reference field="3" count="1">
            <x v="11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250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0"/>
          </reference>
          <reference field="3" count="1">
            <x v="4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270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756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44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321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424"/>
          </reference>
          <reference field="2" count="1" selected="0">
            <x v="12"/>
          </reference>
          <reference field="3" count="1">
            <x v="14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155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313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829"/>
          </reference>
          <reference field="2" count="1" selected="0">
            <x v="9"/>
          </reference>
          <reference field="3" count="1">
            <x v="14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824"/>
          </reference>
          <reference field="2" count="1" selected="0">
            <x v="2"/>
          </reference>
          <reference field="3" count="1">
            <x v="6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442"/>
          </reference>
          <reference field="2" count="1" selected="0">
            <x v="9"/>
          </reference>
          <reference field="3" count="1">
            <x v="13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168"/>
          </reference>
          <reference field="2" count="1" selected="0">
            <x v="10"/>
          </reference>
          <reference field="3" count="1">
            <x v="10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242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66"/>
          </reference>
          <reference field="2" count="1" selected="0">
            <x v="11"/>
          </reference>
          <reference field="3" count="1">
            <x v="13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8"/>
          </reference>
          <reference field="3" count="1">
            <x v="7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2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405"/>
          </reference>
          <reference field="2" count="1" selected="0">
            <x v="4"/>
          </reference>
          <reference field="3" count="1">
            <x v="1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931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489"/>
          </reference>
          <reference field="2" count="1" selected="0">
            <x v="11"/>
          </reference>
          <reference field="3" count="1">
            <x v="11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298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221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212"/>
          </reference>
          <reference field="2" count="1" selected="0">
            <x v="7"/>
          </reference>
          <reference field="3" count="1">
            <x v="10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351"/>
          </reference>
          <reference field="2" count="1" selected="0">
            <x v="8"/>
          </reference>
          <reference field="3" count="1">
            <x v="6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358"/>
          </reference>
          <reference field="2" count="1" selected="0">
            <x v="6"/>
          </reference>
          <reference field="3" count="1">
            <x v="4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741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40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865"/>
          </reference>
          <reference field="2" count="1" selected="0">
            <x v="1"/>
          </reference>
          <reference field="3" count="1">
            <x v="10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441"/>
          </reference>
          <reference field="2" count="1" selected="0">
            <x v="4"/>
          </reference>
          <reference field="3" count="1">
            <x v="3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425"/>
          </reference>
          <reference field="2" count="1" selected="0">
            <x v="9"/>
          </reference>
          <reference field="3" count="1">
            <x v="12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3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579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549"/>
          </reference>
          <reference field="2" count="1" selected="0">
            <x v="5"/>
          </reference>
          <reference field="3" count="1">
            <x v="15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236"/>
          </reference>
          <reference field="2" count="1" selected="0">
            <x v="2"/>
          </reference>
          <reference field="3" count="1">
            <x v="13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714"/>
          </reference>
          <reference field="2" count="1" selected="0">
            <x v="8"/>
          </reference>
          <reference field="3" count="1">
            <x v="8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440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866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02"/>
          </reference>
          <reference field="2" count="1" selected="0">
            <x v="10"/>
          </reference>
          <reference field="3" count="1">
            <x v="6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568"/>
          </reference>
          <reference field="2" count="1" selected="0">
            <x v="10"/>
          </reference>
          <reference field="3" count="1">
            <x v="2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100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922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619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9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534"/>
          </reference>
          <reference field="2" count="1" selected="0">
            <x v="4"/>
          </reference>
          <reference field="3" count="1">
            <x v="11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982"/>
          </reference>
          <reference field="2" count="1" selected="0">
            <x v="9"/>
          </reference>
          <reference field="3" count="1">
            <x v="4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973"/>
          </reference>
          <reference field="2" count="1" selected="0">
            <x v="12"/>
          </reference>
          <reference field="3" count="1">
            <x v="2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570"/>
          </reference>
          <reference field="2" count="1" selected="0">
            <x v="6"/>
          </reference>
          <reference field="3" count="1">
            <x v="14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83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659"/>
          </reference>
          <reference field="2" count="1" selected="0">
            <x v="9"/>
          </reference>
          <reference field="3" count="1">
            <x v="0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20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886"/>
          </reference>
          <reference field="2" count="1" selected="0">
            <x v="2"/>
          </reference>
          <reference field="3" count="1">
            <x v="10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751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456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932"/>
          </reference>
          <reference field="2" count="1" selected="0">
            <x v="9"/>
          </reference>
          <reference field="3" count="1">
            <x v="7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618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695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712"/>
          </reference>
          <reference field="2" count="1" selected="0">
            <x v="2"/>
          </reference>
          <reference field="3" count="1">
            <x v="8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99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91"/>
          </reference>
          <reference field="2" count="1" selected="0">
            <x v="12"/>
          </reference>
          <reference field="3" count="1">
            <x v="0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88"/>
          </reference>
          <reference field="2" count="1" selected="0">
            <x v="12"/>
          </reference>
          <reference field="3" count="1">
            <x v="4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574"/>
          </reference>
          <reference field="2" count="1" selected="0">
            <x v="2"/>
          </reference>
          <reference field="3" count="1">
            <x v="14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323"/>
          </reference>
          <reference field="2" count="1" selected="0">
            <x v="10"/>
          </reference>
          <reference field="3" count="1">
            <x v="13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670"/>
          </reference>
          <reference field="2" count="1" selected="0">
            <x v="3"/>
          </reference>
          <reference field="3" count="1">
            <x v="4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241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33"/>
          </reference>
          <reference field="2" count="1" selected="0">
            <x v="1"/>
          </reference>
          <reference field="3" count="1">
            <x v="9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243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451"/>
          </reference>
          <reference field="2" count="1" selected="0">
            <x v="8"/>
          </reference>
          <reference field="3" count="1">
            <x v="4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24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70"/>
          </reference>
          <reference field="2" count="1" selected="0">
            <x v="2"/>
          </reference>
          <reference field="3" count="1">
            <x v="4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587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825"/>
          </reference>
          <reference field="2" count="1" selected="0">
            <x v="7"/>
          </reference>
          <reference field="3" count="1">
            <x v="12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4"/>
          </reference>
          <reference field="3" count="1">
            <x v="15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295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854"/>
          </reference>
          <reference field="2" count="1" selected="0">
            <x v="5"/>
          </reference>
          <reference field="3" count="1">
            <x v="4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987"/>
          </reference>
          <reference field="2" count="1" selected="0">
            <x v="11"/>
          </reference>
          <reference field="3" count="1">
            <x v="12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924"/>
          </reference>
          <reference field="2" count="1" selected="0">
            <x v="8"/>
          </reference>
          <reference field="3" count="1">
            <x v="3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644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58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709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180"/>
          </reference>
          <reference field="2" count="1" selected="0">
            <x v="2"/>
          </reference>
          <reference field="3" count="1">
            <x v="12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961"/>
          </reference>
          <reference field="2" count="1" selected="0">
            <x v="7"/>
          </reference>
          <reference field="3" count="1">
            <x v="13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729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388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363"/>
          </reference>
          <reference field="2" count="1" selected="0">
            <x v="12"/>
          </reference>
          <reference field="3" count="1">
            <x v="12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609"/>
          </reference>
          <reference field="2" count="1" selected="0">
            <x v="2"/>
          </reference>
          <reference field="3" count="1">
            <x v="9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210"/>
          </reference>
          <reference field="2" count="1" selected="0">
            <x v="7"/>
          </reference>
          <reference field="3" count="1">
            <x v="14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101"/>
          </reference>
          <reference field="2" count="1" selected="0">
            <x v="0"/>
          </reference>
          <reference field="3" count="1">
            <x v="15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65"/>
          </reference>
          <reference field="2" count="1" selected="0">
            <x v="12"/>
          </reference>
          <reference field="3" count="1">
            <x v="7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879"/>
          </reference>
          <reference field="2" count="1" selected="0">
            <x v="7"/>
          </reference>
          <reference field="3" count="1">
            <x v="9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128"/>
          </reference>
          <reference field="2" count="1" selected="0">
            <x v="2"/>
          </reference>
          <reference field="3" count="1">
            <x v="2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378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993"/>
          </reference>
          <reference field="2" count="1" selected="0">
            <x v="4"/>
          </reference>
          <reference field="3" count="1">
            <x v="5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630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11"/>
          </reference>
          <reference field="3" count="1">
            <x v="10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783"/>
          </reference>
          <reference field="2" count="1" selected="0">
            <x v="4"/>
          </reference>
          <reference field="3" count="1">
            <x v="2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397"/>
          </reference>
          <reference field="2" count="1" selected="0">
            <x v="4"/>
          </reference>
          <reference field="3" count="1">
            <x v="12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31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532"/>
          </reference>
          <reference field="2" count="1" selected="0">
            <x v="3"/>
          </reference>
          <reference field="3" count="1">
            <x v="10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940"/>
          </reference>
          <reference field="2" count="1" selected="0">
            <x v="1"/>
          </reference>
          <reference field="3" count="1">
            <x v="8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830"/>
          </reference>
          <reference field="2" count="1" selected="0">
            <x v="0"/>
          </reference>
          <reference field="3" count="1">
            <x v="11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389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140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711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726"/>
          </reference>
          <reference field="2" count="1" selected="0">
            <x v="10"/>
          </reference>
          <reference field="3" count="1">
            <x v="4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837"/>
          </reference>
          <reference field="2" count="1" selected="0">
            <x v="8"/>
          </reference>
          <reference field="3" count="1">
            <x v="0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689"/>
          </reference>
          <reference field="2" count="1" selected="0">
            <x v="3"/>
          </reference>
          <reference field="3" count="1">
            <x v="6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472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429"/>
          </reference>
          <reference field="2" count="1" selected="0">
            <x v="4"/>
          </reference>
          <reference field="3" count="1">
            <x v="14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3"/>
          </reference>
          <reference field="3" count="1">
            <x v="2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954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838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768"/>
          </reference>
          <reference field="2" count="1" selected="0">
            <x v="6"/>
          </reference>
          <reference field="3" count="1">
            <x v="10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380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175"/>
          </reference>
          <reference field="2" count="1" selected="0">
            <x v="6"/>
          </reference>
          <reference field="3" count="1">
            <x v="5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515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582"/>
          </reference>
          <reference field="2" count="1" selected="0">
            <x v="5"/>
          </reference>
          <reference field="3" count="1">
            <x v="12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206"/>
          </reference>
          <reference field="2" count="1" selected="0">
            <x v="12"/>
          </reference>
          <reference field="3" count="1">
            <x v="6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154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4"/>
          </reference>
          <reference field="3" count="1">
            <x v="6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163"/>
          </reference>
          <reference field="2" count="1" selected="0">
            <x v="11"/>
          </reference>
          <reference field="3" count="1">
            <x v="1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645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535"/>
          </reference>
          <reference field="2" count="1" selected="0">
            <x v="7"/>
          </reference>
          <reference field="3" count="1">
            <x v="6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63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994"/>
          </reference>
          <reference field="2" count="1" selected="0">
            <x v="12"/>
          </reference>
          <reference field="3" count="1">
            <x v="13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10"/>
          </reference>
          <reference field="3" count="1">
            <x v="7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715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631"/>
          </reference>
          <reference field="2" count="1" selected="0">
            <x v="9"/>
          </reference>
          <reference field="3" count="1">
            <x v="11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696"/>
          </reference>
          <reference field="2" count="1" selected="0">
            <x v="9"/>
          </reference>
          <reference field="3" count="1">
            <x v="8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691"/>
          </reference>
          <reference field="2" count="1" selected="0">
            <x v="11"/>
          </reference>
          <reference field="3" count="1">
            <x v="3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391"/>
          </reference>
          <reference field="2" count="1" selected="0">
            <x v="10"/>
          </reference>
          <reference field="3" count="1">
            <x v="15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341"/>
          </reference>
          <reference field="2" count="1" selected="0">
            <x v="1"/>
          </reference>
          <reference field="3" count="1">
            <x v="2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173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706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860"/>
          </reference>
          <reference field="2" count="1" selected="0">
            <x v="12"/>
          </reference>
          <reference field="3" count="1">
            <x v="3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955"/>
          </reference>
          <reference field="2" count="1" selected="0">
            <x v="12"/>
          </reference>
          <reference field="3" count="1">
            <x v="5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129"/>
          </reference>
          <reference field="2" count="1" selected="0">
            <x v="1"/>
          </reference>
          <reference field="3" count="1">
            <x v="1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704"/>
          </reference>
          <reference field="2" count="1" selected="0">
            <x v="3"/>
          </reference>
          <reference field="3" count="1">
            <x v="0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239"/>
          </reference>
          <reference field="2" count="1" selected="0">
            <x v="8"/>
          </reference>
          <reference field="3" count="1">
            <x v="14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613"/>
          </reference>
          <reference field="2" count="1" selected="0">
            <x v="2"/>
          </reference>
          <reference field="3" count="1">
            <x v="15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605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615"/>
          </reference>
          <reference field="2" count="1" selected="0">
            <x v="10"/>
          </reference>
          <reference field="3" count="1">
            <x v="3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453"/>
          </reference>
          <reference field="2" count="1" selected="0">
            <x v="7"/>
          </reference>
          <reference field="3" count="1">
            <x v="1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694"/>
          </reference>
          <reference field="2" count="1" selected="0">
            <x v="8"/>
          </reference>
          <reference field="3" count="1">
            <x v="12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578"/>
          </reference>
          <reference field="2" count="1" selected="0">
            <x v="3"/>
          </reference>
          <reference field="3" count="1">
            <x v="15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82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648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977"/>
          </reference>
          <reference field="2" count="1" selected="0">
            <x v="9"/>
          </reference>
          <reference field="3" count="1">
            <x v="10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723"/>
          </reference>
          <reference field="2" count="1" selected="0">
            <x v="6"/>
          </reference>
          <reference field="3" count="1">
            <x v="3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264"/>
          </reference>
          <reference field="2" count="1" selected="0">
            <x v="3"/>
          </reference>
          <reference field="3" count="1">
            <x v="14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393"/>
          </reference>
          <reference field="2" count="1" selected="0">
            <x v="8"/>
          </reference>
          <reference field="3" count="1">
            <x v="13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593"/>
          </reference>
          <reference field="2" count="1" selected="0">
            <x v="0"/>
          </reference>
          <reference field="3" count="1">
            <x v="12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133"/>
          </reference>
          <reference field="2" count="1" selected="0">
            <x v="6"/>
          </reference>
          <reference field="3" count="1">
            <x v="8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782"/>
          </reference>
          <reference field="2" count="1" selected="0">
            <x v="9"/>
          </reference>
          <reference field="3" count="1">
            <x v="1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757"/>
          </reference>
          <reference field="2" count="1" selected="0">
            <x v="3"/>
          </reference>
          <reference field="3" count="1">
            <x v="12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1"/>
          </reference>
          <reference field="3" count="1">
            <x v="14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302"/>
          </reference>
          <reference field="2" count="1" selected="0">
            <x v="10"/>
          </reference>
          <reference field="3" count="1">
            <x v="0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261"/>
          </reference>
          <reference field="2" count="1" selected="0">
            <x v="0"/>
          </reference>
          <reference field="3" count="1">
            <x v="2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232"/>
          </reference>
          <reference field="2" count="1" selected="0">
            <x v="1"/>
          </reference>
          <reference field="3" count="1">
            <x v="3"/>
          </reference>
        </references>
      </pivotArea>
    </format>
    <format dxfId="300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29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298">
      <pivotArea dataOnly="0" labelOnly="1" outline="0" fieldPosition="0">
        <references count="4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297">
      <pivotArea dataOnly="0" labelOnly="1" outline="0" fieldPosition="0">
        <references count="4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8" count="1">
            <x v="2"/>
          </reference>
        </references>
      </pivotArea>
    </format>
    <format dxfId="296">
      <pivotArea dataOnly="0" labelOnly="1" outline="0" fieldPosition="0">
        <references count="4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295">
      <pivotArea dataOnly="0" labelOnly="1" outline="0" fieldPosition="0">
        <references count="4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8" count="1">
            <x v="2"/>
          </reference>
        </references>
      </pivotArea>
    </format>
    <format dxfId="294">
      <pivotArea dataOnly="0" labelOnly="1" outline="0" fieldPosition="0">
        <references count="4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29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292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291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290">
      <pivotArea dataOnly="0" labelOnly="1" outline="0" fieldPosition="0">
        <references count="4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8" count="1">
            <x v="1"/>
          </reference>
        </references>
      </pivotArea>
    </format>
    <format dxfId="28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288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287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286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285">
      <pivotArea dataOnly="0" labelOnly="1" outline="0" fieldPosition="0">
        <references count="4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284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283">
      <pivotArea dataOnly="0" labelOnly="1" outline="0" fieldPosition="0">
        <references count="4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8" count="1">
            <x v="2"/>
          </reference>
        </references>
      </pivotArea>
    </format>
    <format dxfId="282">
      <pivotArea dataOnly="0" labelOnly="1" outline="0" fieldPosition="0">
        <references count="4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281">
      <pivotArea dataOnly="0" labelOnly="1" outline="0" fieldPosition="0">
        <references count="4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280">
      <pivotArea dataOnly="0" labelOnly="1" outline="0" fieldPosition="0">
        <references count="4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1"/>
          </reference>
        </references>
      </pivotArea>
    </format>
    <format dxfId="27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278">
      <pivotArea dataOnly="0" labelOnly="1" outline="0" fieldPosition="0">
        <references count="4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277">
      <pivotArea dataOnly="0" labelOnly="1" outline="0" fieldPosition="0">
        <references count="4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8" count="1">
            <x v="2"/>
          </reference>
        </references>
      </pivotArea>
    </format>
    <format dxfId="276">
      <pivotArea dataOnly="0" labelOnly="1" outline="0" fieldPosition="0">
        <references count="4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275">
      <pivotArea dataOnly="0" labelOnly="1" outline="0" fieldPosition="0">
        <references count="4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74">
      <pivotArea dataOnly="0" labelOnly="1" outline="0" fieldPosition="0">
        <references count="4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27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2"/>
          </reference>
        </references>
      </pivotArea>
    </format>
    <format dxfId="272">
      <pivotArea dataOnly="0" labelOnly="1" outline="0" fieldPosition="0">
        <references count="4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27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70">
      <pivotArea dataOnly="0" labelOnly="1" outline="0" fieldPosition="0">
        <references count="4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8" count="1">
            <x v="1"/>
          </reference>
        </references>
      </pivotArea>
    </format>
    <format dxfId="269">
      <pivotArea dataOnly="0" labelOnly="1" outline="0" fieldPosition="0">
        <references count="4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268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8" count="1">
            <x v="1"/>
          </reference>
        </references>
      </pivotArea>
    </format>
    <format dxfId="267">
      <pivotArea dataOnly="0" labelOnly="1" outline="0" fieldPosition="0">
        <references count="4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266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265">
      <pivotArea dataOnly="0" labelOnly="1" outline="0" fieldPosition="0">
        <references count="4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8" count="1">
            <x v="2"/>
          </reference>
        </references>
      </pivotArea>
    </format>
    <format dxfId="264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263">
      <pivotArea dataOnly="0" labelOnly="1" outline="0" fieldPosition="0">
        <references count="4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62">
      <pivotArea dataOnly="0" labelOnly="1" outline="0" fieldPosition="0">
        <references count="4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8" count="1">
            <x v="1"/>
          </reference>
        </references>
      </pivotArea>
    </format>
    <format dxfId="26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60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259">
      <pivotArea dataOnly="0" labelOnly="1" outline="0" fieldPosition="0">
        <references count="4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58">
      <pivotArea dataOnly="0" labelOnly="1" outline="0" fieldPosition="0">
        <references count="4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257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256">
      <pivotArea dataOnly="0" labelOnly="1" outline="0" fieldPosition="0">
        <references count="4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255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54">
      <pivotArea dataOnly="0" labelOnly="1" outline="0" fieldPosition="0">
        <references count="4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8" count="1">
            <x v="1"/>
          </reference>
        </references>
      </pivotArea>
    </format>
    <format dxfId="253">
      <pivotArea dataOnly="0" labelOnly="1" outline="0" fieldPosition="0">
        <references count="4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252">
      <pivotArea dataOnly="0" labelOnly="1" outline="0" fieldPosition="0">
        <references count="4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8" count="1">
            <x v="1"/>
          </reference>
        </references>
      </pivotArea>
    </format>
    <format dxfId="251">
      <pivotArea dataOnly="0" labelOnly="1" outline="0" fieldPosition="0">
        <references count="4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25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249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8" count="1">
            <x v="2"/>
          </reference>
        </references>
      </pivotArea>
    </format>
    <format dxfId="248">
      <pivotArea dataOnly="0" labelOnly="1" outline="0" fieldPosition="0">
        <references count="4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8" count="1">
            <x v="1"/>
          </reference>
        </references>
      </pivotArea>
    </format>
    <format dxfId="247">
      <pivotArea dataOnly="0" labelOnly="1" outline="0" fieldPosition="0">
        <references count="4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46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245">
      <pivotArea dataOnly="0" labelOnly="1" outline="0" fieldPosition="0">
        <references count="4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244">
      <pivotArea dataOnly="0" labelOnly="1" outline="0" fieldPosition="0">
        <references count="4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24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242">
      <pivotArea dataOnly="0" labelOnly="1" outline="0" fieldPosition="0">
        <references count="4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241">
      <pivotArea dataOnly="0" labelOnly="1" outline="0" fieldPosition="0">
        <references count="4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240">
      <pivotArea dataOnly="0" labelOnly="1" outline="0" fieldPosition="0">
        <references count="4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239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8" count="1">
            <x v="2"/>
          </reference>
        </references>
      </pivotArea>
    </format>
    <format dxfId="238">
      <pivotArea dataOnly="0" labelOnly="1" outline="0" fieldPosition="0">
        <references count="4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8" count="1">
            <x v="1"/>
          </reference>
        </references>
      </pivotArea>
    </format>
    <format dxfId="237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8" count="1">
            <x v="2"/>
          </reference>
        </references>
      </pivotArea>
    </format>
    <format dxfId="236">
      <pivotArea dataOnly="0" labelOnly="1" outline="0" fieldPosition="0">
        <references count="4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235">
      <pivotArea dataOnly="0" labelOnly="1" outline="0" fieldPosition="0">
        <references count="4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234">
      <pivotArea dataOnly="0" labelOnly="1" outline="0" fieldPosition="0">
        <references count="4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233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32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8" count="1">
            <x v="1"/>
          </reference>
        </references>
      </pivotArea>
    </format>
    <format dxfId="231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30">
      <pivotArea dataOnly="0" labelOnly="1" outline="0" fieldPosition="0">
        <references count="4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229">
      <pivotArea dataOnly="0" labelOnly="1" outline="0" fieldPosition="0">
        <references count="4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8" count="1">
            <x v="2"/>
          </reference>
        </references>
      </pivotArea>
    </format>
    <format dxfId="228">
      <pivotArea dataOnly="0" labelOnly="1" outline="0" fieldPosition="0">
        <references count="4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8" count="1">
            <x v="1"/>
          </reference>
        </references>
      </pivotArea>
    </format>
    <format dxfId="227">
      <pivotArea dataOnly="0" labelOnly="1" outline="0" fieldPosition="0">
        <references count="4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8" count="1">
            <x v="2"/>
          </reference>
        </references>
      </pivotArea>
    </format>
    <format dxfId="226">
      <pivotArea dataOnly="0" labelOnly="1" outline="0" fieldPosition="0">
        <references count="4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8" count="1">
            <x v="1"/>
          </reference>
        </references>
      </pivotArea>
    </format>
    <format dxfId="225">
      <pivotArea dataOnly="0" labelOnly="1" outline="0" fieldPosition="0">
        <references count="4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8" count="1">
            <x v="2"/>
          </reference>
        </references>
      </pivotArea>
    </format>
    <format dxfId="224">
      <pivotArea dataOnly="0" labelOnly="1" outline="0" fieldPosition="0">
        <references count="4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223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2"/>
          </reference>
        </references>
      </pivotArea>
    </format>
    <format dxfId="222">
      <pivotArea dataOnly="0" labelOnly="1" outline="0" fieldPosition="0">
        <references count="4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221">
      <pivotArea dataOnly="0" labelOnly="1" outline="0" fieldPosition="0">
        <references count="4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8" count="1">
            <x v="2"/>
          </reference>
        </references>
      </pivotArea>
    </format>
    <format dxfId="220">
      <pivotArea dataOnly="0" labelOnly="1" outline="0" fieldPosition="0">
        <references count="4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8" count="1">
            <x v="1"/>
          </reference>
        </references>
      </pivotArea>
    </format>
    <format dxfId="21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18">
      <pivotArea dataOnly="0" labelOnly="1" outline="0" fieldPosition="0">
        <references count="4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8" count="1">
            <x v="1"/>
          </reference>
        </references>
      </pivotArea>
    </format>
    <format dxfId="21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8" count="1">
            <x v="2"/>
          </reference>
        </references>
      </pivotArea>
    </format>
    <format dxfId="216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8" count="1">
            <x v="1"/>
          </reference>
        </references>
      </pivotArea>
    </format>
    <format dxfId="215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214">
      <pivotArea dataOnly="0" labelOnly="1" outline="0" fieldPosition="0">
        <references count="5">
          <reference field="0" count="1" selected="0">
            <x v="935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88"/>
          </reference>
          <reference field="8" count="1" selected="0">
            <x v="1"/>
          </reference>
        </references>
      </pivotArea>
    </format>
    <format dxfId="213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9"/>
          </reference>
          <reference field="3" count="1" selected="0">
            <x v="9"/>
          </reference>
          <reference field="7" count="1">
            <x v="63"/>
          </reference>
          <reference field="8" count="1" selected="0">
            <x v="2"/>
          </reference>
        </references>
      </pivotArea>
    </format>
    <format dxfId="212">
      <pivotArea dataOnly="0" labelOnly="1" outline="0" fieldPosition="0">
        <references count="5">
          <reference field="0" count="1" selected="0">
            <x v="716"/>
          </reference>
          <reference field="2" count="1" selected="0">
            <x v="5"/>
          </reference>
          <reference field="3" count="1" selected="0">
            <x v="6"/>
          </reference>
          <reference field="7" count="1">
            <x v="386"/>
          </reference>
          <reference field="8" count="1" selected="0">
            <x v="1"/>
          </reference>
        </references>
      </pivotArea>
    </format>
    <format dxfId="211">
      <pivotArea dataOnly="0" labelOnly="1" outline="0" fieldPosition="0">
        <references count="5">
          <reference field="0" count="1" selected="0">
            <x v="875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166"/>
          </reference>
          <reference field="8" count="1" selected="0">
            <x v="1"/>
          </reference>
        </references>
      </pivotArea>
    </format>
    <format dxfId="210">
      <pivotArea dataOnly="0" labelOnly="1" outline="0" fieldPosition="0">
        <references count="5">
          <reference field="0" count="1" selected="0">
            <x v="411"/>
          </reference>
          <reference field="2" count="1" selected="0">
            <x v="2"/>
          </reference>
          <reference field="3" count="1" selected="0">
            <x v="0"/>
          </reference>
          <reference field="7" count="1">
            <x v="403"/>
          </reference>
          <reference field="8" count="1" selected="0">
            <x v="2"/>
          </reference>
        </references>
      </pivotArea>
    </format>
    <format dxfId="209">
      <pivotArea dataOnly="0" labelOnly="1" outline="0" fieldPosition="0">
        <references count="5">
          <reference field="0" count="1" selected="0">
            <x v="396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514"/>
          </reference>
          <reference field="8" count="1" selected="0">
            <x v="1"/>
          </reference>
        </references>
      </pivotArea>
    </format>
    <format dxfId="208">
      <pivotArea dataOnly="0" labelOnly="1" outline="0" fieldPosition="0">
        <references count="5">
          <reference field="0" count="1" selected="0">
            <x v="617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458"/>
          </reference>
          <reference field="8" count="1" selected="0">
            <x v="2"/>
          </reference>
        </references>
      </pivotArea>
    </format>
    <format dxfId="207">
      <pivotArea dataOnly="0" labelOnly="1" outline="0" fieldPosition="0">
        <references count="5">
          <reference field="0" count="1" selected="0">
            <x v="523"/>
          </reference>
          <reference field="2" count="1" selected="0">
            <x v="4"/>
          </reference>
          <reference field="3" count="1" selected="0">
            <x v="9"/>
          </reference>
          <reference field="7" count="1">
            <x v="41"/>
          </reference>
          <reference field="8" count="1" selected="0">
            <x v="1"/>
          </reference>
        </references>
      </pivotArea>
    </format>
    <format dxfId="206">
      <pivotArea dataOnly="0" labelOnly="1" outline="0" fieldPosition="0">
        <references count="5">
          <reference field="0" count="1" selected="0">
            <x v="288"/>
          </reference>
          <reference field="2" count="1" selected="0">
            <x v="2"/>
          </reference>
          <reference field="3" count="1" selected="0">
            <x v="11"/>
          </reference>
          <reference field="7" count="1">
            <x v="467"/>
          </reference>
          <reference field="8" count="1" selected="0">
            <x v="1"/>
          </reference>
        </references>
      </pivotArea>
    </format>
    <format dxfId="205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313"/>
          </reference>
          <reference field="8" count="1" selected="0">
            <x v="1"/>
          </reference>
        </references>
      </pivotArea>
    </format>
    <format dxfId="204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0"/>
          </reference>
          <reference field="3" count="1" selected="0">
            <x v="4"/>
          </reference>
          <reference field="7" count="1">
            <x v="439"/>
          </reference>
          <reference field="8" count="1" selected="0">
            <x v="2"/>
          </reference>
        </references>
      </pivotArea>
    </format>
    <format dxfId="20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202">
      <pivotArea dataOnly="0" labelOnly="1" outline="0" fieldPosition="0">
        <references count="5">
          <reference field="0" count="1" selected="0">
            <x v="756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201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39"/>
          </reference>
          <reference field="8" count="1" selected="0">
            <x v="1"/>
          </reference>
        </references>
      </pivotArea>
    </format>
    <format dxfId="200">
      <pivotArea dataOnly="0" labelOnly="1" outline="0" fieldPosition="0">
        <references count="5">
          <reference field="0" count="1" selected="0">
            <x v="321"/>
          </reference>
          <reference field="2" count="1" selected="0">
            <x v="1"/>
          </reference>
          <reference field="3" count="1" selected="0">
            <x v="1"/>
          </reference>
          <reference field="7" count="1">
            <x v="262"/>
          </reference>
          <reference field="8" count="1" selected="0">
            <x v="1"/>
          </reference>
        </references>
      </pivotArea>
    </format>
    <format dxfId="199">
      <pivotArea dataOnly="0" labelOnly="1" outline="0" fieldPosition="0">
        <references count="5">
          <reference field="0" count="1" selected="0">
            <x v="424"/>
          </reference>
          <reference field="2" count="1" selected="0">
            <x v="12"/>
          </reference>
          <reference field="3" count="1" selected="0">
            <x v="14"/>
          </reference>
          <reference field="7" count="1">
            <x v="88"/>
          </reference>
          <reference field="8" count="1" selected="0">
            <x v="1"/>
          </reference>
        </references>
      </pivotArea>
    </format>
    <format dxfId="198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63"/>
          </reference>
          <reference field="8" count="1" selected="0">
            <x v="2"/>
          </reference>
        </references>
      </pivotArea>
    </format>
    <format dxfId="197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160"/>
          </reference>
          <reference field="8" count="1" selected="0">
            <x v="2"/>
          </reference>
        </references>
      </pivotArea>
    </format>
    <format dxfId="196">
      <pivotArea dataOnly="0" labelOnly="1" outline="0" fieldPosition="0">
        <references count="5">
          <reference field="0" count="1" selected="0">
            <x v="829"/>
          </reference>
          <reference field="2" count="1" selected="0">
            <x v="9"/>
          </reference>
          <reference field="3" count="1" selected="0">
            <x v="14"/>
          </reference>
          <reference field="7" count="1">
            <x v="257"/>
          </reference>
          <reference field="8" count="1" selected="0">
            <x v="1"/>
          </reference>
        </references>
      </pivotArea>
    </format>
    <format dxfId="195">
      <pivotArea dataOnly="0" labelOnly="1" outline="0" fieldPosition="0">
        <references count="5">
          <reference field="0" count="1" selected="0">
            <x v="824"/>
          </reference>
          <reference field="2" count="1" selected="0">
            <x v="2"/>
          </reference>
          <reference field="3" count="1" selected="0">
            <x v="6"/>
          </reference>
          <reference field="7" count="1">
            <x v="101"/>
          </reference>
          <reference field="8" count="1" selected="0">
            <x v="1"/>
          </reference>
        </references>
      </pivotArea>
    </format>
    <format dxfId="194">
      <pivotArea dataOnly="0" labelOnly="1" outline="0" fieldPosition="0">
        <references count="5">
          <reference field="0" count="1" selected="0">
            <x v="442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193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0"/>
          </reference>
          <reference field="3" count="1" selected="0">
            <x v="10"/>
          </reference>
          <reference field="7" count="1">
            <x v="173"/>
          </reference>
          <reference field="8" count="1" selected="0">
            <x v="1"/>
          </reference>
        </references>
      </pivotArea>
    </format>
    <format dxfId="192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28"/>
          </reference>
          <reference field="8" count="1" selected="0">
            <x v="2"/>
          </reference>
        </references>
      </pivotArea>
    </format>
    <format dxfId="191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1"/>
          </reference>
          <reference field="3" count="1" selected="0">
            <x v="13"/>
          </reference>
          <reference field="7" count="1">
            <x v="224"/>
          </reference>
          <reference field="8" count="1" selected="0">
            <x v="2"/>
          </reference>
        </references>
      </pivotArea>
    </format>
    <format dxfId="19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18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8"/>
          </reference>
          <reference field="3" count="1" selected="0">
            <x v="7"/>
          </reference>
          <reference field="7" count="1">
            <x v="171"/>
          </reference>
          <reference field="8" count="1" selected="0">
            <x v="2"/>
          </reference>
        </references>
      </pivotArea>
    </format>
    <format dxfId="188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191"/>
          </reference>
          <reference field="8" count="1" selected="0">
            <x v="1"/>
          </reference>
        </references>
      </pivotArea>
    </format>
    <format dxfId="187">
      <pivotArea dataOnly="0" labelOnly="1" outline="0" fieldPosition="0">
        <references count="5">
          <reference field="0" count="1" selected="0">
            <x v="405"/>
          </reference>
          <reference field="2" count="1" selected="0">
            <x v="4"/>
          </reference>
          <reference field="3" count="1" selected="0">
            <x v="1"/>
          </reference>
          <reference field="7" count="1">
            <x v="413"/>
          </reference>
          <reference field="8" count="1" selected="0">
            <x v="1"/>
          </reference>
        </references>
      </pivotArea>
    </format>
    <format dxfId="186">
      <pivotArea dataOnly="0" labelOnly="1" outline="0" fieldPosition="0">
        <references count="5">
          <reference field="0" count="1" selected="0">
            <x v="931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87"/>
          </reference>
          <reference field="8" count="1" selected="0">
            <x v="1"/>
          </reference>
        </references>
      </pivotArea>
    </format>
    <format dxfId="185">
      <pivotArea dataOnly="0" labelOnly="1" outline="0" fieldPosition="0">
        <references count="5">
          <reference field="0" count="1" selected="0">
            <x v="489"/>
          </reference>
          <reference field="2" count="1" selected="0">
            <x v="11"/>
          </reference>
          <reference field="3" count="1" selected="0">
            <x v="11"/>
          </reference>
          <reference field="7" count="1">
            <x v="500"/>
          </reference>
          <reference field="8" count="1" selected="0">
            <x v="2"/>
          </reference>
        </references>
      </pivotArea>
    </format>
    <format dxfId="184">
      <pivotArea dataOnly="0" labelOnly="1" outline="0" fieldPosition="0">
        <references count="5">
          <reference field="0" count="1" selected="0">
            <x v="298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183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113"/>
          </reference>
          <reference field="8" count="1" selected="0">
            <x v="1"/>
          </reference>
        </references>
      </pivotArea>
    </format>
    <format dxfId="182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7"/>
          </reference>
          <reference field="3" count="1" selected="0">
            <x v="10"/>
          </reference>
          <reference field="7" count="1">
            <x v="138"/>
          </reference>
          <reference field="8" count="1" selected="0">
            <x v="1"/>
          </reference>
        </references>
      </pivotArea>
    </format>
    <format dxfId="181">
      <pivotArea dataOnly="0" labelOnly="1" outline="0" fieldPosition="0">
        <references count="5">
          <reference field="0" count="1" selected="0">
            <x v="351"/>
          </reference>
          <reference field="2" count="1" selected="0">
            <x v="8"/>
          </reference>
          <reference field="3" count="1" selected="0">
            <x v="6"/>
          </reference>
          <reference field="7" count="1">
            <x v="131"/>
          </reference>
          <reference field="8" count="1" selected="0">
            <x v="1"/>
          </reference>
        </references>
      </pivotArea>
    </format>
    <format dxfId="180">
      <pivotArea dataOnly="0" labelOnly="1" outline="0" fieldPosition="0">
        <references count="5">
          <reference field="0" count="1" selected="0">
            <x v="358"/>
          </reference>
          <reference field="2" count="1" selected="0">
            <x v="6"/>
          </reference>
          <reference field="3" count="1" selected="0">
            <x v="4"/>
          </reference>
          <reference field="7" count="1">
            <x v="132"/>
          </reference>
          <reference field="8" count="1" selected="0">
            <x v="1"/>
          </reference>
        </references>
      </pivotArea>
    </format>
    <format dxfId="179">
      <pivotArea dataOnly="0" labelOnly="1" outline="0" fieldPosition="0">
        <references count="5">
          <reference field="0" count="1" selected="0">
            <x v="741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68"/>
          </reference>
          <reference field="8" count="1" selected="0">
            <x v="1"/>
          </reference>
        </references>
      </pivotArea>
    </format>
    <format dxfId="178">
      <pivotArea dataOnly="0" labelOnly="1" outline="0" fieldPosition="0">
        <references count="5">
          <reference field="0" count="1" selected="0">
            <x v="40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451"/>
          </reference>
          <reference field="8" count="1" selected="0">
            <x v="1"/>
          </reference>
        </references>
      </pivotArea>
    </format>
    <format dxfId="177">
      <pivotArea dataOnly="0" labelOnly="1" outline="0" fieldPosition="0">
        <references count="5">
          <reference field="0" count="1" selected="0">
            <x v="865"/>
          </reference>
          <reference field="2" count="1" selected="0">
            <x v="1"/>
          </reference>
          <reference field="3" count="1" selected="0">
            <x v="10"/>
          </reference>
          <reference field="7" count="1">
            <x v="90"/>
          </reference>
          <reference field="8" count="1" selected="0">
            <x v="1"/>
          </reference>
        </references>
      </pivotArea>
    </format>
    <format dxfId="176">
      <pivotArea dataOnly="0" labelOnly="1" outline="0" fieldPosition="0">
        <references count="5">
          <reference field="0" count="1" selected="0">
            <x v="441"/>
          </reference>
          <reference field="2" count="1" selected="0">
            <x v="4"/>
          </reference>
          <reference field="3" count="1" selected="0">
            <x v="3"/>
          </reference>
          <reference field="7" count="1">
            <x v="177"/>
          </reference>
          <reference field="8" count="1" selected="0">
            <x v="1"/>
          </reference>
        </references>
      </pivotArea>
    </format>
    <format dxfId="175">
      <pivotArea dataOnly="0" labelOnly="1" outline="0" fieldPosition="0">
        <references count="5">
          <reference field="0" count="1" selected="0">
            <x v="425"/>
          </reference>
          <reference field="2" count="1" selected="0">
            <x v="9"/>
          </reference>
          <reference field="3" count="1" selected="0">
            <x v="12"/>
          </reference>
          <reference field="7" count="1">
            <x v="226"/>
          </reference>
          <reference field="8" count="1" selected="0">
            <x v="1"/>
          </reference>
        </references>
      </pivotArea>
    </format>
    <format dxfId="174">
      <pivotArea dataOnly="0" labelOnly="1" outline="0" fieldPosition="0">
        <references count="5">
          <reference field="0" count="1" selected="0">
            <x v="3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13"/>
          </reference>
          <reference field="8" count="1" selected="0">
            <x v="1"/>
          </reference>
        </references>
      </pivotArea>
    </format>
    <format dxfId="173">
      <pivotArea dataOnly="0" labelOnly="1" outline="0" fieldPosition="0">
        <references count="5">
          <reference field="0" count="1" selected="0">
            <x v="579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24"/>
          </reference>
          <reference field="8" count="1" selected="0">
            <x v="2"/>
          </reference>
        </references>
      </pivotArea>
    </format>
    <format dxfId="172">
      <pivotArea dataOnly="0" labelOnly="1" outline="0" fieldPosition="0">
        <references count="5">
          <reference field="0" count="1" selected="0">
            <x v="549"/>
          </reference>
          <reference field="2" count="1" selected="0">
            <x v="5"/>
          </reference>
          <reference field="3" count="1" selected="0">
            <x v="15"/>
          </reference>
          <reference field="7" count="1">
            <x v="527"/>
          </reference>
          <reference field="8" count="1" selected="0">
            <x v="1"/>
          </reference>
        </references>
      </pivotArea>
    </format>
    <format dxfId="171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2"/>
          </reference>
          <reference field="3" count="1" selected="0">
            <x v="13"/>
          </reference>
          <reference field="7" count="1">
            <x v="490"/>
          </reference>
          <reference field="8" count="1" selected="0">
            <x v="1"/>
          </reference>
        </references>
      </pivotArea>
    </format>
    <format dxfId="170">
      <pivotArea dataOnly="0" labelOnly="1" outline="0" fieldPosition="0">
        <references count="5">
          <reference field="0" count="1" selected="0">
            <x v="714"/>
          </reference>
          <reference field="2" count="1" selected="0">
            <x v="8"/>
          </reference>
          <reference field="3" count="1" selected="0">
            <x v="8"/>
          </reference>
          <reference field="7" count="1">
            <x v="110"/>
          </reference>
          <reference field="8" count="1" selected="0">
            <x v="1"/>
          </reference>
        </references>
      </pivotArea>
    </format>
    <format dxfId="169">
      <pivotArea dataOnly="0" labelOnly="1" outline="0" fieldPosition="0">
        <references count="5">
          <reference field="0" count="1" selected="0">
            <x v="440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232"/>
          </reference>
          <reference field="8" count="1" selected="0">
            <x v="2"/>
          </reference>
        </references>
      </pivotArea>
    </format>
    <format dxfId="168">
      <pivotArea dataOnly="0" labelOnly="1" outline="0" fieldPosition="0">
        <references count="5">
          <reference field="0" count="1" selected="0">
            <x v="866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75"/>
          </reference>
          <reference field="8" count="1" selected="0">
            <x v="1"/>
          </reference>
        </references>
      </pivotArea>
    </format>
    <format dxfId="167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10"/>
          </reference>
          <reference field="3" count="1" selected="0">
            <x v="6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166">
      <pivotArea dataOnly="0" labelOnly="1" outline="0" fieldPosition="0">
        <references count="5">
          <reference field="0" count="1" selected="0">
            <x v="568"/>
          </reference>
          <reference field="2" count="1" selected="0">
            <x v="10"/>
          </reference>
          <reference field="3" count="1" selected="0">
            <x v="2"/>
          </reference>
          <reference field="7" count="1">
            <x v="228"/>
          </reference>
          <reference field="8" count="1" selected="0">
            <x v="1"/>
          </reference>
        </references>
      </pivotArea>
    </format>
    <format dxfId="165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69"/>
          </reference>
          <reference field="8" count="1" selected="0">
            <x v="2"/>
          </reference>
        </references>
      </pivotArea>
    </format>
    <format dxfId="164">
      <pivotArea dataOnly="0" labelOnly="1" outline="0" fieldPosition="0">
        <references count="5">
          <reference field="0" count="1" selected="0">
            <x v="922"/>
          </reference>
          <reference field="2" count="1" selected="0">
            <x v="5"/>
          </reference>
          <reference field="3" count="1" selected="0">
            <x v="11"/>
          </reference>
          <reference field="7" count="1">
            <x v="501"/>
          </reference>
          <reference field="8" count="1" selected="0">
            <x v="1"/>
          </reference>
        </references>
      </pivotArea>
    </format>
    <format dxfId="163">
      <pivotArea dataOnly="0" labelOnly="1" outline="0" fieldPosition="0">
        <references count="5">
          <reference field="0" count="1" selected="0">
            <x v="619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129"/>
          </reference>
          <reference field="8" count="1" selected="0">
            <x v="1"/>
          </reference>
        </references>
      </pivotArea>
    </format>
    <format dxfId="162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58"/>
          </reference>
          <reference field="8" count="1" selected="0">
            <x v="1"/>
          </reference>
        </references>
      </pivotArea>
    </format>
    <format dxfId="161">
      <pivotArea dataOnly="0" labelOnly="1" outline="0" fieldPosition="0">
        <references count="5">
          <reference field="0" count="1" selected="0">
            <x v="534"/>
          </reference>
          <reference field="2" count="1" selected="0">
            <x v="4"/>
          </reference>
          <reference field="3" count="1" selected="0">
            <x v="11"/>
          </reference>
          <reference field="7" count="1">
            <x v="77"/>
          </reference>
          <reference field="8" count="1" selected="0">
            <x v="2"/>
          </reference>
        </references>
      </pivotArea>
    </format>
    <format dxfId="160">
      <pivotArea dataOnly="0" labelOnly="1" outline="0" fieldPosition="0">
        <references count="5">
          <reference field="0" count="1" selected="0">
            <x v="982"/>
          </reference>
          <reference field="2" count="1" selected="0">
            <x v="9"/>
          </reference>
          <reference field="3" count="1" selected="0">
            <x v="4"/>
          </reference>
          <reference field="7" count="1">
            <x v="4"/>
          </reference>
          <reference field="8" count="1" selected="0">
            <x v="1"/>
          </reference>
        </references>
      </pivotArea>
    </format>
    <format dxfId="159">
      <pivotArea dataOnly="0" labelOnly="1" outline="0" fieldPosition="0">
        <references count="5">
          <reference field="0" count="1" selected="0">
            <x v="973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20"/>
          </reference>
          <reference field="8" count="1" selected="0">
            <x v="1"/>
          </reference>
        </references>
      </pivotArea>
    </format>
    <format dxfId="158">
      <pivotArea dataOnly="0" labelOnly="1" outline="0" fieldPosition="0">
        <references count="5">
          <reference field="0" count="1" selected="0">
            <x v="570"/>
          </reference>
          <reference field="2" count="1" selected="0">
            <x v="6"/>
          </reference>
          <reference field="3" count="1" selected="0">
            <x v="14"/>
          </reference>
          <reference field="7" count="1">
            <x v="378"/>
          </reference>
          <reference field="8" count="1" selected="0">
            <x v="2"/>
          </reference>
        </references>
      </pivotArea>
    </format>
    <format dxfId="157">
      <pivotArea dataOnly="0" labelOnly="1" outline="0" fieldPosition="0">
        <references count="5">
          <reference field="0" count="1" selected="0">
            <x v="83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1"/>
          </reference>
        </references>
      </pivotArea>
    </format>
    <format dxfId="156">
      <pivotArea dataOnly="0" labelOnly="1" outline="0" fieldPosition="0">
        <references count="5">
          <reference field="0" count="1" selected="0">
            <x v="659"/>
          </reference>
          <reference field="2" count="1" selected="0">
            <x v="9"/>
          </reference>
          <reference field="3" count="1" selected="0">
            <x v="0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155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375"/>
          </reference>
          <reference field="8" count="1" selected="0">
            <x v="2"/>
          </reference>
        </references>
      </pivotArea>
    </format>
    <format dxfId="154">
      <pivotArea dataOnly="0" labelOnly="1" outline="0" fieldPosition="0">
        <references count="5">
          <reference field="0" count="1" selected="0">
            <x v="886"/>
          </reference>
          <reference field="2" count="1" selected="0">
            <x v="2"/>
          </reference>
          <reference field="3" count="1" selected="0">
            <x v="10"/>
          </reference>
          <reference field="7" count="1">
            <x v="55"/>
          </reference>
          <reference field="8" count="1" selected="0">
            <x v="2"/>
          </reference>
        </references>
      </pivotArea>
    </format>
    <format dxfId="153">
      <pivotArea dataOnly="0" labelOnly="1" outline="0" fieldPosition="0">
        <references count="5">
          <reference field="0" count="1" selected="0">
            <x v="751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06"/>
          </reference>
          <reference field="8" count="1" selected="0">
            <x v="2"/>
          </reference>
        </references>
      </pivotArea>
    </format>
    <format dxfId="152">
      <pivotArea dataOnly="0" labelOnly="1" outline="0" fieldPosition="0">
        <references count="5">
          <reference field="0" count="1" selected="0">
            <x v="456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256"/>
          </reference>
          <reference field="8" count="1" selected="0">
            <x v="1"/>
          </reference>
        </references>
      </pivotArea>
    </format>
    <format dxfId="151">
      <pivotArea dataOnly="0" labelOnly="1" outline="0" fieldPosition="0">
        <references count="5">
          <reference field="0" count="1" selected="0">
            <x v="333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16"/>
          </reference>
          <reference field="8" count="1" selected="0">
            <x v="1"/>
          </reference>
        </references>
      </pivotArea>
    </format>
    <format dxfId="150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8"/>
          </reference>
          <reference field="3" count="1" selected="0">
            <x v="1"/>
          </reference>
          <reference field="7" count="1">
            <x v="533"/>
          </reference>
          <reference field="8" count="1" selected="0">
            <x v="2"/>
          </reference>
        </references>
      </pivotArea>
    </format>
    <format dxfId="149">
      <pivotArea dataOnly="0" labelOnly="1" outline="0" fieldPosition="0">
        <references count="5">
          <reference field="0" count="1" selected="0">
            <x v="932"/>
          </reference>
          <reference field="2" count="1" selected="0">
            <x v="9"/>
          </reference>
          <reference field="3" count="1" selected="0">
            <x v="7"/>
          </reference>
          <reference field="7" count="1">
            <x v="540"/>
          </reference>
          <reference field="8" count="1" selected="0">
            <x v="1"/>
          </reference>
        </references>
      </pivotArea>
    </format>
    <format dxfId="148">
      <pivotArea dataOnly="0" labelOnly="1" outline="0" fieldPosition="0">
        <references count="5">
          <reference field="0" count="1" selected="0">
            <x v="618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337"/>
          </reference>
          <reference field="8" count="1" selected="0">
            <x v="1"/>
          </reference>
        </references>
      </pivotArea>
    </format>
    <format dxfId="147">
      <pivotArea dataOnly="0" labelOnly="1" outline="0" fieldPosition="0">
        <references count="5">
          <reference field="0" count="1" selected="0">
            <x v="695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204"/>
          </reference>
          <reference field="8" count="1" selected="0">
            <x v="2"/>
          </reference>
        </references>
      </pivotArea>
    </format>
    <format dxfId="146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4"/>
          </reference>
          <reference field="3" count="1" selected="0">
            <x v="0"/>
          </reference>
          <reference field="7" count="1">
            <x v="362"/>
          </reference>
          <reference field="8" count="1" selected="0">
            <x v="1"/>
          </reference>
        </references>
      </pivotArea>
    </format>
    <format dxfId="145">
      <pivotArea dataOnly="0" labelOnly="1" outline="0" fieldPosition="0">
        <references count="5">
          <reference field="0" count="1" selected="0">
            <x v="712"/>
          </reference>
          <reference field="2" count="1" selected="0">
            <x v="2"/>
          </reference>
          <reference field="3" count="1" selected="0">
            <x v="8"/>
          </reference>
          <reference field="7" count="1">
            <x v="469"/>
          </reference>
          <reference field="8" count="1" selected="0">
            <x v="2"/>
          </reference>
        </references>
      </pivotArea>
    </format>
    <format dxfId="14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281"/>
          </reference>
          <reference field="8" count="1" selected="0">
            <x v="1"/>
          </reference>
        </references>
      </pivotArea>
    </format>
    <format dxfId="143">
      <pivotArea dataOnly="0" labelOnly="1" outline="0" fieldPosition="0">
        <references count="5">
          <reference field="0" count="1" selected="0">
            <x v="585"/>
          </reference>
          <reference field="2" count="1" selected="0">
            <x v="9"/>
          </reference>
          <reference field="3" count="1" selected="0">
            <x v="13"/>
          </reference>
          <reference field="7" count="1">
            <x v="84"/>
          </reference>
          <reference field="8" count="1" selected="0">
            <x v="2"/>
          </reference>
        </references>
      </pivotArea>
    </format>
    <format dxfId="142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12"/>
          </reference>
          <reference field="3" count="1" selected="0">
            <x v="0"/>
          </reference>
          <reference field="7" count="1">
            <x v="451"/>
          </reference>
          <reference field="8" count="1" selected="0">
            <x v="2"/>
          </reference>
        </references>
      </pivotArea>
    </format>
    <format dxfId="141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12"/>
          </reference>
          <reference field="3" count="1" selected="0">
            <x v="4"/>
          </reference>
          <reference field="7" count="1">
            <x v="54"/>
          </reference>
          <reference field="8" count="1" selected="0">
            <x v="1"/>
          </reference>
        </references>
      </pivotArea>
    </format>
    <format dxfId="140">
      <pivotArea dataOnly="0" labelOnly="1" outline="0" fieldPosition="0">
        <references count="5">
          <reference field="0" count="1" selected="0">
            <x v="574"/>
          </reference>
          <reference field="2" count="1" selected="0">
            <x v="2"/>
          </reference>
          <reference field="3" count="1" selected="0">
            <x v="14"/>
          </reference>
          <reference field="7" count="1">
            <x v="511"/>
          </reference>
          <reference field="8" count="1" selected="0">
            <x v="2"/>
          </reference>
        </references>
      </pivotArea>
    </format>
    <format dxfId="139">
      <pivotArea dataOnly="0" labelOnly="1" outline="0" fieldPosition="0">
        <references count="5">
          <reference field="0" count="1" selected="0">
            <x v="323"/>
          </reference>
          <reference field="2" count="1" selected="0">
            <x v="10"/>
          </reference>
          <reference field="3" count="1" selected="0">
            <x v="13"/>
          </reference>
          <reference field="7" count="1">
            <x v="259"/>
          </reference>
          <reference field="8" count="1" selected="0">
            <x v="1"/>
          </reference>
        </references>
      </pivotArea>
    </format>
    <format dxfId="138">
      <pivotArea dataOnly="0" labelOnly="1" outline="0" fieldPosition="0">
        <references count="5">
          <reference field="0" count="1" selected="0">
            <x v="670"/>
          </reference>
          <reference field="2" count="1" selected="0">
            <x v="3"/>
          </reference>
          <reference field="3" count="1" selected="0">
            <x v="4"/>
          </reference>
          <reference field="7" count="1">
            <x v="518"/>
          </reference>
          <reference field="8" count="1" selected="0">
            <x v="1"/>
          </reference>
        </references>
      </pivotArea>
    </format>
    <format dxfId="137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48"/>
          </reference>
          <reference field="8" count="1" selected="0">
            <x v="2"/>
          </reference>
        </references>
      </pivotArea>
    </format>
    <format dxfId="136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1"/>
          </reference>
          <reference field="3" count="1" selected="0">
            <x v="9"/>
          </reference>
          <reference field="7" count="1">
            <x v="405"/>
          </reference>
          <reference field="8" count="1" selected="0">
            <x v="1"/>
          </reference>
        </references>
      </pivotArea>
    </format>
    <format dxfId="135">
      <pivotArea dataOnly="0" labelOnly="1" outline="0" fieldPosition="0">
        <references count="5">
          <reference field="0" count="1" selected="0">
            <x v="243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494"/>
          </reference>
          <reference field="8" count="1" selected="0">
            <x v="2"/>
          </reference>
        </references>
      </pivotArea>
    </format>
    <format dxfId="134">
      <pivotArea dataOnly="0" labelOnly="1" outline="0" fieldPosition="0">
        <references count="5">
          <reference field="0" count="1" selected="0">
            <x v="451"/>
          </reference>
          <reference field="2" count="1" selected="0">
            <x v="8"/>
          </reference>
          <reference field="3" count="1" selected="0">
            <x v="4"/>
          </reference>
          <reference field="7" count="1">
            <x v="432"/>
          </reference>
          <reference field="8" count="1" selected="0">
            <x v="1"/>
          </reference>
        </references>
      </pivotArea>
    </format>
    <format dxfId="133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79"/>
          </reference>
          <reference field="8" count="1" selected="0">
            <x v="1"/>
          </reference>
        </references>
      </pivotArea>
    </format>
    <format dxfId="13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"/>
          </reference>
          <reference field="3" count="1" selected="0">
            <x v="4"/>
          </reference>
          <reference field="7" count="1">
            <x v="378"/>
          </reference>
          <reference field="8" count="1" selected="0">
            <x v="1"/>
          </reference>
        </references>
      </pivotArea>
    </format>
    <format dxfId="131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381"/>
          </reference>
          <reference field="8" count="1" selected="0">
            <x v="2"/>
          </reference>
        </references>
      </pivotArea>
    </format>
    <format dxfId="130">
      <pivotArea dataOnly="0" labelOnly="1" outline="0" fieldPosition="0">
        <references count="5">
          <reference field="0" count="1" selected="0">
            <x v="587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202"/>
          </reference>
          <reference field="8" count="1" selected="0">
            <x v="2"/>
          </reference>
        </references>
      </pivotArea>
    </format>
    <format dxfId="129">
      <pivotArea dataOnly="0" labelOnly="1" outline="0" fieldPosition="0">
        <references count="5">
          <reference field="0" count="1" selected="0">
            <x v="825"/>
          </reference>
          <reference field="2" count="1" selected="0">
            <x v="7"/>
          </reference>
          <reference field="3" count="1" selected="0">
            <x v="12"/>
          </reference>
          <reference field="7" count="1">
            <x v="450"/>
          </reference>
          <reference field="8" count="1" selected="0">
            <x v="1"/>
          </reference>
        </references>
      </pivotArea>
    </format>
    <format dxfId="128">
      <pivotArea dataOnly="0" labelOnly="1" outline="0" fieldPosition="0">
        <references count="5">
          <reference field="0" count="1" selected="0">
            <x v="5"/>
          </reference>
          <reference field="2" count="1" selected="0">
            <x v="4"/>
          </reference>
          <reference field="3" count="1" selected="0">
            <x v="15"/>
          </reference>
          <reference field="7" count="1">
            <x v="295"/>
          </reference>
          <reference field="8" count="1" selected="0">
            <x v="1"/>
          </reference>
        </references>
      </pivotArea>
    </format>
    <format dxfId="127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9"/>
          </reference>
          <reference field="8" count="1" selected="0">
            <x v="2"/>
          </reference>
        </references>
      </pivotArea>
    </format>
    <format dxfId="126">
      <pivotArea dataOnly="0" labelOnly="1" outline="0" fieldPosition="0">
        <references count="5">
          <reference field="0" count="1" selected="0">
            <x v="854"/>
          </reference>
          <reference field="2" count="1" selected="0">
            <x v="5"/>
          </reference>
          <reference field="3" count="1" selected="0">
            <x v="4"/>
          </reference>
          <reference field="7" count="1">
            <x v="270"/>
          </reference>
          <reference field="8" count="1" selected="0">
            <x v="2"/>
          </reference>
        </references>
      </pivotArea>
    </format>
    <format dxfId="125">
      <pivotArea dataOnly="0" labelOnly="1" outline="0" fieldPosition="0">
        <references count="5">
          <reference field="0" count="1" selected="0">
            <x v="987"/>
          </reference>
          <reference field="2" count="1" selected="0">
            <x v="11"/>
          </reference>
          <reference field="3" count="1" selected="0">
            <x v="12"/>
          </reference>
          <reference field="7" count="1">
            <x v="109"/>
          </reference>
          <reference field="8" count="1" selected="0">
            <x v="1"/>
          </reference>
        </references>
      </pivotArea>
    </format>
    <format dxfId="124">
      <pivotArea dataOnly="0" labelOnly="1" outline="0" fieldPosition="0">
        <references count="5">
          <reference field="0" count="1" selected="0">
            <x v="92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123">
      <pivotArea dataOnly="0" labelOnly="1" outline="0" fieldPosition="0">
        <references count="5">
          <reference field="0" count="1" selected="0">
            <x v="644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22"/>
          </reference>
          <reference field="8" count="1" selected="0">
            <x v="1"/>
          </reference>
        </references>
      </pivotArea>
    </format>
    <format dxfId="122">
      <pivotArea dataOnly="0" labelOnly="1" outline="0" fieldPosition="0">
        <references count="5">
          <reference field="0" count="1" selected="0">
            <x v="58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320"/>
          </reference>
          <reference field="8" count="1" selected="0">
            <x v="1"/>
          </reference>
        </references>
      </pivotArea>
    </format>
    <format dxfId="121">
      <pivotArea dataOnly="0" labelOnly="1" outline="0" fieldPosition="0">
        <references count="5">
          <reference field="0" count="1" selected="0">
            <x v="709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416"/>
          </reference>
          <reference field="8" count="1" selected="0">
            <x v="1"/>
          </reference>
        </references>
      </pivotArea>
    </format>
    <format dxfId="120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"/>
          </reference>
          <reference field="3" count="1" selected="0">
            <x v="12"/>
          </reference>
          <reference field="7" count="1">
            <x v="164"/>
          </reference>
          <reference field="8" count="1" selected="0">
            <x v="1"/>
          </reference>
        </references>
      </pivotArea>
    </format>
    <format dxfId="119">
      <pivotArea dataOnly="0" labelOnly="1" outline="0" fieldPosition="0">
        <references count="5">
          <reference field="0" count="1" selected="0">
            <x v="961"/>
          </reference>
          <reference field="2" count="1" selected="0">
            <x v="7"/>
          </reference>
          <reference field="3" count="1" selected="0">
            <x v="13"/>
          </reference>
          <reference field="7" count="1">
            <x v="99"/>
          </reference>
          <reference field="8" count="1" selected="0">
            <x v="1"/>
          </reference>
        </references>
      </pivotArea>
    </format>
    <format dxfId="118">
      <pivotArea dataOnly="0" labelOnly="1" outline="0" fieldPosition="0">
        <references count="5">
          <reference field="0" count="1" selected="0">
            <x v="729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581"/>
          </reference>
          <reference field="8" count="1" selected="0">
            <x v="2"/>
          </reference>
        </references>
      </pivotArea>
    </format>
    <format dxfId="117">
      <pivotArea dataOnly="0" labelOnly="1" outline="0" fieldPosition="0">
        <references count="5">
          <reference field="0" count="1" selected="0">
            <x v="388"/>
          </reference>
          <reference field="2" count="1" selected="0">
            <x v="3"/>
          </reference>
          <reference field="3" count="1" selected="0">
            <x v="1"/>
          </reference>
          <reference field="7" count="1">
            <x v="531"/>
          </reference>
          <reference field="8" count="1" selected="0">
            <x v="1"/>
          </reference>
        </references>
      </pivotArea>
    </format>
    <format dxfId="116">
      <pivotArea dataOnly="0" labelOnly="1" outline="0" fieldPosition="0">
        <references count="5">
          <reference field="0" count="1" selected="0">
            <x v="363"/>
          </reference>
          <reference field="2" count="1" selected="0">
            <x v="12"/>
          </reference>
          <reference field="3" count="1" selected="0">
            <x v="12"/>
          </reference>
          <reference field="7" count="1">
            <x v="265"/>
          </reference>
          <reference field="8" count="1" selected="0">
            <x v="2"/>
          </reference>
        </references>
      </pivotArea>
    </format>
    <format dxfId="115">
      <pivotArea dataOnly="0" labelOnly="1" outline="0" fieldPosition="0">
        <references count="5">
          <reference field="0" count="1" selected="0">
            <x v="609"/>
          </reference>
          <reference field="2" count="1" selected="0">
            <x v="2"/>
          </reference>
          <reference field="3" count="1" selected="0">
            <x v="9"/>
          </reference>
          <reference field="7" count="1">
            <x v="497"/>
          </reference>
          <reference field="8" count="1" selected="0">
            <x v="2"/>
          </reference>
        </references>
      </pivotArea>
    </format>
    <format dxfId="114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7"/>
          </reference>
          <reference field="3" count="1" selected="0">
            <x v="14"/>
          </reference>
          <reference field="7" count="1">
            <x v="111"/>
          </reference>
          <reference field="8" count="1" selected="0">
            <x v="2"/>
          </reference>
        </references>
      </pivotArea>
    </format>
    <format dxfId="113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0"/>
          </reference>
          <reference field="3" count="1" selected="0">
            <x v="15"/>
          </reference>
          <reference field="7" count="1">
            <x v="308"/>
          </reference>
          <reference field="8" count="1" selected="0">
            <x v="1"/>
          </reference>
        </references>
      </pivotArea>
    </format>
    <format dxfId="112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12"/>
          </reference>
          <reference field="3" count="1" selected="0">
            <x v="7"/>
          </reference>
          <reference field="7" count="1">
            <x v="448"/>
          </reference>
          <reference field="8" count="1" selected="0">
            <x v="2"/>
          </reference>
        </references>
      </pivotArea>
    </format>
    <format dxfId="111">
      <pivotArea dataOnly="0" labelOnly="1" outline="0" fieldPosition="0">
        <references count="5">
          <reference field="0" count="1" selected="0">
            <x v="879"/>
          </reference>
          <reference field="2" count="1" selected="0">
            <x v="7"/>
          </reference>
          <reference field="3" count="1" selected="0">
            <x v="9"/>
          </reference>
          <reference field="7" count="1">
            <x v="231"/>
          </reference>
          <reference field="8" count="1" selected="0">
            <x v="1"/>
          </reference>
        </references>
      </pivotArea>
    </format>
    <format dxfId="11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2"/>
          </reference>
          <reference field="3" count="1" selected="0">
            <x v="2"/>
          </reference>
          <reference field="7" count="1">
            <x v="379"/>
          </reference>
          <reference field="8" count="1" selected="0">
            <x v="1"/>
          </reference>
        </references>
      </pivotArea>
    </format>
    <format dxfId="109">
      <pivotArea dataOnly="0" labelOnly="1" outline="0" fieldPosition="0">
        <references count="5">
          <reference field="0" count="1" selected="0">
            <x v="378"/>
          </reference>
          <reference field="2" count="1" selected="0">
            <x v="2"/>
          </reference>
          <reference field="3" count="1" selected="0">
            <x v="1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108">
      <pivotArea dataOnly="0" labelOnly="1" outline="0" fieldPosition="0">
        <references count="5">
          <reference field="0" count="1" selected="0">
            <x v="993"/>
          </reference>
          <reference field="2" count="1" selected="0">
            <x v="4"/>
          </reference>
          <reference field="3" count="1" selected="0">
            <x v="5"/>
          </reference>
          <reference field="7" count="1">
            <x v="288"/>
          </reference>
          <reference field="8" count="1" selected="0">
            <x v="2"/>
          </reference>
        </references>
      </pivotArea>
    </format>
    <format dxfId="107">
      <pivotArea dataOnly="0" labelOnly="1" outline="0" fieldPosition="0">
        <references count="5">
          <reference field="0" count="1" selected="0">
            <x v="630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129"/>
          </reference>
          <reference field="8" count="1" selected="0">
            <x v="2"/>
          </reference>
        </references>
      </pivotArea>
    </format>
    <format dxfId="106">
      <pivotArea dataOnly="0" labelOnly="1" outline="0" fieldPosition="0">
        <references count="5">
          <reference field="0" count="1" selected="0">
            <x v="41"/>
          </reference>
          <reference field="2" count="1" selected="0">
            <x v="11"/>
          </reference>
          <reference field="3" count="1" selected="0">
            <x v="10"/>
          </reference>
          <reference field="7" count="1">
            <x v="282"/>
          </reference>
          <reference field="8" count="1" selected="0">
            <x v="1"/>
          </reference>
        </references>
      </pivotArea>
    </format>
    <format dxfId="105">
      <pivotArea dataOnly="0" labelOnly="1" outline="0" fieldPosition="0">
        <references count="5">
          <reference field="0" count="1" selected="0">
            <x v="783"/>
          </reference>
          <reference field="2" count="1" selected="0">
            <x v="4"/>
          </reference>
          <reference field="3" count="1" selected="0">
            <x v="2"/>
          </reference>
          <reference field="7" count="1">
            <x v="466"/>
          </reference>
          <reference field="8" count="1" selected="0">
            <x v="2"/>
          </reference>
        </references>
      </pivotArea>
    </format>
    <format dxfId="104">
      <pivotArea dataOnly="0" labelOnly="1" outline="0" fieldPosition="0">
        <references count="5">
          <reference field="0" count="1" selected="0">
            <x v="820"/>
          </reference>
          <reference field="2" count="1" selected="0">
            <x v="12"/>
          </reference>
          <reference field="3" count="1" selected="0">
            <x v="2"/>
          </reference>
          <reference field="7" count="1">
            <x v="496"/>
          </reference>
          <reference field="8" count="1" selected="0">
            <x v="1"/>
          </reference>
        </references>
      </pivotArea>
    </format>
    <format dxfId="103">
      <pivotArea dataOnly="0" labelOnly="1" outline="0" fieldPosition="0">
        <references count="5">
          <reference field="0" count="1" selected="0">
            <x v="885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84"/>
          </reference>
          <reference field="8" count="1" selected="0">
            <x v="1"/>
          </reference>
        </references>
      </pivotArea>
    </format>
    <format dxfId="102">
      <pivotArea dataOnly="0" labelOnly="1" outline="0" fieldPosition="0">
        <references count="5">
          <reference field="0" count="1" selected="0">
            <x v="397"/>
          </reference>
          <reference field="2" count="1" selected="0">
            <x v="4"/>
          </reference>
          <reference field="3" count="1" selected="0">
            <x v="12"/>
          </reference>
          <reference field="7" count="1">
            <x v="215"/>
          </reference>
          <reference field="8" count="1" selected="0">
            <x v="1"/>
          </reference>
        </references>
      </pivotArea>
    </format>
    <format dxfId="10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8"/>
          </reference>
          <reference field="3" count="1" selected="0">
            <x v="2"/>
          </reference>
          <reference field="7" count="1">
            <x v="176"/>
          </reference>
          <reference field="8" count="1" selected="0">
            <x v="2"/>
          </reference>
        </references>
      </pivotArea>
    </format>
    <format dxfId="100">
      <pivotArea dataOnly="0" labelOnly="1" outline="0" fieldPosition="0">
        <references count="5">
          <reference field="0" count="1" selected="0">
            <x v="532"/>
          </reference>
          <reference field="2" count="1" selected="0">
            <x v="3"/>
          </reference>
          <reference field="3" count="1" selected="0">
            <x v="10"/>
          </reference>
          <reference field="7" count="1">
            <x v="462"/>
          </reference>
          <reference field="8" count="1" selected="0">
            <x v="1"/>
          </reference>
        </references>
      </pivotArea>
    </format>
    <format dxfId="99">
      <pivotArea dataOnly="0" labelOnly="1" outline="0" fieldPosition="0">
        <references count="5">
          <reference field="0" count="1" selected="0">
            <x v="940"/>
          </reference>
          <reference field="2" count="1" selected="0">
            <x v="1"/>
          </reference>
          <reference field="3" count="1" selected="0">
            <x v="8"/>
          </reference>
          <reference field="7" count="1">
            <x v="153"/>
          </reference>
          <reference field="8" count="1" selected="0">
            <x v="2"/>
          </reference>
        </references>
      </pivotArea>
    </format>
    <format dxfId="98">
      <pivotArea dataOnly="0" labelOnly="1" outline="0" fieldPosition="0">
        <references count="5">
          <reference field="0" count="1" selected="0">
            <x v="830"/>
          </reference>
          <reference field="2" count="1" selected="0">
            <x v="0"/>
          </reference>
          <reference field="3" count="1" selected="0">
            <x v="11"/>
          </reference>
          <reference field="7" count="1">
            <x v="431"/>
          </reference>
          <reference field="8" count="1" selected="0">
            <x v="1"/>
          </reference>
        </references>
      </pivotArea>
    </format>
    <format dxfId="97">
      <pivotArea dataOnly="0" labelOnly="1" outline="0" fieldPosition="0">
        <references count="5">
          <reference field="0" count="1" selected="0">
            <x v="389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96">
      <pivotArea dataOnly="0" labelOnly="1" outline="0" fieldPosition="0">
        <references count="5">
          <reference field="0" count="1" selected="0">
            <x v="140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536"/>
          </reference>
          <reference field="8" count="1" selected="0">
            <x v="1"/>
          </reference>
        </references>
      </pivotArea>
    </format>
    <format dxfId="95">
      <pivotArea dataOnly="0" labelOnly="1" outline="0" fieldPosition="0">
        <references count="5">
          <reference field="0" count="1" selected="0">
            <x v="711"/>
          </reference>
          <reference field="2" count="1" selected="0">
            <x v="10"/>
          </reference>
          <reference field="3" count="1" selected="0">
            <x v="1"/>
          </reference>
          <reference field="7" count="1">
            <x v="14"/>
          </reference>
          <reference field="8" count="1" selected="0">
            <x v="1"/>
          </reference>
        </references>
      </pivotArea>
    </format>
    <format dxfId="94">
      <pivotArea dataOnly="0" labelOnly="1" outline="0" fieldPosition="0">
        <references count="5">
          <reference field="0" count="1" selected="0">
            <x v="726"/>
          </reference>
          <reference field="2" count="1" selected="0">
            <x v="10"/>
          </reference>
          <reference field="3" count="1" selected="0">
            <x v="4"/>
          </reference>
          <reference field="7" count="1">
            <x v="327"/>
          </reference>
          <reference field="8" count="1" selected="0">
            <x v="1"/>
          </reference>
        </references>
      </pivotArea>
    </format>
    <format dxfId="93">
      <pivotArea dataOnly="0" labelOnly="1" outline="0" fieldPosition="0">
        <references count="5">
          <reference field="0" count="1" selected="0">
            <x v="837"/>
          </reference>
          <reference field="2" count="1" selected="0">
            <x v="8"/>
          </reference>
          <reference field="3" count="1" selected="0">
            <x v="0"/>
          </reference>
          <reference field="7" count="1">
            <x v="575"/>
          </reference>
          <reference field="8" count="1" selected="0">
            <x v="1"/>
          </reference>
        </references>
      </pivotArea>
    </format>
    <format dxfId="92">
      <pivotArea dataOnly="0" labelOnly="1" outline="0" fieldPosition="0">
        <references count="5">
          <reference field="0" count="1" selected="0">
            <x v="689"/>
          </reference>
          <reference field="2" count="1" selected="0">
            <x v="3"/>
          </reference>
          <reference field="3" count="1" selected="0">
            <x v="6"/>
          </reference>
          <reference field="7" count="1">
            <x v="136"/>
          </reference>
          <reference field="8" count="1" selected="0">
            <x v="1"/>
          </reference>
        </references>
      </pivotArea>
    </format>
    <format dxfId="91">
      <pivotArea dataOnly="0" labelOnly="1" outline="0" fieldPosition="0">
        <references count="5">
          <reference field="0" count="1" selected="0">
            <x v="472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151"/>
          </reference>
          <reference field="8" count="1" selected="0">
            <x v="1"/>
          </reference>
        </references>
      </pivotArea>
    </format>
    <format dxfId="90">
      <pivotArea dataOnly="0" labelOnly="1" outline="0" fieldPosition="0">
        <references count="5">
          <reference field="0" count="1" selected="0">
            <x v="429"/>
          </reference>
          <reference field="2" count="1" selected="0">
            <x v="4"/>
          </reference>
          <reference field="3" count="1" selected="0">
            <x v="14"/>
          </reference>
          <reference field="7" count="1">
            <x v="447"/>
          </reference>
          <reference field="8" count="1" selected="0">
            <x v="1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3"/>
          </reference>
          <reference field="3" count="1" selected="0">
            <x v="2"/>
          </reference>
          <reference field="7" count="1">
            <x v="377"/>
          </reference>
          <reference field="8" count="1" selected="0">
            <x v="2"/>
          </reference>
        </references>
      </pivotArea>
    </format>
    <format dxfId="88">
      <pivotArea dataOnly="0" labelOnly="1" outline="0" fieldPosition="0">
        <references count="5">
          <reference field="0" count="1" selected="0">
            <x v="954"/>
          </reference>
          <reference field="2" count="1" selected="0">
            <x v="5"/>
          </reference>
          <reference field="3" count="1" selected="0">
            <x v="7"/>
          </reference>
          <reference field="7" count="1">
            <x v="389"/>
          </reference>
          <reference field="8" count="1" selected="0">
            <x v="2"/>
          </reference>
        </references>
      </pivotArea>
    </format>
    <format dxfId="87">
      <pivotArea dataOnly="0" labelOnly="1" outline="0" fieldPosition="0">
        <references count="5">
          <reference field="0" count="1" selected="0">
            <x v="838"/>
          </reference>
          <reference field="2" count="1" selected="0">
            <x v="9"/>
          </reference>
          <reference field="3" count="1" selected="0">
            <x v="2"/>
          </reference>
          <reference field="7" count="1">
            <x v="328"/>
          </reference>
          <reference field="8" count="1" selected="0">
            <x v="2"/>
          </reference>
        </references>
      </pivotArea>
    </format>
    <format dxfId="86">
      <pivotArea dataOnly="0" labelOnly="1" outline="0" fieldPosition="0">
        <references count="5">
          <reference field="0" count="1" selected="0">
            <x v="768"/>
          </reference>
          <reference field="2" count="1" selected="0">
            <x v="6"/>
          </reference>
          <reference field="3" count="1" selected="0">
            <x v="10"/>
          </reference>
          <reference field="7" count="1">
            <x v="95"/>
          </reference>
          <reference field="8" count="1" selected="0">
            <x v="1"/>
          </reference>
        </references>
      </pivotArea>
    </format>
    <format dxfId="85">
      <pivotArea dataOnly="0" labelOnly="1" outline="0" fieldPosition="0">
        <references count="5">
          <reference field="0" count="1" selected="0">
            <x v="38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311"/>
          </reference>
          <reference field="8" count="1" selected="0">
            <x v="1"/>
          </reference>
        </references>
      </pivotArea>
    </format>
    <format dxfId="84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235"/>
          </reference>
          <reference field="8" count="1" selected="0">
            <x v="1"/>
          </reference>
        </references>
      </pivotArea>
    </format>
    <format dxfId="83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6"/>
          </reference>
          <reference field="3" count="1" selected="0">
            <x v="5"/>
          </reference>
          <reference field="7" count="1">
            <x v="558"/>
          </reference>
          <reference field="8" count="1" selected="0">
            <x v="2"/>
          </reference>
        </references>
      </pivotArea>
    </format>
    <format dxfId="82">
      <pivotArea dataOnly="0" labelOnly="1" outline="0" fieldPosition="0">
        <references count="5">
          <reference field="0" count="1" selected="0">
            <x v="515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515"/>
          </reference>
          <reference field="8" count="1" selected="0">
            <x v="1"/>
          </reference>
        </references>
      </pivotArea>
    </format>
    <format dxfId="81">
      <pivotArea dataOnly="0" labelOnly="1" outline="0" fieldPosition="0">
        <references count="5">
          <reference field="0" count="1" selected="0">
            <x v="582"/>
          </reference>
          <reference field="2" count="1" selected="0">
            <x v="5"/>
          </reference>
          <reference field="3" count="1" selected="0">
            <x v="12"/>
          </reference>
          <reference field="7" count="1">
            <x v="523"/>
          </reference>
          <reference field="8" count="1" selected="0">
            <x v="2"/>
          </reference>
        </references>
      </pivotArea>
    </format>
    <format dxfId="80">
      <pivotArea dataOnly="0" labelOnly="1" outline="0" fieldPosition="0">
        <references count="5">
          <reference field="0" count="1" selected="0">
            <x v="206"/>
          </reference>
          <reference field="2" count="1" selected="0">
            <x v="12"/>
          </reference>
          <reference field="3" count="1" selected="0">
            <x v="6"/>
          </reference>
          <reference field="7" count="1">
            <x v="255"/>
          </reference>
          <reference field="8" count="1" selected="0">
            <x v="1"/>
          </reference>
        </references>
      </pivotArea>
    </format>
    <format dxfId="79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533"/>
          </reference>
          <reference field="8" count="1" selected="0">
            <x v="1"/>
          </reference>
        </references>
      </pivotArea>
    </format>
    <format dxfId="78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308"/>
          </reference>
          <reference field="8" count="1" selected="0">
            <x v="2"/>
          </reference>
        </references>
      </pivotArea>
    </format>
    <format dxfId="77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4"/>
          </reference>
          <reference field="3" count="1" selected="0">
            <x v="6"/>
          </reference>
          <reference field="7" count="1">
            <x v="399"/>
          </reference>
          <reference field="8" count="1" selected="0">
            <x v="1"/>
          </reference>
        </references>
      </pivotArea>
    </format>
    <format dxfId="76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11"/>
          </reference>
          <reference field="3" count="1" selected="0">
            <x v="1"/>
          </reference>
          <reference field="7" count="1">
            <x v="201"/>
          </reference>
          <reference field="8" count="1" selected="0">
            <x v="2"/>
          </reference>
        </references>
      </pivotArea>
    </format>
    <format dxfId="75">
      <pivotArea dataOnly="0" labelOnly="1" outline="0" fieldPosition="0">
        <references count="5">
          <reference field="0" count="1" selected="0">
            <x v="645"/>
          </reference>
          <reference field="2" count="1" selected="0">
            <x v="5"/>
          </reference>
          <reference field="3" count="1" selected="0">
            <x v="3"/>
          </reference>
          <reference field="7" count="1">
            <x v="365"/>
          </reference>
          <reference field="8" count="1" selected="0">
            <x v="1"/>
          </reference>
        </references>
      </pivotArea>
    </format>
    <format dxfId="74">
      <pivotArea dataOnly="0" labelOnly="1" outline="0" fieldPosition="0">
        <references count="5">
          <reference field="0" count="1" selected="0">
            <x v="535"/>
          </reference>
          <reference field="2" count="1" selected="0">
            <x v="7"/>
          </reference>
          <reference field="3" count="1" selected="0">
            <x v="6"/>
          </reference>
          <reference field="7" count="1">
            <x v="319"/>
          </reference>
          <reference field="8" count="1" selected="0">
            <x v="2"/>
          </reference>
        </references>
      </pivotArea>
    </format>
    <format dxfId="73">
      <pivotArea dataOnly="0" labelOnly="1" outline="0" fieldPosition="0">
        <references count="5">
          <reference field="0" count="1" selected="0">
            <x v="63"/>
          </reference>
          <reference field="2" count="1" selected="0">
            <x v="7"/>
          </reference>
          <reference field="3" count="1" selected="0">
            <x v="2"/>
          </reference>
          <reference field="7" count="1">
            <x v="154"/>
          </reference>
          <reference field="8" count="1" selected="0">
            <x v="1"/>
          </reference>
        </references>
      </pivotArea>
    </format>
    <format dxfId="72">
      <pivotArea dataOnly="0" labelOnly="1" outline="0" fieldPosition="0">
        <references count="5">
          <reference field="0" count="1" selected="0">
            <x v="994"/>
          </reference>
          <reference field="2" count="1" selected="0">
            <x v="12"/>
          </reference>
          <reference field="3" count="1" selected="0">
            <x v="13"/>
          </reference>
          <reference field="7" count="1">
            <x v="558"/>
          </reference>
          <reference field="8" count="1" selected="0">
            <x v="1"/>
          </reference>
        </references>
      </pivotArea>
    </format>
    <format dxfId="71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10"/>
          </reference>
          <reference field="3" count="1" selected="0">
            <x v="7"/>
          </reference>
          <reference field="7" count="1">
            <x v="397"/>
          </reference>
          <reference field="8" count="1" selected="0">
            <x v="1"/>
          </reference>
        </references>
      </pivotArea>
    </format>
    <format dxfId="70">
      <pivotArea dataOnly="0" labelOnly="1" outline="0" fieldPosition="0">
        <references count="5">
          <reference field="0" count="1" selected="0">
            <x v="715"/>
          </reference>
          <reference field="2" count="1" selected="0">
            <x v="12"/>
          </reference>
          <reference field="3" count="1" selected="0">
            <x v="1"/>
          </reference>
          <reference field="7" count="1">
            <x v="196"/>
          </reference>
          <reference field="8" count="1" selected="0">
            <x v="2"/>
          </reference>
        </references>
      </pivotArea>
    </format>
    <format dxfId="69">
      <pivotArea dataOnly="0" labelOnly="1" outline="0" fieldPosition="0">
        <references count="5">
          <reference field="0" count="1" selected="0">
            <x v="631"/>
          </reference>
          <reference field="2" count="1" selected="0">
            <x v="9"/>
          </reference>
          <reference field="3" count="1" selected="0">
            <x v="11"/>
          </reference>
          <reference field="7" count="1">
            <x v="491"/>
          </reference>
          <reference field="8" count="1" selected="0">
            <x v="1"/>
          </reference>
        </references>
      </pivotArea>
    </format>
    <format dxfId="68">
      <pivotArea dataOnly="0" labelOnly="1" outline="0" fieldPosition="0">
        <references count="5">
          <reference field="0" count="1" selected="0">
            <x v="696"/>
          </reference>
          <reference field="2" count="1" selected="0">
            <x v="9"/>
          </reference>
          <reference field="3" count="1" selected="0">
            <x v="8"/>
          </reference>
          <reference field="7" count="1">
            <x v="436"/>
          </reference>
          <reference field="8" count="1" selected="0">
            <x v="2"/>
          </reference>
        </references>
      </pivotArea>
    </format>
    <format dxfId="67">
      <pivotArea dataOnly="0" labelOnly="1" outline="0" fieldPosition="0">
        <references count="5">
          <reference field="0" count="1" selected="0">
            <x v="691"/>
          </reference>
          <reference field="2" count="1" selected="0">
            <x v="11"/>
          </reference>
          <reference field="3" count="1" selected="0">
            <x v="3"/>
          </reference>
          <reference field="7" count="1">
            <x v="274"/>
          </reference>
          <reference field="8" count="1" selected="0">
            <x v="2"/>
          </reference>
        </references>
      </pivotArea>
    </format>
    <format dxfId="66">
      <pivotArea dataOnly="0" labelOnly="1" outline="0" fieldPosition="0">
        <references count="5">
          <reference field="0" count="1" selected="0">
            <x v="374"/>
          </reference>
          <reference field="2" count="1" selected="0">
            <x v="8"/>
          </reference>
          <reference field="3" count="1" selected="0">
            <x v="3"/>
          </reference>
          <reference field="7" count="1">
            <x v="351"/>
          </reference>
          <reference field="8" count="1" selected="0">
            <x v="1"/>
          </reference>
        </references>
      </pivotArea>
    </format>
    <format dxfId="65">
      <pivotArea dataOnly="0" labelOnly="1" outline="0" fieldPosition="0">
        <references count="5">
          <reference field="0" count="1" selected="0">
            <x v="391"/>
          </reference>
          <reference field="2" count="1" selected="0">
            <x v="10"/>
          </reference>
          <reference field="3" count="1" selected="0">
            <x v="15"/>
          </reference>
          <reference field="7" count="1">
            <x v="538"/>
          </reference>
          <reference field="8" count="1" selected="0">
            <x v="1"/>
          </reference>
        </references>
      </pivotArea>
    </format>
    <format dxfId="64">
      <pivotArea dataOnly="0" labelOnly="1" outline="0" fieldPosition="0">
        <references count="5">
          <reference field="0" count="1" selected="0">
            <x v="341"/>
          </reference>
          <reference field="2" count="1" selected="0">
            <x v="1"/>
          </reference>
          <reference field="3" count="1" selected="0">
            <x v="2"/>
          </reference>
          <reference field="7" count="1">
            <x v="182"/>
          </reference>
          <reference field="8" count="1" selected="0">
            <x v="1"/>
          </reference>
        </references>
      </pivotArea>
    </format>
    <format dxfId="63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551"/>
          </reference>
          <reference field="8" count="1" selected="0">
            <x v="2"/>
          </reference>
        </references>
      </pivotArea>
    </format>
    <format dxfId="62">
      <pivotArea dataOnly="0" labelOnly="1" outline="0" fieldPosition="0">
        <references count="5">
          <reference field="0" count="1" selected="0">
            <x v="706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106"/>
          </reference>
          <reference field="8" count="1" selected="0">
            <x v="2"/>
          </reference>
        </references>
      </pivotArea>
    </format>
    <format dxfId="61">
      <pivotArea dataOnly="0" labelOnly="1" outline="0" fieldPosition="0">
        <references count="5">
          <reference field="0" count="1" selected="0">
            <x v="889"/>
          </reference>
          <reference field="2" count="1" selected="0">
            <x v="6"/>
          </reference>
          <reference field="3" count="1" selected="0">
            <x v="15"/>
          </reference>
          <reference field="7" count="1">
            <x v="219"/>
          </reference>
          <reference field="8" count="1" selected="0">
            <x v="2"/>
          </reference>
        </references>
      </pivotArea>
    </format>
    <format dxfId="60">
      <pivotArea dataOnly="0" labelOnly="1" outline="0" fieldPosition="0">
        <references count="5">
          <reference field="0" count="1" selected="0">
            <x v="860"/>
          </reference>
          <reference field="2" count="1" selected="0">
            <x v="12"/>
          </reference>
          <reference field="3" count="1" selected="0">
            <x v="3"/>
          </reference>
          <reference field="7" count="1">
            <x v="117"/>
          </reference>
          <reference field="8" count="1" selected="0">
            <x v="1"/>
          </reference>
        </references>
      </pivotArea>
    </format>
    <format dxfId="59">
      <pivotArea dataOnly="0" labelOnly="1" outline="0" fieldPosition="0">
        <references count="5">
          <reference field="0" count="1" selected="0">
            <x v="955"/>
          </reference>
          <reference field="2" count="1" selected="0">
            <x v="12"/>
          </reference>
          <reference field="3" count="1" selected="0">
            <x v="5"/>
          </reference>
          <reference field="7" count="1">
            <x v="323"/>
          </reference>
          <reference field="8" count="1" selected="0">
            <x v="1"/>
          </reference>
        </references>
      </pivotArea>
    </format>
    <format dxfId="58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1"/>
          </reference>
          <reference field="3" count="1" selected="0">
            <x v="13"/>
          </reference>
          <reference field="7" count="1">
            <x v="35"/>
          </reference>
          <reference field="8" count="1" selected="0">
            <x v="1"/>
          </reference>
        </references>
      </pivotArea>
    </format>
    <format dxfId="57">
      <pivotArea dataOnly="0" labelOnly="1" outline="0" fieldPosition="0">
        <references count="5">
          <reference field="0" count="1" selected="0">
            <x v="704"/>
          </reference>
          <reference field="2" count="1" selected="0">
            <x v="3"/>
          </reference>
          <reference field="3" count="1" selected="0">
            <x v="0"/>
          </reference>
          <reference field="7" count="1">
            <x v="285"/>
          </reference>
          <reference field="8" count="1" selected="0">
            <x v="1"/>
          </reference>
        </references>
      </pivotArea>
    </format>
    <format dxfId="56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8"/>
          </reference>
          <reference field="3" count="1" selected="0">
            <x v="14"/>
          </reference>
          <reference field="7" count="1">
            <x v="220"/>
          </reference>
          <reference field="8" count="1" selected="0">
            <x v="1"/>
          </reference>
        </references>
      </pivotArea>
    </format>
    <format dxfId="55">
      <pivotArea dataOnly="0" labelOnly="1" outline="0" fieldPosition="0">
        <references count="5">
          <reference field="0" count="1" selected="0">
            <x v="613"/>
          </reference>
          <reference field="2" count="1" selected="0">
            <x v="2"/>
          </reference>
          <reference field="3" count="1" selected="0">
            <x v="15"/>
          </reference>
          <reference field="7" count="1">
            <x v="371"/>
          </reference>
          <reference field="8" count="1" selected="0">
            <x v="1"/>
          </reference>
        </references>
      </pivotArea>
    </format>
    <format dxfId="54">
      <pivotArea dataOnly="0" labelOnly="1" outline="0" fieldPosition="0">
        <references count="5">
          <reference field="0" count="1" selected="0">
            <x v="605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570"/>
          </reference>
          <reference field="8" count="1" selected="0">
            <x v="1"/>
          </reference>
        </references>
      </pivotArea>
    </format>
    <format dxfId="53">
      <pivotArea dataOnly="0" labelOnly="1" outline="0" fieldPosition="0">
        <references count="5">
          <reference field="0" count="1" selected="0">
            <x v="615"/>
          </reference>
          <reference field="2" count="1" selected="0">
            <x v="10"/>
          </reference>
          <reference field="3" count="1" selected="0">
            <x v="3"/>
          </reference>
          <reference field="7" count="1">
            <x v="211"/>
          </reference>
          <reference field="8" count="1" selected="0">
            <x v="1"/>
          </reference>
        </references>
      </pivotArea>
    </format>
    <format dxfId="52">
      <pivotArea dataOnly="0" labelOnly="1" outline="0" fieldPosition="0">
        <references count="5">
          <reference field="0" count="1" selected="0">
            <x v="453"/>
          </reference>
          <reference field="2" count="1" selected="0">
            <x v="7"/>
          </reference>
          <reference field="3" count="1" selected="0">
            <x v="1"/>
          </reference>
          <reference field="7" count="1">
            <x v="369"/>
          </reference>
          <reference field="8" count="1" selected="0">
            <x v="1"/>
          </reference>
        </references>
      </pivotArea>
    </format>
    <format dxfId="51">
      <pivotArea dataOnly="0" labelOnly="1" outline="0" fieldPosition="0">
        <references count="5">
          <reference field="0" count="1" selected="0">
            <x v="694"/>
          </reference>
          <reference field="2" count="1" selected="0">
            <x v="8"/>
          </reference>
          <reference field="3" count="1" selected="0">
            <x v="12"/>
          </reference>
          <reference field="7" count="1">
            <x v="1"/>
          </reference>
          <reference field="8" count="1" selected="0">
            <x v="2"/>
          </reference>
        </references>
      </pivotArea>
    </format>
    <format dxfId="50">
      <pivotArea dataOnly="0" labelOnly="1" outline="0" fieldPosition="0">
        <references count="5">
          <reference field="0" count="1" selected="0">
            <x v="578"/>
          </reference>
          <reference field="2" count="1" selected="0">
            <x v="3"/>
          </reference>
          <reference field="3" count="1" selected="0">
            <x v="15"/>
          </reference>
          <reference field="7" count="1">
            <x v="412"/>
          </reference>
          <reference field="8" count="1" selected="0">
            <x v="1"/>
          </reference>
        </references>
      </pivotArea>
    </format>
    <format dxfId="49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58"/>
          </reference>
          <reference field="8" count="1" selected="0">
            <x v="2"/>
          </reference>
        </references>
      </pivotArea>
    </format>
    <format dxfId="48">
      <pivotArea dataOnly="0" labelOnly="1" outline="0" fieldPosition="0">
        <references count="5">
          <reference field="0" count="1" selected="0">
            <x v="648"/>
          </reference>
          <reference field="2" count="1" selected="0">
            <x v="4"/>
          </reference>
          <reference field="3" count="1" selected="0">
            <x v="4"/>
          </reference>
          <reference field="7" count="1">
            <x v="94"/>
          </reference>
          <reference field="8" count="1" selected="0">
            <x v="1"/>
          </reference>
        </references>
      </pivotArea>
    </format>
    <format dxfId="47">
      <pivotArea dataOnly="0" labelOnly="1" outline="0" fieldPosition="0">
        <references count="5">
          <reference field="0" count="1" selected="0">
            <x v="977"/>
          </reference>
          <reference field="2" count="1" selected="0">
            <x v="9"/>
          </reference>
          <reference field="3" count="1" selected="0">
            <x v="10"/>
          </reference>
          <reference field="7" count="1">
            <x v="181"/>
          </reference>
          <reference field="8" count="1" selected="0">
            <x v="1"/>
          </reference>
        </references>
      </pivotArea>
    </format>
    <format dxfId="46">
      <pivotArea dataOnly="0" labelOnly="1" outline="0" fieldPosition="0">
        <references count="5">
          <reference field="0" count="1" selected="0">
            <x v="723"/>
          </reference>
          <reference field="2" count="1" selected="0">
            <x v="6"/>
          </reference>
          <reference field="3" count="1" selected="0">
            <x v="3"/>
          </reference>
          <reference field="7" count="1">
            <x v="573"/>
          </reference>
          <reference field="8" count="1" selected="0">
            <x v="1"/>
          </reference>
        </references>
      </pivotArea>
    </format>
    <format dxfId="45">
      <pivotArea dataOnly="0" labelOnly="1" outline="0" fieldPosition="0">
        <references count="5">
          <reference field="0" count="1" selected="0">
            <x v="264"/>
          </reference>
          <reference field="2" count="1" selected="0">
            <x v="3"/>
          </reference>
          <reference field="3" count="1" selected="0">
            <x v="14"/>
          </reference>
          <reference field="7" count="1">
            <x v="325"/>
          </reference>
          <reference field="8" count="1" selected="0">
            <x v="1"/>
          </reference>
        </references>
      </pivotArea>
    </format>
    <format dxfId="44">
      <pivotArea dataOnly="0" labelOnly="1" outline="0" fieldPosition="0">
        <references count="5">
          <reference field="0" count="1" selected="0">
            <x v="393"/>
          </reference>
          <reference field="2" count="1" selected="0">
            <x v="8"/>
          </reference>
          <reference field="3" count="1" selected="0">
            <x v="13"/>
          </reference>
          <reference field="7" count="1">
            <x v="303"/>
          </reference>
          <reference field="8" count="1" selected="0">
            <x v="1"/>
          </reference>
        </references>
      </pivotArea>
    </format>
    <format dxfId="43">
      <pivotArea dataOnly="0" labelOnly="1" outline="0" fieldPosition="0">
        <references count="5">
          <reference field="0" count="1" selected="0">
            <x v="593"/>
          </reference>
          <reference field="2" count="1" selected="0">
            <x v="0"/>
          </reference>
          <reference field="3" count="1" selected="0">
            <x v="12"/>
          </reference>
          <reference field="7" count="1">
            <x v="143"/>
          </reference>
          <reference field="8" count="1" selected="0">
            <x v="1"/>
          </reference>
        </references>
      </pivotArea>
    </format>
    <format dxfId="42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6"/>
          </reference>
          <reference field="3" count="1" selected="0">
            <x v="8"/>
          </reference>
          <reference field="7" count="1">
            <x v="354"/>
          </reference>
          <reference field="8" count="1" selected="0">
            <x v="1"/>
          </reference>
        </references>
      </pivotArea>
    </format>
    <format dxfId="41">
      <pivotArea dataOnly="0" labelOnly="1" outline="0" fieldPosition="0">
        <references count="5">
          <reference field="0" count="1" selected="0">
            <x v="782"/>
          </reference>
          <reference field="2" count="1" selected="0">
            <x v="9"/>
          </reference>
          <reference field="3" count="1" selected="0">
            <x v="1"/>
          </reference>
          <reference field="7" count="1">
            <x v="40"/>
          </reference>
          <reference field="8" count="1" selected="0">
            <x v="1"/>
          </reference>
        </references>
      </pivotArea>
    </format>
    <format dxfId="40">
      <pivotArea dataOnly="0" labelOnly="1" outline="0" fieldPosition="0">
        <references count="5">
          <reference field="0" count="1" selected="0">
            <x v="395"/>
          </reference>
          <reference field="2" count="1" selected="0">
            <x v="5"/>
          </reference>
          <reference field="3" count="1" selected="0">
            <x v="1"/>
          </reference>
          <reference field="7" count="1">
            <x v="549"/>
          </reference>
          <reference field="8" count="1" selected="0">
            <x v="1"/>
          </reference>
        </references>
      </pivotArea>
    </format>
    <format dxfId="39">
      <pivotArea dataOnly="0" labelOnly="1" outline="0" fieldPosition="0">
        <references count="5">
          <reference field="0" count="1" selected="0">
            <x v="757"/>
          </reference>
          <reference field="2" count="1" selected="0">
            <x v="3"/>
          </reference>
          <reference field="3" count="1" selected="0">
            <x v="12"/>
          </reference>
          <reference field="7" count="1">
            <x v="387"/>
          </reference>
          <reference field="8" count="1" selected="0">
            <x v="1"/>
          </reference>
        </references>
      </pivotArea>
    </format>
    <format dxfId="38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3" count="1" selected="0">
            <x v="14"/>
          </reference>
          <reference field="7" count="1">
            <x v="66"/>
          </reference>
          <reference field="8" count="1" selected="0">
            <x v="2"/>
          </reference>
        </references>
      </pivotArea>
    </format>
    <format dxfId="37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10"/>
          </reference>
          <reference field="3" count="1" selected="0">
            <x v="0"/>
          </reference>
          <reference field="7" count="1">
            <x v="401"/>
          </reference>
          <reference field="8" count="1" selected="0">
            <x v="2"/>
          </reference>
        </references>
      </pivotArea>
    </format>
    <format dxfId="36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0"/>
          </reference>
          <reference field="3" count="1" selected="0">
            <x v="2"/>
          </reference>
          <reference field="7" count="1">
            <x v="329"/>
          </reference>
          <reference field="8" count="1" selected="0">
            <x v="2"/>
          </reference>
        </references>
      </pivotArea>
    </format>
    <format dxfId="35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1"/>
          </reference>
          <reference field="3" count="1" selected="0">
            <x v="3"/>
          </reference>
          <reference field="7" count="1">
            <x v="564"/>
          </reference>
          <reference field="8" count="1" selected="0">
            <x v="1"/>
          </reference>
        </references>
      </pivotArea>
    </format>
    <format dxfId="34">
      <pivotArea dataOnly="0" labelOnly="1" outline="0" axis="axisValues" fieldPosition="0"/>
    </format>
  </formats>
  <pivotTableStyleInfo name="PivotStyleLight22" showRowHeaders="1" showColHeaders="1" showRowStripes="0" showColStripes="0" showLastColumn="1"/>
  <filters count="1">
    <filter fld="0" type="valueGreaterThan" evalOrder="-1" id="4" iMeasureFld="0">
      <autoFilter ref="A1">
        <filterColumn colId="0">
          <customFilters>
            <customFilter operator="greaterThan" val="2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081C6-8524-4766-BBF6-29EA90724FB7}" name="PivotTable1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0:C28" firstHeaderRow="0" firstDataRow="1" firstDataCol="1"/>
  <pivotFields count="17">
    <pivotField showAll="0"/>
    <pivotField axis="axisRow" showAll="0">
      <items count="10">
        <item x="4"/>
        <item x="3"/>
        <item x="6"/>
        <item x="7"/>
        <item x="1"/>
        <item x="2"/>
        <item x="5"/>
        <item x="0"/>
        <item m="1" x="8"/>
        <item t="default"/>
      </items>
    </pivotField>
    <pivotField showAll="0"/>
    <pivotField showAll="0"/>
    <pivotField dataField="1" showAll="0"/>
    <pivotField dataField="1" showAll="0"/>
    <pivotField showAll="0"/>
    <pivotField numFmtId="164" showAll="0">
      <items count="584">
        <item x="266"/>
        <item x="154"/>
        <item x="208"/>
        <item x="549"/>
        <item x="359"/>
        <item x="502"/>
        <item x="316"/>
        <item x="517"/>
        <item x="67"/>
        <item x="491"/>
        <item x="146"/>
        <item x="525"/>
        <item x="582"/>
        <item x="333"/>
        <item x="562"/>
        <item x="219"/>
        <item x="470"/>
        <item x="111"/>
        <item x="104"/>
        <item x="506"/>
        <item x="292"/>
        <item x="334"/>
        <item x="383"/>
        <item x="58"/>
        <item x="308"/>
        <item x="472"/>
        <item x="19"/>
        <item x="4"/>
        <item x="194"/>
        <item x="59"/>
        <item x="542"/>
        <item x="519"/>
        <item x="406"/>
        <item x="524"/>
        <item x="442"/>
        <item x="18"/>
        <item x="46"/>
        <item x="577"/>
        <item x="398"/>
        <item x="116"/>
        <item x="262"/>
        <item x="343"/>
        <item x="158"/>
        <item x="49"/>
        <item x="410"/>
        <item x="201"/>
        <item x="215"/>
        <item x="246"/>
        <item x="529"/>
        <item x="24"/>
        <item x="520"/>
        <item x="435"/>
        <item x="468"/>
        <item x="309"/>
        <item x="65"/>
        <item x="497"/>
        <item x="172"/>
        <item x="348"/>
        <item x="377"/>
        <item x="419"/>
        <item x="407"/>
        <item x="285"/>
        <item x="263"/>
        <item x="312"/>
        <item x="355"/>
        <item x="115"/>
        <item x="507"/>
        <item x="213"/>
        <item x="140"/>
        <item x="378"/>
        <item x="77"/>
        <item x="93"/>
        <item x="177"/>
        <item x="331"/>
        <item x="254"/>
        <item x="466"/>
        <item x="319"/>
        <item x="488"/>
        <item x="161"/>
        <item x="557"/>
        <item x="547"/>
        <item x="278"/>
        <item x="320"/>
        <item x="566"/>
        <item x="339"/>
        <item x="302"/>
        <item x="565"/>
        <item x="223"/>
        <item x="429"/>
        <item x="202"/>
        <item x="449"/>
        <item x="85"/>
        <item x="485"/>
        <item x="341"/>
        <item x="179"/>
        <item x="370"/>
        <item x="163"/>
        <item x="552"/>
        <item x="385"/>
        <item x="203"/>
        <item x="109"/>
        <item x="155"/>
        <item x="459"/>
        <item x="495"/>
        <item x="281"/>
        <item x="261"/>
        <item x="536"/>
        <item x="505"/>
        <item x="162"/>
        <item x="450"/>
        <item x="426"/>
        <item x="31"/>
        <item x="90"/>
        <item x="492"/>
        <item x="444"/>
        <item x="174"/>
        <item x="153"/>
        <item x="30"/>
        <item x="229"/>
        <item x="396"/>
        <item x="268"/>
        <item x="418"/>
        <item x="300"/>
        <item x="446"/>
        <item x="106"/>
        <item x="157"/>
        <item x="543"/>
        <item x="533"/>
        <item x="217"/>
        <item x="212"/>
        <item x="427"/>
        <item x="195"/>
        <item x="137"/>
        <item x="397"/>
        <item x="440"/>
        <item x="126"/>
        <item x="301"/>
        <item x="504"/>
        <item x="568"/>
        <item x="349"/>
        <item x="230"/>
        <item x="156"/>
        <item x="81"/>
        <item x="0"/>
        <item x="176"/>
        <item x="461"/>
        <item x="168"/>
        <item x="34"/>
        <item x="315"/>
        <item x="521"/>
        <item x="420"/>
        <item x="144"/>
        <item x="295"/>
        <item x="102"/>
        <item x="366"/>
        <item x="318"/>
        <item x="110"/>
        <item x="40"/>
        <item x="469"/>
        <item x="7"/>
        <item x="332"/>
        <item x="516"/>
        <item x="411"/>
        <item x="277"/>
        <item x="6"/>
        <item x="313"/>
        <item x="103"/>
        <item x="267"/>
        <item x="36"/>
        <item x="489"/>
        <item x="247"/>
        <item x="509"/>
        <item x="148"/>
        <item x="87"/>
        <item x="200"/>
        <item x="328"/>
        <item x="381"/>
        <item x="231"/>
        <item x="550"/>
        <item x="496"/>
        <item x="480"/>
        <item x="107"/>
        <item x="456"/>
        <item x="41"/>
        <item x="487"/>
        <item x="84"/>
        <item x="362"/>
        <item x="48"/>
        <item x="474"/>
        <item x="493"/>
        <item x="259"/>
        <item x="486"/>
        <item x="97"/>
        <item x="401"/>
        <item x="182"/>
        <item x="198"/>
        <item x="387"/>
        <item x="317"/>
        <item x="311"/>
        <item x="322"/>
        <item x="304"/>
        <item x="235"/>
        <item x="89"/>
        <item x="392"/>
        <item x="98"/>
        <item x="483"/>
        <item x="544"/>
        <item x="356"/>
        <item x="258"/>
        <item x="192"/>
        <item x="1"/>
        <item x="244"/>
        <item x="494"/>
        <item x="185"/>
        <item x="578"/>
        <item x="575"/>
        <item x="560"/>
        <item x="55"/>
        <item x="458"/>
        <item x="368"/>
        <item x="535"/>
        <item x="307"/>
        <item x="306"/>
        <item x="453"/>
        <item x="225"/>
        <item x="561"/>
        <item x="68"/>
        <item x="50"/>
        <item x="78"/>
        <item x="248"/>
        <item x="188"/>
        <item x="216"/>
        <item x="555"/>
        <item x="573"/>
        <item x="95"/>
        <item x="224"/>
        <item x="21"/>
        <item x="357"/>
        <item x="43"/>
        <item x="51"/>
        <item x="526"/>
        <item x="329"/>
        <item x="290"/>
        <item x="508"/>
        <item x="92"/>
        <item x="340"/>
        <item x="540"/>
        <item x="113"/>
        <item x="570"/>
        <item x="402"/>
        <item x="206"/>
        <item x="127"/>
        <item x="275"/>
        <item x="310"/>
        <item x="484"/>
        <item x="22"/>
        <item x="382"/>
        <item x="447"/>
        <item x="371"/>
        <item x="131"/>
        <item x="321"/>
        <item x="580"/>
        <item x="558"/>
        <item x="414"/>
        <item x="400"/>
        <item x="204"/>
        <item x="518"/>
        <item x="463"/>
        <item x="413"/>
        <item x="159"/>
        <item x="409"/>
        <item x="351"/>
        <item x="57"/>
        <item x="75"/>
        <item x="218"/>
        <item x="69"/>
        <item x="130"/>
        <item x="238"/>
        <item x="64"/>
        <item x="63"/>
        <item x="569"/>
        <item x="29"/>
        <item x="2"/>
        <item x="405"/>
        <item x="412"/>
        <item x="283"/>
        <item x="205"/>
        <item x="272"/>
        <item x="53"/>
        <item x="276"/>
        <item x="173"/>
        <item x="17"/>
        <item x="481"/>
        <item x="528"/>
        <item x="134"/>
        <item x="303"/>
        <item x="264"/>
        <item x="541"/>
        <item x="454"/>
        <item x="35"/>
        <item x="136"/>
        <item x="166"/>
        <item x="20"/>
        <item x="325"/>
        <item x="11"/>
        <item x="500"/>
        <item x="167"/>
        <item x="391"/>
        <item x="143"/>
        <item x="270"/>
        <item x="193"/>
        <item x="358"/>
        <item x="288"/>
        <item x="211"/>
        <item x="336"/>
        <item x="574"/>
        <item x="5"/>
        <item x="47"/>
        <item x="16"/>
        <item x="250"/>
        <item x="342"/>
        <item x="394"/>
        <item x="234"/>
        <item x="186"/>
        <item x="245"/>
        <item x="149"/>
        <item x="364"/>
        <item x="76"/>
        <item x="227"/>
        <item x="305"/>
        <item x="236"/>
        <item x="294"/>
        <item x="94"/>
        <item x="260"/>
        <item x="32"/>
        <item x="374"/>
        <item x="196"/>
        <item x="145"/>
        <item x="286"/>
        <item x="457"/>
        <item x="124"/>
        <item x="299"/>
        <item x="256"/>
        <item x="269"/>
        <item x="120"/>
        <item x="354"/>
        <item x="532"/>
        <item x="293"/>
        <item x="142"/>
        <item x="141"/>
        <item x="271"/>
        <item x="393"/>
        <item x="273"/>
        <item x="251"/>
        <item x="363"/>
        <item x="323"/>
        <item x="72"/>
        <item x="70"/>
        <item x="33"/>
        <item x="180"/>
        <item x="499"/>
        <item x="222"/>
        <item x="448"/>
        <item x="132"/>
        <item x="399"/>
        <item x="464"/>
        <item x="8"/>
        <item x="425"/>
        <item x="66"/>
        <item x="171"/>
        <item x="27"/>
        <item x="433"/>
        <item x="240"/>
        <item x="297"/>
        <item x="477"/>
        <item x="437"/>
        <item x="455"/>
        <item x="199"/>
        <item x="15"/>
        <item x="25"/>
        <item x="12"/>
        <item x="91"/>
        <item x="242"/>
        <item x="191"/>
        <item x="62"/>
        <item x="553"/>
        <item x="39"/>
        <item x="274"/>
        <item x="164"/>
        <item x="503"/>
        <item x="439"/>
        <item x="417"/>
        <item x="372"/>
        <item x="237"/>
        <item x="432"/>
        <item x="352"/>
        <item x="443"/>
        <item x="373"/>
        <item x="581"/>
        <item x="324"/>
        <item x="515"/>
        <item x="390"/>
        <item x="389"/>
        <item x="388"/>
        <item x="523"/>
        <item x="28"/>
        <item x="112"/>
        <item x="280"/>
        <item x="361"/>
        <item x="539"/>
        <item x="183"/>
        <item x="178"/>
        <item x="326"/>
        <item x="475"/>
        <item x="101"/>
        <item x="531"/>
        <item x="249"/>
        <item x="330"/>
        <item x="431"/>
        <item x="207"/>
        <item x="291"/>
        <item x="287"/>
        <item x="114"/>
        <item x="257"/>
        <item x="452"/>
        <item x="42"/>
        <item x="451"/>
        <item x="365"/>
        <item x="367"/>
        <item x="510"/>
        <item x="567"/>
        <item x="422"/>
        <item x="252"/>
        <item x="232"/>
        <item x="347"/>
        <item x="239"/>
        <item x="579"/>
        <item x="511"/>
        <item x="38"/>
        <item x="118"/>
        <item x="350"/>
        <item x="369"/>
        <item x="537"/>
        <item x="501"/>
        <item x="473"/>
        <item x="26"/>
        <item x="44"/>
        <item x="45"/>
        <item x="548"/>
        <item x="135"/>
        <item x="428"/>
        <item x="147"/>
        <item x="434"/>
        <item x="265"/>
        <item x="187"/>
        <item x="169"/>
        <item x="241"/>
        <item x="338"/>
        <item x="150"/>
        <item x="436"/>
        <item x="37"/>
        <item x="296"/>
        <item x="83"/>
        <item x="117"/>
        <item x="423"/>
        <item x="375"/>
        <item x="298"/>
        <item x="314"/>
        <item x="160"/>
        <item x="181"/>
        <item x="23"/>
        <item x="527"/>
        <item x="445"/>
        <item x="152"/>
        <item x="353"/>
        <item x="467"/>
        <item x="119"/>
        <item x="289"/>
        <item x="88"/>
        <item x="404"/>
        <item x="226"/>
        <item x="408"/>
        <item x="538"/>
        <item x="530"/>
        <item x="554"/>
        <item x="344"/>
        <item x="490"/>
        <item x="424"/>
        <item x="61"/>
        <item x="482"/>
        <item x="253"/>
        <item x="513"/>
        <item x="421"/>
        <item x="415"/>
        <item x="564"/>
        <item x="128"/>
        <item x="559"/>
        <item x="471"/>
        <item x="138"/>
        <item x="360"/>
        <item x="56"/>
        <item x="86"/>
        <item x="545"/>
        <item x="534"/>
        <item x="465"/>
        <item x="462"/>
        <item x="395"/>
        <item x="13"/>
        <item x="403"/>
        <item x="556"/>
        <item x="416"/>
        <item x="184"/>
        <item x="220"/>
        <item x="327"/>
        <item x="60"/>
        <item x="123"/>
        <item x="122"/>
        <item x="233"/>
        <item x="170"/>
        <item x="189"/>
        <item x="551"/>
        <item x="190"/>
        <item x="346"/>
        <item x="82"/>
        <item x="151"/>
        <item x="228"/>
        <item x="71"/>
        <item x="73"/>
        <item x="210"/>
        <item x="209"/>
        <item x="337"/>
        <item x="512"/>
        <item x="345"/>
        <item x="121"/>
        <item x="546"/>
        <item x="522"/>
        <item x="335"/>
        <item x="52"/>
        <item x="165"/>
        <item x="478"/>
        <item x="282"/>
        <item x="380"/>
        <item x="10"/>
        <item x="376"/>
        <item x="476"/>
        <item x="279"/>
        <item x="129"/>
        <item x="576"/>
        <item x="100"/>
        <item x="79"/>
        <item x="384"/>
        <item x="460"/>
        <item x="74"/>
        <item x="175"/>
        <item x="221"/>
        <item x="441"/>
        <item x="125"/>
        <item x="54"/>
        <item x="214"/>
        <item x="133"/>
        <item x="243"/>
        <item x="514"/>
        <item x="479"/>
        <item x="108"/>
        <item x="14"/>
        <item x="255"/>
        <item x="99"/>
        <item x="498"/>
        <item x="197"/>
        <item x="284"/>
        <item x="80"/>
        <item x="105"/>
        <item x="430"/>
        <item x="3"/>
        <item x="139"/>
        <item x="96"/>
        <item x="571"/>
        <item x="9"/>
        <item x="379"/>
        <item x="563"/>
        <item x="438"/>
        <item x="386"/>
        <item x="57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Total Actual (INR)" fld="4" baseField="0" baseItem="0"/>
    <dataField name="Total Allocated (INR)" fld="5" baseField="0" baseItem="0"/>
  </dataFields>
  <formats count="20">
    <format dxfId="1963">
      <pivotArea outline="0" collapsedLevelsAreSubtotals="1" fieldPosition="0"/>
    </format>
    <format dxfId="1962">
      <pivotArea field="1" type="button" dataOnly="0" labelOnly="1" outline="0" axis="axisRow" fieldPosition="0"/>
    </format>
    <format dxfId="19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0">
      <pivotArea field="1" type="button" dataOnly="0" labelOnly="1" outline="0" axis="axisRow" fieldPosition="0"/>
    </format>
    <format dxfId="19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8">
      <pivotArea field="1" type="button" dataOnly="0" labelOnly="1" outline="0" axis="axisRow" fieldPosition="0"/>
    </format>
    <format dxfId="19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5">
      <pivotArea field="1" type="button" dataOnly="0" labelOnly="1" outline="0" axis="axisRow" fieldPosition="0"/>
    </format>
    <format dxfId="1954">
      <pivotArea outline="0" collapsedLevelsAreSubtotals="1" fieldPosition="0"/>
    </format>
    <format dxfId="1953">
      <pivotArea outline="0" collapsedLevelsAreSubtotals="1" fieldPosition="0"/>
    </format>
    <format dxfId="1952">
      <pivotArea dataOnly="0" labelOnly="1" fieldPosition="0">
        <references count="1">
          <reference field="1" count="0"/>
        </references>
      </pivotArea>
    </format>
    <format dxfId="1951">
      <pivotArea type="all" dataOnly="0" outline="0" fieldPosition="0"/>
    </format>
    <format dxfId="1950">
      <pivotArea outline="0" collapsedLevelsAreSubtotals="1" fieldPosition="0"/>
    </format>
    <format dxfId="1949">
      <pivotArea field="1" type="button" dataOnly="0" labelOnly="1" outline="0" axis="axisRow" fieldPosition="0"/>
    </format>
    <format dxfId="1948">
      <pivotArea dataOnly="0" labelOnly="1" fieldPosition="0">
        <references count="1">
          <reference field="1" count="0"/>
        </references>
      </pivotArea>
    </format>
    <format dxfId="19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45">
      <pivotArea field="1" type="button" dataOnly="0" labelOnly="1" outline="0" axis="axisRow" fieldPosition="0"/>
    </format>
    <format dxfId="19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7543E-C369-46D8-95C0-7A8A32E9B82D}" name="PivotTable1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Vendor">
  <location ref="A32:C37" firstHeaderRow="0" firstDataRow="1" firstDataCol="1"/>
  <pivotFields count="17">
    <pivotField dataField="1" showAll="0"/>
    <pivotField showAll="0">
      <items count="10">
        <item x="4"/>
        <item x="3"/>
        <item x="6"/>
        <item x="7"/>
        <item x="1"/>
        <item x="2"/>
        <item x="5"/>
        <item x="0"/>
        <item m="1" x="8"/>
        <item t="default"/>
      </items>
    </pivotField>
    <pivotField showAll="0"/>
    <pivotField axis="axisRow" showAll="0" measureFilter="1" sortType="descending">
      <items count="17">
        <item x="13"/>
        <item x="10"/>
        <item x="7"/>
        <item x="8"/>
        <item x="1"/>
        <item x="3"/>
        <item x="14"/>
        <item x="9"/>
        <item x="11"/>
        <item x="6"/>
        <item x="15"/>
        <item x="2"/>
        <item x="0"/>
        <item x="4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64" showAll="0">
      <items count="584">
        <item x="266"/>
        <item x="154"/>
        <item x="208"/>
        <item x="549"/>
        <item x="359"/>
        <item x="502"/>
        <item x="316"/>
        <item x="517"/>
        <item x="67"/>
        <item x="491"/>
        <item x="146"/>
        <item x="525"/>
        <item x="582"/>
        <item x="333"/>
        <item x="562"/>
        <item x="219"/>
        <item x="470"/>
        <item x="111"/>
        <item x="104"/>
        <item x="506"/>
        <item x="292"/>
        <item x="334"/>
        <item x="383"/>
        <item x="58"/>
        <item x="308"/>
        <item x="472"/>
        <item x="19"/>
        <item x="4"/>
        <item x="194"/>
        <item x="59"/>
        <item x="542"/>
        <item x="519"/>
        <item x="406"/>
        <item x="524"/>
        <item x="442"/>
        <item x="18"/>
        <item x="46"/>
        <item x="577"/>
        <item x="398"/>
        <item x="116"/>
        <item x="262"/>
        <item x="343"/>
        <item x="158"/>
        <item x="49"/>
        <item x="410"/>
        <item x="201"/>
        <item x="215"/>
        <item x="246"/>
        <item x="529"/>
        <item x="24"/>
        <item x="520"/>
        <item x="435"/>
        <item x="468"/>
        <item x="309"/>
        <item x="65"/>
        <item x="497"/>
        <item x="172"/>
        <item x="348"/>
        <item x="377"/>
        <item x="419"/>
        <item x="407"/>
        <item x="285"/>
        <item x="263"/>
        <item x="312"/>
        <item x="355"/>
        <item x="115"/>
        <item x="507"/>
        <item x="213"/>
        <item x="140"/>
        <item x="378"/>
        <item x="77"/>
        <item x="93"/>
        <item x="177"/>
        <item x="331"/>
        <item x="254"/>
        <item x="466"/>
        <item x="319"/>
        <item x="488"/>
        <item x="161"/>
        <item x="557"/>
        <item x="547"/>
        <item x="278"/>
        <item x="320"/>
        <item x="566"/>
        <item x="339"/>
        <item x="302"/>
        <item x="565"/>
        <item x="223"/>
        <item x="429"/>
        <item x="202"/>
        <item x="449"/>
        <item x="85"/>
        <item x="485"/>
        <item x="341"/>
        <item x="179"/>
        <item x="370"/>
        <item x="163"/>
        <item x="552"/>
        <item x="385"/>
        <item x="203"/>
        <item x="109"/>
        <item x="155"/>
        <item x="459"/>
        <item x="495"/>
        <item x="281"/>
        <item x="261"/>
        <item x="536"/>
        <item x="505"/>
        <item x="162"/>
        <item x="450"/>
        <item x="426"/>
        <item x="31"/>
        <item x="90"/>
        <item x="492"/>
        <item x="444"/>
        <item x="174"/>
        <item x="153"/>
        <item x="30"/>
        <item x="229"/>
        <item x="396"/>
        <item x="268"/>
        <item x="418"/>
        <item x="300"/>
        <item x="446"/>
        <item x="106"/>
        <item x="157"/>
        <item x="543"/>
        <item x="533"/>
        <item x="217"/>
        <item x="212"/>
        <item x="427"/>
        <item x="195"/>
        <item x="137"/>
        <item x="397"/>
        <item x="440"/>
        <item x="126"/>
        <item x="301"/>
        <item x="504"/>
        <item x="568"/>
        <item x="349"/>
        <item x="230"/>
        <item x="156"/>
        <item x="81"/>
        <item x="0"/>
        <item x="176"/>
        <item x="461"/>
        <item x="168"/>
        <item x="34"/>
        <item x="315"/>
        <item x="521"/>
        <item x="420"/>
        <item x="144"/>
        <item x="295"/>
        <item x="102"/>
        <item x="366"/>
        <item x="318"/>
        <item x="110"/>
        <item x="40"/>
        <item x="469"/>
        <item x="7"/>
        <item x="332"/>
        <item x="516"/>
        <item x="411"/>
        <item x="277"/>
        <item x="6"/>
        <item x="313"/>
        <item x="103"/>
        <item x="267"/>
        <item x="36"/>
        <item x="489"/>
        <item x="247"/>
        <item x="509"/>
        <item x="148"/>
        <item x="87"/>
        <item x="200"/>
        <item x="328"/>
        <item x="381"/>
        <item x="231"/>
        <item x="550"/>
        <item x="496"/>
        <item x="480"/>
        <item x="107"/>
        <item x="456"/>
        <item x="41"/>
        <item x="487"/>
        <item x="84"/>
        <item x="362"/>
        <item x="48"/>
        <item x="474"/>
        <item x="493"/>
        <item x="259"/>
        <item x="486"/>
        <item x="97"/>
        <item x="401"/>
        <item x="182"/>
        <item x="198"/>
        <item x="387"/>
        <item x="317"/>
        <item x="311"/>
        <item x="322"/>
        <item x="304"/>
        <item x="235"/>
        <item x="89"/>
        <item x="392"/>
        <item x="98"/>
        <item x="483"/>
        <item x="544"/>
        <item x="356"/>
        <item x="258"/>
        <item x="192"/>
        <item x="1"/>
        <item x="244"/>
        <item x="494"/>
        <item x="185"/>
        <item x="578"/>
        <item x="575"/>
        <item x="560"/>
        <item x="55"/>
        <item x="458"/>
        <item x="368"/>
        <item x="535"/>
        <item x="307"/>
        <item x="306"/>
        <item x="453"/>
        <item x="225"/>
        <item x="561"/>
        <item x="68"/>
        <item x="50"/>
        <item x="78"/>
        <item x="248"/>
        <item x="188"/>
        <item x="216"/>
        <item x="555"/>
        <item x="573"/>
        <item x="95"/>
        <item x="224"/>
        <item x="21"/>
        <item x="357"/>
        <item x="43"/>
        <item x="51"/>
        <item x="526"/>
        <item x="329"/>
        <item x="290"/>
        <item x="508"/>
        <item x="92"/>
        <item x="340"/>
        <item x="540"/>
        <item x="113"/>
        <item x="570"/>
        <item x="402"/>
        <item x="206"/>
        <item x="127"/>
        <item x="275"/>
        <item x="310"/>
        <item x="484"/>
        <item x="22"/>
        <item x="382"/>
        <item x="447"/>
        <item x="371"/>
        <item x="131"/>
        <item x="321"/>
        <item x="580"/>
        <item x="558"/>
        <item x="414"/>
        <item x="400"/>
        <item x="204"/>
        <item x="518"/>
        <item x="463"/>
        <item x="413"/>
        <item x="159"/>
        <item x="409"/>
        <item x="351"/>
        <item x="57"/>
        <item x="75"/>
        <item x="218"/>
        <item x="69"/>
        <item x="130"/>
        <item x="238"/>
        <item x="64"/>
        <item x="63"/>
        <item x="569"/>
        <item x="29"/>
        <item x="2"/>
        <item x="405"/>
        <item x="412"/>
        <item x="283"/>
        <item x="205"/>
        <item x="272"/>
        <item x="53"/>
        <item x="276"/>
        <item x="173"/>
        <item x="17"/>
        <item x="481"/>
        <item x="528"/>
        <item x="134"/>
        <item x="303"/>
        <item x="264"/>
        <item x="541"/>
        <item x="454"/>
        <item x="35"/>
        <item x="136"/>
        <item x="166"/>
        <item x="20"/>
        <item x="325"/>
        <item x="11"/>
        <item x="500"/>
        <item x="167"/>
        <item x="391"/>
        <item x="143"/>
        <item x="270"/>
        <item x="193"/>
        <item x="358"/>
        <item x="288"/>
        <item x="211"/>
        <item x="336"/>
        <item x="574"/>
        <item x="5"/>
        <item x="47"/>
        <item x="16"/>
        <item x="250"/>
        <item x="342"/>
        <item x="394"/>
        <item x="234"/>
        <item x="186"/>
        <item x="245"/>
        <item x="149"/>
        <item x="364"/>
        <item x="76"/>
        <item x="227"/>
        <item x="305"/>
        <item x="236"/>
        <item x="294"/>
        <item x="94"/>
        <item x="260"/>
        <item x="32"/>
        <item x="374"/>
        <item x="196"/>
        <item x="145"/>
        <item x="286"/>
        <item x="457"/>
        <item x="124"/>
        <item x="299"/>
        <item x="256"/>
        <item x="269"/>
        <item x="120"/>
        <item x="354"/>
        <item x="532"/>
        <item x="293"/>
        <item x="142"/>
        <item x="141"/>
        <item x="271"/>
        <item x="393"/>
        <item x="273"/>
        <item x="251"/>
        <item x="363"/>
        <item x="323"/>
        <item x="72"/>
        <item x="70"/>
        <item x="33"/>
        <item x="180"/>
        <item x="499"/>
        <item x="222"/>
        <item x="448"/>
        <item x="132"/>
        <item x="399"/>
        <item x="464"/>
        <item x="8"/>
        <item x="425"/>
        <item x="66"/>
        <item x="171"/>
        <item x="27"/>
        <item x="433"/>
        <item x="240"/>
        <item x="297"/>
        <item x="477"/>
        <item x="437"/>
        <item x="455"/>
        <item x="199"/>
        <item x="15"/>
        <item x="25"/>
        <item x="12"/>
        <item x="91"/>
        <item x="242"/>
        <item x="191"/>
        <item x="62"/>
        <item x="553"/>
        <item x="39"/>
        <item x="274"/>
        <item x="164"/>
        <item x="503"/>
        <item x="439"/>
        <item x="417"/>
        <item x="372"/>
        <item x="237"/>
        <item x="432"/>
        <item x="352"/>
        <item x="443"/>
        <item x="373"/>
        <item x="581"/>
        <item x="324"/>
        <item x="515"/>
        <item x="390"/>
        <item x="389"/>
        <item x="388"/>
        <item x="523"/>
        <item x="28"/>
        <item x="112"/>
        <item x="280"/>
        <item x="361"/>
        <item x="539"/>
        <item x="183"/>
        <item x="178"/>
        <item x="326"/>
        <item x="475"/>
        <item x="101"/>
        <item x="531"/>
        <item x="249"/>
        <item x="330"/>
        <item x="431"/>
        <item x="207"/>
        <item x="291"/>
        <item x="287"/>
        <item x="114"/>
        <item x="257"/>
        <item x="452"/>
        <item x="42"/>
        <item x="451"/>
        <item x="365"/>
        <item x="367"/>
        <item x="510"/>
        <item x="567"/>
        <item x="422"/>
        <item x="252"/>
        <item x="232"/>
        <item x="347"/>
        <item x="239"/>
        <item x="579"/>
        <item x="511"/>
        <item x="38"/>
        <item x="118"/>
        <item x="350"/>
        <item x="369"/>
        <item x="537"/>
        <item x="501"/>
        <item x="473"/>
        <item x="26"/>
        <item x="44"/>
        <item x="45"/>
        <item x="548"/>
        <item x="135"/>
        <item x="428"/>
        <item x="147"/>
        <item x="434"/>
        <item x="265"/>
        <item x="187"/>
        <item x="169"/>
        <item x="241"/>
        <item x="338"/>
        <item x="150"/>
        <item x="436"/>
        <item x="37"/>
        <item x="296"/>
        <item x="83"/>
        <item x="117"/>
        <item x="423"/>
        <item x="375"/>
        <item x="298"/>
        <item x="314"/>
        <item x="160"/>
        <item x="181"/>
        <item x="23"/>
        <item x="527"/>
        <item x="445"/>
        <item x="152"/>
        <item x="353"/>
        <item x="467"/>
        <item x="119"/>
        <item x="289"/>
        <item x="88"/>
        <item x="404"/>
        <item x="226"/>
        <item x="408"/>
        <item x="538"/>
        <item x="530"/>
        <item x="554"/>
        <item x="344"/>
        <item x="490"/>
        <item x="424"/>
        <item x="61"/>
        <item x="482"/>
        <item x="253"/>
        <item x="513"/>
        <item x="421"/>
        <item x="415"/>
        <item x="564"/>
        <item x="128"/>
        <item x="559"/>
        <item x="471"/>
        <item x="138"/>
        <item x="360"/>
        <item x="56"/>
        <item x="86"/>
        <item x="545"/>
        <item x="534"/>
        <item x="465"/>
        <item x="462"/>
        <item x="395"/>
        <item x="13"/>
        <item x="403"/>
        <item x="556"/>
        <item x="416"/>
        <item x="184"/>
        <item x="220"/>
        <item x="327"/>
        <item x="60"/>
        <item x="123"/>
        <item x="122"/>
        <item x="233"/>
        <item x="170"/>
        <item x="189"/>
        <item x="551"/>
        <item x="190"/>
        <item x="346"/>
        <item x="82"/>
        <item x="151"/>
        <item x="228"/>
        <item x="71"/>
        <item x="73"/>
        <item x="210"/>
        <item x="209"/>
        <item x="337"/>
        <item x="512"/>
        <item x="345"/>
        <item x="121"/>
        <item x="546"/>
        <item x="522"/>
        <item x="335"/>
        <item x="52"/>
        <item x="165"/>
        <item x="478"/>
        <item x="282"/>
        <item x="380"/>
        <item x="10"/>
        <item x="376"/>
        <item x="476"/>
        <item x="279"/>
        <item x="129"/>
        <item x="576"/>
        <item x="100"/>
        <item x="79"/>
        <item x="384"/>
        <item x="460"/>
        <item x="74"/>
        <item x="175"/>
        <item x="221"/>
        <item x="441"/>
        <item x="125"/>
        <item x="54"/>
        <item x="214"/>
        <item x="133"/>
        <item x="243"/>
        <item x="514"/>
        <item x="479"/>
        <item x="108"/>
        <item x="14"/>
        <item x="255"/>
        <item x="99"/>
        <item x="498"/>
        <item x="197"/>
        <item x="284"/>
        <item x="80"/>
        <item x="105"/>
        <item x="430"/>
        <item x="3"/>
        <item x="139"/>
        <item x="96"/>
        <item x="571"/>
        <item x="9"/>
        <item x="379"/>
        <item x="563"/>
        <item x="438"/>
        <item x="386"/>
        <item x="57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 v="14"/>
    </i>
    <i>
      <x v="15"/>
    </i>
    <i>
      <x v="13"/>
    </i>
    <i>
      <x v="1"/>
    </i>
    <i>
      <x v="3"/>
    </i>
  </rowItems>
  <colFields count="1">
    <field x="-2"/>
  </colFields>
  <colItems count="2">
    <i>
      <x/>
    </i>
    <i i="1">
      <x v="1"/>
    </i>
  </colItems>
  <dataFields count="2">
    <dataField name="Total Spend (INR)" fld="4" baseField="3" baseItem="14"/>
    <dataField name="Count of Expense_ID" fld="0" subtotal="count" baseField="0" baseItem="0"/>
  </dataFields>
  <formats count="27">
    <format dxfId="1990">
      <pivotArea outline="0" collapsedLevelsAreSubtotals="1" fieldPosition="0"/>
    </format>
    <format dxfId="1989">
      <pivotArea field="1" type="button" dataOnly="0" labelOnly="1" outline="0"/>
    </format>
    <format dxfId="1988">
      <pivotArea field="1" type="button" dataOnly="0" labelOnly="1" outline="0"/>
    </format>
    <format dxfId="1987">
      <pivotArea field="1" type="button" dataOnly="0" labelOnly="1" outline="0"/>
    </format>
    <format dxfId="1986">
      <pivotArea field="3" type="button" dataOnly="0" labelOnly="1" outline="0" axis="axisRow" fieldPosition="0"/>
    </format>
    <format dxfId="1985">
      <pivotArea dataOnly="0" labelOnly="1" outline="0" axis="axisValues" fieldPosition="0"/>
    </format>
    <format dxfId="1984">
      <pivotArea field="3" type="button" dataOnly="0" labelOnly="1" outline="0" axis="axisRow" fieldPosition="0"/>
    </format>
    <format dxfId="1983">
      <pivotArea dataOnly="0" labelOnly="1" outline="0" axis="axisValues" fieldPosition="0"/>
    </format>
    <format dxfId="1982">
      <pivotArea dataOnly="0" labelOnly="1" outline="0" axis="axisValues" fieldPosition="0"/>
    </format>
    <format dxfId="1981">
      <pivotArea dataOnly="0" labelOnly="1" fieldPosition="0">
        <references count="1">
          <reference field="3" count="5">
            <x v="1"/>
            <x v="3"/>
            <x v="13"/>
            <x v="14"/>
            <x v="15"/>
          </reference>
        </references>
      </pivotArea>
    </format>
    <format dxfId="1980">
      <pivotArea field="3" type="button" dataOnly="0" labelOnly="1" outline="0" axis="axisRow" fieldPosition="0"/>
    </format>
    <format dxfId="1979">
      <pivotArea outline="0" collapsedLevelsAreSubtotals="1" fieldPosition="0"/>
    </format>
    <format dxfId="1978">
      <pivotArea dataOnly="0" labelOnly="1" fieldPosition="0">
        <references count="1">
          <reference field="3" count="5">
            <x v="1"/>
            <x v="3"/>
            <x v="13"/>
            <x v="14"/>
            <x v="15"/>
          </reference>
        </references>
      </pivotArea>
    </format>
    <format dxfId="1977">
      <pivotArea field="3" type="button" dataOnly="0" labelOnly="1" outline="0" axis="axisRow" fieldPosition="0"/>
    </format>
    <format dxfId="19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5">
      <pivotArea field="3" type="button" dataOnly="0" labelOnly="1" outline="0" axis="axisRow" fieldPosition="0"/>
    </format>
    <format dxfId="19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3">
      <pivotArea field="3" type="button" dataOnly="0" labelOnly="1" outline="0" axis="axisRow" fieldPosition="0"/>
    </format>
    <format dxfId="19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71">
      <pivotArea type="all" dataOnly="0" outline="0" fieldPosition="0"/>
    </format>
    <format dxfId="1970">
      <pivotArea outline="0" collapsedLevelsAreSubtotals="1" fieldPosition="0"/>
    </format>
    <format dxfId="1969">
      <pivotArea field="3" type="button" dataOnly="0" labelOnly="1" outline="0" axis="axisRow" fieldPosition="0"/>
    </format>
    <format dxfId="1968">
      <pivotArea dataOnly="0" labelOnly="1" fieldPosition="0">
        <references count="1">
          <reference field="3" count="5">
            <x v="1"/>
            <x v="3"/>
            <x v="13"/>
            <x v="14"/>
            <x v="15"/>
          </reference>
        </references>
      </pivotArea>
    </format>
    <format dxfId="19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6">
      <pivotArea field="3" type="button" dataOnly="0" labelOnly="1" outline="0" axis="axisRow" fieldPosition="0"/>
    </format>
    <format dxfId="19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49C1CA7-3942-471A-84D3-EB4B416DA8E7}" autoFormatId="16" applyNumberFormats="0" applyBorderFormats="0" applyFontFormats="0" applyPatternFormats="0" applyAlignmentFormats="0" applyWidthHeightFormats="0">
  <queryTableRefresh nextId="14">
    <queryTableFields count="13">
      <queryTableField id="1" name="Deal_ID" tableColumnId="1"/>
      <queryTableField id="2" name="Sales_Rep" tableColumnId="2"/>
      <queryTableField id="3" name="Client_ID" tableColumnId="3"/>
      <queryTableField id="4" name="Product" tableColumnId="4"/>
      <queryTableField id="5" name="Lead_Source" tableColumnId="5"/>
      <queryTableField id="6" name="Deal_Stage" tableColumnId="6"/>
      <queryTableField id="7" name="Deal_Value_INR" tableColumnId="7"/>
      <queryTableField id="8" name="Created_Date" tableColumnId="8"/>
      <queryTableField id="9" name="Close_Date" tableColumnId="9"/>
      <queryTableField id="10" name="Days_to_Close" tableColumnId="10"/>
      <queryTableField id="11" name="Discount_Percent" tableColumnId="11"/>
      <queryTableField id="12" name="Region" tableColumnId="12"/>
      <queryTableField id="13" name="Quart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D38712-4CD7-4CFE-9A06-A805E82CBDDB}" autoFormatId="16" applyNumberFormats="0" applyBorderFormats="0" applyFontFormats="0" applyPatternFormats="0" applyAlignmentFormats="0" applyWidthHeightFormats="0">
  <queryTableRefresh nextId="13">
    <queryTableFields count="12">
      <queryTableField id="1" name="Expense_ID" tableColumnId="1"/>
      <queryTableField id="2" name="Department" tableColumnId="2"/>
      <queryTableField id="3" name="Category" tableColumnId="3"/>
      <queryTableField id="4" name="Vendor" tableColumnId="4"/>
      <queryTableField id="5" name="Amount_INR" tableColumnId="5"/>
      <queryTableField id="6" name="Budget_Allocated_INR" tableColumnId="6"/>
      <queryTableField id="7" name="Variance_INR" tableColumnId="7"/>
      <queryTableField id="8" name="Expense_Date" tableColumnId="8"/>
      <queryTableField id="9" name="Approval_Status" tableColumnId="9"/>
      <queryTableField id="10" name="Payment_Mode" tableColumnId="10"/>
      <queryTableField id="11" name="Fiscal_Year" tableColumnId="11"/>
      <queryTableField id="12" name="Remark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8BEA3D-BF98-4B1D-8413-5FF2EF30DC32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Deal_ID" tableColumnId="1"/>
      <queryTableField id="2" name="Sales_Rep" tableColumnId="2"/>
      <queryTableField id="3" name="Client_ID" tableColumnId="3"/>
      <queryTableField id="4" name="Product" tableColumnId="4"/>
      <queryTableField id="5" name="Lead_Source" tableColumnId="5"/>
      <queryTableField id="6" name="Deal_Stage" tableColumnId="6"/>
      <queryTableField id="7" name="Deal_Value_INR" tableColumnId="7"/>
      <queryTableField id="8" name="Created_Date" tableColumnId="8"/>
      <queryTableField id="9" name="Close_Date" tableColumnId="9"/>
      <queryTableField id="10" name="Days_to_Close" tableColumnId="10"/>
      <queryTableField id="11" name="Discount_Percent" tableColumnId="11"/>
      <queryTableField id="12" name="Region" tableColumnId="12"/>
      <queryTableField id="13" name="Quarter" tableColumnId="13"/>
      <queryTableField id="15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8B596F-EB7D-49C6-AFF6-7BF7FE31EA77}" autoFormatId="16" applyNumberFormats="0" applyBorderFormats="0" applyFontFormats="0" applyPatternFormats="0" applyAlignmentFormats="0" applyWidthHeightFormats="0">
  <queryTableRefresh nextId="18">
    <queryTableFields count="15">
      <queryTableField id="1" name="Expense_ID" tableColumnId="1"/>
      <queryTableField id="2" name="Department" tableColumnId="2"/>
      <queryTableField id="3" name="Category" tableColumnId="3"/>
      <queryTableField id="4" name="Vendor" tableColumnId="4"/>
      <queryTableField id="5" name="Amount_INR" tableColumnId="5"/>
      <queryTableField id="6" name="Budget_Allocated_INR" tableColumnId="6"/>
      <queryTableField id="16" dataBound="0" tableColumnId="13"/>
      <queryTableField id="7" name="Variance_INR" tableColumnId="7"/>
      <queryTableField id="8" name="Expense_Date" tableColumnId="8"/>
      <queryTableField id="9" name="Approval_Status" tableColumnId="9"/>
      <queryTableField id="10" name="Payment_Mode" tableColumnId="10"/>
      <queryTableField id="11" name="Fiscal_Year" tableColumnId="11"/>
      <queryTableField id="12" name="Remarks" tableColumnId="12"/>
      <queryTableField id="14" name="Amount_Type_Flag" tableColumnId="14"/>
      <queryTableField id="15" name="High_Value_Pending_Rejected_Flag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32E35-4016-46BE-B1D7-DCE2778DA6BD}" name="Raw_Sales_Deals" displayName="Raw_Sales_Deals" ref="A1:M2541" tableType="queryTable" totalsRowShown="0">
  <autoFilter ref="A1:M2541" xr:uid="{80932E35-4016-46BE-B1D7-DCE2778DA6BD}"/>
  <tableColumns count="13">
    <tableColumn id="1" xr3:uid="{E3AD49E9-9F89-4932-A0B9-594E8EC79A90}" uniqueName="1" name="Deal_ID" queryTableFieldId="1" dataDxfId="2220"/>
    <tableColumn id="2" xr3:uid="{86A9CAF2-ED8A-4006-ADAB-4742DAFD73E7}" uniqueName="2" name="Sales_Rep" queryTableFieldId="2" dataDxfId="2219"/>
    <tableColumn id="3" xr3:uid="{5257F145-5AD4-43AD-A9A6-7E0F4173C952}" uniqueName="3" name="Client_ID" queryTableFieldId="3" dataDxfId="2218"/>
    <tableColumn id="4" xr3:uid="{0766544A-203F-45DE-9975-847B0540DE32}" uniqueName="4" name="Product" queryTableFieldId="4" dataDxfId="2217"/>
    <tableColumn id="5" xr3:uid="{5EF298A9-C664-4673-BA99-4C8564525E0A}" uniqueName="5" name="Lead_Source" queryTableFieldId="5" dataDxfId="2216"/>
    <tableColumn id="6" xr3:uid="{67C06049-0AA6-402B-902E-E7B7F9BBA22E}" uniqueName="6" name="Deal_Stage" queryTableFieldId="6" dataDxfId="2215"/>
    <tableColumn id="7" xr3:uid="{A6F21C6A-91BF-482B-9920-D675FC524284}" uniqueName="7" name="Deal_Value_INR" queryTableFieldId="7"/>
    <tableColumn id="8" xr3:uid="{841B4D15-8523-4513-BB18-A4BAA537F7CE}" uniqueName="8" name="Created_Date" queryTableFieldId="8" dataDxfId="2214"/>
    <tableColumn id="9" xr3:uid="{690B2A03-AE80-4239-A8A9-A5CCA1484ABB}" uniqueName="9" name="Close_Date" queryTableFieldId="9" dataDxfId="2213"/>
    <tableColumn id="10" xr3:uid="{36B62BEF-2033-42DC-9943-654194A25D87}" uniqueName="10" name="Days_to_Close" queryTableFieldId="10"/>
    <tableColumn id="11" xr3:uid="{96E768A3-569B-4258-9E1F-05B47107C0F1}" uniqueName="11" name="Discount_Percent" queryTableFieldId="11"/>
    <tableColumn id="12" xr3:uid="{5B7564B1-AAF8-4169-9D84-128FB29FB11E}" uniqueName="12" name="Region" queryTableFieldId="12" dataDxfId="2212"/>
    <tableColumn id="13" xr3:uid="{0DB995FA-E5C1-4172-BDE5-F4B3820BAE4B}" uniqueName="13" name="Quarter" queryTableFieldId="13" dataDxfId="2211"/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0AFC7-7301-4A5C-9446-FE0D4B4A29EB}" name="Raw_Finance_Expenses" displayName="Raw_Finance_Expenses" ref="A1:L1026" tableType="queryTable" totalsRowShown="0">
  <autoFilter ref="A1:L1026" xr:uid="{9370AFC7-7301-4A5C-9446-FE0D4B4A29EB}"/>
  <tableColumns count="12">
    <tableColumn id="1" xr3:uid="{24931814-5F8B-4494-A7AE-A1B7C7432E6A}" uniqueName="1" name="Expense_ID" queryTableFieldId="1" dataDxfId="2210"/>
    <tableColumn id="2" xr3:uid="{69981A67-E243-4B1B-A582-4984C9CB1FBC}" uniqueName="2" name="Department" queryTableFieldId="2" dataDxfId="2209"/>
    <tableColumn id="3" xr3:uid="{6EBA437D-C123-4478-ABCA-8B1669FFA57E}" uniqueName="3" name="Category" queryTableFieldId="3" dataDxfId="2208"/>
    <tableColumn id="4" xr3:uid="{65752206-AEE9-4749-A090-CDE1C4E95482}" uniqueName="4" name="Vendor" queryTableFieldId="4" dataDxfId="2207"/>
    <tableColumn id="5" xr3:uid="{6DD93783-BA11-4159-8211-F9810F365FE5}" uniqueName="5" name="Amount_INR" queryTableFieldId="5"/>
    <tableColumn id="6" xr3:uid="{63F8DDEA-F144-48EE-9AD1-CDE367DA8E79}" uniqueName="6" name="Budget_Allocated_INR" queryTableFieldId="6"/>
    <tableColumn id="7" xr3:uid="{CDA83D7A-6E9B-4FA6-BB95-66B1A6220F7E}" uniqueName="7" name="Variance_INR" queryTableFieldId="7"/>
    <tableColumn id="8" xr3:uid="{95AC1E08-55FB-4D66-90CC-FB7E621974E5}" uniqueName="8" name="Expense_Date" queryTableFieldId="8" dataDxfId="2206"/>
    <tableColumn id="9" xr3:uid="{A9E7F885-436D-4A46-94E3-01FE4F5409F4}" uniqueName="9" name="Approval_Status" queryTableFieldId="9" dataDxfId="2205"/>
    <tableColumn id="10" xr3:uid="{1DBB322D-0358-4E13-9EA5-5FC792F569A2}" uniqueName="10" name="Payment_Mode" queryTableFieldId="10" dataDxfId="2204"/>
    <tableColumn id="11" xr3:uid="{1BE4D892-08F9-4C3B-9AE4-6E3E7B63E231}" uniqueName="11" name="Fiscal_Year" queryTableFieldId="11" dataDxfId="2203"/>
    <tableColumn id="12" xr3:uid="{A0046763-6644-4248-A5CB-D7616699C714}" uniqueName="12" name="Remarks" queryTableFieldId="12" dataDxfId="2202"/>
  </tableColumns>
  <tableStyleInfo name="TableStyleMedium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953E7-6098-4BB6-BEFF-D5EDDC0D9B58}" name="Cleaned_Sales_Deals" displayName="Cleaned_Sales_Deals" ref="A1:N2501" tableType="queryTable" totalsRowShown="0">
  <autoFilter ref="A1:N2501" xr:uid="{1B6953E7-6098-4BB6-BEFF-D5EDDC0D9B58}"/>
  <tableColumns count="14">
    <tableColumn id="1" xr3:uid="{E78BC693-1960-4F69-9A70-063141DA2FBE}" uniqueName="1" name="Deal_ID" queryTableFieldId="1" dataDxfId="2201"/>
    <tableColumn id="2" xr3:uid="{0E35EA5A-E917-4031-8828-0E901CC1D365}" uniqueName="2" name="Sales_Rep" queryTableFieldId="2" dataDxfId="2200"/>
    <tableColumn id="3" xr3:uid="{9D0445F2-67C2-4384-89B2-D55D3139A5C1}" uniqueName="3" name="Client_ID" queryTableFieldId="3" dataDxfId="2199"/>
    <tableColumn id="4" xr3:uid="{1F8FDC7D-CBF6-42CB-827D-8291F6BF191E}" uniqueName="4" name="Product" queryTableFieldId="4" dataDxfId="2198"/>
    <tableColumn id="5" xr3:uid="{03F0D991-F734-4290-855E-BC136F757FF7}" uniqueName="5" name="Lead_Source" queryTableFieldId="5" dataDxfId="2197"/>
    <tableColumn id="6" xr3:uid="{3079A27D-47FE-41AC-AE82-4ED1AA2041C0}" uniqueName="6" name="Deal_Stage" queryTableFieldId="6" dataDxfId="2196"/>
    <tableColumn id="7" xr3:uid="{A211BC18-BA3F-4CD9-B8C6-894ACFE2CC64}" uniqueName="7" name="Deal_Value_INR" queryTableFieldId="7" dataDxfId="2195"/>
    <tableColumn id="8" xr3:uid="{B6D6F02B-10B3-4100-92D2-40C95F7E71A7}" uniqueName="8" name="Created_Date" queryTableFieldId="8" dataDxfId="2194"/>
    <tableColumn id="9" xr3:uid="{B8927CD8-AC49-4D6F-83ED-0E14AC58FFE4}" uniqueName="9" name="Close_Date" queryTableFieldId="9" dataDxfId="2193"/>
    <tableColumn id="10" xr3:uid="{CD2B8E5B-D05E-41BC-935A-5E0B3C4481D1}" uniqueName="10" name="Days_to_Close" queryTableFieldId="10" dataDxfId="2192"/>
    <tableColumn id="11" xr3:uid="{9267029F-8C16-45C8-883C-48F81FC0A455}" uniqueName="11" name="Discount_Percent" queryTableFieldId="11" dataDxfId="2191"/>
    <tableColumn id="12" xr3:uid="{1D1230DF-106A-4145-BB21-F5123ECA08A1}" uniqueName="12" name="Region" queryTableFieldId="12" dataDxfId="2190"/>
    <tableColumn id="13" xr3:uid="{D23AB635-6EFA-4A60-87AE-F1E72EDFAEC2}" uniqueName="13" name="Quarter" queryTableFieldId="13" dataDxfId="2189"/>
    <tableColumn id="18" xr3:uid="{0E223D2E-D762-4A00-B7B3-096CD3463292}" uniqueName="18" name="Outlier_Flag" queryTableFieldId="15" dataDxfId="2188">
      <calculatedColumnFormula>IF(G2&gt;$R$5,"High Outlier",IF(G2&lt;$R$6,"Low Outlier","Normal"))</calculatedColumnFormula>
    </tableColumn>
  </tableColumns>
  <tableStyleInfo name="TableStyleMedium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9BA437-CB5F-4617-BAA9-BAA9A9292897}" name="Table5" displayName="Table5" ref="Q2:R6" totalsRowShown="0" headerRowDxfId="2187">
  <autoFilter ref="Q2:R6" xr:uid="{4D9BA437-CB5F-4617-BAA9-BAA9A9292897}">
    <filterColumn colId="0" hiddenButton="1"/>
    <filterColumn colId="1" hiddenButton="1"/>
  </autoFilter>
  <tableColumns count="2">
    <tableColumn id="1" xr3:uid="{A1C83EE2-6720-407A-B255-F25D17B43ED4}" name="Deal Value Outlier Statistics" dataDxfId="2186"/>
    <tableColumn id="2" xr3:uid="{660FFB35-5957-4031-BB47-4A1478795F90}" name="Value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279D65-B4B7-4480-92CE-B9B4F291B548}" name="Cleaned_Finance_Expenses" displayName="Cleaned_Finance_Expenses" ref="A1:O1001" tableType="queryTable" totalsRowShown="0">
  <autoFilter ref="A1:O1001" xr:uid="{DB279D65-B4B7-4480-92CE-B9B4F291B548}"/>
  <tableColumns count="15">
    <tableColumn id="1" xr3:uid="{6D395B95-AFAE-4149-9AD2-6978AE6FA740}" uniqueName="1" name="Expense_ID" queryTableFieldId="1" dataDxfId="2185"/>
    <tableColumn id="2" xr3:uid="{B34F3827-8B59-44BD-9EBE-4194221AE6D6}" uniqueName="2" name="Department" queryTableFieldId="2" dataDxfId="2184"/>
    <tableColumn id="3" xr3:uid="{965E9B45-A607-4204-A9F3-2096736A597C}" uniqueName="3" name="Category" queryTableFieldId="3" dataDxfId="2183"/>
    <tableColumn id="4" xr3:uid="{D7419AD9-2F04-4E7E-8034-196A2AFBD325}" uniqueName="4" name="Vendor" queryTableFieldId="4" dataDxfId="2182"/>
    <tableColumn id="5" xr3:uid="{7D49C77B-2E65-4719-9BD9-755BE53636B3}" uniqueName="5" name="Amount_INR" queryTableFieldId="5"/>
    <tableColumn id="6" xr3:uid="{0A3F6CA1-E996-4DEF-9F29-4125F5F2EB15}" uniqueName="6" name="Budget_Allocated_INR" queryTableFieldId="6"/>
    <tableColumn id="13" xr3:uid="{2CDFAFDE-FD4C-4246-929D-43C64C0AE61F}" uniqueName="13" name="Recomputed_Variance_INR" queryTableFieldId="16" dataDxfId="2181">
      <calculatedColumnFormula>IF(F2="","",E2-F2)</calculatedColumnFormula>
    </tableColumn>
    <tableColumn id="7" xr3:uid="{7CEB120A-3E6F-434F-8CC3-6A47E389695B}" uniqueName="7" name="Variance_INR" queryTableFieldId="7"/>
    <tableColumn id="8" xr3:uid="{C4511A63-08ED-4956-8B5C-74D1B4E7E893}" uniqueName="8" name="Expense_Date" queryTableFieldId="8" dataDxfId="2180"/>
    <tableColumn id="9" xr3:uid="{D5EB1593-7D29-4AAD-8E1B-31FAA3D42F92}" uniqueName="9" name="Approval_Status" queryTableFieldId="9" dataDxfId="2179"/>
    <tableColumn id="10" xr3:uid="{71B7CD1D-F1E4-40E6-8E07-FEDE17CF5227}" uniqueName="10" name="Payment_Mode" queryTableFieldId="10" dataDxfId="2178"/>
    <tableColumn id="11" xr3:uid="{BBAB9194-0ECA-4CA4-A58D-CDAB4D12B325}" uniqueName="11" name="Fiscal_Year" queryTableFieldId="11" dataDxfId="2177"/>
    <tableColumn id="12" xr3:uid="{1DB0B8AB-D684-40A0-BEB5-A9FFA24F1466}" uniqueName="12" name="Remarks" queryTableFieldId="12" dataDxfId="2176"/>
    <tableColumn id="14" xr3:uid="{F6B8ADDE-6BCD-4B78-9524-D67FA86F230E}" uniqueName="14" name="Amount_Type_Flag" queryTableFieldId="14"/>
    <tableColumn id="15" xr3:uid="{F54CB66E-3B7B-4D4A-8F90-9C84DF8F4368}" uniqueName="15" name="High_Value_Pending_Rejected_Flag" queryTableFieldId="15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86CF-E276-4059-AEEE-BB5CFE3F1C26}">
  <dimension ref="A1:B28"/>
  <sheetViews>
    <sheetView workbookViewId="0">
      <selection activeCell="G19" sqref="G19"/>
    </sheetView>
  </sheetViews>
  <sheetFormatPr defaultRowHeight="15" x14ac:dyDescent="0.25"/>
  <cols>
    <col min="1" max="1" width="11.42578125" customWidth="1"/>
    <col min="2" max="2" width="101.42578125" customWidth="1"/>
  </cols>
  <sheetData>
    <row r="1" spans="1:2" ht="15.75" x14ac:dyDescent="0.25">
      <c r="A1" s="65" t="s">
        <v>4881</v>
      </c>
      <c r="B1" s="66"/>
    </row>
    <row r="2" spans="1:2" ht="15.75" x14ac:dyDescent="0.25">
      <c r="A2" s="67" t="s">
        <v>4904</v>
      </c>
      <c r="B2" s="67"/>
    </row>
    <row r="3" spans="1:2" ht="15.75" x14ac:dyDescent="0.25">
      <c r="A3" s="65" t="s">
        <v>4882</v>
      </c>
      <c r="B3" s="66"/>
    </row>
    <row r="4" spans="1:2" ht="15.75" x14ac:dyDescent="0.25">
      <c r="A4" s="66"/>
      <c r="B4" s="66"/>
    </row>
    <row r="5" spans="1:2" ht="15.75" x14ac:dyDescent="0.25">
      <c r="A5" s="64" t="s">
        <v>4905</v>
      </c>
      <c r="B5" s="64"/>
    </row>
    <row r="6" spans="1:2" ht="33.6" customHeight="1" x14ac:dyDescent="0.25">
      <c r="A6" s="74">
        <v>1</v>
      </c>
      <c r="B6" s="73" t="s">
        <v>4903</v>
      </c>
    </row>
    <row r="7" spans="1:2" ht="31.5" x14ac:dyDescent="0.25">
      <c r="A7" s="74">
        <v>2</v>
      </c>
      <c r="B7" s="69" t="s">
        <v>4883</v>
      </c>
    </row>
    <row r="8" spans="1:2" ht="51.6" customHeight="1" x14ac:dyDescent="0.25">
      <c r="A8" s="74">
        <v>3</v>
      </c>
      <c r="B8" s="69" t="s">
        <v>4887</v>
      </c>
    </row>
    <row r="9" spans="1:2" ht="36.6" customHeight="1" x14ac:dyDescent="0.25">
      <c r="A9" s="74">
        <v>4</v>
      </c>
      <c r="B9" s="69" t="s">
        <v>4888</v>
      </c>
    </row>
    <row r="10" spans="1:2" ht="47.25" x14ac:dyDescent="0.25">
      <c r="A10" s="74">
        <v>5</v>
      </c>
      <c r="B10" s="69" t="s">
        <v>4908</v>
      </c>
    </row>
    <row r="11" spans="1:2" ht="31.5" x14ac:dyDescent="0.25">
      <c r="A11" s="74">
        <v>6</v>
      </c>
      <c r="B11" s="69" t="s">
        <v>4885</v>
      </c>
    </row>
    <row r="12" spans="1:2" ht="31.5" x14ac:dyDescent="0.25">
      <c r="A12" s="74">
        <v>7</v>
      </c>
      <c r="B12" s="69" t="s">
        <v>4886</v>
      </c>
    </row>
    <row r="13" spans="1:2" ht="15.75" x14ac:dyDescent="0.25">
      <c r="A13" s="66"/>
      <c r="B13" s="66"/>
    </row>
    <row r="14" spans="1:2" ht="15.75" x14ac:dyDescent="0.25">
      <c r="A14" s="75" t="s">
        <v>4906</v>
      </c>
      <c r="B14" s="75"/>
    </row>
    <row r="15" spans="1:2" ht="47.25" x14ac:dyDescent="0.25">
      <c r="A15" s="68">
        <v>1</v>
      </c>
      <c r="B15" s="69" t="s">
        <v>4889</v>
      </c>
    </row>
    <row r="16" spans="1:2" ht="47.25" x14ac:dyDescent="0.25">
      <c r="A16" s="68">
        <v>2</v>
      </c>
      <c r="B16" s="69" t="s">
        <v>4909</v>
      </c>
    </row>
    <row r="17" spans="1:2" ht="32.450000000000003" customHeight="1" x14ac:dyDescent="0.25">
      <c r="A17" s="68">
        <v>3</v>
      </c>
      <c r="B17" s="69" t="s">
        <v>4884</v>
      </c>
    </row>
    <row r="18" spans="1:2" ht="15.75" x14ac:dyDescent="0.25">
      <c r="A18" s="66"/>
      <c r="B18" s="66"/>
    </row>
    <row r="19" spans="1:2" ht="15.75" x14ac:dyDescent="0.25">
      <c r="A19" s="75" t="s">
        <v>4907</v>
      </c>
      <c r="B19" s="75"/>
    </row>
    <row r="20" spans="1:2" ht="31.5" x14ac:dyDescent="0.25">
      <c r="A20" s="68">
        <v>1</v>
      </c>
      <c r="B20" s="69" t="s">
        <v>4890</v>
      </c>
    </row>
    <row r="21" spans="1:2" ht="31.5" x14ac:dyDescent="0.25">
      <c r="A21" s="68">
        <v>2</v>
      </c>
      <c r="B21" s="69" t="s">
        <v>4891</v>
      </c>
    </row>
    <row r="22" spans="1:2" ht="31.5" x14ac:dyDescent="0.25">
      <c r="A22" s="68">
        <v>3</v>
      </c>
      <c r="B22" s="69" t="s">
        <v>4892</v>
      </c>
    </row>
    <row r="23" spans="1:2" ht="15.75" x14ac:dyDescent="0.25">
      <c r="A23" s="66"/>
      <c r="B23" s="66"/>
    </row>
    <row r="24" spans="1:2" ht="15.75" x14ac:dyDescent="0.25">
      <c r="A24" s="75" t="s">
        <v>4893</v>
      </c>
      <c r="B24" s="75"/>
    </row>
    <row r="25" spans="1:2" ht="15.75" x14ac:dyDescent="0.25">
      <c r="A25" s="68">
        <v>1</v>
      </c>
      <c r="B25" s="69" t="s">
        <v>4894</v>
      </c>
    </row>
    <row r="26" spans="1:2" ht="15.75" x14ac:dyDescent="0.25">
      <c r="A26" s="68">
        <v>2</v>
      </c>
      <c r="B26" s="69" t="s">
        <v>4895</v>
      </c>
    </row>
    <row r="27" spans="1:2" ht="15.75" x14ac:dyDescent="0.25">
      <c r="A27" s="68">
        <v>3</v>
      </c>
      <c r="B27" s="69" t="s">
        <v>4896</v>
      </c>
    </row>
    <row r="28" spans="1:2" ht="15.75" x14ac:dyDescent="0.25">
      <c r="A28" s="68">
        <v>4</v>
      </c>
      <c r="B28" s="69" t="s">
        <v>4897</v>
      </c>
    </row>
  </sheetData>
  <mergeCells count="3">
    <mergeCell ref="A14:B14"/>
    <mergeCell ref="A19:B19"/>
    <mergeCell ref="A24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93FE-5E57-4FB0-8574-62CC0EE87DDA}">
  <dimension ref="A1:M2541"/>
  <sheetViews>
    <sheetView topLeftCell="A2321" workbookViewId="0">
      <selection activeCell="B2332" sqref="B2332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10.7109375" bestFit="1" customWidth="1"/>
    <col min="4" max="4" width="17.42578125" bestFit="1" customWidth="1"/>
    <col min="5" max="5" width="16.5703125" bestFit="1" customWidth="1"/>
    <col min="6" max="6" width="12.42578125" bestFit="1" customWidth="1"/>
    <col min="7" max="7" width="16.5703125" bestFit="1" customWidth="1"/>
    <col min="8" max="8" width="14.7109375" bestFit="1" customWidth="1"/>
    <col min="9" max="9" width="12.5703125" bestFit="1" customWidth="1"/>
    <col min="10" max="10" width="15.42578125" bestFit="1" customWidth="1"/>
    <col min="11" max="11" width="18" bestFit="1" customWidth="1"/>
    <col min="12" max="12" width="8.710937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>
        <v>160271</v>
      </c>
      <c r="H2" s="1" t="s">
        <v>19</v>
      </c>
      <c r="I2" s="2">
        <v>45406</v>
      </c>
      <c r="J2">
        <v>143</v>
      </c>
      <c r="K2">
        <v>3.7</v>
      </c>
      <c r="L2" s="1" t="s">
        <v>20</v>
      </c>
      <c r="M2" s="1" t="s">
        <v>21</v>
      </c>
    </row>
    <row r="3" spans="1:13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>
        <v>491510</v>
      </c>
      <c r="H3" s="1" t="s">
        <v>28</v>
      </c>
      <c r="I3" s="2"/>
      <c r="L3" s="1" t="s">
        <v>29</v>
      </c>
      <c r="M3" s="1" t="s">
        <v>30</v>
      </c>
    </row>
    <row r="4" spans="1:13" x14ac:dyDescent="0.25">
      <c r="A4" s="1" t="s">
        <v>31</v>
      </c>
      <c r="B4" s="1" t="s">
        <v>23</v>
      </c>
      <c r="C4" s="1" t="s">
        <v>32</v>
      </c>
      <c r="D4" s="1" t="s">
        <v>25</v>
      </c>
      <c r="E4" s="1" t="s">
        <v>17</v>
      </c>
      <c r="F4" s="1" t="s">
        <v>33</v>
      </c>
      <c r="G4">
        <v>224184</v>
      </c>
      <c r="H4" s="1" t="s">
        <v>34</v>
      </c>
      <c r="I4" s="2"/>
      <c r="L4" s="1" t="s">
        <v>20</v>
      </c>
      <c r="M4" s="1" t="s">
        <v>35</v>
      </c>
    </row>
    <row r="5" spans="1:13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26</v>
      </c>
      <c r="F5" s="1" t="s">
        <v>40</v>
      </c>
      <c r="G5">
        <v>265745</v>
      </c>
      <c r="H5" s="1" t="s">
        <v>41</v>
      </c>
      <c r="I5" s="2">
        <v>45650</v>
      </c>
      <c r="J5">
        <v>60</v>
      </c>
      <c r="K5">
        <v>17.8</v>
      </c>
      <c r="L5" s="1" t="s">
        <v>29</v>
      </c>
      <c r="M5" s="1" t="s">
        <v>42</v>
      </c>
    </row>
    <row r="6" spans="1:13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40</v>
      </c>
      <c r="G6">
        <v>255053</v>
      </c>
      <c r="H6" s="1" t="s">
        <v>48</v>
      </c>
      <c r="I6" s="2">
        <v>45429</v>
      </c>
      <c r="J6">
        <v>163</v>
      </c>
      <c r="K6">
        <v>8.4</v>
      </c>
      <c r="L6" s="1" t="s">
        <v>49</v>
      </c>
      <c r="M6" s="1" t="s">
        <v>21</v>
      </c>
    </row>
    <row r="7" spans="1:13" x14ac:dyDescent="0.25">
      <c r="A7" s="1" t="s">
        <v>50</v>
      </c>
      <c r="B7" s="1" t="s">
        <v>51</v>
      </c>
      <c r="C7" s="1" t="s">
        <v>52</v>
      </c>
      <c r="D7" s="1" t="s">
        <v>46</v>
      </c>
      <c r="E7" s="1" t="s">
        <v>26</v>
      </c>
      <c r="F7" s="1" t="s">
        <v>53</v>
      </c>
      <c r="G7">
        <v>389913</v>
      </c>
      <c r="H7" s="1" t="s">
        <v>54</v>
      </c>
      <c r="I7" s="2"/>
      <c r="L7" s="1" t="s">
        <v>29</v>
      </c>
      <c r="M7" s="1" t="s">
        <v>21</v>
      </c>
    </row>
    <row r="8" spans="1:13" x14ac:dyDescent="0.25">
      <c r="A8" s="1" t="s">
        <v>55</v>
      </c>
      <c r="B8" s="1" t="s">
        <v>23</v>
      </c>
      <c r="C8" s="1" t="s">
        <v>56</v>
      </c>
      <c r="D8" s="1" t="s">
        <v>25</v>
      </c>
      <c r="E8" s="1" t="s">
        <v>47</v>
      </c>
      <c r="F8" s="1" t="s">
        <v>40</v>
      </c>
      <c r="G8">
        <v>393048</v>
      </c>
      <c r="H8" s="1" t="s">
        <v>57</v>
      </c>
      <c r="I8" s="2">
        <v>45784</v>
      </c>
      <c r="J8">
        <v>171</v>
      </c>
      <c r="K8">
        <v>1.1000000000000001</v>
      </c>
      <c r="L8" s="1" t="s">
        <v>20</v>
      </c>
      <c r="M8" s="1" t="s">
        <v>42</v>
      </c>
    </row>
    <row r="9" spans="1:13" x14ac:dyDescent="0.25">
      <c r="A9" s="1" t="s">
        <v>58</v>
      </c>
      <c r="B9" s="1" t="s">
        <v>59</v>
      </c>
      <c r="C9" s="1" t="s">
        <v>60</v>
      </c>
      <c r="D9" s="1" t="s">
        <v>25</v>
      </c>
      <c r="E9" s="1" t="s">
        <v>61</v>
      </c>
      <c r="F9" s="1" t="s">
        <v>40</v>
      </c>
      <c r="G9">
        <v>295502</v>
      </c>
      <c r="H9" s="1" t="s">
        <v>62</v>
      </c>
      <c r="I9" s="2">
        <v>45821</v>
      </c>
      <c r="J9">
        <v>125</v>
      </c>
      <c r="K9">
        <v>15.8</v>
      </c>
      <c r="L9" s="1" t="s">
        <v>49</v>
      </c>
      <c r="M9" s="1" t="s">
        <v>63</v>
      </c>
    </row>
    <row r="10" spans="1:13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26</v>
      </c>
      <c r="F10" s="1" t="s">
        <v>33</v>
      </c>
      <c r="G10">
        <v>172519</v>
      </c>
      <c r="H10" s="1" t="s">
        <v>68</v>
      </c>
      <c r="I10" s="2"/>
      <c r="K10">
        <v>14.2</v>
      </c>
      <c r="L10" s="1" t="s">
        <v>29</v>
      </c>
      <c r="M10" s="1" t="s">
        <v>69</v>
      </c>
    </row>
    <row r="11" spans="1:13" x14ac:dyDescent="0.25">
      <c r="A11" s="1" t="s">
        <v>70</v>
      </c>
      <c r="B11" s="1" t="s">
        <v>59</v>
      </c>
      <c r="C11" s="1" t="s">
        <v>71</v>
      </c>
      <c r="D11" s="1" t="s">
        <v>46</v>
      </c>
      <c r="E11" s="1" t="s">
        <v>72</v>
      </c>
      <c r="F11" s="1" t="s">
        <v>40</v>
      </c>
      <c r="G11">
        <v>146890</v>
      </c>
      <c r="H11" s="1" t="s">
        <v>73</v>
      </c>
      <c r="I11" s="2">
        <v>45414</v>
      </c>
      <c r="J11">
        <v>58</v>
      </c>
      <c r="K11">
        <v>8.5</v>
      </c>
      <c r="L11" s="1" t="s">
        <v>20</v>
      </c>
      <c r="M11" s="1" t="s">
        <v>69</v>
      </c>
    </row>
    <row r="12" spans="1:13" x14ac:dyDescent="0.25">
      <c r="A12" s="1" t="s">
        <v>74</v>
      </c>
      <c r="B12" s="1" t="s">
        <v>75</v>
      </c>
      <c r="C12" s="1" t="s">
        <v>76</v>
      </c>
      <c r="D12" s="1" t="s">
        <v>39</v>
      </c>
      <c r="E12" s="1" t="s">
        <v>77</v>
      </c>
      <c r="F12" s="1" t="s">
        <v>40</v>
      </c>
      <c r="G12">
        <v>242460</v>
      </c>
      <c r="H12" s="1" t="s">
        <v>78</v>
      </c>
      <c r="I12" s="2">
        <v>45463</v>
      </c>
      <c r="J12">
        <v>117</v>
      </c>
      <c r="K12">
        <v>23</v>
      </c>
      <c r="L12" s="1" t="s">
        <v>49</v>
      </c>
      <c r="M12" s="1" t="s">
        <v>69</v>
      </c>
    </row>
    <row r="13" spans="1:13" x14ac:dyDescent="0.25">
      <c r="A13" s="1" t="s">
        <v>79</v>
      </c>
      <c r="B13" s="1" t="s">
        <v>80</v>
      </c>
      <c r="C13" s="1" t="s">
        <v>81</v>
      </c>
      <c r="D13" s="1" t="s">
        <v>46</v>
      </c>
      <c r="E13" s="1" t="s">
        <v>72</v>
      </c>
      <c r="F13" s="1" t="s">
        <v>40</v>
      </c>
      <c r="G13">
        <v>396833</v>
      </c>
      <c r="H13" s="1" t="s">
        <v>82</v>
      </c>
      <c r="I13" s="2">
        <v>45236</v>
      </c>
      <c r="J13">
        <v>17</v>
      </c>
      <c r="K13">
        <v>4.3</v>
      </c>
      <c r="L13" s="1" t="s">
        <v>29</v>
      </c>
      <c r="M13" s="1" t="s">
        <v>21</v>
      </c>
    </row>
    <row r="14" spans="1:13" x14ac:dyDescent="0.25">
      <c r="A14" s="1" t="s">
        <v>83</v>
      </c>
      <c r="B14" s="1" t="s">
        <v>84</v>
      </c>
      <c r="C14" s="1" t="s">
        <v>85</v>
      </c>
      <c r="D14" s="1" t="s">
        <v>25</v>
      </c>
      <c r="E14" s="1" t="s">
        <v>77</v>
      </c>
      <c r="F14" s="1" t="s">
        <v>40</v>
      </c>
      <c r="G14">
        <v>207588</v>
      </c>
      <c r="H14" s="1" t="s">
        <v>86</v>
      </c>
      <c r="I14" s="2">
        <v>45486</v>
      </c>
      <c r="J14">
        <v>151</v>
      </c>
      <c r="K14">
        <v>4.3</v>
      </c>
      <c r="L14" s="1" t="s">
        <v>49</v>
      </c>
      <c r="M14" s="1" t="s">
        <v>69</v>
      </c>
    </row>
    <row r="15" spans="1:13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</v>
      </c>
      <c r="F15" s="1" t="s">
        <v>40</v>
      </c>
      <c r="G15">
        <v>244787</v>
      </c>
      <c r="H15" s="1" t="s">
        <v>91</v>
      </c>
      <c r="I15" s="2">
        <v>45327</v>
      </c>
      <c r="J15">
        <v>117</v>
      </c>
      <c r="K15">
        <v>7.8</v>
      </c>
      <c r="L15" s="1" t="s">
        <v>49</v>
      </c>
      <c r="M15" s="1" t="s">
        <v>21</v>
      </c>
    </row>
    <row r="16" spans="1:13" x14ac:dyDescent="0.25">
      <c r="A16" s="1" t="s">
        <v>92</v>
      </c>
      <c r="B16" s="1" t="s">
        <v>75</v>
      </c>
      <c r="C16" s="1" t="s">
        <v>93</v>
      </c>
      <c r="D16" s="1" t="s">
        <v>16</v>
      </c>
      <c r="E16" s="1" t="s">
        <v>94</v>
      </c>
      <c r="F16" s="1" t="s">
        <v>40</v>
      </c>
      <c r="G16">
        <v>223320</v>
      </c>
      <c r="H16" s="1" t="s">
        <v>95</v>
      </c>
      <c r="I16" s="2">
        <v>45770</v>
      </c>
      <c r="J16">
        <v>147</v>
      </c>
      <c r="K16">
        <v>9</v>
      </c>
      <c r="L16" s="1" t="s">
        <v>96</v>
      </c>
      <c r="M16" s="1" t="s">
        <v>42</v>
      </c>
    </row>
    <row r="17" spans="1:13" x14ac:dyDescent="0.25">
      <c r="A17" s="1" t="s">
        <v>97</v>
      </c>
      <c r="B17" s="1" t="s">
        <v>98</v>
      </c>
      <c r="C17" s="1" t="s">
        <v>99</v>
      </c>
      <c r="D17" s="1" t="s">
        <v>25</v>
      </c>
      <c r="E17" s="1" t="s">
        <v>100</v>
      </c>
      <c r="F17" s="1" t="s">
        <v>33</v>
      </c>
      <c r="G17">
        <v>341493</v>
      </c>
      <c r="H17" s="1" t="s">
        <v>101</v>
      </c>
      <c r="I17" s="2"/>
      <c r="L17" s="1" t="s">
        <v>20</v>
      </c>
      <c r="M17" s="1" t="s">
        <v>102</v>
      </c>
    </row>
    <row r="18" spans="1:13" x14ac:dyDescent="0.25">
      <c r="A18" s="1" t="s">
        <v>103</v>
      </c>
      <c r="B18" s="1" t="s">
        <v>104</v>
      </c>
      <c r="C18" s="1" t="s">
        <v>105</v>
      </c>
      <c r="D18" s="1" t="s">
        <v>25</v>
      </c>
      <c r="E18" s="1" t="s">
        <v>61</v>
      </c>
      <c r="F18" s="1" t="s">
        <v>18</v>
      </c>
      <c r="G18">
        <v>416867</v>
      </c>
      <c r="H18" s="1" t="s">
        <v>106</v>
      </c>
      <c r="I18" s="2">
        <v>45541</v>
      </c>
      <c r="J18">
        <v>115</v>
      </c>
      <c r="K18">
        <v>12.2</v>
      </c>
      <c r="L18" s="1" t="s">
        <v>29</v>
      </c>
      <c r="M18" s="1" t="s">
        <v>107</v>
      </c>
    </row>
    <row r="19" spans="1:13" x14ac:dyDescent="0.25">
      <c r="A19" s="1" t="s">
        <v>108</v>
      </c>
      <c r="B19" s="1" t="s">
        <v>109</v>
      </c>
      <c r="C19" s="1" t="s">
        <v>110</v>
      </c>
      <c r="D19" s="1" t="s">
        <v>67</v>
      </c>
      <c r="E19" s="1" t="s">
        <v>94</v>
      </c>
      <c r="F19" s="1" t="s">
        <v>33</v>
      </c>
      <c r="G19">
        <v>67690</v>
      </c>
      <c r="H19" s="1" t="s">
        <v>111</v>
      </c>
      <c r="I19" s="2"/>
      <c r="K19">
        <v>12.5</v>
      </c>
      <c r="L19" s="1" t="s">
        <v>29</v>
      </c>
      <c r="M19" s="1" t="s">
        <v>63</v>
      </c>
    </row>
    <row r="20" spans="1:13" x14ac:dyDescent="0.25">
      <c r="A20" s="1" t="s">
        <v>112</v>
      </c>
      <c r="B20" s="1" t="s">
        <v>59</v>
      </c>
      <c r="C20" s="1" t="s">
        <v>113</v>
      </c>
      <c r="D20" s="1" t="s">
        <v>67</v>
      </c>
      <c r="E20" s="1" t="s">
        <v>47</v>
      </c>
      <c r="F20" s="1" t="s">
        <v>40</v>
      </c>
      <c r="G20">
        <v>453993</v>
      </c>
      <c r="H20" s="1" t="s">
        <v>114</v>
      </c>
      <c r="I20" s="2">
        <v>45466</v>
      </c>
      <c r="J20">
        <v>150</v>
      </c>
      <c r="K20">
        <v>9.5</v>
      </c>
      <c r="L20" s="1" t="s">
        <v>20</v>
      </c>
      <c r="M20" s="1" t="s">
        <v>69</v>
      </c>
    </row>
    <row r="21" spans="1:13" x14ac:dyDescent="0.25">
      <c r="A21" s="1" t="s">
        <v>115</v>
      </c>
      <c r="B21" s="1" t="s">
        <v>37</v>
      </c>
      <c r="C21" s="1" t="s">
        <v>116</v>
      </c>
      <c r="D21" s="1" t="s">
        <v>39</v>
      </c>
      <c r="E21" s="1" t="s">
        <v>94</v>
      </c>
      <c r="F21" s="1" t="s">
        <v>33</v>
      </c>
      <c r="G21">
        <v>404058</v>
      </c>
      <c r="H21" s="1" t="s">
        <v>117</v>
      </c>
      <c r="I21" s="2"/>
      <c r="K21">
        <v>5.3</v>
      </c>
      <c r="L21" s="1" t="s">
        <v>29</v>
      </c>
      <c r="M21" s="1" t="s">
        <v>107</v>
      </c>
    </row>
    <row r="22" spans="1:13" x14ac:dyDescent="0.25">
      <c r="A22" s="1" t="s">
        <v>118</v>
      </c>
      <c r="B22" s="1" t="s">
        <v>109</v>
      </c>
      <c r="C22" s="1" t="s">
        <v>119</v>
      </c>
      <c r="D22" s="1" t="s">
        <v>67</v>
      </c>
      <c r="E22" s="1" t="s">
        <v>72</v>
      </c>
      <c r="F22" s="1" t="s">
        <v>53</v>
      </c>
      <c r="G22">
        <v>117974</v>
      </c>
      <c r="H22" s="1" t="s">
        <v>120</v>
      </c>
      <c r="I22" s="2"/>
      <c r="K22">
        <v>11.5</v>
      </c>
      <c r="L22" s="1" t="s">
        <v>49</v>
      </c>
      <c r="M22" s="1" t="s">
        <v>35</v>
      </c>
    </row>
    <row r="23" spans="1:13" x14ac:dyDescent="0.25">
      <c r="A23" s="1" t="s">
        <v>121</v>
      </c>
      <c r="B23" s="1" t="s">
        <v>65</v>
      </c>
      <c r="C23" s="1" t="s">
        <v>122</v>
      </c>
      <c r="D23" s="1" t="s">
        <v>67</v>
      </c>
      <c r="E23" s="1" t="s">
        <v>72</v>
      </c>
      <c r="F23" s="1" t="s">
        <v>33</v>
      </c>
      <c r="G23">
        <v>111938</v>
      </c>
      <c r="H23" s="1" t="s">
        <v>123</v>
      </c>
      <c r="I23" s="2"/>
      <c r="L23" s="1" t="s">
        <v>29</v>
      </c>
      <c r="M23" s="1" t="s">
        <v>63</v>
      </c>
    </row>
    <row r="24" spans="1:13" x14ac:dyDescent="0.25">
      <c r="A24" s="1" t="s">
        <v>124</v>
      </c>
      <c r="B24" s="1" t="s">
        <v>84</v>
      </c>
      <c r="C24" s="1" t="s">
        <v>85</v>
      </c>
      <c r="D24" s="1" t="s">
        <v>25</v>
      </c>
      <c r="E24" s="1" t="s">
        <v>100</v>
      </c>
      <c r="F24" s="1" t="s">
        <v>18</v>
      </c>
      <c r="G24">
        <v>133407</v>
      </c>
      <c r="H24" s="1" t="s">
        <v>125</v>
      </c>
      <c r="I24" s="2">
        <v>45166</v>
      </c>
      <c r="J24">
        <v>120</v>
      </c>
      <c r="K24">
        <v>10.9</v>
      </c>
      <c r="L24" s="1" t="s">
        <v>96</v>
      </c>
      <c r="M24" s="1" t="s">
        <v>30</v>
      </c>
    </row>
    <row r="25" spans="1:13" x14ac:dyDescent="0.25">
      <c r="A25" s="1" t="s">
        <v>126</v>
      </c>
      <c r="B25" s="1" t="s">
        <v>127</v>
      </c>
      <c r="C25" s="1" t="s">
        <v>128</v>
      </c>
      <c r="D25" s="1" t="s">
        <v>16</v>
      </c>
      <c r="E25" s="1" t="s">
        <v>51</v>
      </c>
      <c r="F25" s="1" t="s">
        <v>129</v>
      </c>
      <c r="G25">
        <v>125962</v>
      </c>
      <c r="H25" s="1" t="s">
        <v>130</v>
      </c>
      <c r="I25" s="2"/>
      <c r="K25">
        <v>12.9</v>
      </c>
      <c r="L25" s="1" t="s">
        <v>49</v>
      </c>
      <c r="M25" s="1" t="s">
        <v>69</v>
      </c>
    </row>
    <row r="26" spans="1:13" x14ac:dyDescent="0.25">
      <c r="A26" s="1" t="s">
        <v>131</v>
      </c>
      <c r="B26" s="1" t="s">
        <v>59</v>
      </c>
      <c r="C26" s="1" t="s">
        <v>132</v>
      </c>
      <c r="D26" s="1" t="s">
        <v>39</v>
      </c>
      <c r="E26" s="1" t="s">
        <v>94</v>
      </c>
      <c r="F26" s="1" t="s">
        <v>40</v>
      </c>
      <c r="G26">
        <v>71017</v>
      </c>
      <c r="H26" s="1" t="s">
        <v>133</v>
      </c>
      <c r="I26" s="2">
        <v>45095</v>
      </c>
      <c r="J26">
        <v>101</v>
      </c>
      <c r="K26">
        <v>3.5</v>
      </c>
      <c r="L26" s="1" t="s">
        <v>20</v>
      </c>
      <c r="M26" s="1" t="s">
        <v>35</v>
      </c>
    </row>
    <row r="27" spans="1:13" x14ac:dyDescent="0.25">
      <c r="A27" s="1" t="s">
        <v>134</v>
      </c>
      <c r="B27" s="1" t="s">
        <v>98</v>
      </c>
      <c r="C27" s="1" t="s">
        <v>135</v>
      </c>
      <c r="D27" s="1" t="s">
        <v>39</v>
      </c>
      <c r="E27" s="1" t="s">
        <v>100</v>
      </c>
      <c r="F27" s="1" t="s">
        <v>40</v>
      </c>
      <c r="G27">
        <v>80078</v>
      </c>
      <c r="H27" s="1" t="s">
        <v>136</v>
      </c>
      <c r="I27" s="2">
        <v>45722</v>
      </c>
      <c r="J27">
        <v>70</v>
      </c>
      <c r="K27">
        <v>4.9000000000000004</v>
      </c>
      <c r="L27" s="1" t="s">
        <v>96</v>
      </c>
      <c r="M27" s="1" t="s">
        <v>42</v>
      </c>
    </row>
    <row r="28" spans="1:13" x14ac:dyDescent="0.25">
      <c r="A28" s="1" t="s">
        <v>137</v>
      </c>
      <c r="B28" s="1" t="s">
        <v>84</v>
      </c>
      <c r="C28" s="1" t="s">
        <v>138</v>
      </c>
      <c r="D28" s="1" t="s">
        <v>16</v>
      </c>
      <c r="E28" s="1" t="s">
        <v>100</v>
      </c>
      <c r="F28" s="1" t="s">
        <v>129</v>
      </c>
      <c r="G28">
        <v>147459</v>
      </c>
      <c r="H28" s="1" t="s">
        <v>139</v>
      </c>
      <c r="I28" s="2"/>
      <c r="K28">
        <v>6.4</v>
      </c>
      <c r="L28" s="1" t="s">
        <v>29</v>
      </c>
      <c r="M28" s="1" t="s">
        <v>30</v>
      </c>
    </row>
    <row r="29" spans="1:13" x14ac:dyDescent="0.25">
      <c r="A29" s="1" t="s">
        <v>140</v>
      </c>
      <c r="B29" s="1" t="s">
        <v>80</v>
      </c>
      <c r="C29" s="1" t="s">
        <v>141</v>
      </c>
      <c r="D29" s="1" t="s">
        <v>25</v>
      </c>
      <c r="E29" s="1" t="s">
        <v>77</v>
      </c>
      <c r="F29" s="1" t="s">
        <v>18</v>
      </c>
      <c r="G29">
        <v>59394</v>
      </c>
      <c r="H29" s="1" t="s">
        <v>142</v>
      </c>
      <c r="I29" s="2">
        <v>45351</v>
      </c>
      <c r="J29">
        <v>73</v>
      </c>
      <c r="K29">
        <v>2.1</v>
      </c>
      <c r="L29" s="1" t="s">
        <v>49</v>
      </c>
      <c r="M29" s="1" t="s">
        <v>21</v>
      </c>
    </row>
    <row r="30" spans="1:13" x14ac:dyDescent="0.25">
      <c r="A30" s="1" t="s">
        <v>143</v>
      </c>
      <c r="B30" s="1" t="s">
        <v>104</v>
      </c>
      <c r="C30" s="1" t="s">
        <v>144</v>
      </c>
      <c r="D30" s="1" t="s">
        <v>67</v>
      </c>
      <c r="E30" s="1" t="s">
        <v>72</v>
      </c>
      <c r="F30" s="1" t="s">
        <v>27</v>
      </c>
      <c r="G30">
        <v>490489</v>
      </c>
      <c r="H30" s="1" t="s">
        <v>145</v>
      </c>
      <c r="I30" s="2"/>
      <c r="L30" s="1" t="s">
        <v>96</v>
      </c>
      <c r="M30" s="1" t="s">
        <v>63</v>
      </c>
    </row>
    <row r="31" spans="1:13" x14ac:dyDescent="0.25">
      <c r="A31" s="1" t="s">
        <v>146</v>
      </c>
      <c r="B31" s="1" t="s">
        <v>75</v>
      </c>
      <c r="C31" s="1" t="s">
        <v>147</v>
      </c>
      <c r="D31" s="1" t="s">
        <v>90</v>
      </c>
      <c r="E31" s="1" t="s">
        <v>94</v>
      </c>
      <c r="F31" s="1" t="s">
        <v>33</v>
      </c>
      <c r="G31">
        <v>267116</v>
      </c>
      <c r="H31" s="1" t="s">
        <v>148</v>
      </c>
      <c r="I31" s="2"/>
      <c r="K31">
        <v>3</v>
      </c>
      <c r="L31" s="1" t="s">
        <v>29</v>
      </c>
      <c r="M31" s="1" t="s">
        <v>149</v>
      </c>
    </row>
    <row r="32" spans="1:13" x14ac:dyDescent="0.25">
      <c r="A32" s="1" t="s">
        <v>150</v>
      </c>
      <c r="B32" s="1" t="s">
        <v>88</v>
      </c>
      <c r="C32" s="1" t="s">
        <v>151</v>
      </c>
      <c r="D32" s="1" t="s">
        <v>90</v>
      </c>
      <c r="E32" s="1" t="s">
        <v>94</v>
      </c>
      <c r="F32" s="1" t="s">
        <v>18</v>
      </c>
      <c r="G32">
        <v>340697</v>
      </c>
      <c r="H32" s="1" t="s">
        <v>152</v>
      </c>
      <c r="I32" s="2">
        <v>45174</v>
      </c>
      <c r="J32">
        <v>80</v>
      </c>
      <c r="K32">
        <v>6.7</v>
      </c>
      <c r="L32" s="1" t="s">
        <v>96</v>
      </c>
      <c r="M32" s="1" t="s">
        <v>30</v>
      </c>
    </row>
    <row r="33" spans="1:13" x14ac:dyDescent="0.25">
      <c r="A33" s="1" t="s">
        <v>153</v>
      </c>
      <c r="B33" s="1" t="s">
        <v>59</v>
      </c>
      <c r="C33" s="1" t="s">
        <v>154</v>
      </c>
      <c r="D33" s="1" t="s">
        <v>67</v>
      </c>
      <c r="E33" s="1" t="s">
        <v>17</v>
      </c>
      <c r="F33" s="1" t="s">
        <v>129</v>
      </c>
      <c r="G33">
        <v>432247</v>
      </c>
      <c r="H33" s="1" t="s">
        <v>155</v>
      </c>
      <c r="I33" s="2"/>
      <c r="K33">
        <v>13.4</v>
      </c>
      <c r="L33" s="1" t="s">
        <v>96</v>
      </c>
      <c r="M33" s="1" t="s">
        <v>63</v>
      </c>
    </row>
    <row r="34" spans="1:13" x14ac:dyDescent="0.25">
      <c r="A34" s="1" t="s">
        <v>156</v>
      </c>
      <c r="B34" s="1" t="s">
        <v>23</v>
      </c>
      <c r="C34" s="1" t="s">
        <v>157</v>
      </c>
      <c r="D34" s="1" t="s">
        <v>39</v>
      </c>
      <c r="E34" s="1" t="s">
        <v>47</v>
      </c>
      <c r="F34" s="1" t="s">
        <v>18</v>
      </c>
      <c r="G34">
        <v>449838</v>
      </c>
      <c r="H34" s="1" t="s">
        <v>158</v>
      </c>
      <c r="I34" s="2">
        <v>45589</v>
      </c>
      <c r="J34">
        <v>147</v>
      </c>
      <c r="K34">
        <v>6.8</v>
      </c>
      <c r="L34" s="1" t="s">
        <v>20</v>
      </c>
      <c r="M34" s="1" t="s">
        <v>107</v>
      </c>
    </row>
    <row r="35" spans="1:13" x14ac:dyDescent="0.25">
      <c r="A35" s="1" t="s">
        <v>159</v>
      </c>
      <c r="B35" s="1" t="s">
        <v>80</v>
      </c>
      <c r="C35" s="1" t="s">
        <v>160</v>
      </c>
      <c r="D35" s="1" t="s">
        <v>25</v>
      </c>
      <c r="E35" s="1" t="s">
        <v>72</v>
      </c>
      <c r="F35" s="1" t="s">
        <v>129</v>
      </c>
      <c r="G35">
        <v>325774</v>
      </c>
      <c r="H35" s="1" t="s">
        <v>86</v>
      </c>
      <c r="I35" s="2"/>
      <c r="L35" s="1" t="s">
        <v>20</v>
      </c>
      <c r="M35" s="1" t="s">
        <v>69</v>
      </c>
    </row>
    <row r="36" spans="1:13" x14ac:dyDescent="0.25">
      <c r="A36" s="1" t="s">
        <v>161</v>
      </c>
      <c r="B36" s="1" t="s">
        <v>80</v>
      </c>
      <c r="C36" s="1" t="s">
        <v>162</v>
      </c>
      <c r="D36" s="1" t="s">
        <v>39</v>
      </c>
      <c r="E36" s="1" t="s">
        <v>94</v>
      </c>
      <c r="F36" s="1" t="s">
        <v>18</v>
      </c>
      <c r="G36">
        <v>251845</v>
      </c>
      <c r="H36" s="1" t="s">
        <v>163</v>
      </c>
      <c r="I36" s="2">
        <v>45520</v>
      </c>
      <c r="J36">
        <v>21</v>
      </c>
      <c r="K36">
        <v>6.3</v>
      </c>
      <c r="L36" s="1" t="s">
        <v>49</v>
      </c>
      <c r="M36" s="1" t="s">
        <v>149</v>
      </c>
    </row>
    <row r="37" spans="1:13" x14ac:dyDescent="0.25">
      <c r="A37" s="1" t="s">
        <v>164</v>
      </c>
      <c r="B37" s="1" t="s">
        <v>109</v>
      </c>
      <c r="C37" s="1" t="s">
        <v>165</v>
      </c>
      <c r="D37" s="1" t="s">
        <v>67</v>
      </c>
      <c r="E37" s="1" t="s">
        <v>100</v>
      </c>
      <c r="F37" s="1" t="s">
        <v>33</v>
      </c>
      <c r="G37">
        <v>245814</v>
      </c>
      <c r="H37" s="1" t="s">
        <v>166</v>
      </c>
      <c r="I37" s="2"/>
      <c r="L37" s="1" t="s">
        <v>96</v>
      </c>
      <c r="M37" s="1" t="s">
        <v>30</v>
      </c>
    </row>
    <row r="38" spans="1:13" x14ac:dyDescent="0.25">
      <c r="A38" s="1" t="s">
        <v>167</v>
      </c>
      <c r="B38" s="1" t="s">
        <v>14</v>
      </c>
      <c r="C38" s="1" t="s">
        <v>168</v>
      </c>
      <c r="D38" s="1" t="s">
        <v>25</v>
      </c>
      <c r="E38" s="1" t="s">
        <v>77</v>
      </c>
      <c r="F38" s="1" t="s">
        <v>53</v>
      </c>
      <c r="G38">
        <v>128284</v>
      </c>
      <c r="H38" s="1" t="s">
        <v>169</v>
      </c>
      <c r="I38" s="2"/>
      <c r="K38">
        <v>1.5</v>
      </c>
      <c r="L38" s="1" t="s">
        <v>29</v>
      </c>
      <c r="M38" s="1" t="s">
        <v>30</v>
      </c>
    </row>
    <row r="39" spans="1:13" x14ac:dyDescent="0.25">
      <c r="A39" s="1" t="s">
        <v>170</v>
      </c>
      <c r="B39" s="1" t="s">
        <v>65</v>
      </c>
      <c r="C39" s="1" t="s">
        <v>93</v>
      </c>
      <c r="D39" s="1" t="s">
        <v>16</v>
      </c>
      <c r="E39" s="1" t="s">
        <v>51</v>
      </c>
      <c r="F39" s="1" t="s">
        <v>33</v>
      </c>
      <c r="G39">
        <v>157092</v>
      </c>
      <c r="H39" s="1" t="s">
        <v>171</v>
      </c>
      <c r="I39" s="2"/>
      <c r="K39">
        <v>6.3</v>
      </c>
      <c r="L39" s="1" t="s">
        <v>96</v>
      </c>
      <c r="M39" s="1" t="s">
        <v>42</v>
      </c>
    </row>
    <row r="40" spans="1:13" x14ac:dyDescent="0.25">
      <c r="A40" s="1" t="s">
        <v>172</v>
      </c>
      <c r="B40" s="1" t="s">
        <v>173</v>
      </c>
      <c r="C40" s="1" t="s">
        <v>174</v>
      </c>
      <c r="D40" s="1" t="s">
        <v>90</v>
      </c>
      <c r="E40" s="1" t="s">
        <v>94</v>
      </c>
      <c r="F40" s="1" t="s">
        <v>53</v>
      </c>
      <c r="G40">
        <v>387930</v>
      </c>
      <c r="H40" s="1" t="s">
        <v>175</v>
      </c>
      <c r="I40" s="2"/>
      <c r="K40">
        <v>2.8</v>
      </c>
      <c r="L40" s="1" t="s">
        <v>20</v>
      </c>
      <c r="M40" s="1" t="s">
        <v>42</v>
      </c>
    </row>
    <row r="41" spans="1:13" x14ac:dyDescent="0.25">
      <c r="A41" s="1" t="s">
        <v>176</v>
      </c>
      <c r="B41" s="1" t="s">
        <v>109</v>
      </c>
      <c r="C41" s="1" t="s">
        <v>177</v>
      </c>
      <c r="D41" s="1" t="s">
        <v>90</v>
      </c>
      <c r="E41" s="1" t="s">
        <v>77</v>
      </c>
      <c r="F41" s="1" t="s">
        <v>129</v>
      </c>
      <c r="G41">
        <v>265994</v>
      </c>
      <c r="H41" s="1" t="s">
        <v>178</v>
      </c>
      <c r="I41" s="2"/>
      <c r="K41">
        <v>0.7</v>
      </c>
      <c r="L41" s="1" t="s">
        <v>96</v>
      </c>
      <c r="M41" s="1" t="s">
        <v>63</v>
      </c>
    </row>
    <row r="42" spans="1:13" x14ac:dyDescent="0.25">
      <c r="A42" s="1" t="s">
        <v>179</v>
      </c>
      <c r="B42" s="1" t="s">
        <v>14</v>
      </c>
      <c r="C42" s="1" t="s">
        <v>180</v>
      </c>
      <c r="D42" s="1" t="s">
        <v>16</v>
      </c>
      <c r="E42" s="1" t="s">
        <v>77</v>
      </c>
      <c r="F42" s="1" t="s">
        <v>40</v>
      </c>
      <c r="G42">
        <v>925816</v>
      </c>
      <c r="H42" s="1" t="s">
        <v>181</v>
      </c>
      <c r="I42" s="2">
        <v>45467</v>
      </c>
      <c r="J42">
        <v>18</v>
      </c>
      <c r="K42">
        <v>16.600000000000001</v>
      </c>
      <c r="L42" s="1" t="s">
        <v>96</v>
      </c>
      <c r="M42" s="1" t="s">
        <v>107</v>
      </c>
    </row>
    <row r="43" spans="1:13" x14ac:dyDescent="0.25">
      <c r="A43" s="1" t="s">
        <v>182</v>
      </c>
      <c r="B43" s="1" t="s">
        <v>44</v>
      </c>
      <c r="C43" s="1" t="s">
        <v>183</v>
      </c>
      <c r="D43" s="1" t="s">
        <v>46</v>
      </c>
      <c r="E43" s="1" t="s">
        <v>72</v>
      </c>
      <c r="F43" s="1" t="s">
        <v>40</v>
      </c>
      <c r="G43">
        <v>57872</v>
      </c>
      <c r="H43" s="1" t="s">
        <v>184</v>
      </c>
      <c r="I43" s="2">
        <v>45559</v>
      </c>
      <c r="J43">
        <v>168</v>
      </c>
      <c r="K43">
        <v>4.5</v>
      </c>
      <c r="L43" s="1" t="s">
        <v>29</v>
      </c>
      <c r="M43" s="1" t="s">
        <v>107</v>
      </c>
    </row>
    <row r="44" spans="1:13" x14ac:dyDescent="0.25">
      <c r="A44" s="1" t="s">
        <v>185</v>
      </c>
      <c r="B44" s="1" t="s">
        <v>88</v>
      </c>
      <c r="C44" s="1" t="s">
        <v>186</v>
      </c>
      <c r="D44" s="1" t="s">
        <v>39</v>
      </c>
      <c r="E44" s="1" t="s">
        <v>94</v>
      </c>
      <c r="F44" s="1" t="s">
        <v>40</v>
      </c>
      <c r="G44">
        <v>25184</v>
      </c>
      <c r="H44" s="1" t="s">
        <v>187</v>
      </c>
      <c r="I44" s="2">
        <v>45516</v>
      </c>
      <c r="J44">
        <v>70</v>
      </c>
      <c r="K44">
        <v>19.600000000000001</v>
      </c>
      <c r="L44" s="1" t="s">
        <v>96</v>
      </c>
      <c r="M44" s="1" t="s">
        <v>107</v>
      </c>
    </row>
    <row r="45" spans="1:13" x14ac:dyDescent="0.25">
      <c r="A45" s="1" t="s">
        <v>188</v>
      </c>
      <c r="B45" s="1" t="s">
        <v>59</v>
      </c>
      <c r="C45" s="1" t="s">
        <v>189</v>
      </c>
      <c r="D45" s="1" t="s">
        <v>25</v>
      </c>
      <c r="E45" s="1" t="s">
        <v>61</v>
      </c>
      <c r="F45" s="1" t="s">
        <v>53</v>
      </c>
      <c r="G45">
        <v>46255</v>
      </c>
      <c r="H45" s="1" t="s">
        <v>190</v>
      </c>
      <c r="I45" s="2"/>
      <c r="L45" s="1" t="s">
        <v>20</v>
      </c>
      <c r="M45" s="1" t="s">
        <v>69</v>
      </c>
    </row>
    <row r="46" spans="1:13" x14ac:dyDescent="0.25">
      <c r="A46" s="1" t="s">
        <v>191</v>
      </c>
      <c r="B46" s="1" t="s">
        <v>84</v>
      </c>
      <c r="C46" s="1" t="s">
        <v>192</v>
      </c>
      <c r="D46" s="1" t="s">
        <v>25</v>
      </c>
      <c r="E46" s="1" t="s">
        <v>26</v>
      </c>
      <c r="F46" s="1" t="s">
        <v>40</v>
      </c>
      <c r="G46">
        <v>34502</v>
      </c>
      <c r="H46" s="1" t="s">
        <v>193</v>
      </c>
      <c r="I46" s="2">
        <v>45690</v>
      </c>
      <c r="J46">
        <v>61</v>
      </c>
      <c r="K46">
        <v>2.2999999999999998</v>
      </c>
      <c r="L46" s="1" t="s">
        <v>96</v>
      </c>
      <c r="M46" s="1" t="s">
        <v>42</v>
      </c>
    </row>
    <row r="47" spans="1:13" x14ac:dyDescent="0.25">
      <c r="A47" s="1" t="s">
        <v>194</v>
      </c>
      <c r="B47" s="1" t="s">
        <v>65</v>
      </c>
      <c r="C47" s="1" t="s">
        <v>195</v>
      </c>
      <c r="D47" s="1" t="s">
        <v>16</v>
      </c>
      <c r="E47" s="1" t="s">
        <v>61</v>
      </c>
      <c r="F47" s="1" t="s">
        <v>40</v>
      </c>
      <c r="G47">
        <v>242893</v>
      </c>
      <c r="H47" s="1" t="s">
        <v>196</v>
      </c>
      <c r="I47" s="2">
        <v>45286</v>
      </c>
      <c r="J47">
        <v>21</v>
      </c>
      <c r="K47">
        <v>14.4</v>
      </c>
      <c r="L47" s="1" t="s">
        <v>20</v>
      </c>
      <c r="M47" s="1" t="s">
        <v>21</v>
      </c>
    </row>
    <row r="48" spans="1:13" x14ac:dyDescent="0.25">
      <c r="A48" s="1" t="s">
        <v>197</v>
      </c>
      <c r="B48" s="1" t="s">
        <v>88</v>
      </c>
      <c r="C48" s="1" t="s">
        <v>198</v>
      </c>
      <c r="D48" s="1" t="s">
        <v>67</v>
      </c>
      <c r="E48" s="1" t="s">
        <v>51</v>
      </c>
      <c r="F48" s="1" t="s">
        <v>40</v>
      </c>
      <c r="G48">
        <v>276108</v>
      </c>
      <c r="H48" s="1" t="s">
        <v>199</v>
      </c>
      <c r="I48" s="2">
        <v>45683</v>
      </c>
      <c r="J48">
        <v>82</v>
      </c>
      <c r="K48">
        <v>22.6</v>
      </c>
      <c r="L48" s="1" t="s">
        <v>20</v>
      </c>
      <c r="M48" s="1" t="s">
        <v>42</v>
      </c>
    </row>
    <row r="49" spans="1:13" x14ac:dyDescent="0.25">
      <c r="A49" s="1" t="s">
        <v>200</v>
      </c>
      <c r="B49" s="1" t="s">
        <v>127</v>
      </c>
      <c r="C49" s="1" t="s">
        <v>154</v>
      </c>
      <c r="D49" s="1" t="s">
        <v>25</v>
      </c>
      <c r="E49" s="1" t="s">
        <v>26</v>
      </c>
      <c r="F49" s="1" t="s">
        <v>33</v>
      </c>
      <c r="G49">
        <v>225261</v>
      </c>
      <c r="H49" s="1" t="s">
        <v>201</v>
      </c>
      <c r="I49" s="2"/>
      <c r="K49">
        <v>12.7</v>
      </c>
      <c r="L49" s="1" t="s">
        <v>96</v>
      </c>
      <c r="M49" s="1" t="s">
        <v>21</v>
      </c>
    </row>
    <row r="50" spans="1:13" x14ac:dyDescent="0.25">
      <c r="A50" s="1" t="s">
        <v>202</v>
      </c>
      <c r="B50" s="1" t="s">
        <v>80</v>
      </c>
      <c r="C50" s="1" t="s">
        <v>189</v>
      </c>
      <c r="D50" s="1" t="s">
        <v>25</v>
      </c>
      <c r="E50" s="1" t="s">
        <v>100</v>
      </c>
      <c r="F50" s="1" t="s">
        <v>129</v>
      </c>
      <c r="G50">
        <v>321651</v>
      </c>
      <c r="H50" s="1" t="s">
        <v>203</v>
      </c>
      <c r="I50" s="2"/>
      <c r="L50" s="1" t="s">
        <v>29</v>
      </c>
      <c r="M50" s="1" t="s">
        <v>30</v>
      </c>
    </row>
    <row r="51" spans="1:13" x14ac:dyDescent="0.25">
      <c r="A51" s="1" t="s">
        <v>204</v>
      </c>
      <c r="B51" s="1" t="s">
        <v>98</v>
      </c>
      <c r="C51" s="1" t="s">
        <v>205</v>
      </c>
      <c r="D51" s="1" t="s">
        <v>39</v>
      </c>
      <c r="E51" s="1" t="s">
        <v>17</v>
      </c>
      <c r="F51" s="1" t="s">
        <v>27</v>
      </c>
      <c r="G51">
        <v>495204</v>
      </c>
      <c r="H51" s="1" t="s">
        <v>206</v>
      </c>
      <c r="I51" s="2"/>
      <c r="L51" s="1" t="s">
        <v>96</v>
      </c>
      <c r="M51" s="1" t="s">
        <v>63</v>
      </c>
    </row>
    <row r="52" spans="1:13" x14ac:dyDescent="0.25">
      <c r="A52" s="1" t="s">
        <v>207</v>
      </c>
      <c r="B52" s="1" t="s">
        <v>127</v>
      </c>
      <c r="C52" s="1" t="s">
        <v>208</v>
      </c>
      <c r="D52" s="1" t="s">
        <v>16</v>
      </c>
      <c r="E52" s="1" t="s">
        <v>61</v>
      </c>
      <c r="F52" s="1" t="s">
        <v>129</v>
      </c>
      <c r="G52">
        <v>130238</v>
      </c>
      <c r="H52" s="1" t="s">
        <v>209</v>
      </c>
      <c r="I52" s="2"/>
      <c r="L52" s="1" t="s">
        <v>20</v>
      </c>
      <c r="M52" s="1" t="s">
        <v>102</v>
      </c>
    </row>
    <row r="53" spans="1:13" x14ac:dyDescent="0.25">
      <c r="A53" s="1" t="s">
        <v>210</v>
      </c>
      <c r="B53" s="1" t="s">
        <v>80</v>
      </c>
      <c r="C53" s="1" t="s">
        <v>119</v>
      </c>
      <c r="D53" s="1" t="s">
        <v>39</v>
      </c>
      <c r="E53" s="1" t="s">
        <v>100</v>
      </c>
      <c r="F53" s="1" t="s">
        <v>33</v>
      </c>
      <c r="G53">
        <v>115669</v>
      </c>
      <c r="H53" s="1" t="s">
        <v>211</v>
      </c>
      <c r="I53" s="2"/>
      <c r="K53">
        <v>3.1</v>
      </c>
      <c r="L53" s="1" t="s">
        <v>29</v>
      </c>
      <c r="M53" s="1" t="s">
        <v>30</v>
      </c>
    </row>
    <row r="54" spans="1:13" x14ac:dyDescent="0.25">
      <c r="A54" s="1" t="s">
        <v>212</v>
      </c>
      <c r="B54" s="1" t="s">
        <v>59</v>
      </c>
      <c r="C54" s="1" t="s">
        <v>213</v>
      </c>
      <c r="D54" s="1" t="s">
        <v>46</v>
      </c>
      <c r="E54" s="1" t="s">
        <v>47</v>
      </c>
      <c r="F54" s="1" t="s">
        <v>53</v>
      </c>
      <c r="G54">
        <v>154425</v>
      </c>
      <c r="H54" s="1" t="s">
        <v>214</v>
      </c>
      <c r="I54" s="2"/>
      <c r="K54">
        <v>9.6</v>
      </c>
      <c r="L54" s="1" t="s">
        <v>96</v>
      </c>
      <c r="M54" s="1" t="s">
        <v>35</v>
      </c>
    </row>
    <row r="55" spans="1:13" x14ac:dyDescent="0.25">
      <c r="A55" s="1" t="s">
        <v>215</v>
      </c>
      <c r="B55" s="1" t="s">
        <v>88</v>
      </c>
      <c r="C55" s="1" t="s">
        <v>24</v>
      </c>
      <c r="D55" s="1" t="s">
        <v>90</v>
      </c>
      <c r="E55" s="1" t="s">
        <v>94</v>
      </c>
      <c r="F55" s="1" t="s">
        <v>33</v>
      </c>
      <c r="G55">
        <v>225199</v>
      </c>
      <c r="H55" s="1" t="s">
        <v>216</v>
      </c>
      <c r="I55" s="2"/>
      <c r="L55" s="1" t="s">
        <v>49</v>
      </c>
      <c r="M55" s="1" t="s">
        <v>63</v>
      </c>
    </row>
    <row r="56" spans="1:13" x14ac:dyDescent="0.25">
      <c r="A56" s="1" t="s">
        <v>217</v>
      </c>
      <c r="B56" s="1" t="s">
        <v>84</v>
      </c>
      <c r="C56" s="1" t="s">
        <v>218</v>
      </c>
      <c r="D56" s="1" t="s">
        <v>16</v>
      </c>
      <c r="E56" s="1" t="s">
        <v>100</v>
      </c>
      <c r="F56" s="1" t="s">
        <v>129</v>
      </c>
      <c r="G56">
        <v>487991</v>
      </c>
      <c r="H56" s="1" t="s">
        <v>171</v>
      </c>
      <c r="I56" s="2"/>
      <c r="L56" s="1" t="s">
        <v>20</v>
      </c>
      <c r="M56" s="1" t="s">
        <v>42</v>
      </c>
    </row>
    <row r="57" spans="1:13" x14ac:dyDescent="0.25">
      <c r="A57" s="1" t="s">
        <v>219</v>
      </c>
      <c r="B57" s="1" t="s">
        <v>104</v>
      </c>
      <c r="C57" s="1" t="s">
        <v>220</v>
      </c>
      <c r="D57" s="1" t="s">
        <v>90</v>
      </c>
      <c r="E57" s="1" t="s">
        <v>47</v>
      </c>
      <c r="F57" s="1" t="s">
        <v>40</v>
      </c>
      <c r="G57">
        <v>360231</v>
      </c>
      <c r="H57" s="1" t="s">
        <v>111</v>
      </c>
      <c r="I57" s="2">
        <v>45855</v>
      </c>
      <c r="J57">
        <v>147</v>
      </c>
      <c r="K57">
        <v>19.5</v>
      </c>
      <c r="L57" s="1" t="s">
        <v>20</v>
      </c>
      <c r="M57" s="1" t="s">
        <v>63</v>
      </c>
    </row>
    <row r="58" spans="1:13" x14ac:dyDescent="0.25">
      <c r="A58" s="1" t="s">
        <v>221</v>
      </c>
      <c r="B58" s="1" t="s">
        <v>127</v>
      </c>
      <c r="C58" s="1" t="s">
        <v>93</v>
      </c>
      <c r="D58" s="1" t="s">
        <v>25</v>
      </c>
      <c r="E58" s="1" t="s">
        <v>72</v>
      </c>
      <c r="F58" s="1" t="s">
        <v>40</v>
      </c>
      <c r="G58">
        <v>128919</v>
      </c>
      <c r="H58" s="1" t="s">
        <v>222</v>
      </c>
      <c r="I58" s="2">
        <v>45836</v>
      </c>
      <c r="J58">
        <v>97</v>
      </c>
      <c r="K58">
        <v>5</v>
      </c>
      <c r="L58" s="1" t="s">
        <v>20</v>
      </c>
      <c r="M58" s="1" t="s">
        <v>63</v>
      </c>
    </row>
    <row r="59" spans="1:13" x14ac:dyDescent="0.25">
      <c r="A59" s="1" t="s">
        <v>223</v>
      </c>
      <c r="B59" s="1" t="s">
        <v>59</v>
      </c>
      <c r="C59" s="1" t="s">
        <v>224</v>
      </c>
      <c r="D59" s="1" t="s">
        <v>46</v>
      </c>
      <c r="E59" s="1" t="s">
        <v>17</v>
      </c>
      <c r="F59" s="1" t="s">
        <v>33</v>
      </c>
      <c r="G59">
        <v>422278</v>
      </c>
      <c r="H59" s="1" t="s">
        <v>225</v>
      </c>
      <c r="I59" s="2"/>
      <c r="K59">
        <v>13.7</v>
      </c>
      <c r="L59" s="1" t="s">
        <v>49</v>
      </c>
      <c r="M59" s="1" t="s">
        <v>149</v>
      </c>
    </row>
    <row r="60" spans="1:13" x14ac:dyDescent="0.25">
      <c r="A60" s="1" t="s">
        <v>226</v>
      </c>
      <c r="B60" s="1" t="s">
        <v>14</v>
      </c>
      <c r="C60" s="1" t="s">
        <v>227</v>
      </c>
      <c r="D60" s="1" t="s">
        <v>16</v>
      </c>
      <c r="E60" s="1" t="s">
        <v>77</v>
      </c>
      <c r="F60" s="1" t="s">
        <v>129</v>
      </c>
      <c r="G60">
        <v>36712</v>
      </c>
      <c r="H60" s="1" t="s">
        <v>228</v>
      </c>
      <c r="I60" s="2"/>
      <c r="K60">
        <v>5.8</v>
      </c>
      <c r="L60" s="1" t="s">
        <v>29</v>
      </c>
      <c r="M60" s="1" t="s">
        <v>102</v>
      </c>
    </row>
    <row r="61" spans="1:13" x14ac:dyDescent="0.25">
      <c r="A61" s="1" t="s">
        <v>229</v>
      </c>
      <c r="B61" s="1" t="s">
        <v>109</v>
      </c>
      <c r="C61" s="1" t="s">
        <v>119</v>
      </c>
      <c r="D61" s="1" t="s">
        <v>39</v>
      </c>
      <c r="E61" s="1" t="s">
        <v>61</v>
      </c>
      <c r="F61" s="1" t="s">
        <v>53</v>
      </c>
      <c r="G61">
        <v>390892</v>
      </c>
      <c r="H61" s="1" t="s">
        <v>230</v>
      </c>
      <c r="I61" s="2"/>
      <c r="K61">
        <v>6.7</v>
      </c>
      <c r="L61" s="1" t="s">
        <v>29</v>
      </c>
      <c r="M61" s="1" t="s">
        <v>69</v>
      </c>
    </row>
    <row r="62" spans="1:13" x14ac:dyDescent="0.25">
      <c r="A62" s="1" t="s">
        <v>231</v>
      </c>
      <c r="B62" s="1" t="s">
        <v>80</v>
      </c>
      <c r="C62" s="1" t="s">
        <v>76</v>
      </c>
      <c r="D62" s="1" t="s">
        <v>46</v>
      </c>
      <c r="E62" s="1" t="s">
        <v>77</v>
      </c>
      <c r="F62" s="1" t="s">
        <v>129</v>
      </c>
      <c r="G62">
        <v>12937</v>
      </c>
      <c r="H62" s="1" t="s">
        <v>232</v>
      </c>
      <c r="I62" s="2"/>
      <c r="L62" s="1" t="s">
        <v>20</v>
      </c>
      <c r="M62" s="1" t="s">
        <v>102</v>
      </c>
    </row>
    <row r="63" spans="1:13" x14ac:dyDescent="0.25">
      <c r="A63" s="1" t="s">
        <v>233</v>
      </c>
      <c r="B63" s="1" t="s">
        <v>84</v>
      </c>
      <c r="C63" s="1" t="s">
        <v>151</v>
      </c>
      <c r="D63" s="1" t="s">
        <v>39</v>
      </c>
      <c r="E63" s="1" t="s">
        <v>100</v>
      </c>
      <c r="F63" s="1" t="s">
        <v>40</v>
      </c>
      <c r="G63">
        <v>324521</v>
      </c>
      <c r="H63" s="1" t="s">
        <v>234</v>
      </c>
      <c r="I63" s="2">
        <v>45644</v>
      </c>
      <c r="J63">
        <v>144</v>
      </c>
      <c r="K63">
        <v>18.2</v>
      </c>
      <c r="L63" s="1" t="s">
        <v>20</v>
      </c>
      <c r="M63" s="1" t="s">
        <v>149</v>
      </c>
    </row>
    <row r="64" spans="1:13" x14ac:dyDescent="0.25">
      <c r="A64" s="1" t="s">
        <v>235</v>
      </c>
      <c r="B64" s="1" t="s">
        <v>127</v>
      </c>
      <c r="C64" s="1" t="s">
        <v>24</v>
      </c>
      <c r="D64" s="1" t="s">
        <v>25</v>
      </c>
      <c r="E64" s="1" t="s">
        <v>17</v>
      </c>
      <c r="F64" s="1" t="s">
        <v>33</v>
      </c>
      <c r="G64">
        <v>113876</v>
      </c>
      <c r="H64" s="1" t="s">
        <v>178</v>
      </c>
      <c r="I64" s="2"/>
      <c r="L64" s="1" t="s">
        <v>29</v>
      </c>
      <c r="M64" s="1" t="s">
        <v>63</v>
      </c>
    </row>
    <row r="65" spans="1:13" x14ac:dyDescent="0.25">
      <c r="A65" s="1" t="s">
        <v>236</v>
      </c>
      <c r="B65" s="1" t="s">
        <v>59</v>
      </c>
      <c r="C65" s="1" t="s">
        <v>237</v>
      </c>
      <c r="D65" s="1" t="s">
        <v>67</v>
      </c>
      <c r="E65" s="1" t="s">
        <v>77</v>
      </c>
      <c r="F65" s="1" t="s">
        <v>33</v>
      </c>
      <c r="G65">
        <v>499086</v>
      </c>
      <c r="H65" s="1" t="s">
        <v>238</v>
      </c>
      <c r="I65" s="2"/>
      <c r="K65">
        <v>4.9000000000000004</v>
      </c>
      <c r="L65" s="1" t="s">
        <v>49</v>
      </c>
      <c r="M65" s="1" t="s">
        <v>35</v>
      </c>
    </row>
    <row r="66" spans="1:13" x14ac:dyDescent="0.25">
      <c r="A66" s="1" t="s">
        <v>239</v>
      </c>
      <c r="B66" s="1" t="s">
        <v>75</v>
      </c>
      <c r="C66" s="1" t="s">
        <v>157</v>
      </c>
      <c r="D66" s="1" t="s">
        <v>67</v>
      </c>
      <c r="E66" s="1" t="s">
        <v>47</v>
      </c>
      <c r="F66" s="1" t="s">
        <v>18</v>
      </c>
      <c r="G66">
        <v>139182</v>
      </c>
      <c r="H66" s="1" t="s">
        <v>240</v>
      </c>
      <c r="I66" s="2">
        <v>45343</v>
      </c>
      <c r="J66">
        <v>26</v>
      </c>
      <c r="L66" s="1" t="s">
        <v>96</v>
      </c>
      <c r="M66" s="1" t="s">
        <v>69</v>
      </c>
    </row>
    <row r="67" spans="1:13" x14ac:dyDescent="0.25">
      <c r="A67" s="1" t="s">
        <v>241</v>
      </c>
      <c r="B67" s="1" t="s">
        <v>44</v>
      </c>
      <c r="C67" s="1" t="s">
        <v>157</v>
      </c>
      <c r="D67" s="1" t="s">
        <v>90</v>
      </c>
      <c r="E67" s="1" t="s">
        <v>77</v>
      </c>
      <c r="F67" s="1" t="s">
        <v>27</v>
      </c>
      <c r="G67">
        <v>244478</v>
      </c>
      <c r="H67" s="1" t="s">
        <v>242</v>
      </c>
      <c r="I67" s="2"/>
      <c r="K67">
        <v>0.6</v>
      </c>
      <c r="L67" s="1" t="s">
        <v>29</v>
      </c>
      <c r="M67" s="1" t="s">
        <v>30</v>
      </c>
    </row>
    <row r="68" spans="1:13" x14ac:dyDescent="0.25">
      <c r="A68" s="1" t="s">
        <v>243</v>
      </c>
      <c r="B68" s="1" t="s">
        <v>37</v>
      </c>
      <c r="C68" s="1" t="s">
        <v>244</v>
      </c>
      <c r="D68" s="1" t="s">
        <v>90</v>
      </c>
      <c r="E68" s="1" t="s">
        <v>94</v>
      </c>
      <c r="F68" s="1" t="s">
        <v>40</v>
      </c>
      <c r="G68">
        <v>108751</v>
      </c>
      <c r="H68" s="1" t="s">
        <v>245</v>
      </c>
      <c r="I68" s="2">
        <v>45782</v>
      </c>
      <c r="J68">
        <v>50</v>
      </c>
      <c r="K68">
        <v>17.2</v>
      </c>
      <c r="L68" s="1" t="s">
        <v>29</v>
      </c>
      <c r="M68" s="1" t="s">
        <v>63</v>
      </c>
    </row>
    <row r="69" spans="1:13" x14ac:dyDescent="0.25">
      <c r="A69" s="1" t="s">
        <v>246</v>
      </c>
      <c r="B69" s="1" t="s">
        <v>75</v>
      </c>
      <c r="C69" s="1" t="s">
        <v>247</v>
      </c>
      <c r="D69" s="1" t="s">
        <v>16</v>
      </c>
      <c r="E69" s="1" t="s">
        <v>72</v>
      </c>
      <c r="F69" s="1" t="s">
        <v>33</v>
      </c>
      <c r="G69">
        <v>387686</v>
      </c>
      <c r="H69" s="1" t="s">
        <v>248</v>
      </c>
      <c r="I69" s="2"/>
      <c r="K69">
        <v>8.5</v>
      </c>
      <c r="L69" s="1" t="s">
        <v>49</v>
      </c>
      <c r="M69" s="1" t="s">
        <v>35</v>
      </c>
    </row>
    <row r="70" spans="1:13" x14ac:dyDescent="0.25">
      <c r="A70" s="1" t="s">
        <v>249</v>
      </c>
      <c r="B70" s="1" t="s">
        <v>104</v>
      </c>
      <c r="C70" s="1" t="s">
        <v>250</v>
      </c>
      <c r="D70" s="1" t="s">
        <v>16</v>
      </c>
      <c r="E70" s="1" t="s">
        <v>47</v>
      </c>
      <c r="F70" s="1" t="s">
        <v>40</v>
      </c>
      <c r="G70">
        <v>42234</v>
      </c>
      <c r="H70" s="1" t="s">
        <v>251</v>
      </c>
      <c r="I70" s="2">
        <v>45232</v>
      </c>
      <c r="J70">
        <v>163</v>
      </c>
      <c r="K70">
        <v>15.9</v>
      </c>
      <c r="L70" s="1" t="s">
        <v>96</v>
      </c>
      <c r="M70" s="1" t="s">
        <v>30</v>
      </c>
    </row>
    <row r="71" spans="1:13" x14ac:dyDescent="0.25">
      <c r="A71" s="1" t="s">
        <v>252</v>
      </c>
      <c r="B71" s="1" t="s">
        <v>65</v>
      </c>
      <c r="C71" s="1" t="s">
        <v>32</v>
      </c>
      <c r="D71" s="1" t="s">
        <v>90</v>
      </c>
      <c r="E71" s="1" t="s">
        <v>72</v>
      </c>
      <c r="F71" s="1" t="s">
        <v>53</v>
      </c>
      <c r="G71">
        <v>141423</v>
      </c>
      <c r="H71" s="1" t="s">
        <v>253</v>
      </c>
      <c r="I71" s="2"/>
      <c r="K71">
        <v>4.5</v>
      </c>
      <c r="L71" s="1" t="s">
        <v>20</v>
      </c>
      <c r="M71" s="1" t="s">
        <v>42</v>
      </c>
    </row>
    <row r="72" spans="1:13" x14ac:dyDescent="0.25">
      <c r="A72" s="1" t="s">
        <v>254</v>
      </c>
      <c r="B72" s="1" t="s">
        <v>84</v>
      </c>
      <c r="C72" s="1" t="s">
        <v>255</v>
      </c>
      <c r="D72" s="1" t="s">
        <v>46</v>
      </c>
      <c r="E72" s="1" t="s">
        <v>100</v>
      </c>
      <c r="F72" s="1" t="s">
        <v>18</v>
      </c>
      <c r="G72">
        <v>233514</v>
      </c>
      <c r="H72" s="1" t="s">
        <v>256</v>
      </c>
      <c r="I72" s="2">
        <v>45349</v>
      </c>
      <c r="J72">
        <v>36</v>
      </c>
      <c r="K72">
        <v>7.4</v>
      </c>
      <c r="L72" s="1" t="s">
        <v>20</v>
      </c>
      <c r="M72" s="1" t="s">
        <v>69</v>
      </c>
    </row>
    <row r="73" spans="1:13" x14ac:dyDescent="0.25">
      <c r="A73" s="1" t="s">
        <v>257</v>
      </c>
      <c r="B73" s="1" t="s">
        <v>14</v>
      </c>
      <c r="C73" s="1" t="s">
        <v>258</v>
      </c>
      <c r="D73" s="1" t="s">
        <v>67</v>
      </c>
      <c r="E73" s="1" t="s">
        <v>61</v>
      </c>
      <c r="F73" s="1" t="s">
        <v>53</v>
      </c>
      <c r="G73">
        <v>316458</v>
      </c>
      <c r="H73" s="1" t="s">
        <v>259</v>
      </c>
      <c r="I73" s="2"/>
      <c r="K73">
        <v>11.3</v>
      </c>
      <c r="L73" s="1" t="s">
        <v>29</v>
      </c>
      <c r="M73" s="1" t="s">
        <v>42</v>
      </c>
    </row>
    <row r="74" spans="1:13" x14ac:dyDescent="0.25">
      <c r="A74" s="1" t="s">
        <v>260</v>
      </c>
      <c r="B74" s="1" t="s">
        <v>104</v>
      </c>
      <c r="C74" s="1" t="s">
        <v>261</v>
      </c>
      <c r="D74" s="1" t="s">
        <v>67</v>
      </c>
      <c r="E74" s="1" t="s">
        <v>17</v>
      </c>
      <c r="F74" s="1" t="s">
        <v>18</v>
      </c>
      <c r="G74">
        <v>274493</v>
      </c>
      <c r="H74" s="1" t="s">
        <v>262</v>
      </c>
      <c r="I74" s="2">
        <v>45769</v>
      </c>
      <c r="J74">
        <v>115</v>
      </c>
      <c r="K74">
        <v>0.4</v>
      </c>
      <c r="L74" s="1" t="s">
        <v>49</v>
      </c>
      <c r="M74" s="1" t="s">
        <v>42</v>
      </c>
    </row>
    <row r="75" spans="1:13" x14ac:dyDescent="0.25">
      <c r="A75" s="1" t="s">
        <v>263</v>
      </c>
      <c r="B75" s="1" t="s">
        <v>109</v>
      </c>
      <c r="C75" s="1" t="s">
        <v>264</v>
      </c>
      <c r="D75" s="1" t="s">
        <v>67</v>
      </c>
      <c r="E75" s="1" t="s">
        <v>61</v>
      </c>
      <c r="F75" s="1" t="s">
        <v>129</v>
      </c>
      <c r="G75">
        <v>187167</v>
      </c>
      <c r="H75" s="1" t="s">
        <v>265</v>
      </c>
      <c r="I75" s="2"/>
      <c r="L75" s="1" t="s">
        <v>29</v>
      </c>
      <c r="M75" s="1" t="s">
        <v>30</v>
      </c>
    </row>
    <row r="76" spans="1:13" x14ac:dyDescent="0.25">
      <c r="A76" s="1" t="s">
        <v>266</v>
      </c>
      <c r="B76" s="1" t="s">
        <v>65</v>
      </c>
      <c r="C76" s="1" t="s">
        <v>267</v>
      </c>
      <c r="D76" s="1" t="s">
        <v>16</v>
      </c>
      <c r="E76" s="1" t="s">
        <v>72</v>
      </c>
      <c r="F76" s="1" t="s">
        <v>18</v>
      </c>
      <c r="G76">
        <v>263320</v>
      </c>
      <c r="H76" s="1" t="s">
        <v>268</v>
      </c>
      <c r="I76" s="2">
        <v>45429</v>
      </c>
      <c r="J76">
        <v>25</v>
      </c>
      <c r="L76" s="1" t="s">
        <v>96</v>
      </c>
      <c r="M76" s="1" t="s">
        <v>107</v>
      </c>
    </row>
    <row r="77" spans="1:13" x14ac:dyDescent="0.25">
      <c r="A77" s="1" t="s">
        <v>269</v>
      </c>
      <c r="B77" s="1" t="s">
        <v>23</v>
      </c>
      <c r="C77" s="1" t="s">
        <v>270</v>
      </c>
      <c r="D77" s="1" t="s">
        <v>67</v>
      </c>
      <c r="E77" s="1" t="s">
        <v>17</v>
      </c>
      <c r="F77" s="1" t="s">
        <v>27</v>
      </c>
      <c r="G77">
        <v>168215</v>
      </c>
      <c r="H77" s="1" t="s">
        <v>271</v>
      </c>
      <c r="I77" s="2"/>
      <c r="K77">
        <v>12.7</v>
      </c>
      <c r="L77" s="1" t="s">
        <v>96</v>
      </c>
      <c r="M77" s="1" t="s">
        <v>69</v>
      </c>
    </row>
    <row r="78" spans="1:13" x14ac:dyDescent="0.25">
      <c r="A78" s="1" t="s">
        <v>272</v>
      </c>
      <c r="B78" s="1" t="s">
        <v>23</v>
      </c>
      <c r="C78" s="1" t="s">
        <v>273</v>
      </c>
      <c r="D78" s="1" t="s">
        <v>16</v>
      </c>
      <c r="E78" s="1" t="s">
        <v>61</v>
      </c>
      <c r="F78" s="1" t="s">
        <v>40</v>
      </c>
      <c r="G78">
        <v>20087</v>
      </c>
      <c r="H78" s="1" t="s">
        <v>274</v>
      </c>
      <c r="I78" s="2">
        <v>45599</v>
      </c>
      <c r="J78">
        <v>144</v>
      </c>
      <c r="K78">
        <v>24.1</v>
      </c>
      <c r="L78" s="1" t="s">
        <v>29</v>
      </c>
      <c r="M78" s="1" t="s">
        <v>107</v>
      </c>
    </row>
    <row r="79" spans="1:13" x14ac:dyDescent="0.25">
      <c r="A79" s="1" t="s">
        <v>275</v>
      </c>
      <c r="B79" s="1" t="s">
        <v>80</v>
      </c>
      <c r="C79" s="1" t="s">
        <v>276</v>
      </c>
      <c r="D79" s="1" t="s">
        <v>25</v>
      </c>
      <c r="E79" s="1" t="s">
        <v>17</v>
      </c>
      <c r="F79" s="1" t="s">
        <v>40</v>
      </c>
      <c r="G79">
        <v>384150</v>
      </c>
      <c r="H79" s="1" t="s">
        <v>277</v>
      </c>
      <c r="I79" s="2">
        <v>45583</v>
      </c>
      <c r="J79">
        <v>149</v>
      </c>
      <c r="K79">
        <v>13.1</v>
      </c>
      <c r="L79" s="1" t="s">
        <v>49</v>
      </c>
      <c r="M79" s="1" t="s">
        <v>107</v>
      </c>
    </row>
    <row r="80" spans="1:13" x14ac:dyDescent="0.25">
      <c r="A80" s="1" t="s">
        <v>278</v>
      </c>
      <c r="B80" s="1" t="s">
        <v>75</v>
      </c>
      <c r="C80" s="1" t="s">
        <v>279</v>
      </c>
      <c r="D80" s="1" t="s">
        <v>16</v>
      </c>
      <c r="E80" s="1" t="s">
        <v>17</v>
      </c>
      <c r="F80" s="1" t="s">
        <v>129</v>
      </c>
      <c r="G80">
        <v>354315</v>
      </c>
      <c r="H80" s="1" t="s">
        <v>280</v>
      </c>
      <c r="I80" s="2"/>
      <c r="K80">
        <v>10.3</v>
      </c>
      <c r="L80" s="1" t="s">
        <v>49</v>
      </c>
      <c r="M80" s="1" t="s">
        <v>35</v>
      </c>
    </row>
    <row r="81" spans="1:13" x14ac:dyDescent="0.25">
      <c r="A81" s="1" t="s">
        <v>281</v>
      </c>
      <c r="B81" s="1" t="s">
        <v>80</v>
      </c>
      <c r="C81" s="1" t="s">
        <v>227</v>
      </c>
      <c r="D81" s="1" t="s">
        <v>25</v>
      </c>
      <c r="E81" s="1" t="s">
        <v>61</v>
      </c>
      <c r="F81" s="1" t="s">
        <v>40</v>
      </c>
      <c r="G81">
        <v>124965</v>
      </c>
      <c r="H81" s="1" t="s">
        <v>282</v>
      </c>
      <c r="I81" s="2">
        <v>45273</v>
      </c>
      <c r="J81">
        <v>60</v>
      </c>
      <c r="K81">
        <v>0.4</v>
      </c>
      <c r="L81" s="1" t="s">
        <v>96</v>
      </c>
      <c r="M81" s="1" t="s">
        <v>21</v>
      </c>
    </row>
    <row r="82" spans="1:13" x14ac:dyDescent="0.25">
      <c r="A82" s="1" t="s">
        <v>283</v>
      </c>
      <c r="B82" s="1" t="s">
        <v>59</v>
      </c>
      <c r="C82" s="1" t="s">
        <v>284</v>
      </c>
      <c r="D82" s="1" t="s">
        <v>39</v>
      </c>
      <c r="E82" s="1" t="s">
        <v>77</v>
      </c>
      <c r="F82" s="1" t="s">
        <v>18</v>
      </c>
      <c r="G82">
        <v>410731</v>
      </c>
      <c r="H82" s="1" t="s">
        <v>285</v>
      </c>
      <c r="I82" s="2">
        <v>45082</v>
      </c>
      <c r="J82">
        <v>93</v>
      </c>
      <c r="K82">
        <v>4.7</v>
      </c>
      <c r="L82" s="1" t="s">
        <v>29</v>
      </c>
      <c r="M82" s="1" t="s">
        <v>35</v>
      </c>
    </row>
    <row r="83" spans="1:13" x14ac:dyDescent="0.25">
      <c r="A83" s="1" t="s">
        <v>286</v>
      </c>
      <c r="B83" s="1" t="s">
        <v>59</v>
      </c>
      <c r="C83" s="1" t="s">
        <v>287</v>
      </c>
      <c r="D83" s="1" t="s">
        <v>25</v>
      </c>
      <c r="E83" s="1" t="s">
        <v>47</v>
      </c>
      <c r="F83" s="1" t="s">
        <v>18</v>
      </c>
      <c r="G83">
        <v>272141</v>
      </c>
      <c r="H83" s="1" t="s">
        <v>288</v>
      </c>
      <c r="I83" s="2">
        <v>45038</v>
      </c>
      <c r="J83">
        <v>80</v>
      </c>
      <c r="K83">
        <v>12.9</v>
      </c>
      <c r="L83" s="1" t="s">
        <v>96</v>
      </c>
      <c r="M83" s="1" t="s">
        <v>35</v>
      </c>
    </row>
    <row r="84" spans="1:13" x14ac:dyDescent="0.25">
      <c r="A84" s="1" t="s">
        <v>289</v>
      </c>
      <c r="B84" s="1" t="s">
        <v>75</v>
      </c>
      <c r="C84" s="1" t="s">
        <v>189</v>
      </c>
      <c r="D84" s="1" t="s">
        <v>25</v>
      </c>
      <c r="E84" s="1" t="s">
        <v>72</v>
      </c>
      <c r="F84" s="1" t="s">
        <v>27</v>
      </c>
      <c r="G84">
        <v>400965</v>
      </c>
      <c r="H84" s="1" t="s">
        <v>290</v>
      </c>
      <c r="I84" s="2"/>
      <c r="K84">
        <v>10.4</v>
      </c>
      <c r="L84" s="1" t="s">
        <v>20</v>
      </c>
      <c r="M84" s="1" t="s">
        <v>69</v>
      </c>
    </row>
    <row r="85" spans="1:13" x14ac:dyDescent="0.25">
      <c r="A85" s="1" t="s">
        <v>291</v>
      </c>
      <c r="B85" s="1" t="s">
        <v>44</v>
      </c>
      <c r="C85" s="1" t="s">
        <v>292</v>
      </c>
      <c r="D85" s="1" t="s">
        <v>67</v>
      </c>
      <c r="E85" s="1" t="s">
        <v>26</v>
      </c>
      <c r="F85" s="1" t="s">
        <v>129</v>
      </c>
      <c r="G85">
        <v>217920</v>
      </c>
      <c r="H85" s="1" t="s">
        <v>293</v>
      </c>
      <c r="I85" s="2"/>
      <c r="L85" s="1" t="s">
        <v>20</v>
      </c>
      <c r="M85" s="1" t="s">
        <v>42</v>
      </c>
    </row>
    <row r="86" spans="1:13" x14ac:dyDescent="0.25">
      <c r="A86" s="1" t="s">
        <v>294</v>
      </c>
      <c r="B86" s="1" t="s">
        <v>84</v>
      </c>
      <c r="C86" s="1" t="s">
        <v>295</v>
      </c>
      <c r="D86" s="1" t="s">
        <v>46</v>
      </c>
      <c r="E86" s="1" t="s">
        <v>94</v>
      </c>
      <c r="F86" s="1" t="s">
        <v>18</v>
      </c>
      <c r="G86">
        <v>478494</v>
      </c>
      <c r="H86" s="1" t="s">
        <v>296</v>
      </c>
      <c r="I86" s="2">
        <v>45668</v>
      </c>
      <c r="J86">
        <v>123</v>
      </c>
      <c r="K86">
        <v>6.8</v>
      </c>
      <c r="L86" s="1" t="s">
        <v>20</v>
      </c>
      <c r="M86" s="1" t="s">
        <v>149</v>
      </c>
    </row>
    <row r="87" spans="1:13" x14ac:dyDescent="0.25">
      <c r="A87" s="1" t="s">
        <v>297</v>
      </c>
      <c r="B87" s="1" t="s">
        <v>37</v>
      </c>
      <c r="C87" s="1" t="s">
        <v>298</v>
      </c>
      <c r="D87" s="1" t="s">
        <v>39</v>
      </c>
      <c r="E87" s="1" t="s">
        <v>77</v>
      </c>
      <c r="F87" s="1" t="s">
        <v>33</v>
      </c>
      <c r="G87">
        <v>366026</v>
      </c>
      <c r="H87" s="1" t="s">
        <v>48</v>
      </c>
      <c r="I87" s="2"/>
      <c r="K87">
        <v>5.9</v>
      </c>
      <c r="L87" s="1" t="s">
        <v>49</v>
      </c>
      <c r="M87" s="1" t="s">
        <v>21</v>
      </c>
    </row>
    <row r="88" spans="1:13" x14ac:dyDescent="0.25">
      <c r="A88" s="1" t="s">
        <v>299</v>
      </c>
      <c r="B88" s="1" t="s">
        <v>23</v>
      </c>
      <c r="C88" s="1" t="s">
        <v>300</v>
      </c>
      <c r="D88" s="1" t="s">
        <v>25</v>
      </c>
      <c r="E88" s="1" t="s">
        <v>47</v>
      </c>
      <c r="F88" s="1" t="s">
        <v>40</v>
      </c>
      <c r="G88">
        <v>210971</v>
      </c>
      <c r="H88" s="1" t="s">
        <v>301</v>
      </c>
      <c r="I88" s="2">
        <v>45562</v>
      </c>
      <c r="J88">
        <v>59</v>
      </c>
      <c r="K88">
        <v>19.3</v>
      </c>
      <c r="L88" s="1" t="s">
        <v>20</v>
      </c>
      <c r="M88" s="1" t="s">
        <v>149</v>
      </c>
    </row>
    <row r="89" spans="1:13" x14ac:dyDescent="0.25">
      <c r="A89" s="1" t="s">
        <v>302</v>
      </c>
      <c r="B89" s="1" t="s">
        <v>23</v>
      </c>
      <c r="C89" s="1" t="s">
        <v>303</v>
      </c>
      <c r="D89" s="1" t="s">
        <v>39</v>
      </c>
      <c r="E89" s="1" t="s">
        <v>77</v>
      </c>
      <c r="F89" s="1" t="s">
        <v>53</v>
      </c>
      <c r="G89">
        <v>392720</v>
      </c>
      <c r="H89" s="1" t="s">
        <v>304</v>
      </c>
      <c r="I89" s="2"/>
      <c r="K89">
        <v>5.8</v>
      </c>
      <c r="L89" s="1" t="s">
        <v>29</v>
      </c>
      <c r="M89" s="1" t="s">
        <v>107</v>
      </c>
    </row>
    <row r="90" spans="1:13" x14ac:dyDescent="0.25">
      <c r="A90" s="1" t="s">
        <v>305</v>
      </c>
      <c r="B90" s="1" t="s">
        <v>104</v>
      </c>
      <c r="C90" s="1" t="s">
        <v>110</v>
      </c>
      <c r="D90" s="1" t="s">
        <v>39</v>
      </c>
      <c r="E90" s="1" t="s">
        <v>72</v>
      </c>
      <c r="F90" s="1" t="s">
        <v>129</v>
      </c>
      <c r="G90">
        <v>268444</v>
      </c>
      <c r="H90" s="1" t="s">
        <v>306</v>
      </c>
      <c r="I90" s="2"/>
      <c r="L90" s="1" t="s">
        <v>49</v>
      </c>
      <c r="M90" s="1" t="s">
        <v>107</v>
      </c>
    </row>
    <row r="91" spans="1:13" x14ac:dyDescent="0.25">
      <c r="A91" s="1" t="s">
        <v>307</v>
      </c>
      <c r="B91" s="1" t="s">
        <v>80</v>
      </c>
      <c r="C91" s="1" t="s">
        <v>308</v>
      </c>
      <c r="D91" s="1" t="s">
        <v>67</v>
      </c>
      <c r="E91" s="1" t="s">
        <v>61</v>
      </c>
      <c r="F91" s="1" t="s">
        <v>53</v>
      </c>
      <c r="G91">
        <v>202104</v>
      </c>
      <c r="H91" s="1" t="s">
        <v>309</v>
      </c>
      <c r="I91" s="2"/>
      <c r="K91">
        <v>8.8000000000000007</v>
      </c>
      <c r="L91" s="1" t="s">
        <v>49</v>
      </c>
      <c r="M91" s="1" t="s">
        <v>63</v>
      </c>
    </row>
    <row r="92" spans="1:13" x14ac:dyDescent="0.25">
      <c r="A92" s="1" t="s">
        <v>310</v>
      </c>
      <c r="B92" s="1" t="s">
        <v>127</v>
      </c>
      <c r="C92" s="1" t="s">
        <v>267</v>
      </c>
      <c r="D92" s="1" t="s">
        <v>25</v>
      </c>
      <c r="E92" s="1" t="s">
        <v>17</v>
      </c>
      <c r="F92" s="1" t="s">
        <v>53</v>
      </c>
      <c r="G92">
        <v>367272</v>
      </c>
      <c r="H92" s="1" t="s">
        <v>311</v>
      </c>
      <c r="I92" s="2"/>
      <c r="K92">
        <v>5</v>
      </c>
      <c r="L92" s="1" t="s">
        <v>96</v>
      </c>
      <c r="M92" s="1" t="s">
        <v>102</v>
      </c>
    </row>
    <row r="93" spans="1:13" x14ac:dyDescent="0.25">
      <c r="A93" s="1" t="s">
        <v>312</v>
      </c>
      <c r="B93" s="1" t="s">
        <v>173</v>
      </c>
      <c r="C93" s="1" t="s">
        <v>313</v>
      </c>
      <c r="D93" s="1" t="s">
        <v>25</v>
      </c>
      <c r="E93" s="1" t="s">
        <v>26</v>
      </c>
      <c r="F93" s="1" t="s">
        <v>18</v>
      </c>
      <c r="G93">
        <v>199001</v>
      </c>
      <c r="H93" s="1" t="s">
        <v>314</v>
      </c>
      <c r="I93" s="2">
        <v>45483</v>
      </c>
      <c r="J93">
        <v>109</v>
      </c>
      <c r="L93" s="1" t="s">
        <v>20</v>
      </c>
      <c r="M93" s="1" t="s">
        <v>69</v>
      </c>
    </row>
    <row r="94" spans="1:13" x14ac:dyDescent="0.25">
      <c r="A94" s="1" t="s">
        <v>315</v>
      </c>
      <c r="B94" s="1" t="s">
        <v>44</v>
      </c>
      <c r="C94" s="1" t="s">
        <v>316</v>
      </c>
      <c r="D94" s="1" t="s">
        <v>90</v>
      </c>
      <c r="E94" s="1" t="s">
        <v>47</v>
      </c>
      <c r="F94" s="1" t="s">
        <v>53</v>
      </c>
      <c r="G94">
        <v>321550</v>
      </c>
      <c r="H94" s="1" t="s">
        <v>232</v>
      </c>
      <c r="I94" s="2"/>
      <c r="L94" s="1" t="s">
        <v>49</v>
      </c>
      <c r="M94" s="1" t="s">
        <v>102</v>
      </c>
    </row>
    <row r="95" spans="1:13" x14ac:dyDescent="0.25">
      <c r="A95" s="1" t="s">
        <v>317</v>
      </c>
      <c r="B95" s="1" t="s">
        <v>75</v>
      </c>
      <c r="C95" s="1" t="s">
        <v>318</v>
      </c>
      <c r="D95" s="1" t="s">
        <v>16</v>
      </c>
      <c r="E95" s="1" t="s">
        <v>17</v>
      </c>
      <c r="F95" s="1" t="s">
        <v>129</v>
      </c>
      <c r="G95">
        <v>376342</v>
      </c>
      <c r="H95" s="1" t="s">
        <v>319</v>
      </c>
      <c r="I95" s="2"/>
      <c r="K95">
        <v>1.9</v>
      </c>
      <c r="L95" s="1" t="s">
        <v>49</v>
      </c>
      <c r="M95" s="1" t="s">
        <v>69</v>
      </c>
    </row>
    <row r="96" spans="1:13" x14ac:dyDescent="0.25">
      <c r="A96" s="1" t="s">
        <v>320</v>
      </c>
      <c r="B96" s="1" t="s">
        <v>14</v>
      </c>
      <c r="C96" s="1" t="s">
        <v>321</v>
      </c>
      <c r="D96" s="1" t="s">
        <v>90</v>
      </c>
      <c r="E96" s="1" t="s">
        <v>17</v>
      </c>
      <c r="F96" s="1" t="s">
        <v>18</v>
      </c>
      <c r="G96">
        <v>119352</v>
      </c>
      <c r="H96" s="1" t="s">
        <v>78</v>
      </c>
      <c r="I96" s="2">
        <v>45410</v>
      </c>
      <c r="J96">
        <v>64</v>
      </c>
      <c r="K96">
        <v>5.9</v>
      </c>
      <c r="L96" s="1" t="s">
        <v>29</v>
      </c>
      <c r="M96" s="1" t="s">
        <v>69</v>
      </c>
    </row>
    <row r="97" spans="1:13" x14ac:dyDescent="0.25">
      <c r="A97" s="1" t="s">
        <v>322</v>
      </c>
      <c r="B97" s="1" t="s">
        <v>59</v>
      </c>
      <c r="C97" s="1" t="s">
        <v>81</v>
      </c>
      <c r="D97" s="1" t="s">
        <v>90</v>
      </c>
      <c r="E97" s="1" t="s">
        <v>72</v>
      </c>
      <c r="F97" s="1" t="s">
        <v>27</v>
      </c>
      <c r="G97">
        <v>313108</v>
      </c>
      <c r="H97" s="1" t="s">
        <v>323</v>
      </c>
      <c r="I97" s="2"/>
      <c r="L97" s="1" t="s">
        <v>49</v>
      </c>
      <c r="M97" s="1" t="s">
        <v>107</v>
      </c>
    </row>
    <row r="98" spans="1:13" x14ac:dyDescent="0.25">
      <c r="A98" s="1" t="s">
        <v>324</v>
      </c>
      <c r="B98" s="1" t="s">
        <v>75</v>
      </c>
      <c r="C98" s="1" t="s">
        <v>325</v>
      </c>
      <c r="D98" s="1" t="s">
        <v>46</v>
      </c>
      <c r="E98" s="1" t="s">
        <v>100</v>
      </c>
      <c r="F98" s="1" t="s">
        <v>129</v>
      </c>
      <c r="G98">
        <v>254116</v>
      </c>
      <c r="H98" s="1" t="s">
        <v>326</v>
      </c>
      <c r="I98" s="2"/>
      <c r="K98">
        <v>11</v>
      </c>
      <c r="L98" s="1" t="s">
        <v>20</v>
      </c>
      <c r="M98" s="1" t="s">
        <v>63</v>
      </c>
    </row>
    <row r="99" spans="1:13" x14ac:dyDescent="0.25">
      <c r="A99" s="1" t="s">
        <v>327</v>
      </c>
      <c r="B99" s="1" t="s">
        <v>84</v>
      </c>
      <c r="C99" s="1" t="s">
        <v>328</v>
      </c>
      <c r="D99" s="1" t="s">
        <v>67</v>
      </c>
      <c r="E99" s="1" t="s">
        <v>72</v>
      </c>
      <c r="F99" s="1" t="s">
        <v>129</v>
      </c>
      <c r="G99">
        <v>336032</v>
      </c>
      <c r="H99" s="1" t="s">
        <v>329</v>
      </c>
      <c r="I99" s="2"/>
      <c r="K99">
        <v>4.5999999999999996</v>
      </c>
      <c r="L99" s="1" t="s">
        <v>96</v>
      </c>
      <c r="M99" s="1" t="s">
        <v>102</v>
      </c>
    </row>
    <row r="100" spans="1:13" x14ac:dyDescent="0.25">
      <c r="A100" s="1" t="s">
        <v>330</v>
      </c>
      <c r="B100" s="1" t="s">
        <v>127</v>
      </c>
      <c r="C100" s="1" t="s">
        <v>331</v>
      </c>
      <c r="D100" s="1" t="s">
        <v>90</v>
      </c>
      <c r="E100" s="1" t="s">
        <v>61</v>
      </c>
      <c r="F100" s="1" t="s">
        <v>40</v>
      </c>
      <c r="G100">
        <v>345065</v>
      </c>
      <c r="H100" s="1" t="s">
        <v>332</v>
      </c>
      <c r="I100" s="2">
        <v>45267</v>
      </c>
      <c r="J100">
        <v>73</v>
      </c>
      <c r="K100">
        <v>2.5</v>
      </c>
      <c r="L100" s="1" t="s">
        <v>20</v>
      </c>
      <c r="M100" s="1" t="s">
        <v>102</v>
      </c>
    </row>
    <row r="101" spans="1:13" x14ac:dyDescent="0.25">
      <c r="A101" s="1" t="s">
        <v>333</v>
      </c>
      <c r="B101" s="1" t="s">
        <v>37</v>
      </c>
      <c r="C101" s="1" t="s">
        <v>334</v>
      </c>
      <c r="D101" s="1" t="s">
        <v>39</v>
      </c>
      <c r="E101" s="1" t="s">
        <v>47</v>
      </c>
      <c r="F101" s="1" t="s">
        <v>18</v>
      </c>
      <c r="G101">
        <v>217798</v>
      </c>
      <c r="H101" s="1" t="s">
        <v>335</v>
      </c>
      <c r="I101" s="2">
        <v>45467</v>
      </c>
      <c r="J101">
        <v>125</v>
      </c>
      <c r="K101">
        <v>4.3</v>
      </c>
      <c r="L101" s="1" t="s">
        <v>29</v>
      </c>
      <c r="M101" s="1" t="s">
        <v>69</v>
      </c>
    </row>
    <row r="102" spans="1:13" x14ac:dyDescent="0.25">
      <c r="A102" s="1" t="s">
        <v>336</v>
      </c>
      <c r="B102" s="1" t="s">
        <v>80</v>
      </c>
      <c r="C102" s="1" t="s">
        <v>141</v>
      </c>
      <c r="D102" s="1" t="s">
        <v>39</v>
      </c>
      <c r="E102" s="1" t="s">
        <v>72</v>
      </c>
      <c r="F102" s="1" t="s">
        <v>129</v>
      </c>
      <c r="G102">
        <v>327452</v>
      </c>
      <c r="H102" s="1" t="s">
        <v>337</v>
      </c>
      <c r="I102" s="2"/>
      <c r="K102">
        <v>14.1</v>
      </c>
      <c r="L102" s="1" t="s">
        <v>96</v>
      </c>
      <c r="M102" s="1" t="s">
        <v>42</v>
      </c>
    </row>
    <row r="103" spans="1:13" x14ac:dyDescent="0.25">
      <c r="A103" s="1" t="s">
        <v>338</v>
      </c>
      <c r="B103" s="1" t="s">
        <v>80</v>
      </c>
      <c r="C103" s="1" t="s">
        <v>339</v>
      </c>
      <c r="D103" s="1" t="s">
        <v>39</v>
      </c>
      <c r="E103" s="1" t="s">
        <v>26</v>
      </c>
      <c r="F103" s="1" t="s">
        <v>53</v>
      </c>
      <c r="G103">
        <v>102177</v>
      </c>
      <c r="H103" s="1" t="s">
        <v>190</v>
      </c>
      <c r="I103" s="2"/>
      <c r="K103">
        <v>2.7</v>
      </c>
      <c r="L103" s="1" t="s">
        <v>20</v>
      </c>
      <c r="M103" s="1" t="s">
        <v>69</v>
      </c>
    </row>
    <row r="104" spans="1:13" x14ac:dyDescent="0.25">
      <c r="A104" s="1" t="s">
        <v>340</v>
      </c>
      <c r="B104" s="1" t="s">
        <v>127</v>
      </c>
      <c r="C104" s="1" t="s">
        <v>205</v>
      </c>
      <c r="D104" s="1" t="s">
        <v>90</v>
      </c>
      <c r="E104" s="1" t="s">
        <v>26</v>
      </c>
      <c r="F104" s="1" t="s">
        <v>33</v>
      </c>
      <c r="G104">
        <v>36694</v>
      </c>
      <c r="H104" s="1" t="s">
        <v>341</v>
      </c>
      <c r="I104" s="2"/>
      <c r="K104">
        <v>1.8</v>
      </c>
      <c r="L104" s="1" t="s">
        <v>20</v>
      </c>
      <c r="M104" s="1" t="s">
        <v>149</v>
      </c>
    </row>
    <row r="105" spans="1:13" x14ac:dyDescent="0.25">
      <c r="A105" s="1" t="s">
        <v>342</v>
      </c>
      <c r="B105" s="1" t="s">
        <v>109</v>
      </c>
      <c r="C105" s="1" t="s">
        <v>343</v>
      </c>
      <c r="D105" s="1" t="s">
        <v>16</v>
      </c>
      <c r="E105" s="1" t="s">
        <v>26</v>
      </c>
      <c r="F105" s="1" t="s">
        <v>53</v>
      </c>
      <c r="G105">
        <v>406655</v>
      </c>
      <c r="H105" s="1" t="s">
        <v>344</v>
      </c>
      <c r="I105" s="2"/>
      <c r="K105">
        <v>6.7</v>
      </c>
      <c r="L105" s="1" t="s">
        <v>96</v>
      </c>
      <c r="M105" s="1" t="s">
        <v>30</v>
      </c>
    </row>
    <row r="106" spans="1:13" x14ac:dyDescent="0.25">
      <c r="A106" s="1" t="s">
        <v>345</v>
      </c>
      <c r="B106" s="1" t="s">
        <v>65</v>
      </c>
      <c r="C106" s="1" t="s">
        <v>346</v>
      </c>
      <c r="D106" s="1" t="s">
        <v>67</v>
      </c>
      <c r="E106" s="1" t="s">
        <v>100</v>
      </c>
      <c r="F106" s="1" t="s">
        <v>27</v>
      </c>
      <c r="G106">
        <v>344033</v>
      </c>
      <c r="H106" s="1" t="s">
        <v>347</v>
      </c>
      <c r="I106" s="2"/>
      <c r="K106">
        <v>5.7</v>
      </c>
      <c r="L106" s="1" t="s">
        <v>49</v>
      </c>
      <c r="M106" s="1" t="s">
        <v>69</v>
      </c>
    </row>
    <row r="107" spans="1:13" x14ac:dyDescent="0.25">
      <c r="A107" s="1" t="s">
        <v>348</v>
      </c>
      <c r="B107" s="1" t="s">
        <v>59</v>
      </c>
      <c r="C107" s="1" t="s">
        <v>349</v>
      </c>
      <c r="D107" s="1" t="s">
        <v>46</v>
      </c>
      <c r="E107" s="1" t="s">
        <v>100</v>
      </c>
      <c r="F107" s="1" t="s">
        <v>40</v>
      </c>
      <c r="G107">
        <v>431698</v>
      </c>
      <c r="H107" s="1" t="s">
        <v>350</v>
      </c>
      <c r="I107" s="2">
        <v>45364</v>
      </c>
      <c r="J107">
        <v>85</v>
      </c>
      <c r="K107">
        <v>8.6999999999999993</v>
      </c>
      <c r="L107" s="1" t="s">
        <v>96</v>
      </c>
      <c r="M107" s="1" t="s">
        <v>21</v>
      </c>
    </row>
    <row r="108" spans="1:13" x14ac:dyDescent="0.25">
      <c r="A108" s="1" t="s">
        <v>351</v>
      </c>
      <c r="B108" s="1" t="s">
        <v>75</v>
      </c>
      <c r="C108" s="1" t="s">
        <v>352</v>
      </c>
      <c r="D108" s="1" t="s">
        <v>39</v>
      </c>
      <c r="E108" s="1" t="s">
        <v>94</v>
      </c>
      <c r="F108" s="1" t="s">
        <v>33</v>
      </c>
      <c r="G108">
        <v>131729</v>
      </c>
      <c r="H108" s="1" t="s">
        <v>353</v>
      </c>
      <c r="I108" s="2"/>
      <c r="K108">
        <v>6.1</v>
      </c>
      <c r="L108" s="1" t="s">
        <v>29</v>
      </c>
      <c r="M108" s="1" t="s">
        <v>35</v>
      </c>
    </row>
    <row r="109" spans="1:13" x14ac:dyDescent="0.25">
      <c r="A109" s="1" t="s">
        <v>354</v>
      </c>
      <c r="B109" s="1" t="s">
        <v>14</v>
      </c>
      <c r="C109" s="1" t="s">
        <v>355</v>
      </c>
      <c r="D109" s="1" t="s">
        <v>90</v>
      </c>
      <c r="E109" s="1" t="s">
        <v>72</v>
      </c>
      <c r="F109" s="1" t="s">
        <v>27</v>
      </c>
      <c r="G109">
        <v>192170</v>
      </c>
      <c r="H109" s="1" t="s">
        <v>356</v>
      </c>
      <c r="I109" s="2"/>
      <c r="K109">
        <v>4.9000000000000004</v>
      </c>
      <c r="L109" s="1" t="s">
        <v>49</v>
      </c>
      <c r="M109" s="1" t="s">
        <v>69</v>
      </c>
    </row>
    <row r="110" spans="1:13" x14ac:dyDescent="0.25">
      <c r="A110" s="1" t="s">
        <v>357</v>
      </c>
      <c r="B110" s="1" t="s">
        <v>84</v>
      </c>
      <c r="C110" s="1" t="s">
        <v>358</v>
      </c>
      <c r="D110" s="1" t="s">
        <v>16</v>
      </c>
      <c r="E110" s="1" t="s">
        <v>72</v>
      </c>
      <c r="F110" s="1" t="s">
        <v>129</v>
      </c>
      <c r="G110">
        <v>482743</v>
      </c>
      <c r="H110" s="1" t="s">
        <v>359</v>
      </c>
      <c r="I110" s="2"/>
      <c r="L110" s="1" t="s">
        <v>29</v>
      </c>
      <c r="M110" s="1" t="s">
        <v>149</v>
      </c>
    </row>
    <row r="111" spans="1:13" x14ac:dyDescent="0.25">
      <c r="A111" s="1" t="s">
        <v>360</v>
      </c>
      <c r="B111" s="1" t="s">
        <v>59</v>
      </c>
      <c r="C111" s="1" t="s">
        <v>361</v>
      </c>
      <c r="D111" s="1" t="s">
        <v>67</v>
      </c>
      <c r="E111" s="1" t="s">
        <v>77</v>
      </c>
      <c r="F111" s="1" t="s">
        <v>53</v>
      </c>
      <c r="G111">
        <v>169868</v>
      </c>
      <c r="H111" s="1" t="s">
        <v>362</v>
      </c>
      <c r="I111" s="2"/>
      <c r="L111" s="1" t="s">
        <v>29</v>
      </c>
      <c r="M111" s="1" t="s">
        <v>21</v>
      </c>
    </row>
    <row r="112" spans="1:13" x14ac:dyDescent="0.25">
      <c r="A112" s="1" t="s">
        <v>363</v>
      </c>
      <c r="B112" s="1" t="s">
        <v>109</v>
      </c>
      <c r="C112" s="1" t="s">
        <v>364</v>
      </c>
      <c r="D112" s="1" t="s">
        <v>25</v>
      </c>
      <c r="E112" s="1" t="s">
        <v>17</v>
      </c>
      <c r="F112" s="1" t="s">
        <v>27</v>
      </c>
      <c r="G112">
        <v>384629</v>
      </c>
      <c r="H112" s="1" t="s">
        <v>365</v>
      </c>
      <c r="I112" s="2"/>
      <c r="K112">
        <v>0.2</v>
      </c>
      <c r="L112" s="1" t="s">
        <v>49</v>
      </c>
      <c r="M112" s="1" t="s">
        <v>102</v>
      </c>
    </row>
    <row r="113" spans="1:13" x14ac:dyDescent="0.25">
      <c r="A113" s="1" t="s">
        <v>366</v>
      </c>
      <c r="B113" s="1" t="s">
        <v>23</v>
      </c>
      <c r="C113" s="1" t="s">
        <v>135</v>
      </c>
      <c r="D113" s="1" t="s">
        <v>46</v>
      </c>
      <c r="E113" s="1" t="s">
        <v>26</v>
      </c>
      <c r="F113" s="1" t="s">
        <v>40</v>
      </c>
      <c r="G113">
        <v>219479</v>
      </c>
      <c r="H113" s="1" t="s">
        <v>367</v>
      </c>
      <c r="I113" s="2">
        <v>45007</v>
      </c>
      <c r="J113">
        <v>77</v>
      </c>
      <c r="K113">
        <v>14.9</v>
      </c>
      <c r="L113" s="1" t="s">
        <v>96</v>
      </c>
      <c r="M113" s="1" t="s">
        <v>35</v>
      </c>
    </row>
    <row r="114" spans="1:13" x14ac:dyDescent="0.25">
      <c r="A114" s="1" t="s">
        <v>167</v>
      </c>
      <c r="B114" s="1" t="s">
        <v>14</v>
      </c>
      <c r="C114" s="1" t="s">
        <v>168</v>
      </c>
      <c r="D114" s="1" t="s">
        <v>25</v>
      </c>
      <c r="E114" s="1" t="s">
        <v>77</v>
      </c>
      <c r="F114" s="1" t="s">
        <v>53</v>
      </c>
      <c r="G114">
        <v>128284</v>
      </c>
      <c r="H114" s="1" t="s">
        <v>169</v>
      </c>
      <c r="I114" s="2"/>
      <c r="K114">
        <v>1.5</v>
      </c>
      <c r="L114" s="1" t="s">
        <v>29</v>
      </c>
      <c r="M114" s="1" t="s">
        <v>30</v>
      </c>
    </row>
    <row r="115" spans="1:13" x14ac:dyDescent="0.25">
      <c r="A115" s="1" t="s">
        <v>368</v>
      </c>
      <c r="B115" s="1" t="s">
        <v>88</v>
      </c>
      <c r="C115" s="1" t="s">
        <v>177</v>
      </c>
      <c r="D115" s="1" t="s">
        <v>67</v>
      </c>
      <c r="E115" s="1" t="s">
        <v>94</v>
      </c>
      <c r="F115" s="1" t="s">
        <v>40</v>
      </c>
      <c r="G115">
        <v>94909</v>
      </c>
      <c r="H115" s="1" t="s">
        <v>369</v>
      </c>
      <c r="I115" s="2">
        <v>45499</v>
      </c>
      <c r="J115">
        <v>105</v>
      </c>
      <c r="K115">
        <v>21.5</v>
      </c>
      <c r="L115" s="1" t="s">
        <v>96</v>
      </c>
      <c r="M115" s="1" t="s">
        <v>107</v>
      </c>
    </row>
    <row r="116" spans="1:13" x14ac:dyDescent="0.25">
      <c r="A116" s="1" t="s">
        <v>370</v>
      </c>
      <c r="B116" s="1" t="s">
        <v>14</v>
      </c>
      <c r="C116" s="1" t="s">
        <v>81</v>
      </c>
      <c r="D116" s="1" t="s">
        <v>67</v>
      </c>
      <c r="E116" s="1" t="s">
        <v>61</v>
      </c>
      <c r="F116" s="1" t="s">
        <v>18</v>
      </c>
      <c r="G116">
        <v>251930</v>
      </c>
      <c r="H116" s="1" t="s">
        <v>209</v>
      </c>
      <c r="I116" s="2">
        <v>45216</v>
      </c>
      <c r="J116">
        <v>25</v>
      </c>
      <c r="L116" s="1" t="s">
        <v>49</v>
      </c>
      <c r="M116" s="1" t="s">
        <v>102</v>
      </c>
    </row>
    <row r="117" spans="1:13" x14ac:dyDescent="0.25">
      <c r="A117" s="1" t="s">
        <v>371</v>
      </c>
      <c r="B117" s="1" t="s">
        <v>65</v>
      </c>
      <c r="C117" s="1" t="s">
        <v>372</v>
      </c>
      <c r="D117" s="1" t="s">
        <v>16</v>
      </c>
      <c r="E117" s="1" t="s">
        <v>94</v>
      </c>
      <c r="F117" s="1" t="s">
        <v>53</v>
      </c>
      <c r="G117">
        <v>172311</v>
      </c>
      <c r="H117" s="1" t="s">
        <v>373</v>
      </c>
      <c r="I117" s="2"/>
      <c r="K117">
        <v>1.2</v>
      </c>
      <c r="L117" s="1" t="s">
        <v>20</v>
      </c>
      <c r="M117" s="1" t="s">
        <v>102</v>
      </c>
    </row>
    <row r="118" spans="1:13" x14ac:dyDescent="0.25">
      <c r="A118" s="1" t="s">
        <v>374</v>
      </c>
      <c r="B118" s="1" t="s">
        <v>109</v>
      </c>
      <c r="C118" s="1" t="s">
        <v>300</v>
      </c>
      <c r="D118" s="1" t="s">
        <v>67</v>
      </c>
      <c r="E118" s="1" t="s">
        <v>61</v>
      </c>
      <c r="F118" s="1" t="s">
        <v>40</v>
      </c>
      <c r="G118">
        <v>423559</v>
      </c>
      <c r="H118" s="1" t="s">
        <v>375</v>
      </c>
      <c r="I118" s="2">
        <v>45342</v>
      </c>
      <c r="J118">
        <v>156</v>
      </c>
      <c r="K118">
        <v>16</v>
      </c>
      <c r="L118" s="1" t="s">
        <v>49</v>
      </c>
      <c r="M118" s="1" t="s">
        <v>102</v>
      </c>
    </row>
    <row r="119" spans="1:13" x14ac:dyDescent="0.25">
      <c r="A119" s="1" t="s">
        <v>376</v>
      </c>
      <c r="B119" s="1" t="s">
        <v>80</v>
      </c>
      <c r="C119" s="1" t="s">
        <v>237</v>
      </c>
      <c r="D119" s="1" t="s">
        <v>46</v>
      </c>
      <c r="E119" s="1" t="s">
        <v>26</v>
      </c>
      <c r="F119" s="1" t="s">
        <v>40</v>
      </c>
      <c r="G119">
        <v>310036</v>
      </c>
      <c r="H119" s="1" t="s">
        <v>377</v>
      </c>
      <c r="I119" s="2">
        <v>45327</v>
      </c>
      <c r="J119">
        <v>166</v>
      </c>
      <c r="K119">
        <v>20.3</v>
      </c>
      <c r="L119" s="1" t="s">
        <v>29</v>
      </c>
      <c r="M119" s="1" t="s">
        <v>102</v>
      </c>
    </row>
    <row r="120" spans="1:13" x14ac:dyDescent="0.25">
      <c r="A120" s="1" t="s">
        <v>378</v>
      </c>
      <c r="B120" s="1" t="s">
        <v>44</v>
      </c>
      <c r="C120" s="1" t="s">
        <v>346</v>
      </c>
      <c r="D120" s="1" t="s">
        <v>25</v>
      </c>
      <c r="E120" s="1" t="s">
        <v>47</v>
      </c>
      <c r="F120" s="1" t="s">
        <v>40</v>
      </c>
      <c r="G120">
        <v>333247</v>
      </c>
      <c r="H120" s="1" t="s">
        <v>379</v>
      </c>
      <c r="I120" s="2">
        <v>45009</v>
      </c>
      <c r="J120">
        <v>58</v>
      </c>
      <c r="K120">
        <v>16.5</v>
      </c>
      <c r="L120" s="1" t="s">
        <v>49</v>
      </c>
      <c r="M120" s="1" t="s">
        <v>35</v>
      </c>
    </row>
    <row r="121" spans="1:13" x14ac:dyDescent="0.25">
      <c r="A121" s="1" t="s">
        <v>380</v>
      </c>
      <c r="B121" s="1" t="s">
        <v>59</v>
      </c>
      <c r="C121" s="1" t="s">
        <v>381</v>
      </c>
      <c r="D121" s="1" t="s">
        <v>16</v>
      </c>
      <c r="E121" s="1" t="s">
        <v>72</v>
      </c>
      <c r="F121" s="1" t="s">
        <v>27</v>
      </c>
      <c r="G121">
        <v>358946</v>
      </c>
      <c r="H121" s="1" t="s">
        <v>382</v>
      </c>
      <c r="I121" s="2"/>
      <c r="K121">
        <v>5.2</v>
      </c>
      <c r="L121" s="1" t="s">
        <v>29</v>
      </c>
      <c r="M121" s="1" t="s">
        <v>21</v>
      </c>
    </row>
    <row r="122" spans="1:13" x14ac:dyDescent="0.25">
      <c r="A122" s="1" t="s">
        <v>383</v>
      </c>
      <c r="B122" s="1" t="s">
        <v>37</v>
      </c>
      <c r="C122" s="1" t="s">
        <v>384</v>
      </c>
      <c r="D122" s="1" t="s">
        <v>39</v>
      </c>
      <c r="E122" s="1" t="s">
        <v>47</v>
      </c>
      <c r="F122" s="1" t="s">
        <v>129</v>
      </c>
      <c r="G122">
        <v>294548</v>
      </c>
      <c r="H122" s="1" t="s">
        <v>385</v>
      </c>
      <c r="I122" s="2"/>
      <c r="K122">
        <v>8.5</v>
      </c>
      <c r="L122" s="1" t="s">
        <v>49</v>
      </c>
      <c r="M122" s="1" t="s">
        <v>102</v>
      </c>
    </row>
    <row r="123" spans="1:13" x14ac:dyDescent="0.25">
      <c r="A123" s="1" t="s">
        <v>386</v>
      </c>
      <c r="B123" s="1" t="s">
        <v>84</v>
      </c>
      <c r="C123" s="1" t="s">
        <v>387</v>
      </c>
      <c r="D123" s="1" t="s">
        <v>39</v>
      </c>
      <c r="E123" s="1" t="s">
        <v>77</v>
      </c>
      <c r="F123" s="1" t="s">
        <v>33</v>
      </c>
      <c r="G123">
        <v>455506</v>
      </c>
      <c r="H123" s="1" t="s">
        <v>388</v>
      </c>
      <c r="I123" s="2"/>
      <c r="K123">
        <v>14.6</v>
      </c>
      <c r="L123" s="1" t="s">
        <v>20</v>
      </c>
      <c r="M123" s="1" t="s">
        <v>35</v>
      </c>
    </row>
    <row r="124" spans="1:13" x14ac:dyDescent="0.25">
      <c r="A124" s="1" t="s">
        <v>389</v>
      </c>
      <c r="B124" s="1" t="s">
        <v>23</v>
      </c>
      <c r="C124" s="1" t="s">
        <v>390</v>
      </c>
      <c r="D124" s="1" t="s">
        <v>46</v>
      </c>
      <c r="E124" s="1" t="s">
        <v>94</v>
      </c>
      <c r="F124" s="1" t="s">
        <v>40</v>
      </c>
      <c r="G124">
        <v>327220</v>
      </c>
      <c r="H124" s="1" t="s">
        <v>391</v>
      </c>
      <c r="I124" s="2">
        <v>45446</v>
      </c>
      <c r="J124">
        <v>87</v>
      </c>
      <c r="K124">
        <v>8.1</v>
      </c>
      <c r="L124" s="1" t="s">
        <v>96</v>
      </c>
      <c r="M124" s="1" t="s">
        <v>69</v>
      </c>
    </row>
    <row r="125" spans="1:13" x14ac:dyDescent="0.25">
      <c r="A125" s="1" t="s">
        <v>392</v>
      </c>
      <c r="B125" s="1" t="s">
        <v>59</v>
      </c>
      <c r="C125" s="1" t="s">
        <v>393</v>
      </c>
      <c r="D125" s="1" t="s">
        <v>46</v>
      </c>
      <c r="E125" s="1" t="s">
        <v>61</v>
      </c>
      <c r="F125" s="1" t="s">
        <v>18</v>
      </c>
      <c r="G125">
        <v>95664</v>
      </c>
      <c r="H125" s="1" t="s">
        <v>394</v>
      </c>
      <c r="I125" s="2">
        <v>45336</v>
      </c>
      <c r="J125">
        <v>138</v>
      </c>
      <c r="K125">
        <v>3.3</v>
      </c>
      <c r="L125" s="1" t="s">
        <v>29</v>
      </c>
      <c r="M125" s="1" t="s">
        <v>102</v>
      </c>
    </row>
    <row r="126" spans="1:13" x14ac:dyDescent="0.25">
      <c r="A126" s="1" t="s">
        <v>395</v>
      </c>
      <c r="B126" s="1" t="s">
        <v>104</v>
      </c>
      <c r="C126" s="1" t="s">
        <v>132</v>
      </c>
      <c r="D126" s="1" t="s">
        <v>25</v>
      </c>
      <c r="E126" s="1" t="s">
        <v>47</v>
      </c>
      <c r="F126" s="1" t="s">
        <v>53</v>
      </c>
      <c r="G126">
        <v>190014</v>
      </c>
      <c r="H126" s="1" t="s">
        <v>396</v>
      </c>
      <c r="I126" s="2"/>
      <c r="K126">
        <v>2.6</v>
      </c>
      <c r="L126" s="1" t="s">
        <v>29</v>
      </c>
      <c r="M126" s="1" t="s">
        <v>149</v>
      </c>
    </row>
    <row r="127" spans="1:13" x14ac:dyDescent="0.25">
      <c r="A127" s="1" t="s">
        <v>397</v>
      </c>
      <c r="B127" s="1" t="s">
        <v>65</v>
      </c>
      <c r="C127" s="1" t="s">
        <v>398</v>
      </c>
      <c r="D127" s="1" t="s">
        <v>90</v>
      </c>
      <c r="E127" s="1" t="s">
        <v>100</v>
      </c>
      <c r="F127" s="1" t="s">
        <v>129</v>
      </c>
      <c r="G127">
        <v>427742</v>
      </c>
      <c r="H127" s="1" t="s">
        <v>399</v>
      </c>
      <c r="I127" s="2"/>
      <c r="K127">
        <v>8.1</v>
      </c>
      <c r="L127" s="1" t="s">
        <v>20</v>
      </c>
      <c r="M127" s="1" t="s">
        <v>42</v>
      </c>
    </row>
    <row r="128" spans="1:13" x14ac:dyDescent="0.25">
      <c r="A128" s="1" t="s">
        <v>400</v>
      </c>
      <c r="B128" s="1" t="s">
        <v>109</v>
      </c>
      <c r="C128" s="1" t="s">
        <v>401</v>
      </c>
      <c r="D128" s="1" t="s">
        <v>16</v>
      </c>
      <c r="E128" s="1" t="s">
        <v>26</v>
      </c>
      <c r="F128" s="1" t="s">
        <v>33</v>
      </c>
      <c r="G128">
        <v>208673</v>
      </c>
      <c r="H128" s="1" t="s">
        <v>402</v>
      </c>
      <c r="I128" s="2"/>
      <c r="K128">
        <v>6.4</v>
      </c>
      <c r="L128" s="1" t="s">
        <v>49</v>
      </c>
      <c r="M128" s="1" t="s">
        <v>63</v>
      </c>
    </row>
    <row r="129" spans="1:13" x14ac:dyDescent="0.25">
      <c r="A129" s="1" t="s">
        <v>403</v>
      </c>
      <c r="B129" s="1" t="s">
        <v>23</v>
      </c>
      <c r="C129" s="1" t="s">
        <v>141</v>
      </c>
      <c r="D129" s="1" t="s">
        <v>90</v>
      </c>
      <c r="E129" s="1" t="s">
        <v>100</v>
      </c>
      <c r="F129" s="1" t="s">
        <v>27</v>
      </c>
      <c r="G129">
        <v>427971</v>
      </c>
      <c r="H129" s="1" t="s">
        <v>404</v>
      </c>
      <c r="I129" s="2"/>
      <c r="K129">
        <v>13.5</v>
      </c>
      <c r="L129" s="1" t="s">
        <v>29</v>
      </c>
      <c r="M129" s="1" t="s">
        <v>149</v>
      </c>
    </row>
    <row r="130" spans="1:13" x14ac:dyDescent="0.25">
      <c r="A130" s="1" t="s">
        <v>405</v>
      </c>
      <c r="B130" s="1" t="s">
        <v>75</v>
      </c>
      <c r="C130" s="1" t="s">
        <v>406</v>
      </c>
      <c r="D130" s="1" t="s">
        <v>39</v>
      </c>
      <c r="E130" s="1" t="s">
        <v>94</v>
      </c>
      <c r="F130" s="1" t="s">
        <v>129</v>
      </c>
      <c r="G130">
        <v>292458</v>
      </c>
      <c r="H130" s="1" t="s">
        <v>407</v>
      </c>
      <c r="I130" s="2"/>
      <c r="L130" s="1" t="s">
        <v>96</v>
      </c>
      <c r="M130" s="1" t="s">
        <v>107</v>
      </c>
    </row>
    <row r="131" spans="1:13" x14ac:dyDescent="0.25">
      <c r="A131" s="1" t="s">
        <v>408</v>
      </c>
      <c r="B131" s="1" t="s">
        <v>23</v>
      </c>
      <c r="C131" s="1" t="s">
        <v>295</v>
      </c>
      <c r="D131" s="1" t="s">
        <v>25</v>
      </c>
      <c r="E131" s="1" t="s">
        <v>94</v>
      </c>
      <c r="F131" s="1" t="s">
        <v>33</v>
      </c>
      <c r="G131">
        <v>115388</v>
      </c>
      <c r="H131" s="1" t="s">
        <v>409</v>
      </c>
      <c r="I131" s="2"/>
      <c r="K131">
        <v>13.3</v>
      </c>
      <c r="L131" s="1" t="s">
        <v>49</v>
      </c>
      <c r="M131" s="1" t="s">
        <v>102</v>
      </c>
    </row>
    <row r="132" spans="1:13" x14ac:dyDescent="0.25">
      <c r="A132" s="1" t="s">
        <v>410</v>
      </c>
      <c r="B132" s="1" t="s">
        <v>37</v>
      </c>
      <c r="C132" s="1" t="s">
        <v>195</v>
      </c>
      <c r="D132" s="1" t="s">
        <v>67</v>
      </c>
      <c r="E132" s="1" t="s">
        <v>100</v>
      </c>
      <c r="F132" s="1" t="s">
        <v>53</v>
      </c>
      <c r="G132">
        <v>375180</v>
      </c>
      <c r="H132" s="1" t="s">
        <v>411</v>
      </c>
      <c r="I132" s="2"/>
      <c r="K132">
        <v>7</v>
      </c>
      <c r="L132" s="1" t="s">
        <v>96</v>
      </c>
      <c r="M132" s="1" t="s">
        <v>35</v>
      </c>
    </row>
    <row r="133" spans="1:13" x14ac:dyDescent="0.25">
      <c r="A133" s="1" t="s">
        <v>412</v>
      </c>
      <c r="B133" s="1" t="s">
        <v>14</v>
      </c>
      <c r="C133" s="1" t="s">
        <v>250</v>
      </c>
      <c r="D133" s="1" t="s">
        <v>25</v>
      </c>
      <c r="E133" s="1" t="s">
        <v>94</v>
      </c>
      <c r="F133" s="1" t="s">
        <v>53</v>
      </c>
      <c r="G133">
        <v>399496</v>
      </c>
      <c r="H133" s="1" t="s">
        <v>413</v>
      </c>
      <c r="I133" s="2"/>
      <c r="K133">
        <v>11</v>
      </c>
      <c r="L133" s="1" t="s">
        <v>20</v>
      </c>
      <c r="M133" s="1" t="s">
        <v>21</v>
      </c>
    </row>
    <row r="134" spans="1:13" x14ac:dyDescent="0.25">
      <c r="A134" s="1" t="s">
        <v>414</v>
      </c>
      <c r="B134" s="1" t="s">
        <v>80</v>
      </c>
      <c r="C134" s="1" t="s">
        <v>415</v>
      </c>
      <c r="D134" s="1" t="s">
        <v>90</v>
      </c>
      <c r="E134" s="1" t="s">
        <v>94</v>
      </c>
      <c r="F134" s="1" t="s">
        <v>33</v>
      </c>
      <c r="G134">
        <v>471616</v>
      </c>
      <c r="H134" s="1" t="s">
        <v>416</v>
      </c>
      <c r="I134" s="2"/>
      <c r="K134">
        <v>1.1000000000000001</v>
      </c>
      <c r="L134" s="1" t="s">
        <v>49</v>
      </c>
      <c r="M134" s="1" t="s">
        <v>102</v>
      </c>
    </row>
    <row r="135" spans="1:13" x14ac:dyDescent="0.25">
      <c r="A135" s="1" t="s">
        <v>417</v>
      </c>
      <c r="B135" s="1" t="s">
        <v>173</v>
      </c>
      <c r="C135" s="1" t="s">
        <v>165</v>
      </c>
      <c r="D135" s="1" t="s">
        <v>25</v>
      </c>
      <c r="E135" s="1" t="s">
        <v>94</v>
      </c>
      <c r="F135" s="1" t="s">
        <v>129</v>
      </c>
      <c r="G135">
        <v>289167</v>
      </c>
      <c r="H135" s="1" t="s">
        <v>418</v>
      </c>
      <c r="I135" s="2"/>
      <c r="K135">
        <v>2.5</v>
      </c>
      <c r="L135" s="1" t="s">
        <v>20</v>
      </c>
      <c r="M135" s="1" t="s">
        <v>35</v>
      </c>
    </row>
    <row r="136" spans="1:13" x14ac:dyDescent="0.25">
      <c r="A136" s="1" t="s">
        <v>419</v>
      </c>
      <c r="B136" s="1" t="s">
        <v>84</v>
      </c>
      <c r="C136" s="1" t="s">
        <v>420</v>
      </c>
      <c r="D136" s="1" t="s">
        <v>39</v>
      </c>
      <c r="E136" s="1" t="s">
        <v>94</v>
      </c>
      <c r="F136" s="1" t="s">
        <v>129</v>
      </c>
      <c r="G136">
        <v>125873</v>
      </c>
      <c r="H136" s="1" t="s">
        <v>421</v>
      </c>
      <c r="I136" s="2"/>
      <c r="K136">
        <v>1.3</v>
      </c>
      <c r="L136" s="1" t="s">
        <v>49</v>
      </c>
      <c r="M136" s="1" t="s">
        <v>69</v>
      </c>
    </row>
    <row r="137" spans="1:13" x14ac:dyDescent="0.25">
      <c r="A137" s="1" t="s">
        <v>422</v>
      </c>
      <c r="B137" s="1" t="s">
        <v>59</v>
      </c>
      <c r="C137" s="1" t="s">
        <v>423</v>
      </c>
      <c r="D137" s="1" t="s">
        <v>46</v>
      </c>
      <c r="E137" s="1" t="s">
        <v>94</v>
      </c>
      <c r="F137" s="1" t="s">
        <v>129</v>
      </c>
      <c r="G137">
        <v>94582</v>
      </c>
      <c r="H137" s="1" t="s">
        <v>424</v>
      </c>
      <c r="I137" s="2"/>
      <c r="K137">
        <v>7.5</v>
      </c>
      <c r="L137" s="1" t="s">
        <v>49</v>
      </c>
      <c r="M137" s="1" t="s">
        <v>149</v>
      </c>
    </row>
    <row r="138" spans="1:13" x14ac:dyDescent="0.25">
      <c r="A138" s="1" t="s">
        <v>425</v>
      </c>
      <c r="B138" s="1" t="s">
        <v>173</v>
      </c>
      <c r="C138" s="1" t="s">
        <v>426</v>
      </c>
      <c r="D138" s="1" t="s">
        <v>25</v>
      </c>
      <c r="E138" s="1" t="s">
        <v>72</v>
      </c>
      <c r="F138" s="1" t="s">
        <v>53</v>
      </c>
      <c r="G138">
        <v>11502</v>
      </c>
      <c r="H138" s="1" t="s">
        <v>427</v>
      </c>
      <c r="I138" s="2"/>
      <c r="K138">
        <v>5.4</v>
      </c>
      <c r="L138" s="1" t="s">
        <v>29</v>
      </c>
      <c r="M138" s="1" t="s">
        <v>35</v>
      </c>
    </row>
    <row r="139" spans="1:13" x14ac:dyDescent="0.25">
      <c r="A139" s="1" t="s">
        <v>428</v>
      </c>
      <c r="B139" s="1" t="s">
        <v>23</v>
      </c>
      <c r="C139" s="1" t="s">
        <v>85</v>
      </c>
      <c r="D139" s="1" t="s">
        <v>46</v>
      </c>
      <c r="E139" s="1" t="s">
        <v>77</v>
      </c>
      <c r="F139" s="1" t="s">
        <v>18</v>
      </c>
      <c r="G139">
        <v>29811</v>
      </c>
      <c r="H139" s="1" t="s">
        <v>178</v>
      </c>
      <c r="I139" s="2">
        <v>45767</v>
      </c>
      <c r="J139">
        <v>23</v>
      </c>
      <c r="L139" s="1" t="s">
        <v>20</v>
      </c>
      <c r="M139" s="1" t="s">
        <v>63</v>
      </c>
    </row>
    <row r="140" spans="1:13" x14ac:dyDescent="0.25">
      <c r="A140" s="1" t="s">
        <v>429</v>
      </c>
      <c r="B140" s="1" t="s">
        <v>88</v>
      </c>
      <c r="C140" s="1" t="s">
        <v>430</v>
      </c>
      <c r="D140" s="1" t="s">
        <v>39</v>
      </c>
      <c r="E140" s="1" t="s">
        <v>26</v>
      </c>
      <c r="F140" s="1" t="s">
        <v>40</v>
      </c>
      <c r="G140">
        <v>304950</v>
      </c>
      <c r="H140" s="1" t="s">
        <v>431</v>
      </c>
      <c r="I140" s="2">
        <v>45613</v>
      </c>
      <c r="J140">
        <v>130</v>
      </c>
      <c r="K140">
        <v>14.1</v>
      </c>
      <c r="L140" s="1" t="s">
        <v>29</v>
      </c>
      <c r="M140" s="1" t="s">
        <v>149</v>
      </c>
    </row>
    <row r="141" spans="1:13" x14ac:dyDescent="0.25">
      <c r="A141" s="1" t="s">
        <v>432</v>
      </c>
      <c r="B141" s="1" t="s">
        <v>80</v>
      </c>
      <c r="C141" s="1" t="s">
        <v>433</v>
      </c>
      <c r="D141" s="1" t="s">
        <v>90</v>
      </c>
      <c r="E141" s="1" t="s">
        <v>72</v>
      </c>
      <c r="F141" s="1" t="s">
        <v>33</v>
      </c>
      <c r="G141">
        <v>319777</v>
      </c>
      <c r="H141" s="1" t="s">
        <v>434</v>
      </c>
      <c r="I141" s="2"/>
      <c r="K141">
        <v>3.7</v>
      </c>
      <c r="L141" s="1" t="s">
        <v>29</v>
      </c>
      <c r="M141" s="1" t="s">
        <v>63</v>
      </c>
    </row>
    <row r="142" spans="1:13" x14ac:dyDescent="0.25">
      <c r="A142" s="1" t="s">
        <v>435</v>
      </c>
      <c r="B142" s="1" t="s">
        <v>173</v>
      </c>
      <c r="C142" s="1" t="s">
        <v>436</v>
      </c>
      <c r="D142" s="1" t="s">
        <v>46</v>
      </c>
      <c r="E142" s="1" t="s">
        <v>94</v>
      </c>
      <c r="F142" s="1" t="s">
        <v>18</v>
      </c>
      <c r="G142">
        <v>451024</v>
      </c>
      <c r="H142" s="1" t="s">
        <v>437</v>
      </c>
      <c r="I142" s="2">
        <v>45151</v>
      </c>
      <c r="J142">
        <v>76</v>
      </c>
      <c r="K142">
        <v>0.5</v>
      </c>
      <c r="L142" s="1" t="s">
        <v>20</v>
      </c>
      <c r="M142" s="1" t="s">
        <v>30</v>
      </c>
    </row>
    <row r="143" spans="1:13" x14ac:dyDescent="0.25">
      <c r="A143" s="1" t="s">
        <v>438</v>
      </c>
      <c r="B143" s="1" t="s">
        <v>75</v>
      </c>
      <c r="C143" s="1" t="s">
        <v>439</v>
      </c>
      <c r="D143" s="1" t="s">
        <v>67</v>
      </c>
      <c r="E143" s="1" t="s">
        <v>100</v>
      </c>
      <c r="F143" s="1" t="s">
        <v>18</v>
      </c>
      <c r="G143">
        <v>428759</v>
      </c>
      <c r="H143" s="1" t="s">
        <v>440</v>
      </c>
      <c r="I143" s="2">
        <v>45141</v>
      </c>
      <c r="J143">
        <v>52</v>
      </c>
      <c r="K143">
        <v>3.4</v>
      </c>
      <c r="L143" s="1" t="s">
        <v>96</v>
      </c>
      <c r="M143" s="1" t="s">
        <v>30</v>
      </c>
    </row>
    <row r="144" spans="1:13" x14ac:dyDescent="0.25">
      <c r="A144" s="1" t="s">
        <v>441</v>
      </c>
      <c r="B144" s="1" t="s">
        <v>104</v>
      </c>
      <c r="C144" s="1" t="s">
        <v>442</v>
      </c>
      <c r="D144" s="1" t="s">
        <v>25</v>
      </c>
      <c r="E144" s="1" t="s">
        <v>94</v>
      </c>
      <c r="F144" s="1" t="s">
        <v>40</v>
      </c>
      <c r="G144">
        <v>194102</v>
      </c>
      <c r="H144" s="1" t="s">
        <v>443</v>
      </c>
      <c r="I144" s="2">
        <v>45488</v>
      </c>
      <c r="J144">
        <v>143</v>
      </c>
      <c r="K144">
        <v>17.5</v>
      </c>
      <c r="L144" s="1" t="s">
        <v>96</v>
      </c>
      <c r="M144" s="1" t="s">
        <v>69</v>
      </c>
    </row>
    <row r="145" spans="1:13" x14ac:dyDescent="0.25">
      <c r="A145" s="1" t="s">
        <v>444</v>
      </c>
      <c r="B145" s="1" t="s">
        <v>127</v>
      </c>
      <c r="C145" s="1" t="s">
        <v>247</v>
      </c>
      <c r="D145" s="1" t="s">
        <v>46</v>
      </c>
      <c r="E145" s="1" t="s">
        <v>26</v>
      </c>
      <c r="F145" s="1" t="s">
        <v>53</v>
      </c>
      <c r="G145">
        <v>398021</v>
      </c>
      <c r="H145" s="1" t="s">
        <v>445</v>
      </c>
      <c r="I145" s="2"/>
      <c r="K145">
        <v>10.7</v>
      </c>
      <c r="L145" s="1" t="s">
        <v>49</v>
      </c>
      <c r="M145" s="1" t="s">
        <v>42</v>
      </c>
    </row>
    <row r="146" spans="1:13" x14ac:dyDescent="0.25">
      <c r="A146" s="1" t="s">
        <v>446</v>
      </c>
      <c r="B146" s="1" t="s">
        <v>84</v>
      </c>
      <c r="C146" s="1" t="s">
        <v>276</v>
      </c>
      <c r="D146" s="1" t="s">
        <v>46</v>
      </c>
      <c r="E146" s="1" t="s">
        <v>72</v>
      </c>
      <c r="F146" s="1" t="s">
        <v>53</v>
      </c>
      <c r="G146">
        <v>212157</v>
      </c>
      <c r="H146" s="1" t="s">
        <v>447</v>
      </c>
      <c r="I146" s="2"/>
      <c r="K146">
        <v>4.9000000000000004</v>
      </c>
      <c r="L146" s="1" t="s">
        <v>96</v>
      </c>
      <c r="M146" s="1" t="s">
        <v>42</v>
      </c>
    </row>
    <row r="147" spans="1:13" x14ac:dyDescent="0.25">
      <c r="A147" s="1" t="s">
        <v>448</v>
      </c>
      <c r="B147" s="1" t="s">
        <v>173</v>
      </c>
      <c r="C147" s="1" t="s">
        <v>449</v>
      </c>
      <c r="D147" s="1" t="s">
        <v>67</v>
      </c>
      <c r="E147" s="1" t="s">
        <v>47</v>
      </c>
      <c r="F147" s="1" t="s">
        <v>33</v>
      </c>
      <c r="G147">
        <v>350606</v>
      </c>
      <c r="H147" s="1" t="s">
        <v>450</v>
      </c>
      <c r="I147" s="2"/>
      <c r="L147" s="1" t="s">
        <v>29</v>
      </c>
      <c r="M147" s="1" t="s">
        <v>63</v>
      </c>
    </row>
    <row r="148" spans="1:13" x14ac:dyDescent="0.25">
      <c r="A148" s="1" t="s">
        <v>451</v>
      </c>
      <c r="B148" s="1" t="s">
        <v>88</v>
      </c>
      <c r="C148" s="1" t="s">
        <v>355</v>
      </c>
      <c r="D148" s="1" t="s">
        <v>39</v>
      </c>
      <c r="E148" s="1" t="s">
        <v>94</v>
      </c>
      <c r="F148" s="1" t="s">
        <v>40</v>
      </c>
      <c r="G148">
        <v>119505</v>
      </c>
      <c r="H148" s="1" t="s">
        <v>452</v>
      </c>
      <c r="I148" s="2">
        <v>45557</v>
      </c>
      <c r="J148">
        <v>126</v>
      </c>
      <c r="K148">
        <v>24.8</v>
      </c>
      <c r="L148" s="1" t="s">
        <v>29</v>
      </c>
      <c r="M148" s="1" t="s">
        <v>107</v>
      </c>
    </row>
    <row r="149" spans="1:13" x14ac:dyDescent="0.25">
      <c r="A149" s="1" t="s">
        <v>453</v>
      </c>
      <c r="B149" s="1" t="s">
        <v>37</v>
      </c>
      <c r="C149" s="1" t="s">
        <v>454</v>
      </c>
      <c r="D149" s="1" t="s">
        <v>25</v>
      </c>
      <c r="E149" s="1" t="s">
        <v>72</v>
      </c>
      <c r="F149" s="1" t="s">
        <v>33</v>
      </c>
      <c r="G149">
        <v>236631</v>
      </c>
      <c r="H149" s="1" t="s">
        <v>455</v>
      </c>
      <c r="I149" s="2"/>
      <c r="K149">
        <v>13</v>
      </c>
      <c r="L149" s="1" t="s">
        <v>96</v>
      </c>
      <c r="M149" s="1" t="s">
        <v>35</v>
      </c>
    </row>
    <row r="150" spans="1:13" x14ac:dyDescent="0.25">
      <c r="A150" s="1" t="s">
        <v>456</v>
      </c>
      <c r="B150" s="1" t="s">
        <v>98</v>
      </c>
      <c r="C150" s="1" t="s">
        <v>457</v>
      </c>
      <c r="D150" s="1" t="s">
        <v>90</v>
      </c>
      <c r="E150" s="1" t="s">
        <v>94</v>
      </c>
      <c r="F150" s="1" t="s">
        <v>40</v>
      </c>
      <c r="G150">
        <v>22565</v>
      </c>
      <c r="H150" s="1" t="s">
        <v>458</v>
      </c>
      <c r="I150" s="2">
        <v>45230</v>
      </c>
      <c r="J150">
        <v>91</v>
      </c>
      <c r="K150">
        <v>9.6</v>
      </c>
      <c r="L150" s="1" t="s">
        <v>20</v>
      </c>
      <c r="M150" s="1" t="s">
        <v>102</v>
      </c>
    </row>
    <row r="151" spans="1:13" x14ac:dyDescent="0.25">
      <c r="A151" s="1" t="s">
        <v>459</v>
      </c>
      <c r="B151" s="1" t="s">
        <v>59</v>
      </c>
      <c r="C151" s="1" t="s">
        <v>460</v>
      </c>
      <c r="D151" s="1" t="s">
        <v>25</v>
      </c>
      <c r="E151" s="1" t="s">
        <v>17</v>
      </c>
      <c r="F151" s="1" t="s">
        <v>33</v>
      </c>
      <c r="G151">
        <v>159178</v>
      </c>
      <c r="H151" s="1" t="s">
        <v>461</v>
      </c>
      <c r="I151" s="2"/>
      <c r="L151" s="1" t="s">
        <v>20</v>
      </c>
      <c r="M151" s="1" t="s">
        <v>63</v>
      </c>
    </row>
    <row r="152" spans="1:13" x14ac:dyDescent="0.25">
      <c r="A152" s="1" t="s">
        <v>462</v>
      </c>
      <c r="B152" s="1" t="s">
        <v>14</v>
      </c>
      <c r="C152" s="1" t="s">
        <v>463</v>
      </c>
      <c r="D152" s="1" t="s">
        <v>39</v>
      </c>
      <c r="E152" s="1" t="s">
        <v>100</v>
      </c>
      <c r="F152" s="1" t="s">
        <v>40</v>
      </c>
      <c r="G152">
        <v>308386</v>
      </c>
      <c r="H152" s="1" t="s">
        <v>464</v>
      </c>
      <c r="I152" s="2">
        <v>45644</v>
      </c>
      <c r="J152">
        <v>139</v>
      </c>
      <c r="K152">
        <v>5.7</v>
      </c>
      <c r="L152" s="1" t="s">
        <v>29</v>
      </c>
      <c r="M152" s="1" t="s">
        <v>149</v>
      </c>
    </row>
    <row r="153" spans="1:13" x14ac:dyDescent="0.25">
      <c r="A153" s="1" t="s">
        <v>465</v>
      </c>
      <c r="B153" s="1" t="s">
        <v>75</v>
      </c>
      <c r="C153" s="1" t="s">
        <v>466</v>
      </c>
      <c r="D153" s="1" t="s">
        <v>16</v>
      </c>
      <c r="E153" s="1" t="s">
        <v>100</v>
      </c>
      <c r="F153" s="1" t="s">
        <v>53</v>
      </c>
      <c r="G153">
        <v>408867</v>
      </c>
      <c r="H153" s="1" t="s">
        <v>467</v>
      </c>
      <c r="I153" s="2"/>
      <c r="K153">
        <v>2.2999999999999998</v>
      </c>
      <c r="L153" s="1" t="s">
        <v>96</v>
      </c>
      <c r="M153" s="1" t="s">
        <v>21</v>
      </c>
    </row>
    <row r="154" spans="1:13" x14ac:dyDescent="0.25">
      <c r="A154" s="1" t="s">
        <v>468</v>
      </c>
      <c r="B154" s="1" t="s">
        <v>98</v>
      </c>
      <c r="C154" s="1" t="s">
        <v>60</v>
      </c>
      <c r="D154" s="1" t="s">
        <v>90</v>
      </c>
      <c r="E154" s="1" t="s">
        <v>61</v>
      </c>
      <c r="F154" s="1" t="s">
        <v>53</v>
      </c>
      <c r="G154">
        <v>284686</v>
      </c>
      <c r="H154" s="1" t="s">
        <v>469</v>
      </c>
      <c r="I154" s="2"/>
      <c r="K154">
        <v>9.6</v>
      </c>
      <c r="L154" s="1" t="s">
        <v>96</v>
      </c>
      <c r="M154" s="1" t="s">
        <v>149</v>
      </c>
    </row>
    <row r="155" spans="1:13" x14ac:dyDescent="0.25">
      <c r="A155" s="1" t="s">
        <v>470</v>
      </c>
      <c r="B155" s="1" t="s">
        <v>75</v>
      </c>
      <c r="C155" s="1" t="s">
        <v>471</v>
      </c>
      <c r="D155" s="1" t="s">
        <v>67</v>
      </c>
      <c r="E155" s="1" t="s">
        <v>61</v>
      </c>
      <c r="F155" s="1" t="s">
        <v>40</v>
      </c>
      <c r="G155">
        <v>347300</v>
      </c>
      <c r="H155" s="1" t="s">
        <v>472</v>
      </c>
      <c r="I155" s="2">
        <v>45597</v>
      </c>
      <c r="J155">
        <v>86</v>
      </c>
      <c r="K155">
        <v>19.899999999999999</v>
      </c>
      <c r="L155" s="1" t="s">
        <v>49</v>
      </c>
      <c r="M155" s="1" t="s">
        <v>149</v>
      </c>
    </row>
    <row r="156" spans="1:13" x14ac:dyDescent="0.25">
      <c r="A156" s="1" t="s">
        <v>473</v>
      </c>
      <c r="B156" s="1" t="s">
        <v>80</v>
      </c>
      <c r="C156" s="1" t="s">
        <v>474</v>
      </c>
      <c r="D156" s="1" t="s">
        <v>25</v>
      </c>
      <c r="E156" s="1" t="s">
        <v>100</v>
      </c>
      <c r="F156" s="1" t="s">
        <v>129</v>
      </c>
      <c r="G156">
        <v>208657</v>
      </c>
      <c r="H156" s="1" t="s">
        <v>472</v>
      </c>
      <c r="I156" s="2"/>
      <c r="K156">
        <v>14.1</v>
      </c>
      <c r="L156" s="1" t="s">
        <v>96</v>
      </c>
      <c r="M156" s="1" t="s">
        <v>149</v>
      </c>
    </row>
    <row r="157" spans="1:13" x14ac:dyDescent="0.25">
      <c r="A157" s="1" t="s">
        <v>475</v>
      </c>
      <c r="B157" s="1" t="s">
        <v>23</v>
      </c>
      <c r="C157" s="1" t="s">
        <v>237</v>
      </c>
      <c r="D157" s="1" t="s">
        <v>16</v>
      </c>
      <c r="E157" s="1" t="s">
        <v>47</v>
      </c>
      <c r="F157" s="1" t="s">
        <v>27</v>
      </c>
      <c r="G157">
        <v>338265</v>
      </c>
      <c r="H157" s="1" t="s">
        <v>476</v>
      </c>
      <c r="I157" s="2"/>
      <c r="L157" s="1" t="s">
        <v>96</v>
      </c>
      <c r="M157" s="1" t="s">
        <v>102</v>
      </c>
    </row>
    <row r="158" spans="1:13" x14ac:dyDescent="0.25">
      <c r="A158" s="1" t="s">
        <v>477</v>
      </c>
      <c r="B158" s="1" t="s">
        <v>98</v>
      </c>
      <c r="C158" s="1" t="s">
        <v>478</v>
      </c>
      <c r="D158" s="1" t="s">
        <v>25</v>
      </c>
      <c r="E158" s="1" t="s">
        <v>61</v>
      </c>
      <c r="F158" s="1" t="s">
        <v>40</v>
      </c>
      <c r="G158">
        <v>127549</v>
      </c>
      <c r="H158" s="1" t="s">
        <v>479</v>
      </c>
      <c r="I158" s="2">
        <v>45183</v>
      </c>
      <c r="J158">
        <v>115</v>
      </c>
      <c r="K158">
        <v>4</v>
      </c>
      <c r="L158" s="1" t="s">
        <v>29</v>
      </c>
      <c r="M158" s="1" t="s">
        <v>30</v>
      </c>
    </row>
    <row r="159" spans="1:13" x14ac:dyDescent="0.25">
      <c r="A159" s="1" t="s">
        <v>480</v>
      </c>
      <c r="B159" s="1" t="s">
        <v>104</v>
      </c>
      <c r="C159" s="1" t="s">
        <v>387</v>
      </c>
      <c r="D159" s="1" t="s">
        <v>16</v>
      </c>
      <c r="E159" s="1" t="s">
        <v>94</v>
      </c>
      <c r="F159" s="1" t="s">
        <v>40</v>
      </c>
      <c r="G159">
        <v>468919</v>
      </c>
      <c r="H159" s="1" t="s">
        <v>481</v>
      </c>
      <c r="I159" s="2">
        <v>45159</v>
      </c>
      <c r="J159">
        <v>51</v>
      </c>
      <c r="K159">
        <v>10.5</v>
      </c>
      <c r="L159" s="1" t="s">
        <v>29</v>
      </c>
      <c r="M159" s="1" t="s">
        <v>102</v>
      </c>
    </row>
    <row r="160" spans="1:13" x14ac:dyDescent="0.25">
      <c r="A160" s="1" t="s">
        <v>482</v>
      </c>
      <c r="B160" s="1" t="s">
        <v>65</v>
      </c>
      <c r="C160" s="1" t="s">
        <v>483</v>
      </c>
      <c r="D160" s="1" t="s">
        <v>39</v>
      </c>
      <c r="E160" s="1" t="s">
        <v>17</v>
      </c>
      <c r="F160" s="1" t="s">
        <v>129</v>
      </c>
      <c r="G160">
        <v>448823</v>
      </c>
      <c r="H160" s="1" t="s">
        <v>484</v>
      </c>
      <c r="I160" s="2"/>
      <c r="K160">
        <v>11</v>
      </c>
      <c r="L160" s="1" t="s">
        <v>29</v>
      </c>
      <c r="M160" s="1" t="s">
        <v>35</v>
      </c>
    </row>
    <row r="161" spans="1:13" x14ac:dyDescent="0.25">
      <c r="A161" s="1" t="s">
        <v>485</v>
      </c>
      <c r="B161" s="1" t="s">
        <v>104</v>
      </c>
      <c r="C161" s="1" t="s">
        <v>486</v>
      </c>
      <c r="D161" s="1" t="s">
        <v>25</v>
      </c>
      <c r="E161" s="1" t="s">
        <v>72</v>
      </c>
      <c r="F161" s="1" t="s">
        <v>33</v>
      </c>
      <c r="G161">
        <v>448064</v>
      </c>
      <c r="H161" s="1" t="s">
        <v>253</v>
      </c>
      <c r="I161" s="2"/>
      <c r="K161">
        <v>9.6999999999999993</v>
      </c>
      <c r="L161" s="1" t="s">
        <v>96</v>
      </c>
      <c r="M161" s="1" t="s">
        <v>42</v>
      </c>
    </row>
    <row r="162" spans="1:13" x14ac:dyDescent="0.25">
      <c r="A162" s="1" t="s">
        <v>487</v>
      </c>
      <c r="B162" s="1" t="s">
        <v>80</v>
      </c>
      <c r="C162" s="1" t="s">
        <v>488</v>
      </c>
      <c r="D162" s="1" t="s">
        <v>67</v>
      </c>
      <c r="E162" s="1" t="s">
        <v>61</v>
      </c>
      <c r="F162" s="1" t="s">
        <v>40</v>
      </c>
      <c r="G162">
        <v>123344</v>
      </c>
      <c r="H162" s="1" t="s">
        <v>489</v>
      </c>
      <c r="I162" s="2">
        <v>45081</v>
      </c>
      <c r="J162">
        <v>63</v>
      </c>
      <c r="K162">
        <v>0.9</v>
      </c>
      <c r="L162" s="1" t="s">
        <v>20</v>
      </c>
      <c r="M162" s="1" t="s">
        <v>30</v>
      </c>
    </row>
    <row r="163" spans="1:13" x14ac:dyDescent="0.25">
      <c r="A163" s="1" t="s">
        <v>490</v>
      </c>
      <c r="B163" s="1" t="s">
        <v>127</v>
      </c>
      <c r="C163" s="1" t="s">
        <v>144</v>
      </c>
      <c r="D163" s="1" t="s">
        <v>39</v>
      </c>
      <c r="E163" s="1" t="s">
        <v>17</v>
      </c>
      <c r="F163" s="1" t="s">
        <v>53</v>
      </c>
      <c r="G163">
        <v>443307</v>
      </c>
      <c r="H163" s="1" t="s">
        <v>491</v>
      </c>
      <c r="I163" s="2"/>
      <c r="L163" s="1" t="s">
        <v>29</v>
      </c>
      <c r="M163" s="1" t="s">
        <v>21</v>
      </c>
    </row>
    <row r="164" spans="1:13" x14ac:dyDescent="0.25">
      <c r="A164" s="1" t="s">
        <v>492</v>
      </c>
      <c r="B164" s="1" t="s">
        <v>127</v>
      </c>
      <c r="C164" s="1" t="s">
        <v>308</v>
      </c>
      <c r="D164" s="1" t="s">
        <v>25</v>
      </c>
      <c r="E164" s="1" t="s">
        <v>100</v>
      </c>
      <c r="F164" s="1" t="s">
        <v>18</v>
      </c>
      <c r="G164">
        <v>478035</v>
      </c>
      <c r="H164" s="1" t="s">
        <v>493</v>
      </c>
      <c r="I164" s="2">
        <v>45373</v>
      </c>
      <c r="J164">
        <v>155</v>
      </c>
      <c r="K164">
        <v>8.5</v>
      </c>
      <c r="L164" s="1" t="s">
        <v>20</v>
      </c>
      <c r="M164" s="1" t="s">
        <v>21</v>
      </c>
    </row>
    <row r="165" spans="1:13" x14ac:dyDescent="0.25">
      <c r="A165" s="1" t="s">
        <v>494</v>
      </c>
      <c r="B165" s="1" t="s">
        <v>14</v>
      </c>
      <c r="C165" s="1" t="s">
        <v>273</v>
      </c>
      <c r="D165" s="1" t="s">
        <v>46</v>
      </c>
      <c r="E165" s="1" t="s">
        <v>94</v>
      </c>
      <c r="F165" s="1" t="s">
        <v>33</v>
      </c>
      <c r="G165">
        <v>111382</v>
      </c>
      <c r="H165" s="1" t="s">
        <v>495</v>
      </c>
      <c r="I165" s="2"/>
      <c r="K165">
        <v>1.1000000000000001</v>
      </c>
      <c r="L165" s="1" t="s">
        <v>49</v>
      </c>
      <c r="M165" s="1" t="s">
        <v>21</v>
      </c>
    </row>
    <row r="166" spans="1:13" x14ac:dyDescent="0.25">
      <c r="A166" s="1" t="s">
        <v>496</v>
      </c>
      <c r="B166" s="1" t="s">
        <v>127</v>
      </c>
      <c r="C166" s="1" t="s">
        <v>497</v>
      </c>
      <c r="D166" s="1" t="s">
        <v>16</v>
      </c>
      <c r="E166" s="1" t="s">
        <v>72</v>
      </c>
      <c r="F166" s="1" t="s">
        <v>129</v>
      </c>
      <c r="G166">
        <v>370073</v>
      </c>
      <c r="H166" s="1" t="s">
        <v>498</v>
      </c>
      <c r="I166" s="2"/>
      <c r="K166">
        <v>13.7</v>
      </c>
      <c r="L166" s="1" t="s">
        <v>20</v>
      </c>
      <c r="M166" s="1" t="s">
        <v>102</v>
      </c>
    </row>
    <row r="167" spans="1:13" x14ac:dyDescent="0.25">
      <c r="A167" s="1" t="s">
        <v>499</v>
      </c>
      <c r="B167" s="1" t="s">
        <v>127</v>
      </c>
      <c r="C167" s="1" t="s">
        <v>466</v>
      </c>
      <c r="D167" s="1" t="s">
        <v>67</v>
      </c>
      <c r="E167" s="1" t="s">
        <v>94</v>
      </c>
      <c r="F167" s="1" t="s">
        <v>40</v>
      </c>
      <c r="G167">
        <v>212195</v>
      </c>
      <c r="H167" s="1" t="s">
        <v>500</v>
      </c>
      <c r="I167" s="2">
        <v>45386</v>
      </c>
      <c r="J167">
        <v>23</v>
      </c>
      <c r="K167">
        <v>8.3000000000000007</v>
      </c>
      <c r="L167" s="1" t="s">
        <v>96</v>
      </c>
      <c r="M167" s="1" t="s">
        <v>69</v>
      </c>
    </row>
    <row r="168" spans="1:13" x14ac:dyDescent="0.25">
      <c r="A168" s="1" t="s">
        <v>501</v>
      </c>
      <c r="B168" s="1" t="s">
        <v>14</v>
      </c>
      <c r="C168" s="1" t="s">
        <v>502</v>
      </c>
      <c r="D168" s="1" t="s">
        <v>16</v>
      </c>
      <c r="E168" s="1" t="s">
        <v>94</v>
      </c>
      <c r="F168" s="1" t="s">
        <v>40</v>
      </c>
      <c r="G168">
        <v>289770</v>
      </c>
      <c r="H168" s="1" t="s">
        <v>503</v>
      </c>
      <c r="I168" s="2">
        <v>45257</v>
      </c>
      <c r="J168">
        <v>89</v>
      </c>
      <c r="K168">
        <v>6.3</v>
      </c>
      <c r="L168" s="1" t="s">
        <v>96</v>
      </c>
      <c r="M168" s="1" t="s">
        <v>102</v>
      </c>
    </row>
    <row r="169" spans="1:13" x14ac:dyDescent="0.25">
      <c r="A169" s="1" t="s">
        <v>504</v>
      </c>
      <c r="B169" s="1" t="s">
        <v>23</v>
      </c>
      <c r="C169" s="1" t="s">
        <v>505</v>
      </c>
      <c r="D169" s="1" t="s">
        <v>90</v>
      </c>
      <c r="E169" s="1" t="s">
        <v>100</v>
      </c>
      <c r="F169" s="1" t="s">
        <v>33</v>
      </c>
      <c r="G169">
        <v>181472</v>
      </c>
      <c r="H169" s="1" t="s">
        <v>506</v>
      </c>
      <c r="I169" s="2"/>
      <c r="L169" s="1" t="s">
        <v>96</v>
      </c>
      <c r="M169" s="1" t="s">
        <v>69</v>
      </c>
    </row>
    <row r="170" spans="1:13" x14ac:dyDescent="0.25">
      <c r="A170" s="1" t="s">
        <v>507</v>
      </c>
      <c r="B170" s="1" t="s">
        <v>173</v>
      </c>
      <c r="C170" s="1" t="s">
        <v>71</v>
      </c>
      <c r="D170" s="1" t="s">
        <v>90</v>
      </c>
      <c r="E170" s="1" t="s">
        <v>100</v>
      </c>
      <c r="F170" s="1" t="s">
        <v>129</v>
      </c>
      <c r="G170">
        <v>406243</v>
      </c>
      <c r="H170" s="1" t="s">
        <v>493</v>
      </c>
      <c r="I170" s="2"/>
      <c r="K170">
        <v>5</v>
      </c>
      <c r="L170" s="1" t="s">
        <v>96</v>
      </c>
      <c r="M170" s="1" t="s">
        <v>21</v>
      </c>
    </row>
    <row r="171" spans="1:13" x14ac:dyDescent="0.25">
      <c r="A171" s="1" t="s">
        <v>508</v>
      </c>
      <c r="B171" s="1" t="s">
        <v>109</v>
      </c>
      <c r="C171" s="1" t="s">
        <v>430</v>
      </c>
      <c r="D171" s="1" t="s">
        <v>25</v>
      </c>
      <c r="E171" s="1" t="s">
        <v>61</v>
      </c>
      <c r="F171" s="1" t="s">
        <v>33</v>
      </c>
      <c r="G171">
        <v>267549</v>
      </c>
      <c r="H171" s="1" t="s">
        <v>509</v>
      </c>
      <c r="I171" s="2"/>
      <c r="L171" s="1" t="s">
        <v>20</v>
      </c>
      <c r="M171" s="1" t="s">
        <v>30</v>
      </c>
    </row>
    <row r="172" spans="1:13" x14ac:dyDescent="0.25">
      <c r="A172" s="1" t="s">
        <v>510</v>
      </c>
      <c r="B172" s="1" t="s">
        <v>88</v>
      </c>
      <c r="C172" s="1" t="s">
        <v>483</v>
      </c>
      <c r="D172" s="1" t="s">
        <v>16</v>
      </c>
      <c r="E172" s="1" t="s">
        <v>100</v>
      </c>
      <c r="F172" s="1" t="s">
        <v>53</v>
      </c>
      <c r="G172">
        <v>36858</v>
      </c>
      <c r="H172" s="1" t="s">
        <v>511</v>
      </c>
      <c r="I172" s="2"/>
      <c r="K172">
        <v>1.2</v>
      </c>
      <c r="L172" s="1" t="s">
        <v>49</v>
      </c>
      <c r="M172" s="1" t="s">
        <v>69</v>
      </c>
    </row>
    <row r="173" spans="1:13" x14ac:dyDescent="0.25">
      <c r="A173" s="1" t="s">
        <v>512</v>
      </c>
      <c r="B173" s="1" t="s">
        <v>173</v>
      </c>
      <c r="C173" s="1" t="s">
        <v>513</v>
      </c>
      <c r="D173" s="1" t="s">
        <v>39</v>
      </c>
      <c r="E173" s="1" t="s">
        <v>61</v>
      </c>
      <c r="F173" s="1" t="s">
        <v>40</v>
      </c>
      <c r="G173">
        <v>463596</v>
      </c>
      <c r="H173" s="1" t="s">
        <v>514</v>
      </c>
      <c r="I173" s="2">
        <v>45753</v>
      </c>
      <c r="J173">
        <v>85</v>
      </c>
      <c r="K173">
        <v>16</v>
      </c>
      <c r="L173" s="1" t="s">
        <v>49</v>
      </c>
      <c r="M173" s="1" t="s">
        <v>63</v>
      </c>
    </row>
    <row r="174" spans="1:13" x14ac:dyDescent="0.25">
      <c r="A174" s="1" t="s">
        <v>515</v>
      </c>
      <c r="B174" s="1" t="s">
        <v>98</v>
      </c>
      <c r="C174" s="1" t="s">
        <v>105</v>
      </c>
      <c r="D174" s="1" t="s">
        <v>46</v>
      </c>
      <c r="E174" s="1" t="s">
        <v>26</v>
      </c>
      <c r="F174" s="1" t="s">
        <v>33</v>
      </c>
      <c r="G174">
        <v>1820974</v>
      </c>
      <c r="H174" s="1" t="s">
        <v>516</v>
      </c>
      <c r="I174" s="2"/>
      <c r="L174" s="1" t="s">
        <v>29</v>
      </c>
      <c r="M174" s="1" t="s">
        <v>69</v>
      </c>
    </row>
    <row r="175" spans="1:13" x14ac:dyDescent="0.25">
      <c r="A175" s="1" t="s">
        <v>517</v>
      </c>
      <c r="B175" s="1" t="s">
        <v>173</v>
      </c>
      <c r="C175" s="1" t="s">
        <v>518</v>
      </c>
      <c r="D175" s="1" t="s">
        <v>25</v>
      </c>
      <c r="E175" s="1" t="s">
        <v>26</v>
      </c>
      <c r="F175" s="1" t="s">
        <v>40</v>
      </c>
      <c r="G175">
        <v>394327</v>
      </c>
      <c r="H175" s="1" t="s">
        <v>519</v>
      </c>
      <c r="I175" s="2">
        <v>45104</v>
      </c>
      <c r="J175">
        <v>59</v>
      </c>
      <c r="K175">
        <v>4.8</v>
      </c>
      <c r="L175" s="1" t="s">
        <v>96</v>
      </c>
      <c r="M175" s="1" t="s">
        <v>30</v>
      </c>
    </row>
    <row r="176" spans="1:13" x14ac:dyDescent="0.25">
      <c r="A176" s="1" t="s">
        <v>520</v>
      </c>
      <c r="B176" s="1" t="s">
        <v>23</v>
      </c>
      <c r="C176" s="1" t="s">
        <v>521</v>
      </c>
      <c r="D176" s="1" t="s">
        <v>39</v>
      </c>
      <c r="E176" s="1" t="s">
        <v>77</v>
      </c>
      <c r="F176" s="1" t="s">
        <v>40</v>
      </c>
      <c r="G176">
        <v>48104</v>
      </c>
      <c r="H176" s="1" t="s">
        <v>522</v>
      </c>
      <c r="I176" s="2">
        <v>45759</v>
      </c>
      <c r="J176">
        <v>69</v>
      </c>
      <c r="K176">
        <v>4.4000000000000004</v>
      </c>
      <c r="L176" s="1" t="s">
        <v>29</v>
      </c>
      <c r="M176" s="1" t="s">
        <v>63</v>
      </c>
    </row>
    <row r="177" spans="1:13" x14ac:dyDescent="0.25">
      <c r="A177" s="1" t="s">
        <v>523</v>
      </c>
      <c r="B177" s="1" t="s">
        <v>44</v>
      </c>
      <c r="C177" s="1" t="s">
        <v>401</v>
      </c>
      <c r="D177" s="1" t="s">
        <v>90</v>
      </c>
      <c r="E177" s="1" t="s">
        <v>94</v>
      </c>
      <c r="F177" s="1" t="s">
        <v>40</v>
      </c>
      <c r="G177">
        <v>82177</v>
      </c>
      <c r="H177" s="1" t="s">
        <v>524</v>
      </c>
      <c r="I177" s="2">
        <v>45774</v>
      </c>
      <c r="J177">
        <v>53</v>
      </c>
      <c r="K177">
        <v>24.2</v>
      </c>
      <c r="L177" s="1" t="s">
        <v>20</v>
      </c>
      <c r="M177" s="1" t="s">
        <v>63</v>
      </c>
    </row>
    <row r="178" spans="1:13" x14ac:dyDescent="0.25">
      <c r="A178" s="1" t="s">
        <v>525</v>
      </c>
      <c r="B178" s="1" t="s">
        <v>84</v>
      </c>
      <c r="C178" s="1" t="s">
        <v>279</v>
      </c>
      <c r="D178" s="1" t="s">
        <v>39</v>
      </c>
      <c r="E178" s="1" t="s">
        <v>72</v>
      </c>
      <c r="F178" s="1" t="s">
        <v>33</v>
      </c>
      <c r="G178">
        <v>273191</v>
      </c>
      <c r="H178" s="1" t="s">
        <v>526</v>
      </c>
      <c r="I178" s="2"/>
      <c r="K178">
        <v>5.8</v>
      </c>
      <c r="L178" s="1" t="s">
        <v>49</v>
      </c>
      <c r="M178" s="1" t="s">
        <v>35</v>
      </c>
    </row>
    <row r="179" spans="1:13" x14ac:dyDescent="0.25">
      <c r="A179" s="1" t="s">
        <v>527</v>
      </c>
      <c r="B179" s="1" t="s">
        <v>84</v>
      </c>
      <c r="C179" s="1" t="s">
        <v>528</v>
      </c>
      <c r="D179" s="1" t="s">
        <v>46</v>
      </c>
      <c r="E179" s="1" t="s">
        <v>100</v>
      </c>
      <c r="F179" s="1" t="s">
        <v>40</v>
      </c>
      <c r="G179">
        <v>53328</v>
      </c>
      <c r="H179" s="1" t="s">
        <v>529</v>
      </c>
      <c r="I179" s="2">
        <v>45749</v>
      </c>
      <c r="J179">
        <v>33</v>
      </c>
      <c r="K179">
        <v>8.3000000000000007</v>
      </c>
      <c r="L179" s="1" t="s">
        <v>29</v>
      </c>
      <c r="M179" s="1" t="s">
        <v>63</v>
      </c>
    </row>
    <row r="180" spans="1:13" x14ac:dyDescent="0.25">
      <c r="A180" s="1" t="s">
        <v>530</v>
      </c>
      <c r="B180" s="1" t="s">
        <v>51</v>
      </c>
      <c r="C180" s="1" t="s">
        <v>531</v>
      </c>
      <c r="D180" s="1" t="s">
        <v>16</v>
      </c>
      <c r="E180" s="1" t="s">
        <v>94</v>
      </c>
      <c r="F180" s="1" t="s">
        <v>18</v>
      </c>
      <c r="G180">
        <v>291242</v>
      </c>
      <c r="H180" s="1" t="s">
        <v>532</v>
      </c>
      <c r="I180" s="2">
        <v>45165</v>
      </c>
      <c r="J180">
        <v>127</v>
      </c>
      <c r="L180" s="1" t="s">
        <v>20</v>
      </c>
      <c r="M180" s="1" t="s">
        <v>30</v>
      </c>
    </row>
    <row r="181" spans="1:13" x14ac:dyDescent="0.25">
      <c r="A181" s="1" t="s">
        <v>533</v>
      </c>
      <c r="B181" s="1" t="s">
        <v>84</v>
      </c>
      <c r="C181" s="1" t="s">
        <v>177</v>
      </c>
      <c r="D181" s="1" t="s">
        <v>67</v>
      </c>
      <c r="E181" s="1" t="s">
        <v>77</v>
      </c>
      <c r="F181" s="1" t="s">
        <v>33</v>
      </c>
      <c r="G181">
        <v>179270</v>
      </c>
      <c r="H181" s="1" t="s">
        <v>534</v>
      </c>
      <c r="I181" s="2"/>
      <c r="K181">
        <v>3.1</v>
      </c>
      <c r="L181" s="1" t="s">
        <v>20</v>
      </c>
      <c r="M181" s="1" t="s">
        <v>63</v>
      </c>
    </row>
    <row r="182" spans="1:13" x14ac:dyDescent="0.25">
      <c r="A182" s="1" t="s">
        <v>535</v>
      </c>
      <c r="B182" s="1" t="s">
        <v>109</v>
      </c>
      <c r="C182" s="1" t="s">
        <v>536</v>
      </c>
      <c r="D182" s="1" t="s">
        <v>16</v>
      </c>
      <c r="E182" s="1" t="s">
        <v>61</v>
      </c>
      <c r="F182" s="1" t="s">
        <v>27</v>
      </c>
      <c r="G182">
        <v>82204</v>
      </c>
      <c r="H182" s="1" t="s">
        <v>537</v>
      </c>
      <c r="I182" s="2"/>
      <c r="K182">
        <v>11.8</v>
      </c>
      <c r="L182" s="1" t="s">
        <v>29</v>
      </c>
      <c r="M182" s="1" t="s">
        <v>21</v>
      </c>
    </row>
    <row r="183" spans="1:13" x14ac:dyDescent="0.25">
      <c r="A183" s="1" t="s">
        <v>538</v>
      </c>
      <c r="B183" s="1" t="s">
        <v>98</v>
      </c>
      <c r="C183" s="1" t="s">
        <v>539</v>
      </c>
      <c r="D183" s="1" t="s">
        <v>46</v>
      </c>
      <c r="E183" s="1" t="s">
        <v>26</v>
      </c>
      <c r="F183" s="1" t="s">
        <v>40</v>
      </c>
      <c r="G183">
        <v>26242</v>
      </c>
      <c r="H183" s="1" t="s">
        <v>540</v>
      </c>
      <c r="I183" s="2">
        <v>45547</v>
      </c>
      <c r="J183">
        <v>124</v>
      </c>
      <c r="K183">
        <v>23.6</v>
      </c>
      <c r="L183" s="1" t="s">
        <v>96</v>
      </c>
      <c r="M183" s="1" t="s">
        <v>107</v>
      </c>
    </row>
    <row r="184" spans="1:13" x14ac:dyDescent="0.25">
      <c r="A184" s="1" t="s">
        <v>541</v>
      </c>
      <c r="B184" s="1" t="s">
        <v>173</v>
      </c>
      <c r="C184" s="1" t="s">
        <v>144</v>
      </c>
      <c r="D184" s="1" t="s">
        <v>46</v>
      </c>
      <c r="E184" s="1" t="s">
        <v>47</v>
      </c>
      <c r="F184" s="1" t="s">
        <v>40</v>
      </c>
      <c r="G184">
        <v>388681</v>
      </c>
      <c r="H184" s="1" t="s">
        <v>542</v>
      </c>
      <c r="I184" s="2">
        <v>45275</v>
      </c>
      <c r="J184">
        <v>40</v>
      </c>
      <c r="K184">
        <v>22.4</v>
      </c>
      <c r="L184" s="1" t="s">
        <v>20</v>
      </c>
      <c r="M184" s="1" t="s">
        <v>21</v>
      </c>
    </row>
    <row r="185" spans="1:13" x14ac:dyDescent="0.25">
      <c r="A185" s="1" t="s">
        <v>543</v>
      </c>
      <c r="B185" s="1" t="s">
        <v>59</v>
      </c>
      <c r="C185" s="1" t="s">
        <v>544</v>
      </c>
      <c r="D185" s="1" t="s">
        <v>39</v>
      </c>
      <c r="E185" s="1" t="s">
        <v>72</v>
      </c>
      <c r="F185" s="1" t="s">
        <v>18</v>
      </c>
      <c r="G185">
        <v>438571</v>
      </c>
      <c r="H185" s="1" t="s">
        <v>545</v>
      </c>
      <c r="I185" s="2">
        <v>45069</v>
      </c>
      <c r="J185">
        <v>105</v>
      </c>
      <c r="L185" s="1" t="s">
        <v>29</v>
      </c>
      <c r="M185" s="1" t="s">
        <v>35</v>
      </c>
    </row>
    <row r="186" spans="1:13" x14ac:dyDescent="0.25">
      <c r="A186" s="1" t="s">
        <v>546</v>
      </c>
      <c r="B186" s="1" t="s">
        <v>23</v>
      </c>
      <c r="C186" s="1" t="s">
        <v>141</v>
      </c>
      <c r="D186" s="1" t="s">
        <v>90</v>
      </c>
      <c r="E186" s="1" t="s">
        <v>26</v>
      </c>
      <c r="F186" s="1" t="s">
        <v>53</v>
      </c>
      <c r="G186">
        <v>407996</v>
      </c>
      <c r="H186" s="1" t="s">
        <v>547</v>
      </c>
      <c r="I186" s="2"/>
      <c r="K186">
        <v>13.6</v>
      </c>
      <c r="L186" s="1" t="s">
        <v>49</v>
      </c>
      <c r="M186" s="1" t="s">
        <v>42</v>
      </c>
    </row>
    <row r="187" spans="1:13" x14ac:dyDescent="0.25">
      <c r="A187" s="1" t="s">
        <v>548</v>
      </c>
      <c r="B187" s="1" t="s">
        <v>109</v>
      </c>
      <c r="C187" s="1" t="s">
        <v>539</v>
      </c>
      <c r="D187" s="1" t="s">
        <v>39</v>
      </c>
      <c r="E187" s="1" t="s">
        <v>100</v>
      </c>
      <c r="F187" s="1" t="s">
        <v>18</v>
      </c>
      <c r="G187">
        <v>377337</v>
      </c>
      <c r="H187" s="1" t="s">
        <v>285</v>
      </c>
      <c r="I187" s="2">
        <v>45044</v>
      </c>
      <c r="J187">
        <v>55</v>
      </c>
      <c r="L187" s="1" t="s">
        <v>49</v>
      </c>
      <c r="M187" s="1" t="s">
        <v>35</v>
      </c>
    </row>
    <row r="188" spans="1:13" x14ac:dyDescent="0.25">
      <c r="A188" s="1" t="s">
        <v>549</v>
      </c>
      <c r="B188" s="1" t="s">
        <v>98</v>
      </c>
      <c r="C188" s="1" t="s">
        <v>135</v>
      </c>
      <c r="D188" s="1" t="s">
        <v>67</v>
      </c>
      <c r="E188" s="1" t="s">
        <v>72</v>
      </c>
      <c r="F188" s="1" t="s">
        <v>53</v>
      </c>
      <c r="G188">
        <v>382823</v>
      </c>
      <c r="H188" s="1" t="s">
        <v>550</v>
      </c>
      <c r="I188" s="2"/>
      <c r="L188" s="1" t="s">
        <v>49</v>
      </c>
      <c r="M188" s="1" t="s">
        <v>35</v>
      </c>
    </row>
    <row r="189" spans="1:13" x14ac:dyDescent="0.25">
      <c r="A189" s="1" t="s">
        <v>551</v>
      </c>
      <c r="B189" s="1" t="s">
        <v>173</v>
      </c>
      <c r="C189" s="1" t="s">
        <v>552</v>
      </c>
      <c r="D189" s="1" t="s">
        <v>39</v>
      </c>
      <c r="E189" s="1" t="s">
        <v>72</v>
      </c>
      <c r="F189" s="1" t="s">
        <v>18</v>
      </c>
      <c r="G189">
        <v>207090</v>
      </c>
      <c r="H189" s="1" t="s">
        <v>553</v>
      </c>
      <c r="I189" s="2">
        <v>45234</v>
      </c>
      <c r="J189">
        <v>78</v>
      </c>
      <c r="L189" s="1" t="s">
        <v>96</v>
      </c>
      <c r="M189" s="1" t="s">
        <v>102</v>
      </c>
    </row>
    <row r="190" spans="1:13" x14ac:dyDescent="0.25">
      <c r="A190" s="1" t="s">
        <v>554</v>
      </c>
      <c r="B190" s="1" t="s">
        <v>109</v>
      </c>
      <c r="C190" s="1" t="s">
        <v>555</v>
      </c>
      <c r="D190" s="1" t="s">
        <v>39</v>
      </c>
      <c r="E190" s="1" t="s">
        <v>100</v>
      </c>
      <c r="F190" s="1" t="s">
        <v>129</v>
      </c>
      <c r="G190">
        <v>438585</v>
      </c>
      <c r="H190" s="1" t="s">
        <v>556</v>
      </c>
      <c r="I190" s="2"/>
      <c r="L190" s="1" t="s">
        <v>20</v>
      </c>
      <c r="M190" s="1" t="s">
        <v>21</v>
      </c>
    </row>
    <row r="191" spans="1:13" x14ac:dyDescent="0.25">
      <c r="A191" s="1" t="s">
        <v>557</v>
      </c>
      <c r="B191" s="1" t="s">
        <v>37</v>
      </c>
      <c r="C191" s="1" t="s">
        <v>558</v>
      </c>
      <c r="D191" s="1" t="s">
        <v>67</v>
      </c>
      <c r="E191" s="1" t="s">
        <v>77</v>
      </c>
      <c r="F191" s="1" t="s">
        <v>129</v>
      </c>
      <c r="G191">
        <v>254971</v>
      </c>
      <c r="H191" s="1" t="s">
        <v>559</v>
      </c>
      <c r="I191" s="2"/>
      <c r="K191">
        <v>8.5</v>
      </c>
      <c r="L191" s="1" t="s">
        <v>96</v>
      </c>
      <c r="M191" s="1" t="s">
        <v>69</v>
      </c>
    </row>
    <row r="192" spans="1:13" x14ac:dyDescent="0.25">
      <c r="A192" s="1" t="s">
        <v>560</v>
      </c>
      <c r="B192" s="1" t="s">
        <v>173</v>
      </c>
      <c r="C192" s="1" t="s">
        <v>561</v>
      </c>
      <c r="D192" s="1" t="s">
        <v>16</v>
      </c>
      <c r="E192" s="1" t="s">
        <v>26</v>
      </c>
      <c r="F192" s="1" t="s">
        <v>33</v>
      </c>
      <c r="G192">
        <v>70375</v>
      </c>
      <c r="H192" s="1" t="s">
        <v>562</v>
      </c>
      <c r="I192" s="2"/>
      <c r="K192">
        <v>9.6999999999999993</v>
      </c>
      <c r="L192" s="1" t="s">
        <v>49</v>
      </c>
      <c r="M192" s="1" t="s">
        <v>107</v>
      </c>
    </row>
    <row r="193" spans="1:13" x14ac:dyDescent="0.25">
      <c r="A193" s="1" t="s">
        <v>563</v>
      </c>
      <c r="B193" s="1" t="s">
        <v>80</v>
      </c>
      <c r="C193" s="1" t="s">
        <v>564</v>
      </c>
      <c r="D193" s="1" t="s">
        <v>90</v>
      </c>
      <c r="E193" s="1" t="s">
        <v>94</v>
      </c>
      <c r="F193" s="1" t="s">
        <v>18</v>
      </c>
      <c r="G193">
        <v>220483</v>
      </c>
      <c r="H193" s="1" t="s">
        <v>565</v>
      </c>
      <c r="I193" s="2">
        <v>45107</v>
      </c>
      <c r="J193">
        <v>174</v>
      </c>
      <c r="L193" s="1" t="s">
        <v>20</v>
      </c>
      <c r="M193" s="1" t="s">
        <v>35</v>
      </c>
    </row>
    <row r="194" spans="1:13" x14ac:dyDescent="0.25">
      <c r="A194" s="1" t="s">
        <v>566</v>
      </c>
      <c r="B194" s="1" t="s">
        <v>75</v>
      </c>
      <c r="C194" s="1" t="s">
        <v>449</v>
      </c>
      <c r="D194" s="1" t="s">
        <v>90</v>
      </c>
      <c r="E194" s="1" t="s">
        <v>26</v>
      </c>
      <c r="F194" s="1" t="s">
        <v>18</v>
      </c>
      <c r="G194">
        <v>96300</v>
      </c>
      <c r="H194" s="1" t="s">
        <v>567</v>
      </c>
      <c r="I194" s="2">
        <v>45780</v>
      </c>
      <c r="J194">
        <v>164</v>
      </c>
      <c r="L194" s="1" t="s">
        <v>49</v>
      </c>
      <c r="M194" s="1" t="s">
        <v>42</v>
      </c>
    </row>
    <row r="195" spans="1:13" x14ac:dyDescent="0.25">
      <c r="A195" s="1" t="s">
        <v>159</v>
      </c>
      <c r="B195" s="1" t="s">
        <v>80</v>
      </c>
      <c r="C195" s="1" t="s">
        <v>160</v>
      </c>
      <c r="D195" s="1" t="s">
        <v>25</v>
      </c>
      <c r="E195" s="1" t="s">
        <v>72</v>
      </c>
      <c r="F195" s="1" t="s">
        <v>129</v>
      </c>
      <c r="G195">
        <v>325774</v>
      </c>
      <c r="H195" s="1" t="s">
        <v>86</v>
      </c>
      <c r="I195" s="2"/>
      <c r="L195" s="1" t="s">
        <v>20</v>
      </c>
      <c r="M195" s="1" t="s">
        <v>69</v>
      </c>
    </row>
    <row r="196" spans="1:13" x14ac:dyDescent="0.25">
      <c r="A196" s="1" t="s">
        <v>568</v>
      </c>
      <c r="B196" s="1" t="s">
        <v>104</v>
      </c>
      <c r="C196" s="1" t="s">
        <v>518</v>
      </c>
      <c r="D196" s="1" t="s">
        <v>46</v>
      </c>
      <c r="E196" s="1" t="s">
        <v>47</v>
      </c>
      <c r="F196" s="1" t="s">
        <v>33</v>
      </c>
      <c r="G196">
        <v>287459</v>
      </c>
      <c r="H196" s="1" t="s">
        <v>569</v>
      </c>
      <c r="I196" s="2"/>
      <c r="K196">
        <v>10.4</v>
      </c>
      <c r="L196" s="1" t="s">
        <v>96</v>
      </c>
      <c r="M196" s="1" t="s">
        <v>30</v>
      </c>
    </row>
    <row r="197" spans="1:13" x14ac:dyDescent="0.25">
      <c r="A197" s="1" t="s">
        <v>570</v>
      </c>
      <c r="B197" s="1" t="s">
        <v>37</v>
      </c>
      <c r="C197" s="1" t="s">
        <v>571</v>
      </c>
      <c r="D197" s="1" t="s">
        <v>39</v>
      </c>
      <c r="E197" s="1" t="s">
        <v>72</v>
      </c>
      <c r="F197" s="1" t="s">
        <v>40</v>
      </c>
      <c r="G197">
        <v>217156</v>
      </c>
      <c r="H197" s="1" t="s">
        <v>572</v>
      </c>
      <c r="I197" s="2">
        <v>45856</v>
      </c>
      <c r="J197">
        <v>164</v>
      </c>
      <c r="K197">
        <v>9.1</v>
      </c>
      <c r="L197" s="1" t="s">
        <v>29</v>
      </c>
      <c r="M197" s="1" t="s">
        <v>63</v>
      </c>
    </row>
    <row r="198" spans="1:13" x14ac:dyDescent="0.25">
      <c r="A198" s="1" t="s">
        <v>573</v>
      </c>
      <c r="B198" s="1" t="s">
        <v>84</v>
      </c>
      <c r="C198" s="1" t="s">
        <v>574</v>
      </c>
      <c r="D198" s="1" t="s">
        <v>46</v>
      </c>
      <c r="E198" s="1" t="s">
        <v>47</v>
      </c>
      <c r="F198" s="1" t="s">
        <v>53</v>
      </c>
      <c r="G198">
        <v>422364</v>
      </c>
      <c r="H198" s="1" t="s">
        <v>575</v>
      </c>
      <c r="I198" s="2"/>
      <c r="L198" s="1" t="s">
        <v>49</v>
      </c>
      <c r="M198" s="1" t="s">
        <v>102</v>
      </c>
    </row>
    <row r="199" spans="1:13" x14ac:dyDescent="0.25">
      <c r="A199" s="1" t="s">
        <v>576</v>
      </c>
      <c r="B199" s="1" t="s">
        <v>98</v>
      </c>
      <c r="C199" s="1" t="s">
        <v>52</v>
      </c>
      <c r="D199" s="1" t="s">
        <v>90</v>
      </c>
      <c r="E199" s="1" t="s">
        <v>100</v>
      </c>
      <c r="F199" s="1" t="s">
        <v>40</v>
      </c>
      <c r="G199">
        <v>464417</v>
      </c>
      <c r="H199" s="1" t="s">
        <v>577</v>
      </c>
      <c r="I199" s="2">
        <v>45440</v>
      </c>
      <c r="J199">
        <v>165</v>
      </c>
      <c r="K199">
        <v>7.8</v>
      </c>
      <c r="L199" s="1" t="s">
        <v>96</v>
      </c>
      <c r="M199" s="1" t="s">
        <v>21</v>
      </c>
    </row>
    <row r="200" spans="1:13" x14ac:dyDescent="0.25">
      <c r="A200" s="1" t="s">
        <v>578</v>
      </c>
      <c r="B200" s="1" t="s">
        <v>80</v>
      </c>
      <c r="C200" s="1" t="s">
        <v>539</v>
      </c>
      <c r="D200" s="1" t="s">
        <v>46</v>
      </c>
      <c r="E200" s="1" t="s">
        <v>77</v>
      </c>
      <c r="F200" s="1" t="s">
        <v>18</v>
      </c>
      <c r="G200">
        <v>461713</v>
      </c>
      <c r="H200" s="1" t="s">
        <v>579</v>
      </c>
      <c r="I200" s="2">
        <v>45143</v>
      </c>
      <c r="J200">
        <v>146</v>
      </c>
      <c r="L200" s="1" t="s">
        <v>29</v>
      </c>
      <c r="M200" s="1" t="s">
        <v>35</v>
      </c>
    </row>
    <row r="201" spans="1:13" x14ac:dyDescent="0.25">
      <c r="A201" s="1" t="s">
        <v>580</v>
      </c>
      <c r="B201" s="1" t="s">
        <v>104</v>
      </c>
      <c r="C201" s="1" t="s">
        <v>189</v>
      </c>
      <c r="D201" s="1" t="s">
        <v>39</v>
      </c>
      <c r="E201" s="1" t="s">
        <v>26</v>
      </c>
      <c r="F201" s="1" t="s">
        <v>40</v>
      </c>
      <c r="G201">
        <v>387265</v>
      </c>
      <c r="H201" s="1" t="s">
        <v>581</v>
      </c>
      <c r="I201" s="2">
        <v>45416</v>
      </c>
      <c r="J201">
        <v>79</v>
      </c>
      <c r="K201">
        <v>9.9</v>
      </c>
      <c r="L201" s="1" t="s">
        <v>49</v>
      </c>
      <c r="M201" s="1" t="s">
        <v>69</v>
      </c>
    </row>
    <row r="202" spans="1:13" x14ac:dyDescent="0.25">
      <c r="A202" s="1" t="s">
        <v>582</v>
      </c>
      <c r="B202" s="1" t="s">
        <v>75</v>
      </c>
      <c r="C202" s="1" t="s">
        <v>583</v>
      </c>
      <c r="D202" s="1" t="s">
        <v>16</v>
      </c>
      <c r="E202" s="1" t="s">
        <v>61</v>
      </c>
      <c r="F202" s="1" t="s">
        <v>53</v>
      </c>
      <c r="G202">
        <v>480423</v>
      </c>
      <c r="H202" s="1" t="s">
        <v>367</v>
      </c>
      <c r="I202" s="2"/>
      <c r="L202" s="1" t="s">
        <v>96</v>
      </c>
      <c r="M202" s="1" t="s">
        <v>35</v>
      </c>
    </row>
    <row r="203" spans="1:13" x14ac:dyDescent="0.25">
      <c r="A203" s="1" t="s">
        <v>584</v>
      </c>
      <c r="B203" s="1" t="s">
        <v>127</v>
      </c>
      <c r="C203" s="1" t="s">
        <v>449</v>
      </c>
      <c r="D203" s="1" t="s">
        <v>16</v>
      </c>
      <c r="E203" s="1" t="s">
        <v>72</v>
      </c>
      <c r="F203" s="1" t="s">
        <v>33</v>
      </c>
      <c r="G203">
        <v>232183</v>
      </c>
      <c r="H203" s="1" t="s">
        <v>585</v>
      </c>
      <c r="I203" s="2"/>
      <c r="K203">
        <v>14.4</v>
      </c>
      <c r="L203" s="1" t="s">
        <v>29</v>
      </c>
      <c r="M203" s="1" t="s">
        <v>102</v>
      </c>
    </row>
    <row r="204" spans="1:13" x14ac:dyDescent="0.25">
      <c r="A204" s="1" t="s">
        <v>586</v>
      </c>
      <c r="B204" s="1" t="s">
        <v>23</v>
      </c>
      <c r="C204" s="1" t="s">
        <v>587</v>
      </c>
      <c r="D204" s="1" t="s">
        <v>46</v>
      </c>
      <c r="E204" s="1" t="s">
        <v>61</v>
      </c>
      <c r="F204" s="1" t="s">
        <v>18</v>
      </c>
      <c r="G204">
        <v>493976</v>
      </c>
      <c r="H204" s="1" t="s">
        <v>588</v>
      </c>
      <c r="I204" s="2">
        <v>45728</v>
      </c>
      <c r="J204">
        <v>175</v>
      </c>
      <c r="K204">
        <v>1.3</v>
      </c>
      <c r="L204" s="1" t="s">
        <v>49</v>
      </c>
      <c r="M204" s="1" t="s">
        <v>149</v>
      </c>
    </row>
    <row r="205" spans="1:13" x14ac:dyDescent="0.25">
      <c r="A205" s="1" t="s">
        <v>589</v>
      </c>
      <c r="B205" s="1" t="s">
        <v>65</v>
      </c>
      <c r="C205" s="1" t="s">
        <v>590</v>
      </c>
      <c r="D205" s="1" t="s">
        <v>67</v>
      </c>
      <c r="E205" s="1" t="s">
        <v>100</v>
      </c>
      <c r="F205" s="1" t="s">
        <v>40</v>
      </c>
      <c r="G205">
        <v>480459</v>
      </c>
      <c r="H205" s="1" t="s">
        <v>591</v>
      </c>
      <c r="I205" s="2">
        <v>45149</v>
      </c>
      <c r="J205">
        <v>78</v>
      </c>
      <c r="K205">
        <v>0.2</v>
      </c>
      <c r="L205" s="1" t="s">
        <v>29</v>
      </c>
      <c r="M205" s="1" t="s">
        <v>30</v>
      </c>
    </row>
    <row r="206" spans="1:13" x14ac:dyDescent="0.25">
      <c r="A206" s="1" t="s">
        <v>592</v>
      </c>
      <c r="B206" s="1" t="s">
        <v>173</v>
      </c>
      <c r="C206" s="1" t="s">
        <v>270</v>
      </c>
      <c r="D206" s="1" t="s">
        <v>46</v>
      </c>
      <c r="E206" s="1" t="s">
        <v>26</v>
      </c>
      <c r="F206" s="1" t="s">
        <v>40</v>
      </c>
      <c r="G206">
        <v>434729</v>
      </c>
      <c r="H206" s="1" t="s">
        <v>120</v>
      </c>
      <c r="I206" s="2">
        <v>45044</v>
      </c>
      <c r="J206">
        <v>94</v>
      </c>
      <c r="K206">
        <v>19.7</v>
      </c>
      <c r="L206" s="1" t="s">
        <v>96</v>
      </c>
      <c r="M206" s="1" t="s">
        <v>35</v>
      </c>
    </row>
    <row r="207" spans="1:13" x14ac:dyDescent="0.25">
      <c r="A207" s="1" t="s">
        <v>593</v>
      </c>
      <c r="B207" s="1" t="s">
        <v>80</v>
      </c>
      <c r="C207" s="1" t="s">
        <v>52</v>
      </c>
      <c r="D207" s="1" t="s">
        <v>25</v>
      </c>
      <c r="E207" s="1" t="s">
        <v>47</v>
      </c>
      <c r="F207" s="1" t="s">
        <v>129</v>
      </c>
      <c r="G207">
        <v>454599</v>
      </c>
      <c r="H207" s="1" t="s">
        <v>594</v>
      </c>
      <c r="I207" s="2"/>
      <c r="L207" s="1" t="s">
        <v>49</v>
      </c>
      <c r="M207" s="1" t="s">
        <v>30</v>
      </c>
    </row>
    <row r="208" spans="1:13" x14ac:dyDescent="0.25">
      <c r="A208" s="1" t="s">
        <v>595</v>
      </c>
      <c r="B208" s="1" t="s">
        <v>109</v>
      </c>
      <c r="C208" s="1" t="s">
        <v>596</v>
      </c>
      <c r="D208" s="1" t="s">
        <v>90</v>
      </c>
      <c r="E208" s="1" t="s">
        <v>26</v>
      </c>
      <c r="F208" s="1" t="s">
        <v>18</v>
      </c>
      <c r="G208">
        <v>236380</v>
      </c>
      <c r="H208" s="1" t="s">
        <v>259</v>
      </c>
      <c r="I208" s="2">
        <v>45678</v>
      </c>
      <c r="J208">
        <v>84</v>
      </c>
      <c r="L208" s="1" t="s">
        <v>20</v>
      </c>
      <c r="M208" s="1" t="s">
        <v>42</v>
      </c>
    </row>
    <row r="209" spans="1:13" x14ac:dyDescent="0.25">
      <c r="A209" s="1" t="s">
        <v>597</v>
      </c>
      <c r="B209" s="1" t="s">
        <v>173</v>
      </c>
      <c r="C209" s="1" t="s">
        <v>598</v>
      </c>
      <c r="D209" s="1" t="s">
        <v>16</v>
      </c>
      <c r="E209" s="1" t="s">
        <v>17</v>
      </c>
      <c r="F209" s="1" t="s">
        <v>40</v>
      </c>
      <c r="G209">
        <v>492788</v>
      </c>
      <c r="H209" s="1" t="s">
        <v>599</v>
      </c>
      <c r="I209" s="2">
        <v>45404</v>
      </c>
      <c r="J209">
        <v>50</v>
      </c>
      <c r="K209">
        <v>3.1</v>
      </c>
      <c r="L209" s="1" t="s">
        <v>20</v>
      </c>
      <c r="M209" s="1" t="s">
        <v>69</v>
      </c>
    </row>
    <row r="210" spans="1:13" x14ac:dyDescent="0.25">
      <c r="A210" s="1" t="s">
        <v>600</v>
      </c>
      <c r="B210" s="1" t="s">
        <v>37</v>
      </c>
      <c r="C210" s="1" t="s">
        <v>372</v>
      </c>
      <c r="D210" s="1" t="s">
        <v>90</v>
      </c>
      <c r="E210" s="1" t="s">
        <v>94</v>
      </c>
      <c r="F210" s="1" t="s">
        <v>129</v>
      </c>
      <c r="G210">
        <v>74160</v>
      </c>
      <c r="H210" s="1" t="s">
        <v>601</v>
      </c>
      <c r="I210" s="2"/>
      <c r="K210">
        <v>3.8</v>
      </c>
      <c r="L210" s="1" t="s">
        <v>20</v>
      </c>
      <c r="M210" s="1" t="s">
        <v>35</v>
      </c>
    </row>
    <row r="211" spans="1:13" x14ac:dyDescent="0.25">
      <c r="A211" s="1" t="s">
        <v>602</v>
      </c>
      <c r="B211" s="1" t="s">
        <v>59</v>
      </c>
      <c r="C211" s="1" t="s">
        <v>603</v>
      </c>
      <c r="D211" s="1" t="s">
        <v>46</v>
      </c>
      <c r="E211" s="1" t="s">
        <v>94</v>
      </c>
      <c r="F211" s="1" t="s">
        <v>129</v>
      </c>
      <c r="G211">
        <v>339015</v>
      </c>
      <c r="H211" s="1" t="s">
        <v>604</v>
      </c>
      <c r="I211" s="2"/>
      <c r="K211">
        <v>14.9</v>
      </c>
      <c r="L211" s="1" t="s">
        <v>29</v>
      </c>
      <c r="M211" s="1" t="s">
        <v>107</v>
      </c>
    </row>
    <row r="212" spans="1:13" x14ac:dyDescent="0.25">
      <c r="A212" s="1" t="s">
        <v>605</v>
      </c>
      <c r="B212" s="1" t="s">
        <v>88</v>
      </c>
      <c r="C212" s="1" t="s">
        <v>261</v>
      </c>
      <c r="D212" s="1" t="s">
        <v>39</v>
      </c>
      <c r="E212" s="1" t="s">
        <v>26</v>
      </c>
      <c r="F212" s="1" t="s">
        <v>40</v>
      </c>
      <c r="G212">
        <v>309376</v>
      </c>
      <c r="H212" s="1" t="s">
        <v>606</v>
      </c>
      <c r="I212" s="2">
        <v>45506</v>
      </c>
      <c r="J212">
        <v>47</v>
      </c>
      <c r="K212">
        <v>18.5</v>
      </c>
      <c r="L212" s="1" t="s">
        <v>96</v>
      </c>
      <c r="M212" s="1" t="s">
        <v>107</v>
      </c>
    </row>
    <row r="213" spans="1:13" x14ac:dyDescent="0.25">
      <c r="A213" s="1" t="s">
        <v>607</v>
      </c>
      <c r="B213" s="1" t="s">
        <v>80</v>
      </c>
      <c r="C213" s="1" t="s">
        <v>358</v>
      </c>
      <c r="D213" s="1" t="s">
        <v>16</v>
      </c>
      <c r="E213" s="1" t="s">
        <v>94</v>
      </c>
      <c r="F213" s="1" t="s">
        <v>40</v>
      </c>
      <c r="G213">
        <v>280306</v>
      </c>
      <c r="H213" s="1" t="s">
        <v>608</v>
      </c>
      <c r="I213" s="2">
        <v>45299</v>
      </c>
      <c r="J213">
        <v>159</v>
      </c>
      <c r="K213">
        <v>24.3</v>
      </c>
      <c r="L213" s="1" t="s">
        <v>49</v>
      </c>
      <c r="M213" s="1" t="s">
        <v>102</v>
      </c>
    </row>
    <row r="214" spans="1:13" x14ac:dyDescent="0.25">
      <c r="A214" s="1" t="s">
        <v>609</v>
      </c>
      <c r="B214" s="1" t="s">
        <v>173</v>
      </c>
      <c r="C214" s="1" t="s">
        <v>433</v>
      </c>
      <c r="D214" s="1" t="s">
        <v>46</v>
      </c>
      <c r="E214" s="1" t="s">
        <v>26</v>
      </c>
      <c r="F214" s="1" t="s">
        <v>40</v>
      </c>
      <c r="G214">
        <v>426211</v>
      </c>
      <c r="H214" s="1" t="s">
        <v>610</v>
      </c>
      <c r="I214" s="2">
        <v>45422</v>
      </c>
      <c r="J214">
        <v>82</v>
      </c>
      <c r="K214">
        <v>18.2</v>
      </c>
      <c r="L214" s="1" t="s">
        <v>49</v>
      </c>
      <c r="M214" s="1" t="s">
        <v>69</v>
      </c>
    </row>
    <row r="215" spans="1:13" x14ac:dyDescent="0.25">
      <c r="A215" s="1" t="s">
        <v>611</v>
      </c>
      <c r="B215" s="1" t="s">
        <v>23</v>
      </c>
      <c r="C215" s="1" t="s">
        <v>295</v>
      </c>
      <c r="D215" s="1" t="s">
        <v>90</v>
      </c>
      <c r="E215" s="1" t="s">
        <v>26</v>
      </c>
      <c r="F215" s="1" t="s">
        <v>33</v>
      </c>
      <c r="G215">
        <v>110529</v>
      </c>
      <c r="H215" s="1" t="s">
        <v>612</v>
      </c>
      <c r="I215" s="2"/>
      <c r="K215">
        <v>6.5</v>
      </c>
      <c r="L215" s="1" t="s">
        <v>96</v>
      </c>
      <c r="M215" s="1" t="s">
        <v>102</v>
      </c>
    </row>
    <row r="216" spans="1:13" x14ac:dyDescent="0.25">
      <c r="A216" s="1" t="s">
        <v>613</v>
      </c>
      <c r="B216" s="1" t="s">
        <v>109</v>
      </c>
      <c r="C216" s="1" t="s">
        <v>614</v>
      </c>
      <c r="D216" s="1" t="s">
        <v>39</v>
      </c>
      <c r="E216" s="1" t="s">
        <v>100</v>
      </c>
      <c r="F216" s="1" t="s">
        <v>40</v>
      </c>
      <c r="G216">
        <v>436814</v>
      </c>
      <c r="H216" s="1" t="s">
        <v>409</v>
      </c>
      <c r="I216" s="2">
        <v>45330</v>
      </c>
      <c r="J216">
        <v>158</v>
      </c>
      <c r="K216">
        <v>24</v>
      </c>
      <c r="L216" s="1" t="s">
        <v>49</v>
      </c>
      <c r="M216" s="1" t="s">
        <v>102</v>
      </c>
    </row>
    <row r="217" spans="1:13" x14ac:dyDescent="0.25">
      <c r="A217" s="1" t="s">
        <v>615</v>
      </c>
      <c r="B217" s="1" t="s">
        <v>104</v>
      </c>
      <c r="C217" s="1" t="s">
        <v>616</v>
      </c>
      <c r="D217" s="1" t="s">
        <v>25</v>
      </c>
      <c r="E217" s="1" t="s">
        <v>94</v>
      </c>
      <c r="F217" s="1" t="s">
        <v>33</v>
      </c>
      <c r="G217">
        <v>296634</v>
      </c>
      <c r="H217" s="1" t="s">
        <v>617</v>
      </c>
      <c r="I217" s="2"/>
      <c r="K217">
        <v>14.5</v>
      </c>
      <c r="L217" s="1" t="s">
        <v>29</v>
      </c>
      <c r="M217" s="1" t="s">
        <v>107</v>
      </c>
    </row>
    <row r="218" spans="1:13" x14ac:dyDescent="0.25">
      <c r="A218" s="1" t="s">
        <v>618</v>
      </c>
      <c r="B218" s="1" t="s">
        <v>59</v>
      </c>
      <c r="C218" s="1" t="s">
        <v>518</v>
      </c>
      <c r="D218" s="1" t="s">
        <v>46</v>
      </c>
      <c r="E218" s="1" t="s">
        <v>72</v>
      </c>
      <c r="F218" s="1" t="s">
        <v>40</v>
      </c>
      <c r="G218">
        <v>467671</v>
      </c>
      <c r="H218" s="1" t="s">
        <v>367</v>
      </c>
      <c r="I218" s="2">
        <v>44975</v>
      </c>
      <c r="J218">
        <v>45</v>
      </c>
      <c r="K218">
        <v>3.9</v>
      </c>
      <c r="L218" s="1" t="s">
        <v>20</v>
      </c>
      <c r="M218" s="1" t="s">
        <v>35</v>
      </c>
    </row>
    <row r="219" spans="1:13" x14ac:dyDescent="0.25">
      <c r="A219" s="1" t="s">
        <v>619</v>
      </c>
      <c r="B219" s="1" t="s">
        <v>109</v>
      </c>
      <c r="C219" s="1" t="s">
        <v>620</v>
      </c>
      <c r="D219" s="1" t="s">
        <v>90</v>
      </c>
      <c r="E219" s="1" t="s">
        <v>77</v>
      </c>
      <c r="F219" s="1" t="s">
        <v>33</v>
      </c>
      <c r="G219">
        <v>94981</v>
      </c>
      <c r="H219" s="1" t="s">
        <v>585</v>
      </c>
      <c r="I219" s="2"/>
      <c r="K219">
        <v>10</v>
      </c>
      <c r="L219" s="1" t="s">
        <v>20</v>
      </c>
      <c r="M219" s="1" t="s">
        <v>102</v>
      </c>
    </row>
    <row r="220" spans="1:13" x14ac:dyDescent="0.25">
      <c r="A220" s="1" t="s">
        <v>621</v>
      </c>
      <c r="B220" s="1" t="s">
        <v>14</v>
      </c>
      <c r="C220" s="1" t="s">
        <v>622</v>
      </c>
      <c r="D220" s="1" t="s">
        <v>67</v>
      </c>
      <c r="E220" s="1" t="s">
        <v>77</v>
      </c>
      <c r="F220" s="1" t="s">
        <v>129</v>
      </c>
      <c r="G220">
        <v>310933</v>
      </c>
      <c r="H220" s="1" t="s">
        <v>623</v>
      </c>
      <c r="I220" s="2"/>
      <c r="K220">
        <v>10.6</v>
      </c>
      <c r="L220" s="1" t="s">
        <v>29</v>
      </c>
      <c r="M220" s="1" t="s">
        <v>69</v>
      </c>
    </row>
    <row r="221" spans="1:13" x14ac:dyDescent="0.25">
      <c r="A221" s="1" t="s">
        <v>624</v>
      </c>
      <c r="B221" s="1" t="s">
        <v>14</v>
      </c>
      <c r="C221" s="1" t="s">
        <v>625</v>
      </c>
      <c r="D221" s="1" t="s">
        <v>46</v>
      </c>
      <c r="E221" s="1" t="s">
        <v>100</v>
      </c>
      <c r="F221" s="1" t="s">
        <v>53</v>
      </c>
      <c r="G221">
        <v>16326</v>
      </c>
      <c r="H221" s="1" t="s">
        <v>626</v>
      </c>
      <c r="I221" s="2"/>
      <c r="K221">
        <v>7.6</v>
      </c>
      <c r="L221" s="1" t="s">
        <v>20</v>
      </c>
      <c r="M221" s="1" t="s">
        <v>63</v>
      </c>
    </row>
    <row r="222" spans="1:13" x14ac:dyDescent="0.25">
      <c r="A222" s="1" t="s">
        <v>627</v>
      </c>
      <c r="B222" s="1" t="s">
        <v>109</v>
      </c>
      <c r="C222" s="1" t="s">
        <v>442</v>
      </c>
      <c r="D222" s="1" t="s">
        <v>67</v>
      </c>
      <c r="E222" s="1" t="s">
        <v>100</v>
      </c>
      <c r="F222" s="1" t="s">
        <v>18</v>
      </c>
      <c r="G222">
        <v>198085</v>
      </c>
      <c r="H222" s="1" t="s">
        <v>628</v>
      </c>
      <c r="I222" s="2">
        <v>45617</v>
      </c>
      <c r="J222">
        <v>144</v>
      </c>
      <c r="K222">
        <v>11.4</v>
      </c>
      <c r="L222" s="1" t="s">
        <v>20</v>
      </c>
      <c r="M222" s="1" t="s">
        <v>107</v>
      </c>
    </row>
    <row r="223" spans="1:13" x14ac:dyDescent="0.25">
      <c r="A223" s="1" t="s">
        <v>629</v>
      </c>
      <c r="B223" s="1" t="s">
        <v>59</v>
      </c>
      <c r="C223" s="1" t="s">
        <v>298</v>
      </c>
      <c r="D223" s="1" t="s">
        <v>90</v>
      </c>
      <c r="E223" s="1" t="s">
        <v>100</v>
      </c>
      <c r="F223" s="1" t="s">
        <v>27</v>
      </c>
      <c r="G223">
        <v>453079</v>
      </c>
      <c r="H223" s="1" t="s">
        <v>630</v>
      </c>
      <c r="I223" s="2"/>
      <c r="K223">
        <v>10.1</v>
      </c>
      <c r="L223" s="1" t="s">
        <v>20</v>
      </c>
      <c r="M223" s="1" t="s">
        <v>69</v>
      </c>
    </row>
    <row r="224" spans="1:13" x14ac:dyDescent="0.25">
      <c r="A224" s="1" t="s">
        <v>631</v>
      </c>
      <c r="B224" s="1" t="s">
        <v>65</v>
      </c>
      <c r="C224" s="1" t="s">
        <v>224</v>
      </c>
      <c r="D224" s="1" t="s">
        <v>46</v>
      </c>
      <c r="E224" s="1" t="s">
        <v>47</v>
      </c>
      <c r="F224" s="1" t="s">
        <v>40</v>
      </c>
      <c r="G224">
        <v>88112</v>
      </c>
      <c r="H224" s="1" t="s">
        <v>632</v>
      </c>
      <c r="I224" s="2">
        <v>45730</v>
      </c>
      <c r="J224">
        <v>112</v>
      </c>
      <c r="K224">
        <v>20.2</v>
      </c>
      <c r="L224" s="1" t="s">
        <v>49</v>
      </c>
      <c r="M224" s="1" t="s">
        <v>42</v>
      </c>
    </row>
    <row r="225" spans="1:13" x14ac:dyDescent="0.25">
      <c r="A225" s="1" t="s">
        <v>633</v>
      </c>
      <c r="B225" s="1" t="s">
        <v>23</v>
      </c>
      <c r="C225" s="1" t="s">
        <v>132</v>
      </c>
      <c r="D225" s="1" t="s">
        <v>46</v>
      </c>
      <c r="E225" s="1" t="s">
        <v>61</v>
      </c>
      <c r="F225" s="1" t="s">
        <v>129</v>
      </c>
      <c r="G225">
        <v>93684</v>
      </c>
      <c r="H225" s="1" t="s">
        <v>599</v>
      </c>
      <c r="I225" s="2"/>
      <c r="L225" s="1" t="s">
        <v>29</v>
      </c>
      <c r="M225" s="1" t="s">
        <v>69</v>
      </c>
    </row>
    <row r="226" spans="1:13" x14ac:dyDescent="0.25">
      <c r="A226" s="1" t="s">
        <v>634</v>
      </c>
      <c r="B226" s="1" t="s">
        <v>80</v>
      </c>
      <c r="C226" s="1" t="s">
        <v>635</v>
      </c>
      <c r="D226" s="1" t="s">
        <v>46</v>
      </c>
      <c r="E226" s="1" t="s">
        <v>47</v>
      </c>
      <c r="F226" s="1" t="s">
        <v>53</v>
      </c>
      <c r="G226">
        <v>213109</v>
      </c>
      <c r="H226" s="1" t="s">
        <v>101</v>
      </c>
      <c r="I226" s="2"/>
      <c r="K226">
        <v>4.4000000000000004</v>
      </c>
      <c r="L226" s="1" t="s">
        <v>96</v>
      </c>
      <c r="M226" s="1" t="s">
        <v>102</v>
      </c>
    </row>
    <row r="227" spans="1:13" x14ac:dyDescent="0.25">
      <c r="A227" s="1" t="s">
        <v>636</v>
      </c>
      <c r="B227" s="1" t="s">
        <v>44</v>
      </c>
      <c r="C227" s="1" t="s">
        <v>637</v>
      </c>
      <c r="D227" s="1" t="s">
        <v>90</v>
      </c>
      <c r="E227" s="1" t="s">
        <v>61</v>
      </c>
      <c r="F227" s="1" t="s">
        <v>40</v>
      </c>
      <c r="G227">
        <v>172067</v>
      </c>
      <c r="H227" s="1" t="s">
        <v>638</v>
      </c>
      <c r="I227" s="2">
        <v>45311</v>
      </c>
      <c r="J227">
        <v>178</v>
      </c>
      <c r="K227">
        <v>6</v>
      </c>
      <c r="L227" s="1" t="s">
        <v>96</v>
      </c>
      <c r="M227" s="1" t="s">
        <v>102</v>
      </c>
    </row>
    <row r="228" spans="1:13" x14ac:dyDescent="0.25">
      <c r="A228" s="1" t="s">
        <v>639</v>
      </c>
      <c r="B228" s="1" t="s">
        <v>173</v>
      </c>
      <c r="C228" s="1" t="s">
        <v>640</v>
      </c>
      <c r="D228" s="1" t="s">
        <v>46</v>
      </c>
      <c r="E228" s="1" t="s">
        <v>47</v>
      </c>
      <c r="F228" s="1" t="s">
        <v>33</v>
      </c>
      <c r="G228">
        <v>319005</v>
      </c>
      <c r="H228" s="1" t="s">
        <v>567</v>
      </c>
      <c r="I228" s="2"/>
      <c r="L228" s="1" t="s">
        <v>49</v>
      </c>
      <c r="M228" s="1" t="s">
        <v>42</v>
      </c>
    </row>
    <row r="229" spans="1:13" x14ac:dyDescent="0.25">
      <c r="A229" s="1" t="s">
        <v>641</v>
      </c>
      <c r="B229" s="1" t="s">
        <v>84</v>
      </c>
      <c r="C229" s="1" t="s">
        <v>415</v>
      </c>
      <c r="D229" s="1" t="s">
        <v>46</v>
      </c>
      <c r="E229" s="1" t="s">
        <v>61</v>
      </c>
      <c r="F229" s="1" t="s">
        <v>33</v>
      </c>
      <c r="G229">
        <v>202243</v>
      </c>
      <c r="H229" s="1" t="s">
        <v>642</v>
      </c>
      <c r="I229" s="2"/>
      <c r="K229">
        <v>0.3</v>
      </c>
      <c r="L229" s="1" t="s">
        <v>49</v>
      </c>
      <c r="M229" s="1" t="s">
        <v>69</v>
      </c>
    </row>
    <row r="230" spans="1:13" x14ac:dyDescent="0.25">
      <c r="A230" s="1" t="s">
        <v>643</v>
      </c>
      <c r="B230" s="1" t="s">
        <v>173</v>
      </c>
      <c r="C230" s="1" t="s">
        <v>644</v>
      </c>
      <c r="D230" s="1" t="s">
        <v>39</v>
      </c>
      <c r="E230" s="1" t="s">
        <v>47</v>
      </c>
      <c r="F230" s="1" t="s">
        <v>33</v>
      </c>
      <c r="G230">
        <v>318443</v>
      </c>
      <c r="H230" s="1" t="s">
        <v>645</v>
      </c>
      <c r="I230" s="2"/>
      <c r="L230" s="1" t="s">
        <v>29</v>
      </c>
      <c r="M230" s="1" t="s">
        <v>35</v>
      </c>
    </row>
    <row r="231" spans="1:13" x14ac:dyDescent="0.25">
      <c r="A231" s="1" t="s">
        <v>646</v>
      </c>
      <c r="B231" s="1" t="s">
        <v>88</v>
      </c>
      <c r="C231" s="1" t="s">
        <v>144</v>
      </c>
      <c r="D231" s="1" t="s">
        <v>46</v>
      </c>
      <c r="E231" s="1" t="s">
        <v>47</v>
      </c>
      <c r="F231" s="1" t="s">
        <v>40</v>
      </c>
      <c r="G231">
        <v>872105</v>
      </c>
      <c r="H231" s="1" t="s">
        <v>647</v>
      </c>
      <c r="I231" s="2">
        <v>45683</v>
      </c>
      <c r="J231">
        <v>51</v>
      </c>
      <c r="K231">
        <v>9.8000000000000007</v>
      </c>
      <c r="L231" s="1" t="s">
        <v>96</v>
      </c>
      <c r="M231" s="1" t="s">
        <v>42</v>
      </c>
    </row>
    <row r="232" spans="1:13" x14ac:dyDescent="0.25">
      <c r="A232" s="1" t="s">
        <v>648</v>
      </c>
      <c r="B232" s="1" t="s">
        <v>44</v>
      </c>
      <c r="C232" s="1" t="s">
        <v>497</v>
      </c>
      <c r="D232" s="1" t="s">
        <v>90</v>
      </c>
      <c r="E232" s="1" t="s">
        <v>72</v>
      </c>
      <c r="F232" s="1" t="s">
        <v>18</v>
      </c>
      <c r="G232">
        <v>303608</v>
      </c>
      <c r="H232" s="1" t="s">
        <v>404</v>
      </c>
      <c r="I232" s="2">
        <v>45590</v>
      </c>
      <c r="J232">
        <v>99</v>
      </c>
      <c r="K232">
        <v>1.7</v>
      </c>
      <c r="L232" s="1" t="s">
        <v>96</v>
      </c>
      <c r="M232" s="1" t="s">
        <v>149</v>
      </c>
    </row>
    <row r="233" spans="1:13" x14ac:dyDescent="0.25">
      <c r="A233" s="1" t="s">
        <v>649</v>
      </c>
      <c r="B233" s="1" t="s">
        <v>23</v>
      </c>
      <c r="C233" s="1" t="s">
        <v>650</v>
      </c>
      <c r="D233" s="1" t="s">
        <v>67</v>
      </c>
      <c r="E233" s="1" t="s">
        <v>17</v>
      </c>
      <c r="F233" s="1" t="s">
        <v>53</v>
      </c>
      <c r="G233">
        <v>419456</v>
      </c>
      <c r="H233" s="1" t="s">
        <v>651</v>
      </c>
      <c r="I233" s="2"/>
      <c r="K233">
        <v>3.4</v>
      </c>
      <c r="L233" s="1" t="s">
        <v>20</v>
      </c>
      <c r="M233" s="1" t="s">
        <v>63</v>
      </c>
    </row>
    <row r="234" spans="1:13" x14ac:dyDescent="0.25">
      <c r="A234" s="1" t="s">
        <v>652</v>
      </c>
      <c r="B234" s="1" t="s">
        <v>44</v>
      </c>
      <c r="C234" s="1" t="s">
        <v>308</v>
      </c>
      <c r="D234" s="1" t="s">
        <v>16</v>
      </c>
      <c r="E234" s="1" t="s">
        <v>100</v>
      </c>
      <c r="F234" s="1" t="s">
        <v>129</v>
      </c>
      <c r="G234">
        <v>268888</v>
      </c>
      <c r="H234" s="1" t="s">
        <v>268</v>
      </c>
      <c r="I234" s="2"/>
      <c r="L234" s="1" t="s">
        <v>20</v>
      </c>
      <c r="M234" s="1" t="s">
        <v>107</v>
      </c>
    </row>
    <row r="235" spans="1:13" x14ac:dyDescent="0.25">
      <c r="A235" s="1" t="s">
        <v>653</v>
      </c>
      <c r="B235" s="1" t="s">
        <v>84</v>
      </c>
      <c r="C235" s="1" t="s">
        <v>654</v>
      </c>
      <c r="D235" s="1" t="s">
        <v>90</v>
      </c>
      <c r="E235" s="1" t="s">
        <v>61</v>
      </c>
      <c r="F235" s="1" t="s">
        <v>53</v>
      </c>
      <c r="G235">
        <v>199584</v>
      </c>
      <c r="H235" s="1" t="s">
        <v>655</v>
      </c>
      <c r="I235" s="2"/>
      <c r="L235" s="1" t="s">
        <v>20</v>
      </c>
      <c r="M235" s="1" t="s">
        <v>42</v>
      </c>
    </row>
    <row r="236" spans="1:13" x14ac:dyDescent="0.25">
      <c r="A236" s="1" t="s">
        <v>656</v>
      </c>
      <c r="B236" s="1" t="s">
        <v>75</v>
      </c>
      <c r="C236" s="1" t="s">
        <v>135</v>
      </c>
      <c r="D236" s="1" t="s">
        <v>67</v>
      </c>
      <c r="E236" s="1" t="s">
        <v>26</v>
      </c>
      <c r="F236" s="1" t="s">
        <v>129</v>
      </c>
      <c r="G236">
        <v>460736</v>
      </c>
      <c r="H236" s="1" t="s">
        <v>437</v>
      </c>
      <c r="I236" s="2"/>
      <c r="K236">
        <v>9</v>
      </c>
      <c r="L236" s="1" t="s">
        <v>29</v>
      </c>
      <c r="M236" s="1" t="s">
        <v>30</v>
      </c>
    </row>
    <row r="237" spans="1:13" x14ac:dyDescent="0.25">
      <c r="A237" s="1" t="s">
        <v>657</v>
      </c>
      <c r="B237" s="1" t="s">
        <v>80</v>
      </c>
      <c r="C237" s="1" t="s">
        <v>313</v>
      </c>
      <c r="D237" s="1" t="s">
        <v>46</v>
      </c>
      <c r="E237" s="1" t="s">
        <v>100</v>
      </c>
      <c r="F237" s="1" t="s">
        <v>18</v>
      </c>
      <c r="G237">
        <v>182325</v>
      </c>
      <c r="H237" s="1" t="s">
        <v>658</v>
      </c>
      <c r="I237" s="2">
        <v>45820</v>
      </c>
      <c r="J237">
        <v>107</v>
      </c>
      <c r="K237">
        <v>4.7</v>
      </c>
      <c r="L237" s="1" t="s">
        <v>29</v>
      </c>
      <c r="M237" s="1" t="s">
        <v>63</v>
      </c>
    </row>
    <row r="238" spans="1:13" x14ac:dyDescent="0.25">
      <c r="A238" s="1" t="s">
        <v>659</v>
      </c>
      <c r="B238" s="1" t="s">
        <v>109</v>
      </c>
      <c r="C238" s="1" t="s">
        <v>603</v>
      </c>
      <c r="D238" s="1" t="s">
        <v>25</v>
      </c>
      <c r="E238" s="1" t="s">
        <v>100</v>
      </c>
      <c r="F238" s="1" t="s">
        <v>33</v>
      </c>
      <c r="G238">
        <v>32800</v>
      </c>
      <c r="H238" s="1" t="s">
        <v>660</v>
      </c>
      <c r="I238" s="2"/>
      <c r="L238" s="1" t="s">
        <v>20</v>
      </c>
      <c r="M238" s="1" t="s">
        <v>149</v>
      </c>
    </row>
    <row r="239" spans="1:13" x14ac:dyDescent="0.25">
      <c r="A239" s="1" t="s">
        <v>661</v>
      </c>
      <c r="B239" s="1" t="s">
        <v>173</v>
      </c>
      <c r="C239" s="1" t="s">
        <v>662</v>
      </c>
      <c r="D239" s="1" t="s">
        <v>67</v>
      </c>
      <c r="E239" s="1" t="s">
        <v>61</v>
      </c>
      <c r="F239" s="1" t="s">
        <v>40</v>
      </c>
      <c r="G239">
        <v>294005</v>
      </c>
      <c r="H239" s="1" t="s">
        <v>663</v>
      </c>
      <c r="I239" s="2">
        <v>45121</v>
      </c>
      <c r="J239">
        <v>39</v>
      </c>
      <c r="K239">
        <v>19.8</v>
      </c>
      <c r="L239" s="1" t="s">
        <v>29</v>
      </c>
      <c r="M239" s="1" t="s">
        <v>30</v>
      </c>
    </row>
    <row r="240" spans="1:13" x14ac:dyDescent="0.25">
      <c r="A240" s="1" t="s">
        <v>664</v>
      </c>
      <c r="B240" s="1" t="s">
        <v>23</v>
      </c>
      <c r="C240" s="1" t="s">
        <v>372</v>
      </c>
      <c r="D240" s="1" t="s">
        <v>39</v>
      </c>
      <c r="E240" s="1" t="s">
        <v>100</v>
      </c>
      <c r="F240" s="1" t="s">
        <v>53</v>
      </c>
      <c r="G240">
        <v>285629</v>
      </c>
      <c r="H240" s="1" t="s">
        <v>665</v>
      </c>
      <c r="I240" s="2"/>
      <c r="K240">
        <v>0.2</v>
      </c>
      <c r="L240" s="1" t="s">
        <v>29</v>
      </c>
      <c r="M240" s="1" t="s">
        <v>21</v>
      </c>
    </row>
    <row r="241" spans="1:13" x14ac:dyDescent="0.25">
      <c r="A241" s="1" t="s">
        <v>666</v>
      </c>
      <c r="B241" s="1" t="s">
        <v>88</v>
      </c>
      <c r="C241" s="1" t="s">
        <v>667</v>
      </c>
      <c r="D241" s="1" t="s">
        <v>90</v>
      </c>
      <c r="E241" s="1" t="s">
        <v>17</v>
      </c>
      <c r="F241" s="1" t="s">
        <v>40</v>
      </c>
      <c r="G241">
        <v>348997</v>
      </c>
      <c r="H241" s="1" t="s">
        <v>668</v>
      </c>
      <c r="I241" s="2">
        <v>45428</v>
      </c>
      <c r="J241">
        <v>31</v>
      </c>
      <c r="K241">
        <v>10.1</v>
      </c>
      <c r="L241" s="1" t="s">
        <v>29</v>
      </c>
      <c r="M241" s="1" t="s">
        <v>107</v>
      </c>
    </row>
    <row r="242" spans="1:13" x14ac:dyDescent="0.25">
      <c r="A242" s="1" t="s">
        <v>669</v>
      </c>
      <c r="B242" s="1" t="s">
        <v>23</v>
      </c>
      <c r="C242" s="1" t="s">
        <v>295</v>
      </c>
      <c r="D242" s="1" t="s">
        <v>90</v>
      </c>
      <c r="E242" s="1" t="s">
        <v>26</v>
      </c>
      <c r="F242" s="1" t="s">
        <v>53</v>
      </c>
      <c r="G242">
        <v>268643</v>
      </c>
      <c r="H242" s="1" t="s">
        <v>670</v>
      </c>
      <c r="I242" s="2"/>
      <c r="K242">
        <v>4.7</v>
      </c>
      <c r="L242" s="1" t="s">
        <v>96</v>
      </c>
      <c r="M242" s="1" t="s">
        <v>35</v>
      </c>
    </row>
    <row r="243" spans="1:13" x14ac:dyDescent="0.25">
      <c r="A243" s="1" t="s">
        <v>671</v>
      </c>
      <c r="B243" s="1" t="s">
        <v>80</v>
      </c>
      <c r="C243" s="1" t="s">
        <v>99</v>
      </c>
      <c r="D243" s="1" t="s">
        <v>46</v>
      </c>
      <c r="E243" s="1" t="s">
        <v>72</v>
      </c>
      <c r="F243" s="1" t="s">
        <v>18</v>
      </c>
      <c r="G243">
        <v>230636</v>
      </c>
      <c r="H243" s="1" t="s">
        <v>672</v>
      </c>
      <c r="I243" s="2">
        <v>45240</v>
      </c>
      <c r="J243">
        <v>94</v>
      </c>
      <c r="K243">
        <v>2.5</v>
      </c>
      <c r="L243" s="1" t="s">
        <v>20</v>
      </c>
      <c r="M243" s="1" t="s">
        <v>102</v>
      </c>
    </row>
    <row r="244" spans="1:13" x14ac:dyDescent="0.25">
      <c r="A244" s="1" t="s">
        <v>673</v>
      </c>
      <c r="B244" s="1" t="s">
        <v>59</v>
      </c>
      <c r="C244" s="1" t="s">
        <v>436</v>
      </c>
      <c r="D244" s="1" t="s">
        <v>16</v>
      </c>
      <c r="E244" s="1" t="s">
        <v>47</v>
      </c>
      <c r="F244" s="1" t="s">
        <v>18</v>
      </c>
      <c r="G244">
        <v>55605</v>
      </c>
      <c r="H244" s="1" t="s">
        <v>674</v>
      </c>
      <c r="I244" s="2">
        <v>45169</v>
      </c>
      <c r="J244">
        <v>177</v>
      </c>
      <c r="K244">
        <v>7.9</v>
      </c>
      <c r="L244" s="1" t="s">
        <v>29</v>
      </c>
      <c r="M244" s="1" t="s">
        <v>35</v>
      </c>
    </row>
    <row r="245" spans="1:13" x14ac:dyDescent="0.25">
      <c r="A245" s="1" t="s">
        <v>675</v>
      </c>
      <c r="B245" s="1" t="s">
        <v>37</v>
      </c>
      <c r="C245" s="1" t="s">
        <v>676</v>
      </c>
      <c r="D245" s="1" t="s">
        <v>16</v>
      </c>
      <c r="E245" s="1" t="s">
        <v>77</v>
      </c>
      <c r="F245" s="1" t="s">
        <v>18</v>
      </c>
      <c r="G245">
        <v>32067</v>
      </c>
      <c r="H245" s="1" t="s">
        <v>677</v>
      </c>
      <c r="I245" s="2">
        <v>45799</v>
      </c>
      <c r="J245">
        <v>82</v>
      </c>
      <c r="K245">
        <v>0.8</v>
      </c>
      <c r="L245" s="1" t="s">
        <v>29</v>
      </c>
      <c r="M245" s="1" t="s">
        <v>63</v>
      </c>
    </row>
    <row r="246" spans="1:13" x14ac:dyDescent="0.25">
      <c r="A246" s="1" t="s">
        <v>678</v>
      </c>
      <c r="B246" s="1" t="s">
        <v>75</v>
      </c>
      <c r="C246" s="1" t="s">
        <v>679</v>
      </c>
      <c r="D246" s="1" t="s">
        <v>25</v>
      </c>
      <c r="E246" s="1" t="s">
        <v>94</v>
      </c>
      <c r="F246" s="1" t="s">
        <v>40</v>
      </c>
      <c r="G246">
        <v>458096</v>
      </c>
      <c r="H246" s="1" t="s">
        <v>680</v>
      </c>
      <c r="I246" s="2">
        <v>45503</v>
      </c>
      <c r="J246">
        <v>70</v>
      </c>
      <c r="K246">
        <v>9.8000000000000007</v>
      </c>
      <c r="L246" s="1" t="s">
        <v>49</v>
      </c>
      <c r="M246" s="1" t="s">
        <v>107</v>
      </c>
    </row>
    <row r="247" spans="1:13" x14ac:dyDescent="0.25">
      <c r="A247" s="1" t="s">
        <v>681</v>
      </c>
      <c r="B247" s="1" t="s">
        <v>88</v>
      </c>
      <c r="C247" s="1" t="s">
        <v>93</v>
      </c>
      <c r="D247" s="1" t="s">
        <v>46</v>
      </c>
      <c r="E247" s="1" t="s">
        <v>47</v>
      </c>
      <c r="F247" s="1" t="s">
        <v>53</v>
      </c>
      <c r="G247">
        <v>264788</v>
      </c>
      <c r="H247" s="1" t="s">
        <v>682</v>
      </c>
      <c r="I247" s="2"/>
      <c r="K247">
        <v>4</v>
      </c>
      <c r="L247" s="1" t="s">
        <v>96</v>
      </c>
      <c r="M247" s="1" t="s">
        <v>63</v>
      </c>
    </row>
    <row r="248" spans="1:13" x14ac:dyDescent="0.25">
      <c r="A248" s="1" t="s">
        <v>683</v>
      </c>
      <c r="B248" s="1" t="s">
        <v>84</v>
      </c>
      <c r="C248" s="1" t="s">
        <v>144</v>
      </c>
      <c r="D248" s="1" t="s">
        <v>90</v>
      </c>
      <c r="E248" s="1" t="s">
        <v>47</v>
      </c>
      <c r="F248" s="1" t="s">
        <v>18</v>
      </c>
      <c r="G248">
        <v>255377</v>
      </c>
      <c r="H248" s="1" t="s">
        <v>684</v>
      </c>
      <c r="I248" s="2">
        <v>45770</v>
      </c>
      <c r="J248">
        <v>85</v>
      </c>
      <c r="L248" s="1" t="s">
        <v>49</v>
      </c>
      <c r="M248" s="1" t="s">
        <v>63</v>
      </c>
    </row>
    <row r="249" spans="1:13" x14ac:dyDescent="0.25">
      <c r="A249" s="1" t="s">
        <v>685</v>
      </c>
      <c r="B249" s="1" t="s">
        <v>75</v>
      </c>
      <c r="C249" s="1" t="s">
        <v>686</v>
      </c>
      <c r="D249" s="1" t="s">
        <v>16</v>
      </c>
      <c r="E249" s="1" t="s">
        <v>72</v>
      </c>
      <c r="F249" s="1" t="s">
        <v>40</v>
      </c>
      <c r="G249">
        <v>326859</v>
      </c>
      <c r="H249" s="1" t="s">
        <v>687</v>
      </c>
      <c r="I249" s="2">
        <v>45467</v>
      </c>
      <c r="J249">
        <v>59</v>
      </c>
      <c r="K249">
        <v>17.7</v>
      </c>
      <c r="L249" s="1" t="s">
        <v>29</v>
      </c>
      <c r="M249" s="1" t="s">
        <v>107</v>
      </c>
    </row>
    <row r="250" spans="1:13" x14ac:dyDescent="0.25">
      <c r="A250" s="1" t="s">
        <v>688</v>
      </c>
      <c r="B250" s="1" t="s">
        <v>37</v>
      </c>
      <c r="C250" s="1" t="s">
        <v>561</v>
      </c>
      <c r="D250" s="1" t="s">
        <v>16</v>
      </c>
      <c r="E250" s="1" t="s">
        <v>17</v>
      </c>
      <c r="F250" s="1" t="s">
        <v>27</v>
      </c>
      <c r="G250">
        <v>427129</v>
      </c>
      <c r="H250" s="1" t="s">
        <v>689</v>
      </c>
      <c r="I250" s="2"/>
      <c r="K250">
        <v>12.8</v>
      </c>
      <c r="L250" s="1" t="s">
        <v>20</v>
      </c>
      <c r="M250" s="1" t="s">
        <v>30</v>
      </c>
    </row>
    <row r="251" spans="1:13" x14ac:dyDescent="0.25">
      <c r="A251" s="1" t="s">
        <v>690</v>
      </c>
      <c r="B251" s="1" t="s">
        <v>84</v>
      </c>
      <c r="C251" s="1" t="s">
        <v>596</v>
      </c>
      <c r="D251" s="1" t="s">
        <v>16</v>
      </c>
      <c r="E251" s="1" t="s">
        <v>94</v>
      </c>
      <c r="F251" s="1" t="s">
        <v>18</v>
      </c>
      <c r="G251">
        <v>274020</v>
      </c>
      <c r="H251" s="1" t="s">
        <v>691</v>
      </c>
      <c r="I251" s="2">
        <v>45773</v>
      </c>
      <c r="J251">
        <v>53</v>
      </c>
      <c r="K251">
        <v>11.9</v>
      </c>
      <c r="L251" s="1" t="s">
        <v>96</v>
      </c>
      <c r="M251" s="1" t="s">
        <v>63</v>
      </c>
    </row>
    <row r="252" spans="1:13" x14ac:dyDescent="0.25">
      <c r="A252" s="1" t="s">
        <v>692</v>
      </c>
      <c r="B252" s="1" t="s">
        <v>75</v>
      </c>
      <c r="C252" s="1" t="s">
        <v>693</v>
      </c>
      <c r="D252" s="1" t="s">
        <v>67</v>
      </c>
      <c r="E252" s="1" t="s">
        <v>72</v>
      </c>
      <c r="F252" s="1" t="s">
        <v>53</v>
      </c>
      <c r="G252">
        <v>316943</v>
      </c>
      <c r="H252" s="1" t="s">
        <v>694</v>
      </c>
      <c r="I252" s="2"/>
      <c r="K252">
        <v>8.1999999999999993</v>
      </c>
      <c r="L252" s="1" t="s">
        <v>49</v>
      </c>
      <c r="M252" s="1" t="s">
        <v>42</v>
      </c>
    </row>
    <row r="253" spans="1:13" x14ac:dyDescent="0.25">
      <c r="A253" s="1" t="s">
        <v>695</v>
      </c>
      <c r="B253" s="1" t="s">
        <v>59</v>
      </c>
      <c r="C253" s="1" t="s">
        <v>696</v>
      </c>
      <c r="D253" s="1" t="s">
        <v>39</v>
      </c>
      <c r="E253" s="1" t="s">
        <v>61</v>
      </c>
      <c r="F253" s="1" t="s">
        <v>53</v>
      </c>
      <c r="G253">
        <v>466413</v>
      </c>
      <c r="H253" s="1" t="s">
        <v>697</v>
      </c>
      <c r="I253" s="2"/>
      <c r="K253">
        <v>8.1</v>
      </c>
      <c r="L253" s="1" t="s">
        <v>96</v>
      </c>
      <c r="M253" s="1" t="s">
        <v>42</v>
      </c>
    </row>
    <row r="254" spans="1:13" x14ac:dyDescent="0.25">
      <c r="A254" s="1" t="s">
        <v>239</v>
      </c>
      <c r="B254" s="1" t="s">
        <v>75</v>
      </c>
      <c r="C254" s="1" t="s">
        <v>157</v>
      </c>
      <c r="D254" s="1" t="s">
        <v>67</v>
      </c>
      <c r="E254" s="1" t="s">
        <v>47</v>
      </c>
      <c r="F254" s="1" t="s">
        <v>18</v>
      </c>
      <c r="G254">
        <v>139182</v>
      </c>
      <c r="H254" s="1" t="s">
        <v>240</v>
      </c>
      <c r="I254" s="2">
        <v>45343</v>
      </c>
      <c r="J254">
        <v>26</v>
      </c>
      <c r="L254" s="1" t="s">
        <v>96</v>
      </c>
      <c r="M254" s="1" t="s">
        <v>69</v>
      </c>
    </row>
    <row r="255" spans="1:13" x14ac:dyDescent="0.25">
      <c r="A255" s="1" t="s">
        <v>698</v>
      </c>
      <c r="B255" s="1" t="s">
        <v>44</v>
      </c>
      <c r="C255" s="1" t="s">
        <v>699</v>
      </c>
      <c r="D255" s="1" t="s">
        <v>90</v>
      </c>
      <c r="E255" s="1" t="s">
        <v>72</v>
      </c>
      <c r="F255" s="1" t="s">
        <v>129</v>
      </c>
      <c r="G255">
        <v>450810</v>
      </c>
      <c r="H255" s="1" t="s">
        <v>700</v>
      </c>
      <c r="I255" s="2"/>
      <c r="K255">
        <v>1.9</v>
      </c>
      <c r="L255" s="1" t="s">
        <v>49</v>
      </c>
      <c r="M255" s="1" t="s">
        <v>149</v>
      </c>
    </row>
    <row r="256" spans="1:13" x14ac:dyDescent="0.25">
      <c r="A256" s="1" t="s">
        <v>701</v>
      </c>
      <c r="B256" s="1" t="s">
        <v>98</v>
      </c>
      <c r="C256" s="1" t="s">
        <v>603</v>
      </c>
      <c r="D256" s="1" t="s">
        <v>25</v>
      </c>
      <c r="E256" s="1" t="s">
        <v>72</v>
      </c>
      <c r="F256" s="1" t="s">
        <v>53</v>
      </c>
      <c r="G256">
        <v>334379</v>
      </c>
      <c r="H256" s="1" t="s">
        <v>702</v>
      </c>
      <c r="I256" s="2"/>
      <c r="K256">
        <v>0.8</v>
      </c>
      <c r="L256" s="1" t="s">
        <v>29</v>
      </c>
      <c r="M256" s="1" t="s">
        <v>63</v>
      </c>
    </row>
    <row r="257" spans="1:13" x14ac:dyDescent="0.25">
      <c r="A257" s="1" t="s">
        <v>703</v>
      </c>
      <c r="B257" s="1" t="s">
        <v>88</v>
      </c>
      <c r="C257" s="1" t="s">
        <v>361</v>
      </c>
      <c r="D257" s="1" t="s">
        <v>67</v>
      </c>
      <c r="E257" s="1" t="s">
        <v>17</v>
      </c>
      <c r="F257" s="1" t="s">
        <v>40</v>
      </c>
      <c r="G257">
        <v>489851</v>
      </c>
      <c r="H257" s="1" t="s">
        <v>481</v>
      </c>
      <c r="I257" s="2">
        <v>45222</v>
      </c>
      <c r="J257">
        <v>114</v>
      </c>
      <c r="K257">
        <v>9.3000000000000007</v>
      </c>
      <c r="L257" s="1" t="s">
        <v>20</v>
      </c>
      <c r="M257" s="1" t="s">
        <v>102</v>
      </c>
    </row>
    <row r="258" spans="1:13" x14ac:dyDescent="0.25">
      <c r="A258" s="1" t="s">
        <v>704</v>
      </c>
      <c r="B258" s="1" t="s">
        <v>127</v>
      </c>
      <c r="C258" s="1" t="s">
        <v>705</v>
      </c>
      <c r="D258" s="1" t="s">
        <v>67</v>
      </c>
      <c r="E258" s="1" t="s">
        <v>100</v>
      </c>
      <c r="F258" s="1" t="s">
        <v>129</v>
      </c>
      <c r="G258">
        <v>447387</v>
      </c>
      <c r="H258" s="1" t="s">
        <v>706</v>
      </c>
      <c r="I258" s="2"/>
      <c r="L258" s="1" t="s">
        <v>96</v>
      </c>
      <c r="M258" s="1" t="s">
        <v>35</v>
      </c>
    </row>
    <row r="259" spans="1:13" x14ac:dyDescent="0.25">
      <c r="A259" s="1" t="s">
        <v>707</v>
      </c>
      <c r="B259" s="1" t="s">
        <v>88</v>
      </c>
      <c r="C259" s="1" t="s">
        <v>708</v>
      </c>
      <c r="D259" s="1" t="s">
        <v>67</v>
      </c>
      <c r="E259" s="1" t="s">
        <v>47</v>
      </c>
      <c r="F259" s="1" t="s">
        <v>33</v>
      </c>
      <c r="G259">
        <v>498286</v>
      </c>
      <c r="H259" s="1" t="s">
        <v>709</v>
      </c>
      <c r="I259" s="2"/>
      <c r="K259">
        <v>0.3</v>
      </c>
      <c r="L259" s="1" t="s">
        <v>29</v>
      </c>
      <c r="M259" s="1" t="s">
        <v>63</v>
      </c>
    </row>
    <row r="260" spans="1:13" x14ac:dyDescent="0.25">
      <c r="A260" s="1" t="s">
        <v>710</v>
      </c>
      <c r="B260" s="1" t="s">
        <v>75</v>
      </c>
      <c r="C260" s="1" t="s">
        <v>711</v>
      </c>
      <c r="D260" s="1" t="s">
        <v>16</v>
      </c>
      <c r="E260" s="1" t="s">
        <v>94</v>
      </c>
      <c r="F260" s="1" t="s">
        <v>129</v>
      </c>
      <c r="G260">
        <v>148099</v>
      </c>
      <c r="H260" s="1" t="s">
        <v>712</v>
      </c>
      <c r="I260" s="2"/>
      <c r="L260" s="1" t="s">
        <v>29</v>
      </c>
      <c r="M260" s="1" t="s">
        <v>107</v>
      </c>
    </row>
    <row r="261" spans="1:13" x14ac:dyDescent="0.25">
      <c r="A261" s="1" t="s">
        <v>713</v>
      </c>
      <c r="B261" s="1" t="s">
        <v>51</v>
      </c>
      <c r="C261" s="1" t="s">
        <v>52</v>
      </c>
      <c r="D261" s="1" t="s">
        <v>90</v>
      </c>
      <c r="E261" s="1" t="s">
        <v>94</v>
      </c>
      <c r="F261" s="1" t="s">
        <v>18</v>
      </c>
      <c r="G261">
        <v>25978</v>
      </c>
      <c r="H261" s="1" t="s">
        <v>714</v>
      </c>
      <c r="I261" s="2">
        <v>45657</v>
      </c>
      <c r="J261">
        <v>84</v>
      </c>
      <c r="K261">
        <v>12</v>
      </c>
      <c r="L261" s="1" t="s">
        <v>96</v>
      </c>
      <c r="M261" s="1" t="s">
        <v>42</v>
      </c>
    </row>
    <row r="262" spans="1:13" x14ac:dyDescent="0.25">
      <c r="A262" s="1" t="s">
        <v>715</v>
      </c>
      <c r="B262" s="1" t="s">
        <v>104</v>
      </c>
      <c r="C262" s="1" t="s">
        <v>318</v>
      </c>
      <c r="D262" s="1" t="s">
        <v>90</v>
      </c>
      <c r="E262" s="1" t="s">
        <v>26</v>
      </c>
      <c r="F262" s="1" t="s">
        <v>18</v>
      </c>
      <c r="G262">
        <v>199807</v>
      </c>
      <c r="H262" s="1" t="s">
        <v>716</v>
      </c>
      <c r="I262" s="2">
        <v>45228</v>
      </c>
      <c r="J262">
        <v>27</v>
      </c>
      <c r="L262" s="1" t="s">
        <v>49</v>
      </c>
      <c r="M262" s="1" t="s">
        <v>21</v>
      </c>
    </row>
    <row r="263" spans="1:13" x14ac:dyDescent="0.25">
      <c r="A263" s="1" t="s">
        <v>717</v>
      </c>
      <c r="B263" s="1" t="s">
        <v>98</v>
      </c>
      <c r="C263" s="1" t="s">
        <v>454</v>
      </c>
      <c r="D263" s="1" t="s">
        <v>90</v>
      </c>
      <c r="E263" s="1" t="s">
        <v>26</v>
      </c>
      <c r="F263" s="1" t="s">
        <v>18</v>
      </c>
      <c r="G263">
        <v>486514</v>
      </c>
      <c r="H263" s="1" t="s">
        <v>718</v>
      </c>
      <c r="I263" s="2">
        <v>45432</v>
      </c>
      <c r="J263">
        <v>32</v>
      </c>
      <c r="K263">
        <v>0.5</v>
      </c>
      <c r="L263" s="1" t="s">
        <v>20</v>
      </c>
      <c r="M263" s="1" t="s">
        <v>107</v>
      </c>
    </row>
    <row r="264" spans="1:13" x14ac:dyDescent="0.25">
      <c r="A264" s="1" t="s">
        <v>719</v>
      </c>
      <c r="B264" s="1" t="s">
        <v>98</v>
      </c>
      <c r="C264" s="1" t="s">
        <v>720</v>
      </c>
      <c r="D264" s="1" t="s">
        <v>16</v>
      </c>
      <c r="E264" s="1" t="s">
        <v>26</v>
      </c>
      <c r="F264" s="1" t="s">
        <v>40</v>
      </c>
      <c r="G264">
        <v>93900</v>
      </c>
      <c r="H264" s="1" t="s">
        <v>721</v>
      </c>
      <c r="I264" s="2">
        <v>45895</v>
      </c>
      <c r="J264">
        <v>153</v>
      </c>
      <c r="K264">
        <v>6</v>
      </c>
      <c r="L264" s="1" t="s">
        <v>49</v>
      </c>
      <c r="M264" s="1" t="s">
        <v>63</v>
      </c>
    </row>
    <row r="265" spans="1:13" x14ac:dyDescent="0.25">
      <c r="A265" s="1" t="s">
        <v>722</v>
      </c>
      <c r="B265" s="1" t="s">
        <v>98</v>
      </c>
      <c r="C265" s="1" t="s">
        <v>313</v>
      </c>
      <c r="D265" s="1" t="s">
        <v>39</v>
      </c>
      <c r="E265" s="1" t="s">
        <v>94</v>
      </c>
      <c r="F265" s="1" t="s">
        <v>129</v>
      </c>
      <c r="G265">
        <v>327064</v>
      </c>
      <c r="H265" s="1" t="s">
        <v>238</v>
      </c>
      <c r="I265" s="2"/>
      <c r="K265">
        <v>12.2</v>
      </c>
      <c r="L265" s="1" t="s">
        <v>96</v>
      </c>
      <c r="M265" s="1" t="s">
        <v>35</v>
      </c>
    </row>
    <row r="266" spans="1:13" x14ac:dyDescent="0.25">
      <c r="A266" s="1" t="s">
        <v>723</v>
      </c>
      <c r="B266" s="1" t="s">
        <v>173</v>
      </c>
      <c r="C266" s="1" t="s">
        <v>724</v>
      </c>
      <c r="D266" s="1" t="s">
        <v>90</v>
      </c>
      <c r="E266" s="1" t="s">
        <v>100</v>
      </c>
      <c r="F266" s="1" t="s">
        <v>129</v>
      </c>
      <c r="G266">
        <v>70360</v>
      </c>
      <c r="H266" s="1" t="s">
        <v>725</v>
      </c>
      <c r="I266" s="2"/>
      <c r="K266">
        <v>11.1</v>
      </c>
      <c r="L266" s="1" t="s">
        <v>29</v>
      </c>
      <c r="M266" s="1" t="s">
        <v>21</v>
      </c>
    </row>
    <row r="267" spans="1:13" x14ac:dyDescent="0.25">
      <c r="A267" s="1" t="s">
        <v>726</v>
      </c>
      <c r="B267" s="1" t="s">
        <v>127</v>
      </c>
      <c r="C267" s="1" t="s">
        <v>433</v>
      </c>
      <c r="D267" s="1" t="s">
        <v>67</v>
      </c>
      <c r="E267" s="1" t="s">
        <v>26</v>
      </c>
      <c r="F267" s="1" t="s">
        <v>18</v>
      </c>
      <c r="G267">
        <v>150024</v>
      </c>
      <c r="H267" s="1" t="s">
        <v>727</v>
      </c>
      <c r="I267" s="2">
        <v>45519</v>
      </c>
      <c r="J267">
        <v>114</v>
      </c>
      <c r="L267" s="1" t="s">
        <v>49</v>
      </c>
      <c r="M267" s="1" t="s">
        <v>107</v>
      </c>
    </row>
    <row r="268" spans="1:13" x14ac:dyDescent="0.25">
      <c r="A268" s="1" t="s">
        <v>728</v>
      </c>
      <c r="B268" s="1" t="s">
        <v>104</v>
      </c>
      <c r="C268" s="1" t="s">
        <v>162</v>
      </c>
      <c r="D268" s="1" t="s">
        <v>46</v>
      </c>
      <c r="E268" s="1" t="s">
        <v>51</v>
      </c>
      <c r="F268" s="1" t="s">
        <v>18</v>
      </c>
      <c r="G268">
        <v>454636</v>
      </c>
      <c r="H268" s="1" t="s">
        <v>431</v>
      </c>
      <c r="I268" s="2">
        <v>45579</v>
      </c>
      <c r="J268">
        <v>96</v>
      </c>
      <c r="K268">
        <v>5.0999999999999996</v>
      </c>
      <c r="L268" s="1" t="s">
        <v>20</v>
      </c>
      <c r="M268" s="1" t="s">
        <v>149</v>
      </c>
    </row>
    <row r="269" spans="1:13" x14ac:dyDescent="0.25">
      <c r="A269" s="1" t="s">
        <v>729</v>
      </c>
      <c r="B269" s="1" t="s">
        <v>14</v>
      </c>
      <c r="C269" s="1" t="s">
        <v>71</v>
      </c>
      <c r="D269" s="1" t="s">
        <v>46</v>
      </c>
      <c r="E269" s="1" t="s">
        <v>94</v>
      </c>
      <c r="F269" s="1" t="s">
        <v>40</v>
      </c>
      <c r="G269">
        <v>355640</v>
      </c>
      <c r="H269" s="1" t="s">
        <v>730</v>
      </c>
      <c r="I269" s="2">
        <v>45062</v>
      </c>
      <c r="J269">
        <v>51</v>
      </c>
      <c r="K269">
        <v>16</v>
      </c>
      <c r="L269" s="1" t="s">
        <v>96</v>
      </c>
      <c r="M269" s="1" t="s">
        <v>35</v>
      </c>
    </row>
    <row r="270" spans="1:13" x14ac:dyDescent="0.25">
      <c r="A270" s="1" t="s">
        <v>731</v>
      </c>
      <c r="B270" s="1" t="s">
        <v>80</v>
      </c>
      <c r="C270" s="1" t="s">
        <v>732</v>
      </c>
      <c r="D270" s="1" t="s">
        <v>90</v>
      </c>
      <c r="E270" s="1" t="s">
        <v>26</v>
      </c>
      <c r="F270" s="1" t="s">
        <v>40</v>
      </c>
      <c r="G270">
        <v>478302</v>
      </c>
      <c r="H270" s="1" t="s">
        <v>733</v>
      </c>
      <c r="I270" s="2">
        <v>45454</v>
      </c>
      <c r="J270">
        <v>92</v>
      </c>
      <c r="K270">
        <v>1.1000000000000001</v>
      </c>
      <c r="L270" s="1" t="s">
        <v>49</v>
      </c>
      <c r="M270" s="1" t="s">
        <v>69</v>
      </c>
    </row>
    <row r="271" spans="1:13" x14ac:dyDescent="0.25">
      <c r="A271" s="1" t="s">
        <v>734</v>
      </c>
      <c r="B271" s="1" t="s">
        <v>104</v>
      </c>
      <c r="C271" s="1" t="s">
        <v>735</v>
      </c>
      <c r="D271" s="1" t="s">
        <v>39</v>
      </c>
      <c r="E271" s="1" t="s">
        <v>72</v>
      </c>
      <c r="F271" s="1" t="s">
        <v>40</v>
      </c>
      <c r="G271">
        <v>134630</v>
      </c>
      <c r="H271" s="1" t="s">
        <v>148</v>
      </c>
      <c r="I271" s="2">
        <v>45601</v>
      </c>
      <c r="J271">
        <v>126</v>
      </c>
      <c r="K271">
        <v>8.5</v>
      </c>
      <c r="L271" s="1" t="s">
        <v>96</v>
      </c>
      <c r="M271" s="1" t="s">
        <v>149</v>
      </c>
    </row>
    <row r="272" spans="1:13" x14ac:dyDescent="0.25">
      <c r="A272" s="1" t="s">
        <v>736</v>
      </c>
      <c r="B272" s="1" t="s">
        <v>75</v>
      </c>
      <c r="C272" s="1" t="s">
        <v>737</v>
      </c>
      <c r="D272" s="1" t="s">
        <v>90</v>
      </c>
      <c r="E272" s="1" t="s">
        <v>94</v>
      </c>
      <c r="F272" s="1" t="s">
        <v>129</v>
      </c>
      <c r="G272">
        <v>120897</v>
      </c>
      <c r="H272" s="1" t="s">
        <v>738</v>
      </c>
      <c r="I272" s="2"/>
      <c r="K272">
        <v>8.1999999999999993</v>
      </c>
      <c r="L272" s="1" t="s">
        <v>29</v>
      </c>
      <c r="M272" s="1" t="s">
        <v>107</v>
      </c>
    </row>
    <row r="273" spans="1:13" x14ac:dyDescent="0.25">
      <c r="A273" s="1" t="s">
        <v>739</v>
      </c>
      <c r="B273" s="1" t="s">
        <v>23</v>
      </c>
      <c r="C273" s="1" t="s">
        <v>679</v>
      </c>
      <c r="D273" s="1" t="s">
        <v>16</v>
      </c>
      <c r="E273" s="1" t="s">
        <v>26</v>
      </c>
      <c r="F273" s="1" t="s">
        <v>18</v>
      </c>
      <c r="G273">
        <v>416074</v>
      </c>
      <c r="H273" s="1" t="s">
        <v>740</v>
      </c>
      <c r="I273" s="2">
        <v>45675</v>
      </c>
      <c r="J273">
        <v>138</v>
      </c>
      <c r="K273">
        <v>10.3</v>
      </c>
      <c r="L273" s="1" t="s">
        <v>96</v>
      </c>
      <c r="M273" s="1" t="s">
        <v>149</v>
      </c>
    </row>
    <row r="274" spans="1:13" x14ac:dyDescent="0.25">
      <c r="A274" s="1" t="s">
        <v>741</v>
      </c>
      <c r="B274" s="1" t="s">
        <v>88</v>
      </c>
      <c r="C274" s="1" t="s">
        <v>423</v>
      </c>
      <c r="D274" s="1" t="s">
        <v>39</v>
      </c>
      <c r="E274" s="1" t="s">
        <v>61</v>
      </c>
      <c r="F274" s="1" t="s">
        <v>40</v>
      </c>
      <c r="G274">
        <v>262442</v>
      </c>
      <c r="H274" s="1" t="s">
        <v>742</v>
      </c>
      <c r="I274" s="2">
        <v>45550</v>
      </c>
      <c r="J274">
        <v>152</v>
      </c>
      <c r="K274">
        <v>11.6</v>
      </c>
      <c r="L274" s="1" t="s">
        <v>20</v>
      </c>
      <c r="M274" s="1" t="s">
        <v>107</v>
      </c>
    </row>
    <row r="275" spans="1:13" x14ac:dyDescent="0.25">
      <c r="A275" s="1" t="s">
        <v>743</v>
      </c>
      <c r="B275" s="1" t="s">
        <v>84</v>
      </c>
      <c r="C275" s="1" t="s">
        <v>110</v>
      </c>
      <c r="D275" s="1" t="s">
        <v>39</v>
      </c>
      <c r="E275" s="1" t="s">
        <v>26</v>
      </c>
      <c r="F275" s="1" t="s">
        <v>129</v>
      </c>
      <c r="G275">
        <v>49032</v>
      </c>
      <c r="H275" s="1" t="s">
        <v>744</v>
      </c>
      <c r="I275" s="2"/>
      <c r="K275">
        <v>13.2</v>
      </c>
      <c r="L275" s="1" t="s">
        <v>49</v>
      </c>
      <c r="M275" s="1" t="s">
        <v>42</v>
      </c>
    </row>
    <row r="276" spans="1:13" x14ac:dyDescent="0.25">
      <c r="A276" s="1" t="s">
        <v>745</v>
      </c>
      <c r="B276" s="1" t="s">
        <v>109</v>
      </c>
      <c r="C276" s="1" t="s">
        <v>247</v>
      </c>
      <c r="D276" s="1" t="s">
        <v>16</v>
      </c>
      <c r="E276" s="1" t="s">
        <v>100</v>
      </c>
      <c r="F276" s="1" t="s">
        <v>27</v>
      </c>
      <c r="G276">
        <v>355099</v>
      </c>
      <c r="H276" s="1" t="s">
        <v>86</v>
      </c>
      <c r="I276" s="2"/>
      <c r="K276">
        <v>2.2000000000000002</v>
      </c>
      <c r="L276" s="1" t="s">
        <v>96</v>
      </c>
      <c r="M276" s="1" t="s">
        <v>69</v>
      </c>
    </row>
    <row r="277" spans="1:13" x14ac:dyDescent="0.25">
      <c r="A277" s="1" t="s">
        <v>746</v>
      </c>
      <c r="B277" s="1" t="s">
        <v>104</v>
      </c>
      <c r="C277" s="1" t="s">
        <v>747</v>
      </c>
      <c r="D277" s="1" t="s">
        <v>90</v>
      </c>
      <c r="E277" s="1" t="s">
        <v>17</v>
      </c>
      <c r="F277" s="1" t="s">
        <v>27</v>
      </c>
      <c r="G277">
        <v>114932</v>
      </c>
      <c r="H277" s="1" t="s">
        <v>522</v>
      </c>
      <c r="I277" s="2"/>
      <c r="K277">
        <v>2.8</v>
      </c>
      <c r="L277" s="1" t="s">
        <v>96</v>
      </c>
      <c r="M277" s="1" t="s">
        <v>63</v>
      </c>
    </row>
    <row r="278" spans="1:13" x14ac:dyDescent="0.25">
      <c r="A278" s="1" t="s">
        <v>748</v>
      </c>
      <c r="B278" s="1" t="s">
        <v>88</v>
      </c>
      <c r="C278" s="1" t="s">
        <v>536</v>
      </c>
      <c r="D278" s="1" t="s">
        <v>39</v>
      </c>
      <c r="E278" s="1" t="s">
        <v>100</v>
      </c>
      <c r="F278" s="1" t="s">
        <v>18</v>
      </c>
      <c r="G278">
        <v>36906</v>
      </c>
      <c r="H278" s="1" t="s">
        <v>684</v>
      </c>
      <c r="I278" s="2">
        <v>45725</v>
      </c>
      <c r="J278">
        <v>40</v>
      </c>
      <c r="K278">
        <v>6</v>
      </c>
      <c r="L278" s="1" t="s">
        <v>20</v>
      </c>
      <c r="M278" s="1" t="s">
        <v>63</v>
      </c>
    </row>
    <row r="279" spans="1:13" x14ac:dyDescent="0.25">
      <c r="A279" s="1" t="s">
        <v>749</v>
      </c>
      <c r="B279" s="1" t="s">
        <v>88</v>
      </c>
      <c r="C279" s="1" t="s">
        <v>151</v>
      </c>
      <c r="D279" s="1" t="s">
        <v>25</v>
      </c>
      <c r="E279" s="1" t="s">
        <v>94</v>
      </c>
      <c r="F279" s="1" t="s">
        <v>40</v>
      </c>
      <c r="G279">
        <v>328490</v>
      </c>
      <c r="H279" s="1" t="s">
        <v>750</v>
      </c>
      <c r="I279" s="2">
        <v>45051</v>
      </c>
      <c r="J279">
        <v>77</v>
      </c>
      <c r="K279">
        <v>1.1000000000000001</v>
      </c>
      <c r="L279" s="1" t="s">
        <v>20</v>
      </c>
      <c r="M279" s="1" t="s">
        <v>35</v>
      </c>
    </row>
    <row r="280" spans="1:13" x14ac:dyDescent="0.25">
      <c r="A280" s="1" t="s">
        <v>751</v>
      </c>
      <c r="B280" s="1" t="s">
        <v>80</v>
      </c>
      <c r="C280" s="1" t="s">
        <v>635</v>
      </c>
      <c r="D280" s="1" t="s">
        <v>25</v>
      </c>
      <c r="E280" s="1" t="s">
        <v>47</v>
      </c>
      <c r="F280" s="1" t="s">
        <v>129</v>
      </c>
      <c r="G280">
        <v>460181</v>
      </c>
      <c r="H280" s="1" t="s">
        <v>752</v>
      </c>
      <c r="I280" s="2"/>
      <c r="L280" s="1" t="s">
        <v>96</v>
      </c>
      <c r="M280" s="1" t="s">
        <v>63</v>
      </c>
    </row>
    <row r="281" spans="1:13" x14ac:dyDescent="0.25">
      <c r="A281" s="1" t="s">
        <v>753</v>
      </c>
      <c r="B281" s="1" t="s">
        <v>98</v>
      </c>
      <c r="C281" s="1" t="s">
        <v>192</v>
      </c>
      <c r="D281" s="1" t="s">
        <v>46</v>
      </c>
      <c r="E281" s="1" t="s">
        <v>17</v>
      </c>
      <c r="F281" s="1" t="s">
        <v>129</v>
      </c>
      <c r="G281">
        <v>90351</v>
      </c>
      <c r="H281" s="1" t="s">
        <v>754</v>
      </c>
      <c r="I281" s="2"/>
      <c r="K281">
        <v>8.1</v>
      </c>
      <c r="L281" s="1" t="s">
        <v>20</v>
      </c>
      <c r="M281" s="1" t="s">
        <v>42</v>
      </c>
    </row>
    <row r="282" spans="1:13" x14ac:dyDescent="0.25">
      <c r="A282" s="1" t="s">
        <v>755</v>
      </c>
      <c r="B282" s="1" t="s">
        <v>65</v>
      </c>
      <c r="C282" s="1" t="s">
        <v>561</v>
      </c>
      <c r="D282" s="1" t="s">
        <v>25</v>
      </c>
      <c r="E282" s="1" t="s">
        <v>100</v>
      </c>
      <c r="F282" s="1" t="s">
        <v>40</v>
      </c>
      <c r="G282">
        <v>160473</v>
      </c>
      <c r="H282" s="1" t="s">
        <v>756</v>
      </c>
      <c r="I282" s="2">
        <v>45117</v>
      </c>
      <c r="J282">
        <v>84</v>
      </c>
      <c r="K282">
        <v>16.5</v>
      </c>
      <c r="L282" s="1" t="s">
        <v>49</v>
      </c>
      <c r="M282" s="1" t="s">
        <v>30</v>
      </c>
    </row>
    <row r="283" spans="1:13" x14ac:dyDescent="0.25">
      <c r="A283" s="1" t="s">
        <v>368</v>
      </c>
      <c r="B283" s="1" t="s">
        <v>88</v>
      </c>
      <c r="C283" s="1" t="s">
        <v>177</v>
      </c>
      <c r="D283" s="1" t="s">
        <v>67</v>
      </c>
      <c r="E283" s="1" t="s">
        <v>94</v>
      </c>
      <c r="F283" s="1" t="s">
        <v>40</v>
      </c>
      <c r="G283">
        <v>94909</v>
      </c>
      <c r="H283" s="1" t="s">
        <v>369</v>
      </c>
      <c r="I283" s="2">
        <v>45499</v>
      </c>
      <c r="J283">
        <v>105</v>
      </c>
      <c r="K283">
        <v>21.5</v>
      </c>
      <c r="L283" s="1" t="s">
        <v>96</v>
      </c>
      <c r="M283" s="1" t="s">
        <v>107</v>
      </c>
    </row>
    <row r="284" spans="1:13" x14ac:dyDescent="0.25">
      <c r="A284" s="1" t="s">
        <v>757</v>
      </c>
      <c r="B284" s="1" t="s">
        <v>88</v>
      </c>
      <c r="C284" s="1" t="s">
        <v>334</v>
      </c>
      <c r="D284" s="1" t="s">
        <v>67</v>
      </c>
      <c r="E284" s="1" t="s">
        <v>26</v>
      </c>
      <c r="F284" s="1" t="s">
        <v>18</v>
      </c>
      <c r="G284">
        <v>436123</v>
      </c>
      <c r="H284" s="1" t="s">
        <v>758</v>
      </c>
      <c r="I284" s="2">
        <v>45183</v>
      </c>
      <c r="J284">
        <v>81</v>
      </c>
      <c r="L284" s="1" t="s">
        <v>96</v>
      </c>
      <c r="M284" s="1" t="s">
        <v>30</v>
      </c>
    </row>
    <row r="285" spans="1:13" x14ac:dyDescent="0.25">
      <c r="A285" s="1" t="s">
        <v>759</v>
      </c>
      <c r="B285" s="1" t="s">
        <v>44</v>
      </c>
      <c r="C285" s="1" t="s">
        <v>218</v>
      </c>
      <c r="D285" s="1" t="s">
        <v>90</v>
      </c>
      <c r="E285" s="1" t="s">
        <v>47</v>
      </c>
      <c r="F285" s="1" t="s">
        <v>53</v>
      </c>
      <c r="G285">
        <v>50606</v>
      </c>
      <c r="H285" s="1" t="s">
        <v>725</v>
      </c>
      <c r="I285" s="2"/>
      <c r="K285">
        <v>8.6</v>
      </c>
      <c r="L285" s="1" t="s">
        <v>20</v>
      </c>
      <c r="M285" s="1" t="s">
        <v>21</v>
      </c>
    </row>
    <row r="286" spans="1:13" x14ac:dyDescent="0.25">
      <c r="A286" s="1" t="s">
        <v>760</v>
      </c>
      <c r="B286" s="1" t="s">
        <v>109</v>
      </c>
      <c r="C286" s="1" t="s">
        <v>180</v>
      </c>
      <c r="D286" s="1" t="s">
        <v>46</v>
      </c>
      <c r="E286" s="1" t="s">
        <v>77</v>
      </c>
      <c r="F286" s="1" t="s">
        <v>33</v>
      </c>
      <c r="G286">
        <v>52139</v>
      </c>
      <c r="H286" s="1" t="s">
        <v>761</v>
      </c>
      <c r="I286" s="2"/>
      <c r="K286">
        <v>6.5</v>
      </c>
      <c r="L286" s="1" t="s">
        <v>29</v>
      </c>
      <c r="M286" s="1" t="s">
        <v>102</v>
      </c>
    </row>
    <row r="287" spans="1:13" x14ac:dyDescent="0.25">
      <c r="A287" s="1" t="s">
        <v>762</v>
      </c>
      <c r="B287" s="1" t="s">
        <v>84</v>
      </c>
      <c r="C287" s="1" t="s">
        <v>89</v>
      </c>
      <c r="D287" s="1" t="s">
        <v>46</v>
      </c>
      <c r="E287" s="1" t="s">
        <v>94</v>
      </c>
      <c r="F287" s="1" t="s">
        <v>40</v>
      </c>
      <c r="G287">
        <v>480821</v>
      </c>
      <c r="H287" s="1" t="s">
        <v>763</v>
      </c>
      <c r="I287" s="2">
        <v>45740</v>
      </c>
      <c r="J287">
        <v>123</v>
      </c>
      <c r="K287">
        <v>13.4</v>
      </c>
      <c r="L287" s="1" t="s">
        <v>49</v>
      </c>
      <c r="M287" s="1" t="s">
        <v>42</v>
      </c>
    </row>
    <row r="288" spans="1:13" x14ac:dyDescent="0.25">
      <c r="A288" s="1" t="s">
        <v>764</v>
      </c>
      <c r="B288" s="1" t="s">
        <v>59</v>
      </c>
      <c r="C288" s="1" t="s">
        <v>116</v>
      </c>
      <c r="D288" s="1" t="s">
        <v>90</v>
      </c>
      <c r="E288" s="1" t="s">
        <v>77</v>
      </c>
      <c r="F288" s="1" t="s">
        <v>18</v>
      </c>
      <c r="G288">
        <v>435908</v>
      </c>
      <c r="H288" s="1" t="s">
        <v>765</v>
      </c>
      <c r="I288" s="2">
        <v>45190</v>
      </c>
      <c r="J288">
        <v>70</v>
      </c>
      <c r="L288" s="1" t="s">
        <v>29</v>
      </c>
      <c r="M288" s="1" t="s">
        <v>102</v>
      </c>
    </row>
    <row r="289" spans="1:13" x14ac:dyDescent="0.25">
      <c r="A289" s="1" t="s">
        <v>766</v>
      </c>
      <c r="B289" s="1" t="s">
        <v>23</v>
      </c>
      <c r="C289" s="1" t="s">
        <v>767</v>
      </c>
      <c r="D289" s="1" t="s">
        <v>16</v>
      </c>
      <c r="E289" s="1" t="s">
        <v>61</v>
      </c>
      <c r="F289" s="1" t="s">
        <v>129</v>
      </c>
      <c r="G289">
        <v>338156</v>
      </c>
      <c r="H289" s="1" t="s">
        <v>232</v>
      </c>
      <c r="I289" s="2"/>
      <c r="K289">
        <v>13.7</v>
      </c>
      <c r="L289" s="1" t="s">
        <v>20</v>
      </c>
      <c r="M289" s="1" t="s">
        <v>102</v>
      </c>
    </row>
    <row r="290" spans="1:13" x14ac:dyDescent="0.25">
      <c r="A290" s="1" t="s">
        <v>768</v>
      </c>
      <c r="B290" s="1" t="s">
        <v>88</v>
      </c>
      <c r="C290" s="1" t="s">
        <v>662</v>
      </c>
      <c r="D290" s="1" t="s">
        <v>67</v>
      </c>
      <c r="E290" s="1" t="s">
        <v>17</v>
      </c>
      <c r="F290" s="1" t="s">
        <v>33</v>
      </c>
      <c r="G290">
        <v>329680</v>
      </c>
      <c r="H290" s="1" t="s">
        <v>769</v>
      </c>
      <c r="I290" s="2"/>
      <c r="L290" s="1" t="s">
        <v>96</v>
      </c>
      <c r="M290" s="1" t="s">
        <v>30</v>
      </c>
    </row>
    <row r="291" spans="1:13" x14ac:dyDescent="0.25">
      <c r="A291" s="1" t="s">
        <v>770</v>
      </c>
      <c r="B291" s="1" t="s">
        <v>23</v>
      </c>
      <c r="C291" s="1" t="s">
        <v>398</v>
      </c>
      <c r="D291" s="1" t="s">
        <v>16</v>
      </c>
      <c r="E291" s="1" t="s">
        <v>61</v>
      </c>
      <c r="F291" s="1" t="s">
        <v>33</v>
      </c>
      <c r="G291">
        <v>245397</v>
      </c>
      <c r="H291" s="1" t="s">
        <v>771</v>
      </c>
      <c r="I291" s="2"/>
      <c r="K291">
        <v>1.2</v>
      </c>
      <c r="L291" s="1" t="s">
        <v>29</v>
      </c>
      <c r="M291" s="1" t="s">
        <v>21</v>
      </c>
    </row>
    <row r="292" spans="1:13" x14ac:dyDescent="0.25">
      <c r="A292" s="1" t="s">
        <v>772</v>
      </c>
      <c r="B292" s="1" t="s">
        <v>14</v>
      </c>
      <c r="C292" s="1" t="s">
        <v>732</v>
      </c>
      <c r="D292" s="1" t="s">
        <v>25</v>
      </c>
      <c r="E292" s="1" t="s">
        <v>94</v>
      </c>
      <c r="F292" s="1" t="s">
        <v>27</v>
      </c>
      <c r="G292">
        <v>311860</v>
      </c>
      <c r="H292" s="1" t="s">
        <v>773</v>
      </c>
      <c r="I292" s="2"/>
      <c r="K292">
        <v>14.7</v>
      </c>
      <c r="L292" s="1" t="s">
        <v>96</v>
      </c>
      <c r="M292" s="1" t="s">
        <v>107</v>
      </c>
    </row>
    <row r="293" spans="1:13" x14ac:dyDescent="0.25">
      <c r="A293" s="1" t="s">
        <v>774</v>
      </c>
      <c r="B293" s="1" t="s">
        <v>84</v>
      </c>
      <c r="C293" s="1" t="s">
        <v>775</v>
      </c>
      <c r="D293" s="1" t="s">
        <v>39</v>
      </c>
      <c r="E293" s="1" t="s">
        <v>17</v>
      </c>
      <c r="F293" s="1" t="s">
        <v>18</v>
      </c>
      <c r="G293">
        <v>102961</v>
      </c>
      <c r="H293" s="1" t="s">
        <v>776</v>
      </c>
      <c r="I293" s="2">
        <v>45281</v>
      </c>
      <c r="J293">
        <v>143</v>
      </c>
      <c r="K293">
        <v>5.8</v>
      </c>
      <c r="L293" s="1" t="s">
        <v>29</v>
      </c>
      <c r="M293" s="1" t="s">
        <v>102</v>
      </c>
    </row>
    <row r="294" spans="1:13" x14ac:dyDescent="0.25">
      <c r="A294" s="1" t="s">
        <v>777</v>
      </c>
      <c r="B294" s="1" t="s">
        <v>84</v>
      </c>
      <c r="C294" s="1" t="s">
        <v>778</v>
      </c>
      <c r="D294" s="1" t="s">
        <v>16</v>
      </c>
      <c r="E294" s="1" t="s">
        <v>26</v>
      </c>
      <c r="F294" s="1" t="s">
        <v>33</v>
      </c>
      <c r="G294">
        <v>112836</v>
      </c>
      <c r="H294" s="1" t="s">
        <v>779</v>
      </c>
      <c r="I294" s="2"/>
      <c r="K294">
        <v>10.6</v>
      </c>
      <c r="L294" s="1" t="s">
        <v>96</v>
      </c>
      <c r="M294" s="1" t="s">
        <v>102</v>
      </c>
    </row>
    <row r="295" spans="1:13" x14ac:dyDescent="0.25">
      <c r="A295" s="1" t="s">
        <v>780</v>
      </c>
      <c r="B295" s="1" t="s">
        <v>80</v>
      </c>
      <c r="C295" s="1" t="s">
        <v>71</v>
      </c>
      <c r="D295" s="1" t="s">
        <v>25</v>
      </c>
      <c r="E295" s="1" t="s">
        <v>100</v>
      </c>
      <c r="F295" s="1" t="s">
        <v>33</v>
      </c>
      <c r="G295">
        <v>149251</v>
      </c>
      <c r="H295" s="1" t="s">
        <v>421</v>
      </c>
      <c r="I295" s="2"/>
      <c r="L295" s="1" t="s">
        <v>96</v>
      </c>
      <c r="M295" s="1" t="s">
        <v>69</v>
      </c>
    </row>
    <row r="296" spans="1:13" x14ac:dyDescent="0.25">
      <c r="A296" s="1" t="s">
        <v>781</v>
      </c>
      <c r="B296" s="1" t="s">
        <v>109</v>
      </c>
      <c r="C296" s="1" t="s">
        <v>782</v>
      </c>
      <c r="D296" s="1" t="s">
        <v>90</v>
      </c>
      <c r="E296" s="1" t="s">
        <v>72</v>
      </c>
      <c r="F296" s="1" t="s">
        <v>33</v>
      </c>
      <c r="G296">
        <v>174034</v>
      </c>
      <c r="H296" s="1" t="s">
        <v>783</v>
      </c>
      <c r="I296" s="2"/>
      <c r="L296" s="1" t="s">
        <v>96</v>
      </c>
      <c r="M296" s="1" t="s">
        <v>21</v>
      </c>
    </row>
    <row r="297" spans="1:13" x14ac:dyDescent="0.25">
      <c r="A297" s="1" t="s">
        <v>784</v>
      </c>
      <c r="B297" s="1" t="s">
        <v>88</v>
      </c>
      <c r="C297" s="1" t="s">
        <v>71</v>
      </c>
      <c r="D297" s="1" t="s">
        <v>90</v>
      </c>
      <c r="E297" s="1" t="s">
        <v>77</v>
      </c>
      <c r="F297" s="1" t="s">
        <v>33</v>
      </c>
      <c r="G297">
        <v>451178</v>
      </c>
      <c r="H297" s="1" t="s">
        <v>537</v>
      </c>
      <c r="I297" s="2"/>
      <c r="L297" s="1" t="s">
        <v>96</v>
      </c>
      <c r="M297" s="1" t="s">
        <v>21</v>
      </c>
    </row>
    <row r="298" spans="1:13" x14ac:dyDescent="0.25">
      <c r="A298" s="1" t="s">
        <v>785</v>
      </c>
      <c r="B298" s="1" t="s">
        <v>80</v>
      </c>
      <c r="C298" s="1" t="s">
        <v>99</v>
      </c>
      <c r="D298" s="1" t="s">
        <v>25</v>
      </c>
      <c r="E298" s="1" t="s">
        <v>47</v>
      </c>
      <c r="F298" s="1" t="s">
        <v>18</v>
      </c>
      <c r="G298">
        <v>83097</v>
      </c>
      <c r="H298" s="1" t="s">
        <v>125</v>
      </c>
      <c r="I298" s="2">
        <v>45139</v>
      </c>
      <c r="J298">
        <v>93</v>
      </c>
      <c r="L298" s="1" t="s">
        <v>49</v>
      </c>
      <c r="M298" s="1" t="s">
        <v>30</v>
      </c>
    </row>
    <row r="299" spans="1:13" x14ac:dyDescent="0.25">
      <c r="A299" s="1" t="s">
        <v>786</v>
      </c>
      <c r="B299" s="1" t="s">
        <v>127</v>
      </c>
      <c r="C299" s="1" t="s">
        <v>135</v>
      </c>
      <c r="D299" s="1" t="s">
        <v>67</v>
      </c>
      <c r="E299" s="1" t="s">
        <v>17</v>
      </c>
      <c r="F299" s="1" t="s">
        <v>129</v>
      </c>
      <c r="G299">
        <v>379458</v>
      </c>
      <c r="H299" s="1" t="s">
        <v>503</v>
      </c>
      <c r="I299" s="2"/>
      <c r="L299" s="1" t="s">
        <v>49</v>
      </c>
      <c r="M299" s="1" t="s">
        <v>102</v>
      </c>
    </row>
    <row r="300" spans="1:13" x14ac:dyDescent="0.25">
      <c r="A300" s="1" t="s">
        <v>787</v>
      </c>
      <c r="B300" s="1" t="s">
        <v>37</v>
      </c>
      <c r="C300" s="1" t="s">
        <v>686</v>
      </c>
      <c r="D300" s="1" t="s">
        <v>90</v>
      </c>
      <c r="E300" s="1" t="s">
        <v>77</v>
      </c>
      <c r="F300" s="1" t="s">
        <v>33</v>
      </c>
      <c r="G300">
        <v>480569</v>
      </c>
      <c r="H300" s="1" t="s">
        <v>788</v>
      </c>
      <c r="I300" s="2"/>
      <c r="K300">
        <v>1.3</v>
      </c>
      <c r="L300" s="1" t="s">
        <v>96</v>
      </c>
      <c r="M300" s="1" t="s">
        <v>102</v>
      </c>
    </row>
    <row r="301" spans="1:13" x14ac:dyDescent="0.25">
      <c r="A301" s="1" t="s">
        <v>789</v>
      </c>
      <c r="B301" s="1" t="s">
        <v>37</v>
      </c>
      <c r="C301" s="1" t="s">
        <v>790</v>
      </c>
      <c r="D301" s="1" t="s">
        <v>46</v>
      </c>
      <c r="E301" s="1" t="s">
        <v>77</v>
      </c>
      <c r="F301" s="1" t="s">
        <v>18</v>
      </c>
      <c r="G301">
        <v>101283</v>
      </c>
      <c r="H301" s="1" t="s">
        <v>791</v>
      </c>
      <c r="I301" s="2">
        <v>45467</v>
      </c>
      <c r="J301">
        <v>16</v>
      </c>
      <c r="K301">
        <v>4.0999999999999996</v>
      </c>
      <c r="L301" s="1" t="s">
        <v>29</v>
      </c>
      <c r="M301" s="1" t="s">
        <v>107</v>
      </c>
    </row>
    <row r="302" spans="1:13" x14ac:dyDescent="0.25">
      <c r="A302" s="1" t="s">
        <v>792</v>
      </c>
      <c r="B302" s="1" t="s">
        <v>75</v>
      </c>
      <c r="C302" s="1" t="s">
        <v>433</v>
      </c>
      <c r="D302" s="1" t="s">
        <v>16</v>
      </c>
      <c r="E302" s="1" t="s">
        <v>77</v>
      </c>
      <c r="F302" s="1" t="s">
        <v>40</v>
      </c>
      <c r="G302">
        <v>32117</v>
      </c>
      <c r="H302" s="1" t="s">
        <v>793</v>
      </c>
      <c r="I302" s="2">
        <v>45637</v>
      </c>
      <c r="J302">
        <v>148</v>
      </c>
      <c r="K302">
        <v>12</v>
      </c>
      <c r="L302" s="1" t="s">
        <v>49</v>
      </c>
      <c r="M302" s="1" t="s">
        <v>149</v>
      </c>
    </row>
    <row r="303" spans="1:13" x14ac:dyDescent="0.25">
      <c r="A303" s="1" t="s">
        <v>794</v>
      </c>
      <c r="B303" s="1" t="s">
        <v>37</v>
      </c>
      <c r="C303" s="1" t="s">
        <v>561</v>
      </c>
      <c r="D303" s="1" t="s">
        <v>46</v>
      </c>
      <c r="E303" s="1" t="s">
        <v>100</v>
      </c>
      <c r="F303" s="1" t="s">
        <v>40</v>
      </c>
      <c r="G303">
        <v>284250</v>
      </c>
      <c r="H303" s="1" t="s">
        <v>795</v>
      </c>
      <c r="I303" s="2">
        <v>45536</v>
      </c>
      <c r="J303">
        <v>27</v>
      </c>
      <c r="K303">
        <v>22.9</v>
      </c>
      <c r="L303" s="1" t="s">
        <v>96</v>
      </c>
      <c r="M303" s="1" t="s">
        <v>149</v>
      </c>
    </row>
    <row r="304" spans="1:13" x14ac:dyDescent="0.25">
      <c r="A304" s="1" t="s">
        <v>796</v>
      </c>
      <c r="B304" s="1" t="s">
        <v>88</v>
      </c>
      <c r="C304" s="1" t="s">
        <v>797</v>
      </c>
      <c r="D304" s="1" t="s">
        <v>16</v>
      </c>
      <c r="E304" s="1" t="s">
        <v>72</v>
      </c>
      <c r="F304" s="1" t="s">
        <v>18</v>
      </c>
      <c r="G304">
        <v>223130</v>
      </c>
      <c r="H304" s="1" t="s">
        <v>798</v>
      </c>
      <c r="I304" s="2">
        <v>45196</v>
      </c>
      <c r="J304">
        <v>177</v>
      </c>
      <c r="K304">
        <v>10.9</v>
      </c>
      <c r="L304" s="1" t="s">
        <v>29</v>
      </c>
      <c r="M304" s="1" t="s">
        <v>30</v>
      </c>
    </row>
    <row r="305" spans="1:13" x14ac:dyDescent="0.25">
      <c r="A305" s="1" t="s">
        <v>799</v>
      </c>
      <c r="B305" s="1" t="s">
        <v>109</v>
      </c>
      <c r="C305" s="1" t="s">
        <v>800</v>
      </c>
      <c r="D305" s="1" t="s">
        <v>16</v>
      </c>
      <c r="E305" s="1" t="s">
        <v>47</v>
      </c>
      <c r="F305" s="1" t="s">
        <v>129</v>
      </c>
      <c r="G305">
        <v>68977</v>
      </c>
      <c r="H305" s="1" t="s">
        <v>801</v>
      </c>
      <c r="I305" s="2"/>
      <c r="L305" s="1" t="s">
        <v>49</v>
      </c>
      <c r="M305" s="1" t="s">
        <v>30</v>
      </c>
    </row>
    <row r="306" spans="1:13" x14ac:dyDescent="0.25">
      <c r="A306" s="1" t="s">
        <v>802</v>
      </c>
      <c r="B306" s="1" t="s">
        <v>37</v>
      </c>
      <c r="C306" s="1" t="s">
        <v>295</v>
      </c>
      <c r="D306" s="1" t="s">
        <v>16</v>
      </c>
      <c r="E306" s="1" t="s">
        <v>47</v>
      </c>
      <c r="F306" s="1" t="s">
        <v>129</v>
      </c>
      <c r="G306">
        <v>207114</v>
      </c>
      <c r="H306" s="1" t="s">
        <v>314</v>
      </c>
      <c r="I306" s="2"/>
      <c r="K306">
        <v>1.4</v>
      </c>
      <c r="L306" s="1" t="s">
        <v>49</v>
      </c>
      <c r="M306" s="1" t="s">
        <v>69</v>
      </c>
    </row>
    <row r="307" spans="1:13" x14ac:dyDescent="0.25">
      <c r="A307" s="1" t="s">
        <v>803</v>
      </c>
      <c r="B307" s="1" t="s">
        <v>98</v>
      </c>
      <c r="C307" s="1" t="s">
        <v>696</v>
      </c>
      <c r="D307" s="1" t="s">
        <v>39</v>
      </c>
      <c r="E307" s="1" t="s">
        <v>77</v>
      </c>
      <c r="F307" s="1" t="s">
        <v>40</v>
      </c>
      <c r="G307">
        <v>52628</v>
      </c>
      <c r="H307" s="1" t="s">
        <v>718</v>
      </c>
      <c r="I307" s="2">
        <v>45569</v>
      </c>
      <c r="J307">
        <v>169</v>
      </c>
      <c r="K307">
        <v>23.7</v>
      </c>
      <c r="L307" s="1" t="s">
        <v>49</v>
      </c>
      <c r="M307" s="1" t="s">
        <v>107</v>
      </c>
    </row>
    <row r="308" spans="1:13" x14ac:dyDescent="0.25">
      <c r="A308" s="1" t="s">
        <v>804</v>
      </c>
      <c r="B308" s="1" t="s">
        <v>37</v>
      </c>
      <c r="C308" s="1" t="s">
        <v>805</v>
      </c>
      <c r="D308" s="1" t="s">
        <v>16</v>
      </c>
      <c r="E308" s="1" t="s">
        <v>94</v>
      </c>
      <c r="F308" s="1" t="s">
        <v>53</v>
      </c>
      <c r="G308">
        <v>446479</v>
      </c>
      <c r="H308" s="1" t="s">
        <v>293</v>
      </c>
      <c r="I308" s="2"/>
      <c r="K308">
        <v>4.7</v>
      </c>
      <c r="L308" s="1" t="s">
        <v>49</v>
      </c>
      <c r="M308" s="1" t="s">
        <v>42</v>
      </c>
    </row>
    <row r="309" spans="1:13" x14ac:dyDescent="0.25">
      <c r="A309" s="1" t="s">
        <v>806</v>
      </c>
      <c r="B309" s="1" t="s">
        <v>127</v>
      </c>
      <c r="C309" s="1" t="s">
        <v>99</v>
      </c>
      <c r="D309" s="1" t="s">
        <v>25</v>
      </c>
      <c r="E309" s="1" t="s">
        <v>72</v>
      </c>
      <c r="F309" s="1" t="s">
        <v>53</v>
      </c>
      <c r="G309">
        <v>241527</v>
      </c>
      <c r="H309" s="1" t="s">
        <v>807</v>
      </c>
      <c r="I309" s="2"/>
      <c r="K309">
        <v>8.5</v>
      </c>
      <c r="L309" s="1" t="s">
        <v>49</v>
      </c>
      <c r="M309" s="1" t="s">
        <v>102</v>
      </c>
    </row>
    <row r="310" spans="1:13" x14ac:dyDescent="0.25">
      <c r="A310" s="1" t="s">
        <v>808</v>
      </c>
      <c r="B310" s="1" t="s">
        <v>75</v>
      </c>
      <c r="C310" s="1" t="s">
        <v>809</v>
      </c>
      <c r="D310" s="1" t="s">
        <v>90</v>
      </c>
      <c r="E310" s="1" t="s">
        <v>61</v>
      </c>
      <c r="F310" s="1" t="s">
        <v>53</v>
      </c>
      <c r="G310">
        <v>351044</v>
      </c>
      <c r="H310" s="1" t="s">
        <v>677</v>
      </c>
      <c r="I310" s="2"/>
      <c r="K310">
        <v>8.6999999999999993</v>
      </c>
      <c r="L310" s="1" t="s">
        <v>29</v>
      </c>
      <c r="M310" s="1" t="s">
        <v>63</v>
      </c>
    </row>
    <row r="311" spans="1:13" x14ac:dyDescent="0.25">
      <c r="A311" s="1" t="s">
        <v>810</v>
      </c>
      <c r="B311" s="1" t="s">
        <v>84</v>
      </c>
      <c r="C311" s="1" t="s">
        <v>436</v>
      </c>
      <c r="D311" s="1" t="s">
        <v>25</v>
      </c>
      <c r="E311" s="1" t="s">
        <v>61</v>
      </c>
      <c r="F311" s="1" t="s">
        <v>40</v>
      </c>
      <c r="G311">
        <v>77558</v>
      </c>
      <c r="H311" s="1" t="s">
        <v>811</v>
      </c>
      <c r="I311" s="2">
        <v>45527</v>
      </c>
      <c r="J311">
        <v>39</v>
      </c>
      <c r="K311">
        <v>1</v>
      </c>
      <c r="L311" s="1" t="s">
        <v>96</v>
      </c>
      <c r="M311" s="1" t="s">
        <v>149</v>
      </c>
    </row>
    <row r="312" spans="1:13" x14ac:dyDescent="0.25">
      <c r="A312" s="1" t="s">
        <v>812</v>
      </c>
      <c r="B312" s="1" t="s">
        <v>173</v>
      </c>
      <c r="C312" s="1" t="s">
        <v>813</v>
      </c>
      <c r="D312" s="1" t="s">
        <v>39</v>
      </c>
      <c r="E312" s="1" t="s">
        <v>61</v>
      </c>
      <c r="F312" s="1" t="s">
        <v>53</v>
      </c>
      <c r="G312">
        <v>106435</v>
      </c>
      <c r="H312" s="1" t="s">
        <v>814</v>
      </c>
      <c r="I312" s="2"/>
      <c r="L312" s="1" t="s">
        <v>29</v>
      </c>
      <c r="M312" s="1" t="s">
        <v>42</v>
      </c>
    </row>
    <row r="313" spans="1:13" x14ac:dyDescent="0.25">
      <c r="A313" s="1" t="s">
        <v>815</v>
      </c>
      <c r="B313" s="1" t="s">
        <v>127</v>
      </c>
      <c r="C313" s="1" t="s">
        <v>364</v>
      </c>
      <c r="D313" s="1" t="s">
        <v>90</v>
      </c>
      <c r="E313" s="1" t="s">
        <v>72</v>
      </c>
      <c r="F313" s="1" t="s">
        <v>40</v>
      </c>
      <c r="G313">
        <v>93029</v>
      </c>
      <c r="H313" s="1" t="s">
        <v>816</v>
      </c>
      <c r="I313" s="2">
        <v>45424</v>
      </c>
      <c r="J313">
        <v>163</v>
      </c>
      <c r="K313">
        <v>8.4</v>
      </c>
      <c r="L313" s="1" t="s">
        <v>29</v>
      </c>
      <c r="M313" s="1" t="s">
        <v>21</v>
      </c>
    </row>
    <row r="314" spans="1:13" x14ac:dyDescent="0.25">
      <c r="A314" s="1" t="s">
        <v>817</v>
      </c>
      <c r="B314" s="1" t="s">
        <v>14</v>
      </c>
      <c r="C314" s="1" t="s">
        <v>818</v>
      </c>
      <c r="D314" s="1" t="s">
        <v>46</v>
      </c>
      <c r="E314" s="1" t="s">
        <v>26</v>
      </c>
      <c r="F314" s="1" t="s">
        <v>33</v>
      </c>
      <c r="G314">
        <v>272907</v>
      </c>
      <c r="H314" s="1" t="s">
        <v>819</v>
      </c>
      <c r="I314" s="2"/>
      <c r="K314">
        <v>9</v>
      </c>
      <c r="L314" s="1" t="s">
        <v>96</v>
      </c>
      <c r="M314" s="1" t="s">
        <v>149</v>
      </c>
    </row>
    <row r="315" spans="1:13" x14ac:dyDescent="0.25">
      <c r="A315" s="1" t="s">
        <v>820</v>
      </c>
      <c r="B315" s="1" t="s">
        <v>59</v>
      </c>
      <c r="C315" s="1" t="s">
        <v>737</v>
      </c>
      <c r="D315" s="1" t="s">
        <v>39</v>
      </c>
      <c r="E315" s="1" t="s">
        <v>77</v>
      </c>
      <c r="F315" s="1" t="s">
        <v>27</v>
      </c>
      <c r="G315">
        <v>164922</v>
      </c>
      <c r="H315" s="1" t="s">
        <v>821</v>
      </c>
      <c r="I315" s="2"/>
      <c r="L315" s="1" t="s">
        <v>49</v>
      </c>
      <c r="M315" s="1" t="s">
        <v>149</v>
      </c>
    </row>
    <row r="316" spans="1:13" x14ac:dyDescent="0.25">
      <c r="A316" s="1" t="s">
        <v>822</v>
      </c>
      <c r="B316" s="1" t="s">
        <v>44</v>
      </c>
      <c r="C316" s="1" t="s">
        <v>449</v>
      </c>
      <c r="D316" s="1" t="s">
        <v>16</v>
      </c>
      <c r="E316" s="1" t="s">
        <v>26</v>
      </c>
      <c r="F316" s="1" t="s">
        <v>33</v>
      </c>
      <c r="G316">
        <v>239946</v>
      </c>
      <c r="H316" s="1" t="s">
        <v>823</v>
      </c>
      <c r="I316" s="2"/>
      <c r="L316" s="1" t="s">
        <v>29</v>
      </c>
      <c r="M316" s="1" t="s">
        <v>21</v>
      </c>
    </row>
    <row r="317" spans="1:13" x14ac:dyDescent="0.25">
      <c r="A317" s="1" t="s">
        <v>824</v>
      </c>
      <c r="B317" s="1" t="s">
        <v>104</v>
      </c>
      <c r="C317" s="1" t="s">
        <v>287</v>
      </c>
      <c r="D317" s="1" t="s">
        <v>39</v>
      </c>
      <c r="E317" s="1" t="s">
        <v>17</v>
      </c>
      <c r="F317" s="1" t="s">
        <v>18</v>
      </c>
      <c r="G317">
        <v>344897</v>
      </c>
      <c r="H317" s="1" t="s">
        <v>825</v>
      </c>
      <c r="I317" s="2">
        <v>45296</v>
      </c>
      <c r="J317">
        <v>134</v>
      </c>
      <c r="K317">
        <v>3.6</v>
      </c>
      <c r="L317" s="1" t="s">
        <v>49</v>
      </c>
      <c r="M317" s="1" t="s">
        <v>102</v>
      </c>
    </row>
    <row r="318" spans="1:13" x14ac:dyDescent="0.25">
      <c r="A318" s="1" t="s">
        <v>826</v>
      </c>
      <c r="B318" s="1" t="s">
        <v>23</v>
      </c>
      <c r="C318" s="1" t="s">
        <v>295</v>
      </c>
      <c r="D318" s="1" t="s">
        <v>67</v>
      </c>
      <c r="E318" s="1" t="s">
        <v>61</v>
      </c>
      <c r="F318" s="1" t="s">
        <v>53</v>
      </c>
      <c r="G318">
        <v>335584</v>
      </c>
      <c r="H318" s="1" t="s">
        <v>827</v>
      </c>
      <c r="I318" s="2"/>
      <c r="K318">
        <v>0.2</v>
      </c>
      <c r="L318" s="1" t="s">
        <v>96</v>
      </c>
      <c r="M318" s="1" t="s">
        <v>21</v>
      </c>
    </row>
    <row r="319" spans="1:13" x14ac:dyDescent="0.25">
      <c r="A319" s="1" t="s">
        <v>828</v>
      </c>
      <c r="B319" s="1" t="s">
        <v>14</v>
      </c>
      <c r="C319" s="1" t="s">
        <v>505</v>
      </c>
      <c r="D319" s="1" t="s">
        <v>67</v>
      </c>
      <c r="E319" s="1" t="s">
        <v>77</v>
      </c>
      <c r="F319" s="1" t="s">
        <v>33</v>
      </c>
      <c r="G319">
        <v>457082</v>
      </c>
      <c r="H319" s="1" t="s">
        <v>829</v>
      </c>
      <c r="I319" s="2"/>
      <c r="K319">
        <v>0.4</v>
      </c>
      <c r="L319" s="1" t="s">
        <v>20</v>
      </c>
      <c r="M319" s="1" t="s">
        <v>63</v>
      </c>
    </row>
    <row r="320" spans="1:13" x14ac:dyDescent="0.25">
      <c r="A320" s="1" t="s">
        <v>830</v>
      </c>
      <c r="B320" s="1" t="s">
        <v>173</v>
      </c>
      <c r="C320" s="1" t="s">
        <v>831</v>
      </c>
      <c r="D320" s="1" t="s">
        <v>67</v>
      </c>
      <c r="E320" s="1" t="s">
        <v>47</v>
      </c>
      <c r="F320" s="1" t="s">
        <v>27</v>
      </c>
      <c r="G320">
        <v>138857</v>
      </c>
      <c r="H320" s="1" t="s">
        <v>827</v>
      </c>
      <c r="I320" s="2"/>
      <c r="L320" s="1" t="s">
        <v>49</v>
      </c>
      <c r="M320" s="1" t="s">
        <v>21</v>
      </c>
    </row>
    <row r="321" spans="1:13" x14ac:dyDescent="0.25">
      <c r="A321" s="1" t="s">
        <v>832</v>
      </c>
      <c r="B321" s="1" t="s">
        <v>23</v>
      </c>
      <c r="C321" s="1" t="s">
        <v>735</v>
      </c>
      <c r="D321" s="1" t="s">
        <v>25</v>
      </c>
      <c r="E321" s="1" t="s">
        <v>17</v>
      </c>
      <c r="F321" s="1" t="s">
        <v>129</v>
      </c>
      <c r="G321">
        <v>441652</v>
      </c>
      <c r="H321" s="1" t="s">
        <v>833</v>
      </c>
      <c r="I321" s="2"/>
      <c r="K321">
        <v>13.6</v>
      </c>
      <c r="L321" s="1" t="s">
        <v>20</v>
      </c>
      <c r="M321" s="1" t="s">
        <v>21</v>
      </c>
    </row>
    <row r="322" spans="1:13" x14ac:dyDescent="0.25">
      <c r="A322" s="1" t="s">
        <v>834</v>
      </c>
      <c r="B322" s="1" t="s">
        <v>59</v>
      </c>
      <c r="C322" s="1" t="s">
        <v>436</v>
      </c>
      <c r="D322" s="1" t="s">
        <v>16</v>
      </c>
      <c r="E322" s="1" t="s">
        <v>26</v>
      </c>
      <c r="F322" s="1" t="s">
        <v>27</v>
      </c>
      <c r="G322">
        <v>1945320</v>
      </c>
      <c r="H322" s="1" t="s">
        <v>835</v>
      </c>
      <c r="I322" s="2"/>
      <c r="L322" s="1" t="s">
        <v>20</v>
      </c>
      <c r="M322" s="1" t="s">
        <v>69</v>
      </c>
    </row>
    <row r="323" spans="1:13" x14ac:dyDescent="0.25">
      <c r="A323" s="1" t="s">
        <v>836</v>
      </c>
      <c r="B323" s="1" t="s">
        <v>59</v>
      </c>
      <c r="C323" s="1" t="s">
        <v>165</v>
      </c>
      <c r="D323" s="1" t="s">
        <v>16</v>
      </c>
      <c r="E323" s="1" t="s">
        <v>47</v>
      </c>
      <c r="F323" s="1" t="s">
        <v>33</v>
      </c>
      <c r="G323">
        <v>45712</v>
      </c>
      <c r="H323" s="1" t="s">
        <v>175</v>
      </c>
      <c r="I323" s="2"/>
      <c r="K323">
        <v>12.5</v>
      </c>
      <c r="L323" s="1" t="s">
        <v>20</v>
      </c>
      <c r="M323" s="1" t="s">
        <v>42</v>
      </c>
    </row>
    <row r="324" spans="1:13" x14ac:dyDescent="0.25">
      <c r="A324" s="1" t="s">
        <v>837</v>
      </c>
      <c r="B324" s="1" t="s">
        <v>37</v>
      </c>
      <c r="C324" s="1" t="s">
        <v>838</v>
      </c>
      <c r="D324" s="1" t="s">
        <v>90</v>
      </c>
      <c r="E324" s="1" t="s">
        <v>26</v>
      </c>
      <c r="F324" s="1" t="s">
        <v>33</v>
      </c>
      <c r="G324">
        <v>346250</v>
      </c>
      <c r="H324" s="1" t="s">
        <v>839</v>
      </c>
      <c r="I324" s="2"/>
      <c r="L324" s="1" t="s">
        <v>96</v>
      </c>
      <c r="M324" s="1" t="s">
        <v>21</v>
      </c>
    </row>
    <row r="325" spans="1:13" x14ac:dyDescent="0.25">
      <c r="A325" s="1" t="s">
        <v>840</v>
      </c>
      <c r="B325" s="1" t="s">
        <v>59</v>
      </c>
      <c r="C325" s="1" t="s">
        <v>497</v>
      </c>
      <c r="D325" s="1" t="s">
        <v>46</v>
      </c>
      <c r="E325" s="1" t="s">
        <v>77</v>
      </c>
      <c r="F325" s="1" t="s">
        <v>33</v>
      </c>
      <c r="G325">
        <v>393963</v>
      </c>
      <c r="H325" s="1" t="s">
        <v>841</v>
      </c>
      <c r="I325" s="2"/>
      <c r="K325">
        <v>7.2</v>
      </c>
      <c r="L325" s="1" t="s">
        <v>49</v>
      </c>
      <c r="M325" s="1" t="s">
        <v>21</v>
      </c>
    </row>
    <row r="326" spans="1:13" x14ac:dyDescent="0.25">
      <c r="A326" s="1" t="s">
        <v>842</v>
      </c>
      <c r="B326" s="1" t="s">
        <v>88</v>
      </c>
      <c r="C326" s="1" t="s">
        <v>160</v>
      </c>
      <c r="D326" s="1" t="s">
        <v>16</v>
      </c>
      <c r="E326" s="1" t="s">
        <v>77</v>
      </c>
      <c r="F326" s="1" t="s">
        <v>33</v>
      </c>
      <c r="G326">
        <v>221926</v>
      </c>
      <c r="H326" s="1" t="s">
        <v>672</v>
      </c>
      <c r="I326" s="2"/>
      <c r="K326">
        <v>10.8</v>
      </c>
      <c r="L326" s="1" t="s">
        <v>20</v>
      </c>
      <c r="M326" s="1" t="s">
        <v>102</v>
      </c>
    </row>
    <row r="327" spans="1:13" x14ac:dyDescent="0.25">
      <c r="A327" s="1" t="s">
        <v>843</v>
      </c>
      <c r="B327" s="1" t="s">
        <v>80</v>
      </c>
      <c r="C327" s="1" t="s">
        <v>316</v>
      </c>
      <c r="D327" s="1" t="s">
        <v>16</v>
      </c>
      <c r="E327" s="1" t="s">
        <v>61</v>
      </c>
      <c r="F327" s="1" t="s">
        <v>53</v>
      </c>
      <c r="G327">
        <v>222242</v>
      </c>
      <c r="H327" s="1" t="s">
        <v>844</v>
      </c>
      <c r="I327" s="2"/>
      <c r="L327" s="1" t="s">
        <v>29</v>
      </c>
      <c r="M327" s="1" t="s">
        <v>149</v>
      </c>
    </row>
    <row r="328" spans="1:13" x14ac:dyDescent="0.25">
      <c r="A328" s="1" t="s">
        <v>845</v>
      </c>
      <c r="B328" s="1" t="s">
        <v>109</v>
      </c>
      <c r="C328" s="1" t="s">
        <v>809</v>
      </c>
      <c r="D328" s="1" t="s">
        <v>46</v>
      </c>
      <c r="E328" s="1" t="s">
        <v>47</v>
      </c>
      <c r="F328" s="1" t="s">
        <v>129</v>
      </c>
      <c r="G328">
        <v>29541</v>
      </c>
      <c r="H328" s="1" t="s">
        <v>846</v>
      </c>
      <c r="I328" s="2"/>
      <c r="K328">
        <v>6</v>
      </c>
      <c r="L328" s="1" t="s">
        <v>20</v>
      </c>
      <c r="M328" s="1" t="s">
        <v>21</v>
      </c>
    </row>
    <row r="329" spans="1:13" x14ac:dyDescent="0.25">
      <c r="A329" s="1" t="s">
        <v>847</v>
      </c>
      <c r="B329" s="1" t="s">
        <v>80</v>
      </c>
      <c r="C329" s="1" t="s">
        <v>838</v>
      </c>
      <c r="D329" s="1" t="s">
        <v>46</v>
      </c>
      <c r="E329" s="1" t="s">
        <v>47</v>
      </c>
      <c r="F329" s="1" t="s">
        <v>33</v>
      </c>
      <c r="G329">
        <v>433685</v>
      </c>
      <c r="H329" s="1" t="s">
        <v>610</v>
      </c>
      <c r="I329" s="2"/>
      <c r="L329" s="1" t="s">
        <v>20</v>
      </c>
      <c r="M329" s="1" t="s">
        <v>69</v>
      </c>
    </row>
    <row r="330" spans="1:13" x14ac:dyDescent="0.25">
      <c r="A330" s="1" t="s">
        <v>848</v>
      </c>
      <c r="B330" s="1" t="s">
        <v>127</v>
      </c>
      <c r="C330" s="1" t="s">
        <v>849</v>
      </c>
      <c r="D330" s="1" t="s">
        <v>39</v>
      </c>
      <c r="E330" s="1" t="s">
        <v>61</v>
      </c>
      <c r="F330" s="1" t="s">
        <v>27</v>
      </c>
      <c r="G330">
        <v>106903</v>
      </c>
      <c r="H330" s="1" t="s">
        <v>850</v>
      </c>
      <c r="I330" s="2"/>
      <c r="L330" s="1" t="s">
        <v>96</v>
      </c>
      <c r="M330" s="1" t="s">
        <v>35</v>
      </c>
    </row>
    <row r="331" spans="1:13" x14ac:dyDescent="0.25">
      <c r="A331" s="1" t="s">
        <v>851</v>
      </c>
      <c r="B331" s="1" t="s">
        <v>84</v>
      </c>
      <c r="C331" s="1" t="s">
        <v>852</v>
      </c>
      <c r="D331" s="1" t="s">
        <v>25</v>
      </c>
      <c r="E331" s="1" t="s">
        <v>72</v>
      </c>
      <c r="F331" s="1" t="s">
        <v>40</v>
      </c>
      <c r="G331">
        <v>495555</v>
      </c>
      <c r="H331" s="1" t="s">
        <v>853</v>
      </c>
      <c r="I331" s="2">
        <v>45491</v>
      </c>
      <c r="J331">
        <v>118</v>
      </c>
      <c r="K331">
        <v>3.9</v>
      </c>
      <c r="L331" s="1" t="s">
        <v>20</v>
      </c>
      <c r="M331" s="1" t="s">
        <v>69</v>
      </c>
    </row>
    <row r="332" spans="1:13" x14ac:dyDescent="0.25">
      <c r="A332" s="1" t="s">
        <v>854</v>
      </c>
      <c r="B332" s="1" t="s">
        <v>75</v>
      </c>
      <c r="C332" s="1" t="s">
        <v>177</v>
      </c>
      <c r="D332" s="1" t="s">
        <v>25</v>
      </c>
      <c r="E332" s="1" t="s">
        <v>47</v>
      </c>
      <c r="F332" s="1" t="s">
        <v>129</v>
      </c>
      <c r="G332">
        <v>457926</v>
      </c>
      <c r="H332" s="1" t="s">
        <v>855</v>
      </c>
      <c r="I332" s="2"/>
      <c r="K332">
        <v>5.9</v>
      </c>
      <c r="L332" s="1" t="s">
        <v>20</v>
      </c>
      <c r="M332" s="1" t="s">
        <v>35</v>
      </c>
    </row>
    <row r="333" spans="1:13" x14ac:dyDescent="0.25">
      <c r="A333" s="1" t="s">
        <v>856</v>
      </c>
      <c r="B333" s="1" t="s">
        <v>98</v>
      </c>
      <c r="C333" s="1" t="s">
        <v>831</v>
      </c>
      <c r="D333" s="1" t="s">
        <v>46</v>
      </c>
      <c r="E333" s="1" t="s">
        <v>100</v>
      </c>
      <c r="F333" s="1" t="s">
        <v>33</v>
      </c>
      <c r="G333">
        <v>499112</v>
      </c>
      <c r="H333" s="1" t="s">
        <v>857</v>
      </c>
      <c r="I333" s="2"/>
      <c r="L333" s="1" t="s">
        <v>29</v>
      </c>
      <c r="M333" s="1" t="s">
        <v>102</v>
      </c>
    </row>
    <row r="334" spans="1:13" x14ac:dyDescent="0.25">
      <c r="A334" s="1" t="s">
        <v>858</v>
      </c>
      <c r="B334" s="1" t="s">
        <v>65</v>
      </c>
      <c r="C334" s="1" t="s">
        <v>859</v>
      </c>
      <c r="D334" s="1" t="s">
        <v>46</v>
      </c>
      <c r="E334" s="1" t="s">
        <v>17</v>
      </c>
      <c r="F334" s="1" t="s">
        <v>129</v>
      </c>
      <c r="G334">
        <v>367175</v>
      </c>
      <c r="H334" s="1" t="s">
        <v>860</v>
      </c>
      <c r="I334" s="2"/>
      <c r="K334">
        <v>14</v>
      </c>
      <c r="L334" s="1" t="s">
        <v>96</v>
      </c>
      <c r="M334" s="1" t="s">
        <v>30</v>
      </c>
    </row>
    <row r="335" spans="1:13" x14ac:dyDescent="0.25">
      <c r="A335" s="1" t="s">
        <v>861</v>
      </c>
      <c r="B335" s="1" t="s">
        <v>84</v>
      </c>
      <c r="C335" s="1" t="s">
        <v>862</v>
      </c>
      <c r="D335" s="1" t="s">
        <v>39</v>
      </c>
      <c r="E335" s="1" t="s">
        <v>100</v>
      </c>
      <c r="F335" s="1" t="s">
        <v>53</v>
      </c>
      <c r="G335">
        <v>423910</v>
      </c>
      <c r="H335" s="1" t="s">
        <v>863</v>
      </c>
      <c r="I335" s="2"/>
      <c r="K335">
        <v>5.3</v>
      </c>
      <c r="L335" s="1" t="s">
        <v>20</v>
      </c>
      <c r="M335" s="1" t="s">
        <v>30</v>
      </c>
    </row>
    <row r="336" spans="1:13" x14ac:dyDescent="0.25">
      <c r="A336" s="1" t="s">
        <v>864</v>
      </c>
      <c r="B336" s="1" t="s">
        <v>84</v>
      </c>
      <c r="C336" s="1" t="s">
        <v>865</v>
      </c>
      <c r="D336" s="1" t="s">
        <v>16</v>
      </c>
      <c r="E336" s="1" t="s">
        <v>72</v>
      </c>
      <c r="F336" s="1" t="s">
        <v>33</v>
      </c>
      <c r="G336">
        <v>24321</v>
      </c>
      <c r="H336" s="1" t="s">
        <v>285</v>
      </c>
      <c r="I336" s="2"/>
      <c r="K336">
        <v>12.4</v>
      </c>
      <c r="L336" s="1" t="s">
        <v>49</v>
      </c>
      <c r="M336" s="1" t="s">
        <v>35</v>
      </c>
    </row>
    <row r="337" spans="1:13" x14ac:dyDescent="0.25">
      <c r="A337" s="1" t="s">
        <v>866</v>
      </c>
      <c r="B337" s="1" t="s">
        <v>127</v>
      </c>
      <c r="C337" s="1" t="s">
        <v>662</v>
      </c>
      <c r="D337" s="1" t="s">
        <v>39</v>
      </c>
      <c r="E337" s="1" t="s">
        <v>100</v>
      </c>
      <c r="F337" s="1" t="s">
        <v>53</v>
      </c>
      <c r="G337">
        <v>391682</v>
      </c>
      <c r="H337" s="1" t="s">
        <v>867</v>
      </c>
      <c r="I337" s="2"/>
      <c r="K337">
        <v>10.9</v>
      </c>
      <c r="L337" s="1" t="s">
        <v>96</v>
      </c>
      <c r="M337" s="1" t="s">
        <v>69</v>
      </c>
    </row>
    <row r="338" spans="1:13" x14ac:dyDescent="0.25">
      <c r="A338" s="1" t="s">
        <v>868</v>
      </c>
      <c r="B338" s="1" t="s">
        <v>104</v>
      </c>
      <c r="C338" s="1" t="s">
        <v>869</v>
      </c>
      <c r="D338" s="1" t="s">
        <v>39</v>
      </c>
      <c r="E338" s="1" t="s">
        <v>61</v>
      </c>
      <c r="F338" s="1" t="s">
        <v>18</v>
      </c>
      <c r="G338">
        <v>463002</v>
      </c>
      <c r="H338" s="1" t="s">
        <v>870</v>
      </c>
      <c r="I338" s="2">
        <v>45566</v>
      </c>
      <c r="J338">
        <v>121</v>
      </c>
      <c r="K338">
        <v>6.7</v>
      </c>
      <c r="L338" s="1" t="s">
        <v>49</v>
      </c>
      <c r="M338" s="1" t="s">
        <v>107</v>
      </c>
    </row>
    <row r="339" spans="1:13" x14ac:dyDescent="0.25">
      <c r="A339" s="1" t="s">
        <v>871</v>
      </c>
      <c r="B339" s="1" t="s">
        <v>65</v>
      </c>
      <c r="C339" s="1" t="s">
        <v>38</v>
      </c>
      <c r="D339" s="1" t="s">
        <v>67</v>
      </c>
      <c r="E339" s="1" t="s">
        <v>17</v>
      </c>
      <c r="F339" s="1" t="s">
        <v>53</v>
      </c>
      <c r="G339">
        <v>349782</v>
      </c>
      <c r="H339" s="1" t="s">
        <v>872</v>
      </c>
      <c r="I339" s="2"/>
      <c r="L339" s="1" t="s">
        <v>49</v>
      </c>
      <c r="M339" s="1" t="s">
        <v>35</v>
      </c>
    </row>
    <row r="340" spans="1:13" x14ac:dyDescent="0.25">
      <c r="A340" s="1" t="s">
        <v>873</v>
      </c>
      <c r="B340" s="1" t="s">
        <v>127</v>
      </c>
      <c r="C340" s="1" t="s">
        <v>874</v>
      </c>
      <c r="D340" s="1" t="s">
        <v>25</v>
      </c>
      <c r="E340" s="1" t="s">
        <v>77</v>
      </c>
      <c r="F340" s="1" t="s">
        <v>18</v>
      </c>
      <c r="G340">
        <v>363001</v>
      </c>
      <c r="H340" s="1" t="s">
        <v>875</v>
      </c>
      <c r="I340" s="2">
        <v>45249</v>
      </c>
      <c r="J340">
        <v>120</v>
      </c>
      <c r="K340">
        <v>9.6</v>
      </c>
      <c r="L340" s="1" t="s">
        <v>49</v>
      </c>
      <c r="M340" s="1" t="s">
        <v>102</v>
      </c>
    </row>
    <row r="341" spans="1:13" x14ac:dyDescent="0.25">
      <c r="A341" s="1" t="s">
        <v>876</v>
      </c>
      <c r="B341" s="1" t="s">
        <v>127</v>
      </c>
      <c r="C341" s="1" t="s">
        <v>877</v>
      </c>
      <c r="D341" s="1" t="s">
        <v>39</v>
      </c>
      <c r="E341" s="1" t="s">
        <v>47</v>
      </c>
      <c r="F341" s="1" t="s">
        <v>33</v>
      </c>
      <c r="G341">
        <v>208828</v>
      </c>
      <c r="H341" s="1" t="s">
        <v>878</v>
      </c>
      <c r="I341" s="2"/>
      <c r="K341">
        <v>13.5</v>
      </c>
      <c r="L341" s="1" t="s">
        <v>49</v>
      </c>
      <c r="M341" s="1" t="s">
        <v>149</v>
      </c>
    </row>
    <row r="342" spans="1:13" x14ac:dyDescent="0.25">
      <c r="A342" s="1" t="s">
        <v>879</v>
      </c>
      <c r="B342" s="1" t="s">
        <v>84</v>
      </c>
      <c r="C342" s="1" t="s">
        <v>571</v>
      </c>
      <c r="D342" s="1" t="s">
        <v>25</v>
      </c>
      <c r="E342" s="1" t="s">
        <v>17</v>
      </c>
      <c r="F342" s="1" t="s">
        <v>18</v>
      </c>
      <c r="G342">
        <v>42559</v>
      </c>
      <c r="H342" s="1" t="s">
        <v>880</v>
      </c>
      <c r="I342" s="2">
        <v>45425</v>
      </c>
      <c r="J342">
        <v>22</v>
      </c>
      <c r="L342" s="1" t="s">
        <v>96</v>
      </c>
      <c r="M342" s="1" t="s">
        <v>107</v>
      </c>
    </row>
    <row r="343" spans="1:13" x14ac:dyDescent="0.25">
      <c r="A343" s="1" t="s">
        <v>881</v>
      </c>
      <c r="B343" s="1" t="s">
        <v>104</v>
      </c>
      <c r="C343" s="1" t="s">
        <v>882</v>
      </c>
      <c r="D343" s="1" t="s">
        <v>25</v>
      </c>
      <c r="E343" s="1" t="s">
        <v>61</v>
      </c>
      <c r="F343" s="1" t="s">
        <v>129</v>
      </c>
      <c r="G343">
        <v>31827</v>
      </c>
      <c r="H343" s="1" t="s">
        <v>489</v>
      </c>
      <c r="I343" s="2"/>
      <c r="K343">
        <v>4.5999999999999996</v>
      </c>
      <c r="L343" s="1" t="s">
        <v>29</v>
      </c>
      <c r="M343" s="1" t="s">
        <v>30</v>
      </c>
    </row>
    <row r="344" spans="1:13" x14ac:dyDescent="0.25">
      <c r="A344" s="1" t="s">
        <v>883</v>
      </c>
      <c r="B344" s="1" t="s">
        <v>88</v>
      </c>
      <c r="C344" s="1" t="s">
        <v>583</v>
      </c>
      <c r="D344" s="1" t="s">
        <v>46</v>
      </c>
      <c r="E344" s="1" t="s">
        <v>77</v>
      </c>
      <c r="F344" s="1" t="s">
        <v>129</v>
      </c>
      <c r="G344">
        <v>459747</v>
      </c>
      <c r="H344" s="1" t="s">
        <v>469</v>
      </c>
      <c r="I344" s="2"/>
      <c r="L344" s="1" t="s">
        <v>20</v>
      </c>
      <c r="M344" s="1" t="s">
        <v>149</v>
      </c>
    </row>
    <row r="345" spans="1:13" x14ac:dyDescent="0.25">
      <c r="A345" s="1" t="s">
        <v>884</v>
      </c>
      <c r="B345" s="1" t="s">
        <v>75</v>
      </c>
      <c r="C345" s="1" t="s">
        <v>885</v>
      </c>
      <c r="D345" s="1" t="s">
        <v>16</v>
      </c>
      <c r="E345" s="1" t="s">
        <v>47</v>
      </c>
      <c r="F345" s="1" t="s">
        <v>40</v>
      </c>
      <c r="G345">
        <v>41745</v>
      </c>
      <c r="H345" s="1" t="s">
        <v>886</v>
      </c>
      <c r="I345" s="2">
        <v>44985</v>
      </c>
      <c r="J345">
        <v>33</v>
      </c>
      <c r="K345">
        <v>22.1</v>
      </c>
      <c r="L345" s="1" t="s">
        <v>96</v>
      </c>
      <c r="M345" s="1" t="s">
        <v>35</v>
      </c>
    </row>
    <row r="346" spans="1:13" x14ac:dyDescent="0.25">
      <c r="A346" s="1" t="s">
        <v>887</v>
      </c>
      <c r="B346" s="1" t="s">
        <v>109</v>
      </c>
      <c r="C346" s="1" t="s">
        <v>423</v>
      </c>
      <c r="D346" s="1" t="s">
        <v>90</v>
      </c>
      <c r="E346" s="1" t="s">
        <v>72</v>
      </c>
      <c r="F346" s="1" t="s">
        <v>129</v>
      </c>
      <c r="G346">
        <v>452750</v>
      </c>
      <c r="H346" s="1" t="s">
        <v>752</v>
      </c>
      <c r="I346" s="2"/>
      <c r="K346">
        <v>14.6</v>
      </c>
      <c r="L346" s="1" t="s">
        <v>96</v>
      </c>
      <c r="M346" s="1" t="s">
        <v>63</v>
      </c>
    </row>
    <row r="347" spans="1:13" x14ac:dyDescent="0.25">
      <c r="A347" s="1" t="s">
        <v>888</v>
      </c>
      <c r="B347" s="1" t="s">
        <v>65</v>
      </c>
      <c r="C347" s="1" t="s">
        <v>38</v>
      </c>
      <c r="D347" s="1" t="s">
        <v>90</v>
      </c>
      <c r="E347" s="1" t="s">
        <v>94</v>
      </c>
      <c r="F347" s="1" t="s">
        <v>40</v>
      </c>
      <c r="G347">
        <v>428641</v>
      </c>
      <c r="H347" s="1" t="s">
        <v>889</v>
      </c>
      <c r="I347" s="2">
        <v>45416</v>
      </c>
      <c r="J347">
        <v>147</v>
      </c>
      <c r="K347">
        <v>18.5</v>
      </c>
      <c r="L347" s="1" t="s">
        <v>20</v>
      </c>
      <c r="M347" s="1" t="s">
        <v>21</v>
      </c>
    </row>
    <row r="348" spans="1:13" x14ac:dyDescent="0.25">
      <c r="A348" s="1" t="s">
        <v>890</v>
      </c>
      <c r="B348" s="1" t="s">
        <v>59</v>
      </c>
      <c r="C348" s="1" t="s">
        <v>71</v>
      </c>
      <c r="D348" s="1" t="s">
        <v>39</v>
      </c>
      <c r="E348" s="1" t="s">
        <v>17</v>
      </c>
      <c r="F348" s="1" t="s">
        <v>40</v>
      </c>
      <c r="G348">
        <v>236384</v>
      </c>
      <c r="H348" s="1" t="s">
        <v>556</v>
      </c>
      <c r="I348" s="2">
        <v>45232</v>
      </c>
      <c r="J348">
        <v>23</v>
      </c>
      <c r="K348">
        <v>20</v>
      </c>
      <c r="L348" s="1" t="s">
        <v>29</v>
      </c>
      <c r="M348" s="1" t="s">
        <v>21</v>
      </c>
    </row>
    <row r="349" spans="1:13" x14ac:dyDescent="0.25">
      <c r="A349" s="1" t="s">
        <v>891</v>
      </c>
      <c r="B349" s="1" t="s">
        <v>65</v>
      </c>
      <c r="C349" s="1" t="s">
        <v>892</v>
      </c>
      <c r="D349" s="1" t="s">
        <v>67</v>
      </c>
      <c r="E349" s="1" t="s">
        <v>47</v>
      </c>
      <c r="F349" s="1" t="s">
        <v>53</v>
      </c>
      <c r="G349">
        <v>94789</v>
      </c>
      <c r="H349" s="1" t="s">
        <v>893</v>
      </c>
      <c r="I349" s="2"/>
      <c r="K349">
        <v>2.1</v>
      </c>
      <c r="L349" s="1" t="s">
        <v>96</v>
      </c>
      <c r="M349" s="1" t="s">
        <v>69</v>
      </c>
    </row>
    <row r="350" spans="1:13" x14ac:dyDescent="0.25">
      <c r="A350" s="1" t="s">
        <v>894</v>
      </c>
      <c r="B350" s="1" t="s">
        <v>65</v>
      </c>
      <c r="C350" s="1" t="s">
        <v>460</v>
      </c>
      <c r="D350" s="1" t="s">
        <v>16</v>
      </c>
      <c r="E350" s="1" t="s">
        <v>17</v>
      </c>
      <c r="F350" s="1" t="s">
        <v>40</v>
      </c>
      <c r="G350">
        <v>11209</v>
      </c>
      <c r="H350" s="1" t="s">
        <v>350</v>
      </c>
      <c r="I350" s="2">
        <v>45327</v>
      </c>
      <c r="J350">
        <v>48</v>
      </c>
      <c r="K350">
        <v>10.9</v>
      </c>
      <c r="L350" s="1" t="s">
        <v>20</v>
      </c>
      <c r="M350" s="1" t="s">
        <v>21</v>
      </c>
    </row>
    <row r="351" spans="1:13" x14ac:dyDescent="0.25">
      <c r="A351" s="1" t="s">
        <v>895</v>
      </c>
      <c r="B351" s="1" t="s">
        <v>75</v>
      </c>
      <c r="C351" s="1" t="s">
        <v>528</v>
      </c>
      <c r="D351" s="1" t="s">
        <v>16</v>
      </c>
      <c r="E351" s="1" t="s">
        <v>94</v>
      </c>
      <c r="F351" s="1" t="s">
        <v>33</v>
      </c>
      <c r="G351">
        <v>286742</v>
      </c>
      <c r="H351" s="1" t="s">
        <v>896</v>
      </c>
      <c r="I351" s="2"/>
      <c r="L351" s="1" t="s">
        <v>20</v>
      </c>
      <c r="M351" s="1" t="s">
        <v>21</v>
      </c>
    </row>
    <row r="352" spans="1:13" x14ac:dyDescent="0.25">
      <c r="A352" s="1" t="s">
        <v>897</v>
      </c>
      <c r="B352" s="1" t="s">
        <v>127</v>
      </c>
      <c r="C352" s="1" t="s">
        <v>898</v>
      </c>
      <c r="D352" s="1" t="s">
        <v>46</v>
      </c>
      <c r="E352" s="1" t="s">
        <v>26</v>
      </c>
      <c r="F352" s="1" t="s">
        <v>18</v>
      </c>
      <c r="G352">
        <v>255523</v>
      </c>
      <c r="H352" s="1" t="s">
        <v>899</v>
      </c>
      <c r="I352" s="2">
        <v>45388</v>
      </c>
      <c r="J352">
        <v>117</v>
      </c>
      <c r="L352" s="1" t="s">
        <v>20</v>
      </c>
      <c r="M352" s="1" t="s">
        <v>21</v>
      </c>
    </row>
    <row r="353" spans="1:13" x14ac:dyDescent="0.25">
      <c r="A353" s="1" t="s">
        <v>900</v>
      </c>
      <c r="B353" s="1" t="s">
        <v>104</v>
      </c>
      <c r="C353" s="1" t="s">
        <v>818</v>
      </c>
      <c r="D353" s="1" t="s">
        <v>46</v>
      </c>
      <c r="E353" s="1" t="s">
        <v>61</v>
      </c>
      <c r="F353" s="1" t="s">
        <v>40</v>
      </c>
      <c r="G353">
        <v>269509</v>
      </c>
      <c r="H353" s="1" t="s">
        <v>48</v>
      </c>
      <c r="I353" s="2">
        <v>45303</v>
      </c>
      <c r="J353">
        <v>37</v>
      </c>
      <c r="K353">
        <v>10.1</v>
      </c>
      <c r="L353" s="1" t="s">
        <v>20</v>
      </c>
      <c r="M353" s="1" t="s">
        <v>21</v>
      </c>
    </row>
    <row r="354" spans="1:13" x14ac:dyDescent="0.25">
      <c r="A354" s="1" t="s">
        <v>901</v>
      </c>
      <c r="B354" s="1" t="s">
        <v>65</v>
      </c>
      <c r="C354" s="1" t="s">
        <v>564</v>
      </c>
      <c r="D354" s="1" t="s">
        <v>46</v>
      </c>
      <c r="E354" s="1" t="s">
        <v>51</v>
      </c>
      <c r="F354" s="1" t="s">
        <v>40</v>
      </c>
      <c r="G354">
        <v>11760</v>
      </c>
      <c r="H354" s="1" t="s">
        <v>902</v>
      </c>
      <c r="I354" s="2">
        <v>45672</v>
      </c>
      <c r="J354">
        <v>160</v>
      </c>
      <c r="K354">
        <v>3</v>
      </c>
      <c r="L354" s="1" t="s">
        <v>96</v>
      </c>
      <c r="M354" s="1" t="s">
        <v>149</v>
      </c>
    </row>
    <row r="355" spans="1:13" x14ac:dyDescent="0.25">
      <c r="A355" s="1" t="s">
        <v>903</v>
      </c>
      <c r="B355" s="1" t="s">
        <v>109</v>
      </c>
      <c r="C355" s="1" t="s">
        <v>313</v>
      </c>
      <c r="D355" s="1" t="s">
        <v>90</v>
      </c>
      <c r="E355" s="1" t="s">
        <v>17</v>
      </c>
      <c r="F355" s="1" t="s">
        <v>40</v>
      </c>
      <c r="G355">
        <v>316965</v>
      </c>
      <c r="H355" s="1" t="s">
        <v>904</v>
      </c>
      <c r="I355" s="2">
        <v>45258</v>
      </c>
      <c r="J355">
        <v>166</v>
      </c>
      <c r="K355">
        <v>8.6</v>
      </c>
      <c r="L355" s="1" t="s">
        <v>49</v>
      </c>
      <c r="M355" s="1" t="s">
        <v>30</v>
      </c>
    </row>
    <row r="356" spans="1:13" x14ac:dyDescent="0.25">
      <c r="A356" s="1" t="s">
        <v>905</v>
      </c>
      <c r="B356" s="1" t="s">
        <v>14</v>
      </c>
      <c r="C356" s="1" t="s">
        <v>906</v>
      </c>
      <c r="D356" s="1" t="s">
        <v>25</v>
      </c>
      <c r="E356" s="1" t="s">
        <v>100</v>
      </c>
      <c r="F356" s="1" t="s">
        <v>40</v>
      </c>
      <c r="G356">
        <v>203451</v>
      </c>
      <c r="H356" s="1" t="s">
        <v>907</v>
      </c>
      <c r="I356" s="2">
        <v>45270</v>
      </c>
      <c r="J356">
        <v>120</v>
      </c>
      <c r="K356">
        <v>15</v>
      </c>
      <c r="L356" s="1" t="s">
        <v>96</v>
      </c>
      <c r="M356" s="1" t="s">
        <v>102</v>
      </c>
    </row>
    <row r="357" spans="1:13" x14ac:dyDescent="0.25">
      <c r="A357" s="1" t="s">
        <v>908</v>
      </c>
      <c r="B357" s="1" t="s">
        <v>80</v>
      </c>
      <c r="C357" s="1" t="s">
        <v>313</v>
      </c>
      <c r="D357" s="1" t="s">
        <v>67</v>
      </c>
      <c r="E357" s="1" t="s">
        <v>47</v>
      </c>
      <c r="F357" s="1" t="s">
        <v>27</v>
      </c>
      <c r="G357">
        <v>303743</v>
      </c>
      <c r="H357" s="1" t="s">
        <v>489</v>
      </c>
      <c r="I357" s="2"/>
      <c r="K357">
        <v>5.0999999999999996</v>
      </c>
      <c r="L357" s="1" t="s">
        <v>29</v>
      </c>
      <c r="M357" s="1" t="s">
        <v>30</v>
      </c>
    </row>
    <row r="358" spans="1:13" x14ac:dyDescent="0.25">
      <c r="A358" s="1" t="s">
        <v>909</v>
      </c>
      <c r="B358" s="1" t="s">
        <v>80</v>
      </c>
      <c r="C358" s="1" t="s">
        <v>372</v>
      </c>
      <c r="D358" s="1" t="s">
        <v>90</v>
      </c>
      <c r="E358" s="1" t="s">
        <v>61</v>
      </c>
      <c r="F358" s="1" t="s">
        <v>40</v>
      </c>
      <c r="G358">
        <v>213943</v>
      </c>
      <c r="H358" s="1" t="s">
        <v>910</v>
      </c>
      <c r="I358" s="2">
        <v>45172</v>
      </c>
      <c r="J358">
        <v>156</v>
      </c>
      <c r="K358">
        <v>13.6</v>
      </c>
      <c r="L358" s="1" t="s">
        <v>49</v>
      </c>
      <c r="M358" s="1" t="s">
        <v>35</v>
      </c>
    </row>
    <row r="359" spans="1:13" x14ac:dyDescent="0.25">
      <c r="A359" s="1" t="s">
        <v>911</v>
      </c>
      <c r="B359" s="1" t="s">
        <v>75</v>
      </c>
      <c r="C359" s="1" t="s">
        <v>912</v>
      </c>
      <c r="D359" s="1" t="s">
        <v>46</v>
      </c>
      <c r="E359" s="1" t="s">
        <v>26</v>
      </c>
      <c r="F359" s="1" t="s">
        <v>40</v>
      </c>
      <c r="G359">
        <v>104328</v>
      </c>
      <c r="H359" s="1" t="s">
        <v>913</v>
      </c>
      <c r="I359" s="2">
        <v>44954</v>
      </c>
      <c r="J359">
        <v>17</v>
      </c>
      <c r="K359">
        <v>0.3</v>
      </c>
      <c r="L359" s="1" t="s">
        <v>96</v>
      </c>
      <c r="M359" s="1" t="s">
        <v>35</v>
      </c>
    </row>
    <row r="360" spans="1:13" x14ac:dyDescent="0.25">
      <c r="A360" s="1" t="s">
        <v>914</v>
      </c>
      <c r="B360" s="1" t="s">
        <v>88</v>
      </c>
      <c r="C360" s="1" t="s">
        <v>426</v>
      </c>
      <c r="D360" s="1" t="s">
        <v>90</v>
      </c>
      <c r="E360" s="1" t="s">
        <v>77</v>
      </c>
      <c r="F360" s="1" t="s">
        <v>129</v>
      </c>
      <c r="G360">
        <v>161239</v>
      </c>
      <c r="H360" s="1" t="s">
        <v>915</v>
      </c>
      <c r="I360" s="2"/>
      <c r="L360" s="1" t="s">
        <v>96</v>
      </c>
      <c r="M360" s="1" t="s">
        <v>35</v>
      </c>
    </row>
    <row r="361" spans="1:13" x14ac:dyDescent="0.25">
      <c r="A361" s="1" t="s">
        <v>916</v>
      </c>
      <c r="B361" s="1" t="s">
        <v>88</v>
      </c>
      <c r="C361" s="1" t="s">
        <v>917</v>
      </c>
      <c r="D361" s="1" t="s">
        <v>16</v>
      </c>
      <c r="E361" s="1" t="s">
        <v>17</v>
      </c>
      <c r="F361" s="1" t="s">
        <v>40</v>
      </c>
      <c r="G361">
        <v>212754</v>
      </c>
      <c r="H361" s="1" t="s">
        <v>262</v>
      </c>
      <c r="I361" s="2">
        <v>45830</v>
      </c>
      <c r="J361">
        <v>176</v>
      </c>
      <c r="K361">
        <v>2.9</v>
      </c>
      <c r="L361" s="1" t="s">
        <v>49</v>
      </c>
      <c r="M361" s="1" t="s">
        <v>42</v>
      </c>
    </row>
    <row r="362" spans="1:13" x14ac:dyDescent="0.25">
      <c r="A362" s="1" t="s">
        <v>918</v>
      </c>
      <c r="B362" s="1" t="s">
        <v>59</v>
      </c>
      <c r="C362" s="1" t="s">
        <v>279</v>
      </c>
      <c r="D362" s="1" t="s">
        <v>16</v>
      </c>
      <c r="E362" s="1" t="s">
        <v>17</v>
      </c>
      <c r="F362" s="1" t="s">
        <v>18</v>
      </c>
      <c r="G362">
        <v>844566</v>
      </c>
      <c r="H362" s="1" t="s">
        <v>919</v>
      </c>
      <c r="I362" s="2">
        <v>45384</v>
      </c>
      <c r="J362">
        <v>87</v>
      </c>
      <c r="L362" s="1" t="s">
        <v>96</v>
      </c>
      <c r="M362" s="1" t="s">
        <v>69</v>
      </c>
    </row>
    <row r="363" spans="1:13" x14ac:dyDescent="0.25">
      <c r="A363" s="1" t="s">
        <v>920</v>
      </c>
      <c r="B363" s="1" t="s">
        <v>59</v>
      </c>
      <c r="C363" s="1" t="s">
        <v>544</v>
      </c>
      <c r="D363" s="1" t="s">
        <v>39</v>
      </c>
      <c r="E363" s="1" t="s">
        <v>72</v>
      </c>
      <c r="F363" s="1" t="s">
        <v>27</v>
      </c>
      <c r="G363">
        <v>371462</v>
      </c>
      <c r="H363" s="1" t="s">
        <v>921</v>
      </c>
      <c r="I363" s="2"/>
      <c r="K363">
        <v>8.5</v>
      </c>
      <c r="L363" s="1" t="s">
        <v>49</v>
      </c>
      <c r="M363" s="1" t="s">
        <v>107</v>
      </c>
    </row>
    <row r="364" spans="1:13" x14ac:dyDescent="0.25">
      <c r="A364" s="1" t="s">
        <v>922</v>
      </c>
      <c r="B364" s="1" t="s">
        <v>80</v>
      </c>
      <c r="C364" s="1" t="s">
        <v>625</v>
      </c>
      <c r="D364" s="1" t="s">
        <v>67</v>
      </c>
      <c r="E364" s="1" t="s">
        <v>72</v>
      </c>
      <c r="F364" s="1" t="s">
        <v>27</v>
      </c>
      <c r="G364">
        <v>127411</v>
      </c>
      <c r="H364" s="1" t="s">
        <v>889</v>
      </c>
      <c r="I364" s="2"/>
      <c r="K364">
        <v>4.5999999999999996</v>
      </c>
      <c r="L364" s="1" t="s">
        <v>49</v>
      </c>
      <c r="M364" s="1" t="s">
        <v>21</v>
      </c>
    </row>
    <row r="365" spans="1:13" x14ac:dyDescent="0.25">
      <c r="A365" s="1" t="s">
        <v>923</v>
      </c>
      <c r="B365" s="1" t="s">
        <v>44</v>
      </c>
      <c r="C365" s="1" t="s">
        <v>616</v>
      </c>
      <c r="D365" s="1" t="s">
        <v>46</v>
      </c>
      <c r="E365" s="1" t="s">
        <v>26</v>
      </c>
      <c r="F365" s="1" t="s">
        <v>40</v>
      </c>
      <c r="G365">
        <v>388150</v>
      </c>
      <c r="H365" s="1" t="s">
        <v>750</v>
      </c>
      <c r="I365" s="2">
        <v>45088</v>
      </c>
      <c r="J365">
        <v>114</v>
      </c>
      <c r="K365">
        <v>22.7</v>
      </c>
      <c r="L365" s="1" t="s">
        <v>20</v>
      </c>
      <c r="M365" s="1" t="s">
        <v>35</v>
      </c>
    </row>
    <row r="366" spans="1:13" x14ac:dyDescent="0.25">
      <c r="A366" s="1" t="s">
        <v>924</v>
      </c>
      <c r="B366" s="1" t="s">
        <v>65</v>
      </c>
      <c r="C366" s="1" t="s">
        <v>614</v>
      </c>
      <c r="D366" s="1" t="s">
        <v>67</v>
      </c>
      <c r="E366" s="1" t="s">
        <v>47</v>
      </c>
      <c r="F366" s="1" t="s">
        <v>33</v>
      </c>
      <c r="G366">
        <v>16614</v>
      </c>
      <c r="H366" s="1" t="s">
        <v>285</v>
      </c>
      <c r="I366" s="2"/>
      <c r="L366" s="1" t="s">
        <v>20</v>
      </c>
      <c r="M366" s="1" t="s">
        <v>35</v>
      </c>
    </row>
    <row r="367" spans="1:13" x14ac:dyDescent="0.25">
      <c r="A367" s="1" t="s">
        <v>925</v>
      </c>
      <c r="B367" s="1" t="s">
        <v>75</v>
      </c>
      <c r="C367" s="1" t="s">
        <v>381</v>
      </c>
      <c r="D367" s="1" t="s">
        <v>39</v>
      </c>
      <c r="E367" s="1" t="s">
        <v>51</v>
      </c>
      <c r="F367" s="1" t="s">
        <v>33</v>
      </c>
      <c r="G367">
        <v>120355</v>
      </c>
      <c r="H367" s="1" t="s">
        <v>926</v>
      </c>
      <c r="I367" s="2"/>
      <c r="K367">
        <v>4</v>
      </c>
      <c r="L367" s="1" t="s">
        <v>49</v>
      </c>
      <c r="M367" s="1" t="s">
        <v>149</v>
      </c>
    </row>
    <row r="368" spans="1:13" x14ac:dyDescent="0.25">
      <c r="A368" s="1" t="s">
        <v>927</v>
      </c>
      <c r="B368" s="1" t="s">
        <v>109</v>
      </c>
      <c r="C368" s="1" t="s">
        <v>928</v>
      </c>
      <c r="D368" s="1" t="s">
        <v>16</v>
      </c>
      <c r="E368" s="1" t="s">
        <v>72</v>
      </c>
      <c r="F368" s="1" t="s">
        <v>27</v>
      </c>
      <c r="G368">
        <v>56550</v>
      </c>
      <c r="H368" s="1" t="s">
        <v>697</v>
      </c>
      <c r="I368" s="2"/>
      <c r="L368" s="1" t="s">
        <v>96</v>
      </c>
      <c r="M368" s="1" t="s">
        <v>42</v>
      </c>
    </row>
    <row r="369" spans="1:13" x14ac:dyDescent="0.25">
      <c r="A369" s="1" t="s">
        <v>929</v>
      </c>
      <c r="B369" s="1" t="s">
        <v>98</v>
      </c>
      <c r="C369" s="1" t="s">
        <v>620</v>
      </c>
      <c r="D369" s="1" t="s">
        <v>67</v>
      </c>
      <c r="E369" s="1" t="s">
        <v>100</v>
      </c>
      <c r="F369" s="1" t="s">
        <v>129</v>
      </c>
      <c r="G369">
        <v>252937</v>
      </c>
      <c r="H369" s="1" t="s">
        <v>930</v>
      </c>
      <c r="I369" s="2"/>
      <c r="L369" s="1" t="s">
        <v>20</v>
      </c>
      <c r="M369" s="1" t="s">
        <v>42</v>
      </c>
    </row>
    <row r="370" spans="1:13" x14ac:dyDescent="0.25">
      <c r="A370" s="1" t="s">
        <v>931</v>
      </c>
      <c r="B370" s="1" t="s">
        <v>23</v>
      </c>
      <c r="C370" s="1" t="s">
        <v>932</v>
      </c>
      <c r="D370" s="1" t="s">
        <v>67</v>
      </c>
      <c r="E370" s="1" t="s">
        <v>26</v>
      </c>
      <c r="F370" s="1" t="s">
        <v>33</v>
      </c>
      <c r="G370">
        <v>219576</v>
      </c>
      <c r="H370" s="1" t="s">
        <v>933</v>
      </c>
      <c r="I370" s="2"/>
      <c r="K370">
        <v>3.4</v>
      </c>
      <c r="L370" s="1" t="s">
        <v>49</v>
      </c>
      <c r="M370" s="1" t="s">
        <v>21</v>
      </c>
    </row>
    <row r="371" spans="1:13" x14ac:dyDescent="0.25">
      <c r="A371" s="1" t="s">
        <v>934</v>
      </c>
      <c r="B371" s="1" t="s">
        <v>37</v>
      </c>
      <c r="C371" s="1" t="s">
        <v>505</v>
      </c>
      <c r="D371" s="1" t="s">
        <v>67</v>
      </c>
      <c r="E371" s="1" t="s">
        <v>77</v>
      </c>
      <c r="F371" s="1" t="s">
        <v>33</v>
      </c>
      <c r="G371">
        <v>442318</v>
      </c>
      <c r="H371" s="1" t="s">
        <v>585</v>
      </c>
      <c r="I371" s="2"/>
      <c r="K371">
        <v>7.9</v>
      </c>
      <c r="L371" s="1" t="s">
        <v>20</v>
      </c>
      <c r="M371" s="1" t="s">
        <v>102</v>
      </c>
    </row>
    <row r="372" spans="1:13" x14ac:dyDescent="0.25">
      <c r="A372" s="1" t="s">
        <v>935</v>
      </c>
      <c r="B372" s="1" t="s">
        <v>51</v>
      </c>
      <c r="C372" s="1" t="s">
        <v>558</v>
      </c>
      <c r="D372" s="1" t="s">
        <v>46</v>
      </c>
      <c r="E372" s="1" t="s">
        <v>72</v>
      </c>
      <c r="F372" s="1" t="s">
        <v>40</v>
      </c>
      <c r="G372">
        <v>317426</v>
      </c>
      <c r="H372" s="1" t="s">
        <v>915</v>
      </c>
      <c r="I372" s="2">
        <v>45065</v>
      </c>
      <c r="J372">
        <v>92</v>
      </c>
      <c r="K372">
        <v>23.4</v>
      </c>
      <c r="L372" s="1" t="s">
        <v>49</v>
      </c>
      <c r="M372" s="1" t="s">
        <v>35</v>
      </c>
    </row>
    <row r="373" spans="1:13" x14ac:dyDescent="0.25">
      <c r="A373" s="1" t="s">
        <v>936</v>
      </c>
      <c r="B373" s="1" t="s">
        <v>104</v>
      </c>
      <c r="C373" s="1" t="s">
        <v>433</v>
      </c>
      <c r="D373" s="1" t="s">
        <v>46</v>
      </c>
      <c r="E373" s="1" t="s">
        <v>77</v>
      </c>
      <c r="F373" s="1" t="s">
        <v>53</v>
      </c>
      <c r="G373">
        <v>213136</v>
      </c>
      <c r="H373" s="1" t="s">
        <v>937</v>
      </c>
      <c r="I373" s="2"/>
      <c r="L373" s="1" t="s">
        <v>49</v>
      </c>
      <c r="M373" s="1" t="s">
        <v>63</v>
      </c>
    </row>
    <row r="374" spans="1:13" x14ac:dyDescent="0.25">
      <c r="A374" s="1" t="s">
        <v>938</v>
      </c>
      <c r="B374" s="1" t="s">
        <v>80</v>
      </c>
      <c r="C374" s="1" t="s">
        <v>939</v>
      </c>
      <c r="D374" s="1" t="s">
        <v>25</v>
      </c>
      <c r="E374" s="1" t="s">
        <v>94</v>
      </c>
      <c r="F374" s="1" t="s">
        <v>18</v>
      </c>
      <c r="G374">
        <v>278128</v>
      </c>
      <c r="H374" s="1" t="s">
        <v>658</v>
      </c>
      <c r="I374" s="2">
        <v>45844</v>
      </c>
      <c r="J374">
        <v>131</v>
      </c>
      <c r="K374">
        <v>3.8</v>
      </c>
      <c r="L374" s="1" t="s">
        <v>29</v>
      </c>
      <c r="M374" s="1" t="s">
        <v>63</v>
      </c>
    </row>
    <row r="375" spans="1:13" x14ac:dyDescent="0.25">
      <c r="A375" s="1" t="s">
        <v>940</v>
      </c>
      <c r="B375" s="1" t="s">
        <v>14</v>
      </c>
      <c r="C375" s="1" t="s">
        <v>157</v>
      </c>
      <c r="D375" s="1" t="s">
        <v>39</v>
      </c>
      <c r="E375" s="1" t="s">
        <v>61</v>
      </c>
      <c r="F375" s="1" t="s">
        <v>40</v>
      </c>
      <c r="G375">
        <v>341107</v>
      </c>
      <c r="H375" s="1" t="s">
        <v>142</v>
      </c>
      <c r="I375" s="2">
        <v>45450</v>
      </c>
      <c r="J375">
        <v>172</v>
      </c>
      <c r="K375">
        <v>0.1</v>
      </c>
      <c r="L375" s="1" t="s">
        <v>20</v>
      </c>
      <c r="M375" s="1" t="s">
        <v>21</v>
      </c>
    </row>
    <row r="376" spans="1:13" x14ac:dyDescent="0.25">
      <c r="A376" s="1" t="s">
        <v>941</v>
      </c>
      <c r="B376" s="1" t="s">
        <v>173</v>
      </c>
      <c r="C376" s="1" t="s">
        <v>387</v>
      </c>
      <c r="D376" s="1" t="s">
        <v>90</v>
      </c>
      <c r="E376" s="1" t="s">
        <v>94</v>
      </c>
      <c r="F376" s="1" t="s">
        <v>129</v>
      </c>
      <c r="G376">
        <v>70282</v>
      </c>
      <c r="H376" s="1" t="s">
        <v>942</v>
      </c>
      <c r="I376" s="2"/>
      <c r="K376">
        <v>7.5</v>
      </c>
      <c r="L376" s="1" t="s">
        <v>96</v>
      </c>
      <c r="M376" s="1" t="s">
        <v>30</v>
      </c>
    </row>
    <row r="377" spans="1:13" x14ac:dyDescent="0.25">
      <c r="A377" s="1" t="s">
        <v>943</v>
      </c>
      <c r="B377" s="1" t="s">
        <v>109</v>
      </c>
      <c r="C377" s="1" t="s">
        <v>944</v>
      </c>
      <c r="D377" s="1" t="s">
        <v>16</v>
      </c>
      <c r="E377" s="1" t="s">
        <v>72</v>
      </c>
      <c r="F377" s="1" t="s">
        <v>40</v>
      </c>
      <c r="G377">
        <v>159822</v>
      </c>
      <c r="H377" s="1" t="s">
        <v>706</v>
      </c>
      <c r="I377" s="2">
        <v>45073</v>
      </c>
      <c r="J377">
        <v>130</v>
      </c>
      <c r="K377">
        <v>14.6</v>
      </c>
      <c r="L377" s="1" t="s">
        <v>29</v>
      </c>
      <c r="M377" s="1" t="s">
        <v>35</v>
      </c>
    </row>
    <row r="378" spans="1:13" x14ac:dyDescent="0.25">
      <c r="A378" s="1" t="s">
        <v>945</v>
      </c>
      <c r="B378" s="1" t="s">
        <v>23</v>
      </c>
      <c r="C378" s="1" t="s">
        <v>946</v>
      </c>
      <c r="D378" s="1" t="s">
        <v>16</v>
      </c>
      <c r="E378" s="1" t="s">
        <v>17</v>
      </c>
      <c r="F378" s="1" t="s">
        <v>53</v>
      </c>
      <c r="G378">
        <v>328151</v>
      </c>
      <c r="H378" s="1" t="s">
        <v>271</v>
      </c>
      <c r="I378" s="2"/>
      <c r="K378">
        <v>6.5</v>
      </c>
      <c r="L378" s="1" t="s">
        <v>20</v>
      </c>
      <c r="M378" s="1" t="s">
        <v>69</v>
      </c>
    </row>
    <row r="379" spans="1:13" x14ac:dyDescent="0.25">
      <c r="A379" s="1" t="s">
        <v>947</v>
      </c>
      <c r="B379" s="1" t="s">
        <v>127</v>
      </c>
      <c r="C379" s="1" t="s">
        <v>583</v>
      </c>
      <c r="D379" s="1" t="s">
        <v>46</v>
      </c>
      <c r="E379" s="1" t="s">
        <v>94</v>
      </c>
      <c r="F379" s="1" t="s">
        <v>40</v>
      </c>
      <c r="G379">
        <v>128341</v>
      </c>
      <c r="H379" s="1" t="s">
        <v>948</v>
      </c>
      <c r="I379" s="2">
        <v>45366</v>
      </c>
      <c r="J379">
        <v>23</v>
      </c>
      <c r="K379">
        <v>23.9</v>
      </c>
      <c r="L379" s="1" t="s">
        <v>20</v>
      </c>
      <c r="M379" s="1" t="s">
        <v>69</v>
      </c>
    </row>
    <row r="380" spans="1:13" x14ac:dyDescent="0.25">
      <c r="A380" s="1" t="s">
        <v>949</v>
      </c>
      <c r="B380" s="1" t="s">
        <v>23</v>
      </c>
      <c r="C380" s="1" t="s">
        <v>208</v>
      </c>
      <c r="D380" s="1" t="s">
        <v>67</v>
      </c>
      <c r="E380" s="1" t="s">
        <v>26</v>
      </c>
      <c r="F380" s="1" t="s">
        <v>33</v>
      </c>
      <c r="G380">
        <v>201122</v>
      </c>
      <c r="H380" s="1" t="s">
        <v>950</v>
      </c>
      <c r="I380" s="2"/>
      <c r="K380">
        <v>11.9</v>
      </c>
      <c r="L380" s="1" t="s">
        <v>49</v>
      </c>
      <c r="M380" s="1" t="s">
        <v>102</v>
      </c>
    </row>
    <row r="381" spans="1:13" x14ac:dyDescent="0.25">
      <c r="A381" s="1" t="s">
        <v>951</v>
      </c>
      <c r="B381" s="1" t="s">
        <v>104</v>
      </c>
      <c r="C381" s="1" t="s">
        <v>141</v>
      </c>
      <c r="D381" s="1" t="s">
        <v>25</v>
      </c>
      <c r="E381" s="1" t="s">
        <v>77</v>
      </c>
      <c r="F381" s="1" t="s">
        <v>18</v>
      </c>
      <c r="G381">
        <v>280537</v>
      </c>
      <c r="H381" s="1" t="s">
        <v>114</v>
      </c>
      <c r="I381" s="2">
        <v>45342</v>
      </c>
      <c r="J381">
        <v>26</v>
      </c>
      <c r="K381">
        <v>0.4</v>
      </c>
      <c r="L381" s="1" t="s">
        <v>29</v>
      </c>
      <c r="M381" s="1" t="s">
        <v>69</v>
      </c>
    </row>
    <row r="382" spans="1:13" x14ac:dyDescent="0.25">
      <c r="A382" s="1" t="s">
        <v>952</v>
      </c>
      <c r="B382" s="1" t="s">
        <v>84</v>
      </c>
      <c r="C382" s="1" t="s">
        <v>478</v>
      </c>
      <c r="D382" s="1" t="s">
        <v>25</v>
      </c>
      <c r="E382" s="1" t="s">
        <v>100</v>
      </c>
      <c r="F382" s="1" t="s">
        <v>129</v>
      </c>
      <c r="G382">
        <v>476399</v>
      </c>
      <c r="H382" s="1" t="s">
        <v>953</v>
      </c>
      <c r="I382" s="2"/>
      <c r="K382">
        <v>9.1999999999999993</v>
      </c>
      <c r="L382" s="1" t="s">
        <v>20</v>
      </c>
      <c r="M382" s="1" t="s">
        <v>149</v>
      </c>
    </row>
    <row r="383" spans="1:13" x14ac:dyDescent="0.25">
      <c r="A383" s="1" t="s">
        <v>954</v>
      </c>
      <c r="B383" s="1" t="s">
        <v>59</v>
      </c>
      <c r="C383" s="1" t="s">
        <v>364</v>
      </c>
      <c r="D383" s="1" t="s">
        <v>90</v>
      </c>
      <c r="E383" s="1" t="s">
        <v>47</v>
      </c>
      <c r="F383" s="1" t="s">
        <v>40</v>
      </c>
      <c r="G383">
        <v>148918</v>
      </c>
      <c r="H383" s="1" t="s">
        <v>955</v>
      </c>
      <c r="I383" s="2">
        <v>45828</v>
      </c>
      <c r="J383">
        <v>110</v>
      </c>
      <c r="K383">
        <v>17.100000000000001</v>
      </c>
      <c r="L383" s="1" t="s">
        <v>29</v>
      </c>
      <c r="M383" s="1" t="s">
        <v>63</v>
      </c>
    </row>
    <row r="384" spans="1:13" x14ac:dyDescent="0.25">
      <c r="A384" s="1" t="s">
        <v>956</v>
      </c>
      <c r="B384" s="1" t="s">
        <v>98</v>
      </c>
      <c r="C384" s="1" t="s">
        <v>957</v>
      </c>
      <c r="D384" s="1" t="s">
        <v>39</v>
      </c>
      <c r="E384" s="1" t="s">
        <v>94</v>
      </c>
      <c r="F384" s="1" t="s">
        <v>40</v>
      </c>
      <c r="G384">
        <v>183921</v>
      </c>
      <c r="H384" s="1" t="s">
        <v>958</v>
      </c>
      <c r="I384" s="2">
        <v>45656</v>
      </c>
      <c r="J384">
        <v>53</v>
      </c>
      <c r="K384">
        <v>4.2</v>
      </c>
      <c r="L384" s="1" t="s">
        <v>29</v>
      </c>
      <c r="M384" s="1" t="s">
        <v>42</v>
      </c>
    </row>
    <row r="385" spans="1:13" x14ac:dyDescent="0.25">
      <c r="A385" s="1" t="s">
        <v>959</v>
      </c>
      <c r="B385" s="1" t="s">
        <v>44</v>
      </c>
      <c r="C385" s="1" t="s">
        <v>415</v>
      </c>
      <c r="D385" s="1" t="s">
        <v>46</v>
      </c>
      <c r="E385" s="1" t="s">
        <v>72</v>
      </c>
      <c r="F385" s="1" t="s">
        <v>33</v>
      </c>
      <c r="G385">
        <v>430111</v>
      </c>
      <c r="H385" s="1" t="s">
        <v>960</v>
      </c>
      <c r="I385" s="2"/>
      <c r="L385" s="1" t="s">
        <v>49</v>
      </c>
      <c r="M385" s="1" t="s">
        <v>35</v>
      </c>
    </row>
    <row r="386" spans="1:13" x14ac:dyDescent="0.25">
      <c r="A386" s="1" t="s">
        <v>961</v>
      </c>
      <c r="B386" s="1" t="s">
        <v>44</v>
      </c>
      <c r="C386" s="1" t="s">
        <v>261</v>
      </c>
      <c r="D386" s="1" t="s">
        <v>39</v>
      </c>
      <c r="E386" s="1" t="s">
        <v>77</v>
      </c>
      <c r="F386" s="1" t="s">
        <v>129</v>
      </c>
      <c r="G386">
        <v>380531</v>
      </c>
      <c r="H386" s="1" t="s">
        <v>672</v>
      </c>
      <c r="I386" s="2"/>
      <c r="K386">
        <v>10.5</v>
      </c>
      <c r="L386" s="1" t="s">
        <v>96</v>
      </c>
      <c r="M386" s="1" t="s">
        <v>102</v>
      </c>
    </row>
    <row r="387" spans="1:13" x14ac:dyDescent="0.25">
      <c r="A387" s="1" t="s">
        <v>962</v>
      </c>
      <c r="B387" s="1" t="s">
        <v>84</v>
      </c>
      <c r="C387" s="1" t="s">
        <v>132</v>
      </c>
      <c r="D387" s="1" t="s">
        <v>67</v>
      </c>
      <c r="E387" s="1" t="s">
        <v>47</v>
      </c>
      <c r="F387" s="1" t="s">
        <v>129</v>
      </c>
      <c r="G387">
        <v>35853</v>
      </c>
      <c r="H387" s="1" t="s">
        <v>963</v>
      </c>
      <c r="I387" s="2"/>
      <c r="K387">
        <v>1.3</v>
      </c>
      <c r="L387" s="1" t="s">
        <v>29</v>
      </c>
      <c r="M387" s="1" t="s">
        <v>102</v>
      </c>
    </row>
    <row r="388" spans="1:13" x14ac:dyDescent="0.25">
      <c r="A388" s="1" t="s">
        <v>964</v>
      </c>
      <c r="B388" s="1" t="s">
        <v>104</v>
      </c>
      <c r="C388" s="1" t="s">
        <v>273</v>
      </c>
      <c r="D388" s="1" t="s">
        <v>46</v>
      </c>
      <c r="E388" s="1" t="s">
        <v>17</v>
      </c>
      <c r="F388" s="1" t="s">
        <v>129</v>
      </c>
      <c r="G388">
        <v>482655</v>
      </c>
      <c r="H388" s="1" t="s">
        <v>965</v>
      </c>
      <c r="I388" s="2"/>
      <c r="L388" s="1" t="s">
        <v>96</v>
      </c>
      <c r="M388" s="1" t="s">
        <v>30</v>
      </c>
    </row>
    <row r="389" spans="1:13" x14ac:dyDescent="0.25">
      <c r="A389" s="1" t="s">
        <v>966</v>
      </c>
      <c r="B389" s="1" t="s">
        <v>59</v>
      </c>
      <c r="C389" s="1" t="s">
        <v>967</v>
      </c>
      <c r="D389" s="1" t="s">
        <v>16</v>
      </c>
      <c r="E389" s="1" t="s">
        <v>61</v>
      </c>
      <c r="F389" s="1" t="s">
        <v>129</v>
      </c>
      <c r="G389">
        <v>278783</v>
      </c>
      <c r="H389" s="1" t="s">
        <v>968</v>
      </c>
      <c r="I389" s="2"/>
      <c r="K389">
        <v>11</v>
      </c>
      <c r="L389" s="1" t="s">
        <v>49</v>
      </c>
      <c r="M389" s="1" t="s">
        <v>149</v>
      </c>
    </row>
    <row r="390" spans="1:13" x14ac:dyDescent="0.25">
      <c r="A390" s="1" t="s">
        <v>969</v>
      </c>
      <c r="B390" s="1" t="s">
        <v>14</v>
      </c>
      <c r="C390" s="1" t="s">
        <v>564</v>
      </c>
      <c r="D390" s="1" t="s">
        <v>16</v>
      </c>
      <c r="E390" s="1" t="s">
        <v>17</v>
      </c>
      <c r="F390" s="1" t="s">
        <v>129</v>
      </c>
      <c r="G390">
        <v>292000</v>
      </c>
      <c r="H390" s="1" t="s">
        <v>970</v>
      </c>
      <c r="I390" s="2"/>
      <c r="L390" s="1" t="s">
        <v>96</v>
      </c>
      <c r="M390" s="1" t="s">
        <v>42</v>
      </c>
    </row>
    <row r="391" spans="1:13" x14ac:dyDescent="0.25">
      <c r="A391" s="1" t="s">
        <v>971</v>
      </c>
      <c r="B391" s="1" t="s">
        <v>88</v>
      </c>
      <c r="C391" s="1" t="s">
        <v>972</v>
      </c>
      <c r="D391" s="1" t="s">
        <v>46</v>
      </c>
      <c r="E391" s="1" t="s">
        <v>100</v>
      </c>
      <c r="F391" s="1" t="s">
        <v>27</v>
      </c>
      <c r="G391">
        <v>184544</v>
      </c>
      <c r="H391" s="1" t="s">
        <v>689</v>
      </c>
      <c r="I391" s="2"/>
      <c r="K391">
        <v>11.8</v>
      </c>
      <c r="L391" s="1" t="s">
        <v>96</v>
      </c>
      <c r="M391" s="1" t="s">
        <v>30</v>
      </c>
    </row>
    <row r="392" spans="1:13" x14ac:dyDescent="0.25">
      <c r="A392" s="1" t="s">
        <v>973</v>
      </c>
      <c r="B392" s="1" t="s">
        <v>37</v>
      </c>
      <c r="C392" s="1" t="s">
        <v>89</v>
      </c>
      <c r="D392" s="1" t="s">
        <v>67</v>
      </c>
      <c r="E392" s="1" t="s">
        <v>94</v>
      </c>
      <c r="F392" s="1" t="s">
        <v>129</v>
      </c>
      <c r="G392">
        <v>411571</v>
      </c>
      <c r="H392" s="1" t="s">
        <v>974</v>
      </c>
      <c r="I392" s="2"/>
      <c r="K392">
        <v>5.9</v>
      </c>
      <c r="L392" s="1" t="s">
        <v>29</v>
      </c>
      <c r="M392" s="1" t="s">
        <v>35</v>
      </c>
    </row>
    <row r="393" spans="1:13" x14ac:dyDescent="0.25">
      <c r="A393" s="1" t="s">
        <v>975</v>
      </c>
      <c r="B393" s="1" t="s">
        <v>173</v>
      </c>
      <c r="C393" s="1" t="s">
        <v>521</v>
      </c>
      <c r="D393" s="1" t="s">
        <v>90</v>
      </c>
      <c r="E393" s="1" t="s">
        <v>94</v>
      </c>
      <c r="F393" s="1" t="s">
        <v>53</v>
      </c>
      <c r="G393">
        <v>433966</v>
      </c>
      <c r="H393" s="1" t="s">
        <v>850</v>
      </c>
      <c r="I393" s="2"/>
      <c r="K393">
        <v>0.1</v>
      </c>
      <c r="L393" s="1" t="s">
        <v>49</v>
      </c>
      <c r="M393" s="1" t="s">
        <v>35</v>
      </c>
    </row>
    <row r="394" spans="1:13" x14ac:dyDescent="0.25">
      <c r="A394" s="1" t="s">
        <v>976</v>
      </c>
      <c r="B394" s="1" t="s">
        <v>59</v>
      </c>
      <c r="C394" s="1" t="s">
        <v>977</v>
      </c>
      <c r="D394" s="1" t="s">
        <v>90</v>
      </c>
      <c r="E394" s="1" t="s">
        <v>47</v>
      </c>
      <c r="F394" s="1" t="s">
        <v>40</v>
      </c>
      <c r="G394">
        <v>385164</v>
      </c>
      <c r="H394" s="1" t="s">
        <v>978</v>
      </c>
      <c r="I394" s="2">
        <v>45063</v>
      </c>
      <c r="J394">
        <v>88</v>
      </c>
      <c r="K394">
        <v>15</v>
      </c>
      <c r="L394" s="1" t="s">
        <v>20</v>
      </c>
      <c r="M394" s="1" t="s">
        <v>35</v>
      </c>
    </row>
    <row r="395" spans="1:13" x14ac:dyDescent="0.25">
      <c r="A395" s="1" t="s">
        <v>979</v>
      </c>
      <c r="B395" s="1" t="s">
        <v>65</v>
      </c>
      <c r="C395" s="1" t="s">
        <v>980</v>
      </c>
      <c r="D395" s="1" t="s">
        <v>25</v>
      </c>
      <c r="E395" s="1" t="s">
        <v>47</v>
      </c>
      <c r="F395" s="1" t="s">
        <v>33</v>
      </c>
      <c r="G395">
        <v>449693</v>
      </c>
      <c r="H395" s="1" t="s">
        <v>981</v>
      </c>
      <c r="I395" s="2"/>
      <c r="K395">
        <v>1.2</v>
      </c>
      <c r="L395" s="1" t="s">
        <v>29</v>
      </c>
      <c r="M395" s="1" t="s">
        <v>107</v>
      </c>
    </row>
    <row r="396" spans="1:13" x14ac:dyDescent="0.25">
      <c r="A396" s="1" t="s">
        <v>982</v>
      </c>
      <c r="B396" s="1" t="s">
        <v>88</v>
      </c>
      <c r="C396" s="1" t="s">
        <v>983</v>
      </c>
      <c r="D396" s="1" t="s">
        <v>90</v>
      </c>
      <c r="E396" s="1" t="s">
        <v>72</v>
      </c>
      <c r="F396" s="1" t="s">
        <v>27</v>
      </c>
      <c r="G396">
        <v>246801</v>
      </c>
      <c r="H396" s="1" t="s">
        <v>984</v>
      </c>
      <c r="I396" s="2"/>
      <c r="K396">
        <v>2.4</v>
      </c>
      <c r="L396" s="1" t="s">
        <v>29</v>
      </c>
      <c r="M396" s="1" t="s">
        <v>107</v>
      </c>
    </row>
    <row r="397" spans="1:13" x14ac:dyDescent="0.25">
      <c r="A397" s="1" t="s">
        <v>985</v>
      </c>
      <c r="B397" s="1" t="s">
        <v>75</v>
      </c>
      <c r="C397" s="1" t="s">
        <v>361</v>
      </c>
      <c r="D397" s="1" t="s">
        <v>39</v>
      </c>
      <c r="E397" s="1" t="s">
        <v>17</v>
      </c>
      <c r="F397" s="1" t="s">
        <v>53</v>
      </c>
      <c r="G397">
        <v>248356</v>
      </c>
      <c r="H397" s="1" t="s">
        <v>860</v>
      </c>
      <c r="I397" s="2"/>
      <c r="K397">
        <v>2.9</v>
      </c>
      <c r="L397" s="1" t="s">
        <v>96</v>
      </c>
      <c r="M397" s="1" t="s">
        <v>30</v>
      </c>
    </row>
    <row r="398" spans="1:13" x14ac:dyDescent="0.25">
      <c r="A398" s="1" t="s">
        <v>986</v>
      </c>
      <c r="B398" s="1" t="s">
        <v>44</v>
      </c>
      <c r="C398" s="1" t="s">
        <v>987</v>
      </c>
      <c r="D398" s="1" t="s">
        <v>25</v>
      </c>
      <c r="E398" s="1" t="s">
        <v>77</v>
      </c>
      <c r="F398" s="1" t="s">
        <v>40</v>
      </c>
      <c r="G398">
        <v>312272</v>
      </c>
      <c r="H398" s="1" t="s">
        <v>211</v>
      </c>
      <c r="I398" s="2">
        <v>45153</v>
      </c>
      <c r="J398">
        <v>77</v>
      </c>
      <c r="K398">
        <v>16.2</v>
      </c>
      <c r="L398" s="1" t="s">
        <v>29</v>
      </c>
      <c r="M398" s="1" t="s">
        <v>30</v>
      </c>
    </row>
    <row r="399" spans="1:13" x14ac:dyDescent="0.25">
      <c r="A399" s="1" t="s">
        <v>988</v>
      </c>
      <c r="B399" s="1" t="s">
        <v>37</v>
      </c>
      <c r="C399" s="1" t="s">
        <v>189</v>
      </c>
      <c r="D399" s="1" t="s">
        <v>46</v>
      </c>
      <c r="E399" s="1" t="s">
        <v>77</v>
      </c>
      <c r="F399" s="1" t="s">
        <v>33</v>
      </c>
      <c r="G399">
        <v>11749</v>
      </c>
      <c r="H399" s="1" t="s">
        <v>889</v>
      </c>
      <c r="I399" s="2"/>
      <c r="K399">
        <v>11.4</v>
      </c>
      <c r="L399" s="1" t="s">
        <v>96</v>
      </c>
      <c r="M399" s="1" t="s">
        <v>21</v>
      </c>
    </row>
    <row r="400" spans="1:13" x14ac:dyDescent="0.25">
      <c r="A400" s="1" t="s">
        <v>989</v>
      </c>
      <c r="B400" s="1" t="s">
        <v>84</v>
      </c>
      <c r="C400" s="1" t="s">
        <v>539</v>
      </c>
      <c r="D400" s="1" t="s">
        <v>67</v>
      </c>
      <c r="E400" s="1" t="s">
        <v>26</v>
      </c>
      <c r="F400" s="1" t="s">
        <v>40</v>
      </c>
      <c r="G400">
        <v>460919</v>
      </c>
      <c r="H400" s="1" t="s">
        <v>913</v>
      </c>
      <c r="I400" s="2">
        <v>45033</v>
      </c>
      <c r="J400">
        <v>96</v>
      </c>
      <c r="K400">
        <v>5.2</v>
      </c>
      <c r="L400" s="1" t="s">
        <v>29</v>
      </c>
      <c r="M400" s="1" t="s">
        <v>35</v>
      </c>
    </row>
    <row r="401" spans="1:13" x14ac:dyDescent="0.25">
      <c r="A401" s="1" t="s">
        <v>990</v>
      </c>
      <c r="B401" s="1" t="s">
        <v>23</v>
      </c>
      <c r="C401" s="1" t="s">
        <v>132</v>
      </c>
      <c r="D401" s="1" t="s">
        <v>25</v>
      </c>
      <c r="E401" s="1" t="s">
        <v>47</v>
      </c>
      <c r="F401" s="1" t="s">
        <v>18</v>
      </c>
      <c r="G401">
        <v>344478</v>
      </c>
      <c r="H401" s="1" t="s">
        <v>991</v>
      </c>
      <c r="I401" s="2">
        <v>45275</v>
      </c>
      <c r="J401">
        <v>152</v>
      </c>
      <c r="L401" s="1" t="s">
        <v>29</v>
      </c>
      <c r="M401" s="1" t="s">
        <v>102</v>
      </c>
    </row>
    <row r="402" spans="1:13" x14ac:dyDescent="0.25">
      <c r="A402" s="1" t="s">
        <v>992</v>
      </c>
      <c r="B402" s="1" t="s">
        <v>98</v>
      </c>
      <c r="C402" s="1" t="s">
        <v>502</v>
      </c>
      <c r="D402" s="1" t="s">
        <v>39</v>
      </c>
      <c r="E402" s="1" t="s">
        <v>51</v>
      </c>
      <c r="F402" s="1" t="s">
        <v>33</v>
      </c>
      <c r="G402">
        <v>1591455</v>
      </c>
      <c r="H402" s="1" t="s">
        <v>993</v>
      </c>
      <c r="I402" s="2"/>
      <c r="L402" s="1" t="s">
        <v>29</v>
      </c>
      <c r="M402" s="1" t="s">
        <v>63</v>
      </c>
    </row>
    <row r="403" spans="1:13" x14ac:dyDescent="0.25">
      <c r="A403" s="1" t="s">
        <v>994</v>
      </c>
      <c r="B403" s="1" t="s">
        <v>65</v>
      </c>
      <c r="C403" s="1" t="s">
        <v>587</v>
      </c>
      <c r="D403" s="1" t="s">
        <v>46</v>
      </c>
      <c r="E403" s="1" t="s">
        <v>17</v>
      </c>
      <c r="F403" s="1" t="s">
        <v>53</v>
      </c>
      <c r="G403">
        <v>149595</v>
      </c>
      <c r="H403" s="1" t="s">
        <v>995</v>
      </c>
      <c r="I403" s="2"/>
      <c r="K403">
        <v>10.3</v>
      </c>
      <c r="L403" s="1" t="s">
        <v>96</v>
      </c>
      <c r="M403" s="1" t="s">
        <v>21</v>
      </c>
    </row>
    <row r="404" spans="1:13" x14ac:dyDescent="0.25">
      <c r="A404" s="1" t="s">
        <v>996</v>
      </c>
      <c r="B404" s="1" t="s">
        <v>80</v>
      </c>
      <c r="C404" s="1" t="s">
        <v>237</v>
      </c>
      <c r="D404" s="1" t="s">
        <v>16</v>
      </c>
      <c r="E404" s="1" t="s">
        <v>47</v>
      </c>
      <c r="F404" s="1" t="s">
        <v>18</v>
      </c>
      <c r="G404">
        <v>96367</v>
      </c>
      <c r="H404" s="1" t="s">
        <v>981</v>
      </c>
      <c r="I404" s="2">
        <v>45636</v>
      </c>
      <c r="J404">
        <v>166</v>
      </c>
      <c r="K404">
        <v>12.4</v>
      </c>
      <c r="L404" s="1" t="s">
        <v>20</v>
      </c>
      <c r="M404" s="1" t="s">
        <v>107</v>
      </c>
    </row>
    <row r="405" spans="1:13" x14ac:dyDescent="0.25">
      <c r="A405" s="1" t="s">
        <v>997</v>
      </c>
      <c r="B405" s="1" t="s">
        <v>98</v>
      </c>
      <c r="C405" s="1" t="s">
        <v>502</v>
      </c>
      <c r="D405" s="1" t="s">
        <v>90</v>
      </c>
      <c r="E405" s="1" t="s">
        <v>77</v>
      </c>
      <c r="F405" s="1" t="s">
        <v>40</v>
      </c>
      <c r="G405">
        <v>278062</v>
      </c>
      <c r="H405" s="1" t="s">
        <v>240</v>
      </c>
      <c r="I405" s="2">
        <v>45497</v>
      </c>
      <c r="J405">
        <v>180</v>
      </c>
      <c r="K405">
        <v>16.8</v>
      </c>
      <c r="L405" s="1" t="s">
        <v>29</v>
      </c>
      <c r="M405" s="1" t="s">
        <v>69</v>
      </c>
    </row>
    <row r="406" spans="1:13" x14ac:dyDescent="0.25">
      <c r="A406" s="1" t="s">
        <v>998</v>
      </c>
      <c r="B406" s="1" t="s">
        <v>88</v>
      </c>
      <c r="C406" s="1" t="s">
        <v>151</v>
      </c>
      <c r="D406" s="1" t="s">
        <v>39</v>
      </c>
      <c r="E406" s="1" t="s">
        <v>94</v>
      </c>
      <c r="F406" s="1" t="s">
        <v>33</v>
      </c>
      <c r="G406">
        <v>375563</v>
      </c>
      <c r="H406" s="1" t="s">
        <v>999</v>
      </c>
      <c r="I406" s="2"/>
      <c r="L406" s="1" t="s">
        <v>29</v>
      </c>
      <c r="M406" s="1" t="s">
        <v>149</v>
      </c>
    </row>
    <row r="407" spans="1:13" x14ac:dyDescent="0.25">
      <c r="A407" s="1" t="s">
        <v>1000</v>
      </c>
      <c r="B407" s="1" t="s">
        <v>88</v>
      </c>
      <c r="C407" s="1" t="s">
        <v>877</v>
      </c>
      <c r="D407" s="1" t="s">
        <v>46</v>
      </c>
      <c r="E407" s="1" t="s">
        <v>61</v>
      </c>
      <c r="F407" s="1" t="s">
        <v>129</v>
      </c>
      <c r="G407">
        <v>166750</v>
      </c>
      <c r="H407" s="1" t="s">
        <v>1001</v>
      </c>
      <c r="I407" s="2"/>
      <c r="L407" s="1" t="s">
        <v>20</v>
      </c>
      <c r="M407" s="1" t="s">
        <v>30</v>
      </c>
    </row>
    <row r="408" spans="1:13" x14ac:dyDescent="0.25">
      <c r="A408" s="1" t="s">
        <v>1002</v>
      </c>
      <c r="B408" s="1" t="s">
        <v>173</v>
      </c>
      <c r="C408" s="1" t="s">
        <v>174</v>
      </c>
      <c r="D408" s="1" t="s">
        <v>46</v>
      </c>
      <c r="E408" s="1" t="s">
        <v>72</v>
      </c>
      <c r="F408" s="1" t="s">
        <v>33</v>
      </c>
      <c r="G408">
        <v>207879</v>
      </c>
      <c r="H408" s="1" t="s">
        <v>1003</v>
      </c>
      <c r="I408" s="2"/>
      <c r="K408">
        <v>6.5</v>
      </c>
      <c r="L408" s="1" t="s">
        <v>29</v>
      </c>
      <c r="M408" s="1" t="s">
        <v>107</v>
      </c>
    </row>
    <row r="409" spans="1:13" x14ac:dyDescent="0.25">
      <c r="A409" s="1" t="s">
        <v>1004</v>
      </c>
      <c r="B409" s="1" t="s">
        <v>59</v>
      </c>
      <c r="C409" s="1" t="s">
        <v>583</v>
      </c>
      <c r="D409" s="1" t="s">
        <v>90</v>
      </c>
      <c r="E409" s="1" t="s">
        <v>47</v>
      </c>
      <c r="F409" s="1" t="s">
        <v>33</v>
      </c>
      <c r="G409">
        <v>15034</v>
      </c>
      <c r="H409" s="1" t="s">
        <v>1005</v>
      </c>
      <c r="I409" s="2"/>
      <c r="K409">
        <v>10.8</v>
      </c>
      <c r="L409" s="1" t="s">
        <v>29</v>
      </c>
      <c r="M409" s="1" t="s">
        <v>30</v>
      </c>
    </row>
    <row r="410" spans="1:13" x14ac:dyDescent="0.25">
      <c r="A410" s="1" t="s">
        <v>1006</v>
      </c>
      <c r="B410" s="1" t="s">
        <v>65</v>
      </c>
      <c r="C410" s="1" t="s">
        <v>71</v>
      </c>
      <c r="D410" s="1" t="s">
        <v>16</v>
      </c>
      <c r="E410" s="1" t="s">
        <v>94</v>
      </c>
      <c r="F410" s="1" t="s">
        <v>33</v>
      </c>
      <c r="G410">
        <v>337736</v>
      </c>
      <c r="H410" s="1" t="s">
        <v>1007</v>
      </c>
      <c r="I410" s="2"/>
      <c r="K410">
        <v>5.8</v>
      </c>
      <c r="L410" s="1" t="s">
        <v>29</v>
      </c>
      <c r="M410" s="1" t="s">
        <v>69</v>
      </c>
    </row>
    <row r="411" spans="1:13" x14ac:dyDescent="0.25">
      <c r="A411" s="1" t="s">
        <v>1008</v>
      </c>
      <c r="B411" s="1" t="s">
        <v>75</v>
      </c>
      <c r="C411" s="1" t="s">
        <v>1009</v>
      </c>
      <c r="D411" s="1" t="s">
        <v>25</v>
      </c>
      <c r="E411" s="1" t="s">
        <v>77</v>
      </c>
      <c r="F411" s="1" t="s">
        <v>53</v>
      </c>
      <c r="G411">
        <v>395016</v>
      </c>
      <c r="H411" s="1" t="s">
        <v>1010</v>
      </c>
      <c r="I411" s="2"/>
      <c r="K411">
        <v>9.6</v>
      </c>
      <c r="L411" s="1" t="s">
        <v>96</v>
      </c>
      <c r="M411" s="1" t="s">
        <v>35</v>
      </c>
    </row>
    <row r="412" spans="1:13" x14ac:dyDescent="0.25">
      <c r="A412" s="1" t="s">
        <v>1011</v>
      </c>
      <c r="B412" s="1" t="s">
        <v>23</v>
      </c>
      <c r="C412" s="1" t="s">
        <v>372</v>
      </c>
      <c r="D412" s="1" t="s">
        <v>39</v>
      </c>
      <c r="E412" s="1" t="s">
        <v>94</v>
      </c>
      <c r="F412" s="1" t="s">
        <v>18</v>
      </c>
      <c r="G412">
        <v>340981</v>
      </c>
      <c r="H412" s="1" t="s">
        <v>1012</v>
      </c>
      <c r="I412" s="2">
        <v>45632</v>
      </c>
      <c r="J412">
        <v>18</v>
      </c>
      <c r="K412">
        <v>0.6</v>
      </c>
      <c r="L412" s="1" t="s">
        <v>96</v>
      </c>
      <c r="M412" s="1" t="s">
        <v>42</v>
      </c>
    </row>
    <row r="413" spans="1:13" x14ac:dyDescent="0.25">
      <c r="A413" s="1" t="s">
        <v>1013</v>
      </c>
      <c r="B413" s="1" t="s">
        <v>51</v>
      </c>
      <c r="C413" s="1" t="s">
        <v>625</v>
      </c>
      <c r="D413" s="1" t="s">
        <v>25</v>
      </c>
      <c r="E413" s="1" t="s">
        <v>77</v>
      </c>
      <c r="F413" s="1" t="s">
        <v>33</v>
      </c>
      <c r="G413">
        <v>248797</v>
      </c>
      <c r="H413" s="1" t="s">
        <v>1014</v>
      </c>
      <c r="I413" s="2"/>
      <c r="K413">
        <v>3.8</v>
      </c>
      <c r="L413" s="1" t="s">
        <v>29</v>
      </c>
      <c r="M413" s="1" t="s">
        <v>30</v>
      </c>
    </row>
    <row r="414" spans="1:13" x14ac:dyDescent="0.25">
      <c r="A414" s="1" t="s">
        <v>1015</v>
      </c>
      <c r="B414" s="1" t="s">
        <v>127</v>
      </c>
      <c r="C414" s="1" t="s">
        <v>454</v>
      </c>
      <c r="D414" s="1" t="s">
        <v>67</v>
      </c>
      <c r="E414" s="1" t="s">
        <v>72</v>
      </c>
      <c r="F414" s="1" t="s">
        <v>40</v>
      </c>
      <c r="G414">
        <v>32004</v>
      </c>
      <c r="H414" s="1" t="s">
        <v>1016</v>
      </c>
      <c r="I414" s="2">
        <v>45274</v>
      </c>
      <c r="J414">
        <v>176</v>
      </c>
      <c r="K414">
        <v>5.0999999999999996</v>
      </c>
      <c r="L414" s="1" t="s">
        <v>49</v>
      </c>
      <c r="M414" s="1" t="s">
        <v>30</v>
      </c>
    </row>
    <row r="415" spans="1:13" x14ac:dyDescent="0.25">
      <c r="A415" s="1" t="s">
        <v>1017</v>
      </c>
      <c r="B415" s="1" t="s">
        <v>65</v>
      </c>
      <c r="C415" s="1" t="s">
        <v>1018</v>
      </c>
      <c r="D415" s="1" t="s">
        <v>46</v>
      </c>
      <c r="E415" s="1" t="s">
        <v>26</v>
      </c>
      <c r="F415" s="1" t="s">
        <v>33</v>
      </c>
      <c r="G415">
        <v>319334</v>
      </c>
      <c r="H415" s="1" t="s">
        <v>1019</v>
      </c>
      <c r="I415" s="2"/>
      <c r="L415" s="1" t="s">
        <v>29</v>
      </c>
      <c r="M415" s="1" t="s">
        <v>149</v>
      </c>
    </row>
    <row r="416" spans="1:13" x14ac:dyDescent="0.25">
      <c r="A416" s="1" t="s">
        <v>1020</v>
      </c>
      <c r="B416" s="1" t="s">
        <v>88</v>
      </c>
      <c r="C416" s="1" t="s">
        <v>1021</v>
      </c>
      <c r="D416" s="1" t="s">
        <v>90</v>
      </c>
      <c r="E416" s="1" t="s">
        <v>100</v>
      </c>
      <c r="F416" s="1" t="s">
        <v>53</v>
      </c>
      <c r="G416">
        <v>89412</v>
      </c>
      <c r="H416" s="1" t="s">
        <v>1022</v>
      </c>
      <c r="I416" s="2"/>
      <c r="K416">
        <v>1.3</v>
      </c>
      <c r="L416" s="1" t="s">
        <v>29</v>
      </c>
      <c r="M416" s="1" t="s">
        <v>30</v>
      </c>
    </row>
    <row r="417" spans="1:13" x14ac:dyDescent="0.25">
      <c r="A417" s="1" t="s">
        <v>1023</v>
      </c>
      <c r="B417" s="1" t="s">
        <v>104</v>
      </c>
      <c r="C417" s="1" t="s">
        <v>596</v>
      </c>
      <c r="D417" s="1" t="s">
        <v>46</v>
      </c>
      <c r="E417" s="1" t="s">
        <v>100</v>
      </c>
      <c r="F417" s="1" t="s">
        <v>129</v>
      </c>
      <c r="G417">
        <v>35316</v>
      </c>
      <c r="H417" s="1" t="s">
        <v>1024</v>
      </c>
      <c r="I417" s="2"/>
      <c r="K417">
        <v>8.6999999999999993</v>
      </c>
      <c r="L417" s="1" t="s">
        <v>20</v>
      </c>
      <c r="M417" s="1" t="s">
        <v>107</v>
      </c>
    </row>
    <row r="418" spans="1:13" x14ac:dyDescent="0.25">
      <c r="A418" s="1" t="s">
        <v>1025</v>
      </c>
      <c r="B418" s="1" t="s">
        <v>84</v>
      </c>
      <c r="C418" s="1" t="s">
        <v>261</v>
      </c>
      <c r="D418" s="1" t="s">
        <v>16</v>
      </c>
      <c r="E418" s="1" t="s">
        <v>72</v>
      </c>
      <c r="F418" s="1" t="s">
        <v>53</v>
      </c>
      <c r="G418">
        <v>279648</v>
      </c>
      <c r="H418" s="1" t="s">
        <v>1026</v>
      </c>
      <c r="I418" s="2"/>
      <c r="K418">
        <v>11</v>
      </c>
      <c r="L418" s="1" t="s">
        <v>29</v>
      </c>
      <c r="M418" s="1" t="s">
        <v>21</v>
      </c>
    </row>
    <row r="419" spans="1:13" x14ac:dyDescent="0.25">
      <c r="A419" s="1" t="s">
        <v>1027</v>
      </c>
      <c r="B419" s="1" t="s">
        <v>109</v>
      </c>
      <c r="C419" s="1" t="s">
        <v>1028</v>
      </c>
      <c r="D419" s="1" t="s">
        <v>25</v>
      </c>
      <c r="E419" s="1" t="s">
        <v>72</v>
      </c>
      <c r="F419" s="1" t="s">
        <v>40</v>
      </c>
      <c r="G419">
        <v>337652</v>
      </c>
      <c r="H419" s="1" t="s">
        <v>1029</v>
      </c>
      <c r="I419" s="2">
        <v>45139</v>
      </c>
      <c r="J419">
        <v>77</v>
      </c>
      <c r="K419">
        <v>2.8</v>
      </c>
      <c r="L419" s="1" t="s">
        <v>20</v>
      </c>
      <c r="M419" s="1" t="s">
        <v>30</v>
      </c>
    </row>
    <row r="420" spans="1:13" x14ac:dyDescent="0.25">
      <c r="A420" s="1" t="s">
        <v>1030</v>
      </c>
      <c r="B420" s="1" t="s">
        <v>59</v>
      </c>
      <c r="C420" s="1" t="s">
        <v>195</v>
      </c>
      <c r="D420" s="1" t="s">
        <v>16</v>
      </c>
      <c r="E420" s="1" t="s">
        <v>72</v>
      </c>
      <c r="F420" s="1" t="s">
        <v>129</v>
      </c>
      <c r="G420">
        <v>340759</v>
      </c>
      <c r="H420" s="1" t="s">
        <v>399</v>
      </c>
      <c r="I420" s="2"/>
      <c r="K420">
        <v>13.9</v>
      </c>
      <c r="L420" s="1" t="s">
        <v>29</v>
      </c>
      <c r="M420" s="1" t="s">
        <v>42</v>
      </c>
    </row>
    <row r="421" spans="1:13" x14ac:dyDescent="0.25">
      <c r="A421" s="1" t="s">
        <v>1031</v>
      </c>
      <c r="B421" s="1" t="s">
        <v>37</v>
      </c>
      <c r="C421" s="1" t="s">
        <v>1009</v>
      </c>
      <c r="D421" s="1" t="s">
        <v>16</v>
      </c>
      <c r="E421" s="1" t="s">
        <v>47</v>
      </c>
      <c r="F421" s="1" t="s">
        <v>33</v>
      </c>
      <c r="G421">
        <v>489202</v>
      </c>
      <c r="H421" s="1" t="s">
        <v>1032</v>
      </c>
      <c r="I421" s="2"/>
      <c r="L421" s="1" t="s">
        <v>96</v>
      </c>
      <c r="M421" s="1" t="s">
        <v>42</v>
      </c>
    </row>
    <row r="422" spans="1:13" x14ac:dyDescent="0.25">
      <c r="A422" s="1" t="s">
        <v>1033</v>
      </c>
      <c r="B422" s="1" t="s">
        <v>59</v>
      </c>
      <c r="C422" s="1" t="s">
        <v>110</v>
      </c>
      <c r="D422" s="1" t="s">
        <v>67</v>
      </c>
      <c r="E422" s="1" t="s">
        <v>100</v>
      </c>
      <c r="F422" s="1" t="s">
        <v>27</v>
      </c>
      <c r="G422">
        <v>284717</v>
      </c>
      <c r="H422" s="1" t="s">
        <v>1034</v>
      </c>
      <c r="I422" s="2"/>
      <c r="L422" s="1" t="s">
        <v>29</v>
      </c>
      <c r="M422" s="1" t="s">
        <v>102</v>
      </c>
    </row>
    <row r="423" spans="1:13" x14ac:dyDescent="0.25">
      <c r="A423" s="1" t="s">
        <v>1035</v>
      </c>
      <c r="B423" s="1" t="s">
        <v>37</v>
      </c>
      <c r="C423" s="1" t="s">
        <v>686</v>
      </c>
      <c r="D423" s="1" t="s">
        <v>67</v>
      </c>
      <c r="E423" s="1" t="s">
        <v>17</v>
      </c>
      <c r="F423" s="1" t="s">
        <v>33</v>
      </c>
      <c r="G423">
        <v>157274</v>
      </c>
      <c r="H423" s="1" t="s">
        <v>1036</v>
      </c>
      <c r="I423" s="2"/>
      <c r="L423" s="1" t="s">
        <v>96</v>
      </c>
      <c r="M423" s="1" t="s">
        <v>63</v>
      </c>
    </row>
    <row r="424" spans="1:13" x14ac:dyDescent="0.25">
      <c r="A424" s="1" t="s">
        <v>1037</v>
      </c>
      <c r="B424" s="1" t="s">
        <v>109</v>
      </c>
      <c r="C424" s="1" t="s">
        <v>561</v>
      </c>
      <c r="D424" s="1" t="s">
        <v>46</v>
      </c>
      <c r="E424" s="1" t="s">
        <v>61</v>
      </c>
      <c r="F424" s="1" t="s">
        <v>129</v>
      </c>
      <c r="G424">
        <v>309184</v>
      </c>
      <c r="H424" s="1" t="s">
        <v>567</v>
      </c>
      <c r="I424" s="2"/>
      <c r="K424">
        <v>5.8</v>
      </c>
      <c r="L424" s="1" t="s">
        <v>29</v>
      </c>
      <c r="M424" s="1" t="s">
        <v>42</v>
      </c>
    </row>
    <row r="425" spans="1:13" x14ac:dyDescent="0.25">
      <c r="A425" s="1" t="s">
        <v>1038</v>
      </c>
      <c r="B425" s="1" t="s">
        <v>80</v>
      </c>
      <c r="C425" s="1" t="s">
        <v>160</v>
      </c>
      <c r="D425" s="1" t="s">
        <v>25</v>
      </c>
      <c r="E425" s="1" t="s">
        <v>17</v>
      </c>
      <c r="F425" s="1" t="s">
        <v>129</v>
      </c>
      <c r="G425">
        <v>466808</v>
      </c>
      <c r="H425" s="1" t="s">
        <v>1039</v>
      </c>
      <c r="I425" s="2"/>
      <c r="L425" s="1" t="s">
        <v>20</v>
      </c>
      <c r="M425" s="1" t="s">
        <v>107</v>
      </c>
    </row>
    <row r="426" spans="1:13" x14ac:dyDescent="0.25">
      <c r="A426" s="1" t="s">
        <v>1040</v>
      </c>
      <c r="B426" s="1" t="s">
        <v>173</v>
      </c>
      <c r="C426" s="1" t="s">
        <v>343</v>
      </c>
      <c r="D426" s="1" t="s">
        <v>25</v>
      </c>
      <c r="E426" s="1" t="s">
        <v>77</v>
      </c>
      <c r="F426" s="1" t="s">
        <v>33</v>
      </c>
      <c r="G426">
        <v>189879</v>
      </c>
      <c r="H426" s="1" t="s">
        <v>1041</v>
      </c>
      <c r="I426" s="2"/>
      <c r="K426">
        <v>5.6</v>
      </c>
      <c r="L426" s="1" t="s">
        <v>96</v>
      </c>
      <c r="M426" s="1" t="s">
        <v>149</v>
      </c>
    </row>
    <row r="427" spans="1:13" x14ac:dyDescent="0.25">
      <c r="A427" s="1" t="s">
        <v>1042</v>
      </c>
      <c r="B427" s="1" t="s">
        <v>44</v>
      </c>
      <c r="C427" s="1" t="s">
        <v>1043</v>
      </c>
      <c r="D427" s="1" t="s">
        <v>90</v>
      </c>
      <c r="E427" s="1" t="s">
        <v>26</v>
      </c>
      <c r="F427" s="1" t="s">
        <v>40</v>
      </c>
      <c r="G427">
        <v>182871</v>
      </c>
      <c r="H427" s="1" t="s">
        <v>1044</v>
      </c>
      <c r="I427" s="2">
        <v>45865</v>
      </c>
      <c r="J427">
        <v>161</v>
      </c>
      <c r="K427">
        <v>7.7</v>
      </c>
      <c r="L427" s="1" t="s">
        <v>96</v>
      </c>
      <c r="M427" s="1" t="s">
        <v>63</v>
      </c>
    </row>
    <row r="428" spans="1:13" x14ac:dyDescent="0.25">
      <c r="A428" s="1" t="s">
        <v>1045</v>
      </c>
      <c r="B428" s="1" t="s">
        <v>109</v>
      </c>
      <c r="C428" s="1" t="s">
        <v>316</v>
      </c>
      <c r="D428" s="1" t="s">
        <v>25</v>
      </c>
      <c r="E428" s="1" t="s">
        <v>72</v>
      </c>
      <c r="F428" s="1" t="s">
        <v>33</v>
      </c>
      <c r="G428">
        <v>319507</v>
      </c>
      <c r="H428" s="1" t="s">
        <v>1046</v>
      </c>
      <c r="I428" s="2"/>
      <c r="L428" s="1" t="s">
        <v>96</v>
      </c>
      <c r="M428" s="1" t="s">
        <v>30</v>
      </c>
    </row>
    <row r="429" spans="1:13" x14ac:dyDescent="0.25">
      <c r="A429" s="1" t="s">
        <v>1047</v>
      </c>
      <c r="B429" s="1" t="s">
        <v>104</v>
      </c>
      <c r="C429" s="1" t="s">
        <v>699</v>
      </c>
      <c r="D429" s="1" t="s">
        <v>67</v>
      </c>
      <c r="E429" s="1" t="s">
        <v>100</v>
      </c>
      <c r="F429" s="1" t="s">
        <v>129</v>
      </c>
      <c r="G429">
        <v>178290</v>
      </c>
      <c r="H429" s="1" t="s">
        <v>1048</v>
      </c>
      <c r="I429" s="2"/>
      <c r="L429" s="1" t="s">
        <v>96</v>
      </c>
      <c r="M429" s="1" t="s">
        <v>102</v>
      </c>
    </row>
    <row r="430" spans="1:13" x14ac:dyDescent="0.25">
      <c r="A430" s="1" t="s">
        <v>1049</v>
      </c>
      <c r="B430" s="1" t="s">
        <v>23</v>
      </c>
      <c r="C430" s="1" t="s">
        <v>1050</v>
      </c>
      <c r="D430" s="1" t="s">
        <v>16</v>
      </c>
      <c r="E430" s="1" t="s">
        <v>51</v>
      </c>
      <c r="F430" s="1" t="s">
        <v>27</v>
      </c>
      <c r="G430">
        <v>25737</v>
      </c>
      <c r="H430" s="1" t="s">
        <v>509</v>
      </c>
      <c r="I430" s="2"/>
      <c r="L430" s="1" t="s">
        <v>49</v>
      </c>
      <c r="M430" s="1" t="s">
        <v>30</v>
      </c>
    </row>
    <row r="431" spans="1:13" x14ac:dyDescent="0.25">
      <c r="A431" s="1" t="s">
        <v>1051</v>
      </c>
      <c r="B431" s="1" t="s">
        <v>44</v>
      </c>
      <c r="C431" s="1" t="s">
        <v>603</v>
      </c>
      <c r="D431" s="1" t="s">
        <v>90</v>
      </c>
      <c r="E431" s="1" t="s">
        <v>100</v>
      </c>
      <c r="F431" s="1" t="s">
        <v>33</v>
      </c>
      <c r="G431">
        <v>295436</v>
      </c>
      <c r="H431" s="1" t="s">
        <v>1052</v>
      </c>
      <c r="I431" s="2"/>
      <c r="K431">
        <v>0</v>
      </c>
      <c r="L431" s="1" t="s">
        <v>49</v>
      </c>
      <c r="M431" s="1" t="s">
        <v>42</v>
      </c>
    </row>
    <row r="432" spans="1:13" x14ac:dyDescent="0.25">
      <c r="A432" s="1" t="s">
        <v>1053</v>
      </c>
      <c r="B432" s="1" t="s">
        <v>37</v>
      </c>
      <c r="C432" s="1" t="s">
        <v>420</v>
      </c>
      <c r="D432" s="1" t="s">
        <v>46</v>
      </c>
      <c r="E432" s="1" t="s">
        <v>47</v>
      </c>
      <c r="F432" s="1" t="s">
        <v>33</v>
      </c>
      <c r="G432">
        <v>414485</v>
      </c>
      <c r="H432" s="1" t="s">
        <v>534</v>
      </c>
      <c r="I432" s="2"/>
      <c r="L432" s="1" t="s">
        <v>49</v>
      </c>
      <c r="M432" s="1" t="s">
        <v>63</v>
      </c>
    </row>
    <row r="433" spans="1:13" x14ac:dyDescent="0.25">
      <c r="A433" s="1" t="s">
        <v>1054</v>
      </c>
      <c r="B433" s="1" t="s">
        <v>98</v>
      </c>
      <c r="C433" s="1" t="s">
        <v>328</v>
      </c>
      <c r="D433" s="1" t="s">
        <v>39</v>
      </c>
      <c r="E433" s="1" t="s">
        <v>72</v>
      </c>
      <c r="F433" s="1" t="s">
        <v>18</v>
      </c>
      <c r="G433">
        <v>211869</v>
      </c>
      <c r="H433" s="1" t="s">
        <v>1055</v>
      </c>
      <c r="I433" s="2">
        <v>45470</v>
      </c>
      <c r="J433">
        <v>55</v>
      </c>
      <c r="K433">
        <v>1</v>
      </c>
      <c r="L433" s="1" t="s">
        <v>96</v>
      </c>
      <c r="M433" s="1" t="s">
        <v>107</v>
      </c>
    </row>
    <row r="434" spans="1:13" x14ac:dyDescent="0.25">
      <c r="A434" s="1" t="s">
        <v>1056</v>
      </c>
      <c r="B434" s="1" t="s">
        <v>23</v>
      </c>
      <c r="C434" s="1" t="s">
        <v>1057</v>
      </c>
      <c r="D434" s="1" t="s">
        <v>46</v>
      </c>
      <c r="E434" s="1" t="s">
        <v>72</v>
      </c>
      <c r="F434" s="1" t="s">
        <v>33</v>
      </c>
      <c r="G434">
        <v>72511</v>
      </c>
      <c r="H434" s="1" t="s">
        <v>628</v>
      </c>
      <c r="I434" s="2"/>
      <c r="K434">
        <v>6.9</v>
      </c>
      <c r="L434" s="1" t="s">
        <v>49</v>
      </c>
      <c r="M434" s="1" t="s">
        <v>107</v>
      </c>
    </row>
    <row r="435" spans="1:13" x14ac:dyDescent="0.25">
      <c r="A435" s="1" t="s">
        <v>1058</v>
      </c>
      <c r="B435" s="1" t="s">
        <v>88</v>
      </c>
      <c r="C435" s="1" t="s">
        <v>720</v>
      </c>
      <c r="D435" s="1" t="s">
        <v>16</v>
      </c>
      <c r="E435" s="1" t="s">
        <v>17</v>
      </c>
      <c r="F435" s="1" t="s">
        <v>53</v>
      </c>
      <c r="G435">
        <v>300303</v>
      </c>
      <c r="H435" s="1" t="s">
        <v>1059</v>
      </c>
      <c r="I435" s="2"/>
      <c r="K435">
        <v>3.3</v>
      </c>
      <c r="L435" s="1" t="s">
        <v>20</v>
      </c>
      <c r="M435" s="1" t="s">
        <v>63</v>
      </c>
    </row>
    <row r="436" spans="1:13" x14ac:dyDescent="0.25">
      <c r="A436" s="1" t="s">
        <v>1060</v>
      </c>
      <c r="B436" s="1" t="s">
        <v>44</v>
      </c>
      <c r="C436" s="1" t="s">
        <v>862</v>
      </c>
      <c r="D436" s="1" t="s">
        <v>16</v>
      </c>
      <c r="E436" s="1" t="s">
        <v>47</v>
      </c>
      <c r="F436" s="1" t="s">
        <v>33</v>
      </c>
      <c r="G436">
        <v>66288</v>
      </c>
      <c r="H436" s="1" t="s">
        <v>290</v>
      </c>
      <c r="I436" s="2"/>
      <c r="K436">
        <v>14.4</v>
      </c>
      <c r="L436" s="1" t="s">
        <v>29</v>
      </c>
      <c r="M436" s="1" t="s">
        <v>69</v>
      </c>
    </row>
    <row r="437" spans="1:13" x14ac:dyDescent="0.25">
      <c r="A437" s="1" t="s">
        <v>1061</v>
      </c>
      <c r="B437" s="1" t="s">
        <v>51</v>
      </c>
      <c r="C437" s="1" t="s">
        <v>189</v>
      </c>
      <c r="D437" s="1" t="s">
        <v>46</v>
      </c>
      <c r="E437" s="1" t="s">
        <v>94</v>
      </c>
      <c r="F437" s="1" t="s">
        <v>27</v>
      </c>
      <c r="G437">
        <v>35041</v>
      </c>
      <c r="H437" s="1" t="s">
        <v>1062</v>
      </c>
      <c r="I437" s="2"/>
      <c r="K437">
        <v>8</v>
      </c>
      <c r="L437" s="1" t="s">
        <v>20</v>
      </c>
      <c r="M437" s="1" t="s">
        <v>21</v>
      </c>
    </row>
    <row r="438" spans="1:13" x14ac:dyDescent="0.25">
      <c r="A438" s="1" t="s">
        <v>1063</v>
      </c>
      <c r="B438" s="1" t="s">
        <v>84</v>
      </c>
      <c r="C438" s="1" t="s">
        <v>1064</v>
      </c>
      <c r="D438" s="1" t="s">
        <v>16</v>
      </c>
      <c r="E438" s="1" t="s">
        <v>17</v>
      </c>
      <c r="F438" s="1" t="s">
        <v>129</v>
      </c>
      <c r="G438">
        <v>481779</v>
      </c>
      <c r="H438" s="1" t="s">
        <v>296</v>
      </c>
      <c r="I438" s="2"/>
      <c r="K438">
        <v>3.1</v>
      </c>
      <c r="L438" s="1" t="s">
        <v>96</v>
      </c>
      <c r="M438" s="1" t="s">
        <v>149</v>
      </c>
    </row>
    <row r="439" spans="1:13" x14ac:dyDescent="0.25">
      <c r="A439" s="1" t="s">
        <v>1065</v>
      </c>
      <c r="B439" s="1" t="s">
        <v>44</v>
      </c>
      <c r="C439" s="1" t="s">
        <v>732</v>
      </c>
      <c r="D439" s="1" t="s">
        <v>25</v>
      </c>
      <c r="E439" s="1" t="s">
        <v>26</v>
      </c>
      <c r="F439" s="1" t="s">
        <v>129</v>
      </c>
      <c r="G439">
        <v>26597</v>
      </c>
      <c r="H439" s="1" t="s">
        <v>1066</v>
      </c>
      <c r="I439" s="2"/>
      <c r="K439">
        <v>13.5</v>
      </c>
      <c r="L439" s="1" t="s">
        <v>96</v>
      </c>
      <c r="M439" s="1" t="s">
        <v>30</v>
      </c>
    </row>
    <row r="440" spans="1:13" x14ac:dyDescent="0.25">
      <c r="A440" s="1" t="s">
        <v>1067</v>
      </c>
      <c r="B440" s="1" t="s">
        <v>51</v>
      </c>
      <c r="C440" s="1" t="s">
        <v>679</v>
      </c>
      <c r="D440" s="1" t="s">
        <v>25</v>
      </c>
      <c r="E440" s="1" t="s">
        <v>17</v>
      </c>
      <c r="F440" s="1" t="s">
        <v>18</v>
      </c>
      <c r="G440">
        <v>87782</v>
      </c>
      <c r="H440" s="1" t="s">
        <v>1068</v>
      </c>
      <c r="I440" s="2">
        <v>45710</v>
      </c>
      <c r="J440">
        <v>128</v>
      </c>
      <c r="K440">
        <v>9.1999999999999993</v>
      </c>
      <c r="L440" s="1" t="s">
        <v>29</v>
      </c>
      <c r="M440" s="1" t="s">
        <v>42</v>
      </c>
    </row>
    <row r="441" spans="1:13" x14ac:dyDescent="0.25">
      <c r="A441" s="1" t="s">
        <v>1069</v>
      </c>
      <c r="B441" s="1" t="s">
        <v>23</v>
      </c>
      <c r="C441" s="1" t="s">
        <v>1070</v>
      </c>
      <c r="D441" s="1" t="s">
        <v>90</v>
      </c>
      <c r="E441" s="1" t="s">
        <v>72</v>
      </c>
      <c r="F441" s="1" t="s">
        <v>129</v>
      </c>
      <c r="G441">
        <v>280341</v>
      </c>
      <c r="H441" s="1" t="s">
        <v>101</v>
      </c>
      <c r="I441" s="2"/>
      <c r="L441" s="1" t="s">
        <v>29</v>
      </c>
      <c r="M441" s="1" t="s">
        <v>102</v>
      </c>
    </row>
    <row r="442" spans="1:13" x14ac:dyDescent="0.25">
      <c r="A442" s="1" t="s">
        <v>1071</v>
      </c>
      <c r="B442" s="1" t="s">
        <v>14</v>
      </c>
      <c r="C442" s="1" t="s">
        <v>1072</v>
      </c>
      <c r="D442" s="1" t="s">
        <v>39</v>
      </c>
      <c r="E442" s="1" t="s">
        <v>61</v>
      </c>
      <c r="F442" s="1" t="s">
        <v>33</v>
      </c>
      <c r="G442">
        <v>376532</v>
      </c>
      <c r="H442" s="1" t="s">
        <v>1034</v>
      </c>
      <c r="I442" s="2"/>
      <c r="L442" s="1" t="s">
        <v>49</v>
      </c>
      <c r="M442" s="1" t="s">
        <v>102</v>
      </c>
    </row>
    <row r="443" spans="1:13" x14ac:dyDescent="0.25">
      <c r="A443" s="1" t="s">
        <v>1073</v>
      </c>
      <c r="B443" s="1" t="s">
        <v>173</v>
      </c>
      <c r="C443" s="1" t="s">
        <v>1074</v>
      </c>
      <c r="D443" s="1" t="s">
        <v>90</v>
      </c>
      <c r="E443" s="1" t="s">
        <v>47</v>
      </c>
      <c r="F443" s="1" t="s">
        <v>33</v>
      </c>
      <c r="G443">
        <v>185450</v>
      </c>
      <c r="H443" s="1" t="s">
        <v>1075</v>
      </c>
      <c r="I443" s="2"/>
      <c r="K443">
        <v>6.1</v>
      </c>
      <c r="L443" s="1" t="s">
        <v>96</v>
      </c>
      <c r="M443" s="1" t="s">
        <v>149</v>
      </c>
    </row>
    <row r="444" spans="1:13" x14ac:dyDescent="0.25">
      <c r="A444" s="1" t="s">
        <v>1076</v>
      </c>
      <c r="B444" s="1" t="s">
        <v>104</v>
      </c>
      <c r="C444" s="1" t="s">
        <v>1077</v>
      </c>
      <c r="D444" s="1" t="s">
        <v>39</v>
      </c>
      <c r="E444" s="1" t="s">
        <v>26</v>
      </c>
      <c r="F444" s="1" t="s">
        <v>33</v>
      </c>
      <c r="G444">
        <v>495231</v>
      </c>
      <c r="H444" s="1" t="s">
        <v>1078</v>
      </c>
      <c r="I444" s="2"/>
      <c r="L444" s="1" t="s">
        <v>29</v>
      </c>
      <c r="M444" s="1" t="s">
        <v>21</v>
      </c>
    </row>
    <row r="445" spans="1:13" x14ac:dyDescent="0.25">
      <c r="A445" s="1" t="s">
        <v>1079</v>
      </c>
      <c r="B445" s="1" t="s">
        <v>37</v>
      </c>
      <c r="C445" s="1" t="s">
        <v>433</v>
      </c>
      <c r="D445" s="1" t="s">
        <v>39</v>
      </c>
      <c r="E445" s="1" t="s">
        <v>77</v>
      </c>
      <c r="F445" s="1" t="s">
        <v>18</v>
      </c>
      <c r="G445">
        <v>106639</v>
      </c>
      <c r="H445" s="1" t="s">
        <v>899</v>
      </c>
      <c r="I445" s="2">
        <v>45360</v>
      </c>
      <c r="J445">
        <v>89</v>
      </c>
      <c r="K445">
        <v>5.9</v>
      </c>
      <c r="L445" s="1" t="s">
        <v>49</v>
      </c>
      <c r="M445" s="1" t="s">
        <v>21</v>
      </c>
    </row>
    <row r="446" spans="1:13" x14ac:dyDescent="0.25">
      <c r="A446" s="1" t="s">
        <v>1080</v>
      </c>
      <c r="B446" s="1" t="s">
        <v>75</v>
      </c>
      <c r="C446" s="1" t="s">
        <v>686</v>
      </c>
      <c r="D446" s="1" t="s">
        <v>90</v>
      </c>
      <c r="E446" s="1" t="s">
        <v>17</v>
      </c>
      <c r="F446" s="1" t="s">
        <v>129</v>
      </c>
      <c r="G446">
        <v>158544</v>
      </c>
      <c r="H446" s="1" t="s">
        <v>1081</v>
      </c>
      <c r="I446" s="2"/>
      <c r="K446">
        <v>7.8</v>
      </c>
      <c r="L446" s="1" t="s">
        <v>20</v>
      </c>
      <c r="M446" s="1" t="s">
        <v>107</v>
      </c>
    </row>
    <row r="447" spans="1:13" x14ac:dyDescent="0.25">
      <c r="A447" s="1" t="s">
        <v>1082</v>
      </c>
      <c r="B447" s="1" t="s">
        <v>59</v>
      </c>
      <c r="C447" s="1" t="s">
        <v>1083</v>
      </c>
      <c r="D447" s="1" t="s">
        <v>25</v>
      </c>
      <c r="E447" s="1" t="s">
        <v>72</v>
      </c>
      <c r="F447" s="1" t="s">
        <v>53</v>
      </c>
      <c r="G447">
        <v>434677</v>
      </c>
      <c r="H447" s="1" t="s">
        <v>526</v>
      </c>
      <c r="I447" s="2"/>
      <c r="K447">
        <v>5.4</v>
      </c>
      <c r="L447" s="1" t="s">
        <v>96</v>
      </c>
      <c r="M447" s="1" t="s">
        <v>35</v>
      </c>
    </row>
    <row r="448" spans="1:13" x14ac:dyDescent="0.25">
      <c r="A448" s="1" t="s">
        <v>1084</v>
      </c>
      <c r="B448" s="1" t="s">
        <v>51</v>
      </c>
      <c r="C448" s="1" t="s">
        <v>110</v>
      </c>
      <c r="D448" s="1" t="s">
        <v>46</v>
      </c>
      <c r="E448" s="1" t="s">
        <v>17</v>
      </c>
      <c r="F448" s="1" t="s">
        <v>40</v>
      </c>
      <c r="G448">
        <v>202967</v>
      </c>
      <c r="H448" s="1" t="s">
        <v>1085</v>
      </c>
      <c r="I448" s="2">
        <v>45844</v>
      </c>
      <c r="J448">
        <v>143</v>
      </c>
      <c r="K448">
        <v>4.8</v>
      </c>
      <c r="L448" s="1" t="s">
        <v>96</v>
      </c>
      <c r="M448" s="1" t="s">
        <v>63</v>
      </c>
    </row>
    <row r="449" spans="1:13" x14ac:dyDescent="0.25">
      <c r="A449" s="1" t="s">
        <v>1086</v>
      </c>
      <c r="B449" s="1" t="s">
        <v>23</v>
      </c>
      <c r="C449" s="1" t="s">
        <v>1087</v>
      </c>
      <c r="D449" s="1" t="s">
        <v>16</v>
      </c>
      <c r="E449" s="1" t="s">
        <v>72</v>
      </c>
      <c r="F449" s="1" t="s">
        <v>40</v>
      </c>
      <c r="G449">
        <v>452042</v>
      </c>
      <c r="H449" s="1" t="s">
        <v>1088</v>
      </c>
      <c r="I449" s="2">
        <v>45492</v>
      </c>
      <c r="J449">
        <v>160</v>
      </c>
      <c r="K449">
        <v>9</v>
      </c>
      <c r="L449" s="1" t="s">
        <v>49</v>
      </c>
      <c r="M449" s="1" t="s">
        <v>69</v>
      </c>
    </row>
    <row r="450" spans="1:13" x14ac:dyDescent="0.25">
      <c r="A450" s="1" t="s">
        <v>1089</v>
      </c>
      <c r="B450" s="1" t="s">
        <v>59</v>
      </c>
      <c r="C450" s="1" t="s">
        <v>1090</v>
      </c>
      <c r="D450" s="1" t="s">
        <v>90</v>
      </c>
      <c r="E450" s="1" t="s">
        <v>72</v>
      </c>
      <c r="F450" s="1" t="s">
        <v>40</v>
      </c>
      <c r="G450">
        <v>173402</v>
      </c>
      <c r="H450" s="1" t="s">
        <v>1091</v>
      </c>
      <c r="I450" s="2">
        <v>45141</v>
      </c>
      <c r="J450">
        <v>104</v>
      </c>
      <c r="K450">
        <v>14.8</v>
      </c>
      <c r="L450" s="1" t="s">
        <v>29</v>
      </c>
      <c r="M450" s="1" t="s">
        <v>30</v>
      </c>
    </row>
    <row r="451" spans="1:13" x14ac:dyDescent="0.25">
      <c r="A451" s="1" t="s">
        <v>1092</v>
      </c>
      <c r="B451" s="1" t="s">
        <v>104</v>
      </c>
      <c r="C451" s="1" t="s">
        <v>364</v>
      </c>
      <c r="D451" s="1" t="s">
        <v>67</v>
      </c>
      <c r="E451" s="1" t="s">
        <v>61</v>
      </c>
      <c r="F451" s="1" t="s">
        <v>129</v>
      </c>
      <c r="G451">
        <v>199843</v>
      </c>
      <c r="H451" s="1" t="s">
        <v>1093</v>
      </c>
      <c r="I451" s="2"/>
      <c r="K451">
        <v>12.6</v>
      </c>
      <c r="L451" s="1" t="s">
        <v>29</v>
      </c>
      <c r="M451" s="1" t="s">
        <v>30</v>
      </c>
    </row>
    <row r="452" spans="1:13" x14ac:dyDescent="0.25">
      <c r="A452" s="1" t="s">
        <v>1094</v>
      </c>
      <c r="B452" s="1" t="s">
        <v>59</v>
      </c>
      <c r="C452" s="1" t="s">
        <v>1095</v>
      </c>
      <c r="D452" s="1" t="s">
        <v>25</v>
      </c>
      <c r="E452" s="1" t="s">
        <v>17</v>
      </c>
      <c r="F452" s="1" t="s">
        <v>40</v>
      </c>
      <c r="G452">
        <v>42155</v>
      </c>
      <c r="H452" s="1" t="s">
        <v>1096</v>
      </c>
      <c r="I452" s="2">
        <v>45240</v>
      </c>
      <c r="J452">
        <v>62</v>
      </c>
      <c r="K452">
        <v>10.8</v>
      </c>
      <c r="L452" s="1" t="s">
        <v>49</v>
      </c>
      <c r="M452" s="1" t="s">
        <v>102</v>
      </c>
    </row>
    <row r="453" spans="1:13" x14ac:dyDescent="0.25">
      <c r="A453" s="1" t="s">
        <v>1097</v>
      </c>
      <c r="B453" s="1" t="s">
        <v>104</v>
      </c>
      <c r="C453" s="1" t="s">
        <v>339</v>
      </c>
      <c r="D453" s="1" t="s">
        <v>25</v>
      </c>
      <c r="E453" s="1" t="s">
        <v>26</v>
      </c>
      <c r="F453" s="1" t="s">
        <v>40</v>
      </c>
      <c r="G453">
        <v>400358</v>
      </c>
      <c r="H453" s="1" t="s">
        <v>1098</v>
      </c>
      <c r="I453" s="2">
        <v>45686</v>
      </c>
      <c r="J453">
        <v>79</v>
      </c>
      <c r="K453">
        <v>16.3</v>
      </c>
      <c r="L453" s="1" t="s">
        <v>29</v>
      </c>
      <c r="M453" s="1" t="s">
        <v>42</v>
      </c>
    </row>
    <row r="454" spans="1:13" x14ac:dyDescent="0.25">
      <c r="A454" s="1" t="s">
        <v>1099</v>
      </c>
      <c r="B454" s="1" t="s">
        <v>88</v>
      </c>
      <c r="C454" s="1" t="s">
        <v>862</v>
      </c>
      <c r="D454" s="1" t="s">
        <v>90</v>
      </c>
      <c r="E454" s="1" t="s">
        <v>94</v>
      </c>
      <c r="F454" s="1" t="s">
        <v>27</v>
      </c>
      <c r="G454">
        <v>35269</v>
      </c>
      <c r="H454" s="1" t="s">
        <v>984</v>
      </c>
      <c r="I454" s="2"/>
      <c r="K454">
        <v>5.9</v>
      </c>
      <c r="L454" s="1" t="s">
        <v>20</v>
      </c>
      <c r="M454" s="1" t="s">
        <v>107</v>
      </c>
    </row>
    <row r="455" spans="1:13" x14ac:dyDescent="0.25">
      <c r="A455" s="1" t="s">
        <v>1100</v>
      </c>
      <c r="B455" s="1" t="s">
        <v>59</v>
      </c>
      <c r="C455" s="1" t="s">
        <v>147</v>
      </c>
      <c r="D455" s="1" t="s">
        <v>90</v>
      </c>
      <c r="E455" s="1" t="s">
        <v>47</v>
      </c>
      <c r="F455" s="1" t="s">
        <v>53</v>
      </c>
      <c r="G455">
        <v>241172</v>
      </c>
      <c r="H455" s="1" t="s">
        <v>1101</v>
      </c>
      <c r="I455" s="2"/>
      <c r="K455">
        <v>3.2</v>
      </c>
      <c r="L455" s="1" t="s">
        <v>20</v>
      </c>
      <c r="M455" s="1" t="s">
        <v>21</v>
      </c>
    </row>
    <row r="456" spans="1:13" x14ac:dyDescent="0.25">
      <c r="A456" s="1" t="s">
        <v>1102</v>
      </c>
      <c r="B456" s="1" t="s">
        <v>98</v>
      </c>
      <c r="C456" s="1" t="s">
        <v>1070</v>
      </c>
      <c r="D456" s="1" t="s">
        <v>46</v>
      </c>
      <c r="E456" s="1" t="s">
        <v>17</v>
      </c>
      <c r="F456" s="1" t="s">
        <v>40</v>
      </c>
      <c r="G456">
        <v>92529</v>
      </c>
      <c r="H456" s="1" t="s">
        <v>125</v>
      </c>
      <c r="I456" s="2">
        <v>45138</v>
      </c>
      <c r="J456">
        <v>92</v>
      </c>
      <c r="K456">
        <v>22.2</v>
      </c>
      <c r="L456" s="1" t="s">
        <v>29</v>
      </c>
      <c r="M456" s="1" t="s">
        <v>30</v>
      </c>
    </row>
    <row r="457" spans="1:13" x14ac:dyDescent="0.25">
      <c r="A457" s="1" t="s">
        <v>1103</v>
      </c>
      <c r="B457" s="1" t="s">
        <v>59</v>
      </c>
      <c r="C457" s="1" t="s">
        <v>813</v>
      </c>
      <c r="D457" s="1" t="s">
        <v>67</v>
      </c>
      <c r="E457" s="1" t="s">
        <v>77</v>
      </c>
      <c r="F457" s="1" t="s">
        <v>18</v>
      </c>
      <c r="G457">
        <v>489127</v>
      </c>
      <c r="H457" s="1" t="s">
        <v>1104</v>
      </c>
      <c r="I457" s="2">
        <v>45693</v>
      </c>
      <c r="J457">
        <v>19</v>
      </c>
      <c r="K457">
        <v>4.5999999999999996</v>
      </c>
      <c r="L457" s="1" t="s">
        <v>20</v>
      </c>
      <c r="M457" s="1" t="s">
        <v>63</v>
      </c>
    </row>
    <row r="458" spans="1:13" x14ac:dyDescent="0.25">
      <c r="A458" s="1" t="s">
        <v>1105</v>
      </c>
      <c r="B458" s="1" t="s">
        <v>75</v>
      </c>
      <c r="C458" s="1" t="s">
        <v>1106</v>
      </c>
      <c r="D458" s="1" t="s">
        <v>90</v>
      </c>
      <c r="E458" s="1" t="s">
        <v>100</v>
      </c>
      <c r="F458" s="1" t="s">
        <v>40</v>
      </c>
      <c r="G458">
        <v>156882</v>
      </c>
      <c r="H458" s="1" t="s">
        <v>1107</v>
      </c>
      <c r="I458" s="2">
        <v>45354</v>
      </c>
      <c r="J458">
        <v>109</v>
      </c>
      <c r="K458">
        <v>13.4</v>
      </c>
      <c r="L458" s="1" t="s">
        <v>96</v>
      </c>
      <c r="M458" s="1" t="s">
        <v>21</v>
      </c>
    </row>
    <row r="459" spans="1:13" x14ac:dyDescent="0.25">
      <c r="A459" s="1" t="s">
        <v>1108</v>
      </c>
      <c r="B459" s="1" t="s">
        <v>80</v>
      </c>
      <c r="C459" s="1" t="s">
        <v>912</v>
      </c>
      <c r="D459" s="1" t="s">
        <v>39</v>
      </c>
      <c r="E459" s="1" t="s">
        <v>47</v>
      </c>
      <c r="F459" s="1" t="s">
        <v>40</v>
      </c>
      <c r="G459">
        <v>896630</v>
      </c>
      <c r="H459" s="1" t="s">
        <v>853</v>
      </c>
      <c r="I459" s="2">
        <v>45498</v>
      </c>
      <c r="J459">
        <v>125</v>
      </c>
      <c r="K459">
        <v>16.7</v>
      </c>
      <c r="L459" s="1" t="s">
        <v>20</v>
      </c>
      <c r="M459" s="1" t="s">
        <v>69</v>
      </c>
    </row>
    <row r="460" spans="1:13" x14ac:dyDescent="0.25">
      <c r="A460" s="1" t="s">
        <v>1109</v>
      </c>
      <c r="B460" s="1" t="s">
        <v>173</v>
      </c>
      <c r="C460" s="1" t="s">
        <v>849</v>
      </c>
      <c r="D460" s="1" t="s">
        <v>46</v>
      </c>
      <c r="E460" s="1" t="s">
        <v>26</v>
      </c>
      <c r="F460" s="1" t="s">
        <v>53</v>
      </c>
      <c r="G460">
        <v>276659</v>
      </c>
      <c r="H460" s="1" t="s">
        <v>1110</v>
      </c>
      <c r="I460" s="2"/>
      <c r="K460">
        <v>7.6</v>
      </c>
      <c r="L460" s="1" t="s">
        <v>20</v>
      </c>
      <c r="M460" s="1" t="s">
        <v>42</v>
      </c>
    </row>
    <row r="461" spans="1:13" x14ac:dyDescent="0.25">
      <c r="A461" s="1" t="s">
        <v>1111</v>
      </c>
      <c r="B461" s="1" t="s">
        <v>109</v>
      </c>
      <c r="C461" s="1" t="s">
        <v>1112</v>
      </c>
      <c r="D461" s="1" t="s">
        <v>16</v>
      </c>
      <c r="E461" s="1" t="s">
        <v>47</v>
      </c>
      <c r="F461" s="1" t="s">
        <v>129</v>
      </c>
      <c r="G461">
        <v>346119</v>
      </c>
      <c r="H461" s="1" t="s">
        <v>1113</v>
      </c>
      <c r="I461" s="2"/>
      <c r="K461">
        <v>12.6</v>
      </c>
      <c r="L461" s="1" t="s">
        <v>96</v>
      </c>
      <c r="M461" s="1" t="s">
        <v>30</v>
      </c>
    </row>
    <row r="462" spans="1:13" x14ac:dyDescent="0.25">
      <c r="A462" s="1" t="s">
        <v>1114</v>
      </c>
      <c r="B462" s="1" t="s">
        <v>23</v>
      </c>
      <c r="C462" s="1" t="s">
        <v>110</v>
      </c>
      <c r="D462" s="1" t="s">
        <v>16</v>
      </c>
      <c r="E462" s="1" t="s">
        <v>26</v>
      </c>
      <c r="F462" s="1" t="s">
        <v>18</v>
      </c>
      <c r="G462">
        <v>35706</v>
      </c>
      <c r="H462" s="1" t="s">
        <v>1115</v>
      </c>
      <c r="I462" s="2">
        <v>45165</v>
      </c>
      <c r="J462">
        <v>56</v>
      </c>
      <c r="K462">
        <v>9.1999999999999993</v>
      </c>
      <c r="L462" s="1" t="s">
        <v>29</v>
      </c>
      <c r="M462" s="1" t="s">
        <v>102</v>
      </c>
    </row>
    <row r="463" spans="1:13" x14ac:dyDescent="0.25">
      <c r="A463" s="1" t="s">
        <v>1116</v>
      </c>
      <c r="B463" s="1" t="s">
        <v>44</v>
      </c>
      <c r="C463" s="1" t="s">
        <v>536</v>
      </c>
      <c r="D463" s="1" t="s">
        <v>39</v>
      </c>
      <c r="E463" s="1" t="s">
        <v>17</v>
      </c>
      <c r="F463" s="1" t="s">
        <v>27</v>
      </c>
      <c r="G463">
        <v>279651</v>
      </c>
      <c r="H463" s="1" t="s">
        <v>130</v>
      </c>
      <c r="I463" s="2"/>
      <c r="K463">
        <v>1.9</v>
      </c>
      <c r="L463" s="1" t="s">
        <v>29</v>
      </c>
      <c r="M463" s="1" t="s">
        <v>69</v>
      </c>
    </row>
    <row r="464" spans="1:13" x14ac:dyDescent="0.25">
      <c r="A464" s="1" t="s">
        <v>1117</v>
      </c>
      <c r="B464" s="1" t="s">
        <v>37</v>
      </c>
      <c r="C464" s="1" t="s">
        <v>177</v>
      </c>
      <c r="D464" s="1" t="s">
        <v>16</v>
      </c>
      <c r="E464" s="1" t="s">
        <v>72</v>
      </c>
      <c r="F464" s="1" t="s">
        <v>40</v>
      </c>
      <c r="G464">
        <v>176717</v>
      </c>
      <c r="H464" s="1" t="s">
        <v>1118</v>
      </c>
      <c r="I464" s="2">
        <v>45065</v>
      </c>
      <c r="J464">
        <v>64</v>
      </c>
      <c r="K464">
        <v>15.5</v>
      </c>
      <c r="L464" s="1" t="s">
        <v>20</v>
      </c>
      <c r="M464" s="1" t="s">
        <v>35</v>
      </c>
    </row>
    <row r="465" spans="1:13" x14ac:dyDescent="0.25">
      <c r="A465" s="1" t="s">
        <v>1119</v>
      </c>
      <c r="B465" s="1" t="s">
        <v>84</v>
      </c>
      <c r="C465" s="1" t="s">
        <v>287</v>
      </c>
      <c r="D465" s="1" t="s">
        <v>16</v>
      </c>
      <c r="E465" s="1" t="s">
        <v>94</v>
      </c>
      <c r="F465" s="1" t="s">
        <v>129</v>
      </c>
      <c r="G465">
        <v>354336</v>
      </c>
      <c r="H465" s="1" t="s">
        <v>921</v>
      </c>
      <c r="I465" s="2"/>
      <c r="K465">
        <v>5.8</v>
      </c>
      <c r="L465" s="1" t="s">
        <v>96</v>
      </c>
      <c r="M465" s="1" t="s">
        <v>107</v>
      </c>
    </row>
    <row r="466" spans="1:13" x14ac:dyDescent="0.25">
      <c r="A466" s="1" t="s">
        <v>1120</v>
      </c>
      <c r="B466" s="1" t="s">
        <v>37</v>
      </c>
      <c r="C466" s="1" t="s">
        <v>1121</v>
      </c>
      <c r="D466" s="1" t="s">
        <v>16</v>
      </c>
      <c r="E466" s="1" t="s">
        <v>47</v>
      </c>
      <c r="F466" s="1" t="s">
        <v>18</v>
      </c>
      <c r="G466">
        <v>219263</v>
      </c>
      <c r="H466" s="1" t="s">
        <v>1122</v>
      </c>
      <c r="I466" s="2">
        <v>45650</v>
      </c>
      <c r="J466">
        <v>102</v>
      </c>
      <c r="L466" s="1" t="s">
        <v>96</v>
      </c>
      <c r="M466" s="1" t="s">
        <v>149</v>
      </c>
    </row>
    <row r="467" spans="1:13" x14ac:dyDescent="0.25">
      <c r="A467" s="1" t="s">
        <v>1123</v>
      </c>
      <c r="B467" s="1" t="s">
        <v>88</v>
      </c>
      <c r="C467" s="1" t="s">
        <v>157</v>
      </c>
      <c r="D467" s="1" t="s">
        <v>39</v>
      </c>
      <c r="E467" s="1" t="s">
        <v>61</v>
      </c>
      <c r="F467" s="1" t="s">
        <v>53</v>
      </c>
      <c r="G467">
        <v>229480</v>
      </c>
      <c r="H467" s="1" t="s">
        <v>844</v>
      </c>
      <c r="I467" s="2"/>
      <c r="K467">
        <v>10.7</v>
      </c>
      <c r="L467" s="1" t="s">
        <v>96</v>
      </c>
      <c r="M467" s="1" t="s">
        <v>149</v>
      </c>
    </row>
    <row r="468" spans="1:13" x14ac:dyDescent="0.25">
      <c r="A468" s="1" t="s">
        <v>1124</v>
      </c>
      <c r="B468" s="1" t="s">
        <v>75</v>
      </c>
      <c r="C468" s="1" t="s">
        <v>1125</v>
      </c>
      <c r="D468" s="1" t="s">
        <v>90</v>
      </c>
      <c r="E468" s="1" t="s">
        <v>47</v>
      </c>
      <c r="F468" s="1" t="s">
        <v>33</v>
      </c>
      <c r="G468">
        <v>367969</v>
      </c>
      <c r="H468" s="1" t="s">
        <v>526</v>
      </c>
      <c r="I468" s="2"/>
      <c r="K468">
        <v>8.8000000000000007</v>
      </c>
      <c r="L468" s="1" t="s">
        <v>96</v>
      </c>
      <c r="M468" s="1" t="s">
        <v>35</v>
      </c>
    </row>
    <row r="469" spans="1:13" x14ac:dyDescent="0.25">
      <c r="A469" s="1" t="s">
        <v>1126</v>
      </c>
      <c r="B469" s="1" t="s">
        <v>104</v>
      </c>
      <c r="C469" s="1" t="s">
        <v>24</v>
      </c>
      <c r="D469" s="1" t="s">
        <v>90</v>
      </c>
      <c r="E469" s="1" t="s">
        <v>17</v>
      </c>
      <c r="F469" s="1" t="s">
        <v>40</v>
      </c>
      <c r="G469">
        <v>279535</v>
      </c>
      <c r="H469" s="1" t="s">
        <v>1127</v>
      </c>
      <c r="I469" s="2">
        <v>45474</v>
      </c>
      <c r="J469">
        <v>176</v>
      </c>
      <c r="K469">
        <v>2.2999999999999998</v>
      </c>
      <c r="L469" s="1" t="s">
        <v>20</v>
      </c>
      <c r="M469" s="1" t="s">
        <v>69</v>
      </c>
    </row>
    <row r="470" spans="1:13" x14ac:dyDescent="0.25">
      <c r="A470" s="1" t="s">
        <v>1128</v>
      </c>
      <c r="B470" s="1" t="s">
        <v>88</v>
      </c>
      <c r="C470" s="1" t="s">
        <v>1129</v>
      </c>
      <c r="D470" s="1" t="s">
        <v>90</v>
      </c>
      <c r="E470" s="1" t="s">
        <v>51</v>
      </c>
      <c r="F470" s="1" t="s">
        <v>129</v>
      </c>
      <c r="G470">
        <v>240872</v>
      </c>
      <c r="H470" s="1" t="s">
        <v>190</v>
      </c>
      <c r="I470" s="2"/>
      <c r="L470" s="1" t="s">
        <v>29</v>
      </c>
      <c r="M470" s="1" t="s">
        <v>69</v>
      </c>
    </row>
    <row r="471" spans="1:13" x14ac:dyDescent="0.25">
      <c r="A471" s="1" t="s">
        <v>1130</v>
      </c>
      <c r="B471" s="1" t="s">
        <v>109</v>
      </c>
      <c r="C471" s="1" t="s">
        <v>528</v>
      </c>
      <c r="D471" s="1" t="s">
        <v>25</v>
      </c>
      <c r="E471" s="1" t="s">
        <v>77</v>
      </c>
      <c r="F471" s="1" t="s">
        <v>40</v>
      </c>
      <c r="G471">
        <v>480728</v>
      </c>
      <c r="H471" s="1" t="s">
        <v>958</v>
      </c>
      <c r="I471" s="2">
        <v>45747</v>
      </c>
      <c r="J471">
        <v>144</v>
      </c>
      <c r="K471">
        <v>11.3</v>
      </c>
      <c r="L471" s="1" t="s">
        <v>96</v>
      </c>
      <c r="M471" s="1" t="s">
        <v>42</v>
      </c>
    </row>
    <row r="472" spans="1:13" x14ac:dyDescent="0.25">
      <c r="A472" s="1" t="s">
        <v>1131</v>
      </c>
      <c r="B472" s="1" t="s">
        <v>59</v>
      </c>
      <c r="C472" s="1" t="s">
        <v>518</v>
      </c>
      <c r="D472" s="1" t="s">
        <v>46</v>
      </c>
      <c r="E472" s="1" t="s">
        <v>51</v>
      </c>
      <c r="F472" s="1" t="s">
        <v>129</v>
      </c>
      <c r="G472">
        <v>341275</v>
      </c>
      <c r="H472" s="1" t="s">
        <v>1132</v>
      </c>
      <c r="I472" s="2"/>
      <c r="L472" s="1" t="s">
        <v>49</v>
      </c>
      <c r="M472" s="1" t="s">
        <v>102</v>
      </c>
    </row>
    <row r="473" spans="1:13" x14ac:dyDescent="0.25">
      <c r="A473" s="1" t="s">
        <v>1133</v>
      </c>
      <c r="B473" s="1" t="s">
        <v>127</v>
      </c>
      <c r="C473" s="1" t="s">
        <v>284</v>
      </c>
      <c r="D473" s="1" t="s">
        <v>39</v>
      </c>
      <c r="E473" s="1" t="s">
        <v>94</v>
      </c>
      <c r="F473" s="1" t="s">
        <v>40</v>
      </c>
      <c r="G473">
        <v>293258</v>
      </c>
      <c r="H473" s="1" t="s">
        <v>1134</v>
      </c>
      <c r="I473" s="2">
        <v>45116</v>
      </c>
      <c r="J473">
        <v>156</v>
      </c>
      <c r="K473">
        <v>24.7</v>
      </c>
      <c r="L473" s="1" t="s">
        <v>49</v>
      </c>
      <c r="M473" s="1" t="s">
        <v>35</v>
      </c>
    </row>
    <row r="474" spans="1:13" x14ac:dyDescent="0.25">
      <c r="A474" s="1" t="s">
        <v>1135</v>
      </c>
      <c r="B474" s="1" t="s">
        <v>104</v>
      </c>
      <c r="C474" s="1" t="s">
        <v>1136</v>
      </c>
      <c r="D474" s="1" t="s">
        <v>90</v>
      </c>
      <c r="E474" s="1" t="s">
        <v>47</v>
      </c>
      <c r="F474" s="1" t="s">
        <v>40</v>
      </c>
      <c r="G474">
        <v>115031</v>
      </c>
      <c r="H474" s="1" t="s">
        <v>1137</v>
      </c>
      <c r="I474" s="2">
        <v>45620</v>
      </c>
      <c r="J474">
        <v>105</v>
      </c>
      <c r="K474">
        <v>17.899999999999999</v>
      </c>
      <c r="L474" s="1" t="s">
        <v>29</v>
      </c>
      <c r="M474" s="1" t="s">
        <v>149</v>
      </c>
    </row>
    <row r="475" spans="1:13" x14ac:dyDescent="0.25">
      <c r="A475" s="1" t="s">
        <v>1138</v>
      </c>
      <c r="B475" s="1" t="s">
        <v>65</v>
      </c>
      <c r="C475" s="1" t="s">
        <v>539</v>
      </c>
      <c r="D475" s="1" t="s">
        <v>25</v>
      </c>
      <c r="E475" s="1" t="s">
        <v>26</v>
      </c>
      <c r="F475" s="1" t="s">
        <v>40</v>
      </c>
      <c r="G475">
        <v>472633</v>
      </c>
      <c r="H475" s="1" t="s">
        <v>106</v>
      </c>
      <c r="I475" s="2">
        <v>45448</v>
      </c>
      <c r="J475">
        <v>22</v>
      </c>
      <c r="K475">
        <v>2.8</v>
      </c>
      <c r="L475" s="1" t="s">
        <v>20</v>
      </c>
      <c r="M475" s="1" t="s">
        <v>107</v>
      </c>
    </row>
    <row r="476" spans="1:13" x14ac:dyDescent="0.25">
      <c r="A476" s="1" t="s">
        <v>1139</v>
      </c>
      <c r="B476" s="1" t="s">
        <v>173</v>
      </c>
      <c r="C476" s="1" t="s">
        <v>442</v>
      </c>
      <c r="D476" s="1" t="s">
        <v>25</v>
      </c>
      <c r="E476" s="1" t="s">
        <v>17</v>
      </c>
      <c r="F476" s="1" t="s">
        <v>27</v>
      </c>
      <c r="G476">
        <v>377759</v>
      </c>
      <c r="H476" s="1" t="s">
        <v>1140</v>
      </c>
      <c r="I476" s="2"/>
      <c r="K476">
        <v>10.3</v>
      </c>
      <c r="L476" s="1" t="s">
        <v>96</v>
      </c>
      <c r="M476" s="1" t="s">
        <v>35</v>
      </c>
    </row>
    <row r="477" spans="1:13" x14ac:dyDescent="0.25">
      <c r="A477" s="1" t="s">
        <v>1141</v>
      </c>
      <c r="B477" s="1" t="s">
        <v>14</v>
      </c>
      <c r="C477" s="1" t="s">
        <v>1142</v>
      </c>
      <c r="D477" s="1" t="s">
        <v>16</v>
      </c>
      <c r="E477" s="1" t="s">
        <v>17</v>
      </c>
      <c r="F477" s="1" t="s">
        <v>129</v>
      </c>
      <c r="G477">
        <v>237928</v>
      </c>
      <c r="H477" s="1" t="s">
        <v>1066</v>
      </c>
      <c r="I477" s="2"/>
      <c r="K477">
        <v>12.7</v>
      </c>
      <c r="L477" s="1" t="s">
        <v>96</v>
      </c>
      <c r="M477" s="1" t="s">
        <v>30</v>
      </c>
    </row>
    <row r="478" spans="1:13" x14ac:dyDescent="0.25">
      <c r="A478" s="1" t="s">
        <v>1143</v>
      </c>
      <c r="B478" s="1" t="s">
        <v>88</v>
      </c>
      <c r="C478" s="1" t="s">
        <v>1144</v>
      </c>
      <c r="D478" s="1" t="s">
        <v>39</v>
      </c>
      <c r="E478" s="1" t="s">
        <v>77</v>
      </c>
      <c r="F478" s="1" t="s">
        <v>33</v>
      </c>
      <c r="G478">
        <v>187605</v>
      </c>
      <c r="H478" s="1" t="s">
        <v>1093</v>
      </c>
      <c r="I478" s="2"/>
      <c r="K478">
        <v>9.6</v>
      </c>
      <c r="L478" s="1" t="s">
        <v>20</v>
      </c>
      <c r="M478" s="1" t="s">
        <v>30</v>
      </c>
    </row>
    <row r="479" spans="1:13" x14ac:dyDescent="0.25">
      <c r="A479" s="1" t="s">
        <v>1145</v>
      </c>
      <c r="B479" s="1" t="s">
        <v>84</v>
      </c>
      <c r="C479" s="1" t="s">
        <v>502</v>
      </c>
      <c r="D479" s="1" t="s">
        <v>67</v>
      </c>
      <c r="E479" s="1" t="s">
        <v>77</v>
      </c>
      <c r="F479" s="1" t="s">
        <v>27</v>
      </c>
      <c r="G479">
        <v>69045</v>
      </c>
      <c r="H479" s="1" t="s">
        <v>391</v>
      </c>
      <c r="I479" s="2"/>
      <c r="K479">
        <v>3.6</v>
      </c>
      <c r="L479" s="1" t="s">
        <v>49</v>
      </c>
      <c r="M479" s="1" t="s">
        <v>69</v>
      </c>
    </row>
    <row r="480" spans="1:13" x14ac:dyDescent="0.25">
      <c r="A480" s="1" t="s">
        <v>1146</v>
      </c>
      <c r="B480" s="1" t="s">
        <v>44</v>
      </c>
      <c r="C480" s="1" t="s">
        <v>1147</v>
      </c>
      <c r="D480" s="1" t="s">
        <v>90</v>
      </c>
      <c r="E480" s="1" t="s">
        <v>100</v>
      </c>
      <c r="F480" s="1" t="s">
        <v>18</v>
      </c>
      <c r="G480">
        <v>335459</v>
      </c>
      <c r="H480" s="1" t="s">
        <v>1148</v>
      </c>
      <c r="I480" s="2">
        <v>45610</v>
      </c>
      <c r="J480">
        <v>100</v>
      </c>
      <c r="L480" s="1" t="s">
        <v>20</v>
      </c>
      <c r="M480" s="1" t="s">
        <v>149</v>
      </c>
    </row>
    <row r="481" spans="1:13" x14ac:dyDescent="0.25">
      <c r="A481" s="1" t="s">
        <v>1149</v>
      </c>
      <c r="B481" s="1" t="s">
        <v>104</v>
      </c>
      <c r="C481" s="1" t="s">
        <v>466</v>
      </c>
      <c r="D481" s="1" t="s">
        <v>39</v>
      </c>
      <c r="E481" s="1" t="s">
        <v>47</v>
      </c>
      <c r="F481" s="1" t="s">
        <v>129</v>
      </c>
      <c r="G481">
        <v>238659</v>
      </c>
      <c r="H481" s="1" t="s">
        <v>545</v>
      </c>
      <c r="I481" s="2"/>
      <c r="L481" s="1" t="s">
        <v>96</v>
      </c>
      <c r="M481" s="1" t="s">
        <v>35</v>
      </c>
    </row>
    <row r="482" spans="1:13" x14ac:dyDescent="0.25">
      <c r="A482" s="1" t="s">
        <v>1150</v>
      </c>
      <c r="B482" s="1" t="s">
        <v>59</v>
      </c>
      <c r="C482" s="1" t="s">
        <v>1151</v>
      </c>
      <c r="D482" s="1" t="s">
        <v>67</v>
      </c>
      <c r="E482" s="1" t="s">
        <v>100</v>
      </c>
      <c r="F482" s="1" t="s">
        <v>53</v>
      </c>
      <c r="G482">
        <v>218143</v>
      </c>
      <c r="H482" s="1" t="s">
        <v>142</v>
      </c>
      <c r="I482" s="2"/>
      <c r="K482">
        <v>12.6</v>
      </c>
      <c r="L482" s="1" t="s">
        <v>20</v>
      </c>
      <c r="M482" s="1" t="s">
        <v>21</v>
      </c>
    </row>
    <row r="483" spans="1:13" x14ac:dyDescent="0.25">
      <c r="A483" s="1" t="s">
        <v>1152</v>
      </c>
      <c r="B483" s="1" t="s">
        <v>14</v>
      </c>
      <c r="C483" s="1" t="s">
        <v>1153</v>
      </c>
      <c r="D483" s="1" t="s">
        <v>46</v>
      </c>
      <c r="E483" s="1" t="s">
        <v>61</v>
      </c>
      <c r="F483" s="1" t="s">
        <v>53</v>
      </c>
      <c r="G483">
        <v>455136</v>
      </c>
      <c r="H483" s="1" t="s">
        <v>1154</v>
      </c>
      <c r="I483" s="2"/>
      <c r="K483">
        <v>10.199999999999999</v>
      </c>
      <c r="L483" s="1" t="s">
        <v>49</v>
      </c>
      <c r="M483" s="1" t="s">
        <v>30</v>
      </c>
    </row>
    <row r="484" spans="1:13" x14ac:dyDescent="0.25">
      <c r="A484" s="1" t="s">
        <v>1155</v>
      </c>
      <c r="B484" s="1" t="s">
        <v>104</v>
      </c>
      <c r="C484" s="1" t="s">
        <v>800</v>
      </c>
      <c r="D484" s="1" t="s">
        <v>39</v>
      </c>
      <c r="E484" s="1" t="s">
        <v>77</v>
      </c>
      <c r="F484" s="1" t="s">
        <v>27</v>
      </c>
      <c r="G484">
        <v>335811</v>
      </c>
      <c r="H484" s="1" t="s">
        <v>867</v>
      </c>
      <c r="I484" s="2"/>
      <c r="L484" s="1" t="s">
        <v>20</v>
      </c>
      <c r="M484" s="1" t="s">
        <v>69</v>
      </c>
    </row>
    <row r="485" spans="1:13" x14ac:dyDescent="0.25">
      <c r="A485" s="1" t="s">
        <v>1156</v>
      </c>
      <c r="B485" s="1" t="s">
        <v>84</v>
      </c>
      <c r="C485" s="1" t="s">
        <v>1157</v>
      </c>
      <c r="D485" s="1" t="s">
        <v>46</v>
      </c>
      <c r="E485" s="1" t="s">
        <v>26</v>
      </c>
      <c r="F485" s="1" t="s">
        <v>33</v>
      </c>
      <c r="G485">
        <v>231081</v>
      </c>
      <c r="H485" s="1" t="s">
        <v>1158</v>
      </c>
      <c r="I485" s="2"/>
      <c r="K485">
        <v>12.6</v>
      </c>
      <c r="L485" s="1" t="s">
        <v>20</v>
      </c>
      <c r="M485" s="1" t="s">
        <v>63</v>
      </c>
    </row>
    <row r="486" spans="1:13" x14ac:dyDescent="0.25">
      <c r="A486" s="1" t="s">
        <v>1159</v>
      </c>
      <c r="B486" s="1" t="s">
        <v>88</v>
      </c>
      <c r="C486" s="1" t="s">
        <v>71</v>
      </c>
      <c r="D486" s="1" t="s">
        <v>67</v>
      </c>
      <c r="E486" s="1" t="s">
        <v>72</v>
      </c>
      <c r="F486" s="1" t="s">
        <v>40</v>
      </c>
      <c r="G486">
        <v>433642</v>
      </c>
      <c r="H486" s="1" t="s">
        <v>461</v>
      </c>
      <c r="I486" s="2">
        <v>45804</v>
      </c>
      <c r="J486">
        <v>145</v>
      </c>
      <c r="K486">
        <v>17.8</v>
      </c>
      <c r="L486" s="1" t="s">
        <v>29</v>
      </c>
      <c r="M486" s="1" t="s">
        <v>63</v>
      </c>
    </row>
    <row r="487" spans="1:13" x14ac:dyDescent="0.25">
      <c r="A487" s="1" t="s">
        <v>1160</v>
      </c>
      <c r="B487" s="1" t="s">
        <v>59</v>
      </c>
      <c r="C487" s="1" t="s">
        <v>261</v>
      </c>
      <c r="D487" s="1" t="s">
        <v>16</v>
      </c>
      <c r="E487" s="1" t="s">
        <v>72</v>
      </c>
      <c r="F487" s="1" t="s">
        <v>40</v>
      </c>
      <c r="G487">
        <v>71114</v>
      </c>
      <c r="H487" s="1" t="s">
        <v>1161</v>
      </c>
      <c r="I487" s="2">
        <v>45071</v>
      </c>
      <c r="J487">
        <v>71</v>
      </c>
      <c r="K487">
        <v>8.4</v>
      </c>
      <c r="L487" s="1" t="s">
        <v>29</v>
      </c>
      <c r="M487" s="1" t="s">
        <v>35</v>
      </c>
    </row>
    <row r="488" spans="1:13" x14ac:dyDescent="0.25">
      <c r="A488" s="1" t="s">
        <v>1162</v>
      </c>
      <c r="B488" s="1" t="s">
        <v>51</v>
      </c>
      <c r="C488" s="1" t="s">
        <v>616</v>
      </c>
      <c r="D488" s="1" t="s">
        <v>25</v>
      </c>
      <c r="E488" s="1" t="s">
        <v>100</v>
      </c>
      <c r="F488" s="1" t="s">
        <v>33</v>
      </c>
      <c r="G488">
        <v>246396</v>
      </c>
      <c r="H488" s="1" t="s">
        <v>1137</v>
      </c>
      <c r="I488" s="2"/>
      <c r="K488">
        <v>13.2</v>
      </c>
      <c r="L488" s="1" t="s">
        <v>49</v>
      </c>
      <c r="M488" s="1" t="s">
        <v>149</v>
      </c>
    </row>
    <row r="489" spans="1:13" x14ac:dyDescent="0.25">
      <c r="A489" s="1" t="s">
        <v>1163</v>
      </c>
      <c r="B489" s="1" t="s">
        <v>65</v>
      </c>
      <c r="C489" s="1" t="s">
        <v>818</v>
      </c>
      <c r="D489" s="1" t="s">
        <v>16</v>
      </c>
      <c r="E489" s="1" t="s">
        <v>61</v>
      </c>
      <c r="F489" s="1" t="s">
        <v>40</v>
      </c>
      <c r="G489">
        <v>179876</v>
      </c>
      <c r="H489" s="1" t="s">
        <v>795</v>
      </c>
      <c r="I489" s="2">
        <v>45534</v>
      </c>
      <c r="J489">
        <v>25</v>
      </c>
      <c r="K489">
        <v>1.4</v>
      </c>
      <c r="L489" s="1" t="s">
        <v>29</v>
      </c>
      <c r="M489" s="1" t="s">
        <v>149</v>
      </c>
    </row>
    <row r="490" spans="1:13" x14ac:dyDescent="0.25">
      <c r="A490" s="1" t="s">
        <v>1164</v>
      </c>
      <c r="B490" s="1" t="s">
        <v>59</v>
      </c>
      <c r="C490" s="1" t="s">
        <v>1165</v>
      </c>
      <c r="D490" s="1" t="s">
        <v>25</v>
      </c>
      <c r="E490" s="1" t="s">
        <v>61</v>
      </c>
      <c r="F490" s="1" t="s">
        <v>40</v>
      </c>
      <c r="G490">
        <v>261898</v>
      </c>
      <c r="H490" s="1" t="s">
        <v>1166</v>
      </c>
      <c r="I490" s="2">
        <v>45534</v>
      </c>
      <c r="J490">
        <v>149</v>
      </c>
      <c r="K490">
        <v>19.8</v>
      </c>
      <c r="L490" s="1" t="s">
        <v>49</v>
      </c>
      <c r="M490" s="1" t="s">
        <v>107</v>
      </c>
    </row>
    <row r="491" spans="1:13" x14ac:dyDescent="0.25">
      <c r="A491" s="1" t="s">
        <v>1167</v>
      </c>
      <c r="B491" s="1" t="s">
        <v>84</v>
      </c>
      <c r="C491" s="1" t="s">
        <v>869</v>
      </c>
      <c r="D491" s="1" t="s">
        <v>39</v>
      </c>
      <c r="E491" s="1" t="s">
        <v>94</v>
      </c>
      <c r="F491" s="1" t="s">
        <v>18</v>
      </c>
      <c r="G491">
        <v>456898</v>
      </c>
      <c r="H491" s="1" t="s">
        <v>1168</v>
      </c>
      <c r="I491" s="2">
        <v>45732</v>
      </c>
      <c r="J491">
        <v>107</v>
      </c>
      <c r="K491">
        <v>6.6</v>
      </c>
      <c r="L491" s="1" t="s">
        <v>96</v>
      </c>
      <c r="M491" s="1" t="s">
        <v>42</v>
      </c>
    </row>
    <row r="492" spans="1:13" x14ac:dyDescent="0.25">
      <c r="A492" s="1" t="s">
        <v>1169</v>
      </c>
      <c r="B492" s="1" t="s">
        <v>59</v>
      </c>
      <c r="C492" s="1" t="s">
        <v>1170</v>
      </c>
      <c r="D492" s="1" t="s">
        <v>67</v>
      </c>
      <c r="E492" s="1" t="s">
        <v>77</v>
      </c>
      <c r="F492" s="1" t="s">
        <v>129</v>
      </c>
      <c r="G492">
        <v>494705</v>
      </c>
      <c r="H492" s="1" t="s">
        <v>469</v>
      </c>
      <c r="I492" s="2"/>
      <c r="L492" s="1" t="s">
        <v>49</v>
      </c>
      <c r="M492" s="1" t="s">
        <v>149</v>
      </c>
    </row>
    <row r="493" spans="1:13" x14ac:dyDescent="0.25">
      <c r="A493" s="1" t="s">
        <v>1171</v>
      </c>
      <c r="B493" s="1" t="s">
        <v>173</v>
      </c>
      <c r="C493" s="1" t="s">
        <v>1172</v>
      </c>
      <c r="D493" s="1" t="s">
        <v>46</v>
      </c>
      <c r="E493" s="1" t="s">
        <v>17</v>
      </c>
      <c r="F493" s="1" t="s">
        <v>129</v>
      </c>
      <c r="G493">
        <v>403402</v>
      </c>
      <c r="H493" s="1" t="s">
        <v>1173</v>
      </c>
      <c r="I493" s="2"/>
      <c r="K493">
        <v>9.3000000000000007</v>
      </c>
      <c r="L493" s="1" t="s">
        <v>96</v>
      </c>
      <c r="M493" s="1" t="s">
        <v>107</v>
      </c>
    </row>
    <row r="494" spans="1:13" x14ac:dyDescent="0.25">
      <c r="A494" s="1" t="s">
        <v>1174</v>
      </c>
      <c r="B494" s="1" t="s">
        <v>65</v>
      </c>
      <c r="C494" s="1" t="s">
        <v>415</v>
      </c>
      <c r="D494" s="1" t="s">
        <v>46</v>
      </c>
      <c r="E494" s="1" t="s">
        <v>77</v>
      </c>
      <c r="F494" s="1" t="s">
        <v>53</v>
      </c>
      <c r="G494">
        <v>104888</v>
      </c>
      <c r="H494" s="1" t="s">
        <v>175</v>
      </c>
      <c r="I494" s="2"/>
      <c r="L494" s="1" t="s">
        <v>29</v>
      </c>
      <c r="M494" s="1" t="s">
        <v>42</v>
      </c>
    </row>
    <row r="495" spans="1:13" x14ac:dyDescent="0.25">
      <c r="A495" s="1" t="s">
        <v>1175</v>
      </c>
      <c r="B495" s="1" t="s">
        <v>173</v>
      </c>
      <c r="C495" s="1" t="s">
        <v>180</v>
      </c>
      <c r="D495" s="1" t="s">
        <v>46</v>
      </c>
      <c r="E495" s="1" t="s">
        <v>47</v>
      </c>
      <c r="F495" s="1" t="s">
        <v>129</v>
      </c>
      <c r="G495">
        <v>79235</v>
      </c>
      <c r="H495" s="1" t="s">
        <v>1176</v>
      </c>
      <c r="I495" s="2"/>
      <c r="K495">
        <v>10.199999999999999</v>
      </c>
      <c r="L495" s="1" t="s">
        <v>29</v>
      </c>
      <c r="M495" s="1" t="s">
        <v>69</v>
      </c>
    </row>
    <row r="496" spans="1:13" x14ac:dyDescent="0.25">
      <c r="A496" s="1" t="s">
        <v>1177</v>
      </c>
      <c r="B496" s="1" t="s">
        <v>80</v>
      </c>
      <c r="C496" s="1" t="s">
        <v>1178</v>
      </c>
      <c r="D496" s="1" t="s">
        <v>67</v>
      </c>
      <c r="E496" s="1" t="s">
        <v>47</v>
      </c>
      <c r="F496" s="1" t="s">
        <v>27</v>
      </c>
      <c r="G496">
        <v>267215</v>
      </c>
      <c r="H496" s="1" t="s">
        <v>411</v>
      </c>
      <c r="I496" s="2"/>
      <c r="K496">
        <v>2.2000000000000002</v>
      </c>
      <c r="L496" s="1" t="s">
        <v>96</v>
      </c>
      <c r="M496" s="1" t="s">
        <v>35</v>
      </c>
    </row>
    <row r="497" spans="1:13" x14ac:dyDescent="0.25">
      <c r="A497" s="1" t="s">
        <v>1179</v>
      </c>
      <c r="B497" s="1" t="s">
        <v>14</v>
      </c>
      <c r="C497" s="1" t="s">
        <v>186</v>
      </c>
      <c r="D497" s="1" t="s">
        <v>16</v>
      </c>
      <c r="E497" s="1" t="s">
        <v>100</v>
      </c>
      <c r="F497" s="1" t="s">
        <v>40</v>
      </c>
      <c r="G497">
        <v>34808</v>
      </c>
      <c r="H497" s="1" t="s">
        <v>493</v>
      </c>
      <c r="I497" s="2">
        <v>45349</v>
      </c>
      <c r="J497">
        <v>131</v>
      </c>
      <c r="K497">
        <v>15.5</v>
      </c>
      <c r="L497" s="1" t="s">
        <v>29</v>
      </c>
      <c r="M497" s="1" t="s">
        <v>21</v>
      </c>
    </row>
    <row r="498" spans="1:13" x14ac:dyDescent="0.25">
      <c r="A498" s="1" t="s">
        <v>1180</v>
      </c>
      <c r="B498" s="1" t="s">
        <v>51</v>
      </c>
      <c r="C498" s="1" t="s">
        <v>944</v>
      </c>
      <c r="D498" s="1" t="s">
        <v>90</v>
      </c>
      <c r="E498" s="1" t="s">
        <v>26</v>
      </c>
      <c r="F498" s="1" t="s">
        <v>40</v>
      </c>
      <c r="G498">
        <v>70365</v>
      </c>
      <c r="H498" s="1" t="s">
        <v>509</v>
      </c>
      <c r="I498" s="2">
        <v>45165</v>
      </c>
      <c r="J498">
        <v>93</v>
      </c>
      <c r="K498">
        <v>19.399999999999999</v>
      </c>
      <c r="L498" s="1" t="s">
        <v>20</v>
      </c>
      <c r="M498" s="1" t="s">
        <v>30</v>
      </c>
    </row>
    <row r="499" spans="1:13" x14ac:dyDescent="0.25">
      <c r="A499" s="1" t="s">
        <v>1181</v>
      </c>
      <c r="B499" s="1" t="s">
        <v>59</v>
      </c>
      <c r="C499" s="1" t="s">
        <v>536</v>
      </c>
      <c r="D499" s="1" t="s">
        <v>90</v>
      </c>
      <c r="E499" s="1" t="s">
        <v>77</v>
      </c>
      <c r="F499" s="1" t="s">
        <v>40</v>
      </c>
      <c r="G499">
        <v>29232</v>
      </c>
      <c r="H499" s="1" t="s">
        <v>581</v>
      </c>
      <c r="I499" s="2">
        <v>45453</v>
      </c>
      <c r="J499">
        <v>116</v>
      </c>
      <c r="K499">
        <v>6.8</v>
      </c>
      <c r="L499" s="1" t="s">
        <v>49</v>
      </c>
      <c r="M499" s="1" t="s">
        <v>69</v>
      </c>
    </row>
    <row r="500" spans="1:13" x14ac:dyDescent="0.25">
      <c r="A500" s="1" t="s">
        <v>1182</v>
      </c>
      <c r="B500" s="1" t="s">
        <v>98</v>
      </c>
      <c r="C500" s="1" t="s">
        <v>849</v>
      </c>
      <c r="D500" s="1" t="s">
        <v>90</v>
      </c>
      <c r="E500" s="1" t="s">
        <v>77</v>
      </c>
      <c r="F500" s="1" t="s">
        <v>40</v>
      </c>
      <c r="G500">
        <v>154406</v>
      </c>
      <c r="H500" s="1" t="s">
        <v>1183</v>
      </c>
      <c r="I500" s="2">
        <v>45198</v>
      </c>
      <c r="J500">
        <v>134</v>
      </c>
      <c r="K500">
        <v>17.399999999999999</v>
      </c>
      <c r="L500" s="1" t="s">
        <v>49</v>
      </c>
      <c r="M500" s="1" t="s">
        <v>30</v>
      </c>
    </row>
    <row r="501" spans="1:13" x14ac:dyDescent="0.25">
      <c r="A501" s="1" t="s">
        <v>1184</v>
      </c>
      <c r="B501" s="1" t="s">
        <v>80</v>
      </c>
      <c r="C501" s="1" t="s">
        <v>1185</v>
      </c>
      <c r="D501" s="1" t="s">
        <v>39</v>
      </c>
      <c r="E501" s="1" t="s">
        <v>94</v>
      </c>
      <c r="F501" s="1" t="s">
        <v>53</v>
      </c>
      <c r="G501">
        <v>245914</v>
      </c>
      <c r="H501" s="1" t="s">
        <v>1186</v>
      </c>
      <c r="I501" s="2"/>
      <c r="K501">
        <v>5.6</v>
      </c>
      <c r="L501" s="1" t="s">
        <v>29</v>
      </c>
      <c r="M501" s="1" t="s">
        <v>35</v>
      </c>
    </row>
    <row r="502" spans="1:13" x14ac:dyDescent="0.25">
      <c r="A502" s="1" t="s">
        <v>1187</v>
      </c>
      <c r="B502" s="1" t="s">
        <v>104</v>
      </c>
      <c r="C502" s="1" t="s">
        <v>113</v>
      </c>
      <c r="D502" s="1" t="s">
        <v>25</v>
      </c>
      <c r="E502" s="1" t="s">
        <v>47</v>
      </c>
      <c r="F502" s="1" t="s">
        <v>129</v>
      </c>
      <c r="G502">
        <v>1219562</v>
      </c>
      <c r="H502" s="1" t="s">
        <v>1188</v>
      </c>
      <c r="I502" s="2"/>
      <c r="K502">
        <v>5.7</v>
      </c>
      <c r="L502" s="1" t="s">
        <v>20</v>
      </c>
      <c r="M502" s="1" t="s">
        <v>30</v>
      </c>
    </row>
    <row r="503" spans="1:13" x14ac:dyDescent="0.25">
      <c r="A503" s="1" t="s">
        <v>1189</v>
      </c>
      <c r="B503" s="1" t="s">
        <v>104</v>
      </c>
      <c r="C503" s="1" t="s">
        <v>944</v>
      </c>
      <c r="D503" s="1" t="s">
        <v>25</v>
      </c>
      <c r="E503" s="1" t="s">
        <v>26</v>
      </c>
      <c r="F503" s="1" t="s">
        <v>27</v>
      </c>
      <c r="G503">
        <v>411651</v>
      </c>
      <c r="H503" s="1" t="s">
        <v>385</v>
      </c>
      <c r="I503" s="2"/>
      <c r="K503">
        <v>11.8</v>
      </c>
      <c r="L503" s="1" t="s">
        <v>49</v>
      </c>
      <c r="M503" s="1" t="s">
        <v>102</v>
      </c>
    </row>
    <row r="504" spans="1:13" x14ac:dyDescent="0.25">
      <c r="A504" s="1" t="s">
        <v>1190</v>
      </c>
      <c r="B504" s="1" t="s">
        <v>80</v>
      </c>
      <c r="C504" s="1" t="s">
        <v>1191</v>
      </c>
      <c r="D504" s="1" t="s">
        <v>46</v>
      </c>
      <c r="E504" s="1" t="s">
        <v>61</v>
      </c>
      <c r="F504" s="1" t="s">
        <v>33</v>
      </c>
      <c r="G504">
        <v>125218</v>
      </c>
      <c r="H504" s="1" t="s">
        <v>1192</v>
      </c>
      <c r="I504" s="2"/>
      <c r="L504" s="1" t="s">
        <v>20</v>
      </c>
      <c r="M504" s="1" t="s">
        <v>42</v>
      </c>
    </row>
    <row r="505" spans="1:13" x14ac:dyDescent="0.25">
      <c r="A505" s="1" t="s">
        <v>1193</v>
      </c>
      <c r="B505" s="1" t="s">
        <v>98</v>
      </c>
      <c r="C505" s="1" t="s">
        <v>898</v>
      </c>
      <c r="D505" s="1" t="s">
        <v>67</v>
      </c>
      <c r="E505" s="1" t="s">
        <v>100</v>
      </c>
      <c r="F505" s="1" t="s">
        <v>129</v>
      </c>
      <c r="G505">
        <v>366848</v>
      </c>
      <c r="H505" s="1" t="s">
        <v>1194</v>
      </c>
      <c r="I505" s="2"/>
      <c r="L505" s="1" t="s">
        <v>29</v>
      </c>
      <c r="M505" s="1" t="s">
        <v>30</v>
      </c>
    </row>
    <row r="506" spans="1:13" x14ac:dyDescent="0.25">
      <c r="A506" s="1" t="s">
        <v>1195</v>
      </c>
      <c r="B506" s="1" t="s">
        <v>88</v>
      </c>
      <c r="C506" s="1" t="s">
        <v>513</v>
      </c>
      <c r="D506" s="1" t="s">
        <v>67</v>
      </c>
      <c r="E506" s="1" t="s">
        <v>100</v>
      </c>
      <c r="F506" s="1" t="s">
        <v>33</v>
      </c>
      <c r="G506">
        <v>278729</v>
      </c>
      <c r="H506" s="1" t="s">
        <v>1196</v>
      </c>
      <c r="I506" s="2"/>
      <c r="K506">
        <v>14</v>
      </c>
      <c r="L506" s="1" t="s">
        <v>20</v>
      </c>
      <c r="M506" s="1" t="s">
        <v>35</v>
      </c>
    </row>
    <row r="507" spans="1:13" x14ac:dyDescent="0.25">
      <c r="A507" s="1" t="s">
        <v>1197</v>
      </c>
      <c r="B507" s="1" t="s">
        <v>44</v>
      </c>
      <c r="C507" s="1" t="s">
        <v>831</v>
      </c>
      <c r="D507" s="1" t="s">
        <v>39</v>
      </c>
      <c r="E507" s="1" t="s">
        <v>17</v>
      </c>
      <c r="F507" s="1" t="s">
        <v>40</v>
      </c>
      <c r="G507">
        <v>1419979</v>
      </c>
      <c r="H507" s="1" t="s">
        <v>1115</v>
      </c>
      <c r="I507" s="2">
        <v>45241</v>
      </c>
      <c r="J507">
        <v>132</v>
      </c>
      <c r="K507">
        <v>18</v>
      </c>
      <c r="L507" s="1" t="s">
        <v>96</v>
      </c>
      <c r="M507" s="1" t="s">
        <v>102</v>
      </c>
    </row>
    <row r="508" spans="1:13" x14ac:dyDescent="0.25">
      <c r="A508" s="1" t="s">
        <v>1198</v>
      </c>
      <c r="B508" s="1" t="s">
        <v>75</v>
      </c>
      <c r="C508" s="1" t="s">
        <v>180</v>
      </c>
      <c r="D508" s="1" t="s">
        <v>39</v>
      </c>
      <c r="E508" s="1" t="s">
        <v>72</v>
      </c>
      <c r="F508" s="1" t="s">
        <v>53</v>
      </c>
      <c r="G508">
        <v>49327</v>
      </c>
      <c r="H508" s="1" t="s">
        <v>1199</v>
      </c>
      <c r="I508" s="2"/>
      <c r="K508">
        <v>9.8000000000000007</v>
      </c>
      <c r="L508" s="1" t="s">
        <v>96</v>
      </c>
      <c r="M508" s="1" t="s">
        <v>69</v>
      </c>
    </row>
    <row r="509" spans="1:13" x14ac:dyDescent="0.25">
      <c r="A509" s="1" t="s">
        <v>1200</v>
      </c>
      <c r="B509" s="1" t="s">
        <v>75</v>
      </c>
      <c r="C509" s="1" t="s">
        <v>596</v>
      </c>
      <c r="D509" s="1" t="s">
        <v>39</v>
      </c>
      <c r="E509" s="1" t="s">
        <v>47</v>
      </c>
      <c r="F509" s="1" t="s">
        <v>53</v>
      </c>
      <c r="G509">
        <v>433821</v>
      </c>
      <c r="H509" s="1" t="s">
        <v>1201</v>
      </c>
      <c r="I509" s="2"/>
      <c r="K509">
        <v>0.1</v>
      </c>
      <c r="L509" s="1" t="s">
        <v>20</v>
      </c>
      <c r="M509" s="1" t="s">
        <v>69</v>
      </c>
    </row>
    <row r="510" spans="1:13" x14ac:dyDescent="0.25">
      <c r="A510" s="1" t="s">
        <v>1202</v>
      </c>
      <c r="B510" s="1" t="s">
        <v>23</v>
      </c>
      <c r="C510" s="1" t="s">
        <v>1021</v>
      </c>
      <c r="D510" s="1" t="s">
        <v>16</v>
      </c>
      <c r="E510" s="1" t="s">
        <v>100</v>
      </c>
      <c r="F510" s="1" t="s">
        <v>40</v>
      </c>
      <c r="G510">
        <v>145086</v>
      </c>
      <c r="H510" s="1" t="s">
        <v>163</v>
      </c>
      <c r="I510" s="2">
        <v>45563</v>
      </c>
      <c r="J510">
        <v>64</v>
      </c>
      <c r="K510">
        <v>19.100000000000001</v>
      </c>
      <c r="L510" s="1" t="s">
        <v>20</v>
      </c>
      <c r="M510" s="1" t="s">
        <v>149</v>
      </c>
    </row>
    <row r="511" spans="1:13" x14ac:dyDescent="0.25">
      <c r="A511" s="1" t="s">
        <v>1203</v>
      </c>
      <c r="B511" s="1" t="s">
        <v>51</v>
      </c>
      <c r="C511" s="1" t="s">
        <v>1204</v>
      </c>
      <c r="D511" s="1" t="s">
        <v>90</v>
      </c>
      <c r="E511" s="1" t="s">
        <v>47</v>
      </c>
      <c r="F511" s="1" t="s">
        <v>33</v>
      </c>
      <c r="G511">
        <v>346869</v>
      </c>
      <c r="H511" s="1" t="s">
        <v>960</v>
      </c>
      <c r="I511" s="2"/>
      <c r="L511" s="1" t="s">
        <v>49</v>
      </c>
      <c r="M511" s="1" t="s">
        <v>35</v>
      </c>
    </row>
    <row r="512" spans="1:13" x14ac:dyDescent="0.25">
      <c r="A512" s="1" t="s">
        <v>1205</v>
      </c>
      <c r="B512" s="1" t="s">
        <v>109</v>
      </c>
      <c r="C512" s="1" t="s">
        <v>818</v>
      </c>
      <c r="D512" s="1" t="s">
        <v>90</v>
      </c>
      <c r="E512" s="1" t="s">
        <v>47</v>
      </c>
      <c r="F512" s="1" t="s">
        <v>33</v>
      </c>
      <c r="G512">
        <v>369019</v>
      </c>
      <c r="H512" s="1" t="s">
        <v>1206</v>
      </c>
      <c r="I512" s="2"/>
      <c r="L512" s="1" t="s">
        <v>96</v>
      </c>
      <c r="M512" s="1" t="s">
        <v>35</v>
      </c>
    </row>
    <row r="513" spans="1:13" x14ac:dyDescent="0.25">
      <c r="A513" s="1" t="s">
        <v>1207</v>
      </c>
      <c r="B513" s="1" t="s">
        <v>88</v>
      </c>
      <c r="C513" s="1" t="s">
        <v>679</v>
      </c>
      <c r="D513" s="1" t="s">
        <v>25</v>
      </c>
      <c r="E513" s="1" t="s">
        <v>94</v>
      </c>
      <c r="F513" s="1" t="s">
        <v>53</v>
      </c>
      <c r="G513">
        <v>169774</v>
      </c>
      <c r="H513" s="1" t="s">
        <v>1208</v>
      </c>
      <c r="I513" s="2"/>
      <c r="K513">
        <v>4.0999999999999996</v>
      </c>
      <c r="L513" s="1" t="s">
        <v>29</v>
      </c>
      <c r="M513" s="1" t="s">
        <v>63</v>
      </c>
    </row>
    <row r="514" spans="1:13" x14ac:dyDescent="0.25">
      <c r="A514" s="1" t="s">
        <v>1209</v>
      </c>
      <c r="B514" s="1" t="s">
        <v>84</v>
      </c>
      <c r="C514" s="1" t="s">
        <v>160</v>
      </c>
      <c r="D514" s="1" t="s">
        <v>67</v>
      </c>
      <c r="E514" s="1" t="s">
        <v>77</v>
      </c>
      <c r="F514" s="1" t="s">
        <v>53</v>
      </c>
      <c r="G514">
        <v>270263</v>
      </c>
      <c r="H514" s="1" t="s">
        <v>1210</v>
      </c>
      <c r="I514" s="2"/>
      <c r="K514">
        <v>7.2</v>
      </c>
      <c r="L514" s="1" t="s">
        <v>49</v>
      </c>
      <c r="M514" s="1" t="s">
        <v>35</v>
      </c>
    </row>
    <row r="515" spans="1:13" x14ac:dyDescent="0.25">
      <c r="A515" s="1" t="s">
        <v>1211</v>
      </c>
      <c r="B515" s="1" t="s">
        <v>65</v>
      </c>
      <c r="C515" s="1" t="s">
        <v>247</v>
      </c>
      <c r="D515" s="1" t="s">
        <v>25</v>
      </c>
      <c r="E515" s="1" t="s">
        <v>61</v>
      </c>
      <c r="F515" s="1" t="s">
        <v>33</v>
      </c>
      <c r="G515">
        <v>230399</v>
      </c>
      <c r="H515" s="1" t="s">
        <v>1212</v>
      </c>
      <c r="I515" s="2"/>
      <c r="L515" s="1" t="s">
        <v>20</v>
      </c>
      <c r="M515" s="1" t="s">
        <v>102</v>
      </c>
    </row>
    <row r="516" spans="1:13" x14ac:dyDescent="0.25">
      <c r="A516" s="1" t="s">
        <v>1213</v>
      </c>
      <c r="B516" s="1" t="s">
        <v>88</v>
      </c>
      <c r="C516" s="1" t="s">
        <v>343</v>
      </c>
      <c r="D516" s="1" t="s">
        <v>25</v>
      </c>
      <c r="E516" s="1" t="s">
        <v>77</v>
      </c>
      <c r="F516" s="1" t="s">
        <v>33</v>
      </c>
      <c r="G516">
        <v>345184</v>
      </c>
      <c r="H516" s="1" t="s">
        <v>1214</v>
      </c>
      <c r="I516" s="2"/>
      <c r="K516">
        <v>8.6999999999999993</v>
      </c>
      <c r="L516" s="1" t="s">
        <v>49</v>
      </c>
      <c r="M516" s="1" t="s">
        <v>30</v>
      </c>
    </row>
    <row r="517" spans="1:13" x14ac:dyDescent="0.25">
      <c r="A517" s="1" t="s">
        <v>1215</v>
      </c>
      <c r="B517" s="1" t="s">
        <v>173</v>
      </c>
      <c r="C517" s="1" t="s">
        <v>859</v>
      </c>
      <c r="D517" s="1" t="s">
        <v>25</v>
      </c>
      <c r="E517" s="1" t="s">
        <v>94</v>
      </c>
      <c r="F517" s="1" t="s">
        <v>33</v>
      </c>
      <c r="G517">
        <v>399857</v>
      </c>
      <c r="H517" s="1" t="s">
        <v>1216</v>
      </c>
      <c r="I517" s="2"/>
      <c r="L517" s="1" t="s">
        <v>49</v>
      </c>
      <c r="M517" s="1" t="s">
        <v>63</v>
      </c>
    </row>
    <row r="518" spans="1:13" x14ac:dyDescent="0.25">
      <c r="A518" s="1" t="s">
        <v>1217</v>
      </c>
      <c r="B518" s="1" t="s">
        <v>127</v>
      </c>
      <c r="C518" s="1" t="s">
        <v>442</v>
      </c>
      <c r="D518" s="1" t="s">
        <v>16</v>
      </c>
      <c r="E518" s="1" t="s">
        <v>61</v>
      </c>
      <c r="F518" s="1" t="s">
        <v>27</v>
      </c>
      <c r="G518">
        <v>143147</v>
      </c>
      <c r="H518" s="1" t="s">
        <v>1218</v>
      </c>
      <c r="I518" s="2"/>
      <c r="K518">
        <v>7.3</v>
      </c>
      <c r="L518" s="1" t="s">
        <v>20</v>
      </c>
      <c r="M518" s="1" t="s">
        <v>149</v>
      </c>
    </row>
    <row r="519" spans="1:13" x14ac:dyDescent="0.25">
      <c r="A519" s="1" t="s">
        <v>1219</v>
      </c>
      <c r="B519" s="1" t="s">
        <v>75</v>
      </c>
      <c r="C519" s="1" t="s">
        <v>1009</v>
      </c>
      <c r="D519" s="1" t="s">
        <v>39</v>
      </c>
      <c r="E519" s="1" t="s">
        <v>72</v>
      </c>
      <c r="F519" s="1" t="s">
        <v>53</v>
      </c>
      <c r="G519">
        <v>454108</v>
      </c>
      <c r="H519" s="1" t="s">
        <v>1220</v>
      </c>
      <c r="I519" s="2"/>
      <c r="L519" s="1" t="s">
        <v>29</v>
      </c>
      <c r="M519" s="1" t="s">
        <v>149</v>
      </c>
    </row>
    <row r="520" spans="1:13" x14ac:dyDescent="0.25">
      <c r="A520" s="1" t="s">
        <v>1221</v>
      </c>
      <c r="B520" s="1" t="s">
        <v>104</v>
      </c>
      <c r="C520" s="1" t="s">
        <v>454</v>
      </c>
      <c r="D520" s="1" t="s">
        <v>16</v>
      </c>
      <c r="E520" s="1" t="s">
        <v>17</v>
      </c>
      <c r="F520" s="1" t="s">
        <v>33</v>
      </c>
      <c r="G520">
        <v>135907</v>
      </c>
      <c r="H520" s="1" t="s">
        <v>559</v>
      </c>
      <c r="I520" s="2"/>
      <c r="K520">
        <v>9.9</v>
      </c>
      <c r="L520" s="1" t="s">
        <v>20</v>
      </c>
      <c r="M520" s="1" t="s">
        <v>69</v>
      </c>
    </row>
    <row r="521" spans="1:13" x14ac:dyDescent="0.25">
      <c r="A521" s="1" t="s">
        <v>1222</v>
      </c>
      <c r="B521" s="1" t="s">
        <v>65</v>
      </c>
      <c r="C521" s="1" t="s">
        <v>539</v>
      </c>
      <c r="D521" s="1" t="s">
        <v>25</v>
      </c>
      <c r="E521" s="1" t="s">
        <v>72</v>
      </c>
      <c r="F521" s="1" t="s">
        <v>40</v>
      </c>
      <c r="G521">
        <v>393004</v>
      </c>
      <c r="H521" s="1" t="s">
        <v>296</v>
      </c>
      <c r="I521" s="2">
        <v>45723</v>
      </c>
      <c r="J521">
        <v>178</v>
      </c>
      <c r="K521">
        <v>22.1</v>
      </c>
      <c r="L521" s="1" t="s">
        <v>29</v>
      </c>
      <c r="M521" s="1" t="s">
        <v>149</v>
      </c>
    </row>
    <row r="522" spans="1:13" x14ac:dyDescent="0.25">
      <c r="A522" s="1" t="s">
        <v>1223</v>
      </c>
      <c r="B522" s="1" t="s">
        <v>44</v>
      </c>
      <c r="C522" s="1" t="s">
        <v>699</v>
      </c>
      <c r="D522" s="1" t="s">
        <v>90</v>
      </c>
      <c r="E522" s="1" t="s">
        <v>94</v>
      </c>
      <c r="F522" s="1" t="s">
        <v>53</v>
      </c>
      <c r="G522">
        <v>105642</v>
      </c>
      <c r="H522" s="1" t="s">
        <v>203</v>
      </c>
      <c r="I522" s="2"/>
      <c r="K522">
        <v>11.2</v>
      </c>
      <c r="L522" s="1" t="s">
        <v>49</v>
      </c>
      <c r="M522" s="1" t="s">
        <v>30</v>
      </c>
    </row>
    <row r="523" spans="1:13" x14ac:dyDescent="0.25">
      <c r="A523" s="1" t="s">
        <v>1224</v>
      </c>
      <c r="B523" s="1" t="s">
        <v>14</v>
      </c>
      <c r="C523" s="1" t="s">
        <v>1225</v>
      </c>
      <c r="D523" s="1" t="s">
        <v>39</v>
      </c>
      <c r="E523" s="1" t="s">
        <v>17</v>
      </c>
      <c r="F523" s="1" t="s">
        <v>18</v>
      </c>
      <c r="G523">
        <v>207023</v>
      </c>
      <c r="H523" s="1" t="s">
        <v>1226</v>
      </c>
      <c r="I523" s="2">
        <v>45460</v>
      </c>
      <c r="J523">
        <v>22</v>
      </c>
      <c r="L523" s="1" t="s">
        <v>49</v>
      </c>
      <c r="M523" s="1" t="s">
        <v>107</v>
      </c>
    </row>
    <row r="524" spans="1:13" x14ac:dyDescent="0.25">
      <c r="A524" s="1" t="s">
        <v>1227</v>
      </c>
      <c r="B524" s="1" t="s">
        <v>109</v>
      </c>
      <c r="C524" s="1" t="s">
        <v>544</v>
      </c>
      <c r="D524" s="1" t="s">
        <v>90</v>
      </c>
      <c r="E524" s="1" t="s">
        <v>100</v>
      </c>
      <c r="F524" s="1" t="s">
        <v>40</v>
      </c>
      <c r="G524">
        <v>214988</v>
      </c>
      <c r="H524" s="1" t="s">
        <v>1228</v>
      </c>
      <c r="I524" s="2">
        <v>45092</v>
      </c>
      <c r="J524">
        <v>85</v>
      </c>
      <c r="K524">
        <v>15.3</v>
      </c>
      <c r="L524" s="1" t="s">
        <v>96</v>
      </c>
      <c r="M524" s="1" t="s">
        <v>35</v>
      </c>
    </row>
    <row r="525" spans="1:13" x14ac:dyDescent="0.25">
      <c r="A525" s="1" t="s">
        <v>1229</v>
      </c>
      <c r="B525" s="1" t="s">
        <v>98</v>
      </c>
      <c r="C525" s="1" t="s">
        <v>1077</v>
      </c>
      <c r="D525" s="1" t="s">
        <v>39</v>
      </c>
      <c r="E525" s="1" t="s">
        <v>72</v>
      </c>
      <c r="F525" s="1" t="s">
        <v>33</v>
      </c>
      <c r="G525">
        <v>298438</v>
      </c>
      <c r="H525" s="1" t="s">
        <v>1230</v>
      </c>
      <c r="I525" s="2"/>
      <c r="K525">
        <v>9.6</v>
      </c>
      <c r="L525" s="1" t="s">
        <v>29</v>
      </c>
      <c r="M525" s="1" t="s">
        <v>107</v>
      </c>
    </row>
    <row r="526" spans="1:13" x14ac:dyDescent="0.25">
      <c r="A526" s="1" t="s">
        <v>1231</v>
      </c>
      <c r="B526" s="1" t="s">
        <v>173</v>
      </c>
      <c r="C526" s="1" t="s">
        <v>696</v>
      </c>
      <c r="D526" s="1" t="s">
        <v>90</v>
      </c>
      <c r="E526" s="1" t="s">
        <v>72</v>
      </c>
      <c r="F526" s="1" t="s">
        <v>18</v>
      </c>
      <c r="G526">
        <v>477342</v>
      </c>
      <c r="H526" s="1" t="s">
        <v>271</v>
      </c>
      <c r="I526" s="2">
        <v>45404</v>
      </c>
      <c r="J526">
        <v>34</v>
      </c>
      <c r="K526">
        <v>9.5</v>
      </c>
      <c r="L526" s="1" t="s">
        <v>49</v>
      </c>
      <c r="M526" s="1" t="s">
        <v>69</v>
      </c>
    </row>
    <row r="527" spans="1:13" x14ac:dyDescent="0.25">
      <c r="A527" s="1" t="s">
        <v>1232</v>
      </c>
      <c r="B527" s="1" t="s">
        <v>37</v>
      </c>
      <c r="C527" s="1" t="s">
        <v>138</v>
      </c>
      <c r="D527" s="1" t="s">
        <v>90</v>
      </c>
      <c r="E527" s="1" t="s">
        <v>100</v>
      </c>
      <c r="F527" s="1" t="s">
        <v>53</v>
      </c>
      <c r="G527">
        <v>374780</v>
      </c>
      <c r="H527" s="1" t="s">
        <v>1233</v>
      </c>
      <c r="I527" s="2"/>
      <c r="L527" s="1" t="s">
        <v>49</v>
      </c>
      <c r="M527" s="1" t="s">
        <v>69</v>
      </c>
    </row>
    <row r="528" spans="1:13" x14ac:dyDescent="0.25">
      <c r="A528" s="1" t="s">
        <v>1234</v>
      </c>
      <c r="B528" s="1" t="s">
        <v>104</v>
      </c>
      <c r="C528" s="1" t="s">
        <v>1235</v>
      </c>
      <c r="D528" s="1" t="s">
        <v>39</v>
      </c>
      <c r="E528" s="1" t="s">
        <v>47</v>
      </c>
      <c r="F528" s="1" t="s">
        <v>40</v>
      </c>
      <c r="G528">
        <v>203201</v>
      </c>
      <c r="H528" s="1" t="s">
        <v>491</v>
      </c>
      <c r="I528" s="2">
        <v>45352</v>
      </c>
      <c r="J528">
        <v>124</v>
      </c>
      <c r="K528">
        <v>1.8</v>
      </c>
      <c r="L528" s="1" t="s">
        <v>96</v>
      </c>
      <c r="M528" s="1" t="s">
        <v>21</v>
      </c>
    </row>
    <row r="529" spans="1:13" x14ac:dyDescent="0.25">
      <c r="A529" s="1" t="s">
        <v>1236</v>
      </c>
      <c r="B529" s="1" t="s">
        <v>104</v>
      </c>
      <c r="C529" s="1" t="s">
        <v>790</v>
      </c>
      <c r="D529" s="1" t="s">
        <v>46</v>
      </c>
      <c r="E529" s="1" t="s">
        <v>47</v>
      </c>
      <c r="F529" s="1" t="s">
        <v>40</v>
      </c>
      <c r="G529">
        <v>363868</v>
      </c>
      <c r="H529" s="1" t="s">
        <v>742</v>
      </c>
      <c r="I529" s="2">
        <v>45499</v>
      </c>
      <c r="J529">
        <v>101</v>
      </c>
      <c r="K529">
        <v>24.1</v>
      </c>
      <c r="L529" s="1" t="s">
        <v>20</v>
      </c>
      <c r="M529" s="1" t="s">
        <v>107</v>
      </c>
    </row>
    <row r="530" spans="1:13" x14ac:dyDescent="0.25">
      <c r="A530" s="1" t="s">
        <v>1237</v>
      </c>
      <c r="B530" s="1" t="s">
        <v>80</v>
      </c>
      <c r="C530" s="1" t="s">
        <v>693</v>
      </c>
      <c r="D530" s="1" t="s">
        <v>16</v>
      </c>
      <c r="E530" s="1" t="s">
        <v>51</v>
      </c>
      <c r="F530" s="1" t="s">
        <v>129</v>
      </c>
      <c r="G530">
        <v>101757</v>
      </c>
      <c r="H530" s="1" t="s">
        <v>1238</v>
      </c>
      <c r="I530" s="2"/>
      <c r="L530" s="1" t="s">
        <v>96</v>
      </c>
      <c r="M530" s="1" t="s">
        <v>63</v>
      </c>
    </row>
    <row r="531" spans="1:13" x14ac:dyDescent="0.25">
      <c r="A531" s="1" t="s">
        <v>1239</v>
      </c>
      <c r="B531" s="1" t="s">
        <v>88</v>
      </c>
      <c r="C531" s="1" t="s">
        <v>105</v>
      </c>
      <c r="D531" s="1" t="s">
        <v>25</v>
      </c>
      <c r="E531" s="1" t="s">
        <v>72</v>
      </c>
      <c r="F531" s="1" t="s">
        <v>40</v>
      </c>
      <c r="G531">
        <v>155313</v>
      </c>
      <c r="H531" s="1" t="s">
        <v>1240</v>
      </c>
      <c r="I531" s="2">
        <v>45617</v>
      </c>
      <c r="J531">
        <v>34</v>
      </c>
      <c r="K531">
        <v>0.8</v>
      </c>
      <c r="L531" s="1" t="s">
        <v>20</v>
      </c>
      <c r="M531" s="1" t="s">
        <v>42</v>
      </c>
    </row>
    <row r="532" spans="1:13" x14ac:dyDescent="0.25">
      <c r="A532" s="1" t="s">
        <v>1241</v>
      </c>
      <c r="B532" s="1" t="s">
        <v>44</v>
      </c>
      <c r="C532" s="1" t="s">
        <v>574</v>
      </c>
      <c r="D532" s="1" t="s">
        <v>67</v>
      </c>
      <c r="E532" s="1" t="s">
        <v>17</v>
      </c>
      <c r="F532" s="1" t="s">
        <v>53</v>
      </c>
      <c r="G532">
        <v>258377</v>
      </c>
      <c r="H532" s="1" t="s">
        <v>304</v>
      </c>
      <c r="I532" s="2"/>
      <c r="L532" s="1" t="s">
        <v>96</v>
      </c>
      <c r="M532" s="1" t="s">
        <v>107</v>
      </c>
    </row>
    <row r="533" spans="1:13" x14ac:dyDescent="0.25">
      <c r="A533" s="1" t="s">
        <v>1242</v>
      </c>
      <c r="B533" s="1" t="s">
        <v>109</v>
      </c>
      <c r="C533" s="1" t="s">
        <v>590</v>
      </c>
      <c r="D533" s="1" t="s">
        <v>25</v>
      </c>
      <c r="E533" s="1" t="s">
        <v>77</v>
      </c>
      <c r="F533" s="1" t="s">
        <v>18</v>
      </c>
      <c r="G533">
        <v>129316</v>
      </c>
      <c r="H533" s="1" t="s">
        <v>829</v>
      </c>
      <c r="I533" s="2">
        <v>45762</v>
      </c>
      <c r="J533">
        <v>68</v>
      </c>
      <c r="K533">
        <v>7.7</v>
      </c>
      <c r="L533" s="1" t="s">
        <v>20</v>
      </c>
      <c r="M533" s="1" t="s">
        <v>63</v>
      </c>
    </row>
    <row r="534" spans="1:13" x14ac:dyDescent="0.25">
      <c r="A534" s="1" t="s">
        <v>1243</v>
      </c>
      <c r="B534" s="1" t="s">
        <v>127</v>
      </c>
      <c r="C534" s="1" t="s">
        <v>644</v>
      </c>
      <c r="D534" s="1" t="s">
        <v>39</v>
      </c>
      <c r="E534" s="1" t="s">
        <v>77</v>
      </c>
      <c r="F534" s="1" t="s">
        <v>18</v>
      </c>
      <c r="G534">
        <v>481825</v>
      </c>
      <c r="H534" s="1" t="s">
        <v>1244</v>
      </c>
      <c r="I534" s="2">
        <v>45580</v>
      </c>
      <c r="J534">
        <v>50</v>
      </c>
      <c r="K534">
        <v>12.5</v>
      </c>
      <c r="L534" s="1" t="s">
        <v>29</v>
      </c>
      <c r="M534" s="1" t="s">
        <v>149</v>
      </c>
    </row>
    <row r="535" spans="1:13" x14ac:dyDescent="0.25">
      <c r="A535" s="1" t="s">
        <v>1245</v>
      </c>
      <c r="B535" s="1" t="s">
        <v>109</v>
      </c>
      <c r="C535" s="1" t="s">
        <v>1178</v>
      </c>
      <c r="D535" s="1" t="s">
        <v>16</v>
      </c>
      <c r="E535" s="1" t="s">
        <v>100</v>
      </c>
      <c r="F535" s="1" t="s">
        <v>40</v>
      </c>
      <c r="G535">
        <v>175025</v>
      </c>
      <c r="H535" s="1" t="s">
        <v>1246</v>
      </c>
      <c r="I535" s="2">
        <v>45433</v>
      </c>
      <c r="J535">
        <v>160</v>
      </c>
      <c r="K535">
        <v>10.3</v>
      </c>
      <c r="L535" s="1" t="s">
        <v>20</v>
      </c>
      <c r="M535" s="1" t="s">
        <v>21</v>
      </c>
    </row>
    <row r="536" spans="1:13" x14ac:dyDescent="0.25">
      <c r="A536" s="1" t="s">
        <v>1030</v>
      </c>
      <c r="B536" s="1" t="s">
        <v>59</v>
      </c>
      <c r="C536" s="1" t="s">
        <v>195</v>
      </c>
      <c r="D536" s="1" t="s">
        <v>16</v>
      </c>
      <c r="E536" s="1" t="s">
        <v>72</v>
      </c>
      <c r="F536" s="1" t="s">
        <v>129</v>
      </c>
      <c r="G536">
        <v>340759</v>
      </c>
      <c r="H536" s="1" t="s">
        <v>399</v>
      </c>
      <c r="I536" s="2"/>
      <c r="K536">
        <v>13.9</v>
      </c>
      <c r="L536" s="1" t="s">
        <v>29</v>
      </c>
      <c r="M536" s="1" t="s">
        <v>42</v>
      </c>
    </row>
    <row r="537" spans="1:13" x14ac:dyDescent="0.25">
      <c r="A537" s="1" t="s">
        <v>1247</v>
      </c>
      <c r="B537" s="1" t="s">
        <v>109</v>
      </c>
      <c r="C537" s="1" t="s">
        <v>1248</v>
      </c>
      <c r="D537" s="1" t="s">
        <v>67</v>
      </c>
      <c r="E537" s="1" t="s">
        <v>26</v>
      </c>
      <c r="F537" s="1" t="s">
        <v>33</v>
      </c>
      <c r="G537">
        <v>203697</v>
      </c>
      <c r="H537" s="1" t="s">
        <v>493</v>
      </c>
      <c r="I537" s="2"/>
      <c r="L537" s="1" t="s">
        <v>96</v>
      </c>
      <c r="M537" s="1" t="s">
        <v>21</v>
      </c>
    </row>
    <row r="538" spans="1:13" x14ac:dyDescent="0.25">
      <c r="A538" s="1" t="s">
        <v>1249</v>
      </c>
      <c r="B538" s="1" t="s">
        <v>37</v>
      </c>
      <c r="C538" s="1" t="s">
        <v>195</v>
      </c>
      <c r="D538" s="1" t="s">
        <v>90</v>
      </c>
      <c r="E538" s="1" t="s">
        <v>94</v>
      </c>
      <c r="F538" s="1" t="s">
        <v>40</v>
      </c>
      <c r="G538">
        <v>299691</v>
      </c>
      <c r="H538" s="1" t="s">
        <v>1250</v>
      </c>
      <c r="I538" s="2">
        <v>45702</v>
      </c>
      <c r="J538">
        <v>135</v>
      </c>
      <c r="K538">
        <v>5.2</v>
      </c>
      <c r="L538" s="1" t="s">
        <v>20</v>
      </c>
      <c r="M538" s="1" t="s">
        <v>42</v>
      </c>
    </row>
    <row r="539" spans="1:13" x14ac:dyDescent="0.25">
      <c r="A539" s="1" t="s">
        <v>1251</v>
      </c>
      <c r="B539" s="1" t="s">
        <v>84</v>
      </c>
      <c r="C539" s="1" t="s">
        <v>321</v>
      </c>
      <c r="D539" s="1" t="s">
        <v>67</v>
      </c>
      <c r="E539" s="1" t="s">
        <v>26</v>
      </c>
      <c r="F539" s="1" t="s">
        <v>33</v>
      </c>
      <c r="G539">
        <v>292190</v>
      </c>
      <c r="H539" s="1" t="s">
        <v>1252</v>
      </c>
      <c r="I539" s="2"/>
      <c r="K539">
        <v>4.7</v>
      </c>
      <c r="L539" s="1" t="s">
        <v>96</v>
      </c>
      <c r="M539" s="1" t="s">
        <v>102</v>
      </c>
    </row>
    <row r="540" spans="1:13" x14ac:dyDescent="0.25">
      <c r="A540" s="1" t="s">
        <v>1253</v>
      </c>
      <c r="B540" s="1" t="s">
        <v>51</v>
      </c>
      <c r="C540" s="1" t="s">
        <v>917</v>
      </c>
      <c r="D540" s="1" t="s">
        <v>39</v>
      </c>
      <c r="E540" s="1" t="s">
        <v>72</v>
      </c>
      <c r="F540" s="1" t="s">
        <v>53</v>
      </c>
      <c r="G540">
        <v>214153</v>
      </c>
      <c r="H540" s="1" t="s">
        <v>416</v>
      </c>
      <c r="I540" s="2"/>
      <c r="L540" s="1" t="s">
        <v>29</v>
      </c>
      <c r="M540" s="1" t="s">
        <v>102</v>
      </c>
    </row>
    <row r="541" spans="1:13" x14ac:dyDescent="0.25">
      <c r="A541" s="1" t="s">
        <v>1254</v>
      </c>
      <c r="B541" s="1" t="s">
        <v>88</v>
      </c>
      <c r="C541" s="1" t="s">
        <v>944</v>
      </c>
      <c r="D541" s="1" t="s">
        <v>25</v>
      </c>
      <c r="E541" s="1" t="s">
        <v>100</v>
      </c>
      <c r="F541" s="1" t="s">
        <v>40</v>
      </c>
      <c r="G541">
        <v>238505</v>
      </c>
      <c r="H541" s="1" t="s">
        <v>158</v>
      </c>
      <c r="I541" s="2">
        <v>45588</v>
      </c>
      <c r="J541">
        <v>146</v>
      </c>
      <c r="K541">
        <v>9.8000000000000007</v>
      </c>
      <c r="L541" s="1" t="s">
        <v>49</v>
      </c>
      <c r="M541" s="1" t="s">
        <v>107</v>
      </c>
    </row>
    <row r="542" spans="1:13" x14ac:dyDescent="0.25">
      <c r="A542" s="1" t="s">
        <v>1255</v>
      </c>
      <c r="B542" s="1" t="s">
        <v>173</v>
      </c>
      <c r="C542" s="1" t="s">
        <v>423</v>
      </c>
      <c r="D542" s="1" t="s">
        <v>16</v>
      </c>
      <c r="E542" s="1" t="s">
        <v>72</v>
      </c>
      <c r="F542" s="1" t="s">
        <v>53</v>
      </c>
      <c r="G542">
        <v>381243</v>
      </c>
      <c r="H542" s="1" t="s">
        <v>1256</v>
      </c>
      <c r="I542" s="2"/>
      <c r="K542">
        <v>11.4</v>
      </c>
      <c r="L542" s="1" t="s">
        <v>96</v>
      </c>
      <c r="M542" s="1" t="s">
        <v>107</v>
      </c>
    </row>
    <row r="543" spans="1:13" x14ac:dyDescent="0.25">
      <c r="A543" s="1" t="s">
        <v>1257</v>
      </c>
      <c r="B543" s="1" t="s">
        <v>23</v>
      </c>
      <c r="C543" s="1" t="s">
        <v>1258</v>
      </c>
      <c r="D543" s="1" t="s">
        <v>67</v>
      </c>
      <c r="E543" s="1" t="s">
        <v>100</v>
      </c>
      <c r="F543" s="1" t="s">
        <v>33</v>
      </c>
      <c r="G543">
        <v>163902</v>
      </c>
      <c r="H543" s="1" t="s">
        <v>1259</v>
      </c>
      <c r="I543" s="2"/>
      <c r="K543">
        <v>11.1</v>
      </c>
      <c r="L543" s="1" t="s">
        <v>29</v>
      </c>
      <c r="M543" s="1" t="s">
        <v>35</v>
      </c>
    </row>
    <row r="544" spans="1:13" x14ac:dyDescent="0.25">
      <c r="A544" s="1" t="s">
        <v>1260</v>
      </c>
      <c r="B544" s="1" t="s">
        <v>104</v>
      </c>
      <c r="C544" s="1" t="s">
        <v>564</v>
      </c>
      <c r="D544" s="1" t="s">
        <v>67</v>
      </c>
      <c r="E544" s="1" t="s">
        <v>72</v>
      </c>
      <c r="F544" s="1" t="s">
        <v>40</v>
      </c>
      <c r="G544">
        <v>494893</v>
      </c>
      <c r="H544" s="1" t="s">
        <v>1261</v>
      </c>
      <c r="I544" s="2">
        <v>45110</v>
      </c>
      <c r="J544">
        <v>22</v>
      </c>
      <c r="K544">
        <v>2.9</v>
      </c>
      <c r="L544" s="1" t="s">
        <v>29</v>
      </c>
      <c r="M544" s="1" t="s">
        <v>30</v>
      </c>
    </row>
    <row r="545" spans="1:13" x14ac:dyDescent="0.25">
      <c r="A545" s="1" t="s">
        <v>1262</v>
      </c>
      <c r="B545" s="1" t="s">
        <v>75</v>
      </c>
      <c r="C545" s="1" t="s">
        <v>486</v>
      </c>
      <c r="D545" s="1" t="s">
        <v>16</v>
      </c>
      <c r="E545" s="1" t="s">
        <v>51</v>
      </c>
      <c r="F545" s="1" t="s">
        <v>18</v>
      </c>
      <c r="G545">
        <v>185137</v>
      </c>
      <c r="H545" s="1" t="s">
        <v>356</v>
      </c>
      <c r="I545" s="2">
        <v>45438</v>
      </c>
      <c r="J545">
        <v>134</v>
      </c>
      <c r="K545">
        <v>7.5</v>
      </c>
      <c r="L545" s="1" t="s">
        <v>20</v>
      </c>
      <c r="M545" s="1" t="s">
        <v>69</v>
      </c>
    </row>
    <row r="546" spans="1:13" x14ac:dyDescent="0.25">
      <c r="A546" s="1" t="s">
        <v>1263</v>
      </c>
      <c r="B546" s="1" t="s">
        <v>44</v>
      </c>
      <c r="C546" s="1" t="s">
        <v>436</v>
      </c>
      <c r="D546" s="1" t="s">
        <v>39</v>
      </c>
      <c r="E546" s="1" t="s">
        <v>100</v>
      </c>
      <c r="F546" s="1" t="s">
        <v>53</v>
      </c>
      <c r="G546">
        <v>226464</v>
      </c>
      <c r="H546" s="1" t="s">
        <v>1264</v>
      </c>
      <c r="I546" s="2"/>
      <c r="K546">
        <v>7.7</v>
      </c>
      <c r="L546" s="1" t="s">
        <v>49</v>
      </c>
      <c r="M546" s="1" t="s">
        <v>30</v>
      </c>
    </row>
    <row r="547" spans="1:13" x14ac:dyDescent="0.25">
      <c r="A547" s="1" t="s">
        <v>695</v>
      </c>
      <c r="B547" s="1" t="s">
        <v>59</v>
      </c>
      <c r="C547" s="1" t="s">
        <v>696</v>
      </c>
      <c r="D547" s="1" t="s">
        <v>39</v>
      </c>
      <c r="E547" s="1" t="s">
        <v>61</v>
      </c>
      <c r="F547" s="1" t="s">
        <v>53</v>
      </c>
      <c r="G547">
        <v>466413</v>
      </c>
      <c r="H547" s="1" t="s">
        <v>697</v>
      </c>
      <c r="I547" s="2"/>
      <c r="K547">
        <v>8.1</v>
      </c>
      <c r="L547" s="1" t="s">
        <v>96</v>
      </c>
      <c r="M547" s="1" t="s">
        <v>42</v>
      </c>
    </row>
    <row r="548" spans="1:13" x14ac:dyDescent="0.25">
      <c r="A548" s="1" t="s">
        <v>1265</v>
      </c>
      <c r="B548" s="1" t="s">
        <v>98</v>
      </c>
      <c r="C548" s="1" t="s">
        <v>442</v>
      </c>
      <c r="D548" s="1" t="s">
        <v>90</v>
      </c>
      <c r="E548" s="1" t="s">
        <v>77</v>
      </c>
      <c r="F548" s="1" t="s">
        <v>18</v>
      </c>
      <c r="G548">
        <v>485495</v>
      </c>
      <c r="H548" s="1" t="s">
        <v>1266</v>
      </c>
      <c r="I548" s="2">
        <v>45307</v>
      </c>
      <c r="J548">
        <v>45</v>
      </c>
      <c r="K548">
        <v>7</v>
      </c>
      <c r="L548" s="1" t="s">
        <v>49</v>
      </c>
      <c r="M548" s="1" t="s">
        <v>21</v>
      </c>
    </row>
    <row r="549" spans="1:13" x14ac:dyDescent="0.25">
      <c r="A549" s="1" t="s">
        <v>1267</v>
      </c>
      <c r="B549" s="1" t="s">
        <v>109</v>
      </c>
      <c r="C549" s="1" t="s">
        <v>471</v>
      </c>
      <c r="D549" s="1" t="s">
        <v>90</v>
      </c>
      <c r="E549" s="1" t="s">
        <v>17</v>
      </c>
      <c r="F549" s="1" t="s">
        <v>33</v>
      </c>
      <c r="G549">
        <v>330655</v>
      </c>
      <c r="H549" s="1" t="s">
        <v>853</v>
      </c>
      <c r="I549" s="2"/>
      <c r="K549">
        <v>9</v>
      </c>
      <c r="L549" s="1" t="s">
        <v>96</v>
      </c>
      <c r="M549" s="1" t="s">
        <v>69</v>
      </c>
    </row>
    <row r="550" spans="1:13" x14ac:dyDescent="0.25">
      <c r="A550" s="1" t="s">
        <v>1268</v>
      </c>
      <c r="B550" s="1" t="s">
        <v>59</v>
      </c>
      <c r="C550" s="1" t="s">
        <v>946</v>
      </c>
      <c r="D550" s="1" t="s">
        <v>16</v>
      </c>
      <c r="E550" s="1" t="s">
        <v>26</v>
      </c>
      <c r="F550" s="1" t="s">
        <v>33</v>
      </c>
      <c r="G550">
        <v>223268</v>
      </c>
      <c r="H550" s="1" t="s">
        <v>744</v>
      </c>
      <c r="I550" s="2"/>
      <c r="K550">
        <v>6.5</v>
      </c>
      <c r="L550" s="1" t="s">
        <v>49</v>
      </c>
      <c r="M550" s="1" t="s">
        <v>42</v>
      </c>
    </row>
    <row r="551" spans="1:13" x14ac:dyDescent="0.25">
      <c r="A551" s="1" t="s">
        <v>1269</v>
      </c>
      <c r="B551" s="1" t="s">
        <v>84</v>
      </c>
      <c r="C551" s="1" t="s">
        <v>906</v>
      </c>
      <c r="D551" s="1" t="s">
        <v>46</v>
      </c>
      <c r="E551" s="1" t="s">
        <v>94</v>
      </c>
      <c r="F551" s="1" t="s">
        <v>40</v>
      </c>
      <c r="G551">
        <v>164744</v>
      </c>
      <c r="H551" s="1" t="s">
        <v>1270</v>
      </c>
      <c r="I551" s="2">
        <v>45622</v>
      </c>
      <c r="J551">
        <v>161</v>
      </c>
      <c r="K551">
        <v>16.7</v>
      </c>
      <c r="L551" s="1" t="s">
        <v>49</v>
      </c>
      <c r="M551" s="1" t="s">
        <v>107</v>
      </c>
    </row>
    <row r="552" spans="1:13" x14ac:dyDescent="0.25">
      <c r="A552" s="1" t="s">
        <v>1271</v>
      </c>
      <c r="B552" s="1" t="s">
        <v>109</v>
      </c>
      <c r="C552" s="1" t="s">
        <v>119</v>
      </c>
      <c r="D552" s="1" t="s">
        <v>39</v>
      </c>
      <c r="E552" s="1" t="s">
        <v>100</v>
      </c>
      <c r="F552" s="1" t="s">
        <v>40</v>
      </c>
      <c r="G552">
        <v>1443027</v>
      </c>
      <c r="H552" s="1" t="s">
        <v>697</v>
      </c>
      <c r="I552" s="2">
        <v>45744</v>
      </c>
      <c r="J552">
        <v>174</v>
      </c>
      <c r="K552">
        <v>16.899999999999999</v>
      </c>
      <c r="L552" s="1" t="s">
        <v>96</v>
      </c>
      <c r="M552" s="1" t="s">
        <v>42</v>
      </c>
    </row>
    <row r="553" spans="1:13" x14ac:dyDescent="0.25">
      <c r="A553" s="1" t="s">
        <v>1272</v>
      </c>
      <c r="B553" s="1" t="s">
        <v>44</v>
      </c>
      <c r="C553" s="1" t="s">
        <v>596</v>
      </c>
      <c r="D553" s="1" t="s">
        <v>90</v>
      </c>
      <c r="E553" s="1" t="s">
        <v>72</v>
      </c>
      <c r="F553" s="1" t="s">
        <v>27</v>
      </c>
      <c r="G553">
        <v>78039</v>
      </c>
      <c r="H553" s="1" t="s">
        <v>1273</v>
      </c>
      <c r="I553" s="2"/>
      <c r="K553">
        <v>3</v>
      </c>
      <c r="L553" s="1" t="s">
        <v>96</v>
      </c>
      <c r="M553" s="1" t="s">
        <v>35</v>
      </c>
    </row>
    <row r="554" spans="1:13" x14ac:dyDescent="0.25">
      <c r="A554" s="1" t="s">
        <v>1274</v>
      </c>
      <c r="B554" s="1" t="s">
        <v>173</v>
      </c>
      <c r="C554" s="1" t="s">
        <v>620</v>
      </c>
      <c r="D554" s="1" t="s">
        <v>46</v>
      </c>
      <c r="E554" s="1" t="s">
        <v>26</v>
      </c>
      <c r="F554" s="1" t="s">
        <v>53</v>
      </c>
      <c r="G554">
        <v>71213</v>
      </c>
      <c r="H554" s="1" t="s">
        <v>268</v>
      </c>
      <c r="I554" s="2"/>
      <c r="K554">
        <v>14.5</v>
      </c>
      <c r="L554" s="1" t="s">
        <v>29</v>
      </c>
      <c r="M554" s="1" t="s">
        <v>107</v>
      </c>
    </row>
    <row r="555" spans="1:13" x14ac:dyDescent="0.25">
      <c r="A555" s="1" t="s">
        <v>1275</v>
      </c>
      <c r="B555" s="1" t="s">
        <v>98</v>
      </c>
      <c r="C555" s="1" t="s">
        <v>1153</v>
      </c>
      <c r="D555" s="1" t="s">
        <v>39</v>
      </c>
      <c r="E555" s="1" t="s">
        <v>100</v>
      </c>
      <c r="F555" s="1" t="s">
        <v>18</v>
      </c>
      <c r="G555">
        <v>289552</v>
      </c>
      <c r="H555" s="1" t="s">
        <v>1276</v>
      </c>
      <c r="I555" s="2">
        <v>45337</v>
      </c>
      <c r="J555">
        <v>19</v>
      </c>
      <c r="K555">
        <v>10.9</v>
      </c>
      <c r="L555" s="1" t="s">
        <v>96</v>
      </c>
      <c r="M555" s="1" t="s">
        <v>69</v>
      </c>
    </row>
    <row r="556" spans="1:13" x14ac:dyDescent="0.25">
      <c r="A556" s="1" t="s">
        <v>1277</v>
      </c>
      <c r="B556" s="1" t="s">
        <v>127</v>
      </c>
      <c r="C556" s="1" t="s">
        <v>1278</v>
      </c>
      <c r="D556" s="1" t="s">
        <v>16</v>
      </c>
      <c r="E556" s="1" t="s">
        <v>100</v>
      </c>
      <c r="F556" s="1" t="s">
        <v>129</v>
      </c>
      <c r="G556">
        <v>372216</v>
      </c>
      <c r="H556" s="1" t="s">
        <v>1279</v>
      </c>
      <c r="I556" s="2"/>
      <c r="K556">
        <v>10.4</v>
      </c>
      <c r="L556" s="1" t="s">
        <v>20</v>
      </c>
      <c r="M556" s="1" t="s">
        <v>30</v>
      </c>
    </row>
    <row r="557" spans="1:13" x14ac:dyDescent="0.25">
      <c r="A557" s="1" t="s">
        <v>1280</v>
      </c>
      <c r="B557" s="1" t="s">
        <v>59</v>
      </c>
      <c r="C557" s="1" t="s">
        <v>1129</v>
      </c>
      <c r="D557" s="1" t="s">
        <v>67</v>
      </c>
      <c r="E557" s="1" t="s">
        <v>100</v>
      </c>
      <c r="F557" s="1" t="s">
        <v>18</v>
      </c>
      <c r="G557">
        <v>399974</v>
      </c>
      <c r="H557" s="1" t="s">
        <v>1186</v>
      </c>
      <c r="I557" s="2">
        <v>45100</v>
      </c>
      <c r="J557">
        <v>143</v>
      </c>
      <c r="L557" s="1" t="s">
        <v>96</v>
      </c>
      <c r="M557" s="1" t="s">
        <v>35</v>
      </c>
    </row>
    <row r="558" spans="1:13" x14ac:dyDescent="0.25">
      <c r="A558" s="1" t="s">
        <v>1281</v>
      </c>
      <c r="B558" s="1" t="s">
        <v>80</v>
      </c>
      <c r="C558" s="1" t="s">
        <v>497</v>
      </c>
      <c r="D558" s="1" t="s">
        <v>46</v>
      </c>
      <c r="E558" s="1" t="s">
        <v>17</v>
      </c>
      <c r="F558" s="1" t="s">
        <v>53</v>
      </c>
      <c r="G558">
        <v>90382</v>
      </c>
      <c r="H558" s="1" t="s">
        <v>1212</v>
      </c>
      <c r="I558" s="2"/>
      <c r="L558" s="1" t="s">
        <v>49</v>
      </c>
      <c r="M558" s="1" t="s">
        <v>102</v>
      </c>
    </row>
    <row r="559" spans="1:13" x14ac:dyDescent="0.25">
      <c r="A559" s="1" t="s">
        <v>1282</v>
      </c>
      <c r="B559" s="1" t="s">
        <v>44</v>
      </c>
      <c r="C559" s="1" t="s">
        <v>1283</v>
      </c>
      <c r="D559" s="1" t="s">
        <v>25</v>
      </c>
      <c r="E559" s="1" t="s">
        <v>72</v>
      </c>
      <c r="F559" s="1" t="s">
        <v>33</v>
      </c>
      <c r="G559">
        <v>299308</v>
      </c>
      <c r="H559" s="1" t="s">
        <v>1284</v>
      </c>
      <c r="I559" s="2"/>
      <c r="L559" s="1" t="s">
        <v>49</v>
      </c>
      <c r="M559" s="1" t="s">
        <v>21</v>
      </c>
    </row>
    <row r="560" spans="1:13" x14ac:dyDescent="0.25">
      <c r="A560" s="1" t="s">
        <v>1285</v>
      </c>
      <c r="B560" s="1" t="s">
        <v>109</v>
      </c>
      <c r="C560" s="1" t="s">
        <v>676</v>
      </c>
      <c r="D560" s="1" t="s">
        <v>39</v>
      </c>
      <c r="E560" s="1" t="s">
        <v>17</v>
      </c>
      <c r="F560" s="1" t="s">
        <v>40</v>
      </c>
      <c r="G560">
        <v>151164</v>
      </c>
      <c r="H560" s="1" t="s">
        <v>1286</v>
      </c>
      <c r="I560" s="2">
        <v>45648</v>
      </c>
      <c r="J560">
        <v>162</v>
      </c>
      <c r="K560">
        <v>24.5</v>
      </c>
      <c r="L560" s="1" t="s">
        <v>20</v>
      </c>
      <c r="M560" s="1" t="s">
        <v>149</v>
      </c>
    </row>
    <row r="561" spans="1:13" x14ac:dyDescent="0.25">
      <c r="A561" s="1" t="s">
        <v>1287</v>
      </c>
      <c r="B561" s="1" t="s">
        <v>98</v>
      </c>
      <c r="C561" s="1" t="s">
        <v>460</v>
      </c>
      <c r="D561" s="1" t="s">
        <v>90</v>
      </c>
      <c r="E561" s="1" t="s">
        <v>72</v>
      </c>
      <c r="F561" s="1" t="s">
        <v>18</v>
      </c>
      <c r="G561">
        <v>90389</v>
      </c>
      <c r="H561" s="1" t="s">
        <v>256</v>
      </c>
      <c r="I561" s="2">
        <v>45412</v>
      </c>
      <c r="J561">
        <v>99</v>
      </c>
      <c r="K561">
        <v>6.6</v>
      </c>
      <c r="L561" s="1" t="s">
        <v>49</v>
      </c>
      <c r="M561" s="1" t="s">
        <v>69</v>
      </c>
    </row>
    <row r="562" spans="1:13" x14ac:dyDescent="0.25">
      <c r="A562" s="1" t="s">
        <v>1288</v>
      </c>
      <c r="B562" s="1" t="s">
        <v>104</v>
      </c>
      <c r="C562" s="1" t="s">
        <v>1153</v>
      </c>
      <c r="D562" s="1" t="s">
        <v>25</v>
      </c>
      <c r="E562" s="1" t="s">
        <v>61</v>
      </c>
      <c r="F562" s="1" t="s">
        <v>18</v>
      </c>
      <c r="G562">
        <v>468072</v>
      </c>
      <c r="H562" s="1" t="s">
        <v>1289</v>
      </c>
      <c r="I562" s="2">
        <v>45729</v>
      </c>
      <c r="J562">
        <v>84</v>
      </c>
      <c r="K562">
        <v>13.5</v>
      </c>
      <c r="L562" s="1" t="s">
        <v>96</v>
      </c>
      <c r="M562" s="1" t="s">
        <v>42</v>
      </c>
    </row>
    <row r="563" spans="1:13" x14ac:dyDescent="0.25">
      <c r="A563" s="1" t="s">
        <v>1290</v>
      </c>
      <c r="B563" s="1" t="s">
        <v>75</v>
      </c>
      <c r="C563" s="1" t="s">
        <v>676</v>
      </c>
      <c r="D563" s="1" t="s">
        <v>39</v>
      </c>
      <c r="E563" s="1" t="s">
        <v>51</v>
      </c>
      <c r="F563" s="1" t="s">
        <v>33</v>
      </c>
      <c r="G563">
        <v>1208311</v>
      </c>
      <c r="H563" s="1" t="s">
        <v>1291</v>
      </c>
      <c r="I563" s="2"/>
      <c r="K563">
        <v>2.7</v>
      </c>
      <c r="L563" s="1" t="s">
        <v>96</v>
      </c>
      <c r="M563" s="1" t="s">
        <v>63</v>
      </c>
    </row>
    <row r="564" spans="1:13" x14ac:dyDescent="0.25">
      <c r="A564" s="1" t="s">
        <v>1292</v>
      </c>
      <c r="B564" s="1" t="s">
        <v>104</v>
      </c>
      <c r="C564" s="1" t="s">
        <v>555</v>
      </c>
      <c r="D564" s="1" t="s">
        <v>39</v>
      </c>
      <c r="E564" s="1" t="s">
        <v>17</v>
      </c>
      <c r="F564" s="1" t="s">
        <v>129</v>
      </c>
      <c r="G564">
        <v>220130</v>
      </c>
      <c r="H564" s="1" t="s">
        <v>309</v>
      </c>
      <c r="I564" s="2"/>
      <c r="K564">
        <v>6</v>
      </c>
      <c r="L564" s="1" t="s">
        <v>20</v>
      </c>
      <c r="M564" s="1" t="s">
        <v>63</v>
      </c>
    </row>
    <row r="565" spans="1:13" x14ac:dyDescent="0.25">
      <c r="A565" s="1" t="s">
        <v>1293</v>
      </c>
      <c r="B565" s="1" t="s">
        <v>75</v>
      </c>
      <c r="C565" s="1" t="s">
        <v>237</v>
      </c>
      <c r="D565" s="1" t="s">
        <v>67</v>
      </c>
      <c r="E565" s="1" t="s">
        <v>72</v>
      </c>
      <c r="F565" s="1" t="s">
        <v>129</v>
      </c>
      <c r="G565">
        <v>223630</v>
      </c>
      <c r="H565" s="1" t="s">
        <v>1294</v>
      </c>
      <c r="I565" s="2"/>
      <c r="K565">
        <v>11.3</v>
      </c>
      <c r="L565" s="1" t="s">
        <v>20</v>
      </c>
      <c r="M565" s="1" t="s">
        <v>42</v>
      </c>
    </row>
    <row r="566" spans="1:13" x14ac:dyDescent="0.25">
      <c r="A566" s="1" t="s">
        <v>1295</v>
      </c>
      <c r="B566" s="1" t="s">
        <v>14</v>
      </c>
      <c r="C566" s="1" t="s">
        <v>775</v>
      </c>
      <c r="D566" s="1" t="s">
        <v>67</v>
      </c>
      <c r="E566" s="1" t="s">
        <v>72</v>
      </c>
      <c r="F566" s="1" t="s">
        <v>129</v>
      </c>
      <c r="G566">
        <v>165039</v>
      </c>
      <c r="H566" s="1" t="s">
        <v>1296</v>
      </c>
      <c r="I566" s="2"/>
      <c r="K566">
        <v>4.5999999999999996</v>
      </c>
      <c r="L566" s="1" t="s">
        <v>96</v>
      </c>
      <c r="M566" s="1" t="s">
        <v>21</v>
      </c>
    </row>
    <row r="567" spans="1:13" x14ac:dyDescent="0.25">
      <c r="A567" s="1" t="s">
        <v>1297</v>
      </c>
      <c r="B567" s="1" t="s">
        <v>84</v>
      </c>
      <c r="C567" s="1" t="s">
        <v>654</v>
      </c>
      <c r="D567" s="1" t="s">
        <v>25</v>
      </c>
      <c r="E567" s="1" t="s">
        <v>77</v>
      </c>
      <c r="F567" s="1" t="s">
        <v>27</v>
      </c>
      <c r="G567">
        <v>323641</v>
      </c>
      <c r="H567" s="1" t="s">
        <v>524</v>
      </c>
      <c r="I567" s="2"/>
      <c r="K567">
        <v>8.1999999999999993</v>
      </c>
      <c r="L567" s="1" t="s">
        <v>20</v>
      </c>
      <c r="M567" s="1" t="s">
        <v>63</v>
      </c>
    </row>
    <row r="568" spans="1:13" x14ac:dyDescent="0.25">
      <c r="A568" s="1" t="s">
        <v>1298</v>
      </c>
      <c r="B568" s="1" t="s">
        <v>109</v>
      </c>
      <c r="C568" s="1" t="s">
        <v>1299</v>
      </c>
      <c r="D568" s="1" t="s">
        <v>39</v>
      </c>
      <c r="E568" s="1" t="s">
        <v>77</v>
      </c>
      <c r="F568" s="1" t="s">
        <v>53</v>
      </c>
      <c r="G568">
        <v>1419993</v>
      </c>
      <c r="H568" s="1" t="s">
        <v>245</v>
      </c>
      <c r="I568" s="2"/>
      <c r="K568">
        <v>4.4000000000000004</v>
      </c>
      <c r="L568" s="1" t="s">
        <v>49</v>
      </c>
      <c r="M568" s="1" t="s">
        <v>63</v>
      </c>
    </row>
    <row r="569" spans="1:13" x14ac:dyDescent="0.25">
      <c r="A569" s="1" t="s">
        <v>1300</v>
      </c>
      <c r="B569" s="1" t="s">
        <v>127</v>
      </c>
      <c r="C569" s="1" t="s">
        <v>598</v>
      </c>
      <c r="D569" s="1" t="s">
        <v>46</v>
      </c>
      <c r="E569" s="1" t="s">
        <v>17</v>
      </c>
      <c r="F569" s="1" t="s">
        <v>40</v>
      </c>
      <c r="G569">
        <v>56862</v>
      </c>
      <c r="H569" s="1" t="s">
        <v>1301</v>
      </c>
      <c r="I569" s="2">
        <v>45694</v>
      </c>
      <c r="J569">
        <v>128</v>
      </c>
      <c r="K569">
        <v>18</v>
      </c>
      <c r="L569" s="1" t="s">
        <v>96</v>
      </c>
      <c r="M569" s="1" t="s">
        <v>42</v>
      </c>
    </row>
    <row r="570" spans="1:13" x14ac:dyDescent="0.25">
      <c r="A570" s="1" t="s">
        <v>1302</v>
      </c>
      <c r="B570" s="1" t="s">
        <v>98</v>
      </c>
      <c r="C570" s="1" t="s">
        <v>372</v>
      </c>
      <c r="D570" s="1" t="s">
        <v>16</v>
      </c>
      <c r="E570" s="1" t="s">
        <v>26</v>
      </c>
      <c r="F570" s="1" t="s">
        <v>40</v>
      </c>
      <c r="G570">
        <v>199469</v>
      </c>
      <c r="H570" s="1" t="s">
        <v>1244</v>
      </c>
      <c r="I570" s="2">
        <v>45680</v>
      </c>
      <c r="J570">
        <v>150</v>
      </c>
      <c r="K570">
        <v>6</v>
      </c>
      <c r="L570" s="1" t="s">
        <v>49</v>
      </c>
      <c r="M570" s="1" t="s">
        <v>149</v>
      </c>
    </row>
    <row r="571" spans="1:13" x14ac:dyDescent="0.25">
      <c r="A571" s="1" t="s">
        <v>1303</v>
      </c>
      <c r="B571" s="1" t="s">
        <v>51</v>
      </c>
      <c r="C571" s="1" t="s">
        <v>135</v>
      </c>
      <c r="D571" s="1" t="s">
        <v>39</v>
      </c>
      <c r="E571" s="1" t="s">
        <v>100</v>
      </c>
      <c r="F571" s="1" t="s">
        <v>33</v>
      </c>
      <c r="G571">
        <v>222577</v>
      </c>
      <c r="H571" s="1" t="s">
        <v>1304</v>
      </c>
      <c r="I571" s="2"/>
      <c r="K571">
        <v>9</v>
      </c>
      <c r="L571" s="1" t="s">
        <v>49</v>
      </c>
      <c r="M571" s="1" t="s">
        <v>102</v>
      </c>
    </row>
    <row r="572" spans="1:13" x14ac:dyDescent="0.25">
      <c r="A572" s="1" t="s">
        <v>1305</v>
      </c>
      <c r="B572" s="1" t="s">
        <v>84</v>
      </c>
      <c r="C572" s="1" t="s">
        <v>987</v>
      </c>
      <c r="D572" s="1" t="s">
        <v>16</v>
      </c>
      <c r="E572" s="1" t="s">
        <v>94</v>
      </c>
      <c r="F572" s="1" t="s">
        <v>40</v>
      </c>
      <c r="G572">
        <v>320458</v>
      </c>
      <c r="H572" s="1" t="s">
        <v>1306</v>
      </c>
      <c r="I572" s="2">
        <v>45856</v>
      </c>
      <c r="J572">
        <v>128</v>
      </c>
      <c r="K572">
        <v>8.1</v>
      </c>
      <c r="L572" s="1" t="s">
        <v>49</v>
      </c>
      <c r="M572" s="1" t="s">
        <v>63</v>
      </c>
    </row>
    <row r="573" spans="1:13" x14ac:dyDescent="0.25">
      <c r="A573" s="1" t="s">
        <v>1307</v>
      </c>
      <c r="B573" s="1" t="s">
        <v>127</v>
      </c>
      <c r="C573" s="1" t="s">
        <v>1308</v>
      </c>
      <c r="D573" s="1" t="s">
        <v>25</v>
      </c>
      <c r="E573" s="1" t="s">
        <v>72</v>
      </c>
      <c r="F573" s="1" t="s">
        <v>129</v>
      </c>
      <c r="G573">
        <v>252748</v>
      </c>
      <c r="H573" s="1" t="s">
        <v>798</v>
      </c>
      <c r="I573" s="2"/>
      <c r="L573" s="1" t="s">
        <v>49</v>
      </c>
      <c r="M573" s="1" t="s">
        <v>30</v>
      </c>
    </row>
    <row r="574" spans="1:13" x14ac:dyDescent="0.25">
      <c r="A574" s="1" t="s">
        <v>1309</v>
      </c>
      <c r="B574" s="1" t="s">
        <v>127</v>
      </c>
      <c r="C574" s="1" t="s">
        <v>912</v>
      </c>
      <c r="D574" s="1" t="s">
        <v>16</v>
      </c>
      <c r="E574" s="1" t="s">
        <v>17</v>
      </c>
      <c r="F574" s="1" t="s">
        <v>27</v>
      </c>
      <c r="G574">
        <v>468672</v>
      </c>
      <c r="H574" s="1" t="s">
        <v>1310</v>
      </c>
      <c r="I574" s="2"/>
      <c r="K574">
        <v>0.2</v>
      </c>
      <c r="L574" s="1" t="s">
        <v>29</v>
      </c>
      <c r="M574" s="1" t="s">
        <v>21</v>
      </c>
    </row>
    <row r="575" spans="1:13" x14ac:dyDescent="0.25">
      <c r="A575" s="1" t="s">
        <v>1311</v>
      </c>
      <c r="B575" s="1" t="s">
        <v>65</v>
      </c>
      <c r="C575" s="1" t="s">
        <v>1151</v>
      </c>
      <c r="D575" s="1" t="s">
        <v>90</v>
      </c>
      <c r="E575" s="1" t="s">
        <v>100</v>
      </c>
      <c r="F575" s="1" t="s">
        <v>33</v>
      </c>
      <c r="G575">
        <v>365115</v>
      </c>
      <c r="H575" s="1" t="s">
        <v>341</v>
      </c>
      <c r="I575" s="2"/>
      <c r="K575">
        <v>8.4</v>
      </c>
      <c r="L575" s="1" t="s">
        <v>20</v>
      </c>
      <c r="M575" s="1" t="s">
        <v>149</v>
      </c>
    </row>
    <row r="576" spans="1:13" x14ac:dyDescent="0.25">
      <c r="A576" s="1" t="s">
        <v>1312</v>
      </c>
      <c r="B576" s="1" t="s">
        <v>23</v>
      </c>
      <c r="C576" s="1" t="s">
        <v>917</v>
      </c>
      <c r="D576" s="1" t="s">
        <v>46</v>
      </c>
      <c r="E576" s="1" t="s">
        <v>72</v>
      </c>
      <c r="F576" s="1" t="s">
        <v>33</v>
      </c>
      <c r="G576">
        <v>103014</v>
      </c>
      <c r="H576" s="1" t="s">
        <v>476</v>
      </c>
      <c r="I576" s="2"/>
      <c r="L576" s="1" t="s">
        <v>20</v>
      </c>
      <c r="M576" s="1" t="s">
        <v>102</v>
      </c>
    </row>
    <row r="577" spans="1:13" x14ac:dyDescent="0.25">
      <c r="A577" s="1" t="s">
        <v>1313</v>
      </c>
      <c r="B577" s="1" t="s">
        <v>98</v>
      </c>
      <c r="C577" s="1" t="s">
        <v>1072</v>
      </c>
      <c r="D577" s="1" t="s">
        <v>25</v>
      </c>
      <c r="E577" s="1" t="s">
        <v>17</v>
      </c>
      <c r="F577" s="1" t="s">
        <v>53</v>
      </c>
      <c r="G577">
        <v>72254</v>
      </c>
      <c r="H577" s="1" t="s">
        <v>1208</v>
      </c>
      <c r="I577" s="2"/>
      <c r="K577">
        <v>12.5</v>
      </c>
      <c r="L577" s="1" t="s">
        <v>96</v>
      </c>
      <c r="M577" s="1" t="s">
        <v>63</v>
      </c>
    </row>
    <row r="578" spans="1:13" x14ac:dyDescent="0.25">
      <c r="A578" s="1" t="s">
        <v>1314</v>
      </c>
      <c r="B578" s="1" t="s">
        <v>127</v>
      </c>
      <c r="C578" s="1" t="s">
        <v>1204</v>
      </c>
      <c r="D578" s="1" t="s">
        <v>16</v>
      </c>
      <c r="E578" s="1" t="s">
        <v>26</v>
      </c>
      <c r="F578" s="1" t="s">
        <v>33</v>
      </c>
      <c r="G578">
        <v>385572</v>
      </c>
      <c r="H578" s="1" t="s">
        <v>1315</v>
      </c>
      <c r="I578" s="2"/>
      <c r="K578">
        <v>0.1</v>
      </c>
      <c r="L578" s="1" t="s">
        <v>96</v>
      </c>
      <c r="M578" s="1" t="s">
        <v>149</v>
      </c>
    </row>
    <row r="579" spans="1:13" x14ac:dyDescent="0.25">
      <c r="A579" s="1" t="s">
        <v>1316</v>
      </c>
      <c r="B579" s="1" t="s">
        <v>75</v>
      </c>
      <c r="C579" s="1" t="s">
        <v>420</v>
      </c>
      <c r="D579" s="1" t="s">
        <v>16</v>
      </c>
      <c r="E579" s="1" t="s">
        <v>77</v>
      </c>
      <c r="F579" s="1" t="s">
        <v>33</v>
      </c>
      <c r="G579">
        <v>374713</v>
      </c>
      <c r="H579" s="1" t="s">
        <v>1317</v>
      </c>
      <c r="I579" s="2"/>
      <c r="K579">
        <v>1.4</v>
      </c>
      <c r="L579" s="1" t="s">
        <v>20</v>
      </c>
      <c r="M579" s="1" t="s">
        <v>30</v>
      </c>
    </row>
    <row r="580" spans="1:13" x14ac:dyDescent="0.25">
      <c r="A580" s="1" t="s">
        <v>1318</v>
      </c>
      <c r="B580" s="1" t="s">
        <v>59</v>
      </c>
      <c r="C580" s="1" t="s">
        <v>598</v>
      </c>
      <c r="D580" s="1" t="s">
        <v>16</v>
      </c>
      <c r="E580" s="1" t="s">
        <v>77</v>
      </c>
      <c r="F580" s="1" t="s">
        <v>40</v>
      </c>
      <c r="G580">
        <v>325072</v>
      </c>
      <c r="H580" s="1" t="s">
        <v>1319</v>
      </c>
      <c r="I580" s="2">
        <v>45737</v>
      </c>
      <c r="J580">
        <v>111</v>
      </c>
      <c r="K580">
        <v>10.1</v>
      </c>
      <c r="L580" s="1" t="s">
        <v>29</v>
      </c>
      <c r="M580" s="1" t="s">
        <v>42</v>
      </c>
    </row>
    <row r="581" spans="1:13" x14ac:dyDescent="0.25">
      <c r="A581" s="1" t="s">
        <v>1320</v>
      </c>
      <c r="B581" s="1" t="s">
        <v>127</v>
      </c>
      <c r="C581" s="1" t="s">
        <v>622</v>
      </c>
      <c r="D581" s="1" t="s">
        <v>25</v>
      </c>
      <c r="E581" s="1" t="s">
        <v>94</v>
      </c>
      <c r="F581" s="1" t="s">
        <v>40</v>
      </c>
      <c r="G581">
        <v>471884</v>
      </c>
      <c r="H581" s="1" t="s">
        <v>545</v>
      </c>
      <c r="I581" s="2">
        <v>45116</v>
      </c>
      <c r="J581">
        <v>152</v>
      </c>
      <c r="K581">
        <v>18.100000000000001</v>
      </c>
      <c r="L581" s="1" t="s">
        <v>29</v>
      </c>
      <c r="M581" s="1" t="s">
        <v>35</v>
      </c>
    </row>
    <row r="582" spans="1:13" x14ac:dyDescent="0.25">
      <c r="A582" s="1" t="s">
        <v>1321</v>
      </c>
      <c r="B582" s="1" t="s">
        <v>75</v>
      </c>
      <c r="C582" s="1" t="s">
        <v>650</v>
      </c>
      <c r="D582" s="1" t="s">
        <v>39</v>
      </c>
      <c r="E582" s="1" t="s">
        <v>72</v>
      </c>
      <c r="F582" s="1" t="s">
        <v>53</v>
      </c>
      <c r="G582">
        <v>25981</v>
      </c>
      <c r="H582" s="1" t="s">
        <v>1091</v>
      </c>
      <c r="I582" s="2"/>
      <c r="K582">
        <v>14.6</v>
      </c>
      <c r="L582" s="1" t="s">
        <v>20</v>
      </c>
      <c r="M582" s="1" t="s">
        <v>30</v>
      </c>
    </row>
    <row r="583" spans="1:13" x14ac:dyDescent="0.25">
      <c r="A583" s="1" t="s">
        <v>1322</v>
      </c>
      <c r="B583" s="1" t="s">
        <v>37</v>
      </c>
      <c r="C583" s="1" t="s">
        <v>334</v>
      </c>
      <c r="D583" s="1" t="s">
        <v>46</v>
      </c>
      <c r="E583" s="1" t="s">
        <v>61</v>
      </c>
      <c r="F583" s="1" t="s">
        <v>18</v>
      </c>
      <c r="G583">
        <v>198107</v>
      </c>
      <c r="H583" s="1" t="s">
        <v>1323</v>
      </c>
      <c r="I583" s="2">
        <v>45347</v>
      </c>
      <c r="J583">
        <v>55</v>
      </c>
      <c r="K583">
        <v>12.9</v>
      </c>
      <c r="L583" s="1" t="s">
        <v>96</v>
      </c>
      <c r="M583" s="1" t="s">
        <v>69</v>
      </c>
    </row>
    <row r="584" spans="1:13" x14ac:dyDescent="0.25">
      <c r="A584" s="1" t="s">
        <v>1324</v>
      </c>
      <c r="B584" s="1" t="s">
        <v>37</v>
      </c>
      <c r="C584" s="1" t="s">
        <v>346</v>
      </c>
      <c r="D584" s="1" t="s">
        <v>67</v>
      </c>
      <c r="E584" s="1" t="s">
        <v>100</v>
      </c>
      <c r="F584" s="1" t="s">
        <v>33</v>
      </c>
      <c r="G584">
        <v>446198</v>
      </c>
      <c r="H584" s="1" t="s">
        <v>1325</v>
      </c>
      <c r="I584" s="2"/>
      <c r="K584">
        <v>7</v>
      </c>
      <c r="L584" s="1" t="s">
        <v>96</v>
      </c>
      <c r="M584" s="1" t="s">
        <v>63</v>
      </c>
    </row>
    <row r="585" spans="1:13" x14ac:dyDescent="0.25">
      <c r="A585" s="1" t="s">
        <v>1326</v>
      </c>
      <c r="B585" s="1" t="s">
        <v>14</v>
      </c>
      <c r="C585" s="1" t="s">
        <v>76</v>
      </c>
      <c r="D585" s="1" t="s">
        <v>16</v>
      </c>
      <c r="E585" s="1" t="s">
        <v>47</v>
      </c>
      <c r="F585" s="1" t="s">
        <v>33</v>
      </c>
      <c r="G585">
        <v>197213</v>
      </c>
      <c r="H585" s="1" t="s">
        <v>196</v>
      </c>
      <c r="I585" s="2"/>
      <c r="L585" s="1" t="s">
        <v>49</v>
      </c>
      <c r="M585" s="1" t="s">
        <v>21</v>
      </c>
    </row>
    <row r="586" spans="1:13" x14ac:dyDescent="0.25">
      <c r="A586" s="1" t="s">
        <v>1327</v>
      </c>
      <c r="B586" s="1" t="s">
        <v>65</v>
      </c>
      <c r="C586" s="1" t="s">
        <v>420</v>
      </c>
      <c r="D586" s="1" t="s">
        <v>90</v>
      </c>
      <c r="E586" s="1" t="s">
        <v>61</v>
      </c>
      <c r="F586" s="1" t="s">
        <v>33</v>
      </c>
      <c r="G586">
        <v>255162</v>
      </c>
      <c r="H586" s="1" t="s">
        <v>1328</v>
      </c>
      <c r="I586" s="2"/>
      <c r="K586">
        <v>6.5</v>
      </c>
      <c r="L586" s="1" t="s">
        <v>96</v>
      </c>
      <c r="M586" s="1" t="s">
        <v>107</v>
      </c>
    </row>
    <row r="587" spans="1:13" x14ac:dyDescent="0.25">
      <c r="A587" s="1" t="s">
        <v>1329</v>
      </c>
      <c r="B587" s="1" t="s">
        <v>51</v>
      </c>
      <c r="C587" s="1" t="s">
        <v>1050</v>
      </c>
      <c r="D587" s="1" t="s">
        <v>46</v>
      </c>
      <c r="E587" s="1" t="s">
        <v>100</v>
      </c>
      <c r="F587" s="1" t="s">
        <v>129</v>
      </c>
      <c r="G587">
        <v>363231</v>
      </c>
      <c r="H587" s="1" t="s">
        <v>793</v>
      </c>
      <c r="I587" s="2"/>
      <c r="K587">
        <v>5.5</v>
      </c>
      <c r="L587" s="1" t="s">
        <v>96</v>
      </c>
      <c r="M587" s="1" t="s">
        <v>149</v>
      </c>
    </row>
    <row r="588" spans="1:13" x14ac:dyDescent="0.25">
      <c r="A588" s="1" t="s">
        <v>1330</v>
      </c>
      <c r="B588" s="1" t="s">
        <v>88</v>
      </c>
      <c r="C588" s="1" t="s">
        <v>227</v>
      </c>
      <c r="D588" s="1" t="s">
        <v>25</v>
      </c>
      <c r="E588" s="1" t="s">
        <v>100</v>
      </c>
      <c r="F588" s="1" t="s">
        <v>40</v>
      </c>
      <c r="G588">
        <v>116637</v>
      </c>
      <c r="H588" s="1" t="s">
        <v>1081</v>
      </c>
      <c r="I588" s="2">
        <v>45475</v>
      </c>
      <c r="J588">
        <v>88</v>
      </c>
      <c r="K588">
        <v>24.9</v>
      </c>
      <c r="L588" s="1" t="s">
        <v>29</v>
      </c>
      <c r="M588" s="1" t="s">
        <v>107</v>
      </c>
    </row>
    <row r="589" spans="1:13" x14ac:dyDescent="0.25">
      <c r="A589" s="1" t="s">
        <v>1331</v>
      </c>
      <c r="B589" s="1" t="s">
        <v>98</v>
      </c>
      <c r="C589" s="1" t="s">
        <v>295</v>
      </c>
      <c r="D589" s="1" t="s">
        <v>16</v>
      </c>
      <c r="E589" s="1" t="s">
        <v>77</v>
      </c>
      <c r="F589" s="1" t="s">
        <v>53</v>
      </c>
      <c r="G589">
        <v>96840</v>
      </c>
      <c r="H589" s="1" t="s">
        <v>1332</v>
      </c>
      <c r="I589" s="2"/>
      <c r="K589">
        <v>3.4</v>
      </c>
      <c r="L589" s="1" t="s">
        <v>29</v>
      </c>
      <c r="M589" s="1" t="s">
        <v>149</v>
      </c>
    </row>
    <row r="590" spans="1:13" x14ac:dyDescent="0.25">
      <c r="A590" s="1" t="s">
        <v>1333</v>
      </c>
      <c r="B590" s="1" t="s">
        <v>127</v>
      </c>
      <c r="C590" s="1" t="s">
        <v>1334</v>
      </c>
      <c r="D590" s="1" t="s">
        <v>16</v>
      </c>
      <c r="E590" s="1" t="s">
        <v>77</v>
      </c>
      <c r="F590" s="1" t="s">
        <v>33</v>
      </c>
      <c r="G590">
        <v>478947</v>
      </c>
      <c r="H590" s="1" t="s">
        <v>1335</v>
      </c>
      <c r="I590" s="2"/>
      <c r="L590" s="1" t="s">
        <v>20</v>
      </c>
      <c r="M590" s="1" t="s">
        <v>149</v>
      </c>
    </row>
    <row r="591" spans="1:13" x14ac:dyDescent="0.25">
      <c r="A591" s="1" t="s">
        <v>1336</v>
      </c>
      <c r="B591" s="1" t="s">
        <v>75</v>
      </c>
      <c r="C591" s="1" t="s">
        <v>932</v>
      </c>
      <c r="D591" s="1" t="s">
        <v>39</v>
      </c>
      <c r="E591" s="1" t="s">
        <v>100</v>
      </c>
      <c r="F591" s="1" t="s">
        <v>129</v>
      </c>
      <c r="G591">
        <v>251317</v>
      </c>
      <c r="H591" s="1" t="s">
        <v>1337</v>
      </c>
      <c r="I591" s="2"/>
      <c r="L591" s="1" t="s">
        <v>49</v>
      </c>
      <c r="M591" s="1" t="s">
        <v>69</v>
      </c>
    </row>
    <row r="592" spans="1:13" x14ac:dyDescent="0.25">
      <c r="A592" s="1" t="s">
        <v>1338</v>
      </c>
      <c r="B592" s="1" t="s">
        <v>84</v>
      </c>
      <c r="C592" s="1" t="s">
        <v>1339</v>
      </c>
      <c r="D592" s="1" t="s">
        <v>39</v>
      </c>
      <c r="E592" s="1" t="s">
        <v>47</v>
      </c>
      <c r="F592" s="1" t="s">
        <v>40</v>
      </c>
      <c r="G592">
        <v>99042</v>
      </c>
      <c r="H592" s="1" t="s">
        <v>663</v>
      </c>
      <c r="I592" s="2">
        <v>45105</v>
      </c>
      <c r="J592">
        <v>23</v>
      </c>
      <c r="K592">
        <v>8.4</v>
      </c>
      <c r="L592" s="1" t="s">
        <v>29</v>
      </c>
      <c r="M592" s="1" t="s">
        <v>30</v>
      </c>
    </row>
    <row r="593" spans="1:13" x14ac:dyDescent="0.25">
      <c r="A593" s="1" t="s">
        <v>1340</v>
      </c>
      <c r="B593" s="1" t="s">
        <v>98</v>
      </c>
      <c r="C593" s="1" t="s">
        <v>564</v>
      </c>
      <c r="D593" s="1" t="s">
        <v>46</v>
      </c>
      <c r="E593" s="1" t="s">
        <v>61</v>
      </c>
      <c r="F593" s="1" t="s">
        <v>40</v>
      </c>
      <c r="G593">
        <v>307976</v>
      </c>
      <c r="H593" s="1" t="s">
        <v>1341</v>
      </c>
      <c r="I593" s="2">
        <v>45115</v>
      </c>
      <c r="J593">
        <v>136</v>
      </c>
      <c r="K593">
        <v>21</v>
      </c>
      <c r="L593" s="1" t="s">
        <v>20</v>
      </c>
      <c r="M593" s="1" t="s">
        <v>35</v>
      </c>
    </row>
    <row r="594" spans="1:13" x14ac:dyDescent="0.25">
      <c r="A594" s="1" t="s">
        <v>1342</v>
      </c>
      <c r="B594" s="1" t="s">
        <v>88</v>
      </c>
      <c r="C594" s="1" t="s">
        <v>831</v>
      </c>
      <c r="D594" s="1" t="s">
        <v>46</v>
      </c>
      <c r="E594" s="1" t="s">
        <v>17</v>
      </c>
      <c r="F594" s="1" t="s">
        <v>33</v>
      </c>
      <c r="G594">
        <v>336120</v>
      </c>
      <c r="H594" s="1" t="s">
        <v>506</v>
      </c>
      <c r="I594" s="2"/>
      <c r="L594" s="1" t="s">
        <v>20</v>
      </c>
      <c r="M594" s="1" t="s">
        <v>69</v>
      </c>
    </row>
    <row r="595" spans="1:13" x14ac:dyDescent="0.25">
      <c r="A595" s="1" t="s">
        <v>1343</v>
      </c>
      <c r="B595" s="1" t="s">
        <v>65</v>
      </c>
      <c r="C595" s="1" t="s">
        <v>71</v>
      </c>
      <c r="D595" s="1" t="s">
        <v>67</v>
      </c>
      <c r="E595" s="1" t="s">
        <v>72</v>
      </c>
      <c r="F595" s="1" t="s">
        <v>33</v>
      </c>
      <c r="G595">
        <v>331117</v>
      </c>
      <c r="H595" s="1" t="s">
        <v>1344</v>
      </c>
      <c r="I595" s="2"/>
      <c r="K595">
        <v>7.7</v>
      </c>
      <c r="L595" s="1" t="s">
        <v>96</v>
      </c>
      <c r="M595" s="1" t="s">
        <v>102</v>
      </c>
    </row>
    <row r="596" spans="1:13" x14ac:dyDescent="0.25">
      <c r="A596" s="1" t="s">
        <v>1345</v>
      </c>
      <c r="B596" s="1" t="s">
        <v>75</v>
      </c>
      <c r="C596" s="1" t="s">
        <v>874</v>
      </c>
      <c r="D596" s="1" t="s">
        <v>46</v>
      </c>
      <c r="E596" s="1" t="s">
        <v>77</v>
      </c>
      <c r="F596" s="1" t="s">
        <v>53</v>
      </c>
      <c r="G596">
        <v>89773</v>
      </c>
      <c r="H596" s="1" t="s">
        <v>1059</v>
      </c>
      <c r="I596" s="2"/>
      <c r="K596">
        <v>12</v>
      </c>
      <c r="L596" s="1" t="s">
        <v>20</v>
      </c>
      <c r="M596" s="1" t="s">
        <v>63</v>
      </c>
    </row>
    <row r="597" spans="1:13" x14ac:dyDescent="0.25">
      <c r="A597" s="1" t="s">
        <v>1346</v>
      </c>
      <c r="B597" s="1" t="s">
        <v>88</v>
      </c>
      <c r="C597" s="1" t="s">
        <v>521</v>
      </c>
      <c r="D597" s="1" t="s">
        <v>39</v>
      </c>
      <c r="E597" s="1" t="s">
        <v>47</v>
      </c>
      <c r="F597" s="1" t="s">
        <v>40</v>
      </c>
      <c r="G597">
        <v>310047</v>
      </c>
      <c r="H597" s="1" t="s">
        <v>1347</v>
      </c>
      <c r="I597" s="2">
        <v>45683</v>
      </c>
      <c r="J597">
        <v>74</v>
      </c>
      <c r="K597">
        <v>4.5</v>
      </c>
      <c r="L597" s="1" t="s">
        <v>96</v>
      </c>
      <c r="M597" s="1" t="s">
        <v>42</v>
      </c>
    </row>
    <row r="598" spans="1:13" x14ac:dyDescent="0.25">
      <c r="A598" s="1" t="s">
        <v>1348</v>
      </c>
      <c r="B598" s="1" t="s">
        <v>80</v>
      </c>
      <c r="C598" s="1" t="s">
        <v>244</v>
      </c>
      <c r="D598" s="1" t="s">
        <v>90</v>
      </c>
      <c r="E598" s="1" t="s">
        <v>61</v>
      </c>
      <c r="F598" s="1" t="s">
        <v>18</v>
      </c>
      <c r="G598">
        <v>1744701</v>
      </c>
      <c r="H598" s="1" t="s">
        <v>776</v>
      </c>
      <c r="I598" s="2">
        <v>45183</v>
      </c>
      <c r="J598">
        <v>45</v>
      </c>
      <c r="K598">
        <v>11</v>
      </c>
      <c r="L598" s="1" t="s">
        <v>29</v>
      </c>
      <c r="M598" s="1" t="s">
        <v>102</v>
      </c>
    </row>
    <row r="599" spans="1:13" x14ac:dyDescent="0.25">
      <c r="A599" s="1" t="s">
        <v>1349</v>
      </c>
      <c r="B599" s="1" t="s">
        <v>44</v>
      </c>
      <c r="C599" s="1" t="s">
        <v>892</v>
      </c>
      <c r="D599" s="1" t="s">
        <v>39</v>
      </c>
      <c r="E599" s="1" t="s">
        <v>51</v>
      </c>
      <c r="F599" s="1" t="s">
        <v>129</v>
      </c>
      <c r="G599">
        <v>20695</v>
      </c>
      <c r="H599" s="1" t="s">
        <v>285</v>
      </c>
      <c r="I599" s="2"/>
      <c r="L599" s="1" t="s">
        <v>49</v>
      </c>
      <c r="M599" s="1" t="s">
        <v>35</v>
      </c>
    </row>
    <row r="600" spans="1:13" x14ac:dyDescent="0.25">
      <c r="A600" s="1" t="s">
        <v>1350</v>
      </c>
      <c r="B600" s="1" t="s">
        <v>37</v>
      </c>
      <c r="C600" s="1" t="s">
        <v>110</v>
      </c>
      <c r="D600" s="1" t="s">
        <v>16</v>
      </c>
      <c r="E600" s="1" t="s">
        <v>72</v>
      </c>
      <c r="F600" s="1" t="s">
        <v>33</v>
      </c>
      <c r="G600">
        <v>390228</v>
      </c>
      <c r="H600" s="1" t="s">
        <v>878</v>
      </c>
      <c r="I600" s="2"/>
      <c r="K600">
        <v>1</v>
      </c>
      <c r="L600" s="1" t="s">
        <v>49</v>
      </c>
      <c r="M600" s="1" t="s">
        <v>149</v>
      </c>
    </row>
    <row r="601" spans="1:13" x14ac:dyDescent="0.25">
      <c r="A601" s="1" t="s">
        <v>1351</v>
      </c>
      <c r="B601" s="1" t="s">
        <v>23</v>
      </c>
      <c r="C601" s="1" t="s">
        <v>1352</v>
      </c>
      <c r="D601" s="1" t="s">
        <v>39</v>
      </c>
      <c r="E601" s="1" t="s">
        <v>61</v>
      </c>
      <c r="F601" s="1" t="s">
        <v>18</v>
      </c>
      <c r="G601">
        <v>211674</v>
      </c>
      <c r="H601" s="1" t="s">
        <v>553</v>
      </c>
      <c r="I601" s="2">
        <v>45223</v>
      </c>
      <c r="J601">
        <v>67</v>
      </c>
      <c r="K601">
        <v>9.9</v>
      </c>
      <c r="L601" s="1" t="s">
        <v>49</v>
      </c>
      <c r="M601" s="1" t="s">
        <v>102</v>
      </c>
    </row>
    <row r="602" spans="1:13" x14ac:dyDescent="0.25">
      <c r="A602" s="1" t="s">
        <v>1353</v>
      </c>
      <c r="B602" s="1" t="s">
        <v>98</v>
      </c>
      <c r="C602" s="1" t="s">
        <v>1354</v>
      </c>
      <c r="D602" s="1" t="s">
        <v>25</v>
      </c>
      <c r="E602" s="1" t="s">
        <v>47</v>
      </c>
      <c r="F602" s="1" t="s">
        <v>129</v>
      </c>
      <c r="G602">
        <v>24372</v>
      </c>
      <c r="H602" s="1" t="s">
        <v>1355</v>
      </c>
      <c r="I602" s="2"/>
      <c r="K602">
        <v>3.4</v>
      </c>
      <c r="L602" s="1" t="s">
        <v>29</v>
      </c>
      <c r="M602" s="1" t="s">
        <v>35</v>
      </c>
    </row>
    <row r="603" spans="1:13" x14ac:dyDescent="0.25">
      <c r="A603" s="1" t="s">
        <v>1356</v>
      </c>
      <c r="B603" s="1" t="s">
        <v>98</v>
      </c>
      <c r="C603" s="1" t="s">
        <v>430</v>
      </c>
      <c r="D603" s="1" t="s">
        <v>67</v>
      </c>
      <c r="E603" s="1" t="s">
        <v>94</v>
      </c>
      <c r="F603" s="1" t="s">
        <v>27</v>
      </c>
      <c r="G603">
        <v>224675</v>
      </c>
      <c r="H603" s="1" t="s">
        <v>1357</v>
      </c>
      <c r="I603" s="2"/>
      <c r="K603">
        <v>6.2</v>
      </c>
      <c r="L603" s="1" t="s">
        <v>29</v>
      </c>
      <c r="M603" s="1" t="s">
        <v>21</v>
      </c>
    </row>
    <row r="604" spans="1:13" x14ac:dyDescent="0.25">
      <c r="A604" s="1" t="s">
        <v>1358</v>
      </c>
      <c r="B604" s="1" t="s">
        <v>59</v>
      </c>
      <c r="C604" s="1" t="s">
        <v>892</v>
      </c>
      <c r="D604" s="1" t="s">
        <v>25</v>
      </c>
      <c r="E604" s="1" t="s">
        <v>17</v>
      </c>
      <c r="F604" s="1" t="s">
        <v>129</v>
      </c>
      <c r="G604">
        <v>230842</v>
      </c>
      <c r="H604" s="1" t="s">
        <v>1359</v>
      </c>
      <c r="I604" s="2"/>
      <c r="K604">
        <v>12.1</v>
      </c>
      <c r="L604" s="1" t="s">
        <v>29</v>
      </c>
      <c r="M604" s="1" t="s">
        <v>107</v>
      </c>
    </row>
    <row r="605" spans="1:13" x14ac:dyDescent="0.25">
      <c r="A605" s="1" t="s">
        <v>1360</v>
      </c>
      <c r="B605" s="1" t="s">
        <v>98</v>
      </c>
      <c r="C605" s="1" t="s">
        <v>972</v>
      </c>
      <c r="D605" s="1" t="s">
        <v>46</v>
      </c>
      <c r="E605" s="1" t="s">
        <v>61</v>
      </c>
      <c r="F605" s="1" t="s">
        <v>40</v>
      </c>
      <c r="G605">
        <v>128695</v>
      </c>
      <c r="H605" s="1" t="s">
        <v>628</v>
      </c>
      <c r="I605" s="2">
        <v>45653</v>
      </c>
      <c r="J605">
        <v>180</v>
      </c>
      <c r="K605">
        <v>7.4</v>
      </c>
      <c r="L605" s="1" t="s">
        <v>49</v>
      </c>
      <c r="M605" s="1" t="s">
        <v>107</v>
      </c>
    </row>
    <row r="606" spans="1:13" x14ac:dyDescent="0.25">
      <c r="A606" s="1" t="s">
        <v>1361</v>
      </c>
      <c r="B606" s="1" t="s">
        <v>75</v>
      </c>
      <c r="C606" s="1" t="s">
        <v>906</v>
      </c>
      <c r="D606" s="1" t="s">
        <v>46</v>
      </c>
      <c r="E606" s="1" t="s">
        <v>94</v>
      </c>
      <c r="F606" s="1" t="s">
        <v>40</v>
      </c>
      <c r="G606">
        <v>348203</v>
      </c>
      <c r="H606" s="1" t="s">
        <v>1362</v>
      </c>
      <c r="I606" s="2">
        <v>45452</v>
      </c>
      <c r="J606">
        <v>142</v>
      </c>
      <c r="K606">
        <v>4.5</v>
      </c>
      <c r="L606" s="1" t="s">
        <v>49</v>
      </c>
      <c r="M606" s="1" t="s">
        <v>69</v>
      </c>
    </row>
    <row r="607" spans="1:13" x14ac:dyDescent="0.25">
      <c r="A607" s="1" t="s">
        <v>1363</v>
      </c>
      <c r="B607" s="1" t="s">
        <v>98</v>
      </c>
      <c r="C607" s="1" t="s">
        <v>1364</v>
      </c>
      <c r="D607" s="1" t="s">
        <v>25</v>
      </c>
      <c r="E607" s="1" t="s">
        <v>77</v>
      </c>
      <c r="F607" s="1" t="s">
        <v>33</v>
      </c>
      <c r="G607">
        <v>327507</v>
      </c>
      <c r="H607" s="1" t="s">
        <v>1365</v>
      </c>
      <c r="I607" s="2"/>
      <c r="K607">
        <v>9.1</v>
      </c>
      <c r="L607" s="1" t="s">
        <v>96</v>
      </c>
      <c r="M607" s="1" t="s">
        <v>63</v>
      </c>
    </row>
    <row r="608" spans="1:13" x14ac:dyDescent="0.25">
      <c r="A608" s="1" t="s">
        <v>1366</v>
      </c>
      <c r="B608" s="1" t="s">
        <v>80</v>
      </c>
      <c r="C608" s="1" t="s">
        <v>596</v>
      </c>
      <c r="D608" s="1" t="s">
        <v>16</v>
      </c>
      <c r="E608" s="1" t="s">
        <v>17</v>
      </c>
      <c r="F608" s="1" t="s">
        <v>129</v>
      </c>
      <c r="G608">
        <v>468580</v>
      </c>
      <c r="H608" s="1" t="s">
        <v>1367</v>
      </c>
      <c r="I608" s="2"/>
      <c r="L608" s="1" t="s">
        <v>96</v>
      </c>
      <c r="M608" s="1" t="s">
        <v>30</v>
      </c>
    </row>
    <row r="609" spans="1:13" x14ac:dyDescent="0.25">
      <c r="A609" s="1" t="s">
        <v>1368</v>
      </c>
      <c r="B609" s="1" t="s">
        <v>44</v>
      </c>
      <c r="C609" s="1" t="s">
        <v>747</v>
      </c>
      <c r="D609" s="1" t="s">
        <v>46</v>
      </c>
      <c r="E609" s="1" t="s">
        <v>94</v>
      </c>
      <c r="F609" s="1" t="s">
        <v>129</v>
      </c>
      <c r="G609">
        <v>226296</v>
      </c>
      <c r="H609" s="1" t="s">
        <v>756</v>
      </c>
      <c r="I609" s="2"/>
      <c r="L609" s="1" t="s">
        <v>96</v>
      </c>
      <c r="M609" s="1" t="s">
        <v>30</v>
      </c>
    </row>
    <row r="610" spans="1:13" x14ac:dyDescent="0.25">
      <c r="A610" s="1" t="s">
        <v>1369</v>
      </c>
      <c r="B610" s="1" t="s">
        <v>88</v>
      </c>
      <c r="C610" s="1" t="s">
        <v>957</v>
      </c>
      <c r="D610" s="1" t="s">
        <v>16</v>
      </c>
      <c r="E610" s="1" t="s">
        <v>61</v>
      </c>
      <c r="F610" s="1" t="s">
        <v>129</v>
      </c>
      <c r="G610">
        <v>327702</v>
      </c>
      <c r="H610" s="1" t="s">
        <v>700</v>
      </c>
      <c r="I610" s="2"/>
      <c r="K610">
        <v>14.5</v>
      </c>
      <c r="L610" s="1" t="s">
        <v>49</v>
      </c>
      <c r="M610" s="1" t="s">
        <v>149</v>
      </c>
    </row>
    <row r="611" spans="1:13" x14ac:dyDescent="0.25">
      <c r="A611" s="1" t="s">
        <v>1370</v>
      </c>
      <c r="B611" s="1" t="s">
        <v>44</v>
      </c>
      <c r="C611" s="1" t="s">
        <v>813</v>
      </c>
      <c r="D611" s="1" t="s">
        <v>90</v>
      </c>
      <c r="E611" s="1" t="s">
        <v>100</v>
      </c>
      <c r="F611" s="1" t="s">
        <v>18</v>
      </c>
      <c r="G611">
        <v>105930</v>
      </c>
      <c r="H611" s="1" t="s">
        <v>1154</v>
      </c>
      <c r="I611" s="2">
        <v>45127</v>
      </c>
      <c r="J611">
        <v>64</v>
      </c>
      <c r="L611" s="1" t="s">
        <v>49</v>
      </c>
      <c r="M611" s="1" t="s">
        <v>30</v>
      </c>
    </row>
    <row r="612" spans="1:13" x14ac:dyDescent="0.25">
      <c r="A612" s="1" t="s">
        <v>1371</v>
      </c>
      <c r="B612" s="1" t="s">
        <v>75</v>
      </c>
      <c r="C612" s="1" t="s">
        <v>644</v>
      </c>
      <c r="D612" s="1" t="s">
        <v>39</v>
      </c>
      <c r="E612" s="1" t="s">
        <v>17</v>
      </c>
      <c r="F612" s="1" t="s">
        <v>40</v>
      </c>
      <c r="G612">
        <v>174665</v>
      </c>
      <c r="H612" s="1" t="s">
        <v>437</v>
      </c>
      <c r="I612" s="2">
        <v>45227</v>
      </c>
      <c r="J612">
        <v>152</v>
      </c>
      <c r="K612">
        <v>9.3000000000000007</v>
      </c>
      <c r="L612" s="1" t="s">
        <v>96</v>
      </c>
      <c r="M612" s="1" t="s">
        <v>30</v>
      </c>
    </row>
    <row r="613" spans="1:13" x14ac:dyDescent="0.25">
      <c r="A613" s="1" t="s">
        <v>1372</v>
      </c>
      <c r="B613" s="1" t="s">
        <v>14</v>
      </c>
      <c r="C613" s="1" t="s">
        <v>442</v>
      </c>
      <c r="D613" s="1" t="s">
        <v>25</v>
      </c>
      <c r="E613" s="1" t="s">
        <v>17</v>
      </c>
      <c r="F613" s="1" t="s">
        <v>129</v>
      </c>
      <c r="G613">
        <v>343024</v>
      </c>
      <c r="H613" s="1" t="s">
        <v>1118</v>
      </c>
      <c r="I613" s="2"/>
      <c r="L613" s="1" t="s">
        <v>20</v>
      </c>
      <c r="M613" s="1" t="s">
        <v>35</v>
      </c>
    </row>
    <row r="614" spans="1:13" x14ac:dyDescent="0.25">
      <c r="A614" s="1" t="s">
        <v>1373</v>
      </c>
      <c r="B614" s="1" t="s">
        <v>98</v>
      </c>
      <c r="C614" s="1" t="s">
        <v>838</v>
      </c>
      <c r="D614" s="1" t="s">
        <v>39</v>
      </c>
      <c r="E614" s="1" t="s">
        <v>100</v>
      </c>
      <c r="F614" s="1" t="s">
        <v>129</v>
      </c>
      <c r="G614">
        <v>194687</v>
      </c>
      <c r="H614" s="1" t="s">
        <v>612</v>
      </c>
      <c r="I614" s="2"/>
      <c r="K614">
        <v>0.6</v>
      </c>
      <c r="L614" s="1" t="s">
        <v>96</v>
      </c>
      <c r="M614" s="1" t="s">
        <v>102</v>
      </c>
    </row>
    <row r="615" spans="1:13" x14ac:dyDescent="0.25">
      <c r="A615" s="1" t="s">
        <v>1374</v>
      </c>
      <c r="B615" s="1" t="s">
        <v>80</v>
      </c>
      <c r="C615" s="1" t="s">
        <v>45</v>
      </c>
      <c r="D615" s="1" t="s">
        <v>16</v>
      </c>
      <c r="E615" s="1" t="s">
        <v>26</v>
      </c>
      <c r="F615" s="1" t="s">
        <v>40</v>
      </c>
      <c r="G615">
        <v>89575</v>
      </c>
      <c r="H615" s="1" t="s">
        <v>937</v>
      </c>
      <c r="I615" s="2">
        <v>45829</v>
      </c>
      <c r="J615">
        <v>142</v>
      </c>
      <c r="K615">
        <v>17.399999999999999</v>
      </c>
      <c r="L615" s="1" t="s">
        <v>20</v>
      </c>
      <c r="M615" s="1" t="s">
        <v>63</v>
      </c>
    </row>
    <row r="616" spans="1:13" x14ac:dyDescent="0.25">
      <c r="A616" s="1" t="s">
        <v>1375</v>
      </c>
      <c r="B616" s="1" t="s">
        <v>37</v>
      </c>
      <c r="C616" s="1" t="s">
        <v>208</v>
      </c>
      <c r="D616" s="1" t="s">
        <v>25</v>
      </c>
      <c r="E616" s="1" t="s">
        <v>94</v>
      </c>
      <c r="F616" s="1" t="s">
        <v>129</v>
      </c>
      <c r="G616">
        <v>268446</v>
      </c>
      <c r="H616" s="1" t="s">
        <v>919</v>
      </c>
      <c r="I616" s="2"/>
      <c r="L616" s="1" t="s">
        <v>49</v>
      </c>
      <c r="M616" s="1" t="s">
        <v>69</v>
      </c>
    </row>
    <row r="617" spans="1:13" x14ac:dyDescent="0.25">
      <c r="A617" s="1" t="s">
        <v>1376</v>
      </c>
      <c r="B617" s="1" t="s">
        <v>80</v>
      </c>
      <c r="C617" s="1" t="s">
        <v>1377</v>
      </c>
      <c r="D617" s="1" t="s">
        <v>67</v>
      </c>
      <c r="E617" s="1" t="s">
        <v>17</v>
      </c>
      <c r="F617" s="1" t="s">
        <v>53</v>
      </c>
      <c r="G617">
        <v>48973</v>
      </c>
      <c r="H617" s="1" t="s">
        <v>1378</v>
      </c>
      <c r="I617" s="2"/>
      <c r="L617" s="1" t="s">
        <v>96</v>
      </c>
      <c r="M617" s="1" t="s">
        <v>149</v>
      </c>
    </row>
    <row r="618" spans="1:13" x14ac:dyDescent="0.25">
      <c r="A618" s="1" t="s">
        <v>1379</v>
      </c>
      <c r="B618" s="1" t="s">
        <v>14</v>
      </c>
      <c r="C618" s="1" t="s">
        <v>162</v>
      </c>
      <c r="D618" s="1" t="s">
        <v>39</v>
      </c>
      <c r="E618" s="1" t="s">
        <v>26</v>
      </c>
      <c r="F618" s="1" t="s">
        <v>27</v>
      </c>
      <c r="G618">
        <v>335462</v>
      </c>
      <c r="H618" s="1" t="s">
        <v>1380</v>
      </c>
      <c r="I618" s="2"/>
      <c r="K618">
        <v>10.5</v>
      </c>
      <c r="L618" s="1" t="s">
        <v>96</v>
      </c>
      <c r="M618" s="1" t="s">
        <v>30</v>
      </c>
    </row>
    <row r="619" spans="1:13" x14ac:dyDescent="0.25">
      <c r="A619" s="1" t="s">
        <v>1381</v>
      </c>
      <c r="B619" s="1" t="s">
        <v>84</v>
      </c>
      <c r="C619" s="1" t="s">
        <v>186</v>
      </c>
      <c r="D619" s="1" t="s">
        <v>46</v>
      </c>
      <c r="E619" s="1" t="s">
        <v>77</v>
      </c>
      <c r="F619" s="1" t="s">
        <v>18</v>
      </c>
      <c r="G619">
        <v>452376</v>
      </c>
      <c r="H619" s="1" t="s">
        <v>750</v>
      </c>
      <c r="I619" s="2">
        <v>45148</v>
      </c>
      <c r="J619">
        <v>174</v>
      </c>
      <c r="K619">
        <v>14.9</v>
      </c>
      <c r="L619" s="1" t="s">
        <v>96</v>
      </c>
      <c r="M619" s="1" t="s">
        <v>35</v>
      </c>
    </row>
    <row r="620" spans="1:13" x14ac:dyDescent="0.25">
      <c r="A620" s="1" t="s">
        <v>1382</v>
      </c>
      <c r="B620" s="1" t="s">
        <v>75</v>
      </c>
      <c r="C620" s="1" t="s">
        <v>316</v>
      </c>
      <c r="D620" s="1" t="s">
        <v>25</v>
      </c>
      <c r="E620" s="1" t="s">
        <v>61</v>
      </c>
      <c r="F620" s="1" t="s">
        <v>18</v>
      </c>
      <c r="G620">
        <v>470136</v>
      </c>
      <c r="H620" s="1" t="s">
        <v>1383</v>
      </c>
      <c r="I620" s="2">
        <v>45196</v>
      </c>
      <c r="J620">
        <v>137</v>
      </c>
      <c r="L620" s="1" t="s">
        <v>96</v>
      </c>
      <c r="M620" s="1" t="s">
        <v>30</v>
      </c>
    </row>
    <row r="621" spans="1:13" x14ac:dyDescent="0.25">
      <c r="A621" s="1" t="s">
        <v>1384</v>
      </c>
      <c r="B621" s="1" t="s">
        <v>104</v>
      </c>
      <c r="C621" s="1" t="s">
        <v>255</v>
      </c>
      <c r="D621" s="1" t="s">
        <v>39</v>
      </c>
      <c r="E621" s="1" t="s">
        <v>72</v>
      </c>
      <c r="F621" s="1" t="s">
        <v>40</v>
      </c>
      <c r="G621">
        <v>482126</v>
      </c>
      <c r="H621" s="1" t="s">
        <v>238</v>
      </c>
      <c r="I621" s="2">
        <v>45081</v>
      </c>
      <c r="J621">
        <v>150</v>
      </c>
      <c r="K621">
        <v>12.4</v>
      </c>
      <c r="L621" s="1" t="s">
        <v>96</v>
      </c>
      <c r="M621" s="1" t="s">
        <v>35</v>
      </c>
    </row>
    <row r="622" spans="1:13" x14ac:dyDescent="0.25">
      <c r="A622" s="1" t="s">
        <v>1385</v>
      </c>
      <c r="B622" s="1" t="s">
        <v>65</v>
      </c>
      <c r="C622" s="1" t="s">
        <v>1172</v>
      </c>
      <c r="D622" s="1" t="s">
        <v>46</v>
      </c>
      <c r="E622" s="1" t="s">
        <v>72</v>
      </c>
      <c r="F622" s="1" t="s">
        <v>33</v>
      </c>
      <c r="G622">
        <v>252968</v>
      </c>
      <c r="H622" s="1" t="s">
        <v>391</v>
      </c>
      <c r="I622" s="2"/>
      <c r="L622" s="1" t="s">
        <v>29</v>
      </c>
      <c r="M622" s="1" t="s">
        <v>69</v>
      </c>
    </row>
    <row r="623" spans="1:13" x14ac:dyDescent="0.25">
      <c r="A623" s="1" t="s">
        <v>1386</v>
      </c>
      <c r="B623" s="1" t="s">
        <v>59</v>
      </c>
      <c r="C623" s="1" t="s">
        <v>141</v>
      </c>
      <c r="D623" s="1" t="s">
        <v>39</v>
      </c>
      <c r="E623" s="1" t="s">
        <v>100</v>
      </c>
      <c r="F623" s="1" t="s">
        <v>40</v>
      </c>
      <c r="G623">
        <v>84826</v>
      </c>
      <c r="H623" s="1" t="s">
        <v>1387</v>
      </c>
      <c r="I623" s="2">
        <v>45471</v>
      </c>
      <c r="J623">
        <v>123</v>
      </c>
      <c r="K623">
        <v>24.9</v>
      </c>
      <c r="L623" s="1" t="s">
        <v>96</v>
      </c>
      <c r="M623" s="1" t="s">
        <v>69</v>
      </c>
    </row>
    <row r="624" spans="1:13" x14ac:dyDescent="0.25">
      <c r="A624" s="1" t="s">
        <v>1388</v>
      </c>
      <c r="B624" s="1" t="s">
        <v>104</v>
      </c>
      <c r="C624" s="1" t="s">
        <v>279</v>
      </c>
      <c r="D624" s="1" t="s">
        <v>90</v>
      </c>
      <c r="E624" s="1" t="s">
        <v>17</v>
      </c>
      <c r="F624" s="1" t="s">
        <v>33</v>
      </c>
      <c r="G624">
        <v>34920</v>
      </c>
      <c r="H624" s="1" t="s">
        <v>968</v>
      </c>
      <c r="I624" s="2"/>
      <c r="L624" s="1" t="s">
        <v>96</v>
      </c>
      <c r="M624" s="1" t="s">
        <v>149</v>
      </c>
    </row>
    <row r="625" spans="1:13" x14ac:dyDescent="0.25">
      <c r="A625" s="1" t="s">
        <v>1389</v>
      </c>
      <c r="B625" s="1" t="s">
        <v>104</v>
      </c>
      <c r="C625" s="1" t="s">
        <v>1278</v>
      </c>
      <c r="D625" s="1" t="s">
        <v>46</v>
      </c>
      <c r="E625" s="1" t="s">
        <v>61</v>
      </c>
      <c r="F625" s="1" t="s">
        <v>27</v>
      </c>
      <c r="G625">
        <v>89128</v>
      </c>
      <c r="H625" s="1" t="s">
        <v>293</v>
      </c>
      <c r="I625" s="2"/>
      <c r="K625">
        <v>7.7</v>
      </c>
      <c r="L625" s="1" t="s">
        <v>20</v>
      </c>
      <c r="M625" s="1" t="s">
        <v>42</v>
      </c>
    </row>
    <row r="626" spans="1:13" x14ac:dyDescent="0.25">
      <c r="A626" s="1" t="s">
        <v>1390</v>
      </c>
      <c r="B626" s="1" t="s">
        <v>80</v>
      </c>
      <c r="C626" s="1" t="s">
        <v>358</v>
      </c>
      <c r="D626" s="1" t="s">
        <v>67</v>
      </c>
      <c r="E626" s="1" t="s">
        <v>47</v>
      </c>
      <c r="F626" s="1" t="s">
        <v>27</v>
      </c>
      <c r="G626">
        <v>138833</v>
      </c>
      <c r="H626" s="1" t="s">
        <v>1044</v>
      </c>
      <c r="I626" s="2"/>
      <c r="L626" s="1" t="s">
        <v>29</v>
      </c>
      <c r="M626" s="1" t="s">
        <v>63</v>
      </c>
    </row>
    <row r="627" spans="1:13" x14ac:dyDescent="0.25">
      <c r="A627" s="1" t="s">
        <v>1391</v>
      </c>
      <c r="B627" s="1" t="s">
        <v>14</v>
      </c>
      <c r="C627" s="1" t="s">
        <v>782</v>
      </c>
      <c r="D627" s="1" t="s">
        <v>46</v>
      </c>
      <c r="E627" s="1" t="s">
        <v>26</v>
      </c>
      <c r="F627" s="1" t="s">
        <v>40</v>
      </c>
      <c r="G627">
        <v>455079</v>
      </c>
      <c r="H627" s="1" t="s">
        <v>691</v>
      </c>
      <c r="I627" s="2">
        <v>45755</v>
      </c>
      <c r="J627">
        <v>35</v>
      </c>
      <c r="K627">
        <v>15.2</v>
      </c>
      <c r="L627" s="1" t="s">
        <v>20</v>
      </c>
      <c r="M627" s="1" t="s">
        <v>63</v>
      </c>
    </row>
    <row r="628" spans="1:13" x14ac:dyDescent="0.25">
      <c r="A628" s="1" t="s">
        <v>1392</v>
      </c>
      <c r="B628" s="1" t="s">
        <v>98</v>
      </c>
      <c r="C628" s="1" t="s">
        <v>132</v>
      </c>
      <c r="D628" s="1" t="s">
        <v>25</v>
      </c>
      <c r="E628" s="1" t="s">
        <v>100</v>
      </c>
      <c r="F628" s="1" t="s">
        <v>129</v>
      </c>
      <c r="G628">
        <v>188014</v>
      </c>
      <c r="H628" s="1" t="s">
        <v>391</v>
      </c>
      <c r="I628" s="2"/>
      <c r="K628">
        <v>14.5</v>
      </c>
      <c r="L628" s="1" t="s">
        <v>49</v>
      </c>
      <c r="M628" s="1" t="s">
        <v>69</v>
      </c>
    </row>
    <row r="629" spans="1:13" x14ac:dyDescent="0.25">
      <c r="A629" s="1" t="s">
        <v>1393</v>
      </c>
      <c r="B629" s="1" t="s">
        <v>88</v>
      </c>
      <c r="C629" s="1" t="s">
        <v>364</v>
      </c>
      <c r="D629" s="1" t="s">
        <v>46</v>
      </c>
      <c r="E629" s="1" t="s">
        <v>72</v>
      </c>
      <c r="F629" s="1" t="s">
        <v>129</v>
      </c>
      <c r="G629">
        <v>245606</v>
      </c>
      <c r="H629" s="1" t="s">
        <v>1034</v>
      </c>
      <c r="I629" s="2"/>
      <c r="K629">
        <v>8.1</v>
      </c>
      <c r="L629" s="1" t="s">
        <v>20</v>
      </c>
      <c r="M629" s="1" t="s">
        <v>102</v>
      </c>
    </row>
    <row r="630" spans="1:13" x14ac:dyDescent="0.25">
      <c r="A630" s="1" t="s">
        <v>1394</v>
      </c>
      <c r="B630" s="1" t="s">
        <v>65</v>
      </c>
      <c r="C630" s="1" t="s">
        <v>258</v>
      </c>
      <c r="D630" s="1" t="s">
        <v>46</v>
      </c>
      <c r="E630" s="1" t="s">
        <v>26</v>
      </c>
      <c r="F630" s="1" t="s">
        <v>33</v>
      </c>
      <c r="G630">
        <v>90630</v>
      </c>
      <c r="H630" s="1" t="s">
        <v>1395</v>
      </c>
      <c r="I630" s="2"/>
      <c r="K630">
        <v>6.2</v>
      </c>
      <c r="L630" s="1" t="s">
        <v>96</v>
      </c>
      <c r="M630" s="1" t="s">
        <v>102</v>
      </c>
    </row>
    <row r="631" spans="1:13" x14ac:dyDescent="0.25">
      <c r="A631" s="1" t="s">
        <v>1396</v>
      </c>
      <c r="B631" s="1" t="s">
        <v>88</v>
      </c>
      <c r="C631" s="1" t="s">
        <v>1397</v>
      </c>
      <c r="D631" s="1" t="s">
        <v>39</v>
      </c>
      <c r="E631" s="1" t="s">
        <v>94</v>
      </c>
      <c r="F631" s="1" t="s">
        <v>27</v>
      </c>
      <c r="G631">
        <v>401520</v>
      </c>
      <c r="H631" s="1" t="s">
        <v>1398</v>
      </c>
      <c r="I631" s="2"/>
      <c r="L631" s="1" t="s">
        <v>20</v>
      </c>
      <c r="M631" s="1" t="s">
        <v>42</v>
      </c>
    </row>
    <row r="632" spans="1:13" x14ac:dyDescent="0.25">
      <c r="A632" s="1" t="s">
        <v>1399</v>
      </c>
      <c r="B632" s="1" t="s">
        <v>37</v>
      </c>
      <c r="C632" s="1" t="s">
        <v>279</v>
      </c>
      <c r="D632" s="1" t="s">
        <v>90</v>
      </c>
      <c r="E632" s="1" t="s">
        <v>17</v>
      </c>
      <c r="F632" s="1" t="s">
        <v>53</v>
      </c>
      <c r="G632">
        <v>395890</v>
      </c>
      <c r="H632" s="1" t="s">
        <v>1400</v>
      </c>
      <c r="I632" s="2"/>
      <c r="K632">
        <v>10.7</v>
      </c>
      <c r="L632" s="1" t="s">
        <v>49</v>
      </c>
      <c r="M632" s="1" t="s">
        <v>102</v>
      </c>
    </row>
    <row r="633" spans="1:13" x14ac:dyDescent="0.25">
      <c r="A633" s="1" t="s">
        <v>1401</v>
      </c>
      <c r="B633" s="1" t="s">
        <v>98</v>
      </c>
      <c r="C633" s="1" t="s">
        <v>85</v>
      </c>
      <c r="D633" s="1" t="s">
        <v>25</v>
      </c>
      <c r="E633" s="1" t="s">
        <v>72</v>
      </c>
      <c r="F633" s="1" t="s">
        <v>40</v>
      </c>
      <c r="G633">
        <v>322078</v>
      </c>
      <c r="H633" s="1" t="s">
        <v>1402</v>
      </c>
      <c r="I633" s="2">
        <v>45675</v>
      </c>
      <c r="J633">
        <v>104</v>
      </c>
      <c r="K633">
        <v>7.1</v>
      </c>
      <c r="L633" s="1" t="s">
        <v>49</v>
      </c>
      <c r="M633" s="1" t="s">
        <v>42</v>
      </c>
    </row>
    <row r="634" spans="1:13" x14ac:dyDescent="0.25">
      <c r="A634" s="1" t="s">
        <v>1403</v>
      </c>
      <c r="B634" s="1" t="s">
        <v>59</v>
      </c>
      <c r="C634" s="1" t="s">
        <v>420</v>
      </c>
      <c r="D634" s="1" t="s">
        <v>90</v>
      </c>
      <c r="E634" s="1" t="s">
        <v>72</v>
      </c>
      <c r="F634" s="1" t="s">
        <v>53</v>
      </c>
      <c r="G634">
        <v>193667</v>
      </c>
      <c r="H634" s="1" t="s">
        <v>467</v>
      </c>
      <c r="I634" s="2"/>
      <c r="K634">
        <v>2.1</v>
      </c>
      <c r="L634" s="1" t="s">
        <v>49</v>
      </c>
      <c r="M634" s="1" t="s">
        <v>21</v>
      </c>
    </row>
    <row r="635" spans="1:13" x14ac:dyDescent="0.25">
      <c r="A635" s="1" t="s">
        <v>1404</v>
      </c>
      <c r="B635" s="1" t="s">
        <v>84</v>
      </c>
      <c r="C635" s="1" t="s">
        <v>1354</v>
      </c>
      <c r="D635" s="1" t="s">
        <v>67</v>
      </c>
      <c r="E635" s="1" t="s">
        <v>26</v>
      </c>
      <c r="F635" s="1" t="s">
        <v>53</v>
      </c>
      <c r="G635">
        <v>242818</v>
      </c>
      <c r="H635" s="1" t="s">
        <v>1405</v>
      </c>
      <c r="I635" s="2"/>
      <c r="K635">
        <v>14.6</v>
      </c>
      <c r="L635" s="1" t="s">
        <v>96</v>
      </c>
      <c r="M635" s="1" t="s">
        <v>21</v>
      </c>
    </row>
    <row r="636" spans="1:13" x14ac:dyDescent="0.25">
      <c r="A636" s="1" t="s">
        <v>1406</v>
      </c>
      <c r="B636" s="1" t="s">
        <v>14</v>
      </c>
      <c r="C636" s="1" t="s">
        <v>186</v>
      </c>
      <c r="D636" s="1" t="s">
        <v>46</v>
      </c>
      <c r="E636" s="1" t="s">
        <v>100</v>
      </c>
      <c r="F636" s="1" t="s">
        <v>27</v>
      </c>
      <c r="G636">
        <v>346611</v>
      </c>
      <c r="H636" s="1" t="s">
        <v>1407</v>
      </c>
      <c r="I636" s="2"/>
      <c r="K636">
        <v>13.5</v>
      </c>
      <c r="L636" s="1" t="s">
        <v>29</v>
      </c>
      <c r="M636" s="1" t="s">
        <v>107</v>
      </c>
    </row>
    <row r="637" spans="1:13" x14ac:dyDescent="0.25">
      <c r="A637" s="1" t="s">
        <v>1408</v>
      </c>
      <c r="B637" s="1" t="s">
        <v>109</v>
      </c>
      <c r="C637" s="1" t="s">
        <v>898</v>
      </c>
      <c r="D637" s="1" t="s">
        <v>90</v>
      </c>
      <c r="E637" s="1" t="s">
        <v>17</v>
      </c>
      <c r="F637" s="1" t="s">
        <v>129</v>
      </c>
      <c r="G637">
        <v>105268</v>
      </c>
      <c r="H637" s="1" t="s">
        <v>440</v>
      </c>
      <c r="I637" s="2"/>
      <c r="K637">
        <v>8.1999999999999993</v>
      </c>
      <c r="L637" s="1" t="s">
        <v>20</v>
      </c>
      <c r="M637" s="1" t="s">
        <v>30</v>
      </c>
    </row>
    <row r="638" spans="1:13" x14ac:dyDescent="0.25">
      <c r="A638" s="1" t="s">
        <v>1409</v>
      </c>
      <c r="B638" s="1" t="s">
        <v>23</v>
      </c>
      <c r="C638" s="1" t="s">
        <v>1410</v>
      </c>
      <c r="D638" s="1" t="s">
        <v>67</v>
      </c>
      <c r="E638" s="1" t="s">
        <v>72</v>
      </c>
      <c r="F638" s="1" t="s">
        <v>53</v>
      </c>
      <c r="G638">
        <v>66805</v>
      </c>
      <c r="H638" s="1" t="s">
        <v>1411</v>
      </c>
      <c r="I638" s="2"/>
      <c r="L638" s="1" t="s">
        <v>49</v>
      </c>
      <c r="M638" s="1" t="s">
        <v>69</v>
      </c>
    </row>
    <row r="639" spans="1:13" x14ac:dyDescent="0.25">
      <c r="A639" s="1" t="s">
        <v>1412</v>
      </c>
      <c r="B639" s="1" t="s">
        <v>98</v>
      </c>
      <c r="C639" s="1" t="s">
        <v>144</v>
      </c>
      <c r="D639" s="1" t="s">
        <v>25</v>
      </c>
      <c r="E639" s="1" t="s">
        <v>100</v>
      </c>
      <c r="F639" s="1" t="s">
        <v>40</v>
      </c>
      <c r="G639">
        <v>234610</v>
      </c>
      <c r="H639" s="1" t="s">
        <v>1413</v>
      </c>
      <c r="I639" s="2">
        <v>44999</v>
      </c>
      <c r="J639">
        <v>25</v>
      </c>
      <c r="K639">
        <v>3.2</v>
      </c>
      <c r="L639" s="1" t="s">
        <v>49</v>
      </c>
      <c r="M639" s="1" t="s">
        <v>35</v>
      </c>
    </row>
    <row r="640" spans="1:13" x14ac:dyDescent="0.25">
      <c r="A640" s="1" t="s">
        <v>1414</v>
      </c>
      <c r="B640" s="1" t="s">
        <v>65</v>
      </c>
      <c r="C640" s="1" t="s">
        <v>1415</v>
      </c>
      <c r="D640" s="1" t="s">
        <v>25</v>
      </c>
      <c r="E640" s="1" t="s">
        <v>100</v>
      </c>
      <c r="F640" s="1" t="s">
        <v>18</v>
      </c>
      <c r="G640">
        <v>148395</v>
      </c>
      <c r="H640" s="1" t="s">
        <v>1416</v>
      </c>
      <c r="I640" s="2">
        <v>45423</v>
      </c>
      <c r="J640">
        <v>72</v>
      </c>
      <c r="K640">
        <v>0.5</v>
      </c>
      <c r="L640" s="1" t="s">
        <v>49</v>
      </c>
      <c r="M640" s="1" t="s">
        <v>69</v>
      </c>
    </row>
    <row r="641" spans="1:13" x14ac:dyDescent="0.25">
      <c r="A641" s="1" t="s">
        <v>1417</v>
      </c>
      <c r="B641" s="1" t="s">
        <v>173</v>
      </c>
      <c r="C641" s="1" t="s">
        <v>457</v>
      </c>
      <c r="D641" s="1" t="s">
        <v>67</v>
      </c>
      <c r="E641" s="1" t="s">
        <v>100</v>
      </c>
      <c r="F641" s="1" t="s">
        <v>40</v>
      </c>
      <c r="G641">
        <v>436243</v>
      </c>
      <c r="H641" s="1" t="s">
        <v>1418</v>
      </c>
      <c r="I641" s="2">
        <v>45715</v>
      </c>
      <c r="J641">
        <v>117</v>
      </c>
      <c r="K641">
        <v>18.5</v>
      </c>
      <c r="L641" s="1" t="s">
        <v>49</v>
      </c>
      <c r="M641" s="1" t="s">
        <v>42</v>
      </c>
    </row>
    <row r="642" spans="1:13" x14ac:dyDescent="0.25">
      <c r="A642" s="1" t="s">
        <v>1419</v>
      </c>
      <c r="B642" s="1" t="s">
        <v>88</v>
      </c>
      <c r="C642" s="1" t="s">
        <v>614</v>
      </c>
      <c r="D642" s="1" t="s">
        <v>67</v>
      </c>
      <c r="E642" s="1" t="s">
        <v>26</v>
      </c>
      <c r="F642" s="1" t="s">
        <v>18</v>
      </c>
      <c r="G642">
        <v>187540</v>
      </c>
      <c r="H642" s="1" t="s">
        <v>610</v>
      </c>
      <c r="I642" s="2">
        <v>45386</v>
      </c>
      <c r="J642">
        <v>46</v>
      </c>
      <c r="K642">
        <v>6.4</v>
      </c>
      <c r="L642" s="1" t="s">
        <v>49</v>
      </c>
      <c r="M642" s="1" t="s">
        <v>69</v>
      </c>
    </row>
    <row r="643" spans="1:13" x14ac:dyDescent="0.25">
      <c r="A643" s="1" t="s">
        <v>1420</v>
      </c>
      <c r="B643" s="1" t="s">
        <v>51</v>
      </c>
      <c r="C643" s="1" t="s">
        <v>720</v>
      </c>
      <c r="D643" s="1" t="s">
        <v>16</v>
      </c>
      <c r="E643" s="1" t="s">
        <v>47</v>
      </c>
      <c r="F643" s="1" t="s">
        <v>33</v>
      </c>
      <c r="G643">
        <v>438009</v>
      </c>
      <c r="H643" s="1" t="s">
        <v>1421</v>
      </c>
      <c r="I643" s="2"/>
      <c r="K643">
        <v>3.7</v>
      </c>
      <c r="L643" s="1" t="s">
        <v>20</v>
      </c>
      <c r="M643" s="1" t="s">
        <v>35</v>
      </c>
    </row>
    <row r="644" spans="1:13" x14ac:dyDescent="0.25">
      <c r="A644" s="1" t="s">
        <v>1422</v>
      </c>
      <c r="B644" s="1" t="s">
        <v>84</v>
      </c>
      <c r="C644" s="1" t="s">
        <v>85</v>
      </c>
      <c r="D644" s="1" t="s">
        <v>39</v>
      </c>
      <c r="E644" s="1" t="s">
        <v>26</v>
      </c>
      <c r="F644" s="1" t="s">
        <v>33</v>
      </c>
      <c r="G644">
        <v>200090</v>
      </c>
      <c r="H644" s="1" t="s">
        <v>516</v>
      </c>
      <c r="I644" s="2"/>
      <c r="K644">
        <v>13.3</v>
      </c>
      <c r="L644" s="1" t="s">
        <v>49</v>
      </c>
      <c r="M644" s="1" t="s">
        <v>69</v>
      </c>
    </row>
    <row r="645" spans="1:13" x14ac:dyDescent="0.25">
      <c r="A645" s="1" t="s">
        <v>1423</v>
      </c>
      <c r="B645" s="1" t="s">
        <v>75</v>
      </c>
      <c r="C645" s="1" t="s">
        <v>325</v>
      </c>
      <c r="D645" s="1" t="s">
        <v>67</v>
      </c>
      <c r="E645" s="1" t="s">
        <v>26</v>
      </c>
      <c r="F645" s="1" t="s">
        <v>53</v>
      </c>
      <c r="G645">
        <v>156695</v>
      </c>
      <c r="H645" s="1" t="s">
        <v>277</v>
      </c>
      <c r="I645" s="2"/>
      <c r="K645">
        <v>6.6</v>
      </c>
      <c r="L645" s="1" t="s">
        <v>20</v>
      </c>
      <c r="M645" s="1" t="s">
        <v>107</v>
      </c>
    </row>
    <row r="646" spans="1:13" x14ac:dyDescent="0.25">
      <c r="A646" s="1" t="s">
        <v>1424</v>
      </c>
      <c r="B646" s="1" t="s">
        <v>14</v>
      </c>
      <c r="C646" s="1" t="s">
        <v>128</v>
      </c>
      <c r="D646" s="1" t="s">
        <v>46</v>
      </c>
      <c r="E646" s="1" t="s">
        <v>72</v>
      </c>
      <c r="F646" s="1" t="s">
        <v>27</v>
      </c>
      <c r="G646">
        <v>327889</v>
      </c>
      <c r="H646" s="1" t="s">
        <v>1425</v>
      </c>
      <c r="I646" s="2"/>
      <c r="K646">
        <v>3.6</v>
      </c>
      <c r="L646" s="1" t="s">
        <v>96</v>
      </c>
      <c r="M646" s="1" t="s">
        <v>102</v>
      </c>
    </row>
    <row r="647" spans="1:13" x14ac:dyDescent="0.25">
      <c r="A647" s="1" t="s">
        <v>1426</v>
      </c>
      <c r="B647" s="1" t="s">
        <v>37</v>
      </c>
      <c r="C647" s="1" t="s">
        <v>390</v>
      </c>
      <c r="D647" s="1" t="s">
        <v>67</v>
      </c>
      <c r="E647" s="1" t="s">
        <v>72</v>
      </c>
      <c r="F647" s="1" t="s">
        <v>129</v>
      </c>
      <c r="G647">
        <v>147438</v>
      </c>
      <c r="H647" s="1" t="s">
        <v>1427</v>
      </c>
      <c r="I647" s="2"/>
      <c r="K647">
        <v>5.8</v>
      </c>
      <c r="L647" s="1" t="s">
        <v>29</v>
      </c>
      <c r="M647" s="1" t="s">
        <v>35</v>
      </c>
    </row>
    <row r="648" spans="1:13" x14ac:dyDescent="0.25">
      <c r="A648" s="1" t="s">
        <v>1428</v>
      </c>
      <c r="B648" s="1" t="s">
        <v>37</v>
      </c>
      <c r="C648" s="1" t="s">
        <v>862</v>
      </c>
      <c r="D648" s="1" t="s">
        <v>39</v>
      </c>
      <c r="E648" s="1" t="s">
        <v>100</v>
      </c>
      <c r="F648" s="1" t="s">
        <v>40</v>
      </c>
      <c r="G648">
        <v>85696</v>
      </c>
      <c r="H648" s="1" t="s">
        <v>1429</v>
      </c>
      <c r="I648" s="2">
        <v>45541</v>
      </c>
      <c r="J648">
        <v>16</v>
      </c>
      <c r="K648">
        <v>1.8</v>
      </c>
      <c r="L648" s="1" t="s">
        <v>49</v>
      </c>
      <c r="M648" s="1" t="s">
        <v>149</v>
      </c>
    </row>
    <row r="649" spans="1:13" x14ac:dyDescent="0.25">
      <c r="A649" s="1" t="s">
        <v>1430</v>
      </c>
      <c r="B649" s="1" t="s">
        <v>84</v>
      </c>
      <c r="C649" s="1" t="s">
        <v>165</v>
      </c>
      <c r="D649" s="1" t="s">
        <v>67</v>
      </c>
      <c r="E649" s="1" t="s">
        <v>94</v>
      </c>
      <c r="F649" s="1" t="s">
        <v>27</v>
      </c>
      <c r="G649">
        <v>486983</v>
      </c>
      <c r="H649" s="1" t="s">
        <v>670</v>
      </c>
      <c r="I649" s="2"/>
      <c r="K649">
        <v>2.8</v>
      </c>
      <c r="L649" s="1" t="s">
        <v>29</v>
      </c>
      <c r="M649" s="1" t="s">
        <v>35</v>
      </c>
    </row>
    <row r="650" spans="1:13" x14ac:dyDescent="0.25">
      <c r="A650" s="1" t="s">
        <v>1431</v>
      </c>
      <c r="B650" s="1" t="s">
        <v>14</v>
      </c>
      <c r="C650" s="1" t="s">
        <v>160</v>
      </c>
      <c r="D650" s="1" t="s">
        <v>90</v>
      </c>
      <c r="E650" s="1" t="s">
        <v>100</v>
      </c>
      <c r="F650" s="1" t="s">
        <v>40</v>
      </c>
      <c r="G650">
        <v>74527</v>
      </c>
      <c r="H650" s="1" t="s">
        <v>1432</v>
      </c>
      <c r="I650" s="2">
        <v>45013</v>
      </c>
      <c r="J650">
        <v>41</v>
      </c>
      <c r="K650">
        <v>2.6</v>
      </c>
      <c r="L650" s="1" t="s">
        <v>20</v>
      </c>
      <c r="M650" s="1" t="s">
        <v>35</v>
      </c>
    </row>
    <row r="651" spans="1:13" x14ac:dyDescent="0.25">
      <c r="A651" s="1" t="s">
        <v>1433</v>
      </c>
      <c r="B651" s="1" t="s">
        <v>98</v>
      </c>
      <c r="C651" s="1" t="s">
        <v>313</v>
      </c>
      <c r="D651" s="1" t="s">
        <v>46</v>
      </c>
      <c r="E651" s="1" t="s">
        <v>94</v>
      </c>
      <c r="F651" s="1" t="s">
        <v>40</v>
      </c>
      <c r="G651">
        <v>415397</v>
      </c>
      <c r="H651" s="1" t="s">
        <v>431</v>
      </c>
      <c r="I651" s="2">
        <v>45550</v>
      </c>
      <c r="J651">
        <v>67</v>
      </c>
      <c r="K651">
        <v>18.8</v>
      </c>
      <c r="L651" s="1" t="s">
        <v>20</v>
      </c>
      <c r="M651" s="1" t="s">
        <v>149</v>
      </c>
    </row>
    <row r="652" spans="1:13" x14ac:dyDescent="0.25">
      <c r="A652" s="1" t="s">
        <v>1434</v>
      </c>
      <c r="B652" s="1" t="s">
        <v>37</v>
      </c>
      <c r="C652" s="1" t="s">
        <v>775</v>
      </c>
      <c r="D652" s="1" t="s">
        <v>67</v>
      </c>
      <c r="E652" s="1" t="s">
        <v>17</v>
      </c>
      <c r="F652" s="1" t="s">
        <v>27</v>
      </c>
      <c r="G652">
        <v>409519</v>
      </c>
      <c r="H652" s="1" t="s">
        <v>1435</v>
      </c>
      <c r="I652" s="2"/>
      <c r="L652" s="1" t="s">
        <v>20</v>
      </c>
      <c r="M652" s="1" t="s">
        <v>149</v>
      </c>
    </row>
    <row r="653" spans="1:13" x14ac:dyDescent="0.25">
      <c r="A653" s="1" t="s">
        <v>1436</v>
      </c>
      <c r="B653" s="1" t="s">
        <v>23</v>
      </c>
      <c r="C653" s="1" t="s">
        <v>598</v>
      </c>
      <c r="D653" s="1" t="s">
        <v>46</v>
      </c>
      <c r="E653" s="1" t="s">
        <v>17</v>
      </c>
      <c r="F653" s="1" t="s">
        <v>33</v>
      </c>
      <c r="G653">
        <v>438813</v>
      </c>
      <c r="H653" s="1" t="s">
        <v>1437</v>
      </c>
      <c r="I653" s="2"/>
      <c r="K653">
        <v>2.4</v>
      </c>
      <c r="L653" s="1" t="s">
        <v>49</v>
      </c>
      <c r="M653" s="1" t="s">
        <v>107</v>
      </c>
    </row>
    <row r="654" spans="1:13" x14ac:dyDescent="0.25">
      <c r="A654" s="1" t="s">
        <v>1438</v>
      </c>
      <c r="B654" s="1" t="s">
        <v>88</v>
      </c>
      <c r="C654" s="1" t="s">
        <v>622</v>
      </c>
      <c r="D654" s="1" t="s">
        <v>39</v>
      </c>
      <c r="E654" s="1" t="s">
        <v>72</v>
      </c>
      <c r="F654" s="1" t="s">
        <v>18</v>
      </c>
      <c r="G654">
        <v>483038</v>
      </c>
      <c r="H654" s="1" t="s">
        <v>1439</v>
      </c>
      <c r="I654" s="2">
        <v>45677</v>
      </c>
      <c r="J654">
        <v>126</v>
      </c>
      <c r="K654">
        <v>8.1999999999999993</v>
      </c>
      <c r="L654" s="1" t="s">
        <v>29</v>
      </c>
      <c r="M654" s="1" t="s">
        <v>149</v>
      </c>
    </row>
    <row r="655" spans="1:13" x14ac:dyDescent="0.25">
      <c r="A655" s="1" t="s">
        <v>1440</v>
      </c>
      <c r="B655" s="1" t="s">
        <v>104</v>
      </c>
      <c r="C655" s="1" t="s">
        <v>574</v>
      </c>
      <c r="D655" s="1" t="s">
        <v>39</v>
      </c>
      <c r="E655" s="1" t="s">
        <v>17</v>
      </c>
      <c r="F655" s="1" t="s">
        <v>27</v>
      </c>
      <c r="G655">
        <v>45317</v>
      </c>
      <c r="H655" s="1" t="s">
        <v>222</v>
      </c>
      <c r="I655" s="2"/>
      <c r="L655" s="1" t="s">
        <v>96</v>
      </c>
      <c r="M655" s="1" t="s">
        <v>63</v>
      </c>
    </row>
    <row r="656" spans="1:13" x14ac:dyDescent="0.25">
      <c r="A656" s="1" t="s">
        <v>1441</v>
      </c>
      <c r="B656" s="1" t="s">
        <v>109</v>
      </c>
      <c r="C656" s="1" t="s">
        <v>967</v>
      </c>
      <c r="D656" s="1" t="s">
        <v>67</v>
      </c>
      <c r="E656" s="1" t="s">
        <v>47</v>
      </c>
      <c r="F656" s="1" t="s">
        <v>27</v>
      </c>
      <c r="G656">
        <v>301601</v>
      </c>
      <c r="H656" s="1" t="s">
        <v>965</v>
      </c>
      <c r="I656" s="2"/>
      <c r="K656">
        <v>1.9</v>
      </c>
      <c r="L656" s="1" t="s">
        <v>49</v>
      </c>
      <c r="M656" s="1" t="s">
        <v>30</v>
      </c>
    </row>
    <row r="657" spans="1:13" x14ac:dyDescent="0.25">
      <c r="A657" s="1" t="s">
        <v>1442</v>
      </c>
      <c r="B657" s="1" t="s">
        <v>59</v>
      </c>
      <c r="C657" s="1" t="s">
        <v>912</v>
      </c>
      <c r="D657" s="1" t="s">
        <v>67</v>
      </c>
      <c r="E657" s="1" t="s">
        <v>17</v>
      </c>
      <c r="F657" s="1" t="s">
        <v>40</v>
      </c>
      <c r="G657">
        <v>83149</v>
      </c>
      <c r="H657" s="1" t="s">
        <v>1443</v>
      </c>
      <c r="I657" s="2">
        <v>45611</v>
      </c>
      <c r="J657">
        <v>129</v>
      </c>
      <c r="K657">
        <v>24.7</v>
      </c>
      <c r="L657" s="1" t="s">
        <v>20</v>
      </c>
      <c r="M657" s="1" t="s">
        <v>149</v>
      </c>
    </row>
    <row r="658" spans="1:13" x14ac:dyDescent="0.25">
      <c r="A658" s="1" t="s">
        <v>1444</v>
      </c>
      <c r="B658" s="1" t="s">
        <v>51</v>
      </c>
      <c r="C658" s="1" t="s">
        <v>1147</v>
      </c>
      <c r="D658" s="1" t="s">
        <v>16</v>
      </c>
      <c r="E658" s="1" t="s">
        <v>77</v>
      </c>
      <c r="F658" s="1" t="s">
        <v>53</v>
      </c>
      <c r="G658">
        <v>490153</v>
      </c>
      <c r="H658" s="1" t="s">
        <v>532</v>
      </c>
      <c r="I658" s="2"/>
      <c r="K658">
        <v>7</v>
      </c>
      <c r="L658" s="1" t="s">
        <v>20</v>
      </c>
      <c r="M658" s="1" t="s">
        <v>30</v>
      </c>
    </row>
    <row r="659" spans="1:13" x14ac:dyDescent="0.25">
      <c r="A659" s="1" t="s">
        <v>1445</v>
      </c>
      <c r="B659" s="1" t="s">
        <v>88</v>
      </c>
      <c r="C659" s="1" t="s">
        <v>539</v>
      </c>
      <c r="D659" s="1" t="s">
        <v>16</v>
      </c>
      <c r="E659" s="1" t="s">
        <v>61</v>
      </c>
      <c r="F659" s="1" t="s">
        <v>33</v>
      </c>
      <c r="G659">
        <v>345449</v>
      </c>
      <c r="H659" s="1" t="s">
        <v>1446</v>
      </c>
      <c r="I659" s="2"/>
      <c r="K659">
        <v>13.1</v>
      </c>
      <c r="L659" s="1" t="s">
        <v>20</v>
      </c>
      <c r="M659" s="1" t="s">
        <v>149</v>
      </c>
    </row>
    <row r="660" spans="1:13" x14ac:dyDescent="0.25">
      <c r="A660" s="1" t="s">
        <v>1447</v>
      </c>
      <c r="B660" s="1" t="s">
        <v>127</v>
      </c>
      <c r="C660" s="1" t="s">
        <v>45</v>
      </c>
      <c r="D660" s="1" t="s">
        <v>16</v>
      </c>
      <c r="E660" s="1" t="s">
        <v>77</v>
      </c>
      <c r="F660" s="1" t="s">
        <v>27</v>
      </c>
      <c r="G660">
        <v>205263</v>
      </c>
      <c r="H660" s="1" t="s">
        <v>1416</v>
      </c>
      <c r="I660" s="2"/>
      <c r="K660">
        <v>5.4</v>
      </c>
      <c r="L660" s="1" t="s">
        <v>29</v>
      </c>
      <c r="M660" s="1" t="s">
        <v>69</v>
      </c>
    </row>
    <row r="661" spans="1:13" x14ac:dyDescent="0.25">
      <c r="A661" s="1" t="s">
        <v>1448</v>
      </c>
      <c r="B661" s="1" t="s">
        <v>59</v>
      </c>
      <c r="C661" s="1" t="s">
        <v>1112</v>
      </c>
      <c r="D661" s="1" t="s">
        <v>39</v>
      </c>
      <c r="E661" s="1" t="s">
        <v>51</v>
      </c>
      <c r="F661" s="1" t="s">
        <v>40</v>
      </c>
      <c r="G661">
        <v>221854</v>
      </c>
      <c r="H661" s="1" t="s">
        <v>443</v>
      </c>
      <c r="I661" s="2">
        <v>45450</v>
      </c>
      <c r="J661">
        <v>105</v>
      </c>
      <c r="K661">
        <v>3.5</v>
      </c>
      <c r="L661" s="1" t="s">
        <v>20</v>
      </c>
      <c r="M661" s="1" t="s">
        <v>69</v>
      </c>
    </row>
    <row r="662" spans="1:13" x14ac:dyDescent="0.25">
      <c r="A662" s="1" t="s">
        <v>1449</v>
      </c>
      <c r="B662" s="1" t="s">
        <v>65</v>
      </c>
      <c r="C662" s="1" t="s">
        <v>561</v>
      </c>
      <c r="D662" s="1" t="s">
        <v>67</v>
      </c>
      <c r="E662" s="1" t="s">
        <v>26</v>
      </c>
      <c r="F662" s="1" t="s">
        <v>129</v>
      </c>
      <c r="G662">
        <v>285049</v>
      </c>
      <c r="H662" s="1" t="s">
        <v>479</v>
      </c>
      <c r="I662" s="2"/>
      <c r="K662">
        <v>10.5</v>
      </c>
      <c r="L662" s="1" t="s">
        <v>96</v>
      </c>
      <c r="M662" s="1" t="s">
        <v>30</v>
      </c>
    </row>
    <row r="663" spans="1:13" x14ac:dyDescent="0.25">
      <c r="A663" s="1" t="s">
        <v>1450</v>
      </c>
      <c r="B663" s="1" t="s">
        <v>80</v>
      </c>
      <c r="C663" s="1" t="s">
        <v>1415</v>
      </c>
      <c r="D663" s="1" t="s">
        <v>90</v>
      </c>
      <c r="E663" s="1" t="s">
        <v>94</v>
      </c>
      <c r="F663" s="1" t="s">
        <v>40</v>
      </c>
      <c r="G663">
        <v>110850</v>
      </c>
      <c r="H663" s="1" t="s">
        <v>1451</v>
      </c>
      <c r="I663" s="2">
        <v>45699</v>
      </c>
      <c r="J663">
        <v>15</v>
      </c>
      <c r="K663">
        <v>20.399999999999999</v>
      </c>
      <c r="L663" s="1" t="s">
        <v>29</v>
      </c>
      <c r="M663" s="1" t="s">
        <v>63</v>
      </c>
    </row>
    <row r="664" spans="1:13" x14ac:dyDescent="0.25">
      <c r="A664" s="1" t="s">
        <v>1452</v>
      </c>
      <c r="B664" s="1" t="s">
        <v>37</v>
      </c>
      <c r="C664" s="1" t="s">
        <v>471</v>
      </c>
      <c r="D664" s="1" t="s">
        <v>16</v>
      </c>
      <c r="E664" s="1" t="s">
        <v>61</v>
      </c>
      <c r="F664" s="1" t="s">
        <v>53</v>
      </c>
      <c r="G664">
        <v>291312</v>
      </c>
      <c r="H664" s="1" t="s">
        <v>1453</v>
      </c>
      <c r="I664" s="2"/>
      <c r="L664" s="1" t="s">
        <v>49</v>
      </c>
      <c r="M664" s="1" t="s">
        <v>69</v>
      </c>
    </row>
    <row r="665" spans="1:13" x14ac:dyDescent="0.25">
      <c r="A665" s="1" t="s">
        <v>1454</v>
      </c>
      <c r="B665" s="1" t="s">
        <v>84</v>
      </c>
      <c r="C665" s="1" t="s">
        <v>1455</v>
      </c>
      <c r="D665" s="1" t="s">
        <v>25</v>
      </c>
      <c r="E665" s="1" t="s">
        <v>61</v>
      </c>
      <c r="F665" s="1" t="s">
        <v>40</v>
      </c>
      <c r="G665">
        <v>232669</v>
      </c>
      <c r="H665" s="1" t="s">
        <v>1289</v>
      </c>
      <c r="I665" s="2">
        <v>45687</v>
      </c>
      <c r="J665">
        <v>42</v>
      </c>
      <c r="K665">
        <v>1.8</v>
      </c>
      <c r="L665" s="1" t="s">
        <v>29</v>
      </c>
      <c r="M665" s="1" t="s">
        <v>42</v>
      </c>
    </row>
    <row r="666" spans="1:13" x14ac:dyDescent="0.25">
      <c r="A666" s="1" t="s">
        <v>1456</v>
      </c>
      <c r="B666" s="1" t="s">
        <v>65</v>
      </c>
      <c r="C666" s="1" t="s">
        <v>1457</v>
      </c>
      <c r="D666" s="1" t="s">
        <v>46</v>
      </c>
      <c r="E666" s="1" t="s">
        <v>47</v>
      </c>
      <c r="F666" s="1" t="s">
        <v>18</v>
      </c>
      <c r="G666">
        <v>90296</v>
      </c>
      <c r="H666" s="1" t="s">
        <v>1458</v>
      </c>
      <c r="I666" s="2">
        <v>45202</v>
      </c>
      <c r="J666">
        <v>117</v>
      </c>
      <c r="L666" s="1" t="s">
        <v>29</v>
      </c>
      <c r="M666" s="1" t="s">
        <v>30</v>
      </c>
    </row>
    <row r="667" spans="1:13" x14ac:dyDescent="0.25">
      <c r="A667" s="1" t="s">
        <v>1459</v>
      </c>
      <c r="B667" s="1" t="s">
        <v>51</v>
      </c>
      <c r="C667" s="1" t="s">
        <v>1299</v>
      </c>
      <c r="D667" s="1" t="s">
        <v>46</v>
      </c>
      <c r="E667" s="1" t="s">
        <v>47</v>
      </c>
      <c r="F667" s="1" t="s">
        <v>27</v>
      </c>
      <c r="G667">
        <v>227492</v>
      </c>
      <c r="H667" s="1" t="s">
        <v>529</v>
      </c>
      <c r="I667" s="2"/>
      <c r="K667">
        <v>10.6</v>
      </c>
      <c r="L667" s="1" t="s">
        <v>96</v>
      </c>
      <c r="M667" s="1" t="s">
        <v>63</v>
      </c>
    </row>
    <row r="668" spans="1:13" x14ac:dyDescent="0.25">
      <c r="A668" s="1" t="s">
        <v>1460</v>
      </c>
      <c r="B668" s="1" t="s">
        <v>84</v>
      </c>
      <c r="C668" s="1" t="s">
        <v>1018</v>
      </c>
      <c r="D668" s="1" t="s">
        <v>16</v>
      </c>
      <c r="E668" s="1" t="s">
        <v>77</v>
      </c>
      <c r="F668" s="1" t="s">
        <v>40</v>
      </c>
      <c r="G668">
        <v>113819</v>
      </c>
      <c r="H668" s="1" t="s">
        <v>617</v>
      </c>
      <c r="I668" s="2">
        <v>45484</v>
      </c>
      <c r="J668">
        <v>43</v>
      </c>
      <c r="K668">
        <v>20.399999999999999</v>
      </c>
      <c r="L668" s="1" t="s">
        <v>29</v>
      </c>
      <c r="M668" s="1" t="s">
        <v>107</v>
      </c>
    </row>
    <row r="669" spans="1:13" x14ac:dyDescent="0.25">
      <c r="A669" s="1" t="s">
        <v>1461</v>
      </c>
      <c r="B669" s="1" t="s">
        <v>59</v>
      </c>
      <c r="C669" s="1" t="s">
        <v>1462</v>
      </c>
      <c r="D669" s="1" t="s">
        <v>90</v>
      </c>
      <c r="E669" s="1" t="s">
        <v>72</v>
      </c>
      <c r="F669" s="1" t="s">
        <v>33</v>
      </c>
      <c r="G669">
        <v>349896</v>
      </c>
      <c r="H669" s="1" t="s">
        <v>712</v>
      </c>
      <c r="I669" s="2"/>
      <c r="K669">
        <v>1.8</v>
      </c>
      <c r="L669" s="1" t="s">
        <v>49</v>
      </c>
      <c r="M669" s="1" t="s">
        <v>107</v>
      </c>
    </row>
    <row r="670" spans="1:13" x14ac:dyDescent="0.25">
      <c r="A670" s="1" t="s">
        <v>1463</v>
      </c>
      <c r="B670" s="1" t="s">
        <v>37</v>
      </c>
      <c r="C670" s="1" t="s">
        <v>135</v>
      </c>
      <c r="D670" s="1" t="s">
        <v>39</v>
      </c>
      <c r="E670" s="1" t="s">
        <v>100</v>
      </c>
      <c r="F670" s="1" t="s">
        <v>18</v>
      </c>
      <c r="G670">
        <v>128861</v>
      </c>
      <c r="H670" s="1" t="s">
        <v>1464</v>
      </c>
      <c r="I670" s="2">
        <v>45687</v>
      </c>
      <c r="J670">
        <v>72</v>
      </c>
      <c r="K670">
        <v>10.7</v>
      </c>
      <c r="L670" s="1" t="s">
        <v>20</v>
      </c>
      <c r="M670" s="1" t="s">
        <v>42</v>
      </c>
    </row>
    <row r="671" spans="1:13" x14ac:dyDescent="0.25">
      <c r="A671" s="1" t="s">
        <v>1465</v>
      </c>
      <c r="B671" s="1" t="s">
        <v>59</v>
      </c>
      <c r="C671" s="1" t="s">
        <v>364</v>
      </c>
      <c r="D671" s="1" t="s">
        <v>16</v>
      </c>
      <c r="E671" s="1" t="s">
        <v>61</v>
      </c>
      <c r="F671" s="1" t="s">
        <v>129</v>
      </c>
      <c r="G671">
        <v>264856</v>
      </c>
      <c r="H671" s="1" t="s">
        <v>1466</v>
      </c>
      <c r="I671" s="2"/>
      <c r="K671">
        <v>9.1999999999999993</v>
      </c>
      <c r="L671" s="1" t="s">
        <v>20</v>
      </c>
      <c r="M671" s="1" t="s">
        <v>63</v>
      </c>
    </row>
    <row r="672" spans="1:13" x14ac:dyDescent="0.25">
      <c r="A672" s="1" t="s">
        <v>1467</v>
      </c>
      <c r="B672" s="1" t="s">
        <v>104</v>
      </c>
      <c r="C672" s="1" t="s">
        <v>273</v>
      </c>
      <c r="D672" s="1" t="s">
        <v>39</v>
      </c>
      <c r="E672" s="1" t="s">
        <v>94</v>
      </c>
      <c r="F672" s="1" t="s">
        <v>18</v>
      </c>
      <c r="G672">
        <v>264788</v>
      </c>
      <c r="H672" s="1" t="s">
        <v>1468</v>
      </c>
      <c r="I672" s="2">
        <v>45379</v>
      </c>
      <c r="J672">
        <v>98</v>
      </c>
      <c r="L672" s="1" t="s">
        <v>29</v>
      </c>
      <c r="M672" s="1" t="s">
        <v>21</v>
      </c>
    </row>
    <row r="673" spans="1:13" x14ac:dyDescent="0.25">
      <c r="A673" s="1" t="s">
        <v>1469</v>
      </c>
      <c r="B673" s="1" t="s">
        <v>59</v>
      </c>
      <c r="C673" s="1" t="s">
        <v>1470</v>
      </c>
      <c r="D673" s="1" t="s">
        <v>67</v>
      </c>
      <c r="E673" s="1" t="s">
        <v>72</v>
      </c>
      <c r="F673" s="1" t="s">
        <v>129</v>
      </c>
      <c r="G673">
        <v>90298</v>
      </c>
      <c r="H673" s="1" t="s">
        <v>1471</v>
      </c>
      <c r="I673" s="2"/>
      <c r="K673">
        <v>6.1</v>
      </c>
      <c r="L673" s="1" t="s">
        <v>29</v>
      </c>
      <c r="M673" s="1" t="s">
        <v>21</v>
      </c>
    </row>
    <row r="674" spans="1:13" x14ac:dyDescent="0.25">
      <c r="A674" s="1" t="s">
        <v>1472</v>
      </c>
      <c r="B674" s="1" t="s">
        <v>88</v>
      </c>
      <c r="C674" s="1" t="s">
        <v>361</v>
      </c>
      <c r="D674" s="1" t="s">
        <v>67</v>
      </c>
      <c r="E674" s="1" t="s">
        <v>47</v>
      </c>
      <c r="F674" s="1" t="s">
        <v>53</v>
      </c>
      <c r="G674">
        <v>419316</v>
      </c>
      <c r="H674" s="1" t="s">
        <v>1173</v>
      </c>
      <c r="I674" s="2"/>
      <c r="L674" s="1" t="s">
        <v>96</v>
      </c>
      <c r="M674" s="1" t="s">
        <v>107</v>
      </c>
    </row>
    <row r="675" spans="1:13" x14ac:dyDescent="0.25">
      <c r="A675" s="1" t="s">
        <v>1473</v>
      </c>
      <c r="B675" s="1" t="s">
        <v>127</v>
      </c>
      <c r="C675" s="1" t="s">
        <v>598</v>
      </c>
      <c r="D675" s="1" t="s">
        <v>25</v>
      </c>
      <c r="E675" s="1" t="s">
        <v>100</v>
      </c>
      <c r="F675" s="1" t="s">
        <v>129</v>
      </c>
      <c r="G675">
        <v>62633</v>
      </c>
      <c r="H675" s="1" t="s">
        <v>301</v>
      </c>
      <c r="I675" s="2"/>
      <c r="K675">
        <v>8.1999999999999993</v>
      </c>
      <c r="L675" s="1" t="s">
        <v>96</v>
      </c>
      <c r="M675" s="1" t="s">
        <v>149</v>
      </c>
    </row>
    <row r="676" spans="1:13" x14ac:dyDescent="0.25">
      <c r="A676" s="1" t="s">
        <v>1474</v>
      </c>
      <c r="B676" s="1" t="s">
        <v>88</v>
      </c>
      <c r="C676" s="1" t="s">
        <v>406</v>
      </c>
      <c r="D676" s="1" t="s">
        <v>16</v>
      </c>
      <c r="E676" s="1" t="s">
        <v>26</v>
      </c>
      <c r="F676" s="1" t="s">
        <v>40</v>
      </c>
      <c r="G676">
        <v>422706</v>
      </c>
      <c r="H676" s="1" t="s">
        <v>1475</v>
      </c>
      <c r="I676" s="2">
        <v>45547</v>
      </c>
      <c r="J676">
        <v>66</v>
      </c>
      <c r="K676">
        <v>12.1</v>
      </c>
      <c r="L676" s="1" t="s">
        <v>20</v>
      </c>
      <c r="M676" s="1" t="s">
        <v>149</v>
      </c>
    </row>
    <row r="677" spans="1:13" x14ac:dyDescent="0.25">
      <c r="A677" s="1" t="s">
        <v>1476</v>
      </c>
      <c r="B677" s="1" t="s">
        <v>80</v>
      </c>
      <c r="C677" s="1" t="s">
        <v>667</v>
      </c>
      <c r="D677" s="1" t="s">
        <v>39</v>
      </c>
      <c r="E677" s="1" t="s">
        <v>77</v>
      </c>
      <c r="F677" s="1" t="s">
        <v>53</v>
      </c>
      <c r="G677">
        <v>388925</v>
      </c>
      <c r="H677" s="1" t="s">
        <v>1477</v>
      </c>
      <c r="I677" s="2"/>
      <c r="K677">
        <v>3.7</v>
      </c>
      <c r="L677" s="1" t="s">
        <v>49</v>
      </c>
      <c r="M677" s="1" t="s">
        <v>42</v>
      </c>
    </row>
    <row r="678" spans="1:13" x14ac:dyDescent="0.25">
      <c r="A678" s="1" t="s">
        <v>1478</v>
      </c>
      <c r="B678" s="1" t="s">
        <v>14</v>
      </c>
      <c r="C678" s="1" t="s">
        <v>1479</v>
      </c>
      <c r="D678" s="1" t="s">
        <v>90</v>
      </c>
      <c r="E678" s="1" t="s">
        <v>26</v>
      </c>
      <c r="F678" s="1" t="s">
        <v>53</v>
      </c>
      <c r="G678">
        <v>217633</v>
      </c>
      <c r="H678" s="1" t="s">
        <v>1480</v>
      </c>
      <c r="I678" s="2"/>
      <c r="K678">
        <v>0.1</v>
      </c>
      <c r="L678" s="1" t="s">
        <v>49</v>
      </c>
      <c r="M678" s="1" t="s">
        <v>30</v>
      </c>
    </row>
    <row r="679" spans="1:13" x14ac:dyDescent="0.25">
      <c r="A679" s="1" t="s">
        <v>1481</v>
      </c>
      <c r="B679" s="1" t="s">
        <v>98</v>
      </c>
      <c r="C679" s="1" t="s">
        <v>352</v>
      </c>
      <c r="D679" s="1" t="s">
        <v>46</v>
      </c>
      <c r="E679" s="1" t="s">
        <v>17</v>
      </c>
      <c r="F679" s="1" t="s">
        <v>129</v>
      </c>
      <c r="G679">
        <v>110895</v>
      </c>
      <c r="H679" s="1" t="s">
        <v>1214</v>
      </c>
      <c r="I679" s="2"/>
      <c r="K679">
        <v>5.5</v>
      </c>
      <c r="L679" s="1" t="s">
        <v>96</v>
      </c>
      <c r="M679" s="1" t="s">
        <v>30</v>
      </c>
    </row>
    <row r="680" spans="1:13" x14ac:dyDescent="0.25">
      <c r="A680" s="1" t="s">
        <v>1482</v>
      </c>
      <c r="B680" s="1" t="s">
        <v>59</v>
      </c>
      <c r="C680" s="1" t="s">
        <v>1248</v>
      </c>
      <c r="D680" s="1" t="s">
        <v>39</v>
      </c>
      <c r="E680" s="1" t="s">
        <v>26</v>
      </c>
      <c r="F680" s="1" t="s">
        <v>129</v>
      </c>
      <c r="G680">
        <v>104916</v>
      </c>
      <c r="H680" s="1" t="s">
        <v>1483</v>
      </c>
      <c r="I680" s="2"/>
      <c r="L680" s="1" t="s">
        <v>96</v>
      </c>
      <c r="M680" s="1" t="s">
        <v>102</v>
      </c>
    </row>
    <row r="681" spans="1:13" x14ac:dyDescent="0.25">
      <c r="A681" s="1" t="s">
        <v>1484</v>
      </c>
      <c r="B681" s="1" t="s">
        <v>84</v>
      </c>
      <c r="C681" s="1" t="s">
        <v>144</v>
      </c>
      <c r="D681" s="1" t="s">
        <v>25</v>
      </c>
      <c r="E681" s="1" t="s">
        <v>61</v>
      </c>
      <c r="F681" s="1" t="s">
        <v>18</v>
      </c>
      <c r="G681">
        <v>243009</v>
      </c>
      <c r="H681" s="1" t="s">
        <v>1485</v>
      </c>
      <c r="I681" s="2">
        <v>45245</v>
      </c>
      <c r="J681">
        <v>133</v>
      </c>
      <c r="K681">
        <v>8.5</v>
      </c>
      <c r="L681" s="1" t="s">
        <v>96</v>
      </c>
      <c r="M681" s="1" t="s">
        <v>102</v>
      </c>
    </row>
    <row r="682" spans="1:13" x14ac:dyDescent="0.25">
      <c r="A682" s="1" t="s">
        <v>1486</v>
      </c>
      <c r="B682" s="1" t="s">
        <v>173</v>
      </c>
      <c r="C682" s="1" t="s">
        <v>885</v>
      </c>
      <c r="D682" s="1" t="s">
        <v>25</v>
      </c>
      <c r="E682" s="1" t="s">
        <v>100</v>
      </c>
      <c r="F682" s="1" t="s">
        <v>27</v>
      </c>
      <c r="G682">
        <v>98289</v>
      </c>
      <c r="H682" s="1" t="s">
        <v>1487</v>
      </c>
      <c r="I682" s="2"/>
      <c r="K682">
        <v>1.5</v>
      </c>
      <c r="L682" s="1" t="s">
        <v>20</v>
      </c>
      <c r="M682" s="1" t="s">
        <v>35</v>
      </c>
    </row>
    <row r="683" spans="1:13" x14ac:dyDescent="0.25">
      <c r="A683" s="1" t="s">
        <v>1488</v>
      </c>
      <c r="B683" s="1" t="s">
        <v>80</v>
      </c>
      <c r="C683" s="1" t="s">
        <v>983</v>
      </c>
      <c r="D683" s="1" t="s">
        <v>39</v>
      </c>
      <c r="E683" s="1" t="s">
        <v>72</v>
      </c>
      <c r="F683" s="1" t="s">
        <v>27</v>
      </c>
      <c r="G683">
        <v>71111</v>
      </c>
      <c r="H683" s="1" t="s">
        <v>1140</v>
      </c>
      <c r="I683" s="2"/>
      <c r="K683">
        <v>13.7</v>
      </c>
      <c r="L683" s="1" t="s">
        <v>96</v>
      </c>
      <c r="M683" s="1" t="s">
        <v>35</v>
      </c>
    </row>
    <row r="684" spans="1:13" x14ac:dyDescent="0.25">
      <c r="A684" s="1" t="s">
        <v>1489</v>
      </c>
      <c r="B684" s="1" t="s">
        <v>109</v>
      </c>
      <c r="C684" s="1" t="s">
        <v>292</v>
      </c>
      <c r="D684" s="1" t="s">
        <v>90</v>
      </c>
      <c r="E684" s="1" t="s">
        <v>77</v>
      </c>
      <c r="F684" s="1" t="s">
        <v>40</v>
      </c>
      <c r="G684">
        <v>111301</v>
      </c>
      <c r="H684" s="1" t="s">
        <v>1490</v>
      </c>
      <c r="I684" s="2">
        <v>45348</v>
      </c>
      <c r="J684">
        <v>111</v>
      </c>
      <c r="K684">
        <v>15.6</v>
      </c>
      <c r="L684" s="1" t="s">
        <v>20</v>
      </c>
      <c r="M684" s="1" t="s">
        <v>21</v>
      </c>
    </row>
    <row r="685" spans="1:13" x14ac:dyDescent="0.25">
      <c r="A685" s="1" t="s">
        <v>1491</v>
      </c>
      <c r="B685" s="1" t="s">
        <v>173</v>
      </c>
      <c r="C685" s="1" t="s">
        <v>1157</v>
      </c>
      <c r="D685" s="1" t="s">
        <v>39</v>
      </c>
      <c r="E685" s="1" t="s">
        <v>72</v>
      </c>
      <c r="F685" s="1" t="s">
        <v>33</v>
      </c>
      <c r="G685">
        <v>26848</v>
      </c>
      <c r="H685" s="1" t="s">
        <v>1492</v>
      </c>
      <c r="I685" s="2"/>
      <c r="K685">
        <v>3.7</v>
      </c>
      <c r="L685" s="1" t="s">
        <v>20</v>
      </c>
      <c r="M685" s="1" t="s">
        <v>21</v>
      </c>
    </row>
    <row r="686" spans="1:13" x14ac:dyDescent="0.25">
      <c r="A686" s="1" t="s">
        <v>1493</v>
      </c>
      <c r="B686" s="1" t="s">
        <v>44</v>
      </c>
      <c r="C686" s="1" t="s">
        <v>420</v>
      </c>
      <c r="D686" s="1" t="s">
        <v>46</v>
      </c>
      <c r="E686" s="1" t="s">
        <v>26</v>
      </c>
      <c r="F686" s="1" t="s">
        <v>18</v>
      </c>
      <c r="G686">
        <v>371590</v>
      </c>
      <c r="H686" s="1" t="s">
        <v>1494</v>
      </c>
      <c r="I686" s="2">
        <v>45791</v>
      </c>
      <c r="J686">
        <v>108</v>
      </c>
      <c r="K686">
        <v>14</v>
      </c>
      <c r="L686" s="1" t="s">
        <v>29</v>
      </c>
      <c r="M686" s="1" t="s">
        <v>63</v>
      </c>
    </row>
    <row r="687" spans="1:13" x14ac:dyDescent="0.25">
      <c r="A687" s="1" t="s">
        <v>1495</v>
      </c>
      <c r="B687" s="1" t="s">
        <v>37</v>
      </c>
      <c r="C687" s="1" t="s">
        <v>1496</v>
      </c>
      <c r="D687" s="1" t="s">
        <v>16</v>
      </c>
      <c r="E687" s="1" t="s">
        <v>61</v>
      </c>
      <c r="F687" s="1" t="s">
        <v>18</v>
      </c>
      <c r="G687">
        <v>271730</v>
      </c>
      <c r="H687" s="1" t="s">
        <v>846</v>
      </c>
      <c r="I687" s="2">
        <v>45321</v>
      </c>
      <c r="J687">
        <v>107</v>
      </c>
      <c r="K687">
        <v>4.2</v>
      </c>
      <c r="L687" s="1" t="s">
        <v>49</v>
      </c>
      <c r="M687" s="1" t="s">
        <v>21</v>
      </c>
    </row>
    <row r="688" spans="1:13" x14ac:dyDescent="0.25">
      <c r="A688" s="1" t="s">
        <v>1497</v>
      </c>
      <c r="B688" s="1" t="s">
        <v>104</v>
      </c>
      <c r="C688" s="1" t="s">
        <v>1462</v>
      </c>
      <c r="D688" s="1" t="s">
        <v>90</v>
      </c>
      <c r="E688" s="1" t="s">
        <v>72</v>
      </c>
      <c r="F688" s="1" t="s">
        <v>33</v>
      </c>
      <c r="G688">
        <v>64345</v>
      </c>
      <c r="H688" s="1" t="s">
        <v>846</v>
      </c>
      <c r="I688" s="2"/>
      <c r="L688" s="1" t="s">
        <v>49</v>
      </c>
      <c r="M688" s="1" t="s">
        <v>21</v>
      </c>
    </row>
    <row r="689" spans="1:13" x14ac:dyDescent="0.25">
      <c r="A689" s="1" t="s">
        <v>1498</v>
      </c>
      <c r="B689" s="1" t="s">
        <v>23</v>
      </c>
      <c r="C689" s="1" t="s">
        <v>869</v>
      </c>
      <c r="D689" s="1" t="s">
        <v>67</v>
      </c>
      <c r="E689" s="1" t="s">
        <v>77</v>
      </c>
      <c r="F689" s="1" t="s">
        <v>40</v>
      </c>
      <c r="G689">
        <v>386714</v>
      </c>
      <c r="H689" s="1" t="s">
        <v>1499</v>
      </c>
      <c r="I689" s="2">
        <v>45511</v>
      </c>
      <c r="J689">
        <v>180</v>
      </c>
      <c r="K689">
        <v>4.3</v>
      </c>
      <c r="L689" s="1" t="s">
        <v>29</v>
      </c>
      <c r="M689" s="1" t="s">
        <v>69</v>
      </c>
    </row>
    <row r="690" spans="1:13" x14ac:dyDescent="0.25">
      <c r="A690" s="1" t="s">
        <v>1500</v>
      </c>
      <c r="B690" s="1" t="s">
        <v>88</v>
      </c>
      <c r="C690" s="1" t="s">
        <v>983</v>
      </c>
      <c r="D690" s="1" t="s">
        <v>67</v>
      </c>
      <c r="E690" s="1" t="s">
        <v>51</v>
      </c>
      <c r="F690" s="1" t="s">
        <v>40</v>
      </c>
      <c r="G690">
        <v>283693</v>
      </c>
      <c r="H690" s="1" t="s">
        <v>1188</v>
      </c>
      <c r="I690" s="2">
        <v>45112</v>
      </c>
      <c r="J690">
        <v>84</v>
      </c>
      <c r="K690">
        <v>12.9</v>
      </c>
      <c r="L690" s="1" t="s">
        <v>49</v>
      </c>
      <c r="M690" s="1" t="s">
        <v>30</v>
      </c>
    </row>
    <row r="691" spans="1:13" x14ac:dyDescent="0.25">
      <c r="A691" s="1" t="s">
        <v>1501</v>
      </c>
      <c r="B691" s="1" t="s">
        <v>59</v>
      </c>
      <c r="C691" s="1" t="s">
        <v>119</v>
      </c>
      <c r="D691" s="1" t="s">
        <v>46</v>
      </c>
      <c r="E691" s="1" t="s">
        <v>72</v>
      </c>
      <c r="F691" s="1" t="s">
        <v>33</v>
      </c>
      <c r="G691">
        <v>325517</v>
      </c>
      <c r="H691" s="1" t="s">
        <v>1502</v>
      </c>
      <c r="I691" s="2"/>
      <c r="L691" s="1" t="s">
        <v>96</v>
      </c>
      <c r="M691" s="1" t="s">
        <v>102</v>
      </c>
    </row>
    <row r="692" spans="1:13" x14ac:dyDescent="0.25">
      <c r="A692" s="1" t="s">
        <v>1503</v>
      </c>
      <c r="B692" s="1" t="s">
        <v>44</v>
      </c>
      <c r="C692" s="1" t="s">
        <v>831</v>
      </c>
      <c r="D692" s="1" t="s">
        <v>46</v>
      </c>
      <c r="E692" s="1" t="s">
        <v>47</v>
      </c>
      <c r="F692" s="1" t="s">
        <v>33</v>
      </c>
      <c r="G692">
        <v>128091</v>
      </c>
      <c r="H692" s="1" t="s">
        <v>1504</v>
      </c>
      <c r="I692" s="2"/>
      <c r="L692" s="1" t="s">
        <v>20</v>
      </c>
      <c r="M692" s="1" t="s">
        <v>21</v>
      </c>
    </row>
    <row r="693" spans="1:13" x14ac:dyDescent="0.25">
      <c r="A693" s="1" t="s">
        <v>1505</v>
      </c>
      <c r="B693" s="1" t="s">
        <v>84</v>
      </c>
      <c r="C693" s="1" t="s">
        <v>220</v>
      </c>
      <c r="D693" s="1" t="s">
        <v>90</v>
      </c>
      <c r="E693" s="1" t="s">
        <v>26</v>
      </c>
      <c r="F693" s="1" t="s">
        <v>40</v>
      </c>
      <c r="G693">
        <v>312200</v>
      </c>
      <c r="H693" s="1" t="s">
        <v>1506</v>
      </c>
      <c r="I693" s="2">
        <v>45699</v>
      </c>
      <c r="J693">
        <v>46</v>
      </c>
      <c r="K693">
        <v>4.5</v>
      </c>
      <c r="L693" s="1" t="s">
        <v>49</v>
      </c>
      <c r="M693" s="1" t="s">
        <v>42</v>
      </c>
    </row>
    <row r="694" spans="1:13" x14ac:dyDescent="0.25">
      <c r="A694" s="1" t="s">
        <v>1507</v>
      </c>
      <c r="B694" s="1" t="s">
        <v>23</v>
      </c>
      <c r="C694" s="1" t="s">
        <v>426</v>
      </c>
      <c r="D694" s="1" t="s">
        <v>39</v>
      </c>
      <c r="E694" s="1" t="s">
        <v>100</v>
      </c>
      <c r="F694" s="1" t="s">
        <v>18</v>
      </c>
      <c r="G694">
        <v>419053</v>
      </c>
      <c r="H694" s="1" t="s">
        <v>1508</v>
      </c>
      <c r="I694" s="2">
        <v>45673</v>
      </c>
      <c r="J694">
        <v>77</v>
      </c>
      <c r="K694">
        <v>4</v>
      </c>
      <c r="L694" s="1" t="s">
        <v>96</v>
      </c>
      <c r="M694" s="1" t="s">
        <v>42</v>
      </c>
    </row>
    <row r="695" spans="1:13" x14ac:dyDescent="0.25">
      <c r="A695" s="1" t="s">
        <v>1509</v>
      </c>
      <c r="B695" s="1" t="s">
        <v>84</v>
      </c>
      <c r="C695" s="1" t="s">
        <v>466</v>
      </c>
      <c r="D695" s="1" t="s">
        <v>46</v>
      </c>
      <c r="E695" s="1" t="s">
        <v>47</v>
      </c>
      <c r="F695" s="1" t="s">
        <v>33</v>
      </c>
      <c r="G695">
        <v>90060</v>
      </c>
      <c r="H695" s="1" t="s">
        <v>771</v>
      </c>
      <c r="I695" s="2"/>
      <c r="K695">
        <v>8.5</v>
      </c>
      <c r="L695" s="1" t="s">
        <v>20</v>
      </c>
      <c r="M695" s="1" t="s">
        <v>21</v>
      </c>
    </row>
    <row r="696" spans="1:13" x14ac:dyDescent="0.25">
      <c r="A696" s="1" t="s">
        <v>1510</v>
      </c>
      <c r="B696" s="1" t="s">
        <v>88</v>
      </c>
      <c r="C696" s="1" t="s">
        <v>699</v>
      </c>
      <c r="D696" s="1" t="s">
        <v>25</v>
      </c>
      <c r="E696" s="1" t="s">
        <v>17</v>
      </c>
      <c r="F696" s="1" t="s">
        <v>40</v>
      </c>
      <c r="G696">
        <v>200610</v>
      </c>
      <c r="H696" s="1" t="s">
        <v>86</v>
      </c>
      <c r="I696" s="2">
        <v>45510</v>
      </c>
      <c r="J696">
        <v>175</v>
      </c>
      <c r="K696">
        <v>8.1999999999999993</v>
      </c>
      <c r="L696" s="1" t="s">
        <v>96</v>
      </c>
      <c r="M696" s="1" t="s">
        <v>69</v>
      </c>
    </row>
    <row r="697" spans="1:13" x14ac:dyDescent="0.25">
      <c r="A697" s="1" t="s">
        <v>1511</v>
      </c>
      <c r="B697" s="1" t="s">
        <v>109</v>
      </c>
      <c r="C697" s="1" t="s">
        <v>189</v>
      </c>
      <c r="D697" s="1" t="s">
        <v>90</v>
      </c>
      <c r="E697" s="1" t="s">
        <v>17</v>
      </c>
      <c r="F697" s="1" t="s">
        <v>53</v>
      </c>
      <c r="G697">
        <v>308545</v>
      </c>
      <c r="H697" s="1" t="s">
        <v>1512</v>
      </c>
      <c r="I697" s="2"/>
      <c r="L697" s="1" t="s">
        <v>20</v>
      </c>
      <c r="M697" s="1" t="s">
        <v>69</v>
      </c>
    </row>
    <row r="698" spans="1:13" x14ac:dyDescent="0.25">
      <c r="A698" s="1" t="s">
        <v>1513</v>
      </c>
      <c r="B698" s="1" t="s">
        <v>14</v>
      </c>
      <c r="C698" s="1" t="s">
        <v>972</v>
      </c>
      <c r="D698" s="1" t="s">
        <v>67</v>
      </c>
      <c r="E698" s="1" t="s">
        <v>94</v>
      </c>
      <c r="F698" s="1" t="s">
        <v>18</v>
      </c>
      <c r="G698">
        <v>159784</v>
      </c>
      <c r="H698" s="1" t="s">
        <v>1024</v>
      </c>
      <c r="I698" s="2">
        <v>45640</v>
      </c>
      <c r="J698">
        <v>176</v>
      </c>
      <c r="L698" s="1" t="s">
        <v>20</v>
      </c>
      <c r="M698" s="1" t="s">
        <v>107</v>
      </c>
    </row>
    <row r="699" spans="1:13" x14ac:dyDescent="0.25">
      <c r="A699" s="1" t="s">
        <v>1514</v>
      </c>
      <c r="B699" s="1" t="s">
        <v>88</v>
      </c>
      <c r="C699" s="1" t="s">
        <v>1258</v>
      </c>
      <c r="D699" s="1" t="s">
        <v>90</v>
      </c>
      <c r="E699" s="1" t="s">
        <v>17</v>
      </c>
      <c r="F699" s="1" t="s">
        <v>18</v>
      </c>
      <c r="G699">
        <v>153360</v>
      </c>
      <c r="H699" s="1" t="s">
        <v>1515</v>
      </c>
      <c r="I699" s="2">
        <v>45302</v>
      </c>
      <c r="J699">
        <v>105</v>
      </c>
      <c r="K699">
        <v>12.3</v>
      </c>
      <c r="L699" s="1" t="s">
        <v>29</v>
      </c>
      <c r="M699" s="1" t="s">
        <v>102</v>
      </c>
    </row>
    <row r="700" spans="1:13" x14ac:dyDescent="0.25">
      <c r="A700" s="1" t="s">
        <v>1516</v>
      </c>
      <c r="B700" s="1" t="s">
        <v>59</v>
      </c>
      <c r="C700" s="1" t="s">
        <v>85</v>
      </c>
      <c r="D700" s="1" t="s">
        <v>90</v>
      </c>
      <c r="E700" s="1" t="s">
        <v>17</v>
      </c>
      <c r="F700" s="1" t="s">
        <v>40</v>
      </c>
      <c r="G700">
        <v>368486</v>
      </c>
      <c r="H700" s="1" t="s">
        <v>152</v>
      </c>
      <c r="I700" s="2">
        <v>45133</v>
      </c>
      <c r="J700">
        <v>39</v>
      </c>
      <c r="K700">
        <v>13.5</v>
      </c>
      <c r="L700" s="1" t="s">
        <v>20</v>
      </c>
      <c r="M700" s="1" t="s">
        <v>30</v>
      </c>
    </row>
    <row r="701" spans="1:13" x14ac:dyDescent="0.25">
      <c r="A701" s="1" t="s">
        <v>1517</v>
      </c>
      <c r="B701" s="1" t="s">
        <v>37</v>
      </c>
      <c r="C701" s="1" t="s">
        <v>1518</v>
      </c>
      <c r="D701" s="1" t="s">
        <v>67</v>
      </c>
      <c r="E701" s="1" t="s">
        <v>26</v>
      </c>
      <c r="F701" s="1" t="s">
        <v>53</v>
      </c>
      <c r="G701">
        <v>219243</v>
      </c>
      <c r="H701" s="1" t="s">
        <v>1101</v>
      </c>
      <c r="I701" s="2"/>
      <c r="K701">
        <v>11.8</v>
      </c>
      <c r="L701" s="1" t="s">
        <v>20</v>
      </c>
      <c r="M701" s="1" t="s">
        <v>21</v>
      </c>
    </row>
    <row r="702" spans="1:13" x14ac:dyDescent="0.25">
      <c r="A702" s="1" t="s">
        <v>1519</v>
      </c>
      <c r="B702" s="1" t="s">
        <v>51</v>
      </c>
      <c r="C702" s="1" t="s">
        <v>303</v>
      </c>
      <c r="D702" s="1" t="s">
        <v>39</v>
      </c>
      <c r="E702" s="1" t="s">
        <v>17</v>
      </c>
      <c r="F702" s="1" t="s">
        <v>33</v>
      </c>
      <c r="G702">
        <v>338034</v>
      </c>
      <c r="H702" s="1" t="s">
        <v>133</v>
      </c>
      <c r="I702" s="2"/>
      <c r="K702">
        <v>6.2</v>
      </c>
      <c r="L702" s="1" t="s">
        <v>49</v>
      </c>
      <c r="M702" s="1" t="s">
        <v>35</v>
      </c>
    </row>
    <row r="703" spans="1:13" x14ac:dyDescent="0.25">
      <c r="A703" s="1" t="s">
        <v>1520</v>
      </c>
      <c r="B703" s="1" t="s">
        <v>109</v>
      </c>
      <c r="C703" s="1" t="s">
        <v>213</v>
      </c>
      <c r="D703" s="1" t="s">
        <v>39</v>
      </c>
      <c r="E703" s="1" t="s">
        <v>77</v>
      </c>
      <c r="F703" s="1" t="s">
        <v>40</v>
      </c>
      <c r="G703">
        <v>44452</v>
      </c>
      <c r="H703" s="1" t="s">
        <v>1078</v>
      </c>
      <c r="I703" s="2">
        <v>45387</v>
      </c>
      <c r="J703">
        <v>133</v>
      </c>
      <c r="K703">
        <v>23.6</v>
      </c>
      <c r="L703" s="1" t="s">
        <v>96</v>
      </c>
      <c r="M703" s="1" t="s">
        <v>21</v>
      </c>
    </row>
    <row r="704" spans="1:13" x14ac:dyDescent="0.25">
      <c r="A704" s="1" t="s">
        <v>1521</v>
      </c>
      <c r="B704" s="1" t="s">
        <v>65</v>
      </c>
      <c r="C704" s="1" t="s">
        <v>679</v>
      </c>
      <c r="D704" s="1" t="s">
        <v>39</v>
      </c>
      <c r="E704" s="1" t="s">
        <v>94</v>
      </c>
      <c r="F704" s="1" t="s">
        <v>40</v>
      </c>
      <c r="G704">
        <v>82176</v>
      </c>
      <c r="H704" s="1" t="s">
        <v>1522</v>
      </c>
      <c r="I704" s="2">
        <v>45146</v>
      </c>
      <c r="J704">
        <v>49</v>
      </c>
      <c r="K704">
        <v>20.100000000000001</v>
      </c>
      <c r="L704" s="1" t="s">
        <v>20</v>
      </c>
      <c r="M704" s="1" t="s">
        <v>30</v>
      </c>
    </row>
    <row r="705" spans="1:13" x14ac:dyDescent="0.25">
      <c r="A705" s="1" t="s">
        <v>1523</v>
      </c>
      <c r="B705" s="1" t="s">
        <v>104</v>
      </c>
      <c r="C705" s="1" t="s">
        <v>381</v>
      </c>
      <c r="D705" s="1" t="s">
        <v>67</v>
      </c>
      <c r="E705" s="1" t="s">
        <v>61</v>
      </c>
      <c r="F705" s="1" t="s">
        <v>33</v>
      </c>
      <c r="G705">
        <v>125285</v>
      </c>
      <c r="H705" s="1" t="s">
        <v>1524</v>
      </c>
      <c r="I705" s="2"/>
      <c r="L705" s="1" t="s">
        <v>29</v>
      </c>
      <c r="M705" s="1" t="s">
        <v>149</v>
      </c>
    </row>
    <row r="706" spans="1:13" x14ac:dyDescent="0.25">
      <c r="A706" s="1" t="s">
        <v>1525</v>
      </c>
      <c r="B706" s="1" t="s">
        <v>88</v>
      </c>
      <c r="C706" s="1" t="s">
        <v>1526</v>
      </c>
      <c r="D706" s="1" t="s">
        <v>67</v>
      </c>
      <c r="E706" s="1" t="s">
        <v>61</v>
      </c>
      <c r="F706" s="1" t="s">
        <v>129</v>
      </c>
      <c r="G706">
        <v>401023</v>
      </c>
      <c r="H706" s="1" t="s">
        <v>1527</v>
      </c>
      <c r="I706" s="2"/>
      <c r="K706">
        <v>10.6</v>
      </c>
      <c r="L706" s="1" t="s">
        <v>49</v>
      </c>
      <c r="M706" s="1" t="s">
        <v>30</v>
      </c>
    </row>
    <row r="707" spans="1:13" x14ac:dyDescent="0.25">
      <c r="A707" s="1" t="s">
        <v>1528</v>
      </c>
      <c r="B707" s="1" t="s">
        <v>14</v>
      </c>
      <c r="C707" s="1" t="s">
        <v>331</v>
      </c>
      <c r="D707" s="1" t="s">
        <v>16</v>
      </c>
      <c r="E707" s="1" t="s">
        <v>26</v>
      </c>
      <c r="F707" s="1" t="s">
        <v>27</v>
      </c>
      <c r="G707">
        <v>234132</v>
      </c>
      <c r="H707" s="1" t="s">
        <v>725</v>
      </c>
      <c r="I707" s="2"/>
      <c r="K707">
        <v>8.4</v>
      </c>
      <c r="L707" s="1" t="s">
        <v>29</v>
      </c>
      <c r="M707" s="1" t="s">
        <v>21</v>
      </c>
    </row>
    <row r="708" spans="1:13" x14ac:dyDescent="0.25">
      <c r="A708" s="1" t="s">
        <v>1529</v>
      </c>
      <c r="B708" s="1" t="s">
        <v>84</v>
      </c>
      <c r="C708" s="1" t="s">
        <v>625</v>
      </c>
      <c r="D708" s="1" t="s">
        <v>67</v>
      </c>
      <c r="E708" s="1" t="s">
        <v>100</v>
      </c>
      <c r="F708" s="1" t="s">
        <v>40</v>
      </c>
      <c r="G708">
        <v>137837</v>
      </c>
      <c r="H708" s="1" t="s">
        <v>995</v>
      </c>
      <c r="I708" s="2">
        <v>45341</v>
      </c>
      <c r="J708">
        <v>83</v>
      </c>
      <c r="K708">
        <v>22.5</v>
      </c>
      <c r="L708" s="1" t="s">
        <v>96</v>
      </c>
      <c r="M708" s="1" t="s">
        <v>21</v>
      </c>
    </row>
    <row r="709" spans="1:13" x14ac:dyDescent="0.25">
      <c r="A709" s="1" t="s">
        <v>1530</v>
      </c>
      <c r="B709" s="1" t="s">
        <v>65</v>
      </c>
      <c r="C709" s="1" t="s">
        <v>1095</v>
      </c>
      <c r="D709" s="1" t="s">
        <v>16</v>
      </c>
      <c r="E709" s="1" t="s">
        <v>94</v>
      </c>
      <c r="F709" s="1" t="s">
        <v>33</v>
      </c>
      <c r="G709">
        <v>183365</v>
      </c>
      <c r="H709" s="1" t="s">
        <v>411</v>
      </c>
      <c r="I709" s="2"/>
      <c r="K709">
        <v>6.1</v>
      </c>
      <c r="L709" s="1" t="s">
        <v>96</v>
      </c>
      <c r="M709" s="1" t="s">
        <v>35</v>
      </c>
    </row>
    <row r="710" spans="1:13" x14ac:dyDescent="0.25">
      <c r="A710" s="1" t="s">
        <v>1531</v>
      </c>
      <c r="B710" s="1" t="s">
        <v>104</v>
      </c>
      <c r="C710" s="1" t="s">
        <v>944</v>
      </c>
      <c r="D710" s="1" t="s">
        <v>67</v>
      </c>
      <c r="E710" s="1" t="s">
        <v>100</v>
      </c>
      <c r="F710" s="1" t="s">
        <v>27</v>
      </c>
      <c r="G710">
        <v>116944</v>
      </c>
      <c r="H710" s="1" t="s">
        <v>1532</v>
      </c>
      <c r="I710" s="2"/>
      <c r="L710" s="1" t="s">
        <v>49</v>
      </c>
      <c r="M710" s="1" t="s">
        <v>21</v>
      </c>
    </row>
    <row r="711" spans="1:13" x14ac:dyDescent="0.25">
      <c r="A711" s="1" t="s">
        <v>1533</v>
      </c>
      <c r="B711" s="1" t="s">
        <v>14</v>
      </c>
      <c r="C711" s="1" t="s">
        <v>705</v>
      </c>
      <c r="D711" s="1" t="s">
        <v>16</v>
      </c>
      <c r="E711" s="1" t="s">
        <v>17</v>
      </c>
      <c r="F711" s="1" t="s">
        <v>40</v>
      </c>
      <c r="G711">
        <v>53362</v>
      </c>
      <c r="H711" s="1" t="s">
        <v>1534</v>
      </c>
      <c r="I711" s="2">
        <v>45836</v>
      </c>
      <c r="J711">
        <v>147</v>
      </c>
      <c r="K711">
        <v>15.6</v>
      </c>
      <c r="L711" s="1" t="s">
        <v>49</v>
      </c>
      <c r="M711" s="1" t="s">
        <v>63</v>
      </c>
    </row>
    <row r="712" spans="1:13" x14ac:dyDescent="0.25">
      <c r="A712" s="1" t="s">
        <v>1288</v>
      </c>
      <c r="B712" s="1" t="s">
        <v>104</v>
      </c>
      <c r="C712" s="1" t="s">
        <v>1153</v>
      </c>
      <c r="D712" s="1" t="s">
        <v>25</v>
      </c>
      <c r="E712" s="1" t="s">
        <v>61</v>
      </c>
      <c r="F712" s="1" t="s">
        <v>18</v>
      </c>
      <c r="G712">
        <v>468072</v>
      </c>
      <c r="H712" s="1" t="s">
        <v>1289</v>
      </c>
      <c r="I712" s="2">
        <v>45729</v>
      </c>
      <c r="J712">
        <v>84</v>
      </c>
      <c r="K712">
        <v>13.5</v>
      </c>
      <c r="L712" s="1" t="s">
        <v>96</v>
      </c>
      <c r="M712" s="1" t="s">
        <v>42</v>
      </c>
    </row>
    <row r="713" spans="1:13" x14ac:dyDescent="0.25">
      <c r="A713" s="1" t="s">
        <v>1535</v>
      </c>
      <c r="B713" s="1" t="s">
        <v>173</v>
      </c>
      <c r="C713" s="1" t="s">
        <v>555</v>
      </c>
      <c r="D713" s="1" t="s">
        <v>39</v>
      </c>
      <c r="E713" s="1" t="s">
        <v>26</v>
      </c>
      <c r="F713" s="1" t="s">
        <v>129</v>
      </c>
      <c r="G713">
        <v>465789</v>
      </c>
      <c r="H713" s="1" t="s">
        <v>714</v>
      </c>
      <c r="I713" s="2"/>
      <c r="L713" s="1" t="s">
        <v>49</v>
      </c>
      <c r="M713" s="1" t="s">
        <v>42</v>
      </c>
    </row>
    <row r="714" spans="1:13" x14ac:dyDescent="0.25">
      <c r="A714" s="1" t="s">
        <v>1536</v>
      </c>
      <c r="B714" s="1" t="s">
        <v>37</v>
      </c>
      <c r="C714" s="1" t="s">
        <v>838</v>
      </c>
      <c r="D714" s="1" t="s">
        <v>16</v>
      </c>
      <c r="E714" s="1" t="s">
        <v>51</v>
      </c>
      <c r="F714" s="1" t="s">
        <v>40</v>
      </c>
      <c r="G714">
        <v>106406</v>
      </c>
      <c r="H714" s="1" t="s">
        <v>889</v>
      </c>
      <c r="I714" s="2">
        <v>45417</v>
      </c>
      <c r="J714">
        <v>148</v>
      </c>
      <c r="K714">
        <v>21.9</v>
      </c>
      <c r="L714" s="1" t="s">
        <v>96</v>
      </c>
      <c r="M714" s="1" t="s">
        <v>21</v>
      </c>
    </row>
    <row r="715" spans="1:13" x14ac:dyDescent="0.25">
      <c r="A715" s="1" t="s">
        <v>1537</v>
      </c>
      <c r="B715" s="1" t="s">
        <v>44</v>
      </c>
      <c r="C715" s="1" t="s">
        <v>66</v>
      </c>
      <c r="D715" s="1" t="s">
        <v>16</v>
      </c>
      <c r="E715" s="1" t="s">
        <v>72</v>
      </c>
      <c r="F715" s="1" t="s">
        <v>53</v>
      </c>
      <c r="G715">
        <v>326977</v>
      </c>
      <c r="H715" s="1" t="s">
        <v>1508</v>
      </c>
      <c r="I715" s="2"/>
      <c r="K715">
        <v>5.5</v>
      </c>
      <c r="L715" s="1" t="s">
        <v>29</v>
      </c>
      <c r="M715" s="1" t="s">
        <v>42</v>
      </c>
    </row>
    <row r="716" spans="1:13" x14ac:dyDescent="0.25">
      <c r="A716" s="1" t="s">
        <v>1538</v>
      </c>
      <c r="B716" s="1" t="s">
        <v>14</v>
      </c>
      <c r="C716" s="1" t="s">
        <v>939</v>
      </c>
      <c r="D716" s="1" t="s">
        <v>67</v>
      </c>
      <c r="E716" s="1" t="s">
        <v>100</v>
      </c>
      <c r="F716" s="1" t="s">
        <v>129</v>
      </c>
      <c r="G716">
        <v>295779</v>
      </c>
      <c r="H716" s="1" t="s">
        <v>687</v>
      </c>
      <c r="I716" s="2"/>
      <c r="L716" s="1" t="s">
        <v>96</v>
      </c>
      <c r="M716" s="1" t="s">
        <v>107</v>
      </c>
    </row>
    <row r="717" spans="1:13" x14ac:dyDescent="0.25">
      <c r="A717" s="1" t="s">
        <v>1539</v>
      </c>
      <c r="B717" s="1" t="s">
        <v>59</v>
      </c>
      <c r="C717" s="1" t="s">
        <v>574</v>
      </c>
      <c r="D717" s="1" t="s">
        <v>16</v>
      </c>
      <c r="E717" s="1" t="s">
        <v>47</v>
      </c>
      <c r="F717" s="1" t="s">
        <v>129</v>
      </c>
      <c r="G717">
        <v>186700</v>
      </c>
      <c r="H717" s="1" t="s">
        <v>899</v>
      </c>
      <c r="I717" s="2"/>
      <c r="K717">
        <v>5.6</v>
      </c>
      <c r="L717" s="1" t="s">
        <v>49</v>
      </c>
      <c r="M717" s="1" t="s">
        <v>21</v>
      </c>
    </row>
    <row r="718" spans="1:13" x14ac:dyDescent="0.25">
      <c r="A718" s="1" t="s">
        <v>1540</v>
      </c>
      <c r="B718" s="1" t="s">
        <v>75</v>
      </c>
      <c r="C718" s="1" t="s">
        <v>119</v>
      </c>
      <c r="D718" s="1" t="s">
        <v>16</v>
      </c>
      <c r="E718" s="1" t="s">
        <v>100</v>
      </c>
      <c r="F718" s="1" t="s">
        <v>18</v>
      </c>
      <c r="G718">
        <v>319610</v>
      </c>
      <c r="H718" s="1" t="s">
        <v>1541</v>
      </c>
      <c r="I718" s="2">
        <v>45067</v>
      </c>
      <c r="J718">
        <v>96</v>
      </c>
      <c r="K718">
        <v>8.4</v>
      </c>
      <c r="L718" s="1" t="s">
        <v>49</v>
      </c>
      <c r="M718" s="1" t="s">
        <v>35</v>
      </c>
    </row>
    <row r="719" spans="1:13" x14ac:dyDescent="0.25">
      <c r="A719" s="1" t="s">
        <v>1542</v>
      </c>
      <c r="B719" s="1" t="s">
        <v>59</v>
      </c>
      <c r="C719" s="1" t="s">
        <v>24</v>
      </c>
      <c r="D719" s="1" t="s">
        <v>25</v>
      </c>
      <c r="E719" s="1" t="s">
        <v>77</v>
      </c>
      <c r="F719" s="1" t="s">
        <v>33</v>
      </c>
      <c r="G719">
        <v>161131</v>
      </c>
      <c r="H719" s="1" t="s">
        <v>491</v>
      </c>
      <c r="I719" s="2"/>
      <c r="L719" s="1" t="s">
        <v>49</v>
      </c>
      <c r="M719" s="1" t="s">
        <v>21</v>
      </c>
    </row>
    <row r="720" spans="1:13" x14ac:dyDescent="0.25">
      <c r="A720" s="1" t="s">
        <v>1543</v>
      </c>
      <c r="B720" s="1" t="s">
        <v>127</v>
      </c>
      <c r="C720" s="1" t="s">
        <v>767</v>
      </c>
      <c r="D720" s="1" t="s">
        <v>67</v>
      </c>
      <c r="E720" s="1" t="s">
        <v>100</v>
      </c>
      <c r="F720" s="1" t="s">
        <v>27</v>
      </c>
      <c r="G720">
        <v>138885</v>
      </c>
      <c r="H720" s="1" t="s">
        <v>1544</v>
      </c>
      <c r="I720" s="2"/>
      <c r="K720">
        <v>0.2</v>
      </c>
      <c r="L720" s="1" t="s">
        <v>49</v>
      </c>
      <c r="M720" s="1" t="s">
        <v>63</v>
      </c>
    </row>
    <row r="721" spans="1:13" x14ac:dyDescent="0.25">
      <c r="A721" s="1" t="s">
        <v>1545</v>
      </c>
      <c r="B721" s="1" t="s">
        <v>127</v>
      </c>
      <c r="C721" s="1" t="s">
        <v>521</v>
      </c>
      <c r="D721" s="1" t="s">
        <v>46</v>
      </c>
      <c r="E721" s="1" t="s">
        <v>94</v>
      </c>
      <c r="F721" s="1" t="s">
        <v>40</v>
      </c>
      <c r="G721">
        <v>181419</v>
      </c>
      <c r="H721" s="1" t="s">
        <v>1546</v>
      </c>
      <c r="I721" s="2">
        <v>45737</v>
      </c>
      <c r="J721">
        <v>174</v>
      </c>
      <c r="K721">
        <v>1.9</v>
      </c>
      <c r="L721" s="1" t="s">
        <v>20</v>
      </c>
      <c r="M721" s="1" t="s">
        <v>149</v>
      </c>
    </row>
    <row r="722" spans="1:13" x14ac:dyDescent="0.25">
      <c r="A722" s="1" t="s">
        <v>1547</v>
      </c>
      <c r="B722" s="1" t="s">
        <v>14</v>
      </c>
      <c r="C722" s="1" t="s">
        <v>433</v>
      </c>
      <c r="D722" s="1" t="s">
        <v>39</v>
      </c>
      <c r="E722" s="1" t="s">
        <v>94</v>
      </c>
      <c r="F722" s="1" t="s">
        <v>129</v>
      </c>
      <c r="G722">
        <v>247141</v>
      </c>
      <c r="H722" s="1" t="s">
        <v>1233</v>
      </c>
      <c r="I722" s="2"/>
      <c r="K722">
        <v>7</v>
      </c>
      <c r="L722" s="1" t="s">
        <v>20</v>
      </c>
      <c r="M722" s="1" t="s">
        <v>69</v>
      </c>
    </row>
    <row r="723" spans="1:13" x14ac:dyDescent="0.25">
      <c r="A723" s="1" t="s">
        <v>1548</v>
      </c>
      <c r="B723" s="1" t="s">
        <v>65</v>
      </c>
      <c r="C723" s="1" t="s">
        <v>1549</v>
      </c>
      <c r="D723" s="1" t="s">
        <v>90</v>
      </c>
      <c r="E723" s="1" t="s">
        <v>94</v>
      </c>
      <c r="F723" s="1" t="s">
        <v>53</v>
      </c>
      <c r="G723">
        <v>109690</v>
      </c>
      <c r="H723" s="1" t="s">
        <v>1550</v>
      </c>
      <c r="I723" s="2"/>
      <c r="K723">
        <v>11.6</v>
      </c>
      <c r="L723" s="1" t="s">
        <v>96</v>
      </c>
      <c r="M723" s="1" t="s">
        <v>107</v>
      </c>
    </row>
    <row r="724" spans="1:13" x14ac:dyDescent="0.25">
      <c r="A724" s="1" t="s">
        <v>1551</v>
      </c>
      <c r="B724" s="1" t="s">
        <v>23</v>
      </c>
      <c r="C724" s="1" t="s">
        <v>423</v>
      </c>
      <c r="D724" s="1" t="s">
        <v>90</v>
      </c>
      <c r="E724" s="1" t="s">
        <v>47</v>
      </c>
      <c r="F724" s="1" t="s">
        <v>18</v>
      </c>
      <c r="G724">
        <v>317711</v>
      </c>
      <c r="H724" s="1" t="s">
        <v>1552</v>
      </c>
      <c r="I724" s="2">
        <v>45746</v>
      </c>
      <c r="J724">
        <v>53</v>
      </c>
      <c r="K724">
        <v>10.8</v>
      </c>
      <c r="L724" s="1" t="s">
        <v>49</v>
      </c>
      <c r="M724" s="1" t="s">
        <v>63</v>
      </c>
    </row>
    <row r="725" spans="1:13" x14ac:dyDescent="0.25">
      <c r="A725" s="1" t="s">
        <v>1553</v>
      </c>
      <c r="B725" s="1" t="s">
        <v>88</v>
      </c>
      <c r="C725" s="1" t="s">
        <v>1554</v>
      </c>
      <c r="D725" s="1" t="s">
        <v>67</v>
      </c>
      <c r="E725" s="1" t="s">
        <v>61</v>
      </c>
      <c r="F725" s="1" t="s">
        <v>53</v>
      </c>
      <c r="G725">
        <v>497875</v>
      </c>
      <c r="H725" s="1" t="s">
        <v>604</v>
      </c>
      <c r="I725" s="2"/>
      <c r="K725">
        <v>12.2</v>
      </c>
      <c r="L725" s="1" t="s">
        <v>96</v>
      </c>
      <c r="M725" s="1" t="s">
        <v>107</v>
      </c>
    </row>
    <row r="726" spans="1:13" x14ac:dyDescent="0.25">
      <c r="A726" s="1" t="s">
        <v>1555</v>
      </c>
      <c r="B726" s="1" t="s">
        <v>23</v>
      </c>
      <c r="C726" s="1" t="s">
        <v>747</v>
      </c>
      <c r="D726" s="1" t="s">
        <v>16</v>
      </c>
      <c r="E726" s="1" t="s">
        <v>17</v>
      </c>
      <c r="F726" s="1" t="s">
        <v>18</v>
      </c>
      <c r="G726">
        <v>392101</v>
      </c>
      <c r="H726" s="1" t="s">
        <v>1556</v>
      </c>
      <c r="I726" s="2">
        <v>45639</v>
      </c>
      <c r="J726">
        <v>101</v>
      </c>
      <c r="L726" s="1" t="s">
        <v>49</v>
      </c>
      <c r="M726" s="1" t="s">
        <v>149</v>
      </c>
    </row>
    <row r="727" spans="1:13" x14ac:dyDescent="0.25">
      <c r="A727" s="1" t="s">
        <v>1557</v>
      </c>
      <c r="B727" s="1" t="s">
        <v>88</v>
      </c>
      <c r="C727" s="1" t="s">
        <v>1558</v>
      </c>
      <c r="D727" s="1" t="s">
        <v>39</v>
      </c>
      <c r="E727" s="1" t="s">
        <v>17</v>
      </c>
      <c r="F727" s="1" t="s">
        <v>40</v>
      </c>
      <c r="G727">
        <v>376827</v>
      </c>
      <c r="H727" s="1" t="s">
        <v>1559</v>
      </c>
      <c r="I727" s="2">
        <v>45802</v>
      </c>
      <c r="J727">
        <v>55</v>
      </c>
      <c r="K727">
        <v>14.2</v>
      </c>
      <c r="L727" s="1" t="s">
        <v>20</v>
      </c>
      <c r="M727" s="1" t="s">
        <v>63</v>
      </c>
    </row>
    <row r="728" spans="1:13" x14ac:dyDescent="0.25">
      <c r="A728" s="1" t="s">
        <v>1560</v>
      </c>
      <c r="B728" s="1" t="s">
        <v>84</v>
      </c>
      <c r="C728" s="1" t="s">
        <v>1354</v>
      </c>
      <c r="D728" s="1" t="s">
        <v>25</v>
      </c>
      <c r="E728" s="1" t="s">
        <v>72</v>
      </c>
      <c r="F728" s="1" t="s">
        <v>40</v>
      </c>
      <c r="G728">
        <v>234885</v>
      </c>
      <c r="H728" s="1" t="s">
        <v>1561</v>
      </c>
      <c r="I728" s="2">
        <v>45109</v>
      </c>
      <c r="J728">
        <v>174</v>
      </c>
      <c r="K728">
        <v>3</v>
      </c>
      <c r="L728" s="1" t="s">
        <v>29</v>
      </c>
      <c r="M728" s="1" t="s">
        <v>35</v>
      </c>
    </row>
    <row r="729" spans="1:13" x14ac:dyDescent="0.25">
      <c r="A729" s="1" t="s">
        <v>1562</v>
      </c>
      <c r="B729" s="1" t="s">
        <v>14</v>
      </c>
      <c r="C729" s="1" t="s">
        <v>596</v>
      </c>
      <c r="D729" s="1" t="s">
        <v>25</v>
      </c>
      <c r="E729" s="1" t="s">
        <v>72</v>
      </c>
      <c r="F729" s="1" t="s">
        <v>129</v>
      </c>
      <c r="G729">
        <v>366160</v>
      </c>
      <c r="H729" s="1" t="s">
        <v>1291</v>
      </c>
      <c r="I729" s="2"/>
      <c r="K729">
        <v>3.5</v>
      </c>
      <c r="L729" s="1" t="s">
        <v>29</v>
      </c>
      <c r="M729" s="1" t="s">
        <v>63</v>
      </c>
    </row>
    <row r="730" spans="1:13" x14ac:dyDescent="0.25">
      <c r="A730" s="1" t="s">
        <v>1563</v>
      </c>
      <c r="B730" s="1" t="s">
        <v>65</v>
      </c>
      <c r="C730" s="1" t="s">
        <v>862</v>
      </c>
      <c r="D730" s="1" t="s">
        <v>16</v>
      </c>
      <c r="E730" s="1" t="s">
        <v>47</v>
      </c>
      <c r="F730" s="1" t="s">
        <v>40</v>
      </c>
      <c r="G730">
        <v>245902</v>
      </c>
      <c r="H730" s="1" t="s">
        <v>394</v>
      </c>
      <c r="I730" s="2">
        <v>45300</v>
      </c>
      <c r="J730">
        <v>102</v>
      </c>
      <c r="K730">
        <v>21.8</v>
      </c>
      <c r="L730" s="1" t="s">
        <v>29</v>
      </c>
      <c r="M730" s="1" t="s">
        <v>102</v>
      </c>
    </row>
    <row r="731" spans="1:13" x14ac:dyDescent="0.25">
      <c r="A731" s="1" t="s">
        <v>1564</v>
      </c>
      <c r="B731" s="1" t="s">
        <v>75</v>
      </c>
      <c r="C731" s="1" t="s">
        <v>433</v>
      </c>
      <c r="D731" s="1" t="s">
        <v>16</v>
      </c>
      <c r="E731" s="1" t="s">
        <v>77</v>
      </c>
      <c r="F731" s="1" t="s">
        <v>129</v>
      </c>
      <c r="G731">
        <v>266319</v>
      </c>
      <c r="H731" s="1" t="s">
        <v>450</v>
      </c>
      <c r="I731" s="2"/>
      <c r="K731">
        <v>10.6</v>
      </c>
      <c r="L731" s="1" t="s">
        <v>96</v>
      </c>
      <c r="M731" s="1" t="s">
        <v>63</v>
      </c>
    </row>
    <row r="732" spans="1:13" x14ac:dyDescent="0.25">
      <c r="A732" s="1" t="s">
        <v>1565</v>
      </c>
      <c r="B732" s="1" t="s">
        <v>109</v>
      </c>
      <c r="C732" s="1" t="s">
        <v>1566</v>
      </c>
      <c r="D732" s="1" t="s">
        <v>46</v>
      </c>
      <c r="E732" s="1" t="s">
        <v>72</v>
      </c>
      <c r="F732" s="1" t="s">
        <v>18</v>
      </c>
      <c r="G732">
        <v>250427</v>
      </c>
      <c r="H732" s="1" t="s">
        <v>1291</v>
      </c>
      <c r="I732" s="2">
        <v>45807</v>
      </c>
      <c r="J732">
        <v>102</v>
      </c>
      <c r="L732" s="1" t="s">
        <v>29</v>
      </c>
      <c r="M732" s="1" t="s">
        <v>63</v>
      </c>
    </row>
    <row r="733" spans="1:13" x14ac:dyDescent="0.25">
      <c r="A733" s="1" t="s">
        <v>1567</v>
      </c>
      <c r="B733" s="1" t="s">
        <v>84</v>
      </c>
      <c r="C733" s="1" t="s">
        <v>218</v>
      </c>
      <c r="D733" s="1" t="s">
        <v>25</v>
      </c>
      <c r="E733" s="1" t="s">
        <v>61</v>
      </c>
      <c r="F733" s="1" t="s">
        <v>40</v>
      </c>
      <c r="G733">
        <v>90476</v>
      </c>
      <c r="H733" s="1" t="s">
        <v>1115</v>
      </c>
      <c r="I733" s="2">
        <v>45179</v>
      </c>
      <c r="J733">
        <v>70</v>
      </c>
      <c r="K733">
        <v>22.3</v>
      </c>
      <c r="L733" s="1" t="s">
        <v>29</v>
      </c>
      <c r="M733" s="1" t="s">
        <v>102</v>
      </c>
    </row>
    <row r="734" spans="1:13" x14ac:dyDescent="0.25">
      <c r="A734" s="1" t="s">
        <v>1568</v>
      </c>
      <c r="B734" s="1" t="s">
        <v>84</v>
      </c>
      <c r="C734" s="1" t="s">
        <v>724</v>
      </c>
      <c r="D734" s="1" t="s">
        <v>46</v>
      </c>
      <c r="E734" s="1" t="s">
        <v>94</v>
      </c>
      <c r="F734" s="1" t="s">
        <v>33</v>
      </c>
      <c r="G734">
        <v>490228</v>
      </c>
      <c r="H734" s="1" t="s">
        <v>78</v>
      </c>
      <c r="I734" s="2"/>
      <c r="K734">
        <v>4.7</v>
      </c>
      <c r="L734" s="1" t="s">
        <v>29</v>
      </c>
      <c r="M734" s="1" t="s">
        <v>69</v>
      </c>
    </row>
    <row r="735" spans="1:13" x14ac:dyDescent="0.25">
      <c r="A735" s="1" t="s">
        <v>1569</v>
      </c>
      <c r="B735" s="1" t="s">
        <v>127</v>
      </c>
      <c r="C735" s="1" t="s">
        <v>574</v>
      </c>
      <c r="D735" s="1" t="s">
        <v>16</v>
      </c>
      <c r="E735" s="1" t="s">
        <v>94</v>
      </c>
      <c r="F735" s="1" t="s">
        <v>40</v>
      </c>
      <c r="G735">
        <v>284449</v>
      </c>
      <c r="H735" s="1" t="s">
        <v>1522</v>
      </c>
      <c r="I735" s="2">
        <v>45240</v>
      </c>
      <c r="J735">
        <v>143</v>
      </c>
      <c r="K735">
        <v>3.2</v>
      </c>
      <c r="L735" s="1" t="s">
        <v>96</v>
      </c>
      <c r="M735" s="1" t="s">
        <v>30</v>
      </c>
    </row>
    <row r="736" spans="1:13" x14ac:dyDescent="0.25">
      <c r="A736" s="1" t="s">
        <v>1570</v>
      </c>
      <c r="B736" s="1" t="s">
        <v>84</v>
      </c>
      <c r="C736" s="1" t="s">
        <v>583</v>
      </c>
      <c r="D736" s="1" t="s">
        <v>39</v>
      </c>
      <c r="E736" s="1" t="s">
        <v>100</v>
      </c>
      <c r="F736" s="1" t="s">
        <v>18</v>
      </c>
      <c r="G736">
        <v>264290</v>
      </c>
      <c r="H736" s="1" t="s">
        <v>1571</v>
      </c>
      <c r="I736" s="2">
        <v>45277</v>
      </c>
      <c r="J736">
        <v>78</v>
      </c>
      <c r="K736">
        <v>2.6</v>
      </c>
      <c r="L736" s="1" t="s">
        <v>29</v>
      </c>
      <c r="M736" s="1" t="s">
        <v>102</v>
      </c>
    </row>
    <row r="737" spans="1:13" x14ac:dyDescent="0.25">
      <c r="A737" s="1" t="s">
        <v>1572</v>
      </c>
      <c r="B737" s="1" t="s">
        <v>127</v>
      </c>
      <c r="C737" s="1" t="s">
        <v>168</v>
      </c>
      <c r="D737" s="1" t="s">
        <v>39</v>
      </c>
      <c r="E737" s="1" t="s">
        <v>72</v>
      </c>
      <c r="F737" s="1" t="s">
        <v>129</v>
      </c>
      <c r="G737">
        <v>228997</v>
      </c>
      <c r="H737" s="1" t="s">
        <v>288</v>
      </c>
      <c r="I737" s="2"/>
      <c r="L737" s="1" t="s">
        <v>29</v>
      </c>
      <c r="M737" s="1" t="s">
        <v>35</v>
      </c>
    </row>
    <row r="738" spans="1:13" x14ac:dyDescent="0.25">
      <c r="A738" s="1" t="s">
        <v>1573</v>
      </c>
      <c r="B738" s="1" t="s">
        <v>104</v>
      </c>
      <c r="C738" s="1" t="s">
        <v>15</v>
      </c>
      <c r="D738" s="1" t="s">
        <v>16</v>
      </c>
      <c r="E738" s="1" t="s">
        <v>77</v>
      </c>
      <c r="F738" s="1" t="s">
        <v>40</v>
      </c>
      <c r="G738">
        <v>155378</v>
      </c>
      <c r="H738" s="1" t="s">
        <v>1574</v>
      </c>
      <c r="I738" s="2">
        <v>45432</v>
      </c>
      <c r="J738">
        <v>114</v>
      </c>
      <c r="K738">
        <v>1.5</v>
      </c>
      <c r="L738" s="1" t="s">
        <v>49</v>
      </c>
      <c r="M738" s="1" t="s">
        <v>69</v>
      </c>
    </row>
    <row r="739" spans="1:13" x14ac:dyDescent="0.25">
      <c r="A739" s="1" t="s">
        <v>1575</v>
      </c>
      <c r="B739" s="1" t="s">
        <v>23</v>
      </c>
      <c r="C739" s="1" t="s">
        <v>622</v>
      </c>
      <c r="D739" s="1" t="s">
        <v>39</v>
      </c>
      <c r="E739" s="1" t="s">
        <v>100</v>
      </c>
      <c r="F739" s="1" t="s">
        <v>40</v>
      </c>
      <c r="G739">
        <v>199857</v>
      </c>
      <c r="H739" s="1" t="s">
        <v>1576</v>
      </c>
      <c r="I739" s="2">
        <v>45146</v>
      </c>
      <c r="J739">
        <v>119</v>
      </c>
      <c r="K739">
        <v>3.9</v>
      </c>
      <c r="L739" s="1" t="s">
        <v>49</v>
      </c>
      <c r="M739" s="1" t="s">
        <v>30</v>
      </c>
    </row>
    <row r="740" spans="1:13" x14ac:dyDescent="0.25">
      <c r="A740" s="1" t="s">
        <v>1577</v>
      </c>
      <c r="B740" s="1" t="s">
        <v>88</v>
      </c>
      <c r="C740" s="1" t="s">
        <v>99</v>
      </c>
      <c r="D740" s="1" t="s">
        <v>90</v>
      </c>
      <c r="E740" s="1" t="s">
        <v>94</v>
      </c>
      <c r="F740" s="1" t="s">
        <v>33</v>
      </c>
      <c r="G740">
        <v>323970</v>
      </c>
      <c r="H740" s="1" t="s">
        <v>1578</v>
      </c>
      <c r="I740" s="2"/>
      <c r="K740">
        <v>0.1</v>
      </c>
      <c r="L740" s="1" t="s">
        <v>29</v>
      </c>
      <c r="M740" s="1" t="s">
        <v>63</v>
      </c>
    </row>
    <row r="741" spans="1:13" x14ac:dyDescent="0.25">
      <c r="A741" s="1" t="s">
        <v>1579</v>
      </c>
      <c r="B741" s="1" t="s">
        <v>75</v>
      </c>
      <c r="C741" s="1" t="s">
        <v>165</v>
      </c>
      <c r="D741" s="1" t="s">
        <v>90</v>
      </c>
      <c r="E741" s="1" t="s">
        <v>51</v>
      </c>
      <c r="F741" s="1" t="s">
        <v>18</v>
      </c>
      <c r="G741">
        <v>217127</v>
      </c>
      <c r="H741" s="1" t="s">
        <v>1580</v>
      </c>
      <c r="I741" s="2">
        <v>45124</v>
      </c>
      <c r="J741">
        <v>74</v>
      </c>
      <c r="L741" s="1" t="s">
        <v>20</v>
      </c>
      <c r="M741" s="1" t="s">
        <v>30</v>
      </c>
    </row>
    <row r="742" spans="1:13" x14ac:dyDescent="0.25">
      <c r="A742" s="1" t="s">
        <v>1581</v>
      </c>
      <c r="B742" s="1" t="s">
        <v>127</v>
      </c>
      <c r="C742" s="1" t="s">
        <v>1582</v>
      </c>
      <c r="D742" s="1" t="s">
        <v>46</v>
      </c>
      <c r="E742" s="1" t="s">
        <v>94</v>
      </c>
      <c r="F742" s="1" t="s">
        <v>40</v>
      </c>
      <c r="G742">
        <v>214509</v>
      </c>
      <c r="H742" s="1" t="s">
        <v>437</v>
      </c>
      <c r="I742" s="2">
        <v>45225</v>
      </c>
      <c r="J742">
        <v>150</v>
      </c>
      <c r="K742">
        <v>0.3</v>
      </c>
      <c r="L742" s="1" t="s">
        <v>20</v>
      </c>
      <c r="M742" s="1" t="s">
        <v>30</v>
      </c>
    </row>
    <row r="743" spans="1:13" x14ac:dyDescent="0.25">
      <c r="A743" s="1" t="s">
        <v>1583</v>
      </c>
      <c r="B743" s="1" t="s">
        <v>14</v>
      </c>
      <c r="C743" s="1" t="s">
        <v>603</v>
      </c>
      <c r="D743" s="1" t="s">
        <v>46</v>
      </c>
      <c r="E743" s="1" t="s">
        <v>100</v>
      </c>
      <c r="F743" s="1" t="s">
        <v>53</v>
      </c>
      <c r="G743">
        <v>368986</v>
      </c>
      <c r="H743" s="1" t="s">
        <v>190</v>
      </c>
      <c r="I743" s="2"/>
      <c r="L743" s="1" t="s">
        <v>20</v>
      </c>
      <c r="M743" s="1" t="s">
        <v>69</v>
      </c>
    </row>
    <row r="744" spans="1:13" x14ac:dyDescent="0.25">
      <c r="A744" s="1" t="s">
        <v>1584</v>
      </c>
      <c r="B744" s="1" t="s">
        <v>75</v>
      </c>
      <c r="C744" s="1" t="s">
        <v>782</v>
      </c>
      <c r="D744" s="1" t="s">
        <v>46</v>
      </c>
      <c r="E744" s="1" t="s">
        <v>26</v>
      </c>
      <c r="F744" s="1" t="s">
        <v>27</v>
      </c>
      <c r="G744">
        <v>238543</v>
      </c>
      <c r="H744" s="1" t="s">
        <v>1585</v>
      </c>
      <c r="I744" s="2"/>
      <c r="K744">
        <v>9.6999999999999993</v>
      </c>
      <c r="L744" s="1" t="s">
        <v>96</v>
      </c>
      <c r="M744" s="1" t="s">
        <v>63</v>
      </c>
    </row>
    <row r="745" spans="1:13" x14ac:dyDescent="0.25">
      <c r="A745" s="1" t="s">
        <v>1586</v>
      </c>
      <c r="B745" s="1" t="s">
        <v>88</v>
      </c>
      <c r="C745" s="1" t="s">
        <v>1125</v>
      </c>
      <c r="D745" s="1" t="s">
        <v>90</v>
      </c>
      <c r="E745" s="1" t="s">
        <v>47</v>
      </c>
      <c r="F745" s="1" t="s">
        <v>40</v>
      </c>
      <c r="G745">
        <v>203032</v>
      </c>
      <c r="H745" s="1" t="s">
        <v>1587</v>
      </c>
      <c r="I745" s="2">
        <v>45706</v>
      </c>
      <c r="J745">
        <v>113</v>
      </c>
      <c r="K745">
        <v>18.399999999999999</v>
      </c>
      <c r="L745" s="1" t="s">
        <v>29</v>
      </c>
      <c r="M745" s="1" t="s">
        <v>42</v>
      </c>
    </row>
    <row r="746" spans="1:13" x14ac:dyDescent="0.25">
      <c r="A746" s="1" t="s">
        <v>1588</v>
      </c>
      <c r="B746" s="1" t="s">
        <v>84</v>
      </c>
      <c r="C746" s="1" t="s">
        <v>536</v>
      </c>
      <c r="D746" s="1" t="s">
        <v>46</v>
      </c>
      <c r="E746" s="1" t="s">
        <v>77</v>
      </c>
      <c r="F746" s="1" t="s">
        <v>33</v>
      </c>
      <c r="G746">
        <v>302206</v>
      </c>
      <c r="H746" s="1" t="s">
        <v>1589</v>
      </c>
      <c r="I746" s="2"/>
      <c r="K746">
        <v>1.8</v>
      </c>
      <c r="L746" s="1" t="s">
        <v>29</v>
      </c>
      <c r="M746" s="1" t="s">
        <v>63</v>
      </c>
    </row>
    <row r="747" spans="1:13" x14ac:dyDescent="0.25">
      <c r="A747" s="1" t="s">
        <v>1590</v>
      </c>
      <c r="B747" s="1" t="s">
        <v>37</v>
      </c>
      <c r="C747" s="1" t="s">
        <v>1070</v>
      </c>
      <c r="D747" s="1" t="s">
        <v>90</v>
      </c>
      <c r="E747" s="1" t="s">
        <v>94</v>
      </c>
      <c r="F747" s="1" t="s">
        <v>33</v>
      </c>
      <c r="G747">
        <v>150311</v>
      </c>
      <c r="H747" s="1" t="s">
        <v>1010</v>
      </c>
      <c r="I747" s="2"/>
      <c r="K747">
        <v>10.9</v>
      </c>
      <c r="L747" s="1" t="s">
        <v>49</v>
      </c>
      <c r="M747" s="1" t="s">
        <v>35</v>
      </c>
    </row>
    <row r="748" spans="1:13" x14ac:dyDescent="0.25">
      <c r="A748" s="1" t="s">
        <v>1591</v>
      </c>
      <c r="B748" s="1" t="s">
        <v>98</v>
      </c>
      <c r="C748" s="1" t="s">
        <v>775</v>
      </c>
      <c r="D748" s="1" t="s">
        <v>25</v>
      </c>
      <c r="E748" s="1" t="s">
        <v>77</v>
      </c>
      <c r="F748" s="1" t="s">
        <v>40</v>
      </c>
      <c r="G748">
        <v>132151</v>
      </c>
      <c r="H748" s="1" t="s">
        <v>1592</v>
      </c>
      <c r="I748" s="2">
        <v>45015</v>
      </c>
      <c r="J748">
        <v>51</v>
      </c>
      <c r="K748">
        <v>0.5</v>
      </c>
      <c r="L748" s="1" t="s">
        <v>96</v>
      </c>
      <c r="M748" s="1" t="s">
        <v>35</v>
      </c>
    </row>
    <row r="749" spans="1:13" x14ac:dyDescent="0.25">
      <c r="A749" s="1" t="s">
        <v>1593</v>
      </c>
      <c r="B749" s="1" t="s">
        <v>88</v>
      </c>
      <c r="C749" s="1" t="s">
        <v>865</v>
      </c>
      <c r="D749" s="1" t="s">
        <v>39</v>
      </c>
      <c r="E749" s="1" t="s">
        <v>72</v>
      </c>
      <c r="F749" s="1" t="s">
        <v>53</v>
      </c>
      <c r="G749">
        <v>473977</v>
      </c>
      <c r="H749" s="1" t="s">
        <v>1279</v>
      </c>
      <c r="I749" s="2"/>
      <c r="K749">
        <v>8.6</v>
      </c>
      <c r="L749" s="1" t="s">
        <v>96</v>
      </c>
      <c r="M749" s="1" t="s">
        <v>30</v>
      </c>
    </row>
    <row r="750" spans="1:13" x14ac:dyDescent="0.25">
      <c r="A750" s="1" t="s">
        <v>1594</v>
      </c>
      <c r="B750" s="1" t="s">
        <v>98</v>
      </c>
      <c r="C750" s="1" t="s">
        <v>1074</v>
      </c>
      <c r="D750" s="1" t="s">
        <v>46</v>
      </c>
      <c r="E750" s="1" t="s">
        <v>17</v>
      </c>
      <c r="F750" s="1" t="s">
        <v>27</v>
      </c>
      <c r="G750">
        <v>134894</v>
      </c>
      <c r="H750" s="1" t="s">
        <v>1595</v>
      </c>
      <c r="I750" s="2"/>
      <c r="K750">
        <v>2.2000000000000002</v>
      </c>
      <c r="L750" s="1" t="s">
        <v>29</v>
      </c>
      <c r="M750" s="1" t="s">
        <v>42</v>
      </c>
    </row>
    <row r="751" spans="1:13" x14ac:dyDescent="0.25">
      <c r="A751" s="1" t="s">
        <v>1596</v>
      </c>
      <c r="B751" s="1" t="s">
        <v>65</v>
      </c>
      <c r="C751" s="1" t="s">
        <v>122</v>
      </c>
      <c r="D751" s="1" t="s">
        <v>90</v>
      </c>
      <c r="E751" s="1" t="s">
        <v>51</v>
      </c>
      <c r="F751" s="1" t="s">
        <v>18</v>
      </c>
      <c r="G751">
        <v>281099</v>
      </c>
      <c r="H751" s="1" t="s">
        <v>1597</v>
      </c>
      <c r="I751" s="2">
        <v>45139</v>
      </c>
      <c r="J751">
        <v>162</v>
      </c>
      <c r="L751" s="1" t="s">
        <v>96</v>
      </c>
      <c r="M751" s="1" t="s">
        <v>35</v>
      </c>
    </row>
    <row r="752" spans="1:13" x14ac:dyDescent="0.25">
      <c r="A752" s="1" t="s">
        <v>1598</v>
      </c>
      <c r="B752" s="1" t="s">
        <v>37</v>
      </c>
      <c r="C752" s="1" t="s">
        <v>250</v>
      </c>
      <c r="D752" s="1" t="s">
        <v>16</v>
      </c>
      <c r="E752" s="1" t="s">
        <v>17</v>
      </c>
      <c r="F752" s="1" t="s">
        <v>129</v>
      </c>
      <c r="G752">
        <v>277559</v>
      </c>
      <c r="H752" s="1" t="s">
        <v>904</v>
      </c>
      <c r="I752" s="2"/>
      <c r="K752">
        <v>11.1</v>
      </c>
      <c r="L752" s="1" t="s">
        <v>49</v>
      </c>
      <c r="M752" s="1" t="s">
        <v>30</v>
      </c>
    </row>
    <row r="753" spans="1:13" x14ac:dyDescent="0.25">
      <c r="A753" s="1" t="s">
        <v>1599</v>
      </c>
      <c r="B753" s="1" t="s">
        <v>84</v>
      </c>
      <c r="C753" s="1" t="s">
        <v>813</v>
      </c>
      <c r="D753" s="1" t="s">
        <v>16</v>
      </c>
      <c r="E753" s="1" t="s">
        <v>26</v>
      </c>
      <c r="F753" s="1" t="s">
        <v>129</v>
      </c>
      <c r="G753">
        <v>193896</v>
      </c>
      <c r="H753" s="1" t="s">
        <v>545</v>
      </c>
      <c r="I753" s="2"/>
      <c r="L753" s="1" t="s">
        <v>96</v>
      </c>
      <c r="M753" s="1" t="s">
        <v>35</v>
      </c>
    </row>
    <row r="754" spans="1:13" x14ac:dyDescent="0.25">
      <c r="A754" s="1" t="s">
        <v>1600</v>
      </c>
      <c r="B754" s="1" t="s">
        <v>98</v>
      </c>
      <c r="C754" s="1" t="s">
        <v>1248</v>
      </c>
      <c r="D754" s="1" t="s">
        <v>90</v>
      </c>
      <c r="E754" s="1" t="s">
        <v>72</v>
      </c>
      <c r="F754" s="1" t="s">
        <v>27</v>
      </c>
      <c r="G754">
        <v>181830</v>
      </c>
      <c r="H754" s="1" t="s">
        <v>1601</v>
      </c>
      <c r="I754" s="2"/>
      <c r="K754">
        <v>4.5</v>
      </c>
      <c r="L754" s="1" t="s">
        <v>29</v>
      </c>
      <c r="M754" s="1" t="s">
        <v>30</v>
      </c>
    </row>
    <row r="755" spans="1:13" x14ac:dyDescent="0.25">
      <c r="A755" s="1" t="s">
        <v>1602</v>
      </c>
      <c r="B755" s="1" t="s">
        <v>84</v>
      </c>
      <c r="C755" s="1" t="s">
        <v>287</v>
      </c>
      <c r="D755" s="1" t="s">
        <v>25</v>
      </c>
      <c r="E755" s="1" t="s">
        <v>17</v>
      </c>
      <c r="F755" s="1" t="s">
        <v>33</v>
      </c>
      <c r="G755">
        <v>155886</v>
      </c>
      <c r="H755" s="1" t="s">
        <v>660</v>
      </c>
      <c r="I755" s="2"/>
      <c r="K755">
        <v>4.7</v>
      </c>
      <c r="L755" s="1" t="s">
        <v>29</v>
      </c>
      <c r="M755" s="1" t="s">
        <v>149</v>
      </c>
    </row>
    <row r="756" spans="1:13" x14ac:dyDescent="0.25">
      <c r="A756" s="1" t="s">
        <v>1603</v>
      </c>
      <c r="B756" s="1" t="s">
        <v>44</v>
      </c>
      <c r="C756" s="1" t="s">
        <v>449</v>
      </c>
      <c r="D756" s="1" t="s">
        <v>46</v>
      </c>
      <c r="E756" s="1" t="s">
        <v>26</v>
      </c>
      <c r="F756" s="1" t="s">
        <v>40</v>
      </c>
      <c r="G756">
        <v>357963</v>
      </c>
      <c r="H756" s="1" t="s">
        <v>335</v>
      </c>
      <c r="I756" s="2">
        <v>45400</v>
      </c>
      <c r="J756">
        <v>58</v>
      </c>
      <c r="K756">
        <v>24.7</v>
      </c>
      <c r="L756" s="1" t="s">
        <v>20</v>
      </c>
      <c r="M756" s="1" t="s">
        <v>69</v>
      </c>
    </row>
    <row r="757" spans="1:13" x14ac:dyDescent="0.25">
      <c r="A757" s="1" t="s">
        <v>1604</v>
      </c>
      <c r="B757" s="1" t="s">
        <v>23</v>
      </c>
      <c r="C757" s="1" t="s">
        <v>292</v>
      </c>
      <c r="D757" s="1" t="s">
        <v>46</v>
      </c>
      <c r="E757" s="1" t="s">
        <v>94</v>
      </c>
      <c r="F757" s="1" t="s">
        <v>27</v>
      </c>
      <c r="G757">
        <v>51705</v>
      </c>
      <c r="H757" s="1" t="s">
        <v>1439</v>
      </c>
      <c r="I757" s="2"/>
      <c r="K757">
        <v>8.3000000000000007</v>
      </c>
      <c r="L757" s="1" t="s">
        <v>20</v>
      </c>
      <c r="M757" s="1" t="s">
        <v>149</v>
      </c>
    </row>
    <row r="758" spans="1:13" x14ac:dyDescent="0.25">
      <c r="A758" s="1" t="s">
        <v>1605</v>
      </c>
      <c r="B758" s="1" t="s">
        <v>88</v>
      </c>
      <c r="C758" s="1" t="s">
        <v>423</v>
      </c>
      <c r="D758" s="1" t="s">
        <v>25</v>
      </c>
      <c r="E758" s="1" t="s">
        <v>72</v>
      </c>
      <c r="F758" s="1" t="s">
        <v>40</v>
      </c>
      <c r="G758">
        <v>57685</v>
      </c>
      <c r="H758" s="1" t="s">
        <v>1606</v>
      </c>
      <c r="I758" s="2">
        <v>45404</v>
      </c>
      <c r="J758">
        <v>149</v>
      </c>
      <c r="K758">
        <v>17.600000000000001</v>
      </c>
      <c r="L758" s="1" t="s">
        <v>20</v>
      </c>
      <c r="M758" s="1" t="s">
        <v>21</v>
      </c>
    </row>
    <row r="759" spans="1:13" x14ac:dyDescent="0.25">
      <c r="A759" s="1" t="s">
        <v>1607</v>
      </c>
      <c r="B759" s="1" t="s">
        <v>109</v>
      </c>
      <c r="C759" s="1" t="s">
        <v>980</v>
      </c>
      <c r="D759" s="1" t="s">
        <v>90</v>
      </c>
      <c r="E759" s="1" t="s">
        <v>47</v>
      </c>
      <c r="F759" s="1" t="s">
        <v>33</v>
      </c>
      <c r="G759">
        <v>422560</v>
      </c>
      <c r="H759" s="1" t="s">
        <v>981</v>
      </c>
      <c r="I759" s="2"/>
      <c r="L759" s="1" t="s">
        <v>96</v>
      </c>
      <c r="M759" s="1" t="s">
        <v>107</v>
      </c>
    </row>
    <row r="760" spans="1:13" x14ac:dyDescent="0.25">
      <c r="A760" s="1" t="s">
        <v>1608</v>
      </c>
      <c r="B760" s="1" t="s">
        <v>173</v>
      </c>
      <c r="C760" s="1" t="s">
        <v>267</v>
      </c>
      <c r="D760" s="1" t="s">
        <v>39</v>
      </c>
      <c r="E760" s="1" t="s">
        <v>94</v>
      </c>
      <c r="F760" s="1" t="s">
        <v>53</v>
      </c>
      <c r="G760">
        <v>188185</v>
      </c>
      <c r="H760" s="1" t="s">
        <v>1609</v>
      </c>
      <c r="I760" s="2"/>
      <c r="K760">
        <v>3</v>
      </c>
      <c r="L760" s="1" t="s">
        <v>96</v>
      </c>
      <c r="M760" s="1" t="s">
        <v>42</v>
      </c>
    </row>
    <row r="761" spans="1:13" x14ac:dyDescent="0.25">
      <c r="A761" s="1" t="s">
        <v>1610</v>
      </c>
      <c r="B761" s="1" t="s">
        <v>98</v>
      </c>
      <c r="C761" s="1" t="s">
        <v>1136</v>
      </c>
      <c r="D761" s="1" t="s">
        <v>90</v>
      </c>
      <c r="E761" s="1" t="s">
        <v>47</v>
      </c>
      <c r="F761" s="1" t="s">
        <v>33</v>
      </c>
      <c r="G761">
        <v>184982</v>
      </c>
      <c r="H761" s="1" t="s">
        <v>1611</v>
      </c>
      <c r="I761" s="2"/>
      <c r="L761" s="1" t="s">
        <v>96</v>
      </c>
      <c r="M761" s="1" t="s">
        <v>63</v>
      </c>
    </row>
    <row r="762" spans="1:13" x14ac:dyDescent="0.25">
      <c r="A762" s="1" t="s">
        <v>1612</v>
      </c>
      <c r="B762" s="1" t="s">
        <v>44</v>
      </c>
      <c r="C762" s="1" t="s">
        <v>972</v>
      </c>
      <c r="D762" s="1" t="s">
        <v>67</v>
      </c>
      <c r="E762" s="1" t="s">
        <v>72</v>
      </c>
      <c r="F762" s="1" t="s">
        <v>27</v>
      </c>
      <c r="G762">
        <v>218124</v>
      </c>
      <c r="H762" s="1" t="s">
        <v>663</v>
      </c>
      <c r="I762" s="2"/>
      <c r="L762" s="1" t="s">
        <v>96</v>
      </c>
      <c r="M762" s="1" t="s">
        <v>30</v>
      </c>
    </row>
    <row r="763" spans="1:13" x14ac:dyDescent="0.25">
      <c r="A763" s="1" t="s">
        <v>1613</v>
      </c>
      <c r="B763" s="1" t="s">
        <v>59</v>
      </c>
      <c r="C763" s="1" t="s">
        <v>1028</v>
      </c>
      <c r="D763" s="1" t="s">
        <v>25</v>
      </c>
      <c r="E763" s="1" t="s">
        <v>26</v>
      </c>
      <c r="F763" s="1" t="s">
        <v>33</v>
      </c>
      <c r="G763">
        <v>94808</v>
      </c>
      <c r="H763" s="1" t="s">
        <v>532</v>
      </c>
      <c r="I763" s="2"/>
      <c r="K763">
        <v>7.2</v>
      </c>
      <c r="L763" s="1" t="s">
        <v>29</v>
      </c>
      <c r="M763" s="1" t="s">
        <v>30</v>
      </c>
    </row>
    <row r="764" spans="1:13" x14ac:dyDescent="0.25">
      <c r="A764" s="1" t="s">
        <v>1614</v>
      </c>
      <c r="B764" s="1" t="s">
        <v>14</v>
      </c>
      <c r="C764" s="1" t="s">
        <v>625</v>
      </c>
      <c r="D764" s="1" t="s">
        <v>16</v>
      </c>
      <c r="E764" s="1" t="s">
        <v>26</v>
      </c>
      <c r="F764" s="1" t="s">
        <v>129</v>
      </c>
      <c r="G764">
        <v>311351</v>
      </c>
      <c r="H764" s="1" t="s">
        <v>1019</v>
      </c>
      <c r="I764" s="2"/>
      <c r="K764">
        <v>9.6</v>
      </c>
      <c r="L764" s="1" t="s">
        <v>29</v>
      </c>
      <c r="M764" s="1" t="s">
        <v>149</v>
      </c>
    </row>
    <row r="765" spans="1:13" x14ac:dyDescent="0.25">
      <c r="A765" s="1" t="s">
        <v>1615</v>
      </c>
      <c r="B765" s="1" t="s">
        <v>98</v>
      </c>
      <c r="C765" s="1" t="s">
        <v>874</v>
      </c>
      <c r="D765" s="1" t="s">
        <v>46</v>
      </c>
      <c r="E765" s="1" t="s">
        <v>47</v>
      </c>
      <c r="F765" s="1" t="s">
        <v>33</v>
      </c>
      <c r="G765">
        <v>478589</v>
      </c>
      <c r="H765" s="1" t="s">
        <v>1616</v>
      </c>
      <c r="I765" s="2"/>
      <c r="K765">
        <v>8.4</v>
      </c>
      <c r="L765" s="1" t="s">
        <v>20</v>
      </c>
      <c r="M765" s="1" t="s">
        <v>149</v>
      </c>
    </row>
    <row r="766" spans="1:13" x14ac:dyDescent="0.25">
      <c r="A766" s="1" t="s">
        <v>1617</v>
      </c>
      <c r="B766" s="1" t="s">
        <v>173</v>
      </c>
      <c r="C766" s="1" t="s">
        <v>138</v>
      </c>
      <c r="D766" s="1" t="s">
        <v>90</v>
      </c>
      <c r="E766" s="1" t="s">
        <v>17</v>
      </c>
      <c r="F766" s="1" t="s">
        <v>129</v>
      </c>
      <c r="G766">
        <v>412868</v>
      </c>
      <c r="H766" s="1" t="s">
        <v>1362</v>
      </c>
      <c r="I766" s="2"/>
      <c r="K766">
        <v>8.1999999999999993</v>
      </c>
      <c r="L766" s="1" t="s">
        <v>96</v>
      </c>
      <c r="M766" s="1" t="s">
        <v>69</v>
      </c>
    </row>
    <row r="767" spans="1:13" x14ac:dyDescent="0.25">
      <c r="A767" s="1" t="s">
        <v>1618</v>
      </c>
      <c r="B767" s="1" t="s">
        <v>88</v>
      </c>
      <c r="C767" s="1" t="s">
        <v>1352</v>
      </c>
      <c r="D767" s="1" t="s">
        <v>39</v>
      </c>
      <c r="E767" s="1" t="s">
        <v>72</v>
      </c>
      <c r="F767" s="1" t="s">
        <v>129</v>
      </c>
      <c r="G767">
        <v>108997</v>
      </c>
      <c r="H767" s="1" t="s">
        <v>1619</v>
      </c>
      <c r="I767" s="2"/>
      <c r="L767" s="1" t="s">
        <v>49</v>
      </c>
      <c r="M767" s="1" t="s">
        <v>30</v>
      </c>
    </row>
    <row r="768" spans="1:13" x14ac:dyDescent="0.25">
      <c r="A768" s="1" t="s">
        <v>1620</v>
      </c>
      <c r="B768" s="1" t="s">
        <v>173</v>
      </c>
      <c r="C768" s="1" t="s">
        <v>987</v>
      </c>
      <c r="D768" s="1" t="s">
        <v>46</v>
      </c>
      <c r="E768" s="1" t="s">
        <v>17</v>
      </c>
      <c r="F768" s="1" t="s">
        <v>33</v>
      </c>
      <c r="G768">
        <v>69592</v>
      </c>
      <c r="H768" s="1" t="s">
        <v>867</v>
      </c>
      <c r="I768" s="2"/>
      <c r="K768">
        <v>7.4</v>
      </c>
      <c r="L768" s="1" t="s">
        <v>20</v>
      </c>
      <c r="M768" s="1" t="s">
        <v>69</v>
      </c>
    </row>
    <row r="769" spans="1:13" x14ac:dyDescent="0.25">
      <c r="A769" s="1" t="s">
        <v>1621</v>
      </c>
      <c r="B769" s="1" t="s">
        <v>65</v>
      </c>
      <c r="C769" s="1" t="s">
        <v>325</v>
      </c>
      <c r="D769" s="1" t="s">
        <v>90</v>
      </c>
      <c r="E769" s="1" t="s">
        <v>17</v>
      </c>
      <c r="F769" s="1" t="s">
        <v>27</v>
      </c>
      <c r="G769">
        <v>394132</v>
      </c>
      <c r="H769" s="1" t="s">
        <v>547</v>
      </c>
      <c r="I769" s="2"/>
      <c r="L769" s="1" t="s">
        <v>49</v>
      </c>
      <c r="M769" s="1" t="s">
        <v>42</v>
      </c>
    </row>
    <row r="770" spans="1:13" x14ac:dyDescent="0.25">
      <c r="A770" s="1" t="s">
        <v>1622</v>
      </c>
      <c r="B770" s="1" t="s">
        <v>80</v>
      </c>
      <c r="C770" s="1" t="s">
        <v>303</v>
      </c>
      <c r="D770" s="1" t="s">
        <v>46</v>
      </c>
      <c r="E770" s="1" t="s">
        <v>94</v>
      </c>
      <c r="F770" s="1" t="s">
        <v>18</v>
      </c>
      <c r="G770">
        <v>479641</v>
      </c>
      <c r="H770" s="1" t="s">
        <v>1623</v>
      </c>
      <c r="I770" s="2">
        <v>45485</v>
      </c>
      <c r="J770">
        <v>173</v>
      </c>
      <c r="L770" s="1" t="s">
        <v>20</v>
      </c>
      <c r="M770" s="1" t="s">
        <v>69</v>
      </c>
    </row>
    <row r="771" spans="1:13" x14ac:dyDescent="0.25">
      <c r="A771" s="1" t="s">
        <v>1624</v>
      </c>
      <c r="B771" s="1" t="s">
        <v>173</v>
      </c>
      <c r="C771" s="1" t="s">
        <v>105</v>
      </c>
      <c r="D771" s="1" t="s">
        <v>39</v>
      </c>
      <c r="E771" s="1" t="s">
        <v>61</v>
      </c>
      <c r="F771" s="1" t="s">
        <v>53</v>
      </c>
      <c r="G771">
        <v>305973</v>
      </c>
      <c r="H771" s="1" t="s">
        <v>1625</v>
      </c>
      <c r="I771" s="2"/>
      <c r="K771">
        <v>6.4</v>
      </c>
      <c r="L771" s="1" t="s">
        <v>49</v>
      </c>
      <c r="M771" s="1" t="s">
        <v>21</v>
      </c>
    </row>
    <row r="772" spans="1:13" x14ac:dyDescent="0.25">
      <c r="A772" s="1" t="s">
        <v>1626</v>
      </c>
      <c r="B772" s="1" t="s">
        <v>88</v>
      </c>
      <c r="C772" s="1" t="s">
        <v>1142</v>
      </c>
      <c r="D772" s="1" t="s">
        <v>46</v>
      </c>
      <c r="E772" s="1" t="s">
        <v>77</v>
      </c>
      <c r="F772" s="1" t="s">
        <v>40</v>
      </c>
      <c r="G772">
        <v>282645</v>
      </c>
      <c r="H772" s="1" t="s">
        <v>1627</v>
      </c>
      <c r="I772" s="2">
        <v>45671</v>
      </c>
      <c r="J772">
        <v>122</v>
      </c>
      <c r="K772">
        <v>14.5</v>
      </c>
      <c r="L772" s="1" t="s">
        <v>96</v>
      </c>
      <c r="M772" s="1" t="s">
        <v>149</v>
      </c>
    </row>
    <row r="773" spans="1:13" x14ac:dyDescent="0.25">
      <c r="A773" s="1" t="s">
        <v>1628</v>
      </c>
      <c r="B773" s="1" t="s">
        <v>104</v>
      </c>
      <c r="C773" s="1" t="s">
        <v>205</v>
      </c>
      <c r="D773" s="1" t="s">
        <v>25</v>
      </c>
      <c r="E773" s="1" t="s">
        <v>94</v>
      </c>
      <c r="F773" s="1" t="s">
        <v>53</v>
      </c>
      <c r="G773">
        <v>303493</v>
      </c>
      <c r="H773" s="1" t="s">
        <v>1304</v>
      </c>
      <c r="I773" s="2"/>
      <c r="L773" s="1" t="s">
        <v>96</v>
      </c>
      <c r="M773" s="1" t="s">
        <v>102</v>
      </c>
    </row>
    <row r="774" spans="1:13" x14ac:dyDescent="0.25">
      <c r="A774" s="1" t="s">
        <v>1629</v>
      </c>
      <c r="B774" s="1" t="s">
        <v>23</v>
      </c>
      <c r="C774" s="1" t="s">
        <v>625</v>
      </c>
      <c r="D774" s="1" t="s">
        <v>16</v>
      </c>
      <c r="E774" s="1" t="s">
        <v>17</v>
      </c>
      <c r="F774" s="1" t="s">
        <v>33</v>
      </c>
      <c r="G774">
        <v>143999</v>
      </c>
      <c r="H774" s="1" t="s">
        <v>1630</v>
      </c>
      <c r="I774" s="2"/>
      <c r="K774">
        <v>1</v>
      </c>
      <c r="L774" s="1" t="s">
        <v>49</v>
      </c>
      <c r="M774" s="1" t="s">
        <v>149</v>
      </c>
    </row>
    <row r="775" spans="1:13" x14ac:dyDescent="0.25">
      <c r="A775" s="1" t="s">
        <v>1631</v>
      </c>
      <c r="B775" s="1" t="s">
        <v>173</v>
      </c>
      <c r="C775" s="1" t="s">
        <v>1566</v>
      </c>
      <c r="D775" s="1" t="s">
        <v>25</v>
      </c>
      <c r="E775" s="1" t="s">
        <v>94</v>
      </c>
      <c r="F775" s="1" t="s">
        <v>40</v>
      </c>
      <c r="G775">
        <v>270035</v>
      </c>
      <c r="H775" s="1" t="s">
        <v>1016</v>
      </c>
      <c r="I775" s="2">
        <v>45253</v>
      </c>
      <c r="J775">
        <v>155</v>
      </c>
      <c r="K775">
        <v>24.1</v>
      </c>
      <c r="L775" s="1" t="s">
        <v>20</v>
      </c>
      <c r="M775" s="1" t="s">
        <v>30</v>
      </c>
    </row>
    <row r="776" spans="1:13" x14ac:dyDescent="0.25">
      <c r="A776" s="1" t="s">
        <v>1632</v>
      </c>
      <c r="B776" s="1" t="s">
        <v>44</v>
      </c>
      <c r="C776" s="1" t="s">
        <v>912</v>
      </c>
      <c r="D776" s="1" t="s">
        <v>16</v>
      </c>
      <c r="E776" s="1" t="s">
        <v>47</v>
      </c>
      <c r="F776" s="1" t="s">
        <v>40</v>
      </c>
      <c r="G776">
        <v>256648</v>
      </c>
      <c r="H776" s="1" t="s">
        <v>1294</v>
      </c>
      <c r="I776" s="2">
        <v>45673</v>
      </c>
      <c r="J776">
        <v>39</v>
      </c>
      <c r="K776">
        <v>12.9</v>
      </c>
      <c r="L776" s="1" t="s">
        <v>96</v>
      </c>
      <c r="M776" s="1" t="s">
        <v>42</v>
      </c>
    </row>
    <row r="777" spans="1:13" x14ac:dyDescent="0.25">
      <c r="A777" s="1" t="s">
        <v>1633</v>
      </c>
      <c r="B777" s="1" t="s">
        <v>14</v>
      </c>
      <c r="C777" s="1" t="s">
        <v>800</v>
      </c>
      <c r="D777" s="1" t="s">
        <v>39</v>
      </c>
      <c r="E777" s="1" t="s">
        <v>61</v>
      </c>
      <c r="F777" s="1" t="s">
        <v>18</v>
      </c>
      <c r="G777">
        <v>216032</v>
      </c>
      <c r="H777" s="1" t="s">
        <v>1634</v>
      </c>
      <c r="I777" s="2">
        <v>45280</v>
      </c>
      <c r="J777">
        <v>92</v>
      </c>
      <c r="L777" s="1" t="s">
        <v>29</v>
      </c>
      <c r="M777" s="1" t="s">
        <v>102</v>
      </c>
    </row>
    <row r="778" spans="1:13" x14ac:dyDescent="0.25">
      <c r="A778" s="1" t="s">
        <v>1635</v>
      </c>
      <c r="B778" s="1" t="s">
        <v>65</v>
      </c>
      <c r="C778" s="1" t="s">
        <v>261</v>
      </c>
      <c r="D778" s="1" t="s">
        <v>46</v>
      </c>
      <c r="E778" s="1" t="s">
        <v>61</v>
      </c>
      <c r="F778" s="1" t="s">
        <v>129</v>
      </c>
      <c r="G778">
        <v>146467</v>
      </c>
      <c r="H778" s="1" t="s">
        <v>452</v>
      </c>
      <c r="I778" s="2"/>
      <c r="K778">
        <v>14</v>
      </c>
      <c r="L778" s="1" t="s">
        <v>29</v>
      </c>
      <c r="M778" s="1" t="s">
        <v>107</v>
      </c>
    </row>
    <row r="779" spans="1:13" x14ac:dyDescent="0.25">
      <c r="A779" s="1" t="s">
        <v>1636</v>
      </c>
      <c r="B779" s="1" t="s">
        <v>84</v>
      </c>
      <c r="C779" s="1" t="s">
        <v>1582</v>
      </c>
      <c r="D779" s="1" t="s">
        <v>25</v>
      </c>
      <c r="E779" s="1" t="s">
        <v>77</v>
      </c>
      <c r="F779" s="1" t="s">
        <v>27</v>
      </c>
      <c r="G779">
        <v>416294</v>
      </c>
      <c r="H779" s="1" t="s">
        <v>1637</v>
      </c>
      <c r="I779" s="2"/>
      <c r="K779">
        <v>9.5</v>
      </c>
      <c r="L779" s="1" t="s">
        <v>29</v>
      </c>
      <c r="M779" s="1" t="s">
        <v>42</v>
      </c>
    </row>
    <row r="780" spans="1:13" x14ac:dyDescent="0.25">
      <c r="A780" s="1" t="s">
        <v>1638</v>
      </c>
      <c r="B780" s="1" t="s">
        <v>23</v>
      </c>
      <c r="C780" s="1" t="s">
        <v>1204</v>
      </c>
      <c r="D780" s="1" t="s">
        <v>46</v>
      </c>
      <c r="E780" s="1" t="s">
        <v>17</v>
      </c>
      <c r="F780" s="1" t="s">
        <v>40</v>
      </c>
      <c r="G780">
        <v>87018</v>
      </c>
      <c r="H780" s="1" t="s">
        <v>1418</v>
      </c>
      <c r="I780" s="2">
        <v>45625</v>
      </c>
      <c r="J780">
        <v>27</v>
      </c>
      <c r="K780">
        <v>16.399999999999999</v>
      </c>
      <c r="L780" s="1" t="s">
        <v>29</v>
      </c>
      <c r="M780" s="1" t="s">
        <v>42</v>
      </c>
    </row>
    <row r="781" spans="1:13" x14ac:dyDescent="0.25">
      <c r="A781" s="1" t="s">
        <v>1639</v>
      </c>
      <c r="B781" s="1" t="s">
        <v>75</v>
      </c>
      <c r="C781" s="1" t="s">
        <v>227</v>
      </c>
      <c r="D781" s="1" t="s">
        <v>90</v>
      </c>
      <c r="E781" s="1" t="s">
        <v>51</v>
      </c>
      <c r="F781" s="1" t="s">
        <v>18</v>
      </c>
      <c r="G781">
        <v>496316</v>
      </c>
      <c r="H781" s="1" t="s">
        <v>1640</v>
      </c>
      <c r="I781" s="2">
        <v>45725</v>
      </c>
      <c r="J781">
        <v>176</v>
      </c>
      <c r="K781">
        <v>2.6</v>
      </c>
      <c r="L781" s="1" t="s">
        <v>96</v>
      </c>
      <c r="M781" s="1" t="s">
        <v>149</v>
      </c>
    </row>
    <row r="782" spans="1:13" x14ac:dyDescent="0.25">
      <c r="A782" s="1" t="s">
        <v>1641</v>
      </c>
      <c r="B782" s="1" t="s">
        <v>44</v>
      </c>
      <c r="C782" s="1" t="s">
        <v>699</v>
      </c>
      <c r="D782" s="1" t="s">
        <v>67</v>
      </c>
      <c r="E782" s="1" t="s">
        <v>47</v>
      </c>
      <c r="F782" s="1" t="s">
        <v>53</v>
      </c>
      <c r="G782">
        <v>269510</v>
      </c>
      <c r="H782" s="1" t="s">
        <v>68</v>
      </c>
      <c r="I782" s="2"/>
      <c r="L782" s="1" t="s">
        <v>20</v>
      </c>
      <c r="M782" s="1" t="s">
        <v>69</v>
      </c>
    </row>
    <row r="783" spans="1:13" x14ac:dyDescent="0.25">
      <c r="A783" s="1" t="s">
        <v>1642</v>
      </c>
      <c r="B783" s="1" t="s">
        <v>37</v>
      </c>
      <c r="C783" s="1" t="s">
        <v>676</v>
      </c>
      <c r="D783" s="1" t="s">
        <v>25</v>
      </c>
      <c r="E783" s="1" t="s">
        <v>72</v>
      </c>
      <c r="F783" s="1" t="s">
        <v>53</v>
      </c>
      <c r="G783">
        <v>469379</v>
      </c>
      <c r="H783" s="1" t="s">
        <v>1527</v>
      </c>
      <c r="I783" s="2"/>
      <c r="K783">
        <v>3.6</v>
      </c>
      <c r="L783" s="1" t="s">
        <v>29</v>
      </c>
      <c r="M783" s="1" t="s">
        <v>30</v>
      </c>
    </row>
    <row r="784" spans="1:13" x14ac:dyDescent="0.25">
      <c r="A784" s="1" t="s">
        <v>1643</v>
      </c>
      <c r="B784" s="1" t="s">
        <v>75</v>
      </c>
      <c r="C784" s="1" t="s">
        <v>518</v>
      </c>
      <c r="D784" s="1" t="s">
        <v>67</v>
      </c>
      <c r="E784" s="1" t="s">
        <v>72</v>
      </c>
      <c r="F784" s="1" t="s">
        <v>27</v>
      </c>
      <c r="G784">
        <v>225336</v>
      </c>
      <c r="H784" s="1" t="s">
        <v>1644</v>
      </c>
      <c r="I784" s="2"/>
      <c r="L784" s="1" t="s">
        <v>20</v>
      </c>
      <c r="M784" s="1" t="s">
        <v>21</v>
      </c>
    </row>
    <row r="785" spans="1:13" x14ac:dyDescent="0.25">
      <c r="A785" s="1" t="s">
        <v>1645</v>
      </c>
      <c r="B785" s="1" t="s">
        <v>104</v>
      </c>
      <c r="C785" s="1" t="s">
        <v>355</v>
      </c>
      <c r="D785" s="1" t="s">
        <v>25</v>
      </c>
      <c r="E785" s="1" t="s">
        <v>100</v>
      </c>
      <c r="F785" s="1" t="s">
        <v>53</v>
      </c>
      <c r="G785">
        <v>411518</v>
      </c>
      <c r="H785" s="1" t="s">
        <v>1646</v>
      </c>
      <c r="I785" s="2"/>
      <c r="L785" s="1" t="s">
        <v>20</v>
      </c>
      <c r="M785" s="1" t="s">
        <v>107</v>
      </c>
    </row>
    <row r="786" spans="1:13" x14ac:dyDescent="0.25">
      <c r="A786" s="1" t="s">
        <v>1647</v>
      </c>
      <c r="B786" s="1" t="s">
        <v>88</v>
      </c>
      <c r="C786" s="1" t="s">
        <v>614</v>
      </c>
      <c r="D786" s="1" t="s">
        <v>90</v>
      </c>
      <c r="E786" s="1" t="s">
        <v>47</v>
      </c>
      <c r="F786" s="1" t="s">
        <v>129</v>
      </c>
      <c r="G786">
        <v>29564</v>
      </c>
      <c r="H786" s="1" t="s">
        <v>1648</v>
      </c>
      <c r="I786" s="2"/>
      <c r="L786" s="1" t="s">
        <v>96</v>
      </c>
      <c r="M786" s="1" t="s">
        <v>69</v>
      </c>
    </row>
    <row r="787" spans="1:13" x14ac:dyDescent="0.25">
      <c r="A787" s="1" t="s">
        <v>1649</v>
      </c>
      <c r="B787" s="1" t="s">
        <v>75</v>
      </c>
      <c r="C787" s="1" t="s">
        <v>539</v>
      </c>
      <c r="D787" s="1" t="s">
        <v>16</v>
      </c>
      <c r="E787" s="1" t="s">
        <v>72</v>
      </c>
      <c r="F787" s="1" t="s">
        <v>40</v>
      </c>
      <c r="G787">
        <v>306455</v>
      </c>
      <c r="H787" s="1" t="s">
        <v>48</v>
      </c>
      <c r="I787" s="2">
        <v>45296</v>
      </c>
      <c r="J787">
        <v>30</v>
      </c>
      <c r="K787">
        <v>14.6</v>
      </c>
      <c r="L787" s="1" t="s">
        <v>96</v>
      </c>
      <c r="M787" s="1" t="s">
        <v>21</v>
      </c>
    </row>
    <row r="788" spans="1:13" x14ac:dyDescent="0.25">
      <c r="A788" s="1" t="s">
        <v>1650</v>
      </c>
      <c r="B788" s="1" t="s">
        <v>98</v>
      </c>
      <c r="C788" s="1" t="s">
        <v>654</v>
      </c>
      <c r="D788" s="1" t="s">
        <v>90</v>
      </c>
      <c r="E788" s="1" t="s">
        <v>47</v>
      </c>
      <c r="F788" s="1" t="s">
        <v>27</v>
      </c>
      <c r="G788">
        <v>436059</v>
      </c>
      <c r="H788" s="1" t="s">
        <v>1651</v>
      </c>
      <c r="I788" s="2"/>
      <c r="K788">
        <v>4.3</v>
      </c>
      <c r="L788" s="1" t="s">
        <v>96</v>
      </c>
      <c r="M788" s="1" t="s">
        <v>149</v>
      </c>
    </row>
    <row r="789" spans="1:13" x14ac:dyDescent="0.25">
      <c r="A789" s="1" t="s">
        <v>1652</v>
      </c>
      <c r="B789" s="1" t="s">
        <v>84</v>
      </c>
      <c r="C789" s="1" t="s">
        <v>321</v>
      </c>
      <c r="D789" s="1" t="s">
        <v>25</v>
      </c>
      <c r="E789" s="1" t="s">
        <v>51</v>
      </c>
      <c r="F789" s="1" t="s">
        <v>33</v>
      </c>
      <c r="G789">
        <v>481266</v>
      </c>
      <c r="H789" s="1" t="s">
        <v>623</v>
      </c>
      <c r="I789" s="2"/>
      <c r="L789" s="1" t="s">
        <v>20</v>
      </c>
      <c r="M789" s="1" t="s">
        <v>69</v>
      </c>
    </row>
    <row r="790" spans="1:13" x14ac:dyDescent="0.25">
      <c r="A790" s="1" t="s">
        <v>1653</v>
      </c>
      <c r="B790" s="1" t="s">
        <v>59</v>
      </c>
      <c r="C790" s="1" t="s">
        <v>361</v>
      </c>
      <c r="D790" s="1" t="s">
        <v>16</v>
      </c>
      <c r="E790" s="1" t="s">
        <v>72</v>
      </c>
      <c r="F790" s="1" t="s">
        <v>129</v>
      </c>
      <c r="G790">
        <v>405043</v>
      </c>
      <c r="H790" s="1" t="s">
        <v>1654</v>
      </c>
      <c r="I790" s="2"/>
      <c r="K790">
        <v>12.1</v>
      </c>
      <c r="L790" s="1" t="s">
        <v>49</v>
      </c>
      <c r="M790" s="1" t="s">
        <v>107</v>
      </c>
    </row>
    <row r="791" spans="1:13" x14ac:dyDescent="0.25">
      <c r="A791" s="1" t="s">
        <v>1655</v>
      </c>
      <c r="B791" s="1" t="s">
        <v>59</v>
      </c>
      <c r="C791" s="1" t="s">
        <v>384</v>
      </c>
      <c r="D791" s="1" t="s">
        <v>16</v>
      </c>
      <c r="E791" s="1" t="s">
        <v>26</v>
      </c>
      <c r="F791" s="1" t="s">
        <v>53</v>
      </c>
      <c r="G791">
        <v>302967</v>
      </c>
      <c r="H791" s="1" t="s">
        <v>1656</v>
      </c>
      <c r="I791" s="2"/>
      <c r="L791" s="1" t="s">
        <v>49</v>
      </c>
      <c r="M791" s="1" t="s">
        <v>149</v>
      </c>
    </row>
    <row r="792" spans="1:13" x14ac:dyDescent="0.25">
      <c r="A792" s="1" t="s">
        <v>1657</v>
      </c>
      <c r="B792" s="1" t="s">
        <v>173</v>
      </c>
      <c r="C792" s="1" t="s">
        <v>906</v>
      </c>
      <c r="D792" s="1" t="s">
        <v>46</v>
      </c>
      <c r="E792" s="1" t="s">
        <v>61</v>
      </c>
      <c r="F792" s="1" t="s">
        <v>18</v>
      </c>
      <c r="G792">
        <v>241692</v>
      </c>
      <c r="H792" s="1" t="s">
        <v>819</v>
      </c>
      <c r="I792" s="2">
        <v>45727</v>
      </c>
      <c r="J792">
        <v>175</v>
      </c>
      <c r="L792" s="1" t="s">
        <v>96</v>
      </c>
      <c r="M792" s="1" t="s">
        <v>149</v>
      </c>
    </row>
    <row r="793" spans="1:13" x14ac:dyDescent="0.25">
      <c r="A793" s="1" t="s">
        <v>1658</v>
      </c>
      <c r="B793" s="1" t="s">
        <v>65</v>
      </c>
      <c r="C793" s="1" t="s">
        <v>882</v>
      </c>
      <c r="D793" s="1" t="s">
        <v>67</v>
      </c>
      <c r="E793" s="1" t="s">
        <v>47</v>
      </c>
      <c r="F793" s="1" t="s">
        <v>33</v>
      </c>
      <c r="G793">
        <v>344535</v>
      </c>
      <c r="H793" s="1" t="s">
        <v>1216</v>
      </c>
      <c r="I793" s="2"/>
      <c r="L793" s="1" t="s">
        <v>29</v>
      </c>
      <c r="M793" s="1" t="s">
        <v>63</v>
      </c>
    </row>
    <row r="794" spans="1:13" x14ac:dyDescent="0.25">
      <c r="A794" s="1" t="s">
        <v>1659</v>
      </c>
      <c r="B794" s="1" t="s">
        <v>109</v>
      </c>
      <c r="C794" s="1" t="s">
        <v>15</v>
      </c>
      <c r="D794" s="1" t="s">
        <v>46</v>
      </c>
      <c r="E794" s="1" t="s">
        <v>77</v>
      </c>
      <c r="F794" s="1" t="s">
        <v>33</v>
      </c>
      <c r="G794">
        <v>384313</v>
      </c>
      <c r="H794" s="1" t="s">
        <v>721</v>
      </c>
      <c r="I794" s="2"/>
      <c r="K794">
        <v>6.5</v>
      </c>
      <c r="L794" s="1" t="s">
        <v>20</v>
      </c>
      <c r="M794" s="1" t="s">
        <v>63</v>
      </c>
    </row>
    <row r="795" spans="1:13" x14ac:dyDescent="0.25">
      <c r="A795" s="1" t="s">
        <v>1660</v>
      </c>
      <c r="B795" s="1" t="s">
        <v>127</v>
      </c>
      <c r="C795" s="1" t="s">
        <v>313</v>
      </c>
      <c r="D795" s="1" t="s">
        <v>25</v>
      </c>
      <c r="E795" s="1" t="s">
        <v>94</v>
      </c>
      <c r="F795" s="1" t="s">
        <v>18</v>
      </c>
      <c r="G795">
        <v>390955</v>
      </c>
      <c r="H795" s="1" t="s">
        <v>1270</v>
      </c>
      <c r="I795" s="2">
        <v>45527</v>
      </c>
      <c r="J795">
        <v>66</v>
      </c>
      <c r="L795" s="1" t="s">
        <v>49</v>
      </c>
      <c r="M795" s="1" t="s">
        <v>107</v>
      </c>
    </row>
    <row r="796" spans="1:13" x14ac:dyDescent="0.25">
      <c r="A796" s="1" t="s">
        <v>1661</v>
      </c>
      <c r="B796" s="1" t="s">
        <v>14</v>
      </c>
      <c r="C796" s="1" t="s">
        <v>328</v>
      </c>
      <c r="D796" s="1" t="s">
        <v>39</v>
      </c>
      <c r="E796" s="1" t="s">
        <v>26</v>
      </c>
      <c r="F796" s="1" t="s">
        <v>40</v>
      </c>
      <c r="G796">
        <v>246390</v>
      </c>
      <c r="H796" s="1" t="s">
        <v>1662</v>
      </c>
      <c r="I796" s="2">
        <v>45202</v>
      </c>
      <c r="J796">
        <v>91</v>
      </c>
      <c r="K796">
        <v>4.5</v>
      </c>
      <c r="L796" s="1" t="s">
        <v>96</v>
      </c>
      <c r="M796" s="1" t="s">
        <v>102</v>
      </c>
    </row>
    <row r="797" spans="1:13" x14ac:dyDescent="0.25">
      <c r="A797" s="1" t="s">
        <v>1663</v>
      </c>
      <c r="B797" s="1" t="s">
        <v>75</v>
      </c>
      <c r="C797" s="1" t="s">
        <v>430</v>
      </c>
      <c r="D797" s="1" t="s">
        <v>46</v>
      </c>
      <c r="E797" s="1" t="s">
        <v>17</v>
      </c>
      <c r="F797" s="1" t="s">
        <v>53</v>
      </c>
      <c r="G797">
        <v>33949</v>
      </c>
      <c r="H797" s="1" t="s">
        <v>1041</v>
      </c>
      <c r="I797" s="2"/>
      <c r="K797">
        <v>1</v>
      </c>
      <c r="L797" s="1" t="s">
        <v>49</v>
      </c>
      <c r="M797" s="1" t="s">
        <v>149</v>
      </c>
    </row>
    <row r="798" spans="1:13" x14ac:dyDescent="0.25">
      <c r="A798" s="1" t="s">
        <v>1664</v>
      </c>
      <c r="B798" s="1" t="s">
        <v>75</v>
      </c>
      <c r="C798" s="1" t="s">
        <v>292</v>
      </c>
      <c r="D798" s="1" t="s">
        <v>90</v>
      </c>
      <c r="E798" s="1" t="s">
        <v>51</v>
      </c>
      <c r="F798" s="1" t="s">
        <v>53</v>
      </c>
      <c r="G798">
        <v>54639</v>
      </c>
      <c r="H798" s="1" t="s">
        <v>1216</v>
      </c>
      <c r="I798" s="2"/>
      <c r="K798">
        <v>0.7</v>
      </c>
      <c r="L798" s="1" t="s">
        <v>29</v>
      </c>
      <c r="M798" s="1" t="s">
        <v>63</v>
      </c>
    </row>
    <row r="799" spans="1:13" x14ac:dyDescent="0.25">
      <c r="A799" s="1" t="s">
        <v>1665</v>
      </c>
      <c r="B799" s="1" t="s">
        <v>23</v>
      </c>
      <c r="C799" s="1" t="s">
        <v>1136</v>
      </c>
      <c r="D799" s="1" t="s">
        <v>46</v>
      </c>
      <c r="E799" s="1" t="s">
        <v>17</v>
      </c>
      <c r="F799" s="1" t="s">
        <v>53</v>
      </c>
      <c r="G799">
        <v>24721</v>
      </c>
      <c r="H799" s="1" t="s">
        <v>1666</v>
      </c>
      <c r="I799" s="2"/>
      <c r="L799" s="1" t="s">
        <v>49</v>
      </c>
      <c r="M799" s="1" t="s">
        <v>63</v>
      </c>
    </row>
    <row r="800" spans="1:13" x14ac:dyDescent="0.25">
      <c r="A800" s="1" t="s">
        <v>1667</v>
      </c>
      <c r="B800" s="1" t="s">
        <v>84</v>
      </c>
      <c r="C800" s="1" t="s">
        <v>174</v>
      </c>
      <c r="D800" s="1" t="s">
        <v>16</v>
      </c>
      <c r="E800" s="1" t="s">
        <v>94</v>
      </c>
      <c r="F800" s="1" t="s">
        <v>18</v>
      </c>
      <c r="G800">
        <v>117062</v>
      </c>
      <c r="H800" s="1" t="s">
        <v>674</v>
      </c>
      <c r="I800" s="2">
        <v>45143</v>
      </c>
      <c r="J800">
        <v>151</v>
      </c>
      <c r="K800">
        <v>7.1</v>
      </c>
      <c r="L800" s="1" t="s">
        <v>20</v>
      </c>
      <c r="M800" s="1" t="s">
        <v>35</v>
      </c>
    </row>
    <row r="801" spans="1:13" x14ac:dyDescent="0.25">
      <c r="A801" s="1" t="s">
        <v>1668</v>
      </c>
      <c r="B801" s="1" t="s">
        <v>98</v>
      </c>
      <c r="C801" s="1" t="s">
        <v>1074</v>
      </c>
      <c r="D801" s="1" t="s">
        <v>25</v>
      </c>
      <c r="E801" s="1" t="s">
        <v>51</v>
      </c>
      <c r="F801" s="1" t="s">
        <v>40</v>
      </c>
      <c r="G801">
        <v>338895</v>
      </c>
      <c r="H801" s="1" t="s">
        <v>1616</v>
      </c>
      <c r="I801" s="2">
        <v>45548</v>
      </c>
      <c r="J801">
        <v>55</v>
      </c>
      <c r="K801">
        <v>5.0999999999999996</v>
      </c>
      <c r="L801" s="1" t="s">
        <v>96</v>
      </c>
      <c r="M801" s="1" t="s">
        <v>149</v>
      </c>
    </row>
    <row r="802" spans="1:13" x14ac:dyDescent="0.25">
      <c r="A802" s="1" t="s">
        <v>1669</v>
      </c>
      <c r="B802" s="1" t="s">
        <v>14</v>
      </c>
      <c r="C802" s="1" t="s">
        <v>316</v>
      </c>
      <c r="D802" s="1" t="s">
        <v>39</v>
      </c>
      <c r="E802" s="1" t="s">
        <v>26</v>
      </c>
      <c r="F802" s="1" t="s">
        <v>40</v>
      </c>
      <c r="G802">
        <v>127582</v>
      </c>
      <c r="H802" s="1" t="s">
        <v>1670</v>
      </c>
      <c r="I802" s="2">
        <v>45209</v>
      </c>
      <c r="J802">
        <v>75</v>
      </c>
      <c r="K802">
        <v>12</v>
      </c>
      <c r="L802" s="1" t="s">
        <v>49</v>
      </c>
      <c r="M802" s="1" t="s">
        <v>102</v>
      </c>
    </row>
    <row r="803" spans="1:13" x14ac:dyDescent="0.25">
      <c r="A803" s="1" t="s">
        <v>1671</v>
      </c>
      <c r="B803" s="1" t="s">
        <v>14</v>
      </c>
      <c r="C803" s="1" t="s">
        <v>284</v>
      </c>
      <c r="D803" s="1" t="s">
        <v>46</v>
      </c>
      <c r="E803" s="1" t="s">
        <v>47</v>
      </c>
      <c r="F803" s="1" t="s">
        <v>129</v>
      </c>
      <c r="G803">
        <v>164094</v>
      </c>
      <c r="H803" s="1" t="s">
        <v>1359</v>
      </c>
      <c r="I803" s="2"/>
      <c r="L803" s="1" t="s">
        <v>20</v>
      </c>
      <c r="M803" s="1" t="s">
        <v>107</v>
      </c>
    </row>
    <row r="804" spans="1:13" x14ac:dyDescent="0.25">
      <c r="A804" s="1" t="s">
        <v>1094</v>
      </c>
      <c r="B804" s="1" t="s">
        <v>59</v>
      </c>
      <c r="C804" s="1" t="s">
        <v>1095</v>
      </c>
      <c r="D804" s="1" t="s">
        <v>25</v>
      </c>
      <c r="E804" s="1" t="s">
        <v>17</v>
      </c>
      <c r="F804" s="1" t="s">
        <v>40</v>
      </c>
      <c r="G804">
        <v>42155</v>
      </c>
      <c r="H804" s="1" t="s">
        <v>1096</v>
      </c>
      <c r="I804" s="2">
        <v>45240</v>
      </c>
      <c r="J804">
        <v>62</v>
      </c>
      <c r="K804">
        <v>10.8</v>
      </c>
      <c r="L804" s="1" t="s">
        <v>49</v>
      </c>
      <c r="M804" s="1" t="s">
        <v>102</v>
      </c>
    </row>
    <row r="805" spans="1:13" x14ac:dyDescent="0.25">
      <c r="A805" s="1" t="s">
        <v>1672</v>
      </c>
      <c r="B805" s="1" t="s">
        <v>75</v>
      </c>
      <c r="C805" s="1" t="s">
        <v>583</v>
      </c>
      <c r="D805" s="1" t="s">
        <v>39</v>
      </c>
      <c r="E805" s="1" t="s">
        <v>47</v>
      </c>
      <c r="F805" s="1" t="s">
        <v>27</v>
      </c>
      <c r="G805">
        <v>382498</v>
      </c>
      <c r="H805" s="1" t="s">
        <v>801</v>
      </c>
      <c r="I805" s="2"/>
      <c r="K805">
        <v>14.4</v>
      </c>
      <c r="L805" s="1" t="s">
        <v>20</v>
      </c>
      <c r="M805" s="1" t="s">
        <v>30</v>
      </c>
    </row>
    <row r="806" spans="1:13" x14ac:dyDescent="0.25">
      <c r="A806" s="1" t="s">
        <v>1673</v>
      </c>
      <c r="B806" s="1" t="s">
        <v>59</v>
      </c>
      <c r="C806" s="1" t="s">
        <v>711</v>
      </c>
      <c r="D806" s="1" t="s">
        <v>90</v>
      </c>
      <c r="E806" s="1" t="s">
        <v>100</v>
      </c>
      <c r="F806" s="1" t="s">
        <v>27</v>
      </c>
      <c r="G806">
        <v>109622</v>
      </c>
      <c r="H806" s="1" t="s">
        <v>674</v>
      </c>
      <c r="I806" s="2"/>
      <c r="L806" s="1" t="s">
        <v>49</v>
      </c>
      <c r="M806" s="1" t="s">
        <v>35</v>
      </c>
    </row>
    <row r="807" spans="1:13" x14ac:dyDescent="0.25">
      <c r="A807" s="1" t="s">
        <v>1674</v>
      </c>
      <c r="B807" s="1" t="s">
        <v>37</v>
      </c>
      <c r="C807" s="1" t="s">
        <v>132</v>
      </c>
      <c r="D807" s="1" t="s">
        <v>16</v>
      </c>
      <c r="E807" s="1" t="s">
        <v>17</v>
      </c>
      <c r="F807" s="1" t="s">
        <v>129</v>
      </c>
      <c r="G807">
        <v>286439</v>
      </c>
      <c r="H807" s="1" t="s">
        <v>1675</v>
      </c>
      <c r="I807" s="2"/>
      <c r="K807">
        <v>2.4</v>
      </c>
      <c r="L807" s="1" t="s">
        <v>20</v>
      </c>
      <c r="M807" s="1" t="s">
        <v>107</v>
      </c>
    </row>
    <row r="808" spans="1:13" x14ac:dyDescent="0.25">
      <c r="A808" s="1" t="s">
        <v>1676</v>
      </c>
      <c r="B808" s="1" t="s">
        <v>65</v>
      </c>
      <c r="C808" s="1" t="s">
        <v>343</v>
      </c>
      <c r="D808" s="1" t="s">
        <v>67</v>
      </c>
      <c r="E808" s="1" t="s">
        <v>100</v>
      </c>
      <c r="F808" s="1" t="s">
        <v>33</v>
      </c>
      <c r="G808">
        <v>21741</v>
      </c>
      <c r="H808" s="1" t="s">
        <v>1677</v>
      </c>
      <c r="I808" s="2"/>
      <c r="K808">
        <v>13.5</v>
      </c>
      <c r="L808" s="1" t="s">
        <v>49</v>
      </c>
      <c r="M808" s="1" t="s">
        <v>35</v>
      </c>
    </row>
    <row r="809" spans="1:13" x14ac:dyDescent="0.25">
      <c r="A809" s="1" t="s">
        <v>1678</v>
      </c>
      <c r="B809" s="1" t="s">
        <v>109</v>
      </c>
      <c r="C809" s="1" t="s">
        <v>423</v>
      </c>
      <c r="D809" s="1" t="s">
        <v>25</v>
      </c>
      <c r="E809" s="1" t="s">
        <v>100</v>
      </c>
      <c r="F809" s="1" t="s">
        <v>53</v>
      </c>
      <c r="G809">
        <v>250796</v>
      </c>
      <c r="H809" s="1" t="s">
        <v>1679</v>
      </c>
      <c r="I809" s="2"/>
      <c r="K809">
        <v>8.8000000000000007</v>
      </c>
      <c r="L809" s="1" t="s">
        <v>20</v>
      </c>
      <c r="M809" s="1" t="s">
        <v>63</v>
      </c>
    </row>
    <row r="810" spans="1:13" x14ac:dyDescent="0.25">
      <c r="A810" s="1" t="s">
        <v>1680</v>
      </c>
      <c r="B810" s="1" t="s">
        <v>23</v>
      </c>
      <c r="C810" s="1" t="s">
        <v>186</v>
      </c>
      <c r="D810" s="1" t="s">
        <v>39</v>
      </c>
      <c r="E810" s="1" t="s">
        <v>94</v>
      </c>
      <c r="F810" s="1" t="s">
        <v>129</v>
      </c>
      <c r="G810">
        <v>307840</v>
      </c>
      <c r="H810" s="1" t="s">
        <v>1681</v>
      </c>
      <c r="I810" s="2"/>
      <c r="K810">
        <v>12.7</v>
      </c>
      <c r="L810" s="1" t="s">
        <v>20</v>
      </c>
      <c r="M810" s="1" t="s">
        <v>102</v>
      </c>
    </row>
    <row r="811" spans="1:13" x14ac:dyDescent="0.25">
      <c r="A811" s="1" t="s">
        <v>1682</v>
      </c>
      <c r="B811" s="1" t="s">
        <v>109</v>
      </c>
      <c r="C811" s="1" t="s">
        <v>483</v>
      </c>
      <c r="D811" s="1" t="s">
        <v>39</v>
      </c>
      <c r="E811" s="1" t="s">
        <v>100</v>
      </c>
      <c r="F811" s="1" t="s">
        <v>40</v>
      </c>
      <c r="G811">
        <v>160723</v>
      </c>
      <c r="H811" s="1" t="s">
        <v>1418</v>
      </c>
      <c r="I811" s="2">
        <v>45675</v>
      </c>
      <c r="J811">
        <v>77</v>
      </c>
      <c r="K811">
        <v>14.8</v>
      </c>
      <c r="L811" s="1" t="s">
        <v>96</v>
      </c>
      <c r="M811" s="1" t="s">
        <v>42</v>
      </c>
    </row>
    <row r="812" spans="1:13" x14ac:dyDescent="0.25">
      <c r="A812" s="1" t="s">
        <v>1683</v>
      </c>
      <c r="B812" s="1" t="s">
        <v>98</v>
      </c>
      <c r="C812" s="1" t="s">
        <v>165</v>
      </c>
      <c r="D812" s="1" t="s">
        <v>39</v>
      </c>
      <c r="E812" s="1" t="s">
        <v>51</v>
      </c>
      <c r="F812" s="1" t="s">
        <v>33</v>
      </c>
      <c r="G812">
        <v>201377</v>
      </c>
      <c r="H812" s="1" t="s">
        <v>721</v>
      </c>
      <c r="I812" s="2"/>
      <c r="K812">
        <v>1.9</v>
      </c>
      <c r="L812" s="1" t="s">
        <v>29</v>
      </c>
      <c r="M812" s="1" t="s">
        <v>63</v>
      </c>
    </row>
    <row r="813" spans="1:13" x14ac:dyDescent="0.25">
      <c r="A813" s="1" t="s">
        <v>1684</v>
      </c>
      <c r="B813" s="1" t="s">
        <v>75</v>
      </c>
      <c r="C813" s="1" t="s">
        <v>122</v>
      </c>
      <c r="D813" s="1" t="s">
        <v>25</v>
      </c>
      <c r="E813" s="1" t="s">
        <v>47</v>
      </c>
      <c r="F813" s="1" t="s">
        <v>129</v>
      </c>
      <c r="G813">
        <v>365574</v>
      </c>
      <c r="H813" s="1" t="s">
        <v>1606</v>
      </c>
      <c r="I813" s="2"/>
      <c r="L813" s="1" t="s">
        <v>96</v>
      </c>
      <c r="M813" s="1" t="s">
        <v>21</v>
      </c>
    </row>
    <row r="814" spans="1:13" x14ac:dyDescent="0.25">
      <c r="A814" s="1" t="s">
        <v>1685</v>
      </c>
      <c r="B814" s="1" t="s">
        <v>109</v>
      </c>
      <c r="C814" s="1" t="s">
        <v>1339</v>
      </c>
      <c r="D814" s="1" t="s">
        <v>90</v>
      </c>
      <c r="E814" s="1" t="s">
        <v>61</v>
      </c>
      <c r="F814" s="1" t="s">
        <v>18</v>
      </c>
      <c r="G814">
        <v>252076</v>
      </c>
      <c r="H814" s="1" t="s">
        <v>437</v>
      </c>
      <c r="I814" s="2">
        <v>45114</v>
      </c>
      <c r="J814">
        <v>39</v>
      </c>
      <c r="K814">
        <v>6.6</v>
      </c>
      <c r="L814" s="1" t="s">
        <v>96</v>
      </c>
      <c r="M814" s="1" t="s">
        <v>30</v>
      </c>
    </row>
    <row r="815" spans="1:13" x14ac:dyDescent="0.25">
      <c r="A815" s="1" t="s">
        <v>1686</v>
      </c>
      <c r="B815" s="1" t="s">
        <v>109</v>
      </c>
      <c r="C815" s="1" t="s">
        <v>205</v>
      </c>
      <c r="D815" s="1" t="s">
        <v>90</v>
      </c>
      <c r="E815" s="1" t="s">
        <v>47</v>
      </c>
      <c r="F815" s="1" t="s">
        <v>129</v>
      </c>
      <c r="G815">
        <v>205779</v>
      </c>
      <c r="H815" s="1" t="s">
        <v>1687</v>
      </c>
      <c r="I815" s="2"/>
      <c r="L815" s="1" t="s">
        <v>49</v>
      </c>
      <c r="M815" s="1" t="s">
        <v>102</v>
      </c>
    </row>
    <row r="816" spans="1:13" x14ac:dyDescent="0.25">
      <c r="A816" s="1" t="s">
        <v>1688</v>
      </c>
      <c r="B816" s="1" t="s">
        <v>84</v>
      </c>
      <c r="C816" s="1" t="s">
        <v>439</v>
      </c>
      <c r="D816" s="1" t="s">
        <v>39</v>
      </c>
      <c r="E816" s="1" t="s">
        <v>77</v>
      </c>
      <c r="F816" s="1" t="s">
        <v>129</v>
      </c>
      <c r="G816">
        <v>993083</v>
      </c>
      <c r="H816" s="1" t="s">
        <v>1689</v>
      </c>
      <c r="I816" s="2"/>
      <c r="K816">
        <v>13.1</v>
      </c>
      <c r="L816" s="1" t="s">
        <v>20</v>
      </c>
      <c r="M816" s="1" t="s">
        <v>63</v>
      </c>
    </row>
    <row r="817" spans="1:13" x14ac:dyDescent="0.25">
      <c r="A817" s="1" t="s">
        <v>1690</v>
      </c>
      <c r="B817" s="1" t="s">
        <v>88</v>
      </c>
      <c r="C817" s="1" t="s">
        <v>1691</v>
      </c>
      <c r="D817" s="1" t="s">
        <v>46</v>
      </c>
      <c r="E817" s="1" t="s">
        <v>61</v>
      </c>
      <c r="F817" s="1" t="s">
        <v>53</v>
      </c>
      <c r="G817">
        <v>142979</v>
      </c>
      <c r="H817" s="1" t="s">
        <v>623</v>
      </c>
      <c r="I817" s="2"/>
      <c r="K817">
        <v>1</v>
      </c>
      <c r="L817" s="1" t="s">
        <v>20</v>
      </c>
      <c r="M817" s="1" t="s">
        <v>69</v>
      </c>
    </row>
    <row r="818" spans="1:13" x14ac:dyDescent="0.25">
      <c r="A818" s="1" t="s">
        <v>1692</v>
      </c>
      <c r="B818" s="1" t="s">
        <v>98</v>
      </c>
      <c r="C818" s="1" t="s">
        <v>110</v>
      </c>
      <c r="D818" s="1" t="s">
        <v>46</v>
      </c>
      <c r="E818" s="1" t="s">
        <v>17</v>
      </c>
      <c r="F818" s="1" t="s">
        <v>53</v>
      </c>
      <c r="G818">
        <v>78693</v>
      </c>
      <c r="H818" s="1" t="s">
        <v>347</v>
      </c>
      <c r="I818" s="2"/>
      <c r="K818">
        <v>10.7</v>
      </c>
      <c r="L818" s="1" t="s">
        <v>96</v>
      </c>
      <c r="M818" s="1" t="s">
        <v>69</v>
      </c>
    </row>
    <row r="819" spans="1:13" x14ac:dyDescent="0.25">
      <c r="A819" s="1" t="s">
        <v>1693</v>
      </c>
      <c r="B819" s="1" t="s">
        <v>84</v>
      </c>
      <c r="C819" s="1" t="s">
        <v>213</v>
      </c>
      <c r="D819" s="1" t="s">
        <v>90</v>
      </c>
      <c r="E819" s="1" t="s">
        <v>100</v>
      </c>
      <c r="F819" s="1" t="s">
        <v>129</v>
      </c>
      <c r="G819">
        <v>304564</v>
      </c>
      <c r="H819" s="1" t="s">
        <v>1096</v>
      </c>
      <c r="I819" s="2"/>
      <c r="K819">
        <v>4.9000000000000004</v>
      </c>
      <c r="L819" s="1" t="s">
        <v>49</v>
      </c>
      <c r="M819" s="1" t="s">
        <v>102</v>
      </c>
    </row>
    <row r="820" spans="1:13" x14ac:dyDescent="0.25">
      <c r="A820" s="1" t="s">
        <v>1694</v>
      </c>
      <c r="B820" s="1" t="s">
        <v>98</v>
      </c>
      <c r="C820" s="1" t="s">
        <v>183</v>
      </c>
      <c r="D820" s="1" t="s">
        <v>90</v>
      </c>
      <c r="E820" s="1" t="s">
        <v>94</v>
      </c>
      <c r="F820" s="1" t="s">
        <v>40</v>
      </c>
      <c r="G820">
        <v>336343</v>
      </c>
      <c r="H820" s="1" t="s">
        <v>672</v>
      </c>
      <c r="I820" s="2">
        <v>45200</v>
      </c>
      <c r="J820">
        <v>54</v>
      </c>
      <c r="K820">
        <v>21.6</v>
      </c>
      <c r="L820" s="1" t="s">
        <v>29</v>
      </c>
      <c r="M820" s="1" t="s">
        <v>102</v>
      </c>
    </row>
    <row r="821" spans="1:13" x14ac:dyDescent="0.25">
      <c r="A821" s="1" t="s">
        <v>1695</v>
      </c>
      <c r="B821" s="1" t="s">
        <v>104</v>
      </c>
      <c r="C821" s="1" t="s">
        <v>113</v>
      </c>
      <c r="D821" s="1" t="s">
        <v>25</v>
      </c>
      <c r="E821" s="1" t="s">
        <v>47</v>
      </c>
      <c r="F821" s="1" t="s">
        <v>53</v>
      </c>
      <c r="G821">
        <v>494444</v>
      </c>
      <c r="H821" s="1" t="s">
        <v>136</v>
      </c>
      <c r="I821" s="2"/>
      <c r="K821">
        <v>11.8</v>
      </c>
      <c r="L821" s="1" t="s">
        <v>49</v>
      </c>
      <c r="M821" s="1" t="s">
        <v>42</v>
      </c>
    </row>
    <row r="822" spans="1:13" x14ac:dyDescent="0.25">
      <c r="A822" s="1" t="s">
        <v>1696</v>
      </c>
      <c r="B822" s="1" t="s">
        <v>59</v>
      </c>
      <c r="C822" s="1" t="s">
        <v>528</v>
      </c>
      <c r="D822" s="1" t="s">
        <v>25</v>
      </c>
      <c r="E822" s="1" t="s">
        <v>26</v>
      </c>
      <c r="F822" s="1" t="s">
        <v>33</v>
      </c>
      <c r="G822">
        <v>174537</v>
      </c>
      <c r="H822" s="1" t="s">
        <v>709</v>
      </c>
      <c r="I822" s="2"/>
      <c r="K822">
        <v>7.1</v>
      </c>
      <c r="L822" s="1" t="s">
        <v>49</v>
      </c>
      <c r="M822" s="1" t="s">
        <v>63</v>
      </c>
    </row>
    <row r="823" spans="1:13" x14ac:dyDescent="0.25">
      <c r="A823" s="1" t="s">
        <v>1697</v>
      </c>
      <c r="B823" s="1" t="s">
        <v>109</v>
      </c>
      <c r="C823" s="1" t="s">
        <v>433</v>
      </c>
      <c r="D823" s="1" t="s">
        <v>16</v>
      </c>
      <c r="E823" s="1" t="s">
        <v>47</v>
      </c>
      <c r="F823" s="1" t="s">
        <v>33</v>
      </c>
      <c r="G823">
        <v>472256</v>
      </c>
      <c r="H823" s="1" t="s">
        <v>1698</v>
      </c>
      <c r="I823" s="2"/>
      <c r="L823" s="1" t="s">
        <v>29</v>
      </c>
      <c r="M823" s="1" t="s">
        <v>42</v>
      </c>
    </row>
    <row r="824" spans="1:13" x14ac:dyDescent="0.25">
      <c r="A824" s="1" t="s">
        <v>1699</v>
      </c>
      <c r="B824" s="1" t="s">
        <v>109</v>
      </c>
      <c r="C824" s="1" t="s">
        <v>24</v>
      </c>
      <c r="D824" s="1" t="s">
        <v>67</v>
      </c>
      <c r="E824" s="1" t="s">
        <v>77</v>
      </c>
      <c r="F824" s="1" t="s">
        <v>40</v>
      </c>
      <c r="G824">
        <v>135885</v>
      </c>
      <c r="H824" s="1" t="s">
        <v>369</v>
      </c>
      <c r="I824" s="2">
        <v>45423</v>
      </c>
      <c r="J824">
        <v>29</v>
      </c>
      <c r="K824">
        <v>20.100000000000001</v>
      </c>
      <c r="L824" s="1" t="s">
        <v>20</v>
      </c>
      <c r="M824" s="1" t="s">
        <v>107</v>
      </c>
    </row>
    <row r="825" spans="1:13" x14ac:dyDescent="0.25">
      <c r="A825" s="1" t="s">
        <v>1700</v>
      </c>
      <c r="B825" s="1" t="s">
        <v>127</v>
      </c>
      <c r="C825" s="1" t="s">
        <v>862</v>
      </c>
      <c r="D825" s="1" t="s">
        <v>67</v>
      </c>
      <c r="E825" s="1" t="s">
        <v>47</v>
      </c>
      <c r="F825" s="1" t="s">
        <v>53</v>
      </c>
      <c r="G825">
        <v>471492</v>
      </c>
      <c r="H825" s="1" t="s">
        <v>1701</v>
      </c>
      <c r="I825" s="2"/>
      <c r="L825" s="1" t="s">
        <v>96</v>
      </c>
      <c r="M825" s="1" t="s">
        <v>63</v>
      </c>
    </row>
    <row r="826" spans="1:13" x14ac:dyDescent="0.25">
      <c r="A826" s="1" t="s">
        <v>1702</v>
      </c>
      <c r="B826" s="1" t="s">
        <v>98</v>
      </c>
      <c r="C826" s="1" t="s">
        <v>558</v>
      </c>
      <c r="D826" s="1" t="s">
        <v>90</v>
      </c>
      <c r="E826" s="1" t="s">
        <v>72</v>
      </c>
      <c r="F826" s="1" t="s">
        <v>129</v>
      </c>
      <c r="G826">
        <v>220822</v>
      </c>
      <c r="H826" s="1" t="s">
        <v>1619</v>
      </c>
      <c r="I826" s="2"/>
      <c r="K826">
        <v>9</v>
      </c>
      <c r="L826" s="1" t="s">
        <v>29</v>
      </c>
      <c r="M826" s="1" t="s">
        <v>30</v>
      </c>
    </row>
    <row r="827" spans="1:13" x14ac:dyDescent="0.25">
      <c r="A827" s="1" t="s">
        <v>1703</v>
      </c>
      <c r="B827" s="1" t="s">
        <v>173</v>
      </c>
      <c r="C827" s="1" t="s">
        <v>325</v>
      </c>
      <c r="D827" s="1" t="s">
        <v>39</v>
      </c>
      <c r="E827" s="1" t="s">
        <v>47</v>
      </c>
      <c r="F827" s="1" t="s">
        <v>129</v>
      </c>
      <c r="G827">
        <v>423644</v>
      </c>
      <c r="H827" s="1" t="s">
        <v>1580</v>
      </c>
      <c r="I827" s="2"/>
      <c r="K827">
        <v>8.4</v>
      </c>
      <c r="L827" s="1" t="s">
        <v>49</v>
      </c>
      <c r="M827" s="1" t="s">
        <v>30</v>
      </c>
    </row>
    <row r="828" spans="1:13" x14ac:dyDescent="0.25">
      <c r="A828" s="1" t="s">
        <v>1704</v>
      </c>
      <c r="B828" s="1" t="s">
        <v>37</v>
      </c>
      <c r="C828" s="1" t="s">
        <v>390</v>
      </c>
      <c r="D828" s="1" t="s">
        <v>90</v>
      </c>
      <c r="E828" s="1" t="s">
        <v>100</v>
      </c>
      <c r="F828" s="1" t="s">
        <v>53</v>
      </c>
      <c r="G828">
        <v>269518</v>
      </c>
      <c r="H828" s="1" t="s">
        <v>1651</v>
      </c>
      <c r="I828" s="2"/>
      <c r="K828">
        <v>8.1</v>
      </c>
      <c r="L828" s="1" t="s">
        <v>29</v>
      </c>
      <c r="M828" s="1" t="s">
        <v>149</v>
      </c>
    </row>
    <row r="829" spans="1:13" x14ac:dyDescent="0.25">
      <c r="A829" s="1" t="s">
        <v>1705</v>
      </c>
      <c r="B829" s="1" t="s">
        <v>88</v>
      </c>
      <c r="C829" s="1" t="s">
        <v>132</v>
      </c>
      <c r="D829" s="1" t="s">
        <v>39</v>
      </c>
      <c r="E829" s="1" t="s">
        <v>47</v>
      </c>
      <c r="F829" s="1" t="s">
        <v>40</v>
      </c>
      <c r="G829">
        <v>447090</v>
      </c>
      <c r="H829" s="1" t="s">
        <v>1059</v>
      </c>
      <c r="I829" s="2">
        <v>45757</v>
      </c>
      <c r="J829">
        <v>50</v>
      </c>
      <c r="K829">
        <v>11.5</v>
      </c>
      <c r="L829" s="1" t="s">
        <v>20</v>
      </c>
      <c r="M829" s="1" t="s">
        <v>63</v>
      </c>
    </row>
    <row r="830" spans="1:13" x14ac:dyDescent="0.25">
      <c r="A830" s="1" t="s">
        <v>1706</v>
      </c>
      <c r="B830" s="1" t="s">
        <v>84</v>
      </c>
      <c r="C830" s="1" t="s">
        <v>635</v>
      </c>
      <c r="D830" s="1" t="s">
        <v>25</v>
      </c>
      <c r="E830" s="1" t="s">
        <v>77</v>
      </c>
      <c r="F830" s="1" t="s">
        <v>18</v>
      </c>
      <c r="G830">
        <v>268608</v>
      </c>
      <c r="H830" s="1" t="s">
        <v>910</v>
      </c>
      <c r="I830" s="2">
        <v>45071</v>
      </c>
      <c r="J830">
        <v>55</v>
      </c>
      <c r="K830">
        <v>1.8</v>
      </c>
      <c r="L830" s="1" t="s">
        <v>49</v>
      </c>
      <c r="M830" s="1" t="s">
        <v>35</v>
      </c>
    </row>
    <row r="831" spans="1:13" x14ac:dyDescent="0.25">
      <c r="A831" s="1" t="s">
        <v>1707</v>
      </c>
      <c r="B831" s="1" t="s">
        <v>75</v>
      </c>
      <c r="C831" s="1" t="s">
        <v>85</v>
      </c>
      <c r="D831" s="1" t="s">
        <v>16</v>
      </c>
      <c r="E831" s="1" t="s">
        <v>26</v>
      </c>
      <c r="F831" s="1" t="s">
        <v>18</v>
      </c>
      <c r="G831">
        <v>98716</v>
      </c>
      <c r="H831" s="1" t="s">
        <v>1041</v>
      </c>
      <c r="I831" s="2">
        <v>45635</v>
      </c>
      <c r="J831">
        <v>108</v>
      </c>
      <c r="K831">
        <v>14.1</v>
      </c>
      <c r="L831" s="1" t="s">
        <v>96</v>
      </c>
      <c r="M831" s="1" t="s">
        <v>149</v>
      </c>
    </row>
    <row r="832" spans="1:13" x14ac:dyDescent="0.25">
      <c r="A832" s="1" t="s">
        <v>1708</v>
      </c>
      <c r="B832" s="1" t="s">
        <v>23</v>
      </c>
      <c r="C832" s="1" t="s">
        <v>1021</v>
      </c>
      <c r="D832" s="1" t="s">
        <v>16</v>
      </c>
      <c r="E832" s="1" t="s">
        <v>77</v>
      </c>
      <c r="F832" s="1" t="s">
        <v>129</v>
      </c>
      <c r="G832">
        <v>156291</v>
      </c>
      <c r="H832" s="1" t="s">
        <v>1709</v>
      </c>
      <c r="I832" s="2"/>
      <c r="K832">
        <v>1.7</v>
      </c>
      <c r="L832" s="1" t="s">
        <v>96</v>
      </c>
      <c r="M832" s="1" t="s">
        <v>63</v>
      </c>
    </row>
    <row r="833" spans="1:13" x14ac:dyDescent="0.25">
      <c r="A833" s="1" t="s">
        <v>1710</v>
      </c>
      <c r="B833" s="1" t="s">
        <v>75</v>
      </c>
      <c r="C833" s="1" t="s">
        <v>76</v>
      </c>
      <c r="D833" s="1" t="s">
        <v>67</v>
      </c>
      <c r="E833" s="1" t="s">
        <v>94</v>
      </c>
      <c r="F833" s="1" t="s">
        <v>33</v>
      </c>
      <c r="G833">
        <v>315275</v>
      </c>
      <c r="H833" s="1" t="s">
        <v>1711</v>
      </c>
      <c r="I833" s="2"/>
      <c r="K833">
        <v>8.5</v>
      </c>
      <c r="L833" s="1" t="s">
        <v>29</v>
      </c>
      <c r="M833" s="1" t="s">
        <v>35</v>
      </c>
    </row>
    <row r="834" spans="1:13" x14ac:dyDescent="0.25">
      <c r="A834" s="1" t="s">
        <v>1712</v>
      </c>
      <c r="B834" s="1" t="s">
        <v>23</v>
      </c>
      <c r="C834" s="1" t="s">
        <v>737</v>
      </c>
      <c r="D834" s="1" t="s">
        <v>46</v>
      </c>
      <c r="E834" s="1" t="s">
        <v>94</v>
      </c>
      <c r="F834" s="1" t="s">
        <v>129</v>
      </c>
      <c r="G834">
        <v>222128</v>
      </c>
      <c r="H834" s="1" t="s">
        <v>1713</v>
      </c>
      <c r="I834" s="2"/>
      <c r="K834">
        <v>4.3</v>
      </c>
      <c r="L834" s="1" t="s">
        <v>20</v>
      </c>
      <c r="M834" s="1" t="s">
        <v>42</v>
      </c>
    </row>
    <row r="835" spans="1:13" x14ac:dyDescent="0.25">
      <c r="A835" s="1" t="s">
        <v>1714</v>
      </c>
      <c r="B835" s="1" t="s">
        <v>104</v>
      </c>
      <c r="C835" s="1" t="s">
        <v>308</v>
      </c>
      <c r="D835" s="1" t="s">
        <v>46</v>
      </c>
      <c r="E835" s="1" t="s">
        <v>47</v>
      </c>
      <c r="F835" s="1" t="s">
        <v>27</v>
      </c>
      <c r="G835">
        <v>305623</v>
      </c>
      <c r="H835" s="1" t="s">
        <v>1713</v>
      </c>
      <c r="I835" s="2"/>
      <c r="K835">
        <v>12.5</v>
      </c>
      <c r="L835" s="1" t="s">
        <v>49</v>
      </c>
      <c r="M835" s="1" t="s">
        <v>42</v>
      </c>
    </row>
    <row r="836" spans="1:13" x14ac:dyDescent="0.25">
      <c r="A836" s="1" t="s">
        <v>1715</v>
      </c>
      <c r="B836" s="1" t="s">
        <v>104</v>
      </c>
      <c r="C836" s="1" t="s">
        <v>720</v>
      </c>
      <c r="D836" s="1" t="s">
        <v>46</v>
      </c>
      <c r="E836" s="1" t="s">
        <v>72</v>
      </c>
      <c r="F836" s="1" t="s">
        <v>27</v>
      </c>
      <c r="G836">
        <v>203684</v>
      </c>
      <c r="H836" s="1" t="s">
        <v>1716</v>
      </c>
      <c r="I836" s="2"/>
      <c r="K836">
        <v>0.7</v>
      </c>
      <c r="L836" s="1" t="s">
        <v>96</v>
      </c>
      <c r="M836" s="1" t="s">
        <v>30</v>
      </c>
    </row>
    <row r="837" spans="1:13" x14ac:dyDescent="0.25">
      <c r="A837" s="1" t="s">
        <v>1717</v>
      </c>
      <c r="B837" s="1" t="s">
        <v>104</v>
      </c>
      <c r="C837" s="1" t="s">
        <v>261</v>
      </c>
      <c r="D837" s="1" t="s">
        <v>25</v>
      </c>
      <c r="E837" s="1" t="s">
        <v>47</v>
      </c>
      <c r="F837" s="1" t="s">
        <v>40</v>
      </c>
      <c r="G837">
        <v>10714</v>
      </c>
      <c r="H837" s="1" t="s">
        <v>1718</v>
      </c>
      <c r="I837" s="2">
        <v>45112</v>
      </c>
      <c r="J837">
        <v>113</v>
      </c>
      <c r="K837">
        <v>8.3000000000000007</v>
      </c>
      <c r="L837" s="1" t="s">
        <v>96</v>
      </c>
      <c r="M837" s="1" t="s">
        <v>35</v>
      </c>
    </row>
    <row r="838" spans="1:13" x14ac:dyDescent="0.25">
      <c r="A838" s="1" t="s">
        <v>1719</v>
      </c>
      <c r="B838" s="1" t="s">
        <v>98</v>
      </c>
      <c r="C838" s="1" t="s">
        <v>1043</v>
      </c>
      <c r="D838" s="1" t="s">
        <v>46</v>
      </c>
      <c r="E838" s="1" t="s">
        <v>47</v>
      </c>
      <c r="F838" s="1" t="s">
        <v>53</v>
      </c>
      <c r="G838">
        <v>229215</v>
      </c>
      <c r="H838" s="1" t="s">
        <v>1266</v>
      </c>
      <c r="I838" s="2"/>
      <c r="K838">
        <v>8.9</v>
      </c>
      <c r="L838" s="1" t="s">
        <v>49</v>
      </c>
      <c r="M838" s="1" t="s">
        <v>21</v>
      </c>
    </row>
    <row r="839" spans="1:13" x14ac:dyDescent="0.25">
      <c r="A839" s="1" t="s">
        <v>1720</v>
      </c>
      <c r="B839" s="1" t="s">
        <v>127</v>
      </c>
      <c r="C839" s="1" t="s">
        <v>1170</v>
      </c>
      <c r="D839" s="1" t="s">
        <v>25</v>
      </c>
      <c r="E839" s="1" t="s">
        <v>77</v>
      </c>
      <c r="F839" s="1" t="s">
        <v>18</v>
      </c>
      <c r="G839">
        <v>34379</v>
      </c>
      <c r="H839" s="1" t="s">
        <v>1059</v>
      </c>
      <c r="I839" s="2">
        <v>45875</v>
      </c>
      <c r="J839">
        <v>168</v>
      </c>
      <c r="L839" s="1" t="s">
        <v>49</v>
      </c>
      <c r="M839" s="1" t="s">
        <v>63</v>
      </c>
    </row>
    <row r="840" spans="1:13" x14ac:dyDescent="0.25">
      <c r="A840" s="1" t="s">
        <v>1721</v>
      </c>
      <c r="B840" s="1" t="s">
        <v>104</v>
      </c>
      <c r="C840" s="1" t="s">
        <v>598</v>
      </c>
      <c r="D840" s="1" t="s">
        <v>25</v>
      </c>
      <c r="E840" s="1" t="s">
        <v>94</v>
      </c>
      <c r="F840" s="1" t="s">
        <v>27</v>
      </c>
      <c r="G840">
        <v>229664</v>
      </c>
      <c r="H840" s="1" t="s">
        <v>921</v>
      </c>
      <c r="I840" s="2"/>
      <c r="K840">
        <v>8.1999999999999993</v>
      </c>
      <c r="L840" s="1" t="s">
        <v>96</v>
      </c>
      <c r="M840" s="1" t="s">
        <v>107</v>
      </c>
    </row>
    <row r="841" spans="1:13" x14ac:dyDescent="0.25">
      <c r="A841" s="1" t="s">
        <v>1722</v>
      </c>
      <c r="B841" s="1" t="s">
        <v>173</v>
      </c>
      <c r="C841" s="1" t="s">
        <v>147</v>
      </c>
      <c r="D841" s="1" t="s">
        <v>46</v>
      </c>
      <c r="E841" s="1" t="s">
        <v>26</v>
      </c>
      <c r="F841" s="1" t="s">
        <v>40</v>
      </c>
      <c r="G841">
        <v>140402</v>
      </c>
      <c r="H841" s="1" t="s">
        <v>1723</v>
      </c>
      <c r="I841" s="2">
        <v>45193</v>
      </c>
      <c r="J841">
        <v>173</v>
      </c>
      <c r="K841">
        <v>24.2</v>
      </c>
      <c r="L841" s="1" t="s">
        <v>96</v>
      </c>
      <c r="M841" s="1" t="s">
        <v>30</v>
      </c>
    </row>
    <row r="842" spans="1:13" x14ac:dyDescent="0.25">
      <c r="A842" s="1" t="s">
        <v>1724</v>
      </c>
      <c r="B842" s="1" t="s">
        <v>127</v>
      </c>
      <c r="C842" s="1" t="s">
        <v>45</v>
      </c>
      <c r="D842" s="1" t="s">
        <v>90</v>
      </c>
      <c r="E842" s="1" t="s">
        <v>61</v>
      </c>
      <c r="F842" s="1" t="s">
        <v>129</v>
      </c>
      <c r="G842">
        <v>420264</v>
      </c>
      <c r="H842" s="1" t="s">
        <v>658</v>
      </c>
      <c r="I842" s="2"/>
      <c r="L842" s="1" t="s">
        <v>96</v>
      </c>
      <c r="M842" s="1" t="s">
        <v>63</v>
      </c>
    </row>
    <row r="843" spans="1:13" x14ac:dyDescent="0.25">
      <c r="A843" s="1" t="s">
        <v>1725</v>
      </c>
      <c r="B843" s="1" t="s">
        <v>65</v>
      </c>
      <c r="C843" s="1" t="s">
        <v>983</v>
      </c>
      <c r="D843" s="1" t="s">
        <v>46</v>
      </c>
      <c r="E843" s="1" t="s">
        <v>47</v>
      </c>
      <c r="F843" s="1" t="s">
        <v>53</v>
      </c>
      <c r="G843">
        <v>205813</v>
      </c>
      <c r="H843" s="1" t="s">
        <v>1701</v>
      </c>
      <c r="I843" s="2"/>
      <c r="K843">
        <v>2.9</v>
      </c>
      <c r="L843" s="1" t="s">
        <v>49</v>
      </c>
      <c r="M843" s="1" t="s">
        <v>63</v>
      </c>
    </row>
    <row r="844" spans="1:13" x14ac:dyDescent="0.25">
      <c r="A844" s="1" t="s">
        <v>1726</v>
      </c>
      <c r="B844" s="1" t="s">
        <v>84</v>
      </c>
      <c r="C844" s="1" t="s">
        <v>1415</v>
      </c>
      <c r="D844" s="1" t="s">
        <v>46</v>
      </c>
      <c r="E844" s="1" t="s">
        <v>72</v>
      </c>
      <c r="F844" s="1" t="s">
        <v>27</v>
      </c>
      <c r="G844">
        <v>213842</v>
      </c>
      <c r="H844" s="1" t="s">
        <v>727</v>
      </c>
      <c r="I844" s="2"/>
      <c r="L844" s="1" t="s">
        <v>96</v>
      </c>
      <c r="M844" s="1" t="s">
        <v>107</v>
      </c>
    </row>
    <row r="845" spans="1:13" x14ac:dyDescent="0.25">
      <c r="A845" s="1" t="s">
        <v>1727</v>
      </c>
      <c r="B845" s="1" t="s">
        <v>80</v>
      </c>
      <c r="C845" s="1" t="s">
        <v>693</v>
      </c>
      <c r="D845" s="1" t="s">
        <v>39</v>
      </c>
      <c r="E845" s="1" t="s">
        <v>77</v>
      </c>
      <c r="F845" s="1" t="s">
        <v>33</v>
      </c>
      <c r="G845">
        <v>370430</v>
      </c>
      <c r="H845" s="1" t="s">
        <v>1266</v>
      </c>
      <c r="I845" s="2"/>
      <c r="L845" s="1" t="s">
        <v>20</v>
      </c>
      <c r="M845" s="1" t="s">
        <v>21</v>
      </c>
    </row>
    <row r="846" spans="1:13" x14ac:dyDescent="0.25">
      <c r="A846" s="1" t="s">
        <v>1728</v>
      </c>
      <c r="B846" s="1" t="s">
        <v>44</v>
      </c>
      <c r="C846" s="1" t="s">
        <v>423</v>
      </c>
      <c r="D846" s="1" t="s">
        <v>46</v>
      </c>
      <c r="E846" s="1" t="s">
        <v>77</v>
      </c>
      <c r="F846" s="1" t="s">
        <v>27</v>
      </c>
      <c r="G846">
        <v>223722</v>
      </c>
      <c r="H846" s="1" t="s">
        <v>921</v>
      </c>
      <c r="I846" s="2"/>
      <c r="L846" s="1" t="s">
        <v>29</v>
      </c>
      <c r="M846" s="1" t="s">
        <v>107</v>
      </c>
    </row>
    <row r="847" spans="1:13" x14ac:dyDescent="0.25">
      <c r="A847" s="1" t="s">
        <v>1729</v>
      </c>
      <c r="B847" s="1" t="s">
        <v>84</v>
      </c>
      <c r="C847" s="1" t="s">
        <v>939</v>
      </c>
      <c r="D847" s="1" t="s">
        <v>67</v>
      </c>
      <c r="E847" s="1" t="s">
        <v>26</v>
      </c>
      <c r="F847" s="1" t="s">
        <v>27</v>
      </c>
      <c r="G847">
        <v>37362</v>
      </c>
      <c r="H847" s="1" t="s">
        <v>1730</v>
      </c>
      <c r="I847" s="2"/>
      <c r="K847">
        <v>6.4</v>
      </c>
      <c r="L847" s="1" t="s">
        <v>49</v>
      </c>
      <c r="M847" s="1" t="s">
        <v>69</v>
      </c>
    </row>
    <row r="848" spans="1:13" x14ac:dyDescent="0.25">
      <c r="A848" s="1" t="s">
        <v>1731</v>
      </c>
      <c r="B848" s="1" t="s">
        <v>37</v>
      </c>
      <c r="C848" s="1" t="s">
        <v>1397</v>
      </c>
      <c r="D848" s="1" t="s">
        <v>90</v>
      </c>
      <c r="E848" s="1" t="s">
        <v>100</v>
      </c>
      <c r="F848" s="1" t="s">
        <v>53</v>
      </c>
      <c r="G848">
        <v>238493</v>
      </c>
      <c r="H848" s="1" t="s">
        <v>1101</v>
      </c>
      <c r="I848" s="2"/>
      <c r="L848" s="1" t="s">
        <v>29</v>
      </c>
      <c r="M848" s="1" t="s">
        <v>21</v>
      </c>
    </row>
    <row r="849" spans="1:13" x14ac:dyDescent="0.25">
      <c r="A849" s="1" t="s">
        <v>1732</v>
      </c>
      <c r="B849" s="1" t="s">
        <v>23</v>
      </c>
      <c r="C849" s="1" t="s">
        <v>66</v>
      </c>
      <c r="D849" s="1" t="s">
        <v>90</v>
      </c>
      <c r="E849" s="1" t="s">
        <v>47</v>
      </c>
      <c r="F849" s="1" t="s">
        <v>40</v>
      </c>
      <c r="G849">
        <v>246422</v>
      </c>
      <c r="H849" s="1" t="s">
        <v>559</v>
      </c>
      <c r="I849" s="2">
        <v>45434</v>
      </c>
      <c r="J849">
        <v>126</v>
      </c>
      <c r="K849">
        <v>3</v>
      </c>
      <c r="L849" s="1" t="s">
        <v>49</v>
      </c>
      <c r="M849" s="1" t="s">
        <v>69</v>
      </c>
    </row>
    <row r="850" spans="1:13" x14ac:dyDescent="0.25">
      <c r="A850" s="1" t="s">
        <v>1733</v>
      </c>
      <c r="B850" s="1" t="s">
        <v>59</v>
      </c>
      <c r="C850" s="1" t="s">
        <v>32</v>
      </c>
      <c r="D850" s="1" t="s">
        <v>67</v>
      </c>
      <c r="E850" s="1" t="s">
        <v>100</v>
      </c>
      <c r="F850" s="1" t="s">
        <v>53</v>
      </c>
      <c r="G850">
        <v>139534</v>
      </c>
      <c r="H850" s="1" t="s">
        <v>125</v>
      </c>
      <c r="I850" s="2"/>
      <c r="L850" s="1" t="s">
        <v>49</v>
      </c>
      <c r="M850" s="1" t="s">
        <v>30</v>
      </c>
    </row>
    <row r="851" spans="1:13" x14ac:dyDescent="0.25">
      <c r="A851" s="1" t="s">
        <v>1734</v>
      </c>
      <c r="B851" s="1" t="s">
        <v>59</v>
      </c>
      <c r="C851" s="1" t="s">
        <v>1083</v>
      </c>
      <c r="D851" s="1" t="s">
        <v>46</v>
      </c>
      <c r="E851" s="1" t="s">
        <v>61</v>
      </c>
      <c r="F851" s="1" t="s">
        <v>33</v>
      </c>
      <c r="G851">
        <v>458892</v>
      </c>
      <c r="H851" s="1" t="s">
        <v>1735</v>
      </c>
      <c r="I851" s="2"/>
      <c r="K851">
        <v>4.8</v>
      </c>
      <c r="L851" s="1" t="s">
        <v>96</v>
      </c>
      <c r="M851" s="1" t="s">
        <v>35</v>
      </c>
    </row>
    <row r="852" spans="1:13" x14ac:dyDescent="0.25">
      <c r="A852" s="1" t="s">
        <v>1736</v>
      </c>
      <c r="B852" s="1" t="s">
        <v>84</v>
      </c>
      <c r="C852" s="1" t="s">
        <v>539</v>
      </c>
      <c r="D852" s="1" t="s">
        <v>39</v>
      </c>
      <c r="E852" s="1" t="s">
        <v>94</v>
      </c>
      <c r="F852" s="1" t="s">
        <v>33</v>
      </c>
      <c r="G852">
        <v>111386</v>
      </c>
      <c r="H852" s="1" t="s">
        <v>1737</v>
      </c>
      <c r="I852" s="2"/>
      <c r="K852">
        <v>13</v>
      </c>
      <c r="L852" s="1" t="s">
        <v>49</v>
      </c>
      <c r="M852" s="1" t="s">
        <v>149</v>
      </c>
    </row>
    <row r="853" spans="1:13" x14ac:dyDescent="0.25">
      <c r="A853" s="1" t="s">
        <v>1738</v>
      </c>
      <c r="B853" s="1" t="s">
        <v>59</v>
      </c>
      <c r="C853" s="1" t="s">
        <v>1121</v>
      </c>
      <c r="D853" s="1" t="s">
        <v>39</v>
      </c>
      <c r="E853" s="1" t="s">
        <v>72</v>
      </c>
      <c r="F853" s="1" t="s">
        <v>129</v>
      </c>
      <c r="G853">
        <v>419685</v>
      </c>
      <c r="H853" s="1" t="s">
        <v>216</v>
      </c>
      <c r="I853" s="2"/>
      <c r="L853" s="1" t="s">
        <v>96</v>
      </c>
      <c r="M853" s="1" t="s">
        <v>63</v>
      </c>
    </row>
    <row r="854" spans="1:13" x14ac:dyDescent="0.25">
      <c r="A854" s="1" t="s">
        <v>1739</v>
      </c>
      <c r="B854" s="1" t="s">
        <v>44</v>
      </c>
      <c r="C854" s="1" t="s">
        <v>433</v>
      </c>
      <c r="D854" s="1" t="s">
        <v>90</v>
      </c>
      <c r="E854" s="1" t="s">
        <v>77</v>
      </c>
      <c r="F854" s="1" t="s">
        <v>33</v>
      </c>
      <c r="G854">
        <v>273956</v>
      </c>
      <c r="H854" s="1" t="s">
        <v>663</v>
      </c>
      <c r="I854" s="2"/>
      <c r="K854">
        <v>10.3</v>
      </c>
      <c r="L854" s="1" t="s">
        <v>20</v>
      </c>
      <c r="M854" s="1" t="s">
        <v>30</v>
      </c>
    </row>
    <row r="855" spans="1:13" x14ac:dyDescent="0.25">
      <c r="A855" s="1" t="s">
        <v>1740</v>
      </c>
      <c r="B855" s="1" t="s">
        <v>75</v>
      </c>
      <c r="C855" s="1" t="s">
        <v>208</v>
      </c>
      <c r="D855" s="1" t="s">
        <v>90</v>
      </c>
      <c r="E855" s="1" t="s">
        <v>47</v>
      </c>
      <c r="F855" s="1" t="s">
        <v>129</v>
      </c>
      <c r="G855">
        <v>320000</v>
      </c>
      <c r="H855" s="1" t="s">
        <v>203</v>
      </c>
      <c r="I855" s="2"/>
      <c r="K855">
        <v>3.9</v>
      </c>
      <c r="L855" s="1" t="s">
        <v>29</v>
      </c>
      <c r="M855" s="1" t="s">
        <v>30</v>
      </c>
    </row>
    <row r="856" spans="1:13" x14ac:dyDescent="0.25">
      <c r="A856" s="1" t="s">
        <v>1741</v>
      </c>
      <c r="B856" s="1" t="s">
        <v>14</v>
      </c>
      <c r="C856" s="1" t="s">
        <v>1742</v>
      </c>
      <c r="D856" s="1" t="s">
        <v>46</v>
      </c>
      <c r="E856" s="1" t="s">
        <v>100</v>
      </c>
      <c r="F856" s="1" t="s">
        <v>40</v>
      </c>
      <c r="G856">
        <v>499075</v>
      </c>
      <c r="H856" s="1" t="s">
        <v>359</v>
      </c>
      <c r="I856" s="2">
        <v>45689</v>
      </c>
      <c r="J856">
        <v>125</v>
      </c>
      <c r="K856">
        <v>11.7</v>
      </c>
      <c r="L856" s="1" t="s">
        <v>96</v>
      </c>
      <c r="M856" s="1" t="s">
        <v>149</v>
      </c>
    </row>
    <row r="857" spans="1:13" x14ac:dyDescent="0.25">
      <c r="A857" s="1" t="s">
        <v>1743</v>
      </c>
      <c r="B857" s="1" t="s">
        <v>80</v>
      </c>
      <c r="C857" s="1" t="s">
        <v>358</v>
      </c>
      <c r="D857" s="1" t="s">
        <v>25</v>
      </c>
      <c r="E857" s="1" t="s">
        <v>61</v>
      </c>
      <c r="F857" s="1" t="s">
        <v>40</v>
      </c>
      <c r="G857">
        <v>487021</v>
      </c>
      <c r="H857" s="1" t="s">
        <v>1522</v>
      </c>
      <c r="I857" s="2">
        <v>45235</v>
      </c>
      <c r="J857">
        <v>138</v>
      </c>
      <c r="K857">
        <v>23.2</v>
      </c>
      <c r="L857" s="1" t="s">
        <v>96</v>
      </c>
      <c r="M857" s="1" t="s">
        <v>30</v>
      </c>
    </row>
    <row r="858" spans="1:13" x14ac:dyDescent="0.25">
      <c r="A858" s="1" t="s">
        <v>1744</v>
      </c>
      <c r="B858" s="1" t="s">
        <v>127</v>
      </c>
      <c r="C858" s="1" t="s">
        <v>60</v>
      </c>
      <c r="D858" s="1" t="s">
        <v>16</v>
      </c>
      <c r="E858" s="1" t="s">
        <v>94</v>
      </c>
      <c r="F858" s="1" t="s">
        <v>40</v>
      </c>
      <c r="G858">
        <v>410997</v>
      </c>
      <c r="H858" s="1" t="s">
        <v>1745</v>
      </c>
      <c r="I858" s="2">
        <v>45466</v>
      </c>
      <c r="J858">
        <v>128</v>
      </c>
      <c r="K858">
        <v>9.8000000000000007</v>
      </c>
      <c r="L858" s="1" t="s">
        <v>29</v>
      </c>
      <c r="M858" s="1" t="s">
        <v>69</v>
      </c>
    </row>
    <row r="859" spans="1:13" x14ac:dyDescent="0.25">
      <c r="A859" s="1" t="s">
        <v>1746</v>
      </c>
      <c r="B859" s="1" t="s">
        <v>109</v>
      </c>
      <c r="C859" s="1" t="s">
        <v>66</v>
      </c>
      <c r="D859" s="1" t="s">
        <v>25</v>
      </c>
      <c r="E859" s="1" t="s">
        <v>77</v>
      </c>
      <c r="F859" s="1" t="s">
        <v>40</v>
      </c>
      <c r="G859">
        <v>425448</v>
      </c>
      <c r="H859" s="1" t="s">
        <v>670</v>
      </c>
      <c r="I859" s="2">
        <v>45063</v>
      </c>
      <c r="J859">
        <v>83</v>
      </c>
      <c r="K859">
        <v>16.600000000000001</v>
      </c>
      <c r="L859" s="1" t="s">
        <v>49</v>
      </c>
      <c r="M859" s="1" t="s">
        <v>35</v>
      </c>
    </row>
    <row r="860" spans="1:13" x14ac:dyDescent="0.25">
      <c r="A860" s="1" t="s">
        <v>1747</v>
      </c>
      <c r="B860" s="1" t="s">
        <v>127</v>
      </c>
      <c r="C860" s="1" t="s">
        <v>471</v>
      </c>
      <c r="D860" s="1" t="s">
        <v>39</v>
      </c>
      <c r="E860" s="1" t="s">
        <v>72</v>
      </c>
      <c r="F860" s="1" t="s">
        <v>53</v>
      </c>
      <c r="G860">
        <v>453582</v>
      </c>
      <c r="H860" s="1" t="s">
        <v>1748</v>
      </c>
      <c r="I860" s="2"/>
      <c r="K860">
        <v>11.2</v>
      </c>
      <c r="L860" s="1" t="s">
        <v>96</v>
      </c>
      <c r="M860" s="1" t="s">
        <v>107</v>
      </c>
    </row>
    <row r="861" spans="1:13" x14ac:dyDescent="0.25">
      <c r="A861" s="1" t="s">
        <v>1749</v>
      </c>
      <c r="B861" s="1" t="s">
        <v>80</v>
      </c>
      <c r="C861" s="1" t="s">
        <v>708</v>
      </c>
      <c r="D861" s="1" t="s">
        <v>39</v>
      </c>
      <c r="E861" s="1" t="s">
        <v>100</v>
      </c>
      <c r="F861" s="1" t="s">
        <v>53</v>
      </c>
      <c r="G861">
        <v>59161</v>
      </c>
      <c r="H861" s="1" t="s">
        <v>1750</v>
      </c>
      <c r="I861" s="2"/>
      <c r="K861">
        <v>9.4</v>
      </c>
      <c r="L861" s="1" t="s">
        <v>29</v>
      </c>
      <c r="M861" s="1" t="s">
        <v>21</v>
      </c>
    </row>
    <row r="862" spans="1:13" x14ac:dyDescent="0.25">
      <c r="A862" s="1" t="s">
        <v>1751</v>
      </c>
      <c r="B862" s="1" t="s">
        <v>98</v>
      </c>
      <c r="C862" s="1" t="s">
        <v>859</v>
      </c>
      <c r="D862" s="1" t="s">
        <v>39</v>
      </c>
      <c r="E862" s="1" t="s">
        <v>47</v>
      </c>
      <c r="F862" s="1" t="s">
        <v>40</v>
      </c>
      <c r="G862">
        <v>25739</v>
      </c>
      <c r="H862" s="1" t="s">
        <v>1752</v>
      </c>
      <c r="I862" s="2">
        <v>45319</v>
      </c>
      <c r="J862">
        <v>178</v>
      </c>
      <c r="K862">
        <v>9.6</v>
      </c>
      <c r="L862" s="1" t="s">
        <v>29</v>
      </c>
      <c r="M862" s="1" t="s">
        <v>102</v>
      </c>
    </row>
    <row r="863" spans="1:13" x14ac:dyDescent="0.25">
      <c r="A863" s="1" t="s">
        <v>1753</v>
      </c>
      <c r="B863" s="1" t="s">
        <v>37</v>
      </c>
      <c r="C863" s="1" t="s">
        <v>141</v>
      </c>
      <c r="D863" s="1" t="s">
        <v>67</v>
      </c>
      <c r="E863" s="1" t="s">
        <v>94</v>
      </c>
      <c r="F863" s="1" t="s">
        <v>53</v>
      </c>
      <c r="G863">
        <v>80628</v>
      </c>
      <c r="H863" s="1" t="s">
        <v>1754</v>
      </c>
      <c r="I863" s="2"/>
      <c r="K863">
        <v>3.3</v>
      </c>
      <c r="L863" s="1" t="s">
        <v>29</v>
      </c>
      <c r="M863" s="1" t="s">
        <v>107</v>
      </c>
    </row>
    <row r="864" spans="1:13" x14ac:dyDescent="0.25">
      <c r="A864" s="1" t="s">
        <v>1755</v>
      </c>
      <c r="B864" s="1" t="s">
        <v>173</v>
      </c>
      <c r="C864" s="1" t="s">
        <v>1121</v>
      </c>
      <c r="D864" s="1" t="s">
        <v>39</v>
      </c>
      <c r="E864" s="1" t="s">
        <v>72</v>
      </c>
      <c r="F864" s="1" t="s">
        <v>129</v>
      </c>
      <c r="G864">
        <v>138115</v>
      </c>
      <c r="H864" s="1" t="s">
        <v>1756</v>
      </c>
      <c r="I864" s="2"/>
      <c r="L864" s="1" t="s">
        <v>96</v>
      </c>
      <c r="M864" s="1" t="s">
        <v>42</v>
      </c>
    </row>
    <row r="865" spans="1:13" x14ac:dyDescent="0.25">
      <c r="A865" s="1" t="s">
        <v>1757</v>
      </c>
      <c r="B865" s="1" t="s">
        <v>127</v>
      </c>
      <c r="C865" s="1" t="s">
        <v>622</v>
      </c>
      <c r="D865" s="1" t="s">
        <v>67</v>
      </c>
      <c r="E865" s="1" t="s">
        <v>77</v>
      </c>
      <c r="F865" s="1" t="s">
        <v>40</v>
      </c>
      <c r="G865">
        <v>221825</v>
      </c>
      <c r="H865" s="1" t="s">
        <v>910</v>
      </c>
      <c r="I865" s="2">
        <v>45147</v>
      </c>
      <c r="J865">
        <v>131</v>
      </c>
      <c r="K865">
        <v>4.5</v>
      </c>
      <c r="L865" s="1" t="s">
        <v>49</v>
      </c>
      <c r="M865" s="1" t="s">
        <v>35</v>
      </c>
    </row>
    <row r="866" spans="1:13" x14ac:dyDescent="0.25">
      <c r="A866" s="1" t="s">
        <v>1758</v>
      </c>
      <c r="B866" s="1" t="s">
        <v>104</v>
      </c>
      <c r="C866" s="1" t="s">
        <v>364</v>
      </c>
      <c r="D866" s="1" t="s">
        <v>16</v>
      </c>
      <c r="E866" s="1" t="s">
        <v>47</v>
      </c>
      <c r="F866" s="1" t="s">
        <v>40</v>
      </c>
      <c r="G866">
        <v>70724</v>
      </c>
      <c r="H866" s="1" t="s">
        <v>1759</v>
      </c>
      <c r="I866" s="2">
        <v>45768</v>
      </c>
      <c r="J866">
        <v>41</v>
      </c>
      <c r="K866">
        <v>23.4</v>
      </c>
      <c r="L866" s="1" t="s">
        <v>49</v>
      </c>
      <c r="M866" s="1" t="s">
        <v>63</v>
      </c>
    </row>
    <row r="867" spans="1:13" x14ac:dyDescent="0.25">
      <c r="A867" s="1" t="s">
        <v>1760</v>
      </c>
      <c r="B867" s="1" t="s">
        <v>51</v>
      </c>
      <c r="C867" s="1" t="s">
        <v>521</v>
      </c>
      <c r="D867" s="1" t="s">
        <v>16</v>
      </c>
      <c r="E867" s="1" t="s">
        <v>47</v>
      </c>
      <c r="F867" s="1" t="s">
        <v>40</v>
      </c>
      <c r="G867">
        <v>142582</v>
      </c>
      <c r="H867" s="1" t="s">
        <v>1761</v>
      </c>
      <c r="I867" s="2">
        <v>45821</v>
      </c>
      <c r="J867">
        <v>75</v>
      </c>
      <c r="K867">
        <v>8.1</v>
      </c>
      <c r="L867" s="1" t="s">
        <v>20</v>
      </c>
      <c r="M867" s="1" t="s">
        <v>63</v>
      </c>
    </row>
    <row r="868" spans="1:13" x14ac:dyDescent="0.25">
      <c r="A868" s="1" t="s">
        <v>1762</v>
      </c>
      <c r="B868" s="1" t="s">
        <v>37</v>
      </c>
      <c r="C868" s="1" t="s">
        <v>1043</v>
      </c>
      <c r="D868" s="1" t="s">
        <v>16</v>
      </c>
      <c r="E868" s="1" t="s">
        <v>47</v>
      </c>
      <c r="F868" s="1" t="s">
        <v>129</v>
      </c>
      <c r="G868">
        <v>118400</v>
      </c>
      <c r="H868" s="1" t="s">
        <v>1763</v>
      </c>
      <c r="I868" s="2"/>
      <c r="K868">
        <v>8.1</v>
      </c>
      <c r="L868" s="1" t="s">
        <v>29</v>
      </c>
      <c r="M868" s="1" t="s">
        <v>149</v>
      </c>
    </row>
    <row r="869" spans="1:13" x14ac:dyDescent="0.25">
      <c r="A869" s="1" t="s">
        <v>1764</v>
      </c>
      <c r="B869" s="1" t="s">
        <v>88</v>
      </c>
      <c r="C869" s="1" t="s">
        <v>724</v>
      </c>
      <c r="D869" s="1" t="s">
        <v>39</v>
      </c>
      <c r="E869" s="1" t="s">
        <v>47</v>
      </c>
      <c r="F869" s="1" t="s">
        <v>129</v>
      </c>
      <c r="G869">
        <v>273535</v>
      </c>
      <c r="H869" s="1" t="s">
        <v>626</v>
      </c>
      <c r="I869" s="2"/>
      <c r="K869">
        <v>13.7</v>
      </c>
      <c r="L869" s="1" t="s">
        <v>20</v>
      </c>
      <c r="M869" s="1" t="s">
        <v>63</v>
      </c>
    </row>
    <row r="870" spans="1:13" x14ac:dyDescent="0.25">
      <c r="A870" s="1" t="s">
        <v>1765</v>
      </c>
      <c r="B870" s="1" t="s">
        <v>65</v>
      </c>
      <c r="C870" s="1" t="s">
        <v>805</v>
      </c>
      <c r="D870" s="1" t="s">
        <v>39</v>
      </c>
      <c r="E870" s="1" t="s">
        <v>77</v>
      </c>
      <c r="F870" s="1" t="s">
        <v>129</v>
      </c>
      <c r="G870">
        <v>66441</v>
      </c>
      <c r="H870" s="1" t="s">
        <v>1344</v>
      </c>
      <c r="I870" s="2"/>
      <c r="L870" s="1" t="s">
        <v>96</v>
      </c>
      <c r="M870" s="1" t="s">
        <v>102</v>
      </c>
    </row>
    <row r="871" spans="1:13" x14ac:dyDescent="0.25">
      <c r="A871" s="1" t="s">
        <v>1766</v>
      </c>
      <c r="B871" s="1" t="s">
        <v>23</v>
      </c>
      <c r="C871" s="1" t="s">
        <v>885</v>
      </c>
      <c r="D871" s="1" t="s">
        <v>90</v>
      </c>
      <c r="E871" s="1" t="s">
        <v>72</v>
      </c>
      <c r="F871" s="1" t="s">
        <v>33</v>
      </c>
      <c r="G871">
        <v>187228</v>
      </c>
      <c r="H871" s="1" t="s">
        <v>1767</v>
      </c>
      <c r="I871" s="2"/>
      <c r="K871">
        <v>12.7</v>
      </c>
      <c r="L871" s="1" t="s">
        <v>96</v>
      </c>
      <c r="M871" s="1" t="s">
        <v>21</v>
      </c>
    </row>
    <row r="872" spans="1:13" x14ac:dyDescent="0.25">
      <c r="A872" s="1" t="s">
        <v>1768</v>
      </c>
      <c r="B872" s="1" t="s">
        <v>44</v>
      </c>
      <c r="C872" s="1" t="s">
        <v>292</v>
      </c>
      <c r="D872" s="1" t="s">
        <v>67</v>
      </c>
      <c r="E872" s="1" t="s">
        <v>77</v>
      </c>
      <c r="F872" s="1" t="s">
        <v>40</v>
      </c>
      <c r="G872">
        <v>222954</v>
      </c>
      <c r="H872" s="1" t="s">
        <v>341</v>
      </c>
      <c r="I872" s="2">
        <v>45556</v>
      </c>
      <c r="J872">
        <v>30</v>
      </c>
      <c r="K872">
        <v>16.600000000000001</v>
      </c>
      <c r="L872" s="1" t="s">
        <v>20</v>
      </c>
      <c r="M872" s="1" t="s">
        <v>149</v>
      </c>
    </row>
    <row r="873" spans="1:13" x14ac:dyDescent="0.25">
      <c r="A873" s="1" t="s">
        <v>1769</v>
      </c>
      <c r="B873" s="1" t="s">
        <v>23</v>
      </c>
      <c r="C873" s="1" t="s">
        <v>454</v>
      </c>
      <c r="D873" s="1" t="s">
        <v>39</v>
      </c>
      <c r="E873" s="1" t="s">
        <v>17</v>
      </c>
      <c r="F873" s="1" t="s">
        <v>40</v>
      </c>
      <c r="G873">
        <v>55016</v>
      </c>
      <c r="H873" s="1" t="s">
        <v>1266</v>
      </c>
      <c r="I873" s="2">
        <v>45424</v>
      </c>
      <c r="J873">
        <v>162</v>
      </c>
      <c r="K873">
        <v>16</v>
      </c>
      <c r="L873" s="1" t="s">
        <v>29</v>
      </c>
      <c r="M873" s="1" t="s">
        <v>21</v>
      </c>
    </row>
    <row r="874" spans="1:13" x14ac:dyDescent="0.25">
      <c r="A874" s="1" t="s">
        <v>1770</v>
      </c>
      <c r="B874" s="1" t="s">
        <v>14</v>
      </c>
      <c r="C874" s="1" t="s">
        <v>390</v>
      </c>
      <c r="D874" s="1" t="s">
        <v>16</v>
      </c>
      <c r="E874" s="1" t="s">
        <v>94</v>
      </c>
      <c r="F874" s="1" t="s">
        <v>53</v>
      </c>
      <c r="G874">
        <v>368755</v>
      </c>
      <c r="H874" s="1" t="s">
        <v>1485</v>
      </c>
      <c r="I874" s="2"/>
      <c r="K874">
        <v>1.8</v>
      </c>
      <c r="L874" s="1" t="s">
        <v>20</v>
      </c>
      <c r="M874" s="1" t="s">
        <v>102</v>
      </c>
    </row>
    <row r="875" spans="1:13" x14ac:dyDescent="0.25">
      <c r="A875" s="1" t="s">
        <v>1771</v>
      </c>
      <c r="B875" s="1" t="s">
        <v>84</v>
      </c>
      <c r="C875" s="1" t="s">
        <v>528</v>
      </c>
      <c r="D875" s="1" t="s">
        <v>67</v>
      </c>
      <c r="E875" s="1" t="s">
        <v>100</v>
      </c>
      <c r="F875" s="1" t="s">
        <v>129</v>
      </c>
      <c r="G875">
        <v>110892</v>
      </c>
      <c r="H875" s="1" t="s">
        <v>95</v>
      </c>
      <c r="I875" s="2"/>
      <c r="K875">
        <v>3.6</v>
      </c>
      <c r="L875" s="1" t="s">
        <v>20</v>
      </c>
      <c r="M875" s="1" t="s">
        <v>42</v>
      </c>
    </row>
    <row r="876" spans="1:13" x14ac:dyDescent="0.25">
      <c r="A876" s="1" t="s">
        <v>1772</v>
      </c>
      <c r="B876" s="1" t="s">
        <v>109</v>
      </c>
      <c r="C876" s="1" t="s">
        <v>433</v>
      </c>
      <c r="D876" s="1" t="s">
        <v>16</v>
      </c>
      <c r="E876" s="1" t="s">
        <v>94</v>
      </c>
      <c r="F876" s="1" t="s">
        <v>27</v>
      </c>
      <c r="G876">
        <v>235059</v>
      </c>
      <c r="H876" s="1" t="s">
        <v>1435</v>
      </c>
      <c r="I876" s="2"/>
      <c r="K876">
        <v>8.1999999999999993</v>
      </c>
      <c r="L876" s="1" t="s">
        <v>49</v>
      </c>
      <c r="M876" s="1" t="s">
        <v>149</v>
      </c>
    </row>
    <row r="877" spans="1:13" x14ac:dyDescent="0.25">
      <c r="A877" s="1" t="s">
        <v>1773</v>
      </c>
      <c r="B877" s="1" t="s">
        <v>14</v>
      </c>
      <c r="C877" s="1" t="s">
        <v>987</v>
      </c>
      <c r="D877" s="1" t="s">
        <v>46</v>
      </c>
      <c r="E877" s="1" t="s">
        <v>100</v>
      </c>
      <c r="F877" s="1" t="s">
        <v>40</v>
      </c>
      <c r="G877">
        <v>57430</v>
      </c>
      <c r="H877" s="1" t="s">
        <v>1220</v>
      </c>
      <c r="I877" s="2">
        <v>45549</v>
      </c>
      <c r="J877">
        <v>29</v>
      </c>
      <c r="K877">
        <v>8.3000000000000007</v>
      </c>
      <c r="L877" s="1" t="s">
        <v>20</v>
      </c>
      <c r="M877" s="1" t="s">
        <v>149</v>
      </c>
    </row>
    <row r="878" spans="1:13" x14ac:dyDescent="0.25">
      <c r="A878" s="1" t="s">
        <v>1774</v>
      </c>
      <c r="B878" s="1" t="s">
        <v>109</v>
      </c>
      <c r="C878" s="1" t="s">
        <v>1057</v>
      </c>
      <c r="D878" s="1" t="s">
        <v>16</v>
      </c>
      <c r="E878" s="1" t="s">
        <v>94</v>
      </c>
      <c r="F878" s="1" t="s">
        <v>33</v>
      </c>
      <c r="G878">
        <v>429450</v>
      </c>
      <c r="H878" s="1" t="s">
        <v>301</v>
      </c>
      <c r="I878" s="2"/>
      <c r="L878" s="1" t="s">
        <v>29</v>
      </c>
      <c r="M878" s="1" t="s">
        <v>149</v>
      </c>
    </row>
    <row r="879" spans="1:13" x14ac:dyDescent="0.25">
      <c r="A879" s="1" t="s">
        <v>1775</v>
      </c>
      <c r="B879" s="1" t="s">
        <v>14</v>
      </c>
      <c r="C879" s="1" t="s">
        <v>1776</v>
      </c>
      <c r="D879" s="1" t="s">
        <v>90</v>
      </c>
      <c r="E879" s="1" t="s">
        <v>17</v>
      </c>
      <c r="F879" s="1" t="s">
        <v>40</v>
      </c>
      <c r="G879">
        <v>478999</v>
      </c>
      <c r="H879" s="1" t="s">
        <v>1777</v>
      </c>
      <c r="I879" s="2">
        <v>45664</v>
      </c>
      <c r="J879">
        <v>114</v>
      </c>
      <c r="K879">
        <v>0.8</v>
      </c>
      <c r="L879" s="1" t="s">
        <v>96</v>
      </c>
      <c r="M879" s="1" t="s">
        <v>149</v>
      </c>
    </row>
    <row r="880" spans="1:13" x14ac:dyDescent="0.25">
      <c r="A880" s="1" t="s">
        <v>1778</v>
      </c>
      <c r="B880" s="1" t="s">
        <v>98</v>
      </c>
      <c r="C880" s="1" t="s">
        <v>513</v>
      </c>
      <c r="D880" s="1" t="s">
        <v>46</v>
      </c>
      <c r="E880" s="1" t="s">
        <v>47</v>
      </c>
      <c r="F880" s="1" t="s">
        <v>27</v>
      </c>
      <c r="G880">
        <v>118240</v>
      </c>
      <c r="H880" s="1" t="s">
        <v>1779</v>
      </c>
      <c r="I880" s="2"/>
      <c r="K880">
        <v>2.6</v>
      </c>
      <c r="L880" s="1" t="s">
        <v>29</v>
      </c>
      <c r="M880" s="1" t="s">
        <v>42</v>
      </c>
    </row>
    <row r="881" spans="1:13" x14ac:dyDescent="0.25">
      <c r="A881" s="1" t="s">
        <v>1780</v>
      </c>
      <c r="B881" s="1" t="s">
        <v>84</v>
      </c>
      <c r="C881" s="1" t="s">
        <v>544</v>
      </c>
      <c r="D881" s="1" t="s">
        <v>16</v>
      </c>
      <c r="E881" s="1" t="s">
        <v>17</v>
      </c>
      <c r="F881" s="1" t="s">
        <v>18</v>
      </c>
      <c r="G881">
        <v>344311</v>
      </c>
      <c r="H881" s="1" t="s">
        <v>1781</v>
      </c>
      <c r="I881" s="2">
        <v>45791</v>
      </c>
      <c r="J881">
        <v>110</v>
      </c>
      <c r="L881" s="1" t="s">
        <v>29</v>
      </c>
      <c r="M881" s="1" t="s">
        <v>63</v>
      </c>
    </row>
    <row r="882" spans="1:13" x14ac:dyDescent="0.25">
      <c r="A882" s="1" t="s">
        <v>1782</v>
      </c>
      <c r="B882" s="1" t="s">
        <v>127</v>
      </c>
      <c r="C882" s="1" t="s">
        <v>1050</v>
      </c>
      <c r="D882" s="1" t="s">
        <v>67</v>
      </c>
      <c r="E882" s="1" t="s">
        <v>47</v>
      </c>
      <c r="F882" s="1" t="s">
        <v>27</v>
      </c>
      <c r="G882">
        <v>110907</v>
      </c>
      <c r="H882" s="1" t="s">
        <v>1066</v>
      </c>
      <c r="I882" s="2"/>
      <c r="L882" s="1" t="s">
        <v>29</v>
      </c>
      <c r="M882" s="1" t="s">
        <v>30</v>
      </c>
    </row>
    <row r="883" spans="1:13" x14ac:dyDescent="0.25">
      <c r="A883" s="1" t="s">
        <v>1783</v>
      </c>
      <c r="B883" s="1" t="s">
        <v>44</v>
      </c>
      <c r="C883" s="1" t="s">
        <v>708</v>
      </c>
      <c r="D883" s="1" t="s">
        <v>39</v>
      </c>
      <c r="E883" s="1" t="s">
        <v>77</v>
      </c>
      <c r="F883" s="1" t="s">
        <v>53</v>
      </c>
      <c r="G883">
        <v>305509</v>
      </c>
      <c r="H883" s="1" t="s">
        <v>1784</v>
      </c>
      <c r="I883" s="2"/>
      <c r="K883">
        <v>9.9</v>
      </c>
      <c r="L883" s="1" t="s">
        <v>29</v>
      </c>
      <c r="M883" s="1" t="s">
        <v>69</v>
      </c>
    </row>
    <row r="884" spans="1:13" x14ac:dyDescent="0.25">
      <c r="A884" s="1" t="s">
        <v>1785</v>
      </c>
      <c r="B884" s="1" t="s">
        <v>109</v>
      </c>
      <c r="C884" s="1" t="s">
        <v>1283</v>
      </c>
      <c r="D884" s="1" t="s">
        <v>67</v>
      </c>
      <c r="E884" s="1" t="s">
        <v>94</v>
      </c>
      <c r="F884" s="1" t="s">
        <v>40</v>
      </c>
      <c r="G884">
        <v>456898</v>
      </c>
      <c r="H884" s="1" t="s">
        <v>1786</v>
      </c>
      <c r="I884" s="2">
        <v>45355</v>
      </c>
      <c r="J884">
        <v>92</v>
      </c>
      <c r="K884">
        <v>12.5</v>
      </c>
      <c r="L884" s="1" t="s">
        <v>20</v>
      </c>
      <c r="M884" s="1" t="s">
        <v>21</v>
      </c>
    </row>
    <row r="885" spans="1:13" x14ac:dyDescent="0.25">
      <c r="A885" s="1" t="s">
        <v>1787</v>
      </c>
      <c r="B885" s="1" t="s">
        <v>173</v>
      </c>
      <c r="C885" s="1" t="s">
        <v>1021</v>
      </c>
      <c r="D885" s="1" t="s">
        <v>16</v>
      </c>
      <c r="E885" s="1" t="s">
        <v>47</v>
      </c>
      <c r="F885" s="1" t="s">
        <v>40</v>
      </c>
      <c r="G885">
        <v>63262</v>
      </c>
      <c r="H885" s="1" t="s">
        <v>1788</v>
      </c>
      <c r="I885" s="2">
        <v>45593</v>
      </c>
      <c r="J885">
        <v>179</v>
      </c>
      <c r="K885">
        <v>12.4</v>
      </c>
      <c r="L885" s="1" t="s">
        <v>49</v>
      </c>
      <c r="M885" s="1" t="s">
        <v>107</v>
      </c>
    </row>
    <row r="886" spans="1:13" x14ac:dyDescent="0.25">
      <c r="A886" s="1" t="s">
        <v>1789</v>
      </c>
      <c r="B886" s="1" t="s">
        <v>80</v>
      </c>
      <c r="C886" s="1" t="s">
        <v>76</v>
      </c>
      <c r="D886" s="1" t="s">
        <v>67</v>
      </c>
      <c r="E886" s="1" t="s">
        <v>17</v>
      </c>
      <c r="F886" s="1" t="s">
        <v>40</v>
      </c>
      <c r="G886">
        <v>153168</v>
      </c>
      <c r="H886" s="1" t="s">
        <v>1656</v>
      </c>
      <c r="I886" s="2">
        <v>45654</v>
      </c>
      <c r="J886">
        <v>153</v>
      </c>
      <c r="K886">
        <v>16.399999999999999</v>
      </c>
      <c r="L886" s="1" t="s">
        <v>96</v>
      </c>
      <c r="M886" s="1" t="s">
        <v>149</v>
      </c>
    </row>
    <row r="887" spans="1:13" x14ac:dyDescent="0.25">
      <c r="A887" s="1" t="s">
        <v>1790</v>
      </c>
      <c r="B887" s="1" t="s">
        <v>44</v>
      </c>
      <c r="C887" s="1" t="s">
        <v>1776</v>
      </c>
      <c r="D887" s="1" t="s">
        <v>25</v>
      </c>
      <c r="E887" s="1" t="s">
        <v>47</v>
      </c>
      <c r="F887" s="1" t="s">
        <v>40</v>
      </c>
      <c r="G887">
        <v>123091</v>
      </c>
      <c r="H887" s="1" t="s">
        <v>1791</v>
      </c>
      <c r="I887" s="2">
        <v>45759</v>
      </c>
      <c r="J887">
        <v>111</v>
      </c>
      <c r="K887">
        <v>20.3</v>
      </c>
      <c r="L887" s="1" t="s">
        <v>29</v>
      </c>
      <c r="M887" s="1" t="s">
        <v>42</v>
      </c>
    </row>
    <row r="888" spans="1:13" x14ac:dyDescent="0.25">
      <c r="A888" s="1" t="s">
        <v>1792</v>
      </c>
      <c r="B888" s="1" t="s">
        <v>23</v>
      </c>
      <c r="C888" s="1" t="s">
        <v>1526</v>
      </c>
      <c r="D888" s="1" t="s">
        <v>67</v>
      </c>
      <c r="E888" s="1" t="s">
        <v>17</v>
      </c>
      <c r="F888" s="1" t="s">
        <v>53</v>
      </c>
      <c r="G888">
        <v>31079</v>
      </c>
      <c r="H888" s="1" t="s">
        <v>1793</v>
      </c>
      <c r="I888" s="2"/>
      <c r="K888">
        <v>11.2</v>
      </c>
      <c r="L888" s="1" t="s">
        <v>20</v>
      </c>
      <c r="M888" s="1" t="s">
        <v>102</v>
      </c>
    </row>
    <row r="889" spans="1:13" x14ac:dyDescent="0.25">
      <c r="A889" s="1" t="s">
        <v>1794</v>
      </c>
      <c r="B889" s="1" t="s">
        <v>98</v>
      </c>
      <c r="C889" s="1" t="s">
        <v>1106</v>
      </c>
      <c r="D889" s="1" t="s">
        <v>67</v>
      </c>
      <c r="E889" s="1" t="s">
        <v>61</v>
      </c>
      <c r="F889" s="1" t="s">
        <v>27</v>
      </c>
      <c r="G889">
        <v>446384</v>
      </c>
      <c r="H889" s="1" t="s">
        <v>493</v>
      </c>
      <c r="I889" s="2"/>
      <c r="L889" s="1" t="s">
        <v>29</v>
      </c>
      <c r="M889" s="1" t="s">
        <v>21</v>
      </c>
    </row>
    <row r="890" spans="1:13" x14ac:dyDescent="0.25">
      <c r="A890" s="1" t="s">
        <v>1795</v>
      </c>
      <c r="B890" s="1" t="s">
        <v>14</v>
      </c>
      <c r="C890" s="1" t="s">
        <v>536</v>
      </c>
      <c r="D890" s="1" t="s">
        <v>90</v>
      </c>
      <c r="E890" s="1" t="s">
        <v>61</v>
      </c>
      <c r="F890" s="1" t="s">
        <v>40</v>
      </c>
      <c r="G890">
        <v>64102</v>
      </c>
      <c r="H890" s="1" t="s">
        <v>1796</v>
      </c>
      <c r="I890" s="2">
        <v>45141</v>
      </c>
      <c r="J890">
        <v>74</v>
      </c>
      <c r="K890">
        <v>1.1000000000000001</v>
      </c>
      <c r="L890" s="1" t="s">
        <v>20</v>
      </c>
      <c r="M890" s="1" t="s">
        <v>30</v>
      </c>
    </row>
    <row r="891" spans="1:13" x14ac:dyDescent="0.25">
      <c r="A891" s="1" t="s">
        <v>1797</v>
      </c>
      <c r="B891" s="1" t="s">
        <v>109</v>
      </c>
      <c r="C891" s="1" t="s">
        <v>295</v>
      </c>
      <c r="D891" s="1" t="s">
        <v>46</v>
      </c>
      <c r="E891" s="1" t="s">
        <v>26</v>
      </c>
      <c r="F891" s="1" t="s">
        <v>27</v>
      </c>
      <c r="G891">
        <v>90721</v>
      </c>
      <c r="H891" s="1" t="s">
        <v>259</v>
      </c>
      <c r="I891" s="2"/>
      <c r="K891">
        <v>12.1</v>
      </c>
      <c r="L891" s="1" t="s">
        <v>96</v>
      </c>
      <c r="M891" s="1" t="s">
        <v>42</v>
      </c>
    </row>
    <row r="892" spans="1:13" x14ac:dyDescent="0.25">
      <c r="A892" s="1" t="s">
        <v>1798</v>
      </c>
      <c r="B892" s="1" t="s">
        <v>98</v>
      </c>
      <c r="C892" s="1" t="s">
        <v>1278</v>
      </c>
      <c r="D892" s="1" t="s">
        <v>25</v>
      </c>
      <c r="E892" s="1" t="s">
        <v>47</v>
      </c>
      <c r="F892" s="1" t="s">
        <v>18</v>
      </c>
      <c r="G892">
        <v>471152</v>
      </c>
      <c r="H892" s="1" t="s">
        <v>963</v>
      </c>
      <c r="I892" s="2">
        <v>45320</v>
      </c>
      <c r="J892">
        <v>125</v>
      </c>
      <c r="K892">
        <v>2.7</v>
      </c>
      <c r="L892" s="1" t="s">
        <v>96</v>
      </c>
      <c r="M892" s="1" t="s">
        <v>102</v>
      </c>
    </row>
    <row r="893" spans="1:13" x14ac:dyDescent="0.25">
      <c r="A893" s="1" t="s">
        <v>1799</v>
      </c>
      <c r="B893" s="1" t="s">
        <v>127</v>
      </c>
      <c r="C893" s="1" t="s">
        <v>430</v>
      </c>
      <c r="D893" s="1" t="s">
        <v>46</v>
      </c>
      <c r="E893" s="1" t="s">
        <v>72</v>
      </c>
      <c r="F893" s="1" t="s">
        <v>53</v>
      </c>
      <c r="G893">
        <v>343540</v>
      </c>
      <c r="H893" s="1" t="s">
        <v>1748</v>
      </c>
      <c r="I893" s="2"/>
      <c r="K893">
        <v>4.8</v>
      </c>
      <c r="L893" s="1" t="s">
        <v>49</v>
      </c>
      <c r="M893" s="1" t="s">
        <v>107</v>
      </c>
    </row>
    <row r="894" spans="1:13" x14ac:dyDescent="0.25">
      <c r="A894" s="1" t="s">
        <v>1800</v>
      </c>
      <c r="B894" s="1" t="s">
        <v>173</v>
      </c>
      <c r="C894" s="1" t="s">
        <v>292</v>
      </c>
      <c r="D894" s="1" t="s">
        <v>16</v>
      </c>
      <c r="E894" s="1" t="s">
        <v>94</v>
      </c>
      <c r="F894" s="1" t="s">
        <v>53</v>
      </c>
      <c r="G894">
        <v>274671</v>
      </c>
      <c r="H894" s="1" t="s">
        <v>1801</v>
      </c>
      <c r="I894" s="2"/>
      <c r="K894">
        <v>13.3</v>
      </c>
      <c r="L894" s="1" t="s">
        <v>49</v>
      </c>
      <c r="M894" s="1" t="s">
        <v>21</v>
      </c>
    </row>
    <row r="895" spans="1:13" x14ac:dyDescent="0.25">
      <c r="A895" s="1" t="s">
        <v>1802</v>
      </c>
      <c r="B895" s="1" t="s">
        <v>104</v>
      </c>
      <c r="C895" s="1" t="s">
        <v>676</v>
      </c>
      <c r="D895" s="1" t="s">
        <v>39</v>
      </c>
      <c r="E895" s="1" t="s">
        <v>61</v>
      </c>
      <c r="F895" s="1" t="s">
        <v>33</v>
      </c>
      <c r="G895">
        <v>17135</v>
      </c>
      <c r="H895" s="1" t="s">
        <v>1803</v>
      </c>
      <c r="I895" s="2"/>
      <c r="K895">
        <v>1.1000000000000001</v>
      </c>
      <c r="L895" s="1" t="s">
        <v>96</v>
      </c>
      <c r="M895" s="1" t="s">
        <v>69</v>
      </c>
    </row>
    <row r="896" spans="1:13" x14ac:dyDescent="0.25">
      <c r="A896" s="1" t="s">
        <v>1804</v>
      </c>
      <c r="B896" s="1" t="s">
        <v>37</v>
      </c>
      <c r="C896" s="1" t="s">
        <v>247</v>
      </c>
      <c r="D896" s="1" t="s">
        <v>46</v>
      </c>
      <c r="E896" s="1" t="s">
        <v>94</v>
      </c>
      <c r="F896" s="1" t="s">
        <v>33</v>
      </c>
      <c r="G896">
        <v>315803</v>
      </c>
      <c r="H896" s="1" t="s">
        <v>689</v>
      </c>
      <c r="I896" s="2"/>
      <c r="K896">
        <v>10.1</v>
      </c>
      <c r="L896" s="1" t="s">
        <v>29</v>
      </c>
      <c r="M896" s="1" t="s">
        <v>30</v>
      </c>
    </row>
    <row r="897" spans="1:13" x14ac:dyDescent="0.25">
      <c r="A897" s="1" t="s">
        <v>1805</v>
      </c>
      <c r="B897" s="1" t="s">
        <v>37</v>
      </c>
      <c r="C897" s="1" t="s">
        <v>300</v>
      </c>
      <c r="D897" s="1" t="s">
        <v>90</v>
      </c>
      <c r="E897" s="1" t="s">
        <v>17</v>
      </c>
      <c r="F897" s="1" t="s">
        <v>129</v>
      </c>
      <c r="G897">
        <v>131064</v>
      </c>
      <c r="H897" s="1" t="s">
        <v>1806</v>
      </c>
      <c r="I897" s="2"/>
      <c r="K897">
        <v>1.2</v>
      </c>
      <c r="L897" s="1" t="s">
        <v>29</v>
      </c>
      <c r="M897" s="1" t="s">
        <v>69</v>
      </c>
    </row>
    <row r="898" spans="1:13" x14ac:dyDescent="0.25">
      <c r="A898" s="1" t="s">
        <v>1807</v>
      </c>
      <c r="B898" s="1" t="s">
        <v>98</v>
      </c>
      <c r="C898" s="1" t="s">
        <v>782</v>
      </c>
      <c r="D898" s="1" t="s">
        <v>39</v>
      </c>
      <c r="E898" s="1" t="s">
        <v>94</v>
      </c>
      <c r="F898" s="1" t="s">
        <v>40</v>
      </c>
      <c r="G898">
        <v>391636</v>
      </c>
      <c r="H898" s="1" t="s">
        <v>1483</v>
      </c>
      <c r="I898" s="2">
        <v>45355</v>
      </c>
      <c r="J898">
        <v>175</v>
      </c>
      <c r="K898">
        <v>2.7</v>
      </c>
      <c r="L898" s="1" t="s">
        <v>20</v>
      </c>
      <c r="M898" s="1" t="s">
        <v>102</v>
      </c>
    </row>
    <row r="899" spans="1:13" x14ac:dyDescent="0.25">
      <c r="A899" s="1" t="s">
        <v>1808</v>
      </c>
      <c r="B899" s="1" t="s">
        <v>44</v>
      </c>
      <c r="C899" s="1" t="s">
        <v>1776</v>
      </c>
      <c r="D899" s="1" t="s">
        <v>46</v>
      </c>
      <c r="E899" s="1" t="s">
        <v>94</v>
      </c>
      <c r="F899" s="1" t="s">
        <v>53</v>
      </c>
      <c r="G899">
        <v>203948</v>
      </c>
      <c r="H899" s="1" t="s">
        <v>1809</v>
      </c>
      <c r="I899" s="2"/>
      <c r="K899">
        <v>3.7</v>
      </c>
      <c r="L899" s="1" t="s">
        <v>29</v>
      </c>
      <c r="M899" s="1" t="s">
        <v>69</v>
      </c>
    </row>
    <row r="900" spans="1:13" x14ac:dyDescent="0.25">
      <c r="A900" s="1" t="s">
        <v>1810</v>
      </c>
      <c r="B900" s="1" t="s">
        <v>98</v>
      </c>
      <c r="C900" s="1" t="s">
        <v>343</v>
      </c>
      <c r="D900" s="1" t="s">
        <v>90</v>
      </c>
      <c r="E900" s="1" t="s">
        <v>94</v>
      </c>
      <c r="F900" s="1" t="s">
        <v>40</v>
      </c>
      <c r="G900">
        <v>156119</v>
      </c>
      <c r="H900" s="1" t="s">
        <v>1698</v>
      </c>
      <c r="I900" s="2">
        <v>45657</v>
      </c>
      <c r="J900">
        <v>20</v>
      </c>
      <c r="K900">
        <v>13.4</v>
      </c>
      <c r="L900" s="1" t="s">
        <v>96</v>
      </c>
      <c r="M900" s="1" t="s">
        <v>42</v>
      </c>
    </row>
    <row r="901" spans="1:13" x14ac:dyDescent="0.25">
      <c r="A901" s="1" t="s">
        <v>1811</v>
      </c>
      <c r="B901" s="1" t="s">
        <v>127</v>
      </c>
      <c r="C901" s="1" t="s">
        <v>1812</v>
      </c>
      <c r="D901" s="1" t="s">
        <v>16</v>
      </c>
      <c r="E901" s="1" t="s">
        <v>72</v>
      </c>
      <c r="F901" s="1" t="s">
        <v>18</v>
      </c>
      <c r="G901">
        <v>366544</v>
      </c>
      <c r="H901" s="1" t="s">
        <v>230</v>
      </c>
      <c r="I901" s="2">
        <v>45475</v>
      </c>
      <c r="J901">
        <v>148</v>
      </c>
      <c r="K901">
        <v>1.1000000000000001</v>
      </c>
      <c r="L901" s="1" t="s">
        <v>20</v>
      </c>
      <c r="M901" s="1" t="s">
        <v>69</v>
      </c>
    </row>
    <row r="902" spans="1:13" x14ac:dyDescent="0.25">
      <c r="A902" s="1" t="s">
        <v>1813</v>
      </c>
      <c r="B902" s="1" t="s">
        <v>127</v>
      </c>
      <c r="C902" s="1" t="s">
        <v>767</v>
      </c>
      <c r="D902" s="1" t="s">
        <v>46</v>
      </c>
      <c r="E902" s="1" t="s">
        <v>61</v>
      </c>
      <c r="F902" s="1" t="s">
        <v>33</v>
      </c>
      <c r="G902">
        <v>331523</v>
      </c>
      <c r="H902" s="1" t="s">
        <v>329</v>
      </c>
      <c r="I902" s="2"/>
      <c r="L902" s="1" t="s">
        <v>29</v>
      </c>
      <c r="M902" s="1" t="s">
        <v>102</v>
      </c>
    </row>
    <row r="903" spans="1:13" x14ac:dyDescent="0.25">
      <c r="A903" s="1" t="s">
        <v>1814</v>
      </c>
      <c r="B903" s="1" t="s">
        <v>65</v>
      </c>
      <c r="C903" s="1" t="s">
        <v>457</v>
      </c>
      <c r="D903" s="1" t="s">
        <v>90</v>
      </c>
      <c r="E903" s="1" t="s">
        <v>77</v>
      </c>
      <c r="F903" s="1" t="s">
        <v>40</v>
      </c>
      <c r="G903">
        <v>107968</v>
      </c>
      <c r="H903" s="1" t="s">
        <v>651</v>
      </c>
      <c r="I903" s="2">
        <v>45756</v>
      </c>
      <c r="J903">
        <v>44</v>
      </c>
      <c r="K903">
        <v>24.9</v>
      </c>
      <c r="L903" s="1" t="s">
        <v>29</v>
      </c>
      <c r="M903" s="1" t="s">
        <v>63</v>
      </c>
    </row>
    <row r="904" spans="1:13" x14ac:dyDescent="0.25">
      <c r="A904" s="1" t="s">
        <v>1815</v>
      </c>
      <c r="B904" s="1" t="s">
        <v>109</v>
      </c>
      <c r="C904" s="1" t="s">
        <v>1165</v>
      </c>
      <c r="D904" s="1" t="s">
        <v>39</v>
      </c>
      <c r="E904" s="1" t="s">
        <v>61</v>
      </c>
      <c r="F904" s="1" t="s">
        <v>18</v>
      </c>
      <c r="G904">
        <v>34681</v>
      </c>
      <c r="H904" s="1" t="s">
        <v>1029</v>
      </c>
      <c r="I904" s="2">
        <v>45133</v>
      </c>
      <c r="J904">
        <v>71</v>
      </c>
      <c r="K904">
        <v>2.2000000000000002</v>
      </c>
      <c r="L904" s="1" t="s">
        <v>20</v>
      </c>
      <c r="M904" s="1" t="s">
        <v>30</v>
      </c>
    </row>
    <row r="905" spans="1:13" x14ac:dyDescent="0.25">
      <c r="A905" s="1" t="s">
        <v>1816</v>
      </c>
      <c r="B905" s="1" t="s">
        <v>173</v>
      </c>
      <c r="C905" s="1" t="s">
        <v>1172</v>
      </c>
      <c r="D905" s="1" t="s">
        <v>46</v>
      </c>
      <c r="E905" s="1" t="s">
        <v>94</v>
      </c>
      <c r="F905" s="1" t="s">
        <v>40</v>
      </c>
      <c r="G905">
        <v>20352</v>
      </c>
      <c r="H905" s="1" t="s">
        <v>1446</v>
      </c>
      <c r="I905" s="2">
        <v>45626</v>
      </c>
      <c r="J905">
        <v>150</v>
      </c>
      <c r="K905">
        <v>13</v>
      </c>
      <c r="L905" s="1" t="s">
        <v>96</v>
      </c>
      <c r="M905" s="1" t="s">
        <v>149</v>
      </c>
    </row>
    <row r="906" spans="1:13" x14ac:dyDescent="0.25">
      <c r="A906" s="1" t="s">
        <v>1600</v>
      </c>
      <c r="B906" s="1" t="s">
        <v>98</v>
      </c>
      <c r="C906" s="1" t="s">
        <v>1248</v>
      </c>
      <c r="D906" s="1" t="s">
        <v>90</v>
      </c>
      <c r="E906" s="1" t="s">
        <v>72</v>
      </c>
      <c r="F906" s="1" t="s">
        <v>27</v>
      </c>
      <c r="G906">
        <v>181830</v>
      </c>
      <c r="H906" s="1" t="s">
        <v>1601</v>
      </c>
      <c r="I906" s="2"/>
      <c r="K906">
        <v>4.5</v>
      </c>
      <c r="L906" s="1" t="s">
        <v>29</v>
      </c>
      <c r="M906" s="1" t="s">
        <v>30</v>
      </c>
    </row>
    <row r="907" spans="1:13" x14ac:dyDescent="0.25">
      <c r="A907" s="1" t="s">
        <v>1817</v>
      </c>
      <c r="B907" s="1" t="s">
        <v>104</v>
      </c>
      <c r="C907" s="1" t="s">
        <v>1470</v>
      </c>
      <c r="D907" s="1" t="s">
        <v>46</v>
      </c>
      <c r="E907" s="1" t="s">
        <v>61</v>
      </c>
      <c r="F907" s="1" t="s">
        <v>129</v>
      </c>
      <c r="G907">
        <v>154857</v>
      </c>
      <c r="H907" s="1" t="s">
        <v>1818</v>
      </c>
      <c r="I907" s="2"/>
      <c r="K907">
        <v>8.6</v>
      </c>
      <c r="L907" s="1" t="s">
        <v>20</v>
      </c>
      <c r="M907" s="1" t="s">
        <v>30</v>
      </c>
    </row>
    <row r="908" spans="1:13" x14ac:dyDescent="0.25">
      <c r="A908" s="1" t="s">
        <v>1819</v>
      </c>
      <c r="B908" s="1" t="s">
        <v>84</v>
      </c>
      <c r="C908" s="1" t="s">
        <v>1021</v>
      </c>
      <c r="D908" s="1" t="s">
        <v>90</v>
      </c>
      <c r="E908" s="1" t="s">
        <v>72</v>
      </c>
      <c r="F908" s="1" t="s">
        <v>129</v>
      </c>
      <c r="G908">
        <v>464984</v>
      </c>
      <c r="H908" s="1" t="s">
        <v>242</v>
      </c>
      <c r="I908" s="2"/>
      <c r="L908" s="1" t="s">
        <v>49</v>
      </c>
      <c r="M908" s="1" t="s">
        <v>30</v>
      </c>
    </row>
    <row r="909" spans="1:13" x14ac:dyDescent="0.25">
      <c r="A909" s="1" t="s">
        <v>1820</v>
      </c>
      <c r="B909" s="1" t="s">
        <v>65</v>
      </c>
      <c r="C909" s="1" t="s">
        <v>539</v>
      </c>
      <c r="D909" s="1" t="s">
        <v>25</v>
      </c>
      <c r="E909" s="1" t="s">
        <v>17</v>
      </c>
      <c r="F909" s="1" t="s">
        <v>40</v>
      </c>
      <c r="G909">
        <v>149439</v>
      </c>
      <c r="H909" s="1" t="s">
        <v>1296</v>
      </c>
      <c r="I909" s="2">
        <v>45459</v>
      </c>
      <c r="J909">
        <v>177</v>
      </c>
      <c r="K909">
        <v>12</v>
      </c>
      <c r="L909" s="1" t="s">
        <v>49</v>
      </c>
      <c r="M909" s="1" t="s">
        <v>21</v>
      </c>
    </row>
    <row r="910" spans="1:13" x14ac:dyDescent="0.25">
      <c r="A910" s="1" t="s">
        <v>1821</v>
      </c>
      <c r="B910" s="1" t="s">
        <v>37</v>
      </c>
      <c r="C910" s="1" t="s">
        <v>334</v>
      </c>
      <c r="D910" s="1" t="s">
        <v>16</v>
      </c>
      <c r="E910" s="1" t="s">
        <v>94</v>
      </c>
      <c r="F910" s="1" t="s">
        <v>27</v>
      </c>
      <c r="G910">
        <v>224870</v>
      </c>
      <c r="H910" s="1" t="s">
        <v>152</v>
      </c>
      <c r="I910" s="2"/>
      <c r="K910">
        <v>14.1</v>
      </c>
      <c r="L910" s="1" t="s">
        <v>29</v>
      </c>
      <c r="M910" s="1" t="s">
        <v>30</v>
      </c>
    </row>
    <row r="911" spans="1:13" x14ac:dyDescent="0.25">
      <c r="A911" s="1" t="s">
        <v>1822</v>
      </c>
      <c r="B911" s="1" t="s">
        <v>80</v>
      </c>
      <c r="C911" s="1" t="s">
        <v>244</v>
      </c>
      <c r="D911" s="1" t="s">
        <v>67</v>
      </c>
      <c r="E911" s="1" t="s">
        <v>72</v>
      </c>
      <c r="F911" s="1" t="s">
        <v>33</v>
      </c>
      <c r="G911">
        <v>121183</v>
      </c>
      <c r="H911" s="1" t="s">
        <v>617</v>
      </c>
      <c r="I911" s="2"/>
      <c r="K911">
        <v>6.5</v>
      </c>
      <c r="L911" s="1" t="s">
        <v>20</v>
      </c>
      <c r="M911" s="1" t="s">
        <v>107</v>
      </c>
    </row>
    <row r="912" spans="1:13" x14ac:dyDescent="0.25">
      <c r="A912" s="1" t="s">
        <v>1823</v>
      </c>
      <c r="B912" s="1" t="s">
        <v>59</v>
      </c>
      <c r="C912" s="1" t="s">
        <v>270</v>
      </c>
      <c r="D912" s="1" t="s">
        <v>25</v>
      </c>
      <c r="E912" s="1" t="s">
        <v>26</v>
      </c>
      <c r="F912" s="1" t="s">
        <v>40</v>
      </c>
      <c r="G912">
        <v>208372</v>
      </c>
      <c r="H912" s="1" t="s">
        <v>1609</v>
      </c>
      <c r="I912" s="2">
        <v>45787</v>
      </c>
      <c r="J912">
        <v>168</v>
      </c>
      <c r="K912">
        <v>7.6</v>
      </c>
      <c r="L912" s="1" t="s">
        <v>20</v>
      </c>
      <c r="M912" s="1" t="s">
        <v>42</v>
      </c>
    </row>
    <row r="913" spans="1:13" x14ac:dyDescent="0.25">
      <c r="A913" s="1" t="s">
        <v>1824</v>
      </c>
      <c r="B913" s="1" t="s">
        <v>109</v>
      </c>
      <c r="C913" s="1" t="s">
        <v>574</v>
      </c>
      <c r="D913" s="1" t="s">
        <v>90</v>
      </c>
      <c r="E913" s="1" t="s">
        <v>61</v>
      </c>
      <c r="F913" s="1" t="s">
        <v>53</v>
      </c>
      <c r="G913">
        <v>464967</v>
      </c>
      <c r="H913" s="1" t="s">
        <v>1546</v>
      </c>
      <c r="I913" s="2"/>
      <c r="K913">
        <v>4.4000000000000004</v>
      </c>
      <c r="L913" s="1" t="s">
        <v>49</v>
      </c>
      <c r="M913" s="1" t="s">
        <v>149</v>
      </c>
    </row>
    <row r="914" spans="1:13" x14ac:dyDescent="0.25">
      <c r="A914" s="1" t="s">
        <v>1825</v>
      </c>
      <c r="B914" s="1" t="s">
        <v>44</v>
      </c>
      <c r="C914" s="1" t="s">
        <v>735</v>
      </c>
      <c r="D914" s="1" t="s">
        <v>39</v>
      </c>
      <c r="E914" s="1" t="s">
        <v>17</v>
      </c>
      <c r="F914" s="1" t="s">
        <v>18</v>
      </c>
      <c r="G914">
        <v>187732</v>
      </c>
      <c r="H914" s="1" t="s">
        <v>57</v>
      </c>
      <c r="I914" s="2">
        <v>45741</v>
      </c>
      <c r="J914">
        <v>128</v>
      </c>
      <c r="K914">
        <v>9.6999999999999993</v>
      </c>
      <c r="L914" s="1" t="s">
        <v>96</v>
      </c>
      <c r="M914" s="1" t="s">
        <v>42</v>
      </c>
    </row>
    <row r="915" spans="1:13" x14ac:dyDescent="0.25">
      <c r="A915" s="1" t="s">
        <v>1826</v>
      </c>
      <c r="B915" s="1" t="s">
        <v>59</v>
      </c>
      <c r="C915" s="1" t="s">
        <v>1153</v>
      </c>
      <c r="D915" s="1" t="s">
        <v>90</v>
      </c>
      <c r="E915" s="1" t="s">
        <v>61</v>
      </c>
      <c r="F915" s="1" t="s">
        <v>40</v>
      </c>
      <c r="G915">
        <v>45254</v>
      </c>
      <c r="H915" s="1" t="s">
        <v>1597</v>
      </c>
      <c r="I915" s="2">
        <v>45004</v>
      </c>
      <c r="J915">
        <v>27</v>
      </c>
      <c r="K915">
        <v>24.9</v>
      </c>
      <c r="L915" s="1" t="s">
        <v>20</v>
      </c>
      <c r="M915" s="1" t="s">
        <v>35</v>
      </c>
    </row>
    <row r="916" spans="1:13" x14ac:dyDescent="0.25">
      <c r="A916" s="1" t="s">
        <v>1827</v>
      </c>
      <c r="B916" s="1" t="s">
        <v>104</v>
      </c>
      <c r="C916" s="1" t="s">
        <v>247</v>
      </c>
      <c r="D916" s="1" t="s">
        <v>16</v>
      </c>
      <c r="E916" s="1" t="s">
        <v>94</v>
      </c>
      <c r="F916" s="1" t="s">
        <v>40</v>
      </c>
      <c r="G916">
        <v>470989</v>
      </c>
      <c r="H916" s="1" t="s">
        <v>125</v>
      </c>
      <c r="I916" s="2">
        <v>45173</v>
      </c>
      <c r="J916">
        <v>127</v>
      </c>
      <c r="K916">
        <v>2.5</v>
      </c>
      <c r="L916" s="1" t="s">
        <v>49</v>
      </c>
      <c r="M916" s="1" t="s">
        <v>30</v>
      </c>
    </row>
    <row r="917" spans="1:13" x14ac:dyDescent="0.25">
      <c r="A917" s="1" t="s">
        <v>1828</v>
      </c>
      <c r="B917" s="1" t="s">
        <v>65</v>
      </c>
      <c r="C917" s="1" t="s">
        <v>168</v>
      </c>
      <c r="D917" s="1" t="s">
        <v>67</v>
      </c>
      <c r="E917" s="1" t="s">
        <v>26</v>
      </c>
      <c r="F917" s="1" t="s">
        <v>129</v>
      </c>
      <c r="G917">
        <v>419255</v>
      </c>
      <c r="H917" s="1" t="s">
        <v>793</v>
      </c>
      <c r="I917" s="2"/>
      <c r="K917">
        <v>11.6</v>
      </c>
      <c r="L917" s="1" t="s">
        <v>20</v>
      </c>
      <c r="M917" s="1" t="s">
        <v>149</v>
      </c>
    </row>
    <row r="918" spans="1:13" x14ac:dyDescent="0.25">
      <c r="A918" s="1" t="s">
        <v>1829</v>
      </c>
      <c r="B918" s="1" t="s">
        <v>37</v>
      </c>
      <c r="C918" s="1" t="s">
        <v>224</v>
      </c>
      <c r="D918" s="1" t="s">
        <v>46</v>
      </c>
      <c r="E918" s="1" t="s">
        <v>72</v>
      </c>
      <c r="F918" s="1" t="s">
        <v>40</v>
      </c>
      <c r="G918">
        <v>337804</v>
      </c>
      <c r="H918" s="1" t="s">
        <v>1216</v>
      </c>
      <c r="I918" s="2">
        <v>45733</v>
      </c>
      <c r="J918">
        <v>71</v>
      </c>
      <c r="K918">
        <v>12.3</v>
      </c>
      <c r="L918" s="1" t="s">
        <v>49</v>
      </c>
      <c r="M918" s="1" t="s">
        <v>63</v>
      </c>
    </row>
    <row r="919" spans="1:13" x14ac:dyDescent="0.25">
      <c r="A919" s="1" t="s">
        <v>1830</v>
      </c>
      <c r="B919" s="1" t="s">
        <v>104</v>
      </c>
      <c r="C919" s="1" t="s">
        <v>1136</v>
      </c>
      <c r="D919" s="1" t="s">
        <v>67</v>
      </c>
      <c r="E919" s="1" t="s">
        <v>47</v>
      </c>
      <c r="F919" s="1" t="s">
        <v>33</v>
      </c>
      <c r="G919">
        <v>491441</v>
      </c>
      <c r="H919" s="1" t="s">
        <v>968</v>
      </c>
      <c r="I919" s="2"/>
      <c r="K919">
        <v>3.3</v>
      </c>
      <c r="L919" s="1" t="s">
        <v>49</v>
      </c>
      <c r="M919" s="1" t="s">
        <v>149</v>
      </c>
    </row>
    <row r="920" spans="1:13" x14ac:dyDescent="0.25">
      <c r="A920" s="1" t="s">
        <v>1831</v>
      </c>
      <c r="B920" s="1" t="s">
        <v>104</v>
      </c>
      <c r="C920" s="1" t="s">
        <v>270</v>
      </c>
      <c r="D920" s="1" t="s">
        <v>39</v>
      </c>
      <c r="E920" s="1" t="s">
        <v>94</v>
      </c>
      <c r="F920" s="1" t="s">
        <v>40</v>
      </c>
      <c r="G920">
        <v>104016</v>
      </c>
      <c r="H920" s="1" t="s">
        <v>1832</v>
      </c>
      <c r="I920" s="2">
        <v>45259</v>
      </c>
      <c r="J920">
        <v>96</v>
      </c>
      <c r="K920">
        <v>15.3</v>
      </c>
      <c r="L920" s="1" t="s">
        <v>29</v>
      </c>
      <c r="M920" s="1" t="s">
        <v>102</v>
      </c>
    </row>
    <row r="921" spans="1:13" x14ac:dyDescent="0.25">
      <c r="A921" s="1" t="s">
        <v>1833</v>
      </c>
      <c r="B921" s="1" t="s">
        <v>14</v>
      </c>
      <c r="C921" s="1" t="s">
        <v>1170</v>
      </c>
      <c r="D921" s="1" t="s">
        <v>16</v>
      </c>
      <c r="E921" s="1" t="s">
        <v>72</v>
      </c>
      <c r="F921" s="1" t="s">
        <v>53</v>
      </c>
      <c r="G921">
        <v>1883359</v>
      </c>
      <c r="H921" s="1" t="s">
        <v>1137</v>
      </c>
      <c r="I921" s="2"/>
      <c r="L921" s="1" t="s">
        <v>20</v>
      </c>
      <c r="M921" s="1" t="s">
        <v>149</v>
      </c>
    </row>
    <row r="922" spans="1:13" x14ac:dyDescent="0.25">
      <c r="A922" s="1" t="s">
        <v>1834</v>
      </c>
      <c r="B922" s="1" t="s">
        <v>44</v>
      </c>
      <c r="C922" s="1" t="s">
        <v>590</v>
      </c>
      <c r="D922" s="1" t="s">
        <v>46</v>
      </c>
      <c r="E922" s="1" t="s">
        <v>61</v>
      </c>
      <c r="F922" s="1" t="s">
        <v>53</v>
      </c>
      <c r="G922">
        <v>102823</v>
      </c>
      <c r="H922" s="1" t="s">
        <v>1835</v>
      </c>
      <c r="I922" s="2"/>
      <c r="K922">
        <v>6.3</v>
      </c>
      <c r="L922" s="1" t="s">
        <v>20</v>
      </c>
      <c r="M922" s="1" t="s">
        <v>63</v>
      </c>
    </row>
    <row r="923" spans="1:13" x14ac:dyDescent="0.25">
      <c r="A923" s="1" t="s">
        <v>1836</v>
      </c>
      <c r="B923" s="1" t="s">
        <v>173</v>
      </c>
      <c r="C923" s="1" t="s">
        <v>859</v>
      </c>
      <c r="D923" s="1" t="s">
        <v>39</v>
      </c>
      <c r="E923" s="1" t="s">
        <v>26</v>
      </c>
      <c r="F923" s="1" t="s">
        <v>40</v>
      </c>
      <c r="G923">
        <v>110998</v>
      </c>
      <c r="H923" s="1" t="s">
        <v>875</v>
      </c>
      <c r="I923" s="2">
        <v>45270</v>
      </c>
      <c r="J923">
        <v>141</v>
      </c>
      <c r="K923">
        <v>4.7</v>
      </c>
      <c r="L923" s="1" t="s">
        <v>49</v>
      </c>
      <c r="M923" s="1" t="s">
        <v>102</v>
      </c>
    </row>
    <row r="924" spans="1:13" x14ac:dyDescent="0.25">
      <c r="A924" s="1" t="s">
        <v>1837</v>
      </c>
      <c r="B924" s="1" t="s">
        <v>65</v>
      </c>
      <c r="C924" s="1" t="s">
        <v>1204</v>
      </c>
      <c r="D924" s="1" t="s">
        <v>39</v>
      </c>
      <c r="E924" s="1" t="s">
        <v>26</v>
      </c>
      <c r="F924" s="1" t="s">
        <v>53</v>
      </c>
      <c r="G924">
        <v>417062</v>
      </c>
      <c r="H924" s="1" t="s">
        <v>1007</v>
      </c>
      <c r="I924" s="2"/>
      <c r="L924" s="1" t="s">
        <v>20</v>
      </c>
      <c r="M924" s="1" t="s">
        <v>69</v>
      </c>
    </row>
    <row r="925" spans="1:13" x14ac:dyDescent="0.25">
      <c r="A925" s="1" t="s">
        <v>1838</v>
      </c>
      <c r="B925" s="1" t="s">
        <v>104</v>
      </c>
      <c r="C925" s="1" t="s">
        <v>483</v>
      </c>
      <c r="D925" s="1" t="s">
        <v>90</v>
      </c>
      <c r="E925" s="1" t="s">
        <v>100</v>
      </c>
      <c r="F925" s="1" t="s">
        <v>27</v>
      </c>
      <c r="G925">
        <v>92676</v>
      </c>
      <c r="H925" s="1" t="s">
        <v>1561</v>
      </c>
      <c r="I925" s="2"/>
      <c r="K925">
        <v>15</v>
      </c>
      <c r="L925" s="1" t="s">
        <v>20</v>
      </c>
      <c r="M925" s="1" t="s">
        <v>35</v>
      </c>
    </row>
    <row r="926" spans="1:13" x14ac:dyDescent="0.25">
      <c r="A926" s="1" t="s">
        <v>1839</v>
      </c>
      <c r="B926" s="1" t="s">
        <v>65</v>
      </c>
      <c r="C926" s="1" t="s">
        <v>662</v>
      </c>
      <c r="D926" s="1" t="s">
        <v>46</v>
      </c>
      <c r="E926" s="1" t="s">
        <v>72</v>
      </c>
      <c r="F926" s="1" t="s">
        <v>53</v>
      </c>
      <c r="G926">
        <v>1482318</v>
      </c>
      <c r="H926" s="1" t="s">
        <v>1840</v>
      </c>
      <c r="I926" s="2"/>
      <c r="K926">
        <v>5.4</v>
      </c>
      <c r="L926" s="1" t="s">
        <v>49</v>
      </c>
      <c r="M926" s="1" t="s">
        <v>149</v>
      </c>
    </row>
    <row r="927" spans="1:13" x14ac:dyDescent="0.25">
      <c r="A927" s="1" t="s">
        <v>1841</v>
      </c>
      <c r="B927" s="1" t="s">
        <v>173</v>
      </c>
      <c r="C927" s="1" t="s">
        <v>1842</v>
      </c>
      <c r="D927" s="1" t="s">
        <v>67</v>
      </c>
      <c r="E927" s="1" t="s">
        <v>77</v>
      </c>
      <c r="F927" s="1" t="s">
        <v>129</v>
      </c>
      <c r="G927">
        <v>421778</v>
      </c>
      <c r="H927" s="1" t="s">
        <v>329</v>
      </c>
      <c r="I927" s="2"/>
      <c r="L927" s="1" t="s">
        <v>96</v>
      </c>
      <c r="M927" s="1" t="s">
        <v>102</v>
      </c>
    </row>
    <row r="928" spans="1:13" x14ac:dyDescent="0.25">
      <c r="A928" s="1" t="s">
        <v>1843</v>
      </c>
      <c r="B928" s="1" t="s">
        <v>109</v>
      </c>
      <c r="C928" s="1" t="s">
        <v>561</v>
      </c>
      <c r="D928" s="1" t="s">
        <v>25</v>
      </c>
      <c r="E928" s="1" t="s">
        <v>77</v>
      </c>
      <c r="F928" s="1" t="s">
        <v>33</v>
      </c>
      <c r="G928">
        <v>214786</v>
      </c>
      <c r="H928" s="1" t="s">
        <v>721</v>
      </c>
      <c r="I928" s="2"/>
      <c r="K928">
        <v>11.8</v>
      </c>
      <c r="L928" s="1" t="s">
        <v>96</v>
      </c>
      <c r="M928" s="1" t="s">
        <v>63</v>
      </c>
    </row>
    <row r="929" spans="1:13" x14ac:dyDescent="0.25">
      <c r="A929" s="1" t="s">
        <v>1844</v>
      </c>
      <c r="B929" s="1" t="s">
        <v>59</v>
      </c>
      <c r="C929" s="1" t="s">
        <v>987</v>
      </c>
      <c r="D929" s="1" t="s">
        <v>67</v>
      </c>
      <c r="E929" s="1" t="s">
        <v>77</v>
      </c>
      <c r="F929" s="1" t="s">
        <v>53</v>
      </c>
      <c r="G929">
        <v>401152</v>
      </c>
      <c r="H929" s="1" t="s">
        <v>1681</v>
      </c>
      <c r="I929" s="2"/>
      <c r="K929">
        <v>1.4</v>
      </c>
      <c r="L929" s="1" t="s">
        <v>96</v>
      </c>
      <c r="M929" s="1" t="s">
        <v>102</v>
      </c>
    </row>
    <row r="930" spans="1:13" x14ac:dyDescent="0.25">
      <c r="A930" s="1" t="s">
        <v>1845</v>
      </c>
      <c r="B930" s="1" t="s">
        <v>88</v>
      </c>
      <c r="C930" s="1" t="s">
        <v>767</v>
      </c>
      <c r="D930" s="1" t="s">
        <v>67</v>
      </c>
      <c r="E930" s="1" t="s">
        <v>72</v>
      </c>
      <c r="F930" s="1" t="s">
        <v>40</v>
      </c>
      <c r="G930">
        <v>212343</v>
      </c>
      <c r="H930" s="1" t="s">
        <v>1846</v>
      </c>
      <c r="I930" s="2">
        <v>45359</v>
      </c>
      <c r="J930">
        <v>44</v>
      </c>
      <c r="K930">
        <v>0.7</v>
      </c>
      <c r="L930" s="1" t="s">
        <v>20</v>
      </c>
      <c r="M930" s="1" t="s">
        <v>69</v>
      </c>
    </row>
    <row r="931" spans="1:13" x14ac:dyDescent="0.25">
      <c r="A931" s="1" t="s">
        <v>1847</v>
      </c>
      <c r="B931" s="1" t="s">
        <v>173</v>
      </c>
      <c r="C931" s="1" t="s">
        <v>528</v>
      </c>
      <c r="D931" s="1" t="s">
        <v>46</v>
      </c>
      <c r="E931" s="1" t="s">
        <v>77</v>
      </c>
      <c r="F931" s="1" t="s">
        <v>27</v>
      </c>
      <c r="G931">
        <v>110509</v>
      </c>
      <c r="H931" s="1" t="s">
        <v>171</v>
      </c>
      <c r="I931" s="2"/>
      <c r="K931">
        <v>3.8</v>
      </c>
      <c r="L931" s="1" t="s">
        <v>49</v>
      </c>
      <c r="M931" s="1" t="s">
        <v>42</v>
      </c>
    </row>
    <row r="932" spans="1:13" x14ac:dyDescent="0.25">
      <c r="A932" s="1" t="s">
        <v>1848</v>
      </c>
      <c r="B932" s="1" t="s">
        <v>75</v>
      </c>
      <c r="C932" s="1" t="s">
        <v>724</v>
      </c>
      <c r="D932" s="1" t="s">
        <v>39</v>
      </c>
      <c r="E932" s="1" t="s">
        <v>100</v>
      </c>
      <c r="F932" s="1" t="s">
        <v>40</v>
      </c>
      <c r="G932">
        <v>279798</v>
      </c>
      <c r="H932" s="1" t="s">
        <v>1849</v>
      </c>
      <c r="I932" s="2">
        <v>45404</v>
      </c>
      <c r="J932">
        <v>173</v>
      </c>
      <c r="K932">
        <v>22.5</v>
      </c>
      <c r="L932" s="1" t="s">
        <v>20</v>
      </c>
      <c r="M932" s="1" t="s">
        <v>21</v>
      </c>
    </row>
    <row r="933" spans="1:13" x14ac:dyDescent="0.25">
      <c r="A933" s="1" t="s">
        <v>1850</v>
      </c>
      <c r="B933" s="1" t="s">
        <v>104</v>
      </c>
      <c r="C933" s="1" t="s">
        <v>220</v>
      </c>
      <c r="D933" s="1" t="s">
        <v>16</v>
      </c>
      <c r="E933" s="1" t="s">
        <v>61</v>
      </c>
      <c r="F933" s="1" t="s">
        <v>40</v>
      </c>
      <c r="G933">
        <v>217339</v>
      </c>
      <c r="H933" s="1" t="s">
        <v>651</v>
      </c>
      <c r="I933" s="2">
        <v>45841</v>
      </c>
      <c r="J933">
        <v>129</v>
      </c>
      <c r="K933">
        <v>17.2</v>
      </c>
      <c r="L933" s="1" t="s">
        <v>96</v>
      </c>
      <c r="M933" s="1" t="s">
        <v>63</v>
      </c>
    </row>
    <row r="934" spans="1:13" x14ac:dyDescent="0.25">
      <c r="A934" s="1" t="s">
        <v>1851</v>
      </c>
      <c r="B934" s="1" t="s">
        <v>109</v>
      </c>
      <c r="C934" s="1" t="s">
        <v>1021</v>
      </c>
      <c r="D934" s="1" t="s">
        <v>46</v>
      </c>
      <c r="E934" s="1" t="s">
        <v>26</v>
      </c>
      <c r="F934" s="1" t="s">
        <v>33</v>
      </c>
      <c r="G934">
        <v>118047</v>
      </c>
      <c r="H934" s="1" t="s">
        <v>841</v>
      </c>
      <c r="I934" s="2"/>
      <c r="K934">
        <v>7.4</v>
      </c>
      <c r="L934" s="1" t="s">
        <v>49</v>
      </c>
      <c r="M934" s="1" t="s">
        <v>21</v>
      </c>
    </row>
    <row r="935" spans="1:13" x14ac:dyDescent="0.25">
      <c r="A935" s="1" t="s">
        <v>1852</v>
      </c>
      <c r="B935" s="1" t="s">
        <v>37</v>
      </c>
      <c r="C935" s="1" t="s">
        <v>928</v>
      </c>
      <c r="D935" s="1" t="s">
        <v>46</v>
      </c>
      <c r="E935" s="1" t="s">
        <v>61</v>
      </c>
      <c r="F935" s="1" t="s">
        <v>18</v>
      </c>
      <c r="G935">
        <v>355990</v>
      </c>
      <c r="H935" s="1" t="s">
        <v>1559</v>
      </c>
      <c r="I935" s="2">
        <v>45834</v>
      </c>
      <c r="J935">
        <v>87</v>
      </c>
      <c r="L935" s="1" t="s">
        <v>20</v>
      </c>
      <c r="M935" s="1" t="s">
        <v>63</v>
      </c>
    </row>
    <row r="936" spans="1:13" x14ac:dyDescent="0.25">
      <c r="A936" s="1" t="s">
        <v>1853</v>
      </c>
      <c r="B936" s="1" t="s">
        <v>98</v>
      </c>
      <c r="C936" s="1" t="s">
        <v>227</v>
      </c>
      <c r="D936" s="1" t="s">
        <v>16</v>
      </c>
      <c r="E936" s="1" t="s">
        <v>47</v>
      </c>
      <c r="F936" s="1" t="s">
        <v>18</v>
      </c>
      <c r="G936">
        <v>87531</v>
      </c>
      <c r="H936" s="1" t="s">
        <v>665</v>
      </c>
      <c r="I936" s="2">
        <v>45320</v>
      </c>
      <c r="J936">
        <v>31</v>
      </c>
      <c r="L936" s="1" t="s">
        <v>96</v>
      </c>
      <c r="M936" s="1" t="s">
        <v>21</v>
      </c>
    </row>
    <row r="937" spans="1:13" x14ac:dyDescent="0.25">
      <c r="A937" s="1" t="s">
        <v>1854</v>
      </c>
      <c r="B937" s="1" t="s">
        <v>75</v>
      </c>
      <c r="C937" s="1" t="s">
        <v>227</v>
      </c>
      <c r="D937" s="1" t="s">
        <v>16</v>
      </c>
      <c r="E937" s="1" t="s">
        <v>100</v>
      </c>
      <c r="F937" s="1" t="s">
        <v>129</v>
      </c>
      <c r="G937">
        <v>26436</v>
      </c>
      <c r="H937" s="1" t="s">
        <v>1534</v>
      </c>
      <c r="I937" s="2"/>
      <c r="K937">
        <v>10.8</v>
      </c>
      <c r="L937" s="1" t="s">
        <v>29</v>
      </c>
      <c r="M937" s="1" t="s">
        <v>63</v>
      </c>
    </row>
    <row r="938" spans="1:13" x14ac:dyDescent="0.25">
      <c r="A938" s="1" t="s">
        <v>1855</v>
      </c>
      <c r="B938" s="1" t="s">
        <v>37</v>
      </c>
      <c r="C938" s="1" t="s">
        <v>1157</v>
      </c>
      <c r="D938" s="1" t="s">
        <v>25</v>
      </c>
      <c r="E938" s="1" t="s">
        <v>100</v>
      </c>
      <c r="F938" s="1" t="s">
        <v>27</v>
      </c>
      <c r="G938">
        <v>390741</v>
      </c>
      <c r="H938" s="1" t="s">
        <v>1186</v>
      </c>
      <c r="I938" s="2"/>
      <c r="K938">
        <v>1.8</v>
      </c>
      <c r="L938" s="1" t="s">
        <v>49</v>
      </c>
      <c r="M938" s="1" t="s">
        <v>35</v>
      </c>
    </row>
    <row r="939" spans="1:13" x14ac:dyDescent="0.25">
      <c r="A939" s="1" t="s">
        <v>1856</v>
      </c>
      <c r="B939" s="1" t="s">
        <v>23</v>
      </c>
      <c r="C939" s="1" t="s">
        <v>141</v>
      </c>
      <c r="D939" s="1" t="s">
        <v>39</v>
      </c>
      <c r="E939" s="1" t="s">
        <v>61</v>
      </c>
      <c r="F939" s="1" t="s">
        <v>27</v>
      </c>
      <c r="G939">
        <v>146766</v>
      </c>
      <c r="H939" s="1" t="s">
        <v>730</v>
      </c>
      <c r="I939" s="2"/>
      <c r="K939">
        <v>1.2</v>
      </c>
      <c r="L939" s="1" t="s">
        <v>29</v>
      </c>
      <c r="M939" s="1" t="s">
        <v>35</v>
      </c>
    </row>
    <row r="940" spans="1:13" x14ac:dyDescent="0.25">
      <c r="A940" s="1" t="s">
        <v>1857</v>
      </c>
      <c r="B940" s="1" t="s">
        <v>65</v>
      </c>
      <c r="C940" s="1" t="s">
        <v>119</v>
      </c>
      <c r="D940" s="1" t="s">
        <v>16</v>
      </c>
      <c r="E940" s="1" t="s">
        <v>47</v>
      </c>
      <c r="F940" s="1" t="s">
        <v>40</v>
      </c>
      <c r="G940">
        <v>440806</v>
      </c>
      <c r="H940" s="1" t="s">
        <v>1494</v>
      </c>
      <c r="I940" s="2">
        <v>45768</v>
      </c>
      <c r="J940">
        <v>85</v>
      </c>
      <c r="K940">
        <v>4.7</v>
      </c>
      <c r="L940" s="1" t="s">
        <v>29</v>
      </c>
      <c r="M940" s="1" t="s">
        <v>63</v>
      </c>
    </row>
    <row r="941" spans="1:13" x14ac:dyDescent="0.25">
      <c r="A941" s="1" t="s">
        <v>1858</v>
      </c>
      <c r="B941" s="1" t="s">
        <v>44</v>
      </c>
      <c r="C941" s="1" t="s">
        <v>1566</v>
      </c>
      <c r="D941" s="1" t="s">
        <v>25</v>
      </c>
      <c r="E941" s="1" t="s">
        <v>100</v>
      </c>
      <c r="F941" s="1" t="s">
        <v>40</v>
      </c>
      <c r="G941">
        <v>116272</v>
      </c>
      <c r="H941" s="1" t="s">
        <v>1859</v>
      </c>
      <c r="I941" s="2">
        <v>45035</v>
      </c>
      <c r="J941">
        <v>84</v>
      </c>
      <c r="K941">
        <v>4.7</v>
      </c>
      <c r="L941" s="1" t="s">
        <v>20</v>
      </c>
      <c r="M941" s="1" t="s">
        <v>35</v>
      </c>
    </row>
    <row r="942" spans="1:13" x14ac:dyDescent="0.25">
      <c r="A942" s="1" t="s">
        <v>1860</v>
      </c>
      <c r="B942" s="1" t="s">
        <v>75</v>
      </c>
      <c r="C942" s="1" t="s">
        <v>387</v>
      </c>
      <c r="D942" s="1" t="s">
        <v>39</v>
      </c>
      <c r="E942" s="1" t="s">
        <v>100</v>
      </c>
      <c r="F942" s="1" t="s">
        <v>53</v>
      </c>
      <c r="G942">
        <v>470681</v>
      </c>
      <c r="H942" s="1" t="s">
        <v>1357</v>
      </c>
      <c r="I942" s="2"/>
      <c r="L942" s="1" t="s">
        <v>20</v>
      </c>
      <c r="M942" s="1" t="s">
        <v>21</v>
      </c>
    </row>
    <row r="943" spans="1:13" x14ac:dyDescent="0.25">
      <c r="A943" s="1" t="s">
        <v>1861</v>
      </c>
      <c r="B943" s="1" t="s">
        <v>173</v>
      </c>
      <c r="C943" s="1" t="s">
        <v>1043</v>
      </c>
      <c r="D943" s="1" t="s">
        <v>16</v>
      </c>
      <c r="E943" s="1" t="s">
        <v>51</v>
      </c>
      <c r="F943" s="1" t="s">
        <v>33</v>
      </c>
      <c r="G943">
        <v>120272</v>
      </c>
      <c r="H943" s="1" t="s">
        <v>1862</v>
      </c>
      <c r="I943" s="2"/>
      <c r="K943">
        <v>7.6</v>
      </c>
      <c r="L943" s="1" t="s">
        <v>96</v>
      </c>
      <c r="M943" s="1" t="s">
        <v>63</v>
      </c>
    </row>
    <row r="944" spans="1:13" x14ac:dyDescent="0.25">
      <c r="A944" s="1" t="s">
        <v>1863</v>
      </c>
      <c r="B944" s="1" t="s">
        <v>127</v>
      </c>
      <c r="C944" s="1" t="s">
        <v>1074</v>
      </c>
      <c r="D944" s="1" t="s">
        <v>46</v>
      </c>
      <c r="E944" s="1" t="s">
        <v>51</v>
      </c>
      <c r="F944" s="1" t="s">
        <v>53</v>
      </c>
      <c r="G944">
        <v>198227</v>
      </c>
      <c r="H944" s="1" t="s">
        <v>1630</v>
      </c>
      <c r="I944" s="2"/>
      <c r="K944">
        <v>5.5</v>
      </c>
      <c r="L944" s="1" t="s">
        <v>29</v>
      </c>
      <c r="M944" s="1" t="s">
        <v>149</v>
      </c>
    </row>
    <row r="945" spans="1:13" x14ac:dyDescent="0.25">
      <c r="A945" s="1" t="s">
        <v>1864</v>
      </c>
      <c r="B945" s="1" t="s">
        <v>80</v>
      </c>
      <c r="C945" s="1" t="s">
        <v>436</v>
      </c>
      <c r="D945" s="1" t="s">
        <v>90</v>
      </c>
      <c r="E945" s="1" t="s">
        <v>61</v>
      </c>
      <c r="F945" s="1" t="s">
        <v>129</v>
      </c>
      <c r="G945">
        <v>253459</v>
      </c>
      <c r="H945" s="1" t="s">
        <v>34</v>
      </c>
      <c r="I945" s="2"/>
      <c r="K945">
        <v>1.9</v>
      </c>
      <c r="L945" s="1" t="s">
        <v>96</v>
      </c>
      <c r="M945" s="1" t="s">
        <v>35</v>
      </c>
    </row>
    <row r="946" spans="1:13" x14ac:dyDescent="0.25">
      <c r="A946" s="1" t="s">
        <v>1865</v>
      </c>
      <c r="B946" s="1" t="s">
        <v>14</v>
      </c>
      <c r="C946" s="1" t="s">
        <v>1866</v>
      </c>
      <c r="D946" s="1" t="s">
        <v>25</v>
      </c>
      <c r="E946" s="1" t="s">
        <v>100</v>
      </c>
      <c r="F946" s="1" t="s">
        <v>40</v>
      </c>
      <c r="G946">
        <v>255228</v>
      </c>
      <c r="H946" s="1" t="s">
        <v>265</v>
      </c>
      <c r="I946" s="2">
        <v>45201</v>
      </c>
      <c r="J946">
        <v>128</v>
      </c>
      <c r="K946">
        <v>8.1</v>
      </c>
      <c r="L946" s="1" t="s">
        <v>96</v>
      </c>
      <c r="M946" s="1" t="s">
        <v>30</v>
      </c>
    </row>
    <row r="947" spans="1:13" x14ac:dyDescent="0.25">
      <c r="A947" s="1" t="s">
        <v>1867</v>
      </c>
      <c r="B947" s="1" t="s">
        <v>65</v>
      </c>
      <c r="C947" s="1" t="s">
        <v>56</v>
      </c>
      <c r="D947" s="1" t="s">
        <v>46</v>
      </c>
      <c r="E947" s="1" t="s">
        <v>72</v>
      </c>
      <c r="F947" s="1" t="s">
        <v>40</v>
      </c>
      <c r="G947">
        <v>425710</v>
      </c>
      <c r="H947" s="1" t="s">
        <v>106</v>
      </c>
      <c r="I947" s="2">
        <v>45588</v>
      </c>
      <c r="J947">
        <v>162</v>
      </c>
      <c r="K947">
        <v>2.4</v>
      </c>
      <c r="L947" s="1" t="s">
        <v>49</v>
      </c>
      <c r="M947" s="1" t="s">
        <v>107</v>
      </c>
    </row>
    <row r="948" spans="1:13" x14ac:dyDescent="0.25">
      <c r="A948" s="1" t="s">
        <v>1868</v>
      </c>
      <c r="B948" s="1" t="s">
        <v>104</v>
      </c>
      <c r="C948" s="1" t="s">
        <v>1072</v>
      </c>
      <c r="D948" s="1" t="s">
        <v>25</v>
      </c>
      <c r="E948" s="1" t="s">
        <v>17</v>
      </c>
      <c r="F948" s="1" t="s">
        <v>129</v>
      </c>
      <c r="G948">
        <v>247584</v>
      </c>
      <c r="H948" s="1" t="s">
        <v>1869</v>
      </c>
      <c r="I948" s="2"/>
      <c r="K948">
        <v>5</v>
      </c>
      <c r="L948" s="1" t="s">
        <v>20</v>
      </c>
      <c r="M948" s="1" t="s">
        <v>149</v>
      </c>
    </row>
    <row r="949" spans="1:13" x14ac:dyDescent="0.25">
      <c r="A949" s="1" t="s">
        <v>1870</v>
      </c>
      <c r="B949" s="1" t="s">
        <v>44</v>
      </c>
      <c r="C949" s="1" t="s">
        <v>552</v>
      </c>
      <c r="D949" s="1" t="s">
        <v>16</v>
      </c>
      <c r="E949" s="1" t="s">
        <v>77</v>
      </c>
      <c r="F949" s="1" t="s">
        <v>18</v>
      </c>
      <c r="G949">
        <v>201433</v>
      </c>
      <c r="H949" s="1" t="s">
        <v>1871</v>
      </c>
      <c r="I949" s="2">
        <v>45751</v>
      </c>
      <c r="J949">
        <v>122</v>
      </c>
      <c r="K949">
        <v>11.8</v>
      </c>
      <c r="L949" s="1" t="s">
        <v>96</v>
      </c>
      <c r="M949" s="1" t="s">
        <v>42</v>
      </c>
    </row>
    <row r="950" spans="1:13" x14ac:dyDescent="0.25">
      <c r="A950" s="1" t="s">
        <v>1872</v>
      </c>
      <c r="B950" s="1" t="s">
        <v>44</v>
      </c>
      <c r="C950" s="1" t="s">
        <v>1299</v>
      </c>
      <c r="D950" s="1" t="s">
        <v>46</v>
      </c>
      <c r="E950" s="1" t="s">
        <v>51</v>
      </c>
      <c r="F950" s="1" t="s">
        <v>18</v>
      </c>
      <c r="G950">
        <v>443492</v>
      </c>
      <c r="H950" s="1" t="s">
        <v>1761</v>
      </c>
      <c r="I950" s="2">
        <v>45838</v>
      </c>
      <c r="J950">
        <v>92</v>
      </c>
      <c r="K950">
        <v>10.5</v>
      </c>
      <c r="L950" s="1" t="s">
        <v>49</v>
      </c>
      <c r="M950" s="1" t="s">
        <v>63</v>
      </c>
    </row>
    <row r="951" spans="1:13" x14ac:dyDescent="0.25">
      <c r="A951" s="1" t="s">
        <v>1873</v>
      </c>
      <c r="B951" s="1" t="s">
        <v>65</v>
      </c>
      <c r="C951" s="1" t="s">
        <v>99</v>
      </c>
      <c r="D951" s="1" t="s">
        <v>16</v>
      </c>
      <c r="E951" s="1" t="s">
        <v>72</v>
      </c>
      <c r="F951" s="1" t="s">
        <v>129</v>
      </c>
      <c r="G951">
        <v>282486</v>
      </c>
      <c r="H951" s="1" t="s">
        <v>1059</v>
      </c>
      <c r="I951" s="2"/>
      <c r="L951" s="1" t="s">
        <v>96</v>
      </c>
      <c r="M951" s="1" t="s">
        <v>63</v>
      </c>
    </row>
    <row r="952" spans="1:13" x14ac:dyDescent="0.25">
      <c r="A952" s="1" t="s">
        <v>1874</v>
      </c>
      <c r="B952" s="1" t="s">
        <v>14</v>
      </c>
      <c r="C952" s="1" t="s">
        <v>1121</v>
      </c>
      <c r="D952" s="1" t="s">
        <v>90</v>
      </c>
      <c r="E952" s="1" t="s">
        <v>94</v>
      </c>
      <c r="F952" s="1" t="s">
        <v>18</v>
      </c>
      <c r="G952">
        <v>171763</v>
      </c>
      <c r="H952" s="1" t="s">
        <v>978</v>
      </c>
      <c r="I952" s="2">
        <v>45152</v>
      </c>
      <c r="J952">
        <v>177</v>
      </c>
      <c r="K952">
        <v>4</v>
      </c>
      <c r="L952" s="1" t="s">
        <v>20</v>
      </c>
      <c r="M952" s="1" t="s">
        <v>35</v>
      </c>
    </row>
    <row r="953" spans="1:13" x14ac:dyDescent="0.25">
      <c r="A953" s="1" t="s">
        <v>1875</v>
      </c>
      <c r="B953" s="1" t="s">
        <v>88</v>
      </c>
      <c r="C953" s="1" t="s">
        <v>300</v>
      </c>
      <c r="D953" s="1" t="s">
        <v>16</v>
      </c>
      <c r="E953" s="1" t="s">
        <v>61</v>
      </c>
      <c r="F953" s="1" t="s">
        <v>53</v>
      </c>
      <c r="G953">
        <v>193392</v>
      </c>
      <c r="H953" s="1" t="s">
        <v>1075</v>
      </c>
      <c r="I953" s="2"/>
      <c r="K953">
        <v>12.3</v>
      </c>
      <c r="L953" s="1" t="s">
        <v>96</v>
      </c>
      <c r="M953" s="1" t="s">
        <v>149</v>
      </c>
    </row>
    <row r="954" spans="1:13" x14ac:dyDescent="0.25">
      <c r="A954" s="1" t="s">
        <v>1876</v>
      </c>
      <c r="B954" s="1" t="s">
        <v>127</v>
      </c>
      <c r="C954" s="1" t="s">
        <v>250</v>
      </c>
      <c r="D954" s="1" t="s">
        <v>39</v>
      </c>
      <c r="E954" s="1" t="s">
        <v>77</v>
      </c>
      <c r="F954" s="1" t="s">
        <v>40</v>
      </c>
      <c r="G954">
        <v>317324</v>
      </c>
      <c r="H954" s="1" t="s">
        <v>1127</v>
      </c>
      <c r="I954" s="2">
        <v>45425</v>
      </c>
      <c r="J954">
        <v>127</v>
      </c>
      <c r="K954">
        <v>4.5</v>
      </c>
      <c r="L954" s="1" t="s">
        <v>96</v>
      </c>
      <c r="M954" s="1" t="s">
        <v>69</v>
      </c>
    </row>
    <row r="955" spans="1:13" x14ac:dyDescent="0.25">
      <c r="A955" s="1" t="s">
        <v>1877</v>
      </c>
      <c r="B955" s="1" t="s">
        <v>59</v>
      </c>
      <c r="C955" s="1" t="s">
        <v>224</v>
      </c>
      <c r="D955" s="1" t="s">
        <v>46</v>
      </c>
      <c r="E955" s="1" t="s">
        <v>26</v>
      </c>
      <c r="F955" s="1" t="s">
        <v>53</v>
      </c>
      <c r="G955">
        <v>376050</v>
      </c>
      <c r="H955" s="1" t="s">
        <v>1411</v>
      </c>
      <c r="I955" s="2"/>
      <c r="K955">
        <v>0.6</v>
      </c>
      <c r="L955" s="1" t="s">
        <v>49</v>
      </c>
      <c r="M955" s="1" t="s">
        <v>69</v>
      </c>
    </row>
    <row r="956" spans="1:13" x14ac:dyDescent="0.25">
      <c r="A956" s="1" t="s">
        <v>1878</v>
      </c>
      <c r="B956" s="1" t="s">
        <v>75</v>
      </c>
      <c r="C956" s="1" t="s">
        <v>892</v>
      </c>
      <c r="D956" s="1" t="s">
        <v>90</v>
      </c>
      <c r="E956" s="1" t="s">
        <v>94</v>
      </c>
      <c r="F956" s="1" t="s">
        <v>18</v>
      </c>
      <c r="G956">
        <v>338714</v>
      </c>
      <c r="H956" s="1" t="s">
        <v>1879</v>
      </c>
      <c r="I956" s="2">
        <v>45200</v>
      </c>
      <c r="J956">
        <v>23</v>
      </c>
      <c r="K956">
        <v>5.9</v>
      </c>
      <c r="L956" s="1" t="s">
        <v>29</v>
      </c>
      <c r="M956" s="1" t="s">
        <v>102</v>
      </c>
    </row>
    <row r="957" spans="1:13" x14ac:dyDescent="0.25">
      <c r="A957" s="1" t="s">
        <v>1880</v>
      </c>
      <c r="B957" s="1" t="s">
        <v>109</v>
      </c>
      <c r="C957" s="1" t="s">
        <v>747</v>
      </c>
      <c r="D957" s="1" t="s">
        <v>39</v>
      </c>
      <c r="E957" s="1" t="s">
        <v>100</v>
      </c>
      <c r="F957" s="1" t="s">
        <v>129</v>
      </c>
      <c r="G957">
        <v>102553</v>
      </c>
      <c r="H957" s="1" t="s">
        <v>1173</v>
      </c>
      <c r="I957" s="2"/>
      <c r="K957">
        <v>7.7</v>
      </c>
      <c r="L957" s="1" t="s">
        <v>49</v>
      </c>
      <c r="M957" s="1" t="s">
        <v>107</v>
      </c>
    </row>
    <row r="958" spans="1:13" x14ac:dyDescent="0.25">
      <c r="A958" s="1" t="s">
        <v>1881</v>
      </c>
      <c r="B958" s="1" t="s">
        <v>14</v>
      </c>
      <c r="C958" s="1" t="s">
        <v>790</v>
      </c>
      <c r="D958" s="1" t="s">
        <v>67</v>
      </c>
      <c r="E958" s="1" t="s">
        <v>77</v>
      </c>
      <c r="F958" s="1" t="s">
        <v>129</v>
      </c>
      <c r="G958">
        <v>320437</v>
      </c>
      <c r="H958" s="1" t="s">
        <v>709</v>
      </c>
      <c r="I958" s="2"/>
      <c r="K958">
        <v>7.7</v>
      </c>
      <c r="L958" s="1" t="s">
        <v>49</v>
      </c>
      <c r="M958" s="1" t="s">
        <v>63</v>
      </c>
    </row>
    <row r="959" spans="1:13" x14ac:dyDescent="0.25">
      <c r="A959" s="1" t="s">
        <v>1882</v>
      </c>
      <c r="B959" s="1" t="s">
        <v>37</v>
      </c>
      <c r="C959" s="1" t="s">
        <v>906</v>
      </c>
      <c r="D959" s="1" t="s">
        <v>46</v>
      </c>
      <c r="E959" s="1" t="s">
        <v>77</v>
      </c>
      <c r="F959" s="1" t="s">
        <v>33</v>
      </c>
      <c r="G959">
        <v>407639</v>
      </c>
      <c r="H959" s="1" t="s">
        <v>1883</v>
      </c>
      <c r="I959" s="2"/>
      <c r="K959">
        <v>0.1</v>
      </c>
      <c r="L959" s="1" t="s">
        <v>96</v>
      </c>
      <c r="M959" s="1" t="s">
        <v>30</v>
      </c>
    </row>
    <row r="960" spans="1:13" x14ac:dyDescent="0.25">
      <c r="A960" s="1" t="s">
        <v>1884</v>
      </c>
      <c r="B960" s="1" t="s">
        <v>51</v>
      </c>
      <c r="C960" s="1" t="s">
        <v>977</v>
      </c>
      <c r="D960" s="1" t="s">
        <v>25</v>
      </c>
      <c r="E960" s="1" t="s">
        <v>100</v>
      </c>
      <c r="F960" s="1" t="s">
        <v>27</v>
      </c>
      <c r="G960">
        <v>298680</v>
      </c>
      <c r="H960" s="1" t="s">
        <v>1885</v>
      </c>
      <c r="I960" s="2"/>
      <c r="K960">
        <v>5.2</v>
      </c>
      <c r="L960" s="1" t="s">
        <v>29</v>
      </c>
      <c r="M960" s="1" t="s">
        <v>69</v>
      </c>
    </row>
    <row r="961" spans="1:13" x14ac:dyDescent="0.25">
      <c r="A961" s="1" t="s">
        <v>1886</v>
      </c>
      <c r="B961" s="1" t="s">
        <v>127</v>
      </c>
      <c r="C961" s="1" t="s">
        <v>1050</v>
      </c>
      <c r="D961" s="1" t="s">
        <v>46</v>
      </c>
      <c r="E961" s="1" t="s">
        <v>94</v>
      </c>
      <c r="F961" s="1" t="s">
        <v>129</v>
      </c>
      <c r="G961">
        <v>35385</v>
      </c>
      <c r="H961" s="1" t="s">
        <v>670</v>
      </c>
      <c r="I961" s="2"/>
      <c r="L961" s="1" t="s">
        <v>20</v>
      </c>
      <c r="M961" s="1" t="s">
        <v>35</v>
      </c>
    </row>
    <row r="962" spans="1:13" x14ac:dyDescent="0.25">
      <c r="A962" s="1" t="s">
        <v>1887</v>
      </c>
      <c r="B962" s="1" t="s">
        <v>65</v>
      </c>
      <c r="C962" s="1" t="s">
        <v>587</v>
      </c>
      <c r="D962" s="1" t="s">
        <v>90</v>
      </c>
      <c r="E962" s="1" t="s">
        <v>61</v>
      </c>
      <c r="F962" s="1" t="s">
        <v>129</v>
      </c>
      <c r="G962">
        <v>246773</v>
      </c>
      <c r="H962" s="1" t="s">
        <v>1355</v>
      </c>
      <c r="I962" s="2"/>
      <c r="L962" s="1" t="s">
        <v>20</v>
      </c>
      <c r="M962" s="1" t="s">
        <v>35</v>
      </c>
    </row>
    <row r="963" spans="1:13" x14ac:dyDescent="0.25">
      <c r="A963" s="1" t="s">
        <v>1888</v>
      </c>
      <c r="B963" s="1" t="s">
        <v>104</v>
      </c>
      <c r="C963" s="1" t="s">
        <v>208</v>
      </c>
      <c r="D963" s="1" t="s">
        <v>46</v>
      </c>
      <c r="E963" s="1" t="s">
        <v>100</v>
      </c>
      <c r="F963" s="1" t="s">
        <v>33</v>
      </c>
      <c r="G963">
        <v>473679</v>
      </c>
      <c r="H963" s="1" t="s">
        <v>82</v>
      </c>
      <c r="I963" s="2"/>
      <c r="K963">
        <v>6.9</v>
      </c>
      <c r="L963" s="1" t="s">
        <v>96</v>
      </c>
      <c r="M963" s="1" t="s">
        <v>21</v>
      </c>
    </row>
    <row r="964" spans="1:13" x14ac:dyDescent="0.25">
      <c r="A964" s="1" t="s">
        <v>1889</v>
      </c>
      <c r="B964" s="1" t="s">
        <v>44</v>
      </c>
      <c r="C964" s="1" t="s">
        <v>1095</v>
      </c>
      <c r="D964" s="1" t="s">
        <v>25</v>
      </c>
      <c r="E964" s="1" t="s">
        <v>94</v>
      </c>
      <c r="F964" s="1" t="s">
        <v>40</v>
      </c>
      <c r="G964">
        <v>278260</v>
      </c>
      <c r="H964" s="1" t="s">
        <v>1890</v>
      </c>
      <c r="I964" s="2">
        <v>45201</v>
      </c>
      <c r="J964">
        <v>111</v>
      </c>
      <c r="K964">
        <v>1.1000000000000001</v>
      </c>
      <c r="L964" s="1" t="s">
        <v>29</v>
      </c>
      <c r="M964" s="1" t="s">
        <v>30</v>
      </c>
    </row>
    <row r="965" spans="1:13" x14ac:dyDescent="0.25">
      <c r="A965" s="1" t="s">
        <v>1891</v>
      </c>
      <c r="B965" s="1" t="s">
        <v>65</v>
      </c>
      <c r="C965" s="1" t="s">
        <v>782</v>
      </c>
      <c r="D965" s="1" t="s">
        <v>46</v>
      </c>
      <c r="E965" s="1" t="s">
        <v>94</v>
      </c>
      <c r="F965" s="1" t="s">
        <v>27</v>
      </c>
      <c r="G965">
        <v>280740</v>
      </c>
      <c r="H965" s="1" t="s">
        <v>1176</v>
      </c>
      <c r="I965" s="2"/>
      <c r="L965" s="1" t="s">
        <v>49</v>
      </c>
      <c r="M965" s="1" t="s">
        <v>69</v>
      </c>
    </row>
    <row r="966" spans="1:13" x14ac:dyDescent="0.25">
      <c r="A966" s="1" t="s">
        <v>1892</v>
      </c>
      <c r="B966" s="1" t="s">
        <v>37</v>
      </c>
      <c r="C966" s="1" t="s">
        <v>381</v>
      </c>
      <c r="D966" s="1" t="s">
        <v>16</v>
      </c>
      <c r="E966" s="1" t="s">
        <v>47</v>
      </c>
      <c r="F966" s="1" t="s">
        <v>40</v>
      </c>
      <c r="G966">
        <v>307819</v>
      </c>
      <c r="H966" s="1" t="s">
        <v>230</v>
      </c>
      <c r="I966" s="2">
        <v>45349</v>
      </c>
      <c r="J966">
        <v>22</v>
      </c>
      <c r="K966">
        <v>18.3</v>
      </c>
      <c r="L966" s="1" t="s">
        <v>29</v>
      </c>
      <c r="M966" s="1" t="s">
        <v>69</v>
      </c>
    </row>
    <row r="967" spans="1:13" x14ac:dyDescent="0.25">
      <c r="A967" s="1" t="s">
        <v>1893</v>
      </c>
      <c r="B967" s="1" t="s">
        <v>80</v>
      </c>
      <c r="C967" s="1" t="s">
        <v>15</v>
      </c>
      <c r="D967" s="1" t="s">
        <v>16</v>
      </c>
      <c r="E967" s="1" t="s">
        <v>26</v>
      </c>
      <c r="F967" s="1" t="s">
        <v>27</v>
      </c>
      <c r="G967">
        <v>223851</v>
      </c>
      <c r="H967" s="1" t="s">
        <v>1894</v>
      </c>
      <c r="I967" s="2"/>
      <c r="K967">
        <v>6.4</v>
      </c>
      <c r="L967" s="1" t="s">
        <v>20</v>
      </c>
      <c r="M967" s="1" t="s">
        <v>21</v>
      </c>
    </row>
    <row r="968" spans="1:13" x14ac:dyDescent="0.25">
      <c r="A968" s="1" t="s">
        <v>1895</v>
      </c>
      <c r="B968" s="1" t="s">
        <v>98</v>
      </c>
      <c r="C968" s="1" t="s">
        <v>430</v>
      </c>
      <c r="D968" s="1" t="s">
        <v>16</v>
      </c>
      <c r="E968" s="1" t="s">
        <v>17</v>
      </c>
      <c r="F968" s="1" t="s">
        <v>129</v>
      </c>
      <c r="G968">
        <v>128966</v>
      </c>
      <c r="H968" s="1" t="s">
        <v>434</v>
      </c>
      <c r="I968" s="2"/>
      <c r="K968">
        <v>4.2</v>
      </c>
      <c r="L968" s="1" t="s">
        <v>20</v>
      </c>
      <c r="M968" s="1" t="s">
        <v>63</v>
      </c>
    </row>
    <row r="969" spans="1:13" x14ac:dyDescent="0.25">
      <c r="A969" s="1" t="s">
        <v>1896</v>
      </c>
      <c r="B969" s="1" t="s">
        <v>80</v>
      </c>
      <c r="C969" s="1" t="s">
        <v>805</v>
      </c>
      <c r="D969" s="1" t="s">
        <v>25</v>
      </c>
      <c r="E969" s="1" t="s">
        <v>47</v>
      </c>
      <c r="F969" s="1" t="s">
        <v>53</v>
      </c>
      <c r="G969">
        <v>490316</v>
      </c>
      <c r="H969" s="1" t="s">
        <v>1897</v>
      </c>
      <c r="I969" s="2"/>
      <c r="K969">
        <v>12.9</v>
      </c>
      <c r="L969" s="1" t="s">
        <v>49</v>
      </c>
      <c r="M969" s="1" t="s">
        <v>35</v>
      </c>
    </row>
    <row r="970" spans="1:13" x14ac:dyDescent="0.25">
      <c r="A970" s="1" t="s">
        <v>1898</v>
      </c>
      <c r="B970" s="1" t="s">
        <v>104</v>
      </c>
      <c r="C970" s="1" t="s">
        <v>1518</v>
      </c>
      <c r="D970" s="1" t="s">
        <v>39</v>
      </c>
      <c r="E970" s="1" t="s">
        <v>77</v>
      </c>
      <c r="F970" s="1" t="s">
        <v>53</v>
      </c>
      <c r="G970">
        <v>283289</v>
      </c>
      <c r="H970" s="1" t="s">
        <v>955</v>
      </c>
      <c r="I970" s="2"/>
      <c r="K970">
        <v>1.1000000000000001</v>
      </c>
      <c r="L970" s="1" t="s">
        <v>20</v>
      </c>
      <c r="M970" s="1" t="s">
        <v>63</v>
      </c>
    </row>
    <row r="971" spans="1:13" x14ac:dyDescent="0.25">
      <c r="A971" s="1" t="s">
        <v>1899</v>
      </c>
      <c r="B971" s="1" t="s">
        <v>37</v>
      </c>
      <c r="C971" s="1" t="s">
        <v>66</v>
      </c>
      <c r="D971" s="1" t="s">
        <v>90</v>
      </c>
      <c r="E971" s="1" t="s">
        <v>94</v>
      </c>
      <c r="F971" s="1" t="s">
        <v>129</v>
      </c>
      <c r="G971">
        <v>34102</v>
      </c>
      <c r="H971" s="1" t="s">
        <v>1900</v>
      </c>
      <c r="I971" s="2"/>
      <c r="K971">
        <v>5.7</v>
      </c>
      <c r="L971" s="1" t="s">
        <v>20</v>
      </c>
      <c r="M971" s="1" t="s">
        <v>69</v>
      </c>
    </row>
    <row r="972" spans="1:13" x14ac:dyDescent="0.25">
      <c r="A972" s="1" t="s">
        <v>1901</v>
      </c>
      <c r="B972" s="1" t="s">
        <v>127</v>
      </c>
      <c r="C972" s="1" t="s">
        <v>423</v>
      </c>
      <c r="D972" s="1" t="s">
        <v>25</v>
      </c>
      <c r="E972" s="1" t="s">
        <v>72</v>
      </c>
      <c r="F972" s="1" t="s">
        <v>27</v>
      </c>
      <c r="G972">
        <v>149502</v>
      </c>
      <c r="H972" s="1" t="s">
        <v>1902</v>
      </c>
      <c r="I972" s="2"/>
      <c r="K972">
        <v>10</v>
      </c>
      <c r="L972" s="1" t="s">
        <v>96</v>
      </c>
      <c r="M972" s="1" t="s">
        <v>35</v>
      </c>
    </row>
    <row r="973" spans="1:13" x14ac:dyDescent="0.25">
      <c r="A973" s="1" t="s">
        <v>1903</v>
      </c>
      <c r="B973" s="1" t="s">
        <v>23</v>
      </c>
      <c r="C973" s="1" t="s">
        <v>279</v>
      </c>
      <c r="D973" s="1" t="s">
        <v>67</v>
      </c>
      <c r="E973" s="1" t="s">
        <v>61</v>
      </c>
      <c r="F973" s="1" t="s">
        <v>40</v>
      </c>
      <c r="G973">
        <v>188852</v>
      </c>
      <c r="H973" s="1" t="s">
        <v>1904</v>
      </c>
      <c r="I973" s="2">
        <v>45592</v>
      </c>
      <c r="J973">
        <v>33</v>
      </c>
      <c r="K973">
        <v>15.7</v>
      </c>
      <c r="L973" s="1" t="s">
        <v>20</v>
      </c>
      <c r="M973" s="1" t="s">
        <v>149</v>
      </c>
    </row>
    <row r="974" spans="1:13" x14ac:dyDescent="0.25">
      <c r="A974" s="1" t="s">
        <v>1905</v>
      </c>
      <c r="B974" s="1" t="s">
        <v>109</v>
      </c>
      <c r="C974" s="1" t="s">
        <v>790</v>
      </c>
      <c r="D974" s="1" t="s">
        <v>25</v>
      </c>
      <c r="E974" s="1" t="s">
        <v>26</v>
      </c>
      <c r="F974" s="1" t="s">
        <v>33</v>
      </c>
      <c r="G974">
        <v>207542</v>
      </c>
      <c r="H974" s="1" t="s">
        <v>577</v>
      </c>
      <c r="I974" s="2"/>
      <c r="K974">
        <v>5.6</v>
      </c>
      <c r="L974" s="1" t="s">
        <v>49</v>
      </c>
      <c r="M974" s="1" t="s">
        <v>21</v>
      </c>
    </row>
    <row r="975" spans="1:13" x14ac:dyDescent="0.25">
      <c r="A975" s="1" t="s">
        <v>1906</v>
      </c>
      <c r="B975" s="1" t="s">
        <v>98</v>
      </c>
      <c r="C975" s="1" t="s">
        <v>967</v>
      </c>
      <c r="D975" s="1" t="s">
        <v>16</v>
      </c>
      <c r="E975" s="1" t="s">
        <v>51</v>
      </c>
      <c r="F975" s="1" t="s">
        <v>33</v>
      </c>
      <c r="G975">
        <v>229721</v>
      </c>
      <c r="H975" s="1" t="s">
        <v>1220</v>
      </c>
      <c r="I975" s="2"/>
      <c r="K975">
        <v>4.9000000000000004</v>
      </c>
      <c r="L975" s="1" t="s">
        <v>49</v>
      </c>
      <c r="M975" s="1" t="s">
        <v>149</v>
      </c>
    </row>
    <row r="976" spans="1:13" x14ac:dyDescent="0.25">
      <c r="A976" s="1" t="s">
        <v>1907</v>
      </c>
      <c r="B976" s="1" t="s">
        <v>23</v>
      </c>
      <c r="C976" s="1" t="s">
        <v>384</v>
      </c>
      <c r="D976" s="1" t="s">
        <v>16</v>
      </c>
      <c r="E976" s="1" t="s">
        <v>17</v>
      </c>
      <c r="F976" s="1" t="s">
        <v>33</v>
      </c>
      <c r="G976">
        <v>386379</v>
      </c>
      <c r="H976" s="1" t="s">
        <v>872</v>
      </c>
      <c r="I976" s="2"/>
      <c r="L976" s="1" t="s">
        <v>29</v>
      </c>
      <c r="M976" s="1" t="s">
        <v>35</v>
      </c>
    </row>
    <row r="977" spans="1:13" x14ac:dyDescent="0.25">
      <c r="A977" s="1" t="s">
        <v>1908</v>
      </c>
      <c r="B977" s="1" t="s">
        <v>173</v>
      </c>
      <c r="C977" s="1" t="s">
        <v>284</v>
      </c>
      <c r="D977" s="1" t="s">
        <v>39</v>
      </c>
      <c r="E977" s="1" t="s">
        <v>17</v>
      </c>
      <c r="F977" s="1" t="s">
        <v>27</v>
      </c>
      <c r="G977">
        <v>315729</v>
      </c>
      <c r="H977" s="1" t="s">
        <v>314</v>
      </c>
      <c r="I977" s="2"/>
      <c r="K977">
        <v>8.5</v>
      </c>
      <c r="L977" s="1" t="s">
        <v>29</v>
      </c>
      <c r="M977" s="1" t="s">
        <v>69</v>
      </c>
    </row>
    <row r="978" spans="1:13" x14ac:dyDescent="0.25">
      <c r="A978" s="1" t="s">
        <v>1909</v>
      </c>
      <c r="B978" s="1" t="s">
        <v>44</v>
      </c>
      <c r="C978" s="1" t="s">
        <v>151</v>
      </c>
      <c r="D978" s="1" t="s">
        <v>46</v>
      </c>
      <c r="E978" s="1" t="s">
        <v>26</v>
      </c>
      <c r="F978" s="1" t="s">
        <v>33</v>
      </c>
      <c r="G978">
        <v>221859</v>
      </c>
      <c r="H978" s="1" t="s">
        <v>1910</v>
      </c>
      <c r="I978" s="2"/>
      <c r="L978" s="1" t="s">
        <v>20</v>
      </c>
      <c r="M978" s="1" t="s">
        <v>30</v>
      </c>
    </row>
    <row r="979" spans="1:13" x14ac:dyDescent="0.25">
      <c r="A979" s="1" t="s">
        <v>1911</v>
      </c>
      <c r="B979" s="1" t="s">
        <v>65</v>
      </c>
      <c r="C979" s="1" t="s">
        <v>544</v>
      </c>
      <c r="D979" s="1" t="s">
        <v>39</v>
      </c>
      <c r="E979" s="1" t="s">
        <v>47</v>
      </c>
      <c r="F979" s="1" t="s">
        <v>27</v>
      </c>
      <c r="G979">
        <v>345858</v>
      </c>
      <c r="H979" s="1" t="s">
        <v>1402</v>
      </c>
      <c r="I979" s="2"/>
      <c r="K979">
        <v>10.4</v>
      </c>
      <c r="L979" s="1" t="s">
        <v>49</v>
      </c>
      <c r="M979" s="1" t="s">
        <v>42</v>
      </c>
    </row>
    <row r="980" spans="1:13" x14ac:dyDescent="0.25">
      <c r="A980" s="1" t="s">
        <v>1912</v>
      </c>
      <c r="B980" s="1" t="s">
        <v>51</v>
      </c>
      <c r="C980" s="1" t="s">
        <v>1866</v>
      </c>
      <c r="D980" s="1" t="s">
        <v>16</v>
      </c>
      <c r="E980" s="1" t="s">
        <v>47</v>
      </c>
      <c r="F980" s="1" t="s">
        <v>129</v>
      </c>
      <c r="G980">
        <v>314145</v>
      </c>
      <c r="H980" s="1" t="s">
        <v>974</v>
      </c>
      <c r="I980" s="2"/>
      <c r="L980" s="1" t="s">
        <v>29</v>
      </c>
      <c r="M980" s="1" t="s">
        <v>35</v>
      </c>
    </row>
    <row r="981" spans="1:13" x14ac:dyDescent="0.25">
      <c r="A981" s="1" t="s">
        <v>1913</v>
      </c>
      <c r="B981" s="1" t="s">
        <v>75</v>
      </c>
      <c r="C981" s="1" t="s">
        <v>1914</v>
      </c>
      <c r="D981" s="1" t="s">
        <v>67</v>
      </c>
      <c r="E981" s="1" t="s">
        <v>61</v>
      </c>
      <c r="F981" s="1" t="s">
        <v>18</v>
      </c>
      <c r="G981">
        <v>65752</v>
      </c>
      <c r="H981" s="1" t="s">
        <v>1915</v>
      </c>
      <c r="I981" s="2">
        <v>45309</v>
      </c>
      <c r="J981">
        <v>36</v>
      </c>
      <c r="K981">
        <v>7.2</v>
      </c>
      <c r="L981" s="1" t="s">
        <v>20</v>
      </c>
      <c r="M981" s="1" t="s">
        <v>21</v>
      </c>
    </row>
    <row r="982" spans="1:13" x14ac:dyDescent="0.25">
      <c r="A982" s="1" t="s">
        <v>1916</v>
      </c>
      <c r="B982" s="1" t="s">
        <v>84</v>
      </c>
      <c r="C982" s="1" t="s">
        <v>1377</v>
      </c>
      <c r="D982" s="1" t="s">
        <v>25</v>
      </c>
      <c r="E982" s="1" t="s">
        <v>77</v>
      </c>
      <c r="F982" s="1" t="s">
        <v>18</v>
      </c>
      <c r="G982">
        <v>374722</v>
      </c>
      <c r="H982" s="1" t="s">
        <v>491</v>
      </c>
      <c r="I982" s="2">
        <v>45362</v>
      </c>
      <c r="J982">
        <v>134</v>
      </c>
      <c r="K982">
        <v>1.1000000000000001</v>
      </c>
      <c r="L982" s="1" t="s">
        <v>49</v>
      </c>
      <c r="M982" s="1" t="s">
        <v>21</v>
      </c>
    </row>
    <row r="983" spans="1:13" x14ac:dyDescent="0.25">
      <c r="A983" s="1" t="s">
        <v>1917</v>
      </c>
      <c r="B983" s="1" t="s">
        <v>65</v>
      </c>
      <c r="C983" s="1" t="s">
        <v>818</v>
      </c>
      <c r="D983" s="1" t="s">
        <v>16</v>
      </c>
      <c r="E983" s="1" t="s">
        <v>72</v>
      </c>
      <c r="F983" s="1" t="s">
        <v>53</v>
      </c>
      <c r="G983">
        <v>154673</v>
      </c>
      <c r="H983" s="1" t="s">
        <v>801</v>
      </c>
      <c r="I983" s="2"/>
      <c r="K983">
        <v>7.4</v>
      </c>
      <c r="L983" s="1" t="s">
        <v>96</v>
      </c>
      <c r="M983" s="1" t="s">
        <v>30</v>
      </c>
    </row>
    <row r="984" spans="1:13" x14ac:dyDescent="0.25">
      <c r="A984" s="1" t="s">
        <v>1918</v>
      </c>
      <c r="B984" s="1" t="s">
        <v>88</v>
      </c>
      <c r="C984" s="1" t="s">
        <v>809</v>
      </c>
      <c r="D984" s="1" t="s">
        <v>46</v>
      </c>
      <c r="E984" s="1" t="s">
        <v>94</v>
      </c>
      <c r="F984" s="1" t="s">
        <v>27</v>
      </c>
      <c r="G984">
        <v>132550</v>
      </c>
      <c r="H984" s="1" t="s">
        <v>1919</v>
      </c>
      <c r="I984" s="2"/>
      <c r="L984" s="1" t="s">
        <v>49</v>
      </c>
      <c r="M984" s="1" t="s">
        <v>149</v>
      </c>
    </row>
    <row r="985" spans="1:13" x14ac:dyDescent="0.25">
      <c r="A985" s="1" t="s">
        <v>1920</v>
      </c>
      <c r="B985" s="1" t="s">
        <v>59</v>
      </c>
      <c r="C985" s="1" t="s">
        <v>250</v>
      </c>
      <c r="D985" s="1" t="s">
        <v>25</v>
      </c>
      <c r="E985" s="1" t="s">
        <v>94</v>
      </c>
      <c r="F985" s="1" t="s">
        <v>33</v>
      </c>
      <c r="G985">
        <v>198986</v>
      </c>
      <c r="H985" s="1" t="s">
        <v>125</v>
      </c>
      <c r="I985" s="2"/>
      <c r="L985" s="1" t="s">
        <v>96</v>
      </c>
      <c r="M985" s="1" t="s">
        <v>30</v>
      </c>
    </row>
    <row r="986" spans="1:13" x14ac:dyDescent="0.25">
      <c r="A986" s="1" t="s">
        <v>1921</v>
      </c>
      <c r="B986" s="1" t="s">
        <v>37</v>
      </c>
      <c r="C986" s="1" t="s">
        <v>1136</v>
      </c>
      <c r="D986" s="1" t="s">
        <v>46</v>
      </c>
      <c r="E986" s="1" t="s">
        <v>72</v>
      </c>
      <c r="F986" s="1" t="s">
        <v>18</v>
      </c>
      <c r="G986">
        <v>498327</v>
      </c>
      <c r="H986" s="1" t="s">
        <v>1922</v>
      </c>
      <c r="I986" s="2">
        <v>45580</v>
      </c>
      <c r="J986">
        <v>40</v>
      </c>
      <c r="L986" s="1" t="s">
        <v>49</v>
      </c>
      <c r="M986" s="1" t="s">
        <v>149</v>
      </c>
    </row>
    <row r="987" spans="1:13" x14ac:dyDescent="0.25">
      <c r="A987" s="1" t="s">
        <v>1923</v>
      </c>
      <c r="B987" s="1" t="s">
        <v>59</v>
      </c>
      <c r="C987" s="1" t="s">
        <v>892</v>
      </c>
      <c r="D987" s="1" t="s">
        <v>39</v>
      </c>
      <c r="E987" s="1" t="s">
        <v>77</v>
      </c>
      <c r="F987" s="1" t="s">
        <v>33</v>
      </c>
      <c r="G987">
        <v>409826</v>
      </c>
      <c r="H987" s="1" t="s">
        <v>1924</v>
      </c>
      <c r="I987" s="2"/>
      <c r="K987">
        <v>1</v>
      </c>
      <c r="L987" s="1" t="s">
        <v>20</v>
      </c>
      <c r="M987" s="1" t="s">
        <v>69</v>
      </c>
    </row>
    <row r="988" spans="1:13" x14ac:dyDescent="0.25">
      <c r="A988" s="1" t="s">
        <v>1925</v>
      </c>
      <c r="B988" s="1" t="s">
        <v>23</v>
      </c>
      <c r="C988" s="1" t="s">
        <v>174</v>
      </c>
      <c r="D988" s="1" t="s">
        <v>46</v>
      </c>
      <c r="E988" s="1" t="s">
        <v>17</v>
      </c>
      <c r="F988" s="1" t="s">
        <v>53</v>
      </c>
      <c r="G988">
        <v>176003</v>
      </c>
      <c r="H988" s="1" t="s">
        <v>623</v>
      </c>
      <c r="I988" s="2"/>
      <c r="L988" s="1" t="s">
        <v>96</v>
      </c>
      <c r="M988" s="1" t="s">
        <v>69</v>
      </c>
    </row>
    <row r="989" spans="1:13" x14ac:dyDescent="0.25">
      <c r="A989" s="1" t="s">
        <v>1926</v>
      </c>
      <c r="B989" s="1" t="s">
        <v>104</v>
      </c>
      <c r="C989" s="1" t="s">
        <v>625</v>
      </c>
      <c r="D989" s="1" t="s">
        <v>39</v>
      </c>
      <c r="E989" s="1" t="s">
        <v>61</v>
      </c>
      <c r="F989" s="1" t="s">
        <v>53</v>
      </c>
      <c r="G989">
        <v>1090695</v>
      </c>
      <c r="H989" s="1" t="s">
        <v>1761</v>
      </c>
      <c r="I989" s="2"/>
      <c r="L989" s="1" t="s">
        <v>20</v>
      </c>
      <c r="M989" s="1" t="s">
        <v>63</v>
      </c>
    </row>
    <row r="990" spans="1:13" x14ac:dyDescent="0.25">
      <c r="A990" s="1" t="s">
        <v>1927</v>
      </c>
      <c r="B990" s="1" t="s">
        <v>173</v>
      </c>
      <c r="C990" s="1" t="s">
        <v>478</v>
      </c>
      <c r="D990" s="1" t="s">
        <v>25</v>
      </c>
      <c r="E990" s="1" t="s">
        <v>77</v>
      </c>
      <c r="F990" s="1" t="s">
        <v>129</v>
      </c>
      <c r="G990">
        <v>25864</v>
      </c>
      <c r="H990" s="1" t="s">
        <v>277</v>
      </c>
      <c r="I990" s="2"/>
      <c r="K990">
        <v>4.7</v>
      </c>
      <c r="L990" s="1" t="s">
        <v>96</v>
      </c>
      <c r="M990" s="1" t="s">
        <v>107</v>
      </c>
    </row>
    <row r="991" spans="1:13" x14ac:dyDescent="0.25">
      <c r="A991" s="1" t="s">
        <v>1928</v>
      </c>
      <c r="B991" s="1" t="s">
        <v>98</v>
      </c>
      <c r="C991" s="1" t="s">
        <v>852</v>
      </c>
      <c r="D991" s="1" t="s">
        <v>67</v>
      </c>
      <c r="E991" s="1" t="s">
        <v>77</v>
      </c>
      <c r="F991" s="1" t="s">
        <v>33</v>
      </c>
      <c r="G991">
        <v>323051</v>
      </c>
      <c r="H991" s="1" t="s">
        <v>1929</v>
      </c>
      <c r="I991" s="2"/>
      <c r="K991">
        <v>5.7</v>
      </c>
      <c r="L991" s="1" t="s">
        <v>20</v>
      </c>
      <c r="M991" s="1" t="s">
        <v>30</v>
      </c>
    </row>
    <row r="992" spans="1:13" x14ac:dyDescent="0.25">
      <c r="A992" s="1" t="s">
        <v>1930</v>
      </c>
      <c r="B992" s="1" t="s">
        <v>44</v>
      </c>
      <c r="C992" s="1" t="s">
        <v>119</v>
      </c>
      <c r="D992" s="1" t="s">
        <v>67</v>
      </c>
      <c r="E992" s="1" t="s">
        <v>72</v>
      </c>
      <c r="F992" s="1" t="s">
        <v>40</v>
      </c>
      <c r="G992">
        <v>479053</v>
      </c>
      <c r="H992" s="1" t="s">
        <v>437</v>
      </c>
      <c r="I992" s="2">
        <v>45189</v>
      </c>
      <c r="J992">
        <v>114</v>
      </c>
      <c r="K992">
        <v>12</v>
      </c>
      <c r="L992" s="1" t="s">
        <v>96</v>
      </c>
      <c r="M992" s="1" t="s">
        <v>30</v>
      </c>
    </row>
    <row r="993" spans="1:13" x14ac:dyDescent="0.25">
      <c r="A993" s="1" t="s">
        <v>1931</v>
      </c>
      <c r="B993" s="1" t="s">
        <v>14</v>
      </c>
      <c r="C993" s="1" t="s">
        <v>1191</v>
      </c>
      <c r="D993" s="1" t="s">
        <v>67</v>
      </c>
      <c r="E993" s="1" t="s">
        <v>61</v>
      </c>
      <c r="F993" s="1" t="s">
        <v>129</v>
      </c>
      <c r="G993">
        <v>135182</v>
      </c>
      <c r="H993" s="1" t="s">
        <v>28</v>
      </c>
      <c r="I993" s="2"/>
      <c r="K993">
        <v>4.0999999999999996</v>
      </c>
      <c r="L993" s="1" t="s">
        <v>20</v>
      </c>
      <c r="M993" s="1" t="s">
        <v>30</v>
      </c>
    </row>
    <row r="994" spans="1:13" x14ac:dyDescent="0.25">
      <c r="A994" s="1" t="s">
        <v>1932</v>
      </c>
      <c r="B994" s="1" t="s">
        <v>59</v>
      </c>
      <c r="C994" s="1" t="s">
        <v>917</v>
      </c>
      <c r="D994" s="1" t="s">
        <v>25</v>
      </c>
      <c r="E994" s="1" t="s">
        <v>26</v>
      </c>
      <c r="F994" s="1" t="s">
        <v>129</v>
      </c>
      <c r="G994">
        <v>359099</v>
      </c>
      <c r="H994" s="1" t="s">
        <v>1933</v>
      </c>
      <c r="I994" s="2"/>
      <c r="K994">
        <v>6.7</v>
      </c>
      <c r="L994" s="1" t="s">
        <v>29</v>
      </c>
      <c r="M994" s="1" t="s">
        <v>149</v>
      </c>
    </row>
    <row r="995" spans="1:13" x14ac:dyDescent="0.25">
      <c r="A995" s="1" t="s">
        <v>1934</v>
      </c>
      <c r="B995" s="1" t="s">
        <v>127</v>
      </c>
      <c r="C995" s="1" t="s">
        <v>313</v>
      </c>
      <c r="D995" s="1" t="s">
        <v>90</v>
      </c>
      <c r="E995" s="1" t="s">
        <v>94</v>
      </c>
      <c r="F995" s="1" t="s">
        <v>40</v>
      </c>
      <c r="G995">
        <v>424514</v>
      </c>
      <c r="H995" s="1" t="s">
        <v>545</v>
      </c>
      <c r="I995" s="2">
        <v>45032</v>
      </c>
      <c r="J995">
        <v>68</v>
      </c>
      <c r="K995">
        <v>5.0999999999999996</v>
      </c>
      <c r="L995" s="1" t="s">
        <v>29</v>
      </c>
      <c r="M995" s="1" t="s">
        <v>35</v>
      </c>
    </row>
    <row r="996" spans="1:13" x14ac:dyDescent="0.25">
      <c r="A996" s="1" t="s">
        <v>1935</v>
      </c>
      <c r="B996" s="1" t="s">
        <v>104</v>
      </c>
      <c r="C996" s="1" t="s">
        <v>1354</v>
      </c>
      <c r="D996" s="1" t="s">
        <v>39</v>
      </c>
      <c r="E996" s="1" t="s">
        <v>17</v>
      </c>
      <c r="F996" s="1" t="s">
        <v>33</v>
      </c>
      <c r="G996">
        <v>220793</v>
      </c>
      <c r="H996" s="1" t="s">
        <v>1730</v>
      </c>
      <c r="I996" s="2"/>
      <c r="K996">
        <v>1.2</v>
      </c>
      <c r="L996" s="1" t="s">
        <v>20</v>
      </c>
      <c r="M996" s="1" t="s">
        <v>69</v>
      </c>
    </row>
    <row r="997" spans="1:13" x14ac:dyDescent="0.25">
      <c r="A997" s="1" t="s">
        <v>1936</v>
      </c>
      <c r="B997" s="1" t="s">
        <v>127</v>
      </c>
      <c r="C997" s="1" t="s">
        <v>1308</v>
      </c>
      <c r="D997" s="1" t="s">
        <v>90</v>
      </c>
      <c r="E997" s="1" t="s">
        <v>94</v>
      </c>
      <c r="F997" s="1" t="s">
        <v>33</v>
      </c>
      <c r="G997">
        <v>152328</v>
      </c>
      <c r="H997" s="1" t="s">
        <v>1937</v>
      </c>
      <c r="I997" s="2"/>
      <c r="K997">
        <v>2.2999999999999998</v>
      </c>
      <c r="L997" s="1" t="s">
        <v>29</v>
      </c>
      <c r="M997" s="1" t="s">
        <v>69</v>
      </c>
    </row>
    <row r="998" spans="1:13" x14ac:dyDescent="0.25">
      <c r="A998" s="1" t="s">
        <v>1938</v>
      </c>
      <c r="B998" s="1" t="s">
        <v>80</v>
      </c>
      <c r="C998" s="1" t="s">
        <v>662</v>
      </c>
      <c r="D998" s="1" t="s">
        <v>25</v>
      </c>
      <c r="E998" s="1" t="s">
        <v>61</v>
      </c>
      <c r="F998" s="1" t="s">
        <v>18</v>
      </c>
      <c r="G998">
        <v>461939</v>
      </c>
      <c r="H998" s="1" t="s">
        <v>769</v>
      </c>
      <c r="I998" s="2">
        <v>45103</v>
      </c>
      <c r="J998">
        <v>39</v>
      </c>
      <c r="L998" s="1" t="s">
        <v>29</v>
      </c>
      <c r="M998" s="1" t="s">
        <v>30</v>
      </c>
    </row>
    <row r="999" spans="1:13" x14ac:dyDescent="0.25">
      <c r="A999" s="1" t="s">
        <v>1939</v>
      </c>
      <c r="B999" s="1" t="s">
        <v>37</v>
      </c>
      <c r="C999" s="1" t="s">
        <v>449</v>
      </c>
      <c r="D999" s="1" t="s">
        <v>90</v>
      </c>
      <c r="E999" s="1" t="s">
        <v>94</v>
      </c>
      <c r="F999" s="1" t="s">
        <v>18</v>
      </c>
      <c r="G999">
        <v>13208</v>
      </c>
      <c r="H999" s="1" t="s">
        <v>1446</v>
      </c>
      <c r="I999" s="2">
        <v>45494</v>
      </c>
      <c r="J999">
        <v>18</v>
      </c>
      <c r="K999">
        <v>8.8000000000000007</v>
      </c>
      <c r="L999" s="1" t="s">
        <v>20</v>
      </c>
      <c r="M999" s="1" t="s">
        <v>149</v>
      </c>
    </row>
    <row r="1000" spans="1:13" x14ac:dyDescent="0.25">
      <c r="A1000" s="1" t="s">
        <v>1940</v>
      </c>
      <c r="B1000" s="1" t="s">
        <v>109</v>
      </c>
      <c r="C1000" s="1" t="s">
        <v>151</v>
      </c>
      <c r="D1000" s="1" t="s">
        <v>46</v>
      </c>
      <c r="E1000" s="1" t="s">
        <v>94</v>
      </c>
      <c r="F1000" s="1" t="s">
        <v>40</v>
      </c>
      <c r="G1000">
        <v>423092</v>
      </c>
      <c r="H1000" s="1" t="s">
        <v>1941</v>
      </c>
      <c r="I1000" s="2">
        <v>45853</v>
      </c>
      <c r="J1000">
        <v>144</v>
      </c>
      <c r="K1000">
        <v>20.7</v>
      </c>
      <c r="L1000" s="1" t="s">
        <v>29</v>
      </c>
      <c r="M1000" s="1" t="s">
        <v>63</v>
      </c>
    </row>
    <row r="1001" spans="1:13" x14ac:dyDescent="0.25">
      <c r="A1001" s="1" t="s">
        <v>1942</v>
      </c>
      <c r="B1001" s="1" t="s">
        <v>59</v>
      </c>
      <c r="C1001" s="1" t="s">
        <v>1352</v>
      </c>
      <c r="D1001" s="1" t="s">
        <v>16</v>
      </c>
      <c r="E1001" s="1" t="s">
        <v>94</v>
      </c>
      <c r="F1001" s="1" t="s">
        <v>53</v>
      </c>
      <c r="G1001">
        <v>33075</v>
      </c>
      <c r="H1001" s="1" t="s">
        <v>1154</v>
      </c>
      <c r="I1001" s="2"/>
      <c r="K1001">
        <v>2.9</v>
      </c>
      <c r="L1001" s="1" t="s">
        <v>20</v>
      </c>
      <c r="M1001" s="1" t="s">
        <v>30</v>
      </c>
    </row>
    <row r="1002" spans="1:13" x14ac:dyDescent="0.25">
      <c r="A1002" s="1" t="s">
        <v>1943</v>
      </c>
      <c r="B1002" s="1" t="s">
        <v>88</v>
      </c>
      <c r="C1002" s="1" t="s">
        <v>614</v>
      </c>
      <c r="D1002" s="1" t="s">
        <v>16</v>
      </c>
      <c r="E1002" s="1" t="s">
        <v>100</v>
      </c>
      <c r="F1002" s="1" t="s">
        <v>18</v>
      </c>
      <c r="G1002">
        <v>405034</v>
      </c>
      <c r="H1002" s="1" t="s">
        <v>1944</v>
      </c>
      <c r="I1002" s="2">
        <v>45250</v>
      </c>
      <c r="J1002">
        <v>86</v>
      </c>
      <c r="K1002">
        <v>3.1</v>
      </c>
      <c r="L1002" s="1" t="s">
        <v>29</v>
      </c>
      <c r="M1002" s="1" t="s">
        <v>102</v>
      </c>
    </row>
    <row r="1003" spans="1:13" x14ac:dyDescent="0.25">
      <c r="A1003" s="1" t="s">
        <v>1945</v>
      </c>
      <c r="B1003" s="1" t="s">
        <v>98</v>
      </c>
      <c r="C1003" s="1" t="s">
        <v>267</v>
      </c>
      <c r="D1003" s="1" t="s">
        <v>67</v>
      </c>
      <c r="E1003" s="1" t="s">
        <v>26</v>
      </c>
      <c r="F1003" s="1" t="s">
        <v>53</v>
      </c>
      <c r="G1003">
        <v>475818</v>
      </c>
      <c r="H1003" s="1" t="s">
        <v>1946</v>
      </c>
      <c r="I1003" s="2"/>
      <c r="L1003" s="1" t="s">
        <v>96</v>
      </c>
      <c r="M1003" s="1" t="s">
        <v>102</v>
      </c>
    </row>
    <row r="1004" spans="1:13" x14ac:dyDescent="0.25">
      <c r="A1004" s="1" t="s">
        <v>1947</v>
      </c>
      <c r="B1004" s="1" t="s">
        <v>98</v>
      </c>
      <c r="C1004" s="1" t="s">
        <v>174</v>
      </c>
      <c r="D1004" s="1" t="s">
        <v>46</v>
      </c>
      <c r="E1004" s="1" t="s">
        <v>26</v>
      </c>
      <c r="F1004" s="1" t="s">
        <v>18</v>
      </c>
      <c r="G1004">
        <v>394010</v>
      </c>
      <c r="H1004" s="1" t="s">
        <v>1504</v>
      </c>
      <c r="I1004" s="2">
        <v>45342</v>
      </c>
      <c r="J1004">
        <v>98</v>
      </c>
      <c r="K1004">
        <v>13.1</v>
      </c>
      <c r="L1004" s="1" t="s">
        <v>29</v>
      </c>
      <c r="M1004" s="1" t="s">
        <v>21</v>
      </c>
    </row>
    <row r="1005" spans="1:13" x14ac:dyDescent="0.25">
      <c r="A1005" s="1" t="s">
        <v>1948</v>
      </c>
      <c r="B1005" s="1" t="s">
        <v>65</v>
      </c>
      <c r="C1005" s="1" t="s">
        <v>1090</v>
      </c>
      <c r="D1005" s="1" t="s">
        <v>67</v>
      </c>
      <c r="E1005" s="1" t="s">
        <v>94</v>
      </c>
      <c r="F1005" s="1" t="s">
        <v>53</v>
      </c>
      <c r="G1005">
        <v>323646</v>
      </c>
      <c r="H1005" s="1" t="s">
        <v>209</v>
      </c>
      <c r="I1005" s="2"/>
      <c r="L1005" s="1" t="s">
        <v>49</v>
      </c>
      <c r="M1005" s="1" t="s">
        <v>102</v>
      </c>
    </row>
    <row r="1006" spans="1:13" x14ac:dyDescent="0.25">
      <c r="A1006" s="1" t="s">
        <v>1949</v>
      </c>
      <c r="B1006" s="1" t="s">
        <v>44</v>
      </c>
      <c r="C1006" s="1" t="s">
        <v>247</v>
      </c>
      <c r="D1006" s="1" t="s">
        <v>90</v>
      </c>
      <c r="E1006" s="1" t="s">
        <v>77</v>
      </c>
      <c r="F1006" s="1" t="s">
        <v>27</v>
      </c>
      <c r="G1006">
        <v>446328</v>
      </c>
      <c r="H1006" s="1" t="s">
        <v>1950</v>
      </c>
      <c r="I1006" s="2"/>
      <c r="L1006" s="1" t="s">
        <v>29</v>
      </c>
      <c r="M1006" s="1" t="s">
        <v>107</v>
      </c>
    </row>
    <row r="1007" spans="1:13" x14ac:dyDescent="0.25">
      <c r="A1007" s="1" t="s">
        <v>1951</v>
      </c>
      <c r="B1007" s="1" t="s">
        <v>65</v>
      </c>
      <c r="C1007" s="1" t="s">
        <v>227</v>
      </c>
      <c r="D1007" s="1" t="s">
        <v>16</v>
      </c>
      <c r="E1007" s="1" t="s">
        <v>26</v>
      </c>
      <c r="F1007" s="1" t="s">
        <v>40</v>
      </c>
      <c r="G1007">
        <v>11617</v>
      </c>
      <c r="H1007" s="1" t="s">
        <v>1952</v>
      </c>
      <c r="I1007" s="2">
        <v>45759</v>
      </c>
      <c r="J1007">
        <v>117</v>
      </c>
      <c r="K1007">
        <v>22.2</v>
      </c>
      <c r="L1007" s="1" t="s">
        <v>29</v>
      </c>
      <c r="M1007" s="1" t="s">
        <v>42</v>
      </c>
    </row>
    <row r="1008" spans="1:13" x14ac:dyDescent="0.25">
      <c r="A1008" s="1" t="s">
        <v>1953</v>
      </c>
      <c r="B1008" s="1" t="s">
        <v>88</v>
      </c>
      <c r="C1008" s="1" t="s">
        <v>208</v>
      </c>
      <c r="D1008" s="1" t="s">
        <v>90</v>
      </c>
      <c r="E1008" s="1" t="s">
        <v>72</v>
      </c>
      <c r="F1008" s="1" t="s">
        <v>53</v>
      </c>
      <c r="G1008">
        <v>299552</v>
      </c>
      <c r="H1008" s="1" t="s">
        <v>1954</v>
      </c>
      <c r="I1008" s="2"/>
      <c r="L1008" s="1" t="s">
        <v>49</v>
      </c>
      <c r="M1008" s="1" t="s">
        <v>107</v>
      </c>
    </row>
    <row r="1009" spans="1:13" x14ac:dyDescent="0.25">
      <c r="A1009" s="1" t="s">
        <v>1955</v>
      </c>
      <c r="B1009" s="1" t="s">
        <v>65</v>
      </c>
      <c r="C1009" s="1" t="s">
        <v>625</v>
      </c>
      <c r="D1009" s="1" t="s">
        <v>25</v>
      </c>
      <c r="E1009" s="1" t="s">
        <v>17</v>
      </c>
      <c r="F1009" s="1" t="s">
        <v>53</v>
      </c>
      <c r="G1009">
        <v>275194</v>
      </c>
      <c r="H1009" s="1" t="s">
        <v>1173</v>
      </c>
      <c r="I1009" s="2"/>
      <c r="L1009" s="1" t="s">
        <v>49</v>
      </c>
      <c r="M1009" s="1" t="s">
        <v>107</v>
      </c>
    </row>
    <row r="1010" spans="1:13" x14ac:dyDescent="0.25">
      <c r="A1010" s="1" t="s">
        <v>1956</v>
      </c>
      <c r="B1010" s="1" t="s">
        <v>98</v>
      </c>
      <c r="C1010" s="1" t="s">
        <v>987</v>
      </c>
      <c r="D1010" s="1" t="s">
        <v>39</v>
      </c>
      <c r="E1010" s="1" t="s">
        <v>100</v>
      </c>
      <c r="F1010" s="1" t="s">
        <v>129</v>
      </c>
      <c r="G1010">
        <v>203014</v>
      </c>
      <c r="H1010" s="1" t="s">
        <v>1957</v>
      </c>
      <c r="I1010" s="2"/>
      <c r="K1010">
        <v>12.1</v>
      </c>
      <c r="L1010" s="1" t="s">
        <v>96</v>
      </c>
      <c r="M1010" s="1" t="s">
        <v>42</v>
      </c>
    </row>
    <row r="1011" spans="1:13" x14ac:dyDescent="0.25">
      <c r="A1011" s="1" t="s">
        <v>1958</v>
      </c>
      <c r="B1011" s="1" t="s">
        <v>80</v>
      </c>
      <c r="C1011" s="1" t="s">
        <v>346</v>
      </c>
      <c r="D1011" s="1" t="s">
        <v>67</v>
      </c>
      <c r="E1011" s="1" t="s">
        <v>94</v>
      </c>
      <c r="F1011" s="1" t="s">
        <v>18</v>
      </c>
      <c r="G1011">
        <v>67070</v>
      </c>
      <c r="H1011" s="1" t="s">
        <v>1490</v>
      </c>
      <c r="I1011" s="2">
        <v>45380</v>
      </c>
      <c r="J1011">
        <v>143</v>
      </c>
      <c r="K1011">
        <v>14.9</v>
      </c>
      <c r="L1011" s="1" t="s">
        <v>29</v>
      </c>
      <c r="M1011" s="1" t="s">
        <v>21</v>
      </c>
    </row>
    <row r="1012" spans="1:13" x14ac:dyDescent="0.25">
      <c r="A1012" s="1" t="s">
        <v>1959</v>
      </c>
      <c r="B1012" s="1" t="s">
        <v>88</v>
      </c>
      <c r="C1012" s="1" t="s">
        <v>60</v>
      </c>
      <c r="D1012" s="1" t="s">
        <v>67</v>
      </c>
      <c r="E1012" s="1" t="s">
        <v>26</v>
      </c>
      <c r="F1012" s="1" t="s">
        <v>53</v>
      </c>
      <c r="G1012">
        <v>136734</v>
      </c>
      <c r="H1012" s="1" t="s">
        <v>262</v>
      </c>
      <c r="I1012" s="2"/>
      <c r="K1012">
        <v>1.7</v>
      </c>
      <c r="L1012" s="1" t="s">
        <v>29</v>
      </c>
      <c r="M1012" s="1" t="s">
        <v>42</v>
      </c>
    </row>
    <row r="1013" spans="1:13" x14ac:dyDescent="0.25">
      <c r="A1013" s="1" t="s">
        <v>1960</v>
      </c>
      <c r="B1013" s="1" t="s">
        <v>65</v>
      </c>
      <c r="C1013" s="1" t="s">
        <v>747</v>
      </c>
      <c r="D1013" s="1" t="s">
        <v>90</v>
      </c>
      <c r="E1013" s="1" t="s">
        <v>47</v>
      </c>
      <c r="F1013" s="1" t="s">
        <v>40</v>
      </c>
      <c r="G1013">
        <v>297080</v>
      </c>
      <c r="H1013" s="1" t="s">
        <v>1961</v>
      </c>
      <c r="I1013" s="2">
        <v>45121</v>
      </c>
      <c r="J1013">
        <v>175</v>
      </c>
      <c r="K1013">
        <v>21.6</v>
      </c>
      <c r="L1013" s="1" t="s">
        <v>20</v>
      </c>
      <c r="M1013" s="1" t="s">
        <v>35</v>
      </c>
    </row>
    <row r="1014" spans="1:13" x14ac:dyDescent="0.25">
      <c r="A1014" s="1" t="s">
        <v>1962</v>
      </c>
      <c r="B1014" s="1" t="s">
        <v>44</v>
      </c>
      <c r="C1014" s="1" t="s">
        <v>1083</v>
      </c>
      <c r="D1014" s="1" t="s">
        <v>67</v>
      </c>
      <c r="E1014" s="1" t="s">
        <v>100</v>
      </c>
      <c r="F1014" s="1" t="s">
        <v>40</v>
      </c>
      <c r="G1014">
        <v>493760</v>
      </c>
      <c r="H1014" s="1" t="s">
        <v>645</v>
      </c>
      <c r="I1014" s="2">
        <v>45019</v>
      </c>
      <c r="J1014">
        <v>53</v>
      </c>
      <c r="K1014">
        <v>20.8</v>
      </c>
      <c r="L1014" s="1" t="s">
        <v>20</v>
      </c>
      <c r="M1014" s="1" t="s">
        <v>35</v>
      </c>
    </row>
    <row r="1015" spans="1:13" x14ac:dyDescent="0.25">
      <c r="A1015" s="1" t="s">
        <v>1963</v>
      </c>
      <c r="B1015" s="1" t="s">
        <v>37</v>
      </c>
      <c r="C1015" s="1" t="s">
        <v>1087</v>
      </c>
      <c r="D1015" s="1" t="s">
        <v>90</v>
      </c>
      <c r="E1015" s="1" t="s">
        <v>17</v>
      </c>
      <c r="F1015" s="1" t="s">
        <v>40</v>
      </c>
      <c r="G1015">
        <v>35601</v>
      </c>
      <c r="H1015" s="1" t="s">
        <v>712</v>
      </c>
      <c r="I1015" s="2">
        <v>45481</v>
      </c>
      <c r="J1015">
        <v>70</v>
      </c>
      <c r="K1015">
        <v>10.9</v>
      </c>
      <c r="L1015" s="1" t="s">
        <v>29</v>
      </c>
      <c r="M1015" s="1" t="s">
        <v>107</v>
      </c>
    </row>
    <row r="1016" spans="1:13" x14ac:dyDescent="0.25">
      <c r="A1016" s="1" t="s">
        <v>1964</v>
      </c>
      <c r="B1016" s="1" t="s">
        <v>80</v>
      </c>
      <c r="C1016" s="1" t="s">
        <v>849</v>
      </c>
      <c r="D1016" s="1" t="s">
        <v>67</v>
      </c>
      <c r="E1016" s="1" t="s">
        <v>94</v>
      </c>
      <c r="F1016" s="1" t="s">
        <v>40</v>
      </c>
      <c r="G1016">
        <v>372970</v>
      </c>
      <c r="H1016" s="1" t="s">
        <v>963</v>
      </c>
      <c r="I1016" s="2">
        <v>45297</v>
      </c>
      <c r="J1016">
        <v>102</v>
      </c>
      <c r="K1016">
        <v>14.9</v>
      </c>
      <c r="L1016" s="1" t="s">
        <v>29</v>
      </c>
      <c r="M1016" s="1" t="s">
        <v>102</v>
      </c>
    </row>
    <row r="1017" spans="1:13" x14ac:dyDescent="0.25">
      <c r="A1017" s="1" t="s">
        <v>1965</v>
      </c>
      <c r="B1017" s="1" t="s">
        <v>14</v>
      </c>
      <c r="C1017" s="1" t="s">
        <v>45</v>
      </c>
      <c r="D1017" s="1" t="s">
        <v>39</v>
      </c>
      <c r="E1017" s="1" t="s">
        <v>61</v>
      </c>
      <c r="F1017" s="1" t="s">
        <v>18</v>
      </c>
      <c r="G1017">
        <v>288260</v>
      </c>
      <c r="H1017" s="1" t="s">
        <v>404</v>
      </c>
      <c r="I1017" s="2">
        <v>45667</v>
      </c>
      <c r="J1017">
        <v>176</v>
      </c>
      <c r="K1017">
        <v>9.5</v>
      </c>
      <c r="L1017" s="1" t="s">
        <v>96</v>
      </c>
      <c r="M1017" s="1" t="s">
        <v>149</v>
      </c>
    </row>
    <row r="1018" spans="1:13" x14ac:dyDescent="0.25">
      <c r="A1018" s="1" t="s">
        <v>1966</v>
      </c>
      <c r="B1018" s="1" t="s">
        <v>98</v>
      </c>
      <c r="C1018" s="1" t="s">
        <v>85</v>
      </c>
      <c r="D1018" s="1" t="s">
        <v>90</v>
      </c>
      <c r="E1018" s="1" t="s">
        <v>77</v>
      </c>
      <c r="F1018" s="1" t="s">
        <v>40</v>
      </c>
      <c r="G1018">
        <v>178640</v>
      </c>
      <c r="H1018" s="1" t="s">
        <v>265</v>
      </c>
      <c r="I1018" s="2">
        <v>45114</v>
      </c>
      <c r="J1018">
        <v>41</v>
      </c>
      <c r="K1018">
        <v>0.1</v>
      </c>
      <c r="L1018" s="1" t="s">
        <v>96</v>
      </c>
      <c r="M1018" s="1" t="s">
        <v>30</v>
      </c>
    </row>
    <row r="1019" spans="1:13" x14ac:dyDescent="0.25">
      <c r="A1019" s="1" t="s">
        <v>1967</v>
      </c>
      <c r="B1019" s="1" t="s">
        <v>84</v>
      </c>
      <c r="C1019" s="1" t="s">
        <v>693</v>
      </c>
      <c r="D1019" s="1" t="s">
        <v>39</v>
      </c>
      <c r="E1019" s="1" t="s">
        <v>61</v>
      </c>
      <c r="F1019" s="1" t="s">
        <v>27</v>
      </c>
      <c r="G1019">
        <v>183325</v>
      </c>
      <c r="H1019" s="1" t="s">
        <v>981</v>
      </c>
      <c r="I1019" s="2"/>
      <c r="K1019">
        <v>5.3</v>
      </c>
      <c r="L1019" s="1" t="s">
        <v>29</v>
      </c>
      <c r="M1019" s="1" t="s">
        <v>107</v>
      </c>
    </row>
    <row r="1020" spans="1:13" x14ac:dyDescent="0.25">
      <c r="A1020" s="1" t="s">
        <v>1968</v>
      </c>
      <c r="B1020" s="1" t="s">
        <v>59</v>
      </c>
      <c r="C1020" s="1" t="s">
        <v>292</v>
      </c>
      <c r="D1020" s="1" t="s">
        <v>67</v>
      </c>
      <c r="E1020" s="1" t="s">
        <v>17</v>
      </c>
      <c r="F1020" s="1" t="s">
        <v>27</v>
      </c>
      <c r="G1020">
        <v>82624</v>
      </c>
      <c r="H1020" s="1" t="s">
        <v>725</v>
      </c>
      <c r="I1020" s="2"/>
      <c r="K1020">
        <v>5.7</v>
      </c>
      <c r="L1020" s="1" t="s">
        <v>20</v>
      </c>
      <c r="M1020" s="1" t="s">
        <v>21</v>
      </c>
    </row>
    <row r="1021" spans="1:13" x14ac:dyDescent="0.25">
      <c r="A1021" s="1" t="s">
        <v>1969</v>
      </c>
      <c r="B1021" s="1" t="s">
        <v>14</v>
      </c>
      <c r="C1021" s="1" t="s">
        <v>147</v>
      </c>
      <c r="D1021" s="1" t="s">
        <v>67</v>
      </c>
      <c r="E1021" s="1" t="s">
        <v>77</v>
      </c>
      <c r="F1021" s="1" t="s">
        <v>129</v>
      </c>
      <c r="G1021">
        <v>393998</v>
      </c>
      <c r="H1021" s="1" t="s">
        <v>484</v>
      </c>
      <c r="I1021" s="2"/>
      <c r="K1021">
        <v>12.6</v>
      </c>
      <c r="L1021" s="1" t="s">
        <v>20</v>
      </c>
      <c r="M1021" s="1" t="s">
        <v>35</v>
      </c>
    </row>
    <row r="1022" spans="1:13" x14ac:dyDescent="0.25">
      <c r="A1022" s="1" t="s">
        <v>1970</v>
      </c>
      <c r="B1022" s="1" t="s">
        <v>84</v>
      </c>
      <c r="C1022" s="1" t="s">
        <v>1339</v>
      </c>
      <c r="D1022" s="1" t="s">
        <v>25</v>
      </c>
      <c r="E1022" s="1" t="s">
        <v>17</v>
      </c>
      <c r="F1022" s="1" t="s">
        <v>27</v>
      </c>
      <c r="G1022">
        <v>235181</v>
      </c>
      <c r="H1022" s="1" t="s">
        <v>1971</v>
      </c>
      <c r="I1022" s="2"/>
      <c r="K1022">
        <v>3.7</v>
      </c>
      <c r="L1022" s="1" t="s">
        <v>96</v>
      </c>
      <c r="M1022" s="1" t="s">
        <v>42</v>
      </c>
    </row>
    <row r="1023" spans="1:13" x14ac:dyDescent="0.25">
      <c r="A1023" s="1" t="s">
        <v>1972</v>
      </c>
      <c r="B1023" s="1" t="s">
        <v>88</v>
      </c>
      <c r="C1023" s="1" t="s">
        <v>1136</v>
      </c>
      <c r="D1023" s="1" t="s">
        <v>39</v>
      </c>
      <c r="E1023" s="1" t="s">
        <v>100</v>
      </c>
      <c r="F1023" s="1" t="s">
        <v>53</v>
      </c>
      <c r="G1023">
        <v>145071</v>
      </c>
      <c r="H1023" s="1" t="s">
        <v>57</v>
      </c>
      <c r="I1023" s="2"/>
      <c r="L1023" s="1" t="s">
        <v>20</v>
      </c>
      <c r="M1023" s="1" t="s">
        <v>42</v>
      </c>
    </row>
    <row r="1024" spans="1:13" x14ac:dyDescent="0.25">
      <c r="A1024" s="1" t="s">
        <v>1973</v>
      </c>
      <c r="B1024" s="1" t="s">
        <v>173</v>
      </c>
      <c r="C1024" s="1" t="s">
        <v>711</v>
      </c>
      <c r="D1024" s="1" t="s">
        <v>67</v>
      </c>
      <c r="E1024" s="1" t="s">
        <v>77</v>
      </c>
      <c r="F1024" s="1" t="s">
        <v>33</v>
      </c>
      <c r="G1024">
        <v>154454</v>
      </c>
      <c r="H1024" s="1" t="s">
        <v>647</v>
      </c>
      <c r="I1024" s="2"/>
      <c r="L1024" s="1" t="s">
        <v>96</v>
      </c>
      <c r="M1024" s="1" t="s">
        <v>42</v>
      </c>
    </row>
    <row r="1025" spans="1:13" x14ac:dyDescent="0.25">
      <c r="A1025" s="1" t="s">
        <v>1974</v>
      </c>
      <c r="B1025" s="1" t="s">
        <v>173</v>
      </c>
      <c r="C1025" s="1" t="s">
        <v>640</v>
      </c>
      <c r="D1025" s="1" t="s">
        <v>39</v>
      </c>
      <c r="E1025" s="1" t="s">
        <v>94</v>
      </c>
      <c r="F1025" s="1" t="s">
        <v>53</v>
      </c>
      <c r="G1025">
        <v>206789</v>
      </c>
      <c r="H1025" s="1" t="s">
        <v>62</v>
      </c>
      <c r="I1025" s="2"/>
      <c r="K1025">
        <v>14.6</v>
      </c>
      <c r="L1025" s="1" t="s">
        <v>49</v>
      </c>
      <c r="M1025" s="1" t="s">
        <v>63</v>
      </c>
    </row>
    <row r="1026" spans="1:13" x14ac:dyDescent="0.25">
      <c r="A1026" s="1" t="s">
        <v>1975</v>
      </c>
      <c r="B1026" s="1" t="s">
        <v>88</v>
      </c>
      <c r="C1026" s="1" t="s">
        <v>1204</v>
      </c>
      <c r="D1026" s="1" t="s">
        <v>25</v>
      </c>
      <c r="E1026" s="1" t="s">
        <v>94</v>
      </c>
      <c r="F1026" s="1" t="s">
        <v>33</v>
      </c>
      <c r="G1026">
        <v>236341</v>
      </c>
      <c r="H1026" s="1" t="s">
        <v>375</v>
      </c>
      <c r="I1026" s="2"/>
      <c r="K1026">
        <v>13.3</v>
      </c>
      <c r="L1026" s="1" t="s">
        <v>49</v>
      </c>
      <c r="M1026" s="1" t="s">
        <v>102</v>
      </c>
    </row>
    <row r="1027" spans="1:13" x14ac:dyDescent="0.25">
      <c r="A1027" s="1" t="s">
        <v>1976</v>
      </c>
      <c r="B1027" s="1" t="s">
        <v>44</v>
      </c>
      <c r="C1027" s="1" t="s">
        <v>505</v>
      </c>
      <c r="D1027" s="1" t="s">
        <v>39</v>
      </c>
      <c r="E1027" s="1" t="s">
        <v>47</v>
      </c>
      <c r="F1027" s="1" t="s">
        <v>129</v>
      </c>
      <c r="G1027">
        <v>69212</v>
      </c>
      <c r="H1027" s="1" t="s">
        <v>1977</v>
      </c>
      <c r="I1027" s="2"/>
      <c r="K1027">
        <v>11.9</v>
      </c>
      <c r="L1027" s="1" t="s">
        <v>20</v>
      </c>
      <c r="M1027" s="1" t="s">
        <v>107</v>
      </c>
    </row>
    <row r="1028" spans="1:13" x14ac:dyDescent="0.25">
      <c r="A1028" s="1" t="s">
        <v>1978</v>
      </c>
      <c r="B1028" s="1" t="s">
        <v>65</v>
      </c>
      <c r="C1028" s="1" t="s">
        <v>346</v>
      </c>
      <c r="D1028" s="1" t="s">
        <v>46</v>
      </c>
      <c r="E1028" s="1" t="s">
        <v>100</v>
      </c>
      <c r="F1028" s="1" t="s">
        <v>53</v>
      </c>
      <c r="G1028">
        <v>247071</v>
      </c>
      <c r="H1028" s="1" t="s">
        <v>111</v>
      </c>
      <c r="I1028" s="2"/>
      <c r="K1028">
        <v>3.2</v>
      </c>
      <c r="L1028" s="1" t="s">
        <v>49</v>
      </c>
      <c r="M1028" s="1" t="s">
        <v>63</v>
      </c>
    </row>
    <row r="1029" spans="1:13" x14ac:dyDescent="0.25">
      <c r="A1029" s="1" t="s">
        <v>1979</v>
      </c>
      <c r="B1029" s="1" t="s">
        <v>51</v>
      </c>
      <c r="C1029" s="1" t="s">
        <v>308</v>
      </c>
      <c r="D1029" s="1" t="s">
        <v>67</v>
      </c>
      <c r="E1029" s="1" t="s">
        <v>17</v>
      </c>
      <c r="F1029" s="1" t="s">
        <v>33</v>
      </c>
      <c r="G1029">
        <v>236819</v>
      </c>
      <c r="H1029" s="1" t="s">
        <v>1718</v>
      </c>
      <c r="I1029" s="2"/>
      <c r="K1029">
        <v>1.9</v>
      </c>
      <c r="L1029" s="1" t="s">
        <v>29</v>
      </c>
      <c r="M1029" s="1" t="s">
        <v>35</v>
      </c>
    </row>
    <row r="1030" spans="1:13" x14ac:dyDescent="0.25">
      <c r="A1030" s="1" t="s">
        <v>1980</v>
      </c>
      <c r="B1030" s="1" t="s">
        <v>37</v>
      </c>
      <c r="C1030" s="1" t="s">
        <v>967</v>
      </c>
      <c r="D1030" s="1" t="s">
        <v>16</v>
      </c>
      <c r="E1030" s="1" t="s">
        <v>94</v>
      </c>
      <c r="F1030" s="1" t="s">
        <v>18</v>
      </c>
      <c r="G1030">
        <v>405260</v>
      </c>
      <c r="H1030" s="1" t="s">
        <v>169</v>
      </c>
      <c r="I1030" s="2">
        <v>45126</v>
      </c>
      <c r="J1030">
        <v>43</v>
      </c>
      <c r="K1030">
        <v>5</v>
      </c>
      <c r="L1030" s="1" t="s">
        <v>49</v>
      </c>
      <c r="M1030" s="1" t="s">
        <v>30</v>
      </c>
    </row>
    <row r="1031" spans="1:13" x14ac:dyDescent="0.25">
      <c r="A1031" s="1" t="s">
        <v>1981</v>
      </c>
      <c r="B1031" s="1" t="s">
        <v>51</v>
      </c>
      <c r="C1031" s="1" t="s">
        <v>300</v>
      </c>
      <c r="D1031" s="1" t="s">
        <v>67</v>
      </c>
      <c r="E1031" s="1" t="s">
        <v>94</v>
      </c>
      <c r="F1031" s="1" t="s">
        <v>53</v>
      </c>
      <c r="G1031">
        <v>367655</v>
      </c>
      <c r="H1031" s="1" t="s">
        <v>1982</v>
      </c>
      <c r="I1031" s="2"/>
      <c r="K1031">
        <v>5.4</v>
      </c>
      <c r="L1031" s="1" t="s">
        <v>20</v>
      </c>
      <c r="M1031" s="1" t="s">
        <v>107</v>
      </c>
    </row>
    <row r="1032" spans="1:13" x14ac:dyDescent="0.25">
      <c r="A1032" s="1" t="s">
        <v>1983</v>
      </c>
      <c r="B1032" s="1" t="s">
        <v>65</v>
      </c>
      <c r="C1032" s="1" t="s">
        <v>1043</v>
      </c>
      <c r="D1032" s="1" t="s">
        <v>16</v>
      </c>
      <c r="E1032" s="1" t="s">
        <v>17</v>
      </c>
      <c r="F1032" s="1" t="s">
        <v>18</v>
      </c>
      <c r="G1032">
        <v>26056</v>
      </c>
      <c r="H1032" s="1" t="s">
        <v>225</v>
      </c>
      <c r="I1032" s="2">
        <v>45707</v>
      </c>
      <c r="J1032">
        <v>175</v>
      </c>
      <c r="K1032">
        <v>5.0999999999999996</v>
      </c>
      <c r="L1032" s="1" t="s">
        <v>20</v>
      </c>
      <c r="M1032" s="1" t="s">
        <v>149</v>
      </c>
    </row>
    <row r="1033" spans="1:13" x14ac:dyDescent="0.25">
      <c r="A1033" s="1" t="s">
        <v>1984</v>
      </c>
      <c r="B1033" s="1" t="s">
        <v>88</v>
      </c>
      <c r="C1033" s="1" t="s">
        <v>119</v>
      </c>
      <c r="D1033" s="1" t="s">
        <v>46</v>
      </c>
      <c r="E1033" s="1" t="s">
        <v>61</v>
      </c>
      <c r="F1033" s="1" t="s">
        <v>53</v>
      </c>
      <c r="G1033">
        <v>176590</v>
      </c>
      <c r="H1033" s="1" t="s">
        <v>1098</v>
      </c>
      <c r="I1033" s="2"/>
      <c r="K1033">
        <v>10.5</v>
      </c>
      <c r="L1033" s="1" t="s">
        <v>20</v>
      </c>
      <c r="M1033" s="1" t="s">
        <v>42</v>
      </c>
    </row>
    <row r="1034" spans="1:13" x14ac:dyDescent="0.25">
      <c r="A1034" s="1" t="s">
        <v>1985</v>
      </c>
      <c r="B1034" s="1" t="s">
        <v>23</v>
      </c>
      <c r="C1034" s="1" t="s">
        <v>797</v>
      </c>
      <c r="D1034" s="1" t="s">
        <v>16</v>
      </c>
      <c r="E1034" s="1" t="s">
        <v>47</v>
      </c>
      <c r="F1034" s="1" t="s">
        <v>40</v>
      </c>
      <c r="G1034">
        <v>72097</v>
      </c>
      <c r="H1034" s="1" t="s">
        <v>569</v>
      </c>
      <c r="I1034" s="2">
        <v>45165</v>
      </c>
      <c r="J1034">
        <v>114</v>
      </c>
      <c r="K1034">
        <v>0.6</v>
      </c>
      <c r="L1034" s="1" t="s">
        <v>29</v>
      </c>
      <c r="M1034" s="1" t="s">
        <v>30</v>
      </c>
    </row>
    <row r="1035" spans="1:13" x14ac:dyDescent="0.25">
      <c r="A1035" s="1" t="s">
        <v>1986</v>
      </c>
      <c r="B1035" s="1" t="s">
        <v>109</v>
      </c>
      <c r="C1035" s="1" t="s">
        <v>977</v>
      </c>
      <c r="D1035" s="1" t="s">
        <v>25</v>
      </c>
      <c r="E1035" s="1" t="s">
        <v>77</v>
      </c>
      <c r="F1035" s="1" t="s">
        <v>53</v>
      </c>
      <c r="G1035">
        <v>106421</v>
      </c>
      <c r="H1035" s="1" t="s">
        <v>706</v>
      </c>
      <c r="I1035" s="2"/>
      <c r="L1035" s="1" t="s">
        <v>49</v>
      </c>
      <c r="M1035" s="1" t="s">
        <v>35</v>
      </c>
    </row>
    <row r="1036" spans="1:13" x14ac:dyDescent="0.25">
      <c r="A1036" s="1" t="s">
        <v>1987</v>
      </c>
      <c r="B1036" s="1" t="s">
        <v>65</v>
      </c>
      <c r="C1036" s="1" t="s">
        <v>135</v>
      </c>
      <c r="D1036" s="1" t="s">
        <v>67</v>
      </c>
      <c r="E1036" s="1" t="s">
        <v>26</v>
      </c>
      <c r="F1036" s="1" t="s">
        <v>40</v>
      </c>
      <c r="G1036">
        <v>112094</v>
      </c>
      <c r="H1036" s="1" t="s">
        <v>756</v>
      </c>
      <c r="I1036" s="2">
        <v>45067</v>
      </c>
      <c r="J1036">
        <v>34</v>
      </c>
      <c r="K1036">
        <v>19.5</v>
      </c>
      <c r="L1036" s="1" t="s">
        <v>49</v>
      </c>
      <c r="M1036" s="1" t="s">
        <v>30</v>
      </c>
    </row>
    <row r="1037" spans="1:13" x14ac:dyDescent="0.25">
      <c r="A1037" s="1" t="s">
        <v>1988</v>
      </c>
      <c r="B1037" s="1" t="s">
        <v>173</v>
      </c>
      <c r="C1037" s="1" t="s">
        <v>237</v>
      </c>
      <c r="D1037" s="1" t="s">
        <v>25</v>
      </c>
      <c r="E1037" s="1" t="s">
        <v>100</v>
      </c>
      <c r="F1037" s="1" t="s">
        <v>27</v>
      </c>
      <c r="G1037">
        <v>258072</v>
      </c>
      <c r="H1037" s="1" t="s">
        <v>700</v>
      </c>
      <c r="I1037" s="2"/>
      <c r="K1037">
        <v>0.8</v>
      </c>
      <c r="L1037" s="1" t="s">
        <v>96</v>
      </c>
      <c r="M1037" s="1" t="s">
        <v>149</v>
      </c>
    </row>
    <row r="1038" spans="1:13" x14ac:dyDescent="0.25">
      <c r="A1038" s="1" t="s">
        <v>1989</v>
      </c>
      <c r="B1038" s="1" t="s">
        <v>173</v>
      </c>
      <c r="C1038" s="1" t="s">
        <v>292</v>
      </c>
      <c r="D1038" s="1" t="s">
        <v>25</v>
      </c>
      <c r="E1038" s="1" t="s">
        <v>100</v>
      </c>
      <c r="F1038" s="1" t="s">
        <v>53</v>
      </c>
      <c r="G1038">
        <v>394544</v>
      </c>
      <c r="H1038" s="1" t="s">
        <v>1990</v>
      </c>
      <c r="I1038" s="2"/>
      <c r="K1038">
        <v>0.9</v>
      </c>
      <c r="L1038" s="1" t="s">
        <v>29</v>
      </c>
      <c r="M1038" s="1" t="s">
        <v>35</v>
      </c>
    </row>
    <row r="1039" spans="1:13" x14ac:dyDescent="0.25">
      <c r="A1039" s="1" t="s">
        <v>1991</v>
      </c>
      <c r="B1039" s="1" t="s">
        <v>80</v>
      </c>
      <c r="C1039" s="1" t="s">
        <v>852</v>
      </c>
      <c r="D1039" s="1" t="s">
        <v>67</v>
      </c>
      <c r="E1039" s="1" t="s">
        <v>72</v>
      </c>
      <c r="F1039" s="1" t="s">
        <v>40</v>
      </c>
      <c r="G1039">
        <v>70820</v>
      </c>
      <c r="H1039" s="1" t="s">
        <v>1601</v>
      </c>
      <c r="I1039" s="2">
        <v>45105</v>
      </c>
      <c r="J1039">
        <v>40</v>
      </c>
      <c r="K1039">
        <v>7.7</v>
      </c>
      <c r="L1039" s="1" t="s">
        <v>96</v>
      </c>
      <c r="M1039" s="1" t="s">
        <v>30</v>
      </c>
    </row>
    <row r="1040" spans="1:13" x14ac:dyDescent="0.25">
      <c r="A1040" s="1" t="s">
        <v>1992</v>
      </c>
      <c r="B1040" s="1" t="s">
        <v>37</v>
      </c>
      <c r="C1040" s="1" t="s">
        <v>358</v>
      </c>
      <c r="D1040" s="1" t="s">
        <v>90</v>
      </c>
      <c r="E1040" s="1" t="s">
        <v>17</v>
      </c>
      <c r="F1040" s="1" t="s">
        <v>33</v>
      </c>
      <c r="G1040">
        <v>484905</v>
      </c>
      <c r="H1040" s="1" t="s">
        <v>409</v>
      </c>
      <c r="I1040" s="2"/>
      <c r="K1040">
        <v>8.5</v>
      </c>
      <c r="L1040" s="1" t="s">
        <v>49</v>
      </c>
      <c r="M1040" s="1" t="s">
        <v>102</v>
      </c>
    </row>
    <row r="1041" spans="1:13" x14ac:dyDescent="0.25">
      <c r="A1041" s="1" t="s">
        <v>1993</v>
      </c>
      <c r="B1041" s="1" t="s">
        <v>23</v>
      </c>
      <c r="C1041" s="1" t="s">
        <v>298</v>
      </c>
      <c r="D1041" s="1" t="s">
        <v>67</v>
      </c>
      <c r="E1041" s="1" t="s">
        <v>77</v>
      </c>
      <c r="F1041" s="1" t="s">
        <v>33</v>
      </c>
      <c r="G1041">
        <v>211426</v>
      </c>
      <c r="H1041" s="1" t="s">
        <v>1994</v>
      </c>
      <c r="I1041" s="2"/>
      <c r="K1041">
        <v>1.5</v>
      </c>
      <c r="L1041" s="1" t="s">
        <v>49</v>
      </c>
      <c r="M1041" s="1" t="s">
        <v>35</v>
      </c>
    </row>
    <row r="1042" spans="1:13" x14ac:dyDescent="0.25">
      <c r="A1042" s="1" t="s">
        <v>1995</v>
      </c>
      <c r="B1042" s="1" t="s">
        <v>14</v>
      </c>
      <c r="C1042" s="1" t="s">
        <v>1235</v>
      </c>
      <c r="D1042" s="1" t="s">
        <v>39</v>
      </c>
      <c r="E1042" s="1" t="s">
        <v>100</v>
      </c>
      <c r="F1042" s="1" t="s">
        <v>33</v>
      </c>
      <c r="G1042">
        <v>338931</v>
      </c>
      <c r="H1042" s="1" t="s">
        <v>1024</v>
      </c>
      <c r="I1042" s="2"/>
      <c r="K1042">
        <v>6.7</v>
      </c>
      <c r="L1042" s="1" t="s">
        <v>29</v>
      </c>
      <c r="M1042" s="1" t="s">
        <v>107</v>
      </c>
    </row>
    <row r="1043" spans="1:13" x14ac:dyDescent="0.25">
      <c r="A1043" s="1" t="s">
        <v>1996</v>
      </c>
      <c r="B1043" s="1" t="s">
        <v>98</v>
      </c>
      <c r="C1043" s="1" t="s">
        <v>1997</v>
      </c>
      <c r="D1043" s="1" t="s">
        <v>67</v>
      </c>
      <c r="E1043" s="1" t="s">
        <v>100</v>
      </c>
      <c r="F1043" s="1" t="s">
        <v>53</v>
      </c>
      <c r="G1043">
        <v>231349</v>
      </c>
      <c r="H1043" s="1" t="s">
        <v>1998</v>
      </c>
      <c r="I1043" s="2"/>
      <c r="K1043">
        <v>15</v>
      </c>
      <c r="L1043" s="1" t="s">
        <v>49</v>
      </c>
      <c r="M1043" s="1" t="s">
        <v>107</v>
      </c>
    </row>
    <row r="1044" spans="1:13" x14ac:dyDescent="0.25">
      <c r="A1044" s="1" t="s">
        <v>1999</v>
      </c>
      <c r="B1044" s="1" t="s">
        <v>109</v>
      </c>
      <c r="C1044" s="1" t="s">
        <v>1070</v>
      </c>
      <c r="D1044" s="1" t="s">
        <v>16</v>
      </c>
      <c r="E1044" s="1" t="s">
        <v>61</v>
      </c>
      <c r="F1044" s="1" t="s">
        <v>129</v>
      </c>
      <c r="G1044">
        <v>373821</v>
      </c>
      <c r="H1044" s="1" t="s">
        <v>2000</v>
      </c>
      <c r="I1044" s="2"/>
      <c r="K1044">
        <v>5.2</v>
      </c>
      <c r="L1044" s="1" t="s">
        <v>20</v>
      </c>
      <c r="M1044" s="1" t="s">
        <v>30</v>
      </c>
    </row>
    <row r="1045" spans="1:13" x14ac:dyDescent="0.25">
      <c r="A1045" s="1" t="s">
        <v>2001</v>
      </c>
      <c r="B1045" s="1" t="s">
        <v>65</v>
      </c>
      <c r="C1045" s="1" t="s">
        <v>874</v>
      </c>
      <c r="D1045" s="1" t="s">
        <v>39</v>
      </c>
      <c r="E1045" s="1" t="s">
        <v>51</v>
      </c>
      <c r="F1045" s="1" t="s">
        <v>33</v>
      </c>
      <c r="G1045">
        <v>32667</v>
      </c>
      <c r="H1045" s="1" t="s">
        <v>638</v>
      </c>
      <c r="I1045" s="2"/>
      <c r="K1045">
        <v>6</v>
      </c>
      <c r="L1045" s="1" t="s">
        <v>49</v>
      </c>
      <c r="M1045" s="1" t="s">
        <v>102</v>
      </c>
    </row>
    <row r="1046" spans="1:13" x14ac:dyDescent="0.25">
      <c r="A1046" s="1" t="s">
        <v>2002</v>
      </c>
      <c r="B1046" s="1" t="s">
        <v>23</v>
      </c>
      <c r="C1046" s="1" t="s">
        <v>237</v>
      </c>
      <c r="D1046" s="1" t="s">
        <v>25</v>
      </c>
      <c r="E1046" s="1" t="s">
        <v>26</v>
      </c>
      <c r="F1046" s="1" t="s">
        <v>18</v>
      </c>
      <c r="G1046">
        <v>14143</v>
      </c>
      <c r="H1046" s="1" t="s">
        <v>2003</v>
      </c>
      <c r="I1046" s="2">
        <v>45638</v>
      </c>
      <c r="J1046">
        <v>171</v>
      </c>
      <c r="K1046">
        <v>10.5</v>
      </c>
      <c r="L1046" s="1" t="s">
        <v>29</v>
      </c>
      <c r="M1046" s="1" t="s">
        <v>107</v>
      </c>
    </row>
    <row r="1047" spans="1:13" x14ac:dyDescent="0.25">
      <c r="A1047" s="1" t="s">
        <v>2004</v>
      </c>
      <c r="B1047" s="1" t="s">
        <v>14</v>
      </c>
      <c r="C1047" s="1" t="s">
        <v>882</v>
      </c>
      <c r="D1047" s="1" t="s">
        <v>25</v>
      </c>
      <c r="E1047" s="1" t="s">
        <v>77</v>
      </c>
      <c r="F1047" s="1" t="s">
        <v>53</v>
      </c>
      <c r="G1047">
        <v>76519</v>
      </c>
      <c r="H1047" s="1" t="s">
        <v>171</v>
      </c>
      <c r="I1047" s="2"/>
      <c r="K1047">
        <v>1.9</v>
      </c>
      <c r="L1047" s="1" t="s">
        <v>29</v>
      </c>
      <c r="M1047" s="1" t="s">
        <v>42</v>
      </c>
    </row>
    <row r="1048" spans="1:13" x14ac:dyDescent="0.25">
      <c r="A1048" s="1" t="s">
        <v>2005</v>
      </c>
      <c r="B1048" s="1" t="s">
        <v>109</v>
      </c>
      <c r="C1048" s="1" t="s">
        <v>2006</v>
      </c>
      <c r="D1048" s="1" t="s">
        <v>16</v>
      </c>
      <c r="E1048" s="1" t="s">
        <v>26</v>
      </c>
      <c r="F1048" s="1" t="s">
        <v>40</v>
      </c>
      <c r="G1048">
        <v>327459</v>
      </c>
      <c r="H1048" s="1" t="s">
        <v>133</v>
      </c>
      <c r="I1048" s="2">
        <v>45154</v>
      </c>
      <c r="J1048">
        <v>160</v>
      </c>
      <c r="K1048">
        <v>21</v>
      </c>
      <c r="L1048" s="1" t="s">
        <v>20</v>
      </c>
      <c r="M1048" s="1" t="s">
        <v>35</v>
      </c>
    </row>
    <row r="1049" spans="1:13" x14ac:dyDescent="0.25">
      <c r="A1049" s="1" t="s">
        <v>2007</v>
      </c>
      <c r="B1049" s="1" t="s">
        <v>173</v>
      </c>
      <c r="C1049" s="1" t="s">
        <v>132</v>
      </c>
      <c r="D1049" s="1" t="s">
        <v>46</v>
      </c>
      <c r="E1049" s="1" t="s">
        <v>61</v>
      </c>
      <c r="F1049" s="1" t="s">
        <v>33</v>
      </c>
      <c r="G1049">
        <v>306386</v>
      </c>
      <c r="H1049" s="1" t="s">
        <v>526</v>
      </c>
      <c r="I1049" s="2"/>
      <c r="L1049" s="1" t="s">
        <v>20</v>
      </c>
      <c r="M1049" s="1" t="s">
        <v>35</v>
      </c>
    </row>
    <row r="1050" spans="1:13" x14ac:dyDescent="0.25">
      <c r="A1050" s="1" t="s">
        <v>2008</v>
      </c>
      <c r="B1050" s="1" t="s">
        <v>104</v>
      </c>
      <c r="C1050" s="1" t="s">
        <v>1021</v>
      </c>
      <c r="D1050" s="1" t="s">
        <v>90</v>
      </c>
      <c r="E1050" s="1" t="s">
        <v>17</v>
      </c>
      <c r="F1050" s="1" t="s">
        <v>53</v>
      </c>
      <c r="G1050">
        <v>219001</v>
      </c>
      <c r="H1050" s="1" t="s">
        <v>798</v>
      </c>
      <c r="I1050" s="2"/>
      <c r="K1050">
        <v>7.3</v>
      </c>
      <c r="L1050" s="1" t="s">
        <v>96</v>
      </c>
      <c r="M1050" s="1" t="s">
        <v>30</v>
      </c>
    </row>
    <row r="1051" spans="1:13" x14ac:dyDescent="0.25">
      <c r="A1051" s="1" t="s">
        <v>2009</v>
      </c>
      <c r="B1051" s="1" t="s">
        <v>109</v>
      </c>
      <c r="C1051" s="1" t="s">
        <v>321</v>
      </c>
      <c r="D1051" s="1" t="s">
        <v>67</v>
      </c>
      <c r="E1051" s="1" t="s">
        <v>94</v>
      </c>
      <c r="F1051" s="1" t="s">
        <v>27</v>
      </c>
      <c r="G1051">
        <v>271472</v>
      </c>
      <c r="H1051" s="1" t="s">
        <v>256</v>
      </c>
      <c r="I1051" s="2"/>
      <c r="L1051" s="1" t="s">
        <v>29</v>
      </c>
      <c r="M1051" s="1" t="s">
        <v>69</v>
      </c>
    </row>
    <row r="1052" spans="1:13" x14ac:dyDescent="0.25">
      <c r="A1052" s="1" t="s">
        <v>2010</v>
      </c>
      <c r="B1052" s="1" t="s">
        <v>80</v>
      </c>
      <c r="C1052" s="1" t="s">
        <v>737</v>
      </c>
      <c r="D1052" s="1" t="s">
        <v>39</v>
      </c>
      <c r="E1052" s="1" t="s">
        <v>100</v>
      </c>
      <c r="F1052" s="1" t="s">
        <v>40</v>
      </c>
      <c r="G1052">
        <v>381874</v>
      </c>
      <c r="H1052" s="1" t="s">
        <v>761</v>
      </c>
      <c r="I1052" s="2">
        <v>45210</v>
      </c>
      <c r="J1052">
        <v>75</v>
      </c>
      <c r="K1052">
        <v>10.4</v>
      </c>
      <c r="L1052" s="1" t="s">
        <v>29</v>
      </c>
      <c r="M1052" s="1" t="s">
        <v>102</v>
      </c>
    </row>
    <row r="1053" spans="1:13" x14ac:dyDescent="0.25">
      <c r="A1053" s="1" t="s">
        <v>2011</v>
      </c>
      <c r="B1053" s="1" t="s">
        <v>84</v>
      </c>
      <c r="C1053" s="1" t="s">
        <v>1364</v>
      </c>
      <c r="D1053" s="1" t="s">
        <v>16</v>
      </c>
      <c r="E1053" s="1" t="s">
        <v>26</v>
      </c>
      <c r="F1053" s="1" t="s">
        <v>40</v>
      </c>
      <c r="G1053">
        <v>55885</v>
      </c>
      <c r="H1053" s="1" t="s">
        <v>1504</v>
      </c>
      <c r="I1053" s="2">
        <v>45343</v>
      </c>
      <c r="J1053">
        <v>99</v>
      </c>
      <c r="K1053">
        <v>24.9</v>
      </c>
      <c r="L1053" s="1" t="s">
        <v>96</v>
      </c>
      <c r="M1053" s="1" t="s">
        <v>21</v>
      </c>
    </row>
    <row r="1054" spans="1:13" x14ac:dyDescent="0.25">
      <c r="A1054" s="1" t="s">
        <v>2012</v>
      </c>
      <c r="B1054" s="1" t="s">
        <v>23</v>
      </c>
      <c r="C1054" s="1" t="s">
        <v>1057</v>
      </c>
      <c r="D1054" s="1" t="s">
        <v>90</v>
      </c>
      <c r="E1054" s="1" t="s">
        <v>26</v>
      </c>
      <c r="F1054" s="1" t="s">
        <v>18</v>
      </c>
      <c r="G1054">
        <v>48188</v>
      </c>
      <c r="H1054" s="1" t="s">
        <v>2013</v>
      </c>
      <c r="I1054" s="2">
        <v>45396</v>
      </c>
      <c r="J1054">
        <v>100</v>
      </c>
      <c r="L1054" s="1" t="s">
        <v>20</v>
      </c>
      <c r="M1054" s="1" t="s">
        <v>69</v>
      </c>
    </row>
    <row r="1055" spans="1:13" x14ac:dyDescent="0.25">
      <c r="A1055" s="1" t="s">
        <v>2014</v>
      </c>
      <c r="B1055" s="1" t="s">
        <v>14</v>
      </c>
      <c r="C1055" s="1" t="s">
        <v>24</v>
      </c>
      <c r="D1055" s="1" t="s">
        <v>25</v>
      </c>
      <c r="E1055" s="1" t="s">
        <v>17</v>
      </c>
      <c r="F1055" s="1" t="s">
        <v>129</v>
      </c>
      <c r="G1055">
        <v>95319</v>
      </c>
      <c r="H1055" s="1" t="s">
        <v>2015</v>
      </c>
      <c r="I1055" s="2"/>
      <c r="L1055" s="1" t="s">
        <v>96</v>
      </c>
      <c r="M1055" s="1" t="s">
        <v>102</v>
      </c>
    </row>
    <row r="1056" spans="1:13" x14ac:dyDescent="0.25">
      <c r="A1056" s="1" t="s">
        <v>2016</v>
      </c>
      <c r="B1056" s="1" t="s">
        <v>75</v>
      </c>
      <c r="C1056" s="1" t="s">
        <v>676</v>
      </c>
      <c r="D1056" s="1" t="s">
        <v>90</v>
      </c>
      <c r="E1056" s="1" t="s">
        <v>47</v>
      </c>
      <c r="F1056" s="1" t="s">
        <v>33</v>
      </c>
      <c r="G1056">
        <v>283794</v>
      </c>
      <c r="H1056" s="1" t="s">
        <v>601</v>
      </c>
      <c r="I1056" s="2"/>
      <c r="K1056">
        <v>2.2999999999999998</v>
      </c>
      <c r="L1056" s="1" t="s">
        <v>49</v>
      </c>
      <c r="M1056" s="1" t="s">
        <v>35</v>
      </c>
    </row>
    <row r="1057" spans="1:13" x14ac:dyDescent="0.25">
      <c r="A1057" s="1" t="s">
        <v>2017</v>
      </c>
      <c r="B1057" s="1" t="s">
        <v>44</v>
      </c>
      <c r="C1057" s="1" t="s">
        <v>587</v>
      </c>
      <c r="D1057" s="1" t="s">
        <v>16</v>
      </c>
      <c r="E1057" s="1" t="s">
        <v>17</v>
      </c>
      <c r="F1057" s="1" t="s">
        <v>33</v>
      </c>
      <c r="G1057">
        <v>295056</v>
      </c>
      <c r="H1057" s="1" t="s">
        <v>913</v>
      </c>
      <c r="I1057" s="2"/>
      <c r="K1057">
        <v>5.0999999999999996</v>
      </c>
      <c r="L1057" s="1" t="s">
        <v>49</v>
      </c>
      <c r="M1057" s="1" t="s">
        <v>35</v>
      </c>
    </row>
    <row r="1058" spans="1:13" x14ac:dyDescent="0.25">
      <c r="A1058" s="1" t="s">
        <v>2018</v>
      </c>
      <c r="B1058" s="1" t="s">
        <v>109</v>
      </c>
      <c r="C1058" s="1" t="s">
        <v>1057</v>
      </c>
      <c r="D1058" s="1" t="s">
        <v>25</v>
      </c>
      <c r="E1058" s="1" t="s">
        <v>77</v>
      </c>
      <c r="F1058" s="1" t="s">
        <v>33</v>
      </c>
      <c r="G1058">
        <v>321618</v>
      </c>
      <c r="H1058" s="1" t="s">
        <v>2019</v>
      </c>
      <c r="I1058" s="2"/>
      <c r="K1058">
        <v>7.8</v>
      </c>
      <c r="L1058" s="1" t="s">
        <v>20</v>
      </c>
      <c r="M1058" s="1" t="s">
        <v>102</v>
      </c>
    </row>
    <row r="1059" spans="1:13" x14ac:dyDescent="0.25">
      <c r="A1059" s="1" t="s">
        <v>2020</v>
      </c>
      <c r="B1059" s="1" t="s">
        <v>98</v>
      </c>
      <c r="C1059" s="1" t="s">
        <v>797</v>
      </c>
      <c r="D1059" s="1" t="s">
        <v>39</v>
      </c>
      <c r="E1059" s="1" t="s">
        <v>61</v>
      </c>
      <c r="F1059" s="1" t="s">
        <v>53</v>
      </c>
      <c r="G1059">
        <v>265158</v>
      </c>
      <c r="H1059" s="1" t="s">
        <v>1252</v>
      </c>
      <c r="I1059" s="2"/>
      <c r="K1059">
        <v>8</v>
      </c>
      <c r="L1059" s="1" t="s">
        <v>20</v>
      </c>
      <c r="M1059" s="1" t="s">
        <v>102</v>
      </c>
    </row>
    <row r="1060" spans="1:13" x14ac:dyDescent="0.25">
      <c r="A1060" s="1" t="s">
        <v>2021</v>
      </c>
      <c r="B1060" s="1" t="s">
        <v>104</v>
      </c>
      <c r="C1060" s="1" t="s">
        <v>457</v>
      </c>
      <c r="D1060" s="1" t="s">
        <v>90</v>
      </c>
      <c r="E1060" s="1" t="s">
        <v>100</v>
      </c>
      <c r="F1060" s="1" t="s">
        <v>40</v>
      </c>
      <c r="G1060">
        <v>27766</v>
      </c>
      <c r="H1060" s="1" t="s">
        <v>353</v>
      </c>
      <c r="I1060" s="2">
        <v>45074</v>
      </c>
      <c r="J1060">
        <v>64</v>
      </c>
      <c r="K1060">
        <v>6.8</v>
      </c>
      <c r="L1060" s="1" t="s">
        <v>49</v>
      </c>
      <c r="M1060" s="1" t="s">
        <v>35</v>
      </c>
    </row>
    <row r="1061" spans="1:13" x14ac:dyDescent="0.25">
      <c r="A1061" s="1" t="s">
        <v>2022</v>
      </c>
      <c r="B1061" s="1" t="s">
        <v>173</v>
      </c>
      <c r="C1061" s="1" t="s">
        <v>313</v>
      </c>
      <c r="D1061" s="1" t="s">
        <v>90</v>
      </c>
      <c r="E1061" s="1" t="s">
        <v>61</v>
      </c>
      <c r="F1061" s="1" t="s">
        <v>53</v>
      </c>
      <c r="G1061">
        <v>412466</v>
      </c>
      <c r="H1061" s="1" t="s">
        <v>1779</v>
      </c>
      <c r="I1061" s="2"/>
      <c r="L1061" s="1" t="s">
        <v>20</v>
      </c>
      <c r="M1061" s="1" t="s">
        <v>42</v>
      </c>
    </row>
    <row r="1062" spans="1:13" x14ac:dyDescent="0.25">
      <c r="A1062" s="1" t="s">
        <v>2023</v>
      </c>
      <c r="B1062" s="1" t="s">
        <v>104</v>
      </c>
      <c r="C1062" s="1" t="s">
        <v>972</v>
      </c>
      <c r="D1062" s="1" t="s">
        <v>67</v>
      </c>
      <c r="E1062" s="1" t="s">
        <v>61</v>
      </c>
      <c r="F1062" s="1" t="s">
        <v>18</v>
      </c>
      <c r="G1062">
        <v>49343</v>
      </c>
      <c r="H1062" s="1" t="s">
        <v>2024</v>
      </c>
      <c r="I1062" s="2">
        <v>45802</v>
      </c>
      <c r="J1062">
        <v>171</v>
      </c>
      <c r="K1062">
        <v>5.7</v>
      </c>
      <c r="L1062" s="1" t="s">
        <v>29</v>
      </c>
      <c r="M1062" s="1" t="s">
        <v>42</v>
      </c>
    </row>
    <row r="1063" spans="1:13" x14ac:dyDescent="0.25">
      <c r="A1063" s="1" t="s">
        <v>2025</v>
      </c>
      <c r="B1063" s="1" t="s">
        <v>127</v>
      </c>
      <c r="C1063" s="1" t="s">
        <v>946</v>
      </c>
      <c r="D1063" s="1" t="s">
        <v>39</v>
      </c>
      <c r="E1063" s="1" t="s">
        <v>77</v>
      </c>
      <c r="F1063" s="1" t="s">
        <v>33</v>
      </c>
      <c r="G1063">
        <v>410761</v>
      </c>
      <c r="H1063" s="1" t="s">
        <v>1176</v>
      </c>
      <c r="I1063" s="2"/>
      <c r="K1063">
        <v>7.5</v>
      </c>
      <c r="L1063" s="1" t="s">
        <v>20</v>
      </c>
      <c r="M1063" s="1" t="s">
        <v>69</v>
      </c>
    </row>
    <row r="1064" spans="1:13" x14ac:dyDescent="0.25">
      <c r="A1064" s="1" t="s">
        <v>2026</v>
      </c>
      <c r="B1064" s="1" t="s">
        <v>109</v>
      </c>
      <c r="C1064" s="1" t="s">
        <v>213</v>
      </c>
      <c r="D1064" s="1" t="s">
        <v>25</v>
      </c>
      <c r="E1064" s="1" t="s">
        <v>77</v>
      </c>
      <c r="F1064" s="1" t="s">
        <v>53</v>
      </c>
      <c r="G1064">
        <v>92525</v>
      </c>
      <c r="H1064" s="1" t="s">
        <v>2027</v>
      </c>
      <c r="I1064" s="2"/>
      <c r="K1064">
        <v>13.9</v>
      </c>
      <c r="L1064" s="1" t="s">
        <v>20</v>
      </c>
      <c r="M1064" s="1" t="s">
        <v>42</v>
      </c>
    </row>
    <row r="1065" spans="1:13" x14ac:dyDescent="0.25">
      <c r="A1065" s="1" t="s">
        <v>2028</v>
      </c>
      <c r="B1065" s="1" t="s">
        <v>173</v>
      </c>
      <c r="C1065" s="1" t="s">
        <v>364</v>
      </c>
      <c r="D1065" s="1" t="s">
        <v>67</v>
      </c>
      <c r="E1065" s="1" t="s">
        <v>72</v>
      </c>
      <c r="F1065" s="1" t="s">
        <v>27</v>
      </c>
      <c r="G1065">
        <v>363674</v>
      </c>
      <c r="H1065" s="1" t="s">
        <v>687</v>
      </c>
      <c r="I1065" s="2"/>
      <c r="K1065">
        <v>5.5</v>
      </c>
      <c r="L1065" s="1" t="s">
        <v>20</v>
      </c>
      <c r="M1065" s="1" t="s">
        <v>107</v>
      </c>
    </row>
    <row r="1066" spans="1:13" x14ac:dyDescent="0.25">
      <c r="A1066" s="1" t="s">
        <v>2029</v>
      </c>
      <c r="B1066" s="1" t="s">
        <v>98</v>
      </c>
      <c r="C1066" s="1" t="s">
        <v>1339</v>
      </c>
      <c r="D1066" s="1" t="s">
        <v>25</v>
      </c>
      <c r="E1066" s="1" t="s">
        <v>72</v>
      </c>
      <c r="F1066" s="1" t="s">
        <v>40</v>
      </c>
      <c r="G1066">
        <v>495808</v>
      </c>
      <c r="H1066" s="1" t="s">
        <v>863</v>
      </c>
      <c r="I1066" s="2">
        <v>45081</v>
      </c>
      <c r="J1066">
        <v>33</v>
      </c>
      <c r="K1066">
        <v>13.7</v>
      </c>
      <c r="L1066" s="1" t="s">
        <v>49</v>
      </c>
      <c r="M1066" s="1" t="s">
        <v>30</v>
      </c>
    </row>
    <row r="1067" spans="1:13" x14ac:dyDescent="0.25">
      <c r="A1067" s="1" t="s">
        <v>2030</v>
      </c>
      <c r="B1067" s="1" t="s">
        <v>14</v>
      </c>
      <c r="C1067" s="1" t="s">
        <v>174</v>
      </c>
      <c r="D1067" s="1" t="s">
        <v>46</v>
      </c>
      <c r="E1067" s="1" t="s">
        <v>77</v>
      </c>
      <c r="F1067" s="1" t="s">
        <v>18</v>
      </c>
      <c r="G1067">
        <v>1022571</v>
      </c>
      <c r="H1067" s="1" t="s">
        <v>145</v>
      </c>
      <c r="I1067" s="2">
        <v>45869</v>
      </c>
      <c r="J1067">
        <v>170</v>
      </c>
      <c r="K1067">
        <v>15</v>
      </c>
      <c r="L1067" s="1" t="s">
        <v>29</v>
      </c>
      <c r="M1067" s="1" t="s">
        <v>63</v>
      </c>
    </row>
    <row r="1068" spans="1:13" x14ac:dyDescent="0.25">
      <c r="A1068" s="1" t="s">
        <v>2031</v>
      </c>
      <c r="B1068" s="1" t="s">
        <v>173</v>
      </c>
      <c r="C1068" s="1" t="s">
        <v>213</v>
      </c>
      <c r="D1068" s="1" t="s">
        <v>46</v>
      </c>
      <c r="E1068" s="1" t="s">
        <v>47</v>
      </c>
      <c r="F1068" s="1" t="s">
        <v>33</v>
      </c>
      <c r="G1068">
        <v>254770</v>
      </c>
      <c r="H1068" s="1" t="s">
        <v>2032</v>
      </c>
      <c r="I1068" s="2"/>
      <c r="K1068">
        <v>6.2</v>
      </c>
      <c r="L1068" s="1" t="s">
        <v>96</v>
      </c>
      <c r="M1068" s="1" t="s">
        <v>35</v>
      </c>
    </row>
    <row r="1069" spans="1:13" x14ac:dyDescent="0.25">
      <c r="A1069" s="1" t="s">
        <v>2033</v>
      </c>
      <c r="B1069" s="1" t="s">
        <v>88</v>
      </c>
      <c r="C1069" s="1" t="s">
        <v>261</v>
      </c>
      <c r="D1069" s="1" t="s">
        <v>90</v>
      </c>
      <c r="E1069" s="1" t="s">
        <v>47</v>
      </c>
      <c r="F1069" s="1" t="s">
        <v>40</v>
      </c>
      <c r="G1069">
        <v>136962</v>
      </c>
      <c r="H1069" s="1" t="s">
        <v>670</v>
      </c>
      <c r="I1069" s="2">
        <v>45145</v>
      </c>
      <c r="J1069">
        <v>165</v>
      </c>
      <c r="K1069">
        <v>2.5</v>
      </c>
      <c r="L1069" s="1" t="s">
        <v>96</v>
      </c>
      <c r="M1069" s="1" t="s">
        <v>35</v>
      </c>
    </row>
    <row r="1070" spans="1:13" x14ac:dyDescent="0.25">
      <c r="A1070" s="1" t="s">
        <v>2034</v>
      </c>
      <c r="B1070" s="1" t="s">
        <v>65</v>
      </c>
      <c r="C1070" s="1" t="s">
        <v>1997</v>
      </c>
      <c r="D1070" s="1" t="s">
        <v>67</v>
      </c>
      <c r="E1070" s="1" t="s">
        <v>17</v>
      </c>
      <c r="F1070" s="1" t="s">
        <v>53</v>
      </c>
      <c r="G1070">
        <v>47244</v>
      </c>
      <c r="H1070" s="1" t="s">
        <v>259</v>
      </c>
      <c r="I1070" s="2"/>
      <c r="K1070">
        <v>2.4</v>
      </c>
      <c r="L1070" s="1" t="s">
        <v>20</v>
      </c>
      <c r="M1070" s="1" t="s">
        <v>42</v>
      </c>
    </row>
    <row r="1071" spans="1:13" x14ac:dyDescent="0.25">
      <c r="A1071" s="1" t="s">
        <v>2035</v>
      </c>
      <c r="B1071" s="1" t="s">
        <v>59</v>
      </c>
      <c r="C1071" s="1" t="s">
        <v>387</v>
      </c>
      <c r="D1071" s="1" t="s">
        <v>46</v>
      </c>
      <c r="E1071" s="1" t="s">
        <v>47</v>
      </c>
      <c r="F1071" s="1" t="s">
        <v>33</v>
      </c>
      <c r="G1071">
        <v>253669</v>
      </c>
      <c r="H1071" s="1" t="s">
        <v>569</v>
      </c>
      <c r="I1071" s="2"/>
      <c r="K1071">
        <v>13</v>
      </c>
      <c r="L1071" s="1" t="s">
        <v>96</v>
      </c>
      <c r="M1071" s="1" t="s">
        <v>30</v>
      </c>
    </row>
    <row r="1072" spans="1:13" x14ac:dyDescent="0.25">
      <c r="A1072" s="1" t="s">
        <v>2036</v>
      </c>
      <c r="B1072" s="1" t="s">
        <v>65</v>
      </c>
      <c r="C1072" s="1" t="s">
        <v>1776</v>
      </c>
      <c r="D1072" s="1" t="s">
        <v>90</v>
      </c>
      <c r="E1072" s="1" t="s">
        <v>94</v>
      </c>
      <c r="F1072" s="1" t="s">
        <v>40</v>
      </c>
      <c r="G1072">
        <v>383141</v>
      </c>
      <c r="H1072" s="1" t="s">
        <v>506</v>
      </c>
      <c r="I1072" s="2">
        <v>45403</v>
      </c>
      <c r="J1072">
        <v>74</v>
      </c>
      <c r="K1072">
        <v>2.2000000000000002</v>
      </c>
      <c r="L1072" s="1" t="s">
        <v>96</v>
      </c>
      <c r="M1072" s="1" t="s">
        <v>69</v>
      </c>
    </row>
    <row r="1073" spans="1:13" x14ac:dyDescent="0.25">
      <c r="A1073" s="1" t="s">
        <v>2037</v>
      </c>
      <c r="B1073" s="1" t="s">
        <v>173</v>
      </c>
      <c r="C1073" s="1" t="s">
        <v>244</v>
      </c>
      <c r="D1073" s="1" t="s">
        <v>46</v>
      </c>
      <c r="E1073" s="1" t="s">
        <v>94</v>
      </c>
      <c r="F1073" s="1" t="s">
        <v>27</v>
      </c>
      <c r="G1073">
        <v>445913</v>
      </c>
      <c r="H1073" s="1" t="s">
        <v>2038</v>
      </c>
      <c r="I1073" s="2"/>
      <c r="K1073">
        <v>2.5</v>
      </c>
      <c r="L1073" s="1" t="s">
        <v>20</v>
      </c>
      <c r="M1073" s="1" t="s">
        <v>149</v>
      </c>
    </row>
    <row r="1074" spans="1:13" x14ac:dyDescent="0.25">
      <c r="A1074" s="1" t="s">
        <v>2039</v>
      </c>
      <c r="B1074" s="1" t="s">
        <v>65</v>
      </c>
      <c r="C1074" s="1" t="s">
        <v>939</v>
      </c>
      <c r="D1074" s="1" t="s">
        <v>67</v>
      </c>
      <c r="E1074" s="1" t="s">
        <v>61</v>
      </c>
      <c r="F1074" s="1" t="s">
        <v>40</v>
      </c>
      <c r="G1074">
        <v>70017</v>
      </c>
      <c r="H1074" s="1" t="s">
        <v>829</v>
      </c>
      <c r="I1074" s="2">
        <v>45727</v>
      </c>
      <c r="J1074">
        <v>33</v>
      </c>
      <c r="K1074">
        <v>9.4</v>
      </c>
      <c r="L1074" s="1" t="s">
        <v>96</v>
      </c>
      <c r="M1074" s="1" t="s">
        <v>63</v>
      </c>
    </row>
    <row r="1075" spans="1:13" x14ac:dyDescent="0.25">
      <c r="A1075" s="1" t="s">
        <v>2040</v>
      </c>
      <c r="B1075" s="1" t="s">
        <v>88</v>
      </c>
      <c r="C1075" s="1" t="s">
        <v>349</v>
      </c>
      <c r="D1075" s="1" t="s">
        <v>16</v>
      </c>
      <c r="E1075" s="1" t="s">
        <v>72</v>
      </c>
      <c r="F1075" s="1" t="s">
        <v>53</v>
      </c>
      <c r="G1075">
        <v>320522</v>
      </c>
      <c r="H1075" s="1" t="s">
        <v>301</v>
      </c>
      <c r="I1075" s="2"/>
      <c r="L1075" s="1" t="s">
        <v>49</v>
      </c>
      <c r="M1075" s="1" t="s">
        <v>149</v>
      </c>
    </row>
    <row r="1076" spans="1:13" x14ac:dyDescent="0.25">
      <c r="A1076" s="1" t="s">
        <v>2041</v>
      </c>
      <c r="B1076" s="1" t="s">
        <v>173</v>
      </c>
      <c r="C1076" s="1" t="s">
        <v>882</v>
      </c>
      <c r="D1076" s="1" t="s">
        <v>67</v>
      </c>
      <c r="E1076" s="1" t="s">
        <v>77</v>
      </c>
      <c r="F1076" s="1" t="s">
        <v>40</v>
      </c>
      <c r="G1076">
        <v>222085</v>
      </c>
      <c r="H1076" s="1" t="s">
        <v>1718</v>
      </c>
      <c r="I1076" s="2">
        <v>45015</v>
      </c>
      <c r="J1076">
        <v>16</v>
      </c>
      <c r="K1076">
        <v>0.4</v>
      </c>
      <c r="L1076" s="1" t="s">
        <v>29</v>
      </c>
      <c r="M1076" s="1" t="s">
        <v>35</v>
      </c>
    </row>
    <row r="1077" spans="1:13" x14ac:dyDescent="0.25">
      <c r="A1077" s="1" t="s">
        <v>2042</v>
      </c>
      <c r="B1077" s="1" t="s">
        <v>84</v>
      </c>
      <c r="C1077" s="1" t="s">
        <v>32</v>
      </c>
      <c r="D1077" s="1" t="s">
        <v>16</v>
      </c>
      <c r="E1077" s="1" t="s">
        <v>77</v>
      </c>
      <c r="F1077" s="1" t="s">
        <v>27</v>
      </c>
      <c r="G1077">
        <v>269126</v>
      </c>
      <c r="H1077" s="1" t="s">
        <v>458</v>
      </c>
      <c r="I1077" s="2"/>
      <c r="K1077">
        <v>5.9</v>
      </c>
      <c r="L1077" s="1" t="s">
        <v>96</v>
      </c>
      <c r="M1077" s="1" t="s">
        <v>102</v>
      </c>
    </row>
    <row r="1078" spans="1:13" x14ac:dyDescent="0.25">
      <c r="A1078" s="1" t="s">
        <v>2043</v>
      </c>
      <c r="B1078" s="1" t="s">
        <v>84</v>
      </c>
      <c r="C1078" s="1" t="s">
        <v>928</v>
      </c>
      <c r="D1078" s="1" t="s">
        <v>39</v>
      </c>
      <c r="E1078" s="1" t="s">
        <v>47</v>
      </c>
      <c r="F1078" s="1" t="s">
        <v>40</v>
      </c>
      <c r="G1078">
        <v>90695</v>
      </c>
      <c r="H1078" s="1" t="s">
        <v>1383</v>
      </c>
      <c r="I1078" s="2">
        <v>45155</v>
      </c>
      <c r="J1078">
        <v>96</v>
      </c>
      <c r="K1078">
        <v>4.9000000000000004</v>
      </c>
      <c r="L1078" s="1" t="s">
        <v>96</v>
      </c>
      <c r="M1078" s="1" t="s">
        <v>30</v>
      </c>
    </row>
    <row r="1079" spans="1:13" x14ac:dyDescent="0.25">
      <c r="A1079" s="1" t="s">
        <v>2044</v>
      </c>
      <c r="B1079" s="1" t="s">
        <v>98</v>
      </c>
      <c r="C1079" s="1" t="s">
        <v>141</v>
      </c>
      <c r="D1079" s="1" t="s">
        <v>46</v>
      </c>
      <c r="E1079" s="1" t="s">
        <v>72</v>
      </c>
      <c r="F1079" s="1" t="s">
        <v>33</v>
      </c>
      <c r="G1079">
        <v>75556</v>
      </c>
      <c r="H1079" s="1" t="s">
        <v>2045</v>
      </c>
      <c r="I1079" s="2"/>
      <c r="L1079" s="1" t="s">
        <v>96</v>
      </c>
      <c r="M1079" s="1" t="s">
        <v>63</v>
      </c>
    </row>
    <row r="1080" spans="1:13" x14ac:dyDescent="0.25">
      <c r="A1080" s="1" t="s">
        <v>2046</v>
      </c>
      <c r="B1080" s="1" t="s">
        <v>37</v>
      </c>
      <c r="C1080" s="1" t="s">
        <v>2047</v>
      </c>
      <c r="D1080" s="1" t="s">
        <v>16</v>
      </c>
      <c r="E1080" s="1" t="s">
        <v>72</v>
      </c>
      <c r="F1080" s="1" t="s">
        <v>40</v>
      </c>
      <c r="G1080">
        <v>473485</v>
      </c>
      <c r="H1080" s="1" t="s">
        <v>2048</v>
      </c>
      <c r="I1080" s="2">
        <v>45307</v>
      </c>
      <c r="J1080">
        <v>67</v>
      </c>
      <c r="K1080">
        <v>7.3</v>
      </c>
      <c r="L1080" s="1" t="s">
        <v>29</v>
      </c>
      <c r="M1080" s="1" t="s">
        <v>21</v>
      </c>
    </row>
    <row r="1081" spans="1:13" x14ac:dyDescent="0.25">
      <c r="A1081" s="1" t="s">
        <v>2049</v>
      </c>
      <c r="B1081" s="1" t="s">
        <v>59</v>
      </c>
      <c r="C1081" s="1" t="s">
        <v>460</v>
      </c>
      <c r="D1081" s="1" t="s">
        <v>90</v>
      </c>
      <c r="E1081" s="1" t="s">
        <v>94</v>
      </c>
      <c r="F1081" s="1" t="s">
        <v>53</v>
      </c>
      <c r="G1081">
        <v>328207</v>
      </c>
      <c r="H1081" s="1" t="s">
        <v>2050</v>
      </c>
      <c r="I1081" s="2"/>
      <c r="K1081">
        <v>7.9</v>
      </c>
      <c r="L1081" s="1" t="s">
        <v>96</v>
      </c>
      <c r="M1081" s="1" t="s">
        <v>35</v>
      </c>
    </row>
    <row r="1082" spans="1:13" x14ac:dyDescent="0.25">
      <c r="A1082" s="1" t="s">
        <v>2051</v>
      </c>
      <c r="B1082" s="1" t="s">
        <v>80</v>
      </c>
      <c r="C1082" s="1" t="s">
        <v>521</v>
      </c>
      <c r="D1082" s="1" t="s">
        <v>46</v>
      </c>
      <c r="E1082" s="1" t="s">
        <v>47</v>
      </c>
      <c r="F1082" s="1" t="s">
        <v>40</v>
      </c>
      <c r="G1082">
        <v>193184</v>
      </c>
      <c r="H1082" s="1" t="s">
        <v>1134</v>
      </c>
      <c r="I1082" s="2">
        <v>45098</v>
      </c>
      <c r="J1082">
        <v>138</v>
      </c>
      <c r="K1082">
        <v>9.4</v>
      </c>
      <c r="L1082" s="1" t="s">
        <v>29</v>
      </c>
      <c r="M1082" s="1" t="s">
        <v>35</v>
      </c>
    </row>
    <row r="1083" spans="1:13" x14ac:dyDescent="0.25">
      <c r="A1083" s="1" t="s">
        <v>2052</v>
      </c>
      <c r="B1083" s="1" t="s">
        <v>173</v>
      </c>
      <c r="C1083" s="1" t="s">
        <v>1028</v>
      </c>
      <c r="D1083" s="1" t="s">
        <v>39</v>
      </c>
      <c r="E1083" s="1" t="s">
        <v>100</v>
      </c>
      <c r="F1083" s="1" t="s">
        <v>18</v>
      </c>
      <c r="G1083">
        <v>463261</v>
      </c>
      <c r="H1083" s="1" t="s">
        <v>1405</v>
      </c>
      <c r="I1083" s="2">
        <v>45275</v>
      </c>
      <c r="J1083">
        <v>39</v>
      </c>
      <c r="K1083">
        <v>14.5</v>
      </c>
      <c r="L1083" s="1" t="s">
        <v>96</v>
      </c>
      <c r="M1083" s="1" t="s">
        <v>21</v>
      </c>
    </row>
    <row r="1084" spans="1:13" x14ac:dyDescent="0.25">
      <c r="A1084" s="1" t="s">
        <v>2053</v>
      </c>
      <c r="B1084" s="1" t="s">
        <v>65</v>
      </c>
      <c r="C1084" s="1" t="s">
        <v>300</v>
      </c>
      <c r="D1084" s="1" t="s">
        <v>90</v>
      </c>
      <c r="E1084" s="1" t="s">
        <v>17</v>
      </c>
      <c r="F1084" s="1" t="s">
        <v>129</v>
      </c>
      <c r="G1084">
        <v>63912</v>
      </c>
      <c r="H1084" s="1" t="s">
        <v>1818</v>
      </c>
      <c r="I1084" s="2"/>
      <c r="K1084">
        <v>5.5</v>
      </c>
      <c r="L1084" s="1" t="s">
        <v>20</v>
      </c>
      <c r="M1084" s="1" t="s">
        <v>30</v>
      </c>
    </row>
    <row r="1085" spans="1:13" x14ac:dyDescent="0.25">
      <c r="A1085" s="1" t="s">
        <v>2054</v>
      </c>
      <c r="B1085" s="1" t="s">
        <v>127</v>
      </c>
      <c r="C1085" s="1" t="s">
        <v>1074</v>
      </c>
      <c r="D1085" s="1" t="s">
        <v>46</v>
      </c>
      <c r="E1085" s="1" t="s">
        <v>17</v>
      </c>
      <c r="F1085" s="1" t="s">
        <v>53</v>
      </c>
      <c r="G1085">
        <v>461903</v>
      </c>
      <c r="H1085" s="1" t="s">
        <v>1571</v>
      </c>
      <c r="I1085" s="2"/>
      <c r="K1085">
        <v>4.3</v>
      </c>
      <c r="L1085" s="1" t="s">
        <v>29</v>
      </c>
      <c r="M1085" s="1" t="s">
        <v>102</v>
      </c>
    </row>
    <row r="1086" spans="1:13" x14ac:dyDescent="0.25">
      <c r="A1086" s="1" t="s">
        <v>2055</v>
      </c>
      <c r="B1086" s="1" t="s">
        <v>80</v>
      </c>
      <c r="C1086" s="1" t="s">
        <v>303</v>
      </c>
      <c r="D1086" s="1" t="s">
        <v>46</v>
      </c>
      <c r="E1086" s="1" t="s">
        <v>77</v>
      </c>
      <c r="F1086" s="1" t="s">
        <v>33</v>
      </c>
      <c r="G1086">
        <v>213369</v>
      </c>
      <c r="H1086" s="1" t="s">
        <v>509</v>
      </c>
      <c r="I1086" s="2"/>
      <c r="K1086">
        <v>1.4</v>
      </c>
      <c r="L1086" s="1" t="s">
        <v>20</v>
      </c>
      <c r="M1086" s="1" t="s">
        <v>30</v>
      </c>
    </row>
    <row r="1087" spans="1:13" x14ac:dyDescent="0.25">
      <c r="A1087" s="1" t="s">
        <v>2056</v>
      </c>
      <c r="B1087" s="1" t="s">
        <v>84</v>
      </c>
      <c r="C1087" s="1" t="s">
        <v>1112</v>
      </c>
      <c r="D1087" s="1" t="s">
        <v>25</v>
      </c>
      <c r="E1087" s="1" t="s">
        <v>17</v>
      </c>
      <c r="F1087" s="1" t="s">
        <v>27</v>
      </c>
      <c r="G1087">
        <v>47774</v>
      </c>
      <c r="H1087" s="1" t="s">
        <v>2057</v>
      </c>
      <c r="I1087" s="2"/>
      <c r="K1087">
        <v>13.6</v>
      </c>
      <c r="L1087" s="1" t="s">
        <v>96</v>
      </c>
      <c r="M1087" s="1" t="s">
        <v>107</v>
      </c>
    </row>
    <row r="1088" spans="1:13" x14ac:dyDescent="0.25">
      <c r="A1088" s="1" t="s">
        <v>2058</v>
      </c>
      <c r="B1088" s="1" t="s">
        <v>59</v>
      </c>
      <c r="C1088" s="1" t="s">
        <v>596</v>
      </c>
      <c r="D1088" s="1" t="s">
        <v>39</v>
      </c>
      <c r="E1088" s="1" t="s">
        <v>47</v>
      </c>
      <c r="F1088" s="1" t="s">
        <v>40</v>
      </c>
      <c r="G1088">
        <v>456676</v>
      </c>
      <c r="H1088" s="1" t="s">
        <v>2059</v>
      </c>
      <c r="I1088" s="2">
        <v>45126</v>
      </c>
      <c r="J1088">
        <v>71</v>
      </c>
      <c r="K1088">
        <v>20.100000000000001</v>
      </c>
      <c r="L1088" s="1" t="s">
        <v>29</v>
      </c>
      <c r="M1088" s="1" t="s">
        <v>30</v>
      </c>
    </row>
    <row r="1089" spans="1:13" x14ac:dyDescent="0.25">
      <c r="A1089" s="1" t="s">
        <v>2060</v>
      </c>
      <c r="B1089" s="1" t="s">
        <v>98</v>
      </c>
      <c r="C1089" s="1" t="s">
        <v>436</v>
      </c>
      <c r="D1089" s="1" t="s">
        <v>39</v>
      </c>
      <c r="E1089" s="1" t="s">
        <v>72</v>
      </c>
      <c r="F1089" s="1" t="s">
        <v>40</v>
      </c>
      <c r="G1089">
        <v>350313</v>
      </c>
      <c r="H1089" s="1" t="s">
        <v>2061</v>
      </c>
      <c r="I1089" s="2">
        <v>45500</v>
      </c>
      <c r="J1089">
        <v>22</v>
      </c>
      <c r="K1089">
        <v>20.399999999999999</v>
      </c>
      <c r="L1089" s="1" t="s">
        <v>20</v>
      </c>
      <c r="M1089" s="1" t="s">
        <v>149</v>
      </c>
    </row>
    <row r="1090" spans="1:13" x14ac:dyDescent="0.25">
      <c r="A1090" s="1" t="s">
        <v>2062</v>
      </c>
      <c r="B1090" s="1" t="s">
        <v>37</v>
      </c>
      <c r="C1090" s="1" t="s">
        <v>767</v>
      </c>
      <c r="D1090" s="1" t="s">
        <v>16</v>
      </c>
      <c r="E1090" s="1" t="s">
        <v>72</v>
      </c>
      <c r="F1090" s="1" t="s">
        <v>40</v>
      </c>
      <c r="G1090">
        <v>491136</v>
      </c>
      <c r="H1090" s="1" t="s">
        <v>2063</v>
      </c>
      <c r="I1090" s="2">
        <v>45139</v>
      </c>
      <c r="J1090">
        <v>143</v>
      </c>
      <c r="K1090">
        <v>1.9</v>
      </c>
      <c r="L1090" s="1" t="s">
        <v>49</v>
      </c>
      <c r="M1090" s="1" t="s">
        <v>35</v>
      </c>
    </row>
    <row r="1091" spans="1:13" x14ac:dyDescent="0.25">
      <c r="A1091" s="1" t="s">
        <v>2064</v>
      </c>
      <c r="B1091" s="1" t="s">
        <v>59</v>
      </c>
      <c r="C1091" s="1" t="s">
        <v>972</v>
      </c>
      <c r="D1091" s="1" t="s">
        <v>16</v>
      </c>
      <c r="E1091" s="1" t="s">
        <v>51</v>
      </c>
      <c r="F1091" s="1" t="s">
        <v>40</v>
      </c>
      <c r="G1091">
        <v>398958</v>
      </c>
      <c r="H1091" s="1" t="s">
        <v>2065</v>
      </c>
      <c r="I1091" s="2">
        <v>45519</v>
      </c>
      <c r="J1091">
        <v>105</v>
      </c>
      <c r="K1091">
        <v>3.3</v>
      </c>
      <c r="L1091" s="1" t="s">
        <v>49</v>
      </c>
      <c r="M1091" s="1" t="s">
        <v>107</v>
      </c>
    </row>
    <row r="1092" spans="1:13" x14ac:dyDescent="0.25">
      <c r="A1092" s="1" t="s">
        <v>2066</v>
      </c>
      <c r="B1092" s="1" t="s">
        <v>88</v>
      </c>
      <c r="C1092" s="1" t="s">
        <v>882</v>
      </c>
      <c r="D1092" s="1" t="s">
        <v>90</v>
      </c>
      <c r="E1092" s="1" t="s">
        <v>47</v>
      </c>
      <c r="F1092" s="1" t="s">
        <v>33</v>
      </c>
      <c r="G1092">
        <v>387078</v>
      </c>
      <c r="H1092" s="1" t="s">
        <v>2067</v>
      </c>
      <c r="I1092" s="2"/>
      <c r="K1092">
        <v>3.9</v>
      </c>
      <c r="L1092" s="1" t="s">
        <v>20</v>
      </c>
      <c r="M1092" s="1" t="s">
        <v>107</v>
      </c>
    </row>
    <row r="1093" spans="1:13" x14ac:dyDescent="0.25">
      <c r="A1093" s="1" t="s">
        <v>2068</v>
      </c>
      <c r="B1093" s="1" t="s">
        <v>59</v>
      </c>
      <c r="C1093" s="1" t="s">
        <v>869</v>
      </c>
      <c r="D1093" s="1" t="s">
        <v>90</v>
      </c>
      <c r="E1093" s="1" t="s">
        <v>26</v>
      </c>
      <c r="F1093" s="1" t="s">
        <v>40</v>
      </c>
      <c r="G1093">
        <v>147926</v>
      </c>
      <c r="H1093" s="1" t="s">
        <v>1029</v>
      </c>
      <c r="I1093" s="2">
        <v>45211</v>
      </c>
      <c r="J1093">
        <v>149</v>
      </c>
      <c r="K1093">
        <v>5.3</v>
      </c>
      <c r="L1093" s="1" t="s">
        <v>96</v>
      </c>
      <c r="M1093" s="1" t="s">
        <v>30</v>
      </c>
    </row>
    <row r="1094" spans="1:13" x14ac:dyDescent="0.25">
      <c r="A1094" s="1" t="s">
        <v>2069</v>
      </c>
      <c r="B1094" s="1" t="s">
        <v>75</v>
      </c>
      <c r="C1094" s="1" t="s">
        <v>471</v>
      </c>
      <c r="D1094" s="1" t="s">
        <v>25</v>
      </c>
      <c r="E1094" s="1" t="s">
        <v>100</v>
      </c>
      <c r="F1094" s="1" t="s">
        <v>53</v>
      </c>
      <c r="G1094">
        <v>325945</v>
      </c>
      <c r="H1094" s="1" t="s">
        <v>2070</v>
      </c>
      <c r="I1094" s="2"/>
      <c r="K1094">
        <v>5.7</v>
      </c>
      <c r="L1094" s="1" t="s">
        <v>96</v>
      </c>
      <c r="M1094" s="1" t="s">
        <v>63</v>
      </c>
    </row>
    <row r="1095" spans="1:13" x14ac:dyDescent="0.25">
      <c r="A1095" s="1" t="s">
        <v>2071</v>
      </c>
      <c r="B1095" s="1" t="s">
        <v>104</v>
      </c>
      <c r="C1095" s="1" t="s">
        <v>32</v>
      </c>
      <c r="D1095" s="1" t="s">
        <v>39</v>
      </c>
      <c r="E1095" s="1" t="s">
        <v>100</v>
      </c>
      <c r="F1095" s="1" t="s">
        <v>40</v>
      </c>
      <c r="G1095">
        <v>293027</v>
      </c>
      <c r="H1095" s="1" t="s">
        <v>2072</v>
      </c>
      <c r="I1095" s="2">
        <v>45352</v>
      </c>
      <c r="J1095">
        <v>113</v>
      </c>
      <c r="K1095">
        <v>4.4000000000000004</v>
      </c>
      <c r="L1095" s="1" t="s">
        <v>29</v>
      </c>
      <c r="M1095" s="1" t="s">
        <v>21</v>
      </c>
    </row>
    <row r="1096" spans="1:13" x14ac:dyDescent="0.25">
      <c r="A1096" s="1" t="s">
        <v>2073</v>
      </c>
      <c r="B1096" s="1" t="s">
        <v>127</v>
      </c>
      <c r="C1096" s="1" t="s">
        <v>1021</v>
      </c>
      <c r="D1096" s="1" t="s">
        <v>67</v>
      </c>
      <c r="E1096" s="1" t="s">
        <v>72</v>
      </c>
      <c r="F1096" s="1" t="s">
        <v>53</v>
      </c>
      <c r="G1096">
        <v>263816</v>
      </c>
      <c r="H1096" s="1" t="s">
        <v>396</v>
      </c>
      <c r="I1096" s="2"/>
      <c r="K1096">
        <v>7.1</v>
      </c>
      <c r="L1096" s="1" t="s">
        <v>20</v>
      </c>
      <c r="M1096" s="1" t="s">
        <v>149</v>
      </c>
    </row>
    <row r="1097" spans="1:13" x14ac:dyDescent="0.25">
      <c r="A1097" s="1" t="s">
        <v>2074</v>
      </c>
      <c r="B1097" s="1" t="s">
        <v>59</v>
      </c>
      <c r="C1097" s="1" t="s">
        <v>1462</v>
      </c>
      <c r="D1097" s="1" t="s">
        <v>90</v>
      </c>
      <c r="E1097" s="1" t="s">
        <v>61</v>
      </c>
      <c r="F1097" s="1" t="s">
        <v>53</v>
      </c>
      <c r="G1097">
        <v>369395</v>
      </c>
      <c r="H1097" s="1" t="s">
        <v>2075</v>
      </c>
      <c r="I1097" s="2"/>
      <c r="K1097">
        <v>5.3</v>
      </c>
      <c r="L1097" s="1" t="s">
        <v>49</v>
      </c>
      <c r="M1097" s="1" t="s">
        <v>63</v>
      </c>
    </row>
    <row r="1098" spans="1:13" x14ac:dyDescent="0.25">
      <c r="A1098" s="1" t="s">
        <v>2076</v>
      </c>
      <c r="B1098" s="1" t="s">
        <v>44</v>
      </c>
      <c r="C1098" s="1" t="s">
        <v>457</v>
      </c>
      <c r="D1098" s="1" t="s">
        <v>67</v>
      </c>
      <c r="E1098" s="1" t="s">
        <v>47</v>
      </c>
      <c r="F1098" s="1" t="s">
        <v>40</v>
      </c>
      <c r="G1098">
        <v>184136</v>
      </c>
      <c r="H1098" s="1" t="s">
        <v>978</v>
      </c>
      <c r="I1098" s="2">
        <v>45063</v>
      </c>
      <c r="J1098">
        <v>88</v>
      </c>
      <c r="K1098">
        <v>13.3</v>
      </c>
      <c r="L1098" s="1" t="s">
        <v>49</v>
      </c>
      <c r="M1098" s="1" t="s">
        <v>35</v>
      </c>
    </row>
    <row r="1099" spans="1:13" x14ac:dyDescent="0.25">
      <c r="A1099" s="1" t="s">
        <v>2077</v>
      </c>
      <c r="B1099" s="1" t="s">
        <v>98</v>
      </c>
      <c r="C1099" s="1" t="s">
        <v>66</v>
      </c>
      <c r="D1099" s="1" t="s">
        <v>39</v>
      </c>
      <c r="E1099" s="1" t="s">
        <v>77</v>
      </c>
      <c r="F1099" s="1" t="s">
        <v>53</v>
      </c>
      <c r="G1099">
        <v>487419</v>
      </c>
      <c r="H1099" s="1" t="s">
        <v>700</v>
      </c>
      <c r="I1099" s="2"/>
      <c r="K1099">
        <v>0</v>
      </c>
      <c r="L1099" s="1" t="s">
        <v>29</v>
      </c>
      <c r="M1099" s="1" t="s">
        <v>149</v>
      </c>
    </row>
    <row r="1100" spans="1:13" x14ac:dyDescent="0.25">
      <c r="A1100" s="1" t="s">
        <v>2078</v>
      </c>
      <c r="B1100" s="1" t="s">
        <v>65</v>
      </c>
      <c r="C1100" s="1" t="s">
        <v>162</v>
      </c>
      <c r="D1100" s="1" t="s">
        <v>90</v>
      </c>
      <c r="E1100" s="1" t="s">
        <v>94</v>
      </c>
      <c r="F1100" s="1" t="s">
        <v>40</v>
      </c>
      <c r="G1100">
        <v>257068</v>
      </c>
      <c r="H1100" s="1" t="s">
        <v>2072</v>
      </c>
      <c r="I1100" s="2">
        <v>45256</v>
      </c>
      <c r="J1100">
        <v>17</v>
      </c>
      <c r="K1100">
        <v>21.5</v>
      </c>
      <c r="L1100" s="1" t="s">
        <v>49</v>
      </c>
      <c r="M1100" s="1" t="s">
        <v>21</v>
      </c>
    </row>
    <row r="1101" spans="1:13" x14ac:dyDescent="0.25">
      <c r="A1101" s="1" t="s">
        <v>2079</v>
      </c>
      <c r="B1101" s="1" t="s">
        <v>65</v>
      </c>
      <c r="C1101" s="1" t="s">
        <v>809</v>
      </c>
      <c r="D1101" s="1" t="s">
        <v>16</v>
      </c>
      <c r="E1101" s="1" t="s">
        <v>72</v>
      </c>
      <c r="F1101" s="1" t="s">
        <v>33</v>
      </c>
      <c r="G1101">
        <v>402463</v>
      </c>
      <c r="H1101" s="1" t="s">
        <v>2080</v>
      </c>
      <c r="I1101" s="2"/>
      <c r="K1101">
        <v>5</v>
      </c>
      <c r="L1101" s="1" t="s">
        <v>20</v>
      </c>
      <c r="M1101" s="1" t="s">
        <v>102</v>
      </c>
    </row>
    <row r="1102" spans="1:13" x14ac:dyDescent="0.25">
      <c r="A1102" s="1" t="s">
        <v>2081</v>
      </c>
      <c r="B1102" s="1" t="s">
        <v>75</v>
      </c>
      <c r="C1102" s="1" t="s">
        <v>1582</v>
      </c>
      <c r="D1102" s="1" t="s">
        <v>46</v>
      </c>
      <c r="E1102" s="1" t="s">
        <v>61</v>
      </c>
      <c r="F1102" s="1" t="s">
        <v>33</v>
      </c>
      <c r="G1102">
        <v>117901</v>
      </c>
      <c r="H1102" s="1" t="s">
        <v>2082</v>
      </c>
      <c r="I1102" s="2"/>
      <c r="K1102">
        <v>12.6</v>
      </c>
      <c r="L1102" s="1" t="s">
        <v>96</v>
      </c>
      <c r="M1102" s="1" t="s">
        <v>42</v>
      </c>
    </row>
    <row r="1103" spans="1:13" x14ac:dyDescent="0.25">
      <c r="A1103" s="1" t="s">
        <v>2083</v>
      </c>
      <c r="B1103" s="1" t="s">
        <v>14</v>
      </c>
      <c r="C1103" s="1" t="s">
        <v>250</v>
      </c>
      <c r="D1103" s="1" t="s">
        <v>90</v>
      </c>
      <c r="E1103" s="1" t="s">
        <v>26</v>
      </c>
      <c r="F1103" s="1" t="s">
        <v>129</v>
      </c>
      <c r="G1103">
        <v>194726</v>
      </c>
      <c r="H1103" s="1" t="s">
        <v>1681</v>
      </c>
      <c r="I1103" s="2"/>
      <c r="L1103" s="1" t="s">
        <v>29</v>
      </c>
      <c r="M1103" s="1" t="s">
        <v>102</v>
      </c>
    </row>
    <row r="1104" spans="1:13" x14ac:dyDescent="0.25">
      <c r="A1104" s="1" t="s">
        <v>2084</v>
      </c>
      <c r="B1104" s="1" t="s">
        <v>80</v>
      </c>
      <c r="C1104" s="1" t="s">
        <v>154</v>
      </c>
      <c r="D1104" s="1" t="s">
        <v>67</v>
      </c>
      <c r="E1104" s="1" t="s">
        <v>72</v>
      </c>
      <c r="F1104" s="1" t="s">
        <v>40</v>
      </c>
      <c r="G1104">
        <v>428668</v>
      </c>
      <c r="H1104" s="1" t="s">
        <v>919</v>
      </c>
      <c r="I1104" s="2">
        <v>45378</v>
      </c>
      <c r="J1104">
        <v>81</v>
      </c>
      <c r="K1104">
        <v>10.5</v>
      </c>
      <c r="L1104" s="1" t="s">
        <v>20</v>
      </c>
      <c r="M1104" s="1" t="s">
        <v>69</v>
      </c>
    </row>
    <row r="1105" spans="1:13" x14ac:dyDescent="0.25">
      <c r="A1105" s="1" t="s">
        <v>2085</v>
      </c>
      <c r="B1105" s="1" t="s">
        <v>65</v>
      </c>
      <c r="C1105" s="1" t="s">
        <v>946</v>
      </c>
      <c r="D1105" s="1" t="s">
        <v>46</v>
      </c>
      <c r="E1105" s="1" t="s">
        <v>17</v>
      </c>
      <c r="F1105" s="1" t="s">
        <v>33</v>
      </c>
      <c r="G1105">
        <v>324615</v>
      </c>
      <c r="H1105" s="1" t="s">
        <v>2086</v>
      </c>
      <c r="I1105" s="2"/>
      <c r="L1105" s="1" t="s">
        <v>49</v>
      </c>
      <c r="M1105" s="1" t="s">
        <v>30</v>
      </c>
    </row>
    <row r="1106" spans="1:13" x14ac:dyDescent="0.25">
      <c r="A1106" s="1" t="s">
        <v>2087</v>
      </c>
      <c r="B1106" s="1" t="s">
        <v>37</v>
      </c>
      <c r="C1106" s="1" t="s">
        <v>237</v>
      </c>
      <c r="D1106" s="1" t="s">
        <v>46</v>
      </c>
      <c r="E1106" s="1" t="s">
        <v>17</v>
      </c>
      <c r="F1106" s="1" t="s">
        <v>18</v>
      </c>
      <c r="G1106">
        <v>107634</v>
      </c>
      <c r="H1106" s="1" t="s">
        <v>569</v>
      </c>
      <c r="I1106" s="2">
        <v>45166</v>
      </c>
      <c r="J1106">
        <v>115</v>
      </c>
      <c r="K1106">
        <v>11.8</v>
      </c>
      <c r="L1106" s="1" t="s">
        <v>20</v>
      </c>
      <c r="M1106" s="1" t="s">
        <v>30</v>
      </c>
    </row>
    <row r="1107" spans="1:13" x14ac:dyDescent="0.25">
      <c r="A1107" s="1" t="s">
        <v>2088</v>
      </c>
      <c r="B1107" s="1" t="s">
        <v>84</v>
      </c>
      <c r="C1107" s="1" t="s">
        <v>574</v>
      </c>
      <c r="D1107" s="1" t="s">
        <v>67</v>
      </c>
      <c r="E1107" s="1" t="s">
        <v>94</v>
      </c>
      <c r="F1107" s="1" t="s">
        <v>40</v>
      </c>
      <c r="G1107">
        <v>144440</v>
      </c>
      <c r="H1107" s="1" t="s">
        <v>1791</v>
      </c>
      <c r="I1107" s="2">
        <v>45768</v>
      </c>
      <c r="J1107">
        <v>120</v>
      </c>
      <c r="K1107">
        <v>22.3</v>
      </c>
      <c r="L1107" s="1" t="s">
        <v>20</v>
      </c>
      <c r="M1107" s="1" t="s">
        <v>42</v>
      </c>
    </row>
    <row r="1108" spans="1:13" x14ac:dyDescent="0.25">
      <c r="A1108" s="1" t="s">
        <v>2089</v>
      </c>
      <c r="B1108" s="1" t="s">
        <v>109</v>
      </c>
      <c r="C1108" s="1" t="s">
        <v>390</v>
      </c>
      <c r="D1108" s="1" t="s">
        <v>39</v>
      </c>
      <c r="E1108" s="1" t="s">
        <v>100</v>
      </c>
      <c r="F1108" s="1" t="s">
        <v>53</v>
      </c>
      <c r="G1108">
        <v>180182</v>
      </c>
      <c r="H1108" s="1" t="s">
        <v>1418</v>
      </c>
      <c r="I1108" s="2"/>
      <c r="K1108">
        <v>12.6</v>
      </c>
      <c r="L1108" s="1" t="s">
        <v>20</v>
      </c>
      <c r="M1108" s="1" t="s">
        <v>42</v>
      </c>
    </row>
    <row r="1109" spans="1:13" x14ac:dyDescent="0.25">
      <c r="A1109" s="1" t="s">
        <v>2090</v>
      </c>
      <c r="B1109" s="1" t="s">
        <v>173</v>
      </c>
      <c r="C1109" s="1" t="s">
        <v>2091</v>
      </c>
      <c r="D1109" s="1" t="s">
        <v>67</v>
      </c>
      <c r="E1109" s="1" t="s">
        <v>17</v>
      </c>
      <c r="F1109" s="1" t="s">
        <v>129</v>
      </c>
      <c r="G1109">
        <v>356244</v>
      </c>
      <c r="H1109" s="1" t="s">
        <v>28</v>
      </c>
      <c r="I1109" s="2"/>
      <c r="L1109" s="1" t="s">
        <v>49</v>
      </c>
      <c r="M1109" s="1" t="s">
        <v>30</v>
      </c>
    </row>
    <row r="1110" spans="1:13" x14ac:dyDescent="0.25">
      <c r="A1110" s="1" t="s">
        <v>2092</v>
      </c>
      <c r="B1110" s="1" t="s">
        <v>80</v>
      </c>
      <c r="C1110" s="1" t="s">
        <v>237</v>
      </c>
      <c r="D1110" s="1" t="s">
        <v>39</v>
      </c>
      <c r="E1110" s="1" t="s">
        <v>61</v>
      </c>
      <c r="F1110" s="1" t="s">
        <v>40</v>
      </c>
      <c r="G1110">
        <v>349253</v>
      </c>
      <c r="H1110" s="1" t="s">
        <v>2093</v>
      </c>
      <c r="I1110" s="2">
        <v>45576</v>
      </c>
      <c r="J1110">
        <v>102</v>
      </c>
      <c r="K1110">
        <v>11.5</v>
      </c>
      <c r="L1110" s="1" t="s">
        <v>49</v>
      </c>
      <c r="M1110" s="1" t="s">
        <v>149</v>
      </c>
    </row>
    <row r="1111" spans="1:13" x14ac:dyDescent="0.25">
      <c r="A1111" s="1" t="s">
        <v>2094</v>
      </c>
      <c r="B1111" s="1" t="s">
        <v>88</v>
      </c>
      <c r="C1111" s="1" t="s">
        <v>273</v>
      </c>
      <c r="D1111" s="1" t="s">
        <v>39</v>
      </c>
      <c r="E1111" s="1" t="s">
        <v>47</v>
      </c>
      <c r="F1111" s="1" t="s">
        <v>129</v>
      </c>
      <c r="G1111">
        <v>183137</v>
      </c>
      <c r="H1111" s="1" t="s">
        <v>2095</v>
      </c>
      <c r="I1111" s="2"/>
      <c r="K1111">
        <v>11.8</v>
      </c>
      <c r="L1111" s="1" t="s">
        <v>20</v>
      </c>
      <c r="M1111" s="1" t="s">
        <v>35</v>
      </c>
    </row>
    <row r="1112" spans="1:13" x14ac:dyDescent="0.25">
      <c r="A1112" s="1" t="s">
        <v>2096</v>
      </c>
      <c r="B1112" s="1" t="s">
        <v>127</v>
      </c>
      <c r="C1112" s="1" t="s">
        <v>805</v>
      </c>
      <c r="D1112" s="1" t="s">
        <v>67</v>
      </c>
      <c r="E1112" s="1" t="s">
        <v>94</v>
      </c>
      <c r="F1112" s="1" t="s">
        <v>53</v>
      </c>
      <c r="G1112">
        <v>170194</v>
      </c>
      <c r="H1112" s="1" t="s">
        <v>730</v>
      </c>
      <c r="I1112" s="2"/>
      <c r="L1112" s="1" t="s">
        <v>29</v>
      </c>
      <c r="M1112" s="1" t="s">
        <v>35</v>
      </c>
    </row>
    <row r="1113" spans="1:13" x14ac:dyDescent="0.25">
      <c r="A1113" s="1" t="s">
        <v>2097</v>
      </c>
      <c r="B1113" s="1" t="s">
        <v>127</v>
      </c>
      <c r="C1113" s="1" t="s">
        <v>292</v>
      </c>
      <c r="D1113" s="1" t="s">
        <v>25</v>
      </c>
      <c r="E1113" s="1" t="s">
        <v>26</v>
      </c>
      <c r="F1113" s="1" t="s">
        <v>27</v>
      </c>
      <c r="G1113">
        <v>900800</v>
      </c>
      <c r="H1113" s="1" t="s">
        <v>2098</v>
      </c>
      <c r="I1113" s="2"/>
      <c r="L1113" s="1" t="s">
        <v>20</v>
      </c>
      <c r="M1113" s="1" t="s">
        <v>30</v>
      </c>
    </row>
    <row r="1114" spans="1:13" x14ac:dyDescent="0.25">
      <c r="A1114" s="1" t="s">
        <v>2099</v>
      </c>
      <c r="B1114" s="1" t="s">
        <v>84</v>
      </c>
      <c r="C1114" s="1" t="s">
        <v>1021</v>
      </c>
      <c r="D1114" s="1" t="s">
        <v>16</v>
      </c>
      <c r="E1114" s="1" t="s">
        <v>100</v>
      </c>
      <c r="F1114" s="1" t="s">
        <v>33</v>
      </c>
      <c r="G1114">
        <v>443974</v>
      </c>
      <c r="H1114" s="1" t="s">
        <v>670</v>
      </c>
      <c r="I1114" s="2"/>
      <c r="K1114">
        <v>3</v>
      </c>
      <c r="L1114" s="1" t="s">
        <v>29</v>
      </c>
      <c r="M1114" s="1" t="s">
        <v>35</v>
      </c>
    </row>
    <row r="1115" spans="1:13" x14ac:dyDescent="0.25">
      <c r="A1115" s="1" t="s">
        <v>2100</v>
      </c>
      <c r="B1115" s="1" t="s">
        <v>127</v>
      </c>
      <c r="C1115" s="1" t="s">
        <v>192</v>
      </c>
      <c r="D1115" s="1" t="s">
        <v>25</v>
      </c>
      <c r="E1115" s="1" t="s">
        <v>72</v>
      </c>
      <c r="F1115" s="1" t="s">
        <v>53</v>
      </c>
      <c r="G1115">
        <v>319496</v>
      </c>
      <c r="H1115" s="1" t="s">
        <v>1580</v>
      </c>
      <c r="I1115" s="2"/>
      <c r="K1115">
        <v>12.2</v>
      </c>
      <c r="L1115" s="1" t="s">
        <v>49</v>
      </c>
      <c r="M1115" s="1" t="s">
        <v>30</v>
      </c>
    </row>
    <row r="1116" spans="1:13" x14ac:dyDescent="0.25">
      <c r="A1116" s="1" t="s">
        <v>2101</v>
      </c>
      <c r="B1116" s="1" t="s">
        <v>59</v>
      </c>
      <c r="C1116" s="1" t="s">
        <v>928</v>
      </c>
      <c r="D1116" s="1" t="s">
        <v>46</v>
      </c>
      <c r="E1116" s="1" t="s">
        <v>72</v>
      </c>
      <c r="F1116" s="1" t="s">
        <v>33</v>
      </c>
      <c r="G1116">
        <v>384484</v>
      </c>
      <c r="H1116" s="1" t="s">
        <v>725</v>
      </c>
      <c r="I1116" s="2"/>
      <c r="L1116" s="1" t="s">
        <v>49</v>
      </c>
      <c r="M1116" s="1" t="s">
        <v>21</v>
      </c>
    </row>
    <row r="1117" spans="1:13" x14ac:dyDescent="0.25">
      <c r="A1117" s="1" t="s">
        <v>2102</v>
      </c>
      <c r="B1117" s="1" t="s">
        <v>23</v>
      </c>
      <c r="C1117" s="1" t="s">
        <v>505</v>
      </c>
      <c r="D1117" s="1" t="s">
        <v>67</v>
      </c>
      <c r="E1117" s="1" t="s">
        <v>51</v>
      </c>
      <c r="F1117" s="1" t="s">
        <v>27</v>
      </c>
      <c r="G1117">
        <v>1933238</v>
      </c>
      <c r="H1117" s="1" t="s">
        <v>2103</v>
      </c>
      <c r="I1117" s="2"/>
      <c r="L1117" s="1" t="s">
        <v>29</v>
      </c>
      <c r="M1117" s="1" t="s">
        <v>69</v>
      </c>
    </row>
    <row r="1118" spans="1:13" x14ac:dyDescent="0.25">
      <c r="A1118" s="1" t="s">
        <v>2104</v>
      </c>
      <c r="B1118" s="1" t="s">
        <v>88</v>
      </c>
      <c r="C1118" s="1" t="s">
        <v>882</v>
      </c>
      <c r="D1118" s="1" t="s">
        <v>25</v>
      </c>
      <c r="E1118" s="1" t="s">
        <v>94</v>
      </c>
      <c r="F1118" s="1" t="s">
        <v>18</v>
      </c>
      <c r="G1118">
        <v>168296</v>
      </c>
      <c r="H1118" s="1" t="s">
        <v>230</v>
      </c>
      <c r="I1118" s="2">
        <v>45439</v>
      </c>
      <c r="J1118">
        <v>112</v>
      </c>
      <c r="K1118">
        <v>6.4</v>
      </c>
      <c r="L1118" s="1" t="s">
        <v>96</v>
      </c>
      <c r="M1118" s="1" t="s">
        <v>69</v>
      </c>
    </row>
    <row r="1119" spans="1:13" x14ac:dyDescent="0.25">
      <c r="A1119" s="1" t="s">
        <v>2105</v>
      </c>
      <c r="B1119" s="1" t="s">
        <v>59</v>
      </c>
      <c r="C1119" s="1" t="s">
        <v>1142</v>
      </c>
      <c r="D1119" s="1" t="s">
        <v>16</v>
      </c>
      <c r="E1119" s="1" t="s">
        <v>47</v>
      </c>
      <c r="F1119" s="1" t="s">
        <v>27</v>
      </c>
      <c r="G1119">
        <v>1682617</v>
      </c>
      <c r="H1119" s="1" t="s">
        <v>1656</v>
      </c>
      <c r="I1119" s="2"/>
      <c r="K1119">
        <v>7</v>
      </c>
      <c r="L1119" s="1" t="s">
        <v>20</v>
      </c>
      <c r="M1119" s="1" t="s">
        <v>149</v>
      </c>
    </row>
    <row r="1120" spans="1:13" x14ac:dyDescent="0.25">
      <c r="A1120" s="1" t="s">
        <v>2106</v>
      </c>
      <c r="B1120" s="1" t="s">
        <v>84</v>
      </c>
      <c r="C1120" s="1" t="s">
        <v>800</v>
      </c>
      <c r="D1120" s="1" t="s">
        <v>39</v>
      </c>
      <c r="E1120" s="1" t="s">
        <v>47</v>
      </c>
      <c r="F1120" s="1" t="s">
        <v>129</v>
      </c>
      <c r="G1120">
        <v>153082</v>
      </c>
      <c r="H1120" s="1" t="s">
        <v>1301</v>
      </c>
      <c r="I1120" s="2"/>
      <c r="K1120">
        <v>3.2</v>
      </c>
      <c r="L1120" s="1" t="s">
        <v>29</v>
      </c>
      <c r="M1120" s="1" t="s">
        <v>42</v>
      </c>
    </row>
    <row r="1121" spans="1:13" x14ac:dyDescent="0.25">
      <c r="A1121" s="1" t="s">
        <v>2107</v>
      </c>
      <c r="B1121" s="1" t="s">
        <v>127</v>
      </c>
      <c r="C1121" s="1" t="s">
        <v>1178</v>
      </c>
      <c r="D1121" s="1" t="s">
        <v>25</v>
      </c>
      <c r="E1121" s="1" t="s">
        <v>100</v>
      </c>
      <c r="F1121" s="1" t="s">
        <v>40</v>
      </c>
      <c r="G1121">
        <v>456390</v>
      </c>
      <c r="H1121" s="1" t="s">
        <v>1044</v>
      </c>
      <c r="I1121" s="2">
        <v>45729</v>
      </c>
      <c r="J1121">
        <v>25</v>
      </c>
      <c r="K1121">
        <v>3.7</v>
      </c>
      <c r="L1121" s="1" t="s">
        <v>20</v>
      </c>
      <c r="M1121" s="1" t="s">
        <v>63</v>
      </c>
    </row>
    <row r="1122" spans="1:13" x14ac:dyDescent="0.25">
      <c r="A1122" s="1" t="s">
        <v>2108</v>
      </c>
      <c r="B1122" s="1" t="s">
        <v>23</v>
      </c>
      <c r="C1122" s="1" t="s">
        <v>1170</v>
      </c>
      <c r="D1122" s="1" t="s">
        <v>67</v>
      </c>
      <c r="E1122" s="1" t="s">
        <v>26</v>
      </c>
      <c r="F1122" s="1" t="s">
        <v>40</v>
      </c>
      <c r="G1122">
        <v>283930</v>
      </c>
      <c r="H1122" s="1" t="s">
        <v>2109</v>
      </c>
      <c r="I1122" s="2">
        <v>45411</v>
      </c>
      <c r="J1122">
        <v>168</v>
      </c>
      <c r="K1122">
        <v>1.6</v>
      </c>
      <c r="L1122" s="1" t="s">
        <v>29</v>
      </c>
      <c r="M1122" s="1" t="s">
        <v>21</v>
      </c>
    </row>
    <row r="1123" spans="1:13" x14ac:dyDescent="0.25">
      <c r="A1123" s="1" t="s">
        <v>2110</v>
      </c>
      <c r="B1123" s="1" t="s">
        <v>65</v>
      </c>
      <c r="C1123" s="1" t="s">
        <v>147</v>
      </c>
      <c r="D1123" s="1" t="s">
        <v>25</v>
      </c>
      <c r="E1123" s="1" t="s">
        <v>94</v>
      </c>
      <c r="F1123" s="1" t="s">
        <v>18</v>
      </c>
      <c r="G1123">
        <v>107279</v>
      </c>
      <c r="H1123" s="1" t="s">
        <v>948</v>
      </c>
      <c r="I1123" s="2">
        <v>45498</v>
      </c>
      <c r="J1123">
        <v>155</v>
      </c>
      <c r="L1123" s="1" t="s">
        <v>49</v>
      </c>
      <c r="M1123" s="1" t="s">
        <v>69</v>
      </c>
    </row>
    <row r="1124" spans="1:13" x14ac:dyDescent="0.25">
      <c r="A1124" s="1" t="s">
        <v>2111</v>
      </c>
      <c r="B1124" s="1" t="s">
        <v>75</v>
      </c>
      <c r="C1124" s="1" t="s">
        <v>767</v>
      </c>
      <c r="D1124" s="1" t="s">
        <v>39</v>
      </c>
      <c r="E1124" s="1" t="s">
        <v>77</v>
      </c>
      <c r="F1124" s="1" t="s">
        <v>53</v>
      </c>
      <c r="G1124">
        <v>122477</v>
      </c>
      <c r="H1124" s="1" t="s">
        <v>139</v>
      </c>
      <c r="I1124" s="2"/>
      <c r="L1124" s="1" t="s">
        <v>20</v>
      </c>
      <c r="M1124" s="1" t="s">
        <v>30</v>
      </c>
    </row>
    <row r="1125" spans="1:13" x14ac:dyDescent="0.25">
      <c r="A1125" s="1" t="s">
        <v>2112</v>
      </c>
      <c r="B1125" s="1" t="s">
        <v>37</v>
      </c>
      <c r="C1125" s="1" t="s">
        <v>32</v>
      </c>
      <c r="D1125" s="1" t="s">
        <v>67</v>
      </c>
      <c r="E1125" s="1" t="s">
        <v>61</v>
      </c>
      <c r="F1125" s="1" t="s">
        <v>18</v>
      </c>
      <c r="G1125">
        <v>401278</v>
      </c>
      <c r="H1125" s="1" t="s">
        <v>1522</v>
      </c>
      <c r="I1125" s="2">
        <v>45169</v>
      </c>
      <c r="J1125">
        <v>72</v>
      </c>
      <c r="L1125" s="1" t="s">
        <v>49</v>
      </c>
      <c r="M1125" s="1" t="s">
        <v>30</v>
      </c>
    </row>
    <row r="1126" spans="1:13" x14ac:dyDescent="0.25">
      <c r="A1126" s="1" t="s">
        <v>2113</v>
      </c>
      <c r="B1126" s="1" t="s">
        <v>23</v>
      </c>
      <c r="C1126" s="1" t="s">
        <v>454</v>
      </c>
      <c r="D1126" s="1" t="s">
        <v>39</v>
      </c>
      <c r="E1126" s="1" t="s">
        <v>47</v>
      </c>
      <c r="F1126" s="1" t="s">
        <v>33</v>
      </c>
      <c r="G1126">
        <v>335495</v>
      </c>
      <c r="H1126" s="1" t="s">
        <v>2114</v>
      </c>
      <c r="I1126" s="2"/>
      <c r="K1126">
        <v>3.1</v>
      </c>
      <c r="L1126" s="1" t="s">
        <v>29</v>
      </c>
      <c r="M1126" s="1" t="s">
        <v>149</v>
      </c>
    </row>
    <row r="1127" spans="1:13" x14ac:dyDescent="0.25">
      <c r="A1127" s="1" t="s">
        <v>2115</v>
      </c>
      <c r="B1127" s="1" t="s">
        <v>65</v>
      </c>
      <c r="C1127" s="1" t="s">
        <v>1185</v>
      </c>
      <c r="D1127" s="1" t="s">
        <v>67</v>
      </c>
      <c r="E1127" s="1" t="s">
        <v>51</v>
      </c>
      <c r="F1127" s="1" t="s">
        <v>53</v>
      </c>
      <c r="G1127">
        <v>67858</v>
      </c>
      <c r="H1127" s="1" t="s">
        <v>2116</v>
      </c>
      <c r="I1127" s="2"/>
      <c r="K1127">
        <v>6.8</v>
      </c>
      <c r="L1127" s="1" t="s">
        <v>20</v>
      </c>
      <c r="M1127" s="1" t="s">
        <v>149</v>
      </c>
    </row>
    <row r="1128" spans="1:13" x14ac:dyDescent="0.25">
      <c r="A1128" s="1" t="s">
        <v>2117</v>
      </c>
      <c r="B1128" s="1" t="s">
        <v>75</v>
      </c>
      <c r="C1128" s="1" t="s">
        <v>583</v>
      </c>
      <c r="D1128" s="1" t="s">
        <v>39</v>
      </c>
      <c r="E1128" s="1" t="s">
        <v>94</v>
      </c>
      <c r="F1128" s="1" t="s">
        <v>53</v>
      </c>
      <c r="G1128">
        <v>64806</v>
      </c>
      <c r="H1128" s="1" t="s">
        <v>1869</v>
      </c>
      <c r="I1128" s="2"/>
      <c r="K1128">
        <v>11.4</v>
      </c>
      <c r="L1128" s="1" t="s">
        <v>49</v>
      </c>
      <c r="M1128" s="1" t="s">
        <v>149</v>
      </c>
    </row>
    <row r="1129" spans="1:13" x14ac:dyDescent="0.25">
      <c r="A1129" s="1" t="s">
        <v>2118</v>
      </c>
      <c r="B1129" s="1" t="s">
        <v>44</v>
      </c>
      <c r="C1129" s="1" t="s">
        <v>192</v>
      </c>
      <c r="D1129" s="1" t="s">
        <v>25</v>
      </c>
      <c r="E1129" s="1" t="s">
        <v>61</v>
      </c>
      <c r="F1129" s="1" t="s">
        <v>129</v>
      </c>
      <c r="G1129">
        <v>1799142</v>
      </c>
      <c r="H1129" s="1" t="s">
        <v>902</v>
      </c>
      <c r="I1129" s="2"/>
      <c r="L1129" s="1" t="s">
        <v>20</v>
      </c>
      <c r="M1129" s="1" t="s">
        <v>149</v>
      </c>
    </row>
    <row r="1130" spans="1:13" x14ac:dyDescent="0.25">
      <c r="A1130" s="1" t="s">
        <v>2119</v>
      </c>
      <c r="B1130" s="1" t="s">
        <v>44</v>
      </c>
      <c r="C1130" s="1" t="s">
        <v>15</v>
      </c>
      <c r="D1130" s="1" t="s">
        <v>25</v>
      </c>
      <c r="E1130" s="1" t="s">
        <v>47</v>
      </c>
      <c r="F1130" s="1" t="s">
        <v>40</v>
      </c>
      <c r="G1130">
        <v>84175</v>
      </c>
      <c r="H1130" s="1" t="s">
        <v>604</v>
      </c>
      <c r="I1130" s="2">
        <v>45503</v>
      </c>
      <c r="J1130">
        <v>70</v>
      </c>
      <c r="K1130">
        <v>0.3</v>
      </c>
      <c r="L1130" s="1" t="s">
        <v>49</v>
      </c>
      <c r="M1130" s="1" t="s">
        <v>107</v>
      </c>
    </row>
    <row r="1131" spans="1:13" x14ac:dyDescent="0.25">
      <c r="A1131" s="1" t="s">
        <v>2120</v>
      </c>
      <c r="B1131" s="1" t="s">
        <v>51</v>
      </c>
      <c r="C1131" s="1" t="s">
        <v>732</v>
      </c>
      <c r="D1131" s="1" t="s">
        <v>67</v>
      </c>
      <c r="E1131" s="1" t="s">
        <v>61</v>
      </c>
      <c r="F1131" s="1" t="s">
        <v>129</v>
      </c>
      <c r="G1131">
        <v>347196</v>
      </c>
      <c r="H1131" s="1" t="s">
        <v>1784</v>
      </c>
      <c r="I1131" s="2"/>
      <c r="L1131" s="1" t="s">
        <v>29</v>
      </c>
      <c r="M1131" s="1" t="s">
        <v>69</v>
      </c>
    </row>
    <row r="1132" spans="1:13" x14ac:dyDescent="0.25">
      <c r="A1132" s="1" t="s">
        <v>2121</v>
      </c>
      <c r="B1132" s="1" t="s">
        <v>80</v>
      </c>
      <c r="C1132" s="1" t="s">
        <v>303</v>
      </c>
      <c r="D1132" s="1" t="s">
        <v>16</v>
      </c>
      <c r="E1132" s="1" t="s">
        <v>72</v>
      </c>
      <c r="F1132" s="1" t="s">
        <v>40</v>
      </c>
      <c r="G1132">
        <v>292568</v>
      </c>
      <c r="H1132" s="1" t="s">
        <v>385</v>
      </c>
      <c r="I1132" s="2">
        <v>45270</v>
      </c>
      <c r="J1132">
        <v>149</v>
      </c>
      <c r="K1132">
        <v>19.100000000000001</v>
      </c>
      <c r="L1132" s="1" t="s">
        <v>29</v>
      </c>
      <c r="M1132" s="1" t="s">
        <v>102</v>
      </c>
    </row>
    <row r="1133" spans="1:13" x14ac:dyDescent="0.25">
      <c r="A1133" s="1" t="s">
        <v>2122</v>
      </c>
      <c r="B1133" s="1" t="s">
        <v>84</v>
      </c>
      <c r="C1133" s="1" t="s">
        <v>198</v>
      </c>
      <c r="D1133" s="1" t="s">
        <v>46</v>
      </c>
      <c r="E1133" s="1" t="s">
        <v>47</v>
      </c>
      <c r="F1133" s="1" t="s">
        <v>33</v>
      </c>
      <c r="G1133">
        <v>375536</v>
      </c>
      <c r="H1133" s="1" t="s">
        <v>196</v>
      </c>
      <c r="I1133" s="2"/>
      <c r="K1133">
        <v>3.5</v>
      </c>
      <c r="L1133" s="1" t="s">
        <v>20</v>
      </c>
      <c r="M1133" s="1" t="s">
        <v>21</v>
      </c>
    </row>
    <row r="1134" spans="1:13" x14ac:dyDescent="0.25">
      <c r="A1134" s="1" t="s">
        <v>2123</v>
      </c>
      <c r="B1134" s="1" t="s">
        <v>104</v>
      </c>
      <c r="C1134" s="1" t="s">
        <v>151</v>
      </c>
      <c r="D1134" s="1" t="s">
        <v>46</v>
      </c>
      <c r="E1134" s="1" t="s">
        <v>77</v>
      </c>
      <c r="F1134" s="1" t="s">
        <v>53</v>
      </c>
      <c r="G1134">
        <v>100519</v>
      </c>
      <c r="H1134" s="1" t="s">
        <v>230</v>
      </c>
      <c r="I1134" s="2"/>
      <c r="L1134" s="1" t="s">
        <v>49</v>
      </c>
      <c r="M1134" s="1" t="s">
        <v>69</v>
      </c>
    </row>
    <row r="1135" spans="1:13" x14ac:dyDescent="0.25">
      <c r="A1135" s="1" t="s">
        <v>2124</v>
      </c>
      <c r="B1135" s="1" t="s">
        <v>44</v>
      </c>
      <c r="C1135" s="1" t="s">
        <v>696</v>
      </c>
      <c r="D1135" s="1" t="s">
        <v>16</v>
      </c>
      <c r="E1135" s="1" t="s">
        <v>47</v>
      </c>
      <c r="F1135" s="1" t="s">
        <v>33</v>
      </c>
      <c r="G1135">
        <v>386603</v>
      </c>
      <c r="H1135" s="1" t="s">
        <v>1512</v>
      </c>
      <c r="I1135" s="2"/>
      <c r="L1135" s="1" t="s">
        <v>96</v>
      </c>
      <c r="M1135" s="1" t="s">
        <v>69</v>
      </c>
    </row>
    <row r="1136" spans="1:13" x14ac:dyDescent="0.25">
      <c r="A1136" s="1" t="s">
        <v>2125</v>
      </c>
      <c r="B1136" s="1" t="s">
        <v>44</v>
      </c>
      <c r="C1136" s="1" t="s">
        <v>1470</v>
      </c>
      <c r="D1136" s="1" t="s">
        <v>39</v>
      </c>
      <c r="E1136" s="1" t="s">
        <v>72</v>
      </c>
      <c r="F1136" s="1" t="s">
        <v>129</v>
      </c>
      <c r="G1136">
        <v>252697</v>
      </c>
      <c r="H1136" s="1" t="s">
        <v>139</v>
      </c>
      <c r="I1136" s="2"/>
      <c r="L1136" s="1" t="s">
        <v>20</v>
      </c>
      <c r="M1136" s="1" t="s">
        <v>30</v>
      </c>
    </row>
    <row r="1137" spans="1:13" x14ac:dyDescent="0.25">
      <c r="A1137" s="1" t="s">
        <v>2126</v>
      </c>
      <c r="B1137" s="1" t="s">
        <v>14</v>
      </c>
      <c r="C1137" s="1" t="s">
        <v>287</v>
      </c>
      <c r="D1137" s="1" t="s">
        <v>39</v>
      </c>
      <c r="E1137" s="1" t="s">
        <v>77</v>
      </c>
      <c r="F1137" s="1" t="s">
        <v>18</v>
      </c>
      <c r="G1137">
        <v>217192</v>
      </c>
      <c r="H1137" s="1" t="s">
        <v>1666</v>
      </c>
      <c r="I1137" s="2">
        <v>45846</v>
      </c>
      <c r="J1137">
        <v>149</v>
      </c>
      <c r="K1137">
        <v>8.6</v>
      </c>
      <c r="L1137" s="1" t="s">
        <v>96</v>
      </c>
      <c r="M1137" s="1" t="s">
        <v>63</v>
      </c>
    </row>
    <row r="1138" spans="1:13" x14ac:dyDescent="0.25">
      <c r="A1138" s="1" t="s">
        <v>2127</v>
      </c>
      <c r="B1138" s="1" t="s">
        <v>109</v>
      </c>
      <c r="C1138" s="1" t="s">
        <v>99</v>
      </c>
      <c r="D1138" s="1" t="s">
        <v>25</v>
      </c>
      <c r="E1138" s="1" t="s">
        <v>17</v>
      </c>
      <c r="F1138" s="1" t="s">
        <v>33</v>
      </c>
      <c r="G1138">
        <v>475859</v>
      </c>
      <c r="H1138" s="1" t="s">
        <v>978</v>
      </c>
      <c r="I1138" s="2"/>
      <c r="K1138">
        <v>3.5</v>
      </c>
      <c r="L1138" s="1" t="s">
        <v>49</v>
      </c>
      <c r="M1138" s="1" t="s">
        <v>35</v>
      </c>
    </row>
    <row r="1139" spans="1:13" x14ac:dyDescent="0.25">
      <c r="A1139" s="1" t="s">
        <v>2128</v>
      </c>
      <c r="B1139" s="1" t="s">
        <v>37</v>
      </c>
      <c r="C1139" s="1" t="s">
        <v>737</v>
      </c>
      <c r="D1139" s="1" t="s">
        <v>67</v>
      </c>
      <c r="E1139" s="1" t="s">
        <v>100</v>
      </c>
      <c r="F1139" s="1" t="s">
        <v>40</v>
      </c>
      <c r="G1139">
        <v>56200</v>
      </c>
      <c r="H1139" s="1" t="s">
        <v>2129</v>
      </c>
      <c r="I1139" s="2">
        <v>45112</v>
      </c>
      <c r="J1139">
        <v>100</v>
      </c>
      <c r="K1139">
        <v>8.9</v>
      </c>
      <c r="L1139" s="1" t="s">
        <v>29</v>
      </c>
      <c r="M1139" s="1" t="s">
        <v>35</v>
      </c>
    </row>
    <row r="1140" spans="1:13" x14ac:dyDescent="0.25">
      <c r="A1140" s="1" t="s">
        <v>2130</v>
      </c>
      <c r="B1140" s="1" t="s">
        <v>109</v>
      </c>
      <c r="C1140" s="1" t="s">
        <v>1112</v>
      </c>
      <c r="D1140" s="1" t="s">
        <v>39</v>
      </c>
      <c r="E1140" s="1" t="s">
        <v>100</v>
      </c>
      <c r="F1140" s="1" t="s">
        <v>40</v>
      </c>
      <c r="G1140">
        <v>231217</v>
      </c>
      <c r="H1140" s="1" t="s">
        <v>581</v>
      </c>
      <c r="I1140" s="2">
        <v>45447</v>
      </c>
      <c r="J1140">
        <v>110</v>
      </c>
      <c r="K1140">
        <v>23.5</v>
      </c>
      <c r="L1140" s="1" t="s">
        <v>20</v>
      </c>
      <c r="M1140" s="1" t="s">
        <v>69</v>
      </c>
    </row>
    <row r="1141" spans="1:13" x14ac:dyDescent="0.25">
      <c r="A1141" s="1" t="s">
        <v>2131</v>
      </c>
      <c r="B1141" s="1" t="s">
        <v>59</v>
      </c>
      <c r="C1141" s="1" t="s">
        <v>747</v>
      </c>
      <c r="D1141" s="1" t="s">
        <v>16</v>
      </c>
      <c r="E1141" s="1" t="s">
        <v>47</v>
      </c>
      <c r="F1141" s="1" t="s">
        <v>129</v>
      </c>
      <c r="G1141">
        <v>481113</v>
      </c>
      <c r="H1141" s="1" t="s">
        <v>1446</v>
      </c>
      <c r="I1141" s="2"/>
      <c r="L1141" s="1" t="s">
        <v>49</v>
      </c>
      <c r="M1141" s="1" t="s">
        <v>149</v>
      </c>
    </row>
    <row r="1142" spans="1:13" x14ac:dyDescent="0.25">
      <c r="A1142" s="1" t="s">
        <v>2132</v>
      </c>
      <c r="B1142" s="1" t="s">
        <v>127</v>
      </c>
      <c r="C1142" s="1" t="s">
        <v>358</v>
      </c>
      <c r="D1142" s="1" t="s">
        <v>39</v>
      </c>
      <c r="E1142" s="1" t="s">
        <v>100</v>
      </c>
      <c r="F1142" s="1" t="s">
        <v>53</v>
      </c>
      <c r="G1142">
        <v>147811</v>
      </c>
      <c r="H1142" s="1" t="s">
        <v>1490</v>
      </c>
      <c r="I1142" s="2"/>
      <c r="K1142">
        <v>5.6</v>
      </c>
      <c r="L1142" s="1" t="s">
        <v>49</v>
      </c>
      <c r="M1142" s="1" t="s">
        <v>21</v>
      </c>
    </row>
    <row r="1143" spans="1:13" x14ac:dyDescent="0.25">
      <c r="A1143" s="1" t="s">
        <v>2133</v>
      </c>
      <c r="B1143" s="1" t="s">
        <v>98</v>
      </c>
      <c r="C1143" s="1" t="s">
        <v>1914</v>
      </c>
      <c r="D1143" s="1" t="s">
        <v>46</v>
      </c>
      <c r="E1143" s="1" t="s">
        <v>26</v>
      </c>
      <c r="F1143" s="1" t="s">
        <v>129</v>
      </c>
      <c r="G1143">
        <v>330090</v>
      </c>
      <c r="H1143" s="1" t="s">
        <v>427</v>
      </c>
      <c r="I1143" s="2"/>
      <c r="K1143">
        <v>7</v>
      </c>
      <c r="L1143" s="1" t="s">
        <v>29</v>
      </c>
      <c r="M1143" s="1" t="s">
        <v>35</v>
      </c>
    </row>
    <row r="1144" spans="1:13" x14ac:dyDescent="0.25">
      <c r="A1144" s="1" t="s">
        <v>2134</v>
      </c>
      <c r="B1144" s="1" t="s">
        <v>127</v>
      </c>
      <c r="C1144" s="1" t="s">
        <v>800</v>
      </c>
      <c r="D1144" s="1" t="s">
        <v>25</v>
      </c>
      <c r="E1144" s="1" t="s">
        <v>94</v>
      </c>
      <c r="F1144" s="1" t="s">
        <v>18</v>
      </c>
      <c r="G1144">
        <v>320635</v>
      </c>
      <c r="H1144" s="1" t="s">
        <v>1435</v>
      </c>
      <c r="I1144" s="2">
        <v>45560</v>
      </c>
      <c r="J1144">
        <v>31</v>
      </c>
      <c r="K1144">
        <v>3.4</v>
      </c>
      <c r="L1144" s="1" t="s">
        <v>29</v>
      </c>
      <c r="M1144" s="1" t="s">
        <v>149</v>
      </c>
    </row>
    <row r="1145" spans="1:13" x14ac:dyDescent="0.25">
      <c r="A1145" s="1" t="s">
        <v>2135</v>
      </c>
      <c r="B1145" s="1" t="s">
        <v>44</v>
      </c>
      <c r="C1145" s="1" t="s">
        <v>1106</v>
      </c>
      <c r="D1145" s="1" t="s">
        <v>67</v>
      </c>
      <c r="E1145" s="1" t="s">
        <v>17</v>
      </c>
      <c r="F1145" s="1" t="s">
        <v>18</v>
      </c>
      <c r="G1145">
        <v>431788</v>
      </c>
      <c r="H1145" s="1" t="s">
        <v>1173</v>
      </c>
      <c r="I1145" s="2">
        <v>45514</v>
      </c>
      <c r="J1145">
        <v>93</v>
      </c>
      <c r="L1145" s="1" t="s">
        <v>20</v>
      </c>
      <c r="M1145" s="1" t="s">
        <v>107</v>
      </c>
    </row>
    <row r="1146" spans="1:13" x14ac:dyDescent="0.25">
      <c r="A1146" s="1" t="s">
        <v>2136</v>
      </c>
      <c r="B1146" s="1" t="s">
        <v>88</v>
      </c>
      <c r="C1146" s="1" t="s">
        <v>313</v>
      </c>
      <c r="D1146" s="1" t="s">
        <v>39</v>
      </c>
      <c r="E1146" s="1" t="s">
        <v>17</v>
      </c>
      <c r="F1146" s="1" t="s">
        <v>53</v>
      </c>
      <c r="G1146">
        <v>116732</v>
      </c>
      <c r="H1146" s="1" t="s">
        <v>827</v>
      </c>
      <c r="I1146" s="2"/>
      <c r="L1146" s="1" t="s">
        <v>96</v>
      </c>
      <c r="M1146" s="1" t="s">
        <v>21</v>
      </c>
    </row>
    <row r="1147" spans="1:13" x14ac:dyDescent="0.25">
      <c r="A1147" s="1" t="s">
        <v>2137</v>
      </c>
      <c r="B1147" s="1" t="s">
        <v>23</v>
      </c>
      <c r="C1147" s="1" t="s">
        <v>1157</v>
      </c>
      <c r="D1147" s="1" t="s">
        <v>25</v>
      </c>
      <c r="E1147" s="1" t="s">
        <v>47</v>
      </c>
      <c r="F1147" s="1" t="s">
        <v>18</v>
      </c>
      <c r="G1147">
        <v>262556</v>
      </c>
      <c r="H1147" s="1" t="s">
        <v>2138</v>
      </c>
      <c r="I1147" s="2">
        <v>45537</v>
      </c>
      <c r="J1147">
        <v>53</v>
      </c>
      <c r="K1147">
        <v>4.5999999999999996</v>
      </c>
      <c r="L1147" s="1" t="s">
        <v>96</v>
      </c>
      <c r="M1147" s="1" t="s">
        <v>149</v>
      </c>
    </row>
    <row r="1148" spans="1:13" x14ac:dyDescent="0.25">
      <c r="A1148" s="1" t="s">
        <v>2139</v>
      </c>
      <c r="B1148" s="1" t="s">
        <v>88</v>
      </c>
      <c r="C1148" s="1" t="s">
        <v>401</v>
      </c>
      <c r="D1148" s="1" t="s">
        <v>67</v>
      </c>
      <c r="E1148" s="1" t="s">
        <v>77</v>
      </c>
      <c r="F1148" s="1" t="s">
        <v>40</v>
      </c>
      <c r="G1148">
        <v>97807</v>
      </c>
      <c r="H1148" s="1" t="s">
        <v>326</v>
      </c>
      <c r="I1148" s="2">
        <v>45839</v>
      </c>
      <c r="J1148">
        <v>165</v>
      </c>
      <c r="K1148">
        <v>16.600000000000001</v>
      </c>
      <c r="L1148" s="1" t="s">
        <v>96</v>
      </c>
      <c r="M1148" s="1" t="s">
        <v>63</v>
      </c>
    </row>
    <row r="1149" spans="1:13" x14ac:dyDescent="0.25">
      <c r="A1149" s="1" t="s">
        <v>2140</v>
      </c>
      <c r="B1149" s="1" t="s">
        <v>104</v>
      </c>
      <c r="C1149" s="1" t="s">
        <v>885</v>
      </c>
      <c r="D1149" s="1" t="s">
        <v>46</v>
      </c>
      <c r="E1149" s="1" t="s">
        <v>100</v>
      </c>
      <c r="F1149" s="1" t="s">
        <v>40</v>
      </c>
      <c r="G1149">
        <v>473872</v>
      </c>
      <c r="H1149" s="1" t="s">
        <v>1784</v>
      </c>
      <c r="I1149" s="2">
        <v>45536</v>
      </c>
      <c r="J1149">
        <v>178</v>
      </c>
      <c r="K1149">
        <v>15.2</v>
      </c>
      <c r="L1149" s="1" t="s">
        <v>20</v>
      </c>
      <c r="M1149" s="1" t="s">
        <v>69</v>
      </c>
    </row>
    <row r="1150" spans="1:13" x14ac:dyDescent="0.25">
      <c r="A1150" s="1" t="s">
        <v>2141</v>
      </c>
      <c r="B1150" s="1" t="s">
        <v>75</v>
      </c>
      <c r="C1150" s="1" t="s">
        <v>805</v>
      </c>
      <c r="D1150" s="1" t="s">
        <v>39</v>
      </c>
      <c r="E1150" s="1" t="s">
        <v>94</v>
      </c>
      <c r="F1150" s="1" t="s">
        <v>40</v>
      </c>
      <c r="G1150">
        <v>472268</v>
      </c>
      <c r="H1150" s="1" t="s">
        <v>1670</v>
      </c>
      <c r="I1150" s="2">
        <v>45155</v>
      </c>
      <c r="J1150">
        <v>21</v>
      </c>
      <c r="K1150">
        <v>19.399999999999999</v>
      </c>
      <c r="L1150" s="1" t="s">
        <v>29</v>
      </c>
      <c r="M1150" s="1" t="s">
        <v>102</v>
      </c>
    </row>
    <row r="1151" spans="1:13" x14ac:dyDescent="0.25">
      <c r="A1151" s="1" t="s">
        <v>2142</v>
      </c>
      <c r="B1151" s="1" t="s">
        <v>88</v>
      </c>
      <c r="C1151" s="1" t="s">
        <v>372</v>
      </c>
      <c r="D1151" s="1" t="s">
        <v>46</v>
      </c>
      <c r="E1151" s="1" t="s">
        <v>17</v>
      </c>
      <c r="F1151" s="1" t="s">
        <v>129</v>
      </c>
      <c r="G1151">
        <v>374041</v>
      </c>
      <c r="H1151" s="1" t="s">
        <v>1922</v>
      </c>
      <c r="I1151" s="2"/>
      <c r="K1151">
        <v>6.4</v>
      </c>
      <c r="L1151" s="1" t="s">
        <v>96</v>
      </c>
      <c r="M1151" s="1" t="s">
        <v>149</v>
      </c>
    </row>
    <row r="1152" spans="1:13" x14ac:dyDescent="0.25">
      <c r="A1152" s="1" t="s">
        <v>1119</v>
      </c>
      <c r="B1152" s="1" t="s">
        <v>84</v>
      </c>
      <c r="C1152" s="1" t="s">
        <v>287</v>
      </c>
      <c r="D1152" s="1" t="s">
        <v>16</v>
      </c>
      <c r="E1152" s="1" t="s">
        <v>94</v>
      </c>
      <c r="F1152" s="1" t="s">
        <v>129</v>
      </c>
      <c r="G1152">
        <v>354336</v>
      </c>
      <c r="H1152" s="1" t="s">
        <v>921</v>
      </c>
      <c r="I1152" s="2"/>
      <c r="K1152">
        <v>5.8</v>
      </c>
      <c r="L1152" s="1" t="s">
        <v>96</v>
      </c>
      <c r="M1152" s="1" t="s">
        <v>107</v>
      </c>
    </row>
    <row r="1153" spans="1:13" x14ac:dyDescent="0.25">
      <c r="A1153" s="1" t="s">
        <v>2143</v>
      </c>
      <c r="B1153" s="1" t="s">
        <v>84</v>
      </c>
      <c r="C1153" s="1" t="s">
        <v>521</v>
      </c>
      <c r="D1153" s="1" t="s">
        <v>90</v>
      </c>
      <c r="E1153" s="1" t="s">
        <v>47</v>
      </c>
      <c r="F1153" s="1" t="s">
        <v>33</v>
      </c>
      <c r="G1153">
        <v>419074</v>
      </c>
      <c r="H1153" s="1" t="s">
        <v>999</v>
      </c>
      <c r="I1153" s="2"/>
      <c r="K1153">
        <v>1</v>
      </c>
      <c r="L1153" s="1" t="s">
        <v>20</v>
      </c>
      <c r="M1153" s="1" t="s">
        <v>149</v>
      </c>
    </row>
    <row r="1154" spans="1:13" x14ac:dyDescent="0.25">
      <c r="A1154" s="1" t="s">
        <v>2144</v>
      </c>
      <c r="B1154" s="1" t="s">
        <v>23</v>
      </c>
      <c r="C1154" s="1" t="s">
        <v>247</v>
      </c>
      <c r="D1154" s="1" t="s">
        <v>39</v>
      </c>
      <c r="E1154" s="1" t="s">
        <v>72</v>
      </c>
      <c r="F1154" s="1" t="s">
        <v>129</v>
      </c>
      <c r="G1154">
        <v>139534</v>
      </c>
      <c r="H1154" s="1" t="s">
        <v>1201</v>
      </c>
      <c r="I1154" s="2"/>
      <c r="K1154">
        <v>12.6</v>
      </c>
      <c r="L1154" s="1" t="s">
        <v>29</v>
      </c>
      <c r="M1154" s="1" t="s">
        <v>69</v>
      </c>
    </row>
    <row r="1155" spans="1:13" x14ac:dyDescent="0.25">
      <c r="A1155" s="1" t="s">
        <v>2145</v>
      </c>
      <c r="B1155" s="1" t="s">
        <v>14</v>
      </c>
      <c r="C1155" s="1" t="s">
        <v>151</v>
      </c>
      <c r="D1155" s="1" t="s">
        <v>46</v>
      </c>
      <c r="E1155" s="1" t="s">
        <v>61</v>
      </c>
      <c r="F1155" s="1" t="s">
        <v>129</v>
      </c>
      <c r="G1155">
        <v>192583</v>
      </c>
      <c r="H1155" s="1" t="s">
        <v>163</v>
      </c>
      <c r="I1155" s="2"/>
      <c r="K1155">
        <v>1.2</v>
      </c>
      <c r="L1155" s="1" t="s">
        <v>29</v>
      </c>
      <c r="M1155" s="1" t="s">
        <v>149</v>
      </c>
    </row>
    <row r="1156" spans="1:13" x14ac:dyDescent="0.25">
      <c r="A1156" s="1" t="s">
        <v>2146</v>
      </c>
      <c r="B1156" s="1" t="s">
        <v>80</v>
      </c>
      <c r="C1156" s="1" t="s">
        <v>1050</v>
      </c>
      <c r="D1156" s="1" t="s">
        <v>90</v>
      </c>
      <c r="E1156" s="1" t="s">
        <v>61</v>
      </c>
      <c r="F1156" s="1" t="s">
        <v>40</v>
      </c>
      <c r="G1156">
        <v>197878</v>
      </c>
      <c r="H1156" s="1" t="s">
        <v>691</v>
      </c>
      <c r="I1156" s="2">
        <v>45753</v>
      </c>
      <c r="J1156">
        <v>33</v>
      </c>
      <c r="K1156">
        <v>13.2</v>
      </c>
      <c r="L1156" s="1" t="s">
        <v>29</v>
      </c>
      <c r="M1156" s="1" t="s">
        <v>63</v>
      </c>
    </row>
    <row r="1157" spans="1:13" x14ac:dyDescent="0.25">
      <c r="A1157" s="1" t="s">
        <v>2147</v>
      </c>
      <c r="B1157" s="1" t="s">
        <v>98</v>
      </c>
      <c r="C1157" s="1" t="s">
        <v>552</v>
      </c>
      <c r="D1157" s="1" t="s">
        <v>16</v>
      </c>
      <c r="E1157" s="1" t="s">
        <v>17</v>
      </c>
      <c r="F1157" s="1" t="s">
        <v>40</v>
      </c>
      <c r="G1157">
        <v>231769</v>
      </c>
      <c r="H1157" s="1" t="s">
        <v>214</v>
      </c>
      <c r="I1157" s="2">
        <v>45029</v>
      </c>
      <c r="J1157">
        <v>91</v>
      </c>
      <c r="K1157">
        <v>3.6</v>
      </c>
      <c r="L1157" s="1" t="s">
        <v>96</v>
      </c>
      <c r="M1157" s="1" t="s">
        <v>35</v>
      </c>
    </row>
    <row r="1158" spans="1:13" x14ac:dyDescent="0.25">
      <c r="A1158" s="1" t="s">
        <v>2148</v>
      </c>
      <c r="B1158" s="1" t="s">
        <v>80</v>
      </c>
      <c r="C1158" s="1" t="s">
        <v>81</v>
      </c>
      <c r="D1158" s="1" t="s">
        <v>39</v>
      </c>
      <c r="E1158" s="1" t="s">
        <v>47</v>
      </c>
      <c r="F1158" s="1" t="s">
        <v>53</v>
      </c>
      <c r="G1158">
        <v>1372299</v>
      </c>
      <c r="H1158" s="1" t="s">
        <v>1637</v>
      </c>
      <c r="I1158" s="2"/>
      <c r="K1158">
        <v>12.5</v>
      </c>
      <c r="L1158" s="1" t="s">
        <v>20</v>
      </c>
      <c r="M1158" s="1" t="s">
        <v>42</v>
      </c>
    </row>
    <row r="1159" spans="1:13" x14ac:dyDescent="0.25">
      <c r="A1159" s="1" t="s">
        <v>2149</v>
      </c>
      <c r="B1159" s="1" t="s">
        <v>104</v>
      </c>
      <c r="C1159" s="1" t="s">
        <v>882</v>
      </c>
      <c r="D1159" s="1" t="s">
        <v>39</v>
      </c>
      <c r="E1159" s="1" t="s">
        <v>47</v>
      </c>
      <c r="F1159" s="1" t="s">
        <v>33</v>
      </c>
      <c r="G1159">
        <v>357297</v>
      </c>
      <c r="H1159" s="1" t="s">
        <v>2150</v>
      </c>
      <c r="I1159" s="2"/>
      <c r="K1159">
        <v>7</v>
      </c>
      <c r="L1159" s="1" t="s">
        <v>96</v>
      </c>
      <c r="M1159" s="1" t="s">
        <v>30</v>
      </c>
    </row>
    <row r="1160" spans="1:13" x14ac:dyDescent="0.25">
      <c r="A1160" s="1" t="s">
        <v>2151</v>
      </c>
      <c r="B1160" s="1" t="s">
        <v>14</v>
      </c>
      <c r="C1160" s="1" t="s">
        <v>574</v>
      </c>
      <c r="D1160" s="1" t="s">
        <v>90</v>
      </c>
      <c r="E1160" s="1" t="s">
        <v>47</v>
      </c>
      <c r="F1160" s="1" t="s">
        <v>53</v>
      </c>
      <c r="G1160">
        <v>207922</v>
      </c>
      <c r="H1160" s="1" t="s">
        <v>672</v>
      </c>
      <c r="I1160" s="2"/>
      <c r="K1160">
        <v>0.2</v>
      </c>
      <c r="L1160" s="1" t="s">
        <v>49</v>
      </c>
      <c r="M1160" s="1" t="s">
        <v>102</v>
      </c>
    </row>
    <row r="1161" spans="1:13" x14ac:dyDescent="0.25">
      <c r="A1161" s="1" t="s">
        <v>2152</v>
      </c>
      <c r="B1161" s="1" t="s">
        <v>88</v>
      </c>
      <c r="C1161" s="1" t="s">
        <v>220</v>
      </c>
      <c r="D1161" s="1" t="s">
        <v>46</v>
      </c>
      <c r="E1161" s="1" t="s">
        <v>100</v>
      </c>
      <c r="F1161" s="1" t="s">
        <v>33</v>
      </c>
      <c r="G1161">
        <v>90140</v>
      </c>
      <c r="H1161" s="1" t="s">
        <v>1527</v>
      </c>
      <c r="I1161" s="2"/>
      <c r="K1161">
        <v>3.1</v>
      </c>
      <c r="L1161" s="1" t="s">
        <v>49</v>
      </c>
      <c r="M1161" s="1" t="s">
        <v>30</v>
      </c>
    </row>
    <row r="1162" spans="1:13" x14ac:dyDescent="0.25">
      <c r="A1162" s="1" t="s">
        <v>2153</v>
      </c>
      <c r="B1162" s="1" t="s">
        <v>109</v>
      </c>
      <c r="C1162" s="1" t="s">
        <v>66</v>
      </c>
      <c r="D1162" s="1" t="s">
        <v>46</v>
      </c>
      <c r="E1162" s="1" t="s">
        <v>77</v>
      </c>
      <c r="F1162" s="1" t="s">
        <v>53</v>
      </c>
      <c r="G1162">
        <v>356152</v>
      </c>
      <c r="H1162" s="1" t="s">
        <v>1698</v>
      </c>
      <c r="I1162" s="2"/>
      <c r="L1162" s="1" t="s">
        <v>96</v>
      </c>
      <c r="M1162" s="1" t="s">
        <v>42</v>
      </c>
    </row>
    <row r="1163" spans="1:13" x14ac:dyDescent="0.25">
      <c r="A1163" s="1" t="s">
        <v>2154</v>
      </c>
      <c r="B1163" s="1" t="s">
        <v>173</v>
      </c>
      <c r="C1163" s="1" t="s">
        <v>1050</v>
      </c>
      <c r="D1163" s="1" t="s">
        <v>25</v>
      </c>
      <c r="E1163" s="1" t="s">
        <v>94</v>
      </c>
      <c r="F1163" s="1" t="s">
        <v>40</v>
      </c>
      <c r="G1163">
        <v>403041</v>
      </c>
      <c r="H1163" s="1" t="s">
        <v>1494</v>
      </c>
      <c r="I1163" s="2">
        <v>45833</v>
      </c>
      <c r="J1163">
        <v>150</v>
      </c>
      <c r="K1163">
        <v>1.1000000000000001</v>
      </c>
      <c r="L1163" s="1" t="s">
        <v>20</v>
      </c>
      <c r="M1163" s="1" t="s">
        <v>63</v>
      </c>
    </row>
    <row r="1164" spans="1:13" x14ac:dyDescent="0.25">
      <c r="A1164" s="1" t="s">
        <v>2155</v>
      </c>
      <c r="B1164" s="1" t="s">
        <v>75</v>
      </c>
      <c r="C1164" s="1" t="s">
        <v>957</v>
      </c>
      <c r="D1164" s="1" t="s">
        <v>90</v>
      </c>
      <c r="E1164" s="1" t="s">
        <v>17</v>
      </c>
      <c r="F1164" s="1" t="s">
        <v>18</v>
      </c>
      <c r="G1164">
        <v>144927</v>
      </c>
      <c r="H1164" s="1" t="s">
        <v>1199</v>
      </c>
      <c r="I1164" s="2">
        <v>45347</v>
      </c>
      <c r="J1164">
        <v>41</v>
      </c>
      <c r="K1164">
        <v>11.1</v>
      </c>
      <c r="L1164" s="1" t="s">
        <v>49</v>
      </c>
      <c r="M1164" s="1" t="s">
        <v>69</v>
      </c>
    </row>
    <row r="1165" spans="1:13" x14ac:dyDescent="0.25">
      <c r="A1165" s="1" t="s">
        <v>272</v>
      </c>
      <c r="B1165" s="1" t="s">
        <v>23</v>
      </c>
      <c r="C1165" s="1" t="s">
        <v>273</v>
      </c>
      <c r="D1165" s="1" t="s">
        <v>16</v>
      </c>
      <c r="E1165" s="1" t="s">
        <v>61</v>
      </c>
      <c r="F1165" s="1" t="s">
        <v>40</v>
      </c>
      <c r="G1165">
        <v>20087</v>
      </c>
      <c r="H1165" s="1" t="s">
        <v>274</v>
      </c>
      <c r="I1165" s="2">
        <v>45599</v>
      </c>
      <c r="J1165">
        <v>144</v>
      </c>
      <c r="K1165">
        <v>24.1</v>
      </c>
      <c r="L1165" s="1" t="s">
        <v>29</v>
      </c>
      <c r="M1165" s="1" t="s">
        <v>107</v>
      </c>
    </row>
    <row r="1166" spans="1:13" x14ac:dyDescent="0.25">
      <c r="A1166" s="1" t="s">
        <v>2156</v>
      </c>
      <c r="B1166" s="1" t="s">
        <v>104</v>
      </c>
      <c r="C1166" s="1" t="s">
        <v>1151</v>
      </c>
      <c r="D1166" s="1" t="s">
        <v>25</v>
      </c>
      <c r="E1166" s="1" t="s">
        <v>100</v>
      </c>
      <c r="F1166" s="1" t="s">
        <v>40</v>
      </c>
      <c r="G1166">
        <v>217076</v>
      </c>
      <c r="H1166" s="1" t="s">
        <v>1154</v>
      </c>
      <c r="I1166" s="2">
        <v>45187</v>
      </c>
      <c r="J1166">
        <v>124</v>
      </c>
      <c r="K1166">
        <v>9</v>
      </c>
      <c r="L1166" s="1" t="s">
        <v>49</v>
      </c>
      <c r="M1166" s="1" t="s">
        <v>30</v>
      </c>
    </row>
    <row r="1167" spans="1:13" x14ac:dyDescent="0.25">
      <c r="A1167" s="1" t="s">
        <v>2157</v>
      </c>
      <c r="B1167" s="1" t="s">
        <v>84</v>
      </c>
      <c r="C1167" s="1" t="s">
        <v>1554</v>
      </c>
      <c r="D1167" s="1" t="s">
        <v>25</v>
      </c>
      <c r="E1167" s="1" t="s">
        <v>47</v>
      </c>
      <c r="F1167" s="1" t="s">
        <v>40</v>
      </c>
      <c r="G1167">
        <v>86934</v>
      </c>
      <c r="H1167" s="1" t="s">
        <v>2158</v>
      </c>
      <c r="I1167" s="2">
        <v>45131</v>
      </c>
      <c r="J1167">
        <v>74</v>
      </c>
      <c r="K1167">
        <v>8.9</v>
      </c>
      <c r="L1167" s="1" t="s">
        <v>20</v>
      </c>
      <c r="M1167" s="1" t="s">
        <v>30</v>
      </c>
    </row>
    <row r="1168" spans="1:13" x14ac:dyDescent="0.25">
      <c r="A1168" s="1" t="s">
        <v>2159</v>
      </c>
      <c r="B1168" s="1" t="s">
        <v>23</v>
      </c>
      <c r="C1168" s="1" t="s">
        <v>1364</v>
      </c>
      <c r="D1168" s="1" t="s">
        <v>46</v>
      </c>
      <c r="E1168" s="1" t="s">
        <v>17</v>
      </c>
      <c r="F1168" s="1" t="s">
        <v>18</v>
      </c>
      <c r="G1168">
        <v>119543</v>
      </c>
      <c r="H1168" s="1" t="s">
        <v>1492</v>
      </c>
      <c r="I1168" s="2">
        <v>45354</v>
      </c>
      <c r="J1168">
        <v>64</v>
      </c>
      <c r="K1168">
        <v>3.9</v>
      </c>
      <c r="L1168" s="1" t="s">
        <v>96</v>
      </c>
      <c r="M1168" s="1" t="s">
        <v>21</v>
      </c>
    </row>
    <row r="1169" spans="1:13" x14ac:dyDescent="0.25">
      <c r="A1169" s="1" t="s">
        <v>2160</v>
      </c>
      <c r="B1169" s="1" t="s">
        <v>23</v>
      </c>
      <c r="C1169" s="1" t="s">
        <v>767</v>
      </c>
      <c r="D1169" s="1" t="s">
        <v>39</v>
      </c>
      <c r="E1169" s="1" t="s">
        <v>47</v>
      </c>
      <c r="F1169" s="1" t="s">
        <v>33</v>
      </c>
      <c r="G1169">
        <v>389172</v>
      </c>
      <c r="H1169" s="1" t="s">
        <v>682</v>
      </c>
      <c r="I1169" s="2"/>
      <c r="K1169">
        <v>13.5</v>
      </c>
      <c r="L1169" s="1" t="s">
        <v>20</v>
      </c>
      <c r="M1169" s="1" t="s">
        <v>63</v>
      </c>
    </row>
    <row r="1170" spans="1:13" x14ac:dyDescent="0.25">
      <c r="A1170" s="1" t="s">
        <v>2161</v>
      </c>
      <c r="B1170" s="1" t="s">
        <v>98</v>
      </c>
      <c r="C1170" s="1" t="s">
        <v>1457</v>
      </c>
      <c r="D1170" s="1" t="s">
        <v>39</v>
      </c>
      <c r="E1170" s="1" t="s">
        <v>72</v>
      </c>
      <c r="F1170" s="1" t="s">
        <v>129</v>
      </c>
      <c r="G1170">
        <v>98980</v>
      </c>
      <c r="H1170" s="1" t="s">
        <v>904</v>
      </c>
      <c r="I1170" s="2"/>
      <c r="K1170">
        <v>1</v>
      </c>
      <c r="L1170" s="1" t="s">
        <v>49</v>
      </c>
      <c r="M1170" s="1" t="s">
        <v>30</v>
      </c>
    </row>
    <row r="1171" spans="1:13" x14ac:dyDescent="0.25">
      <c r="A1171" s="1" t="s">
        <v>2162</v>
      </c>
      <c r="B1171" s="1" t="s">
        <v>173</v>
      </c>
      <c r="C1171" s="1" t="s">
        <v>295</v>
      </c>
      <c r="D1171" s="1" t="s">
        <v>67</v>
      </c>
      <c r="E1171" s="1" t="s">
        <v>77</v>
      </c>
      <c r="F1171" s="1" t="s">
        <v>129</v>
      </c>
      <c r="G1171">
        <v>287510</v>
      </c>
      <c r="H1171" s="1" t="s">
        <v>391</v>
      </c>
      <c r="I1171" s="2"/>
      <c r="K1171">
        <v>5.3</v>
      </c>
      <c r="L1171" s="1" t="s">
        <v>29</v>
      </c>
      <c r="M1171" s="1" t="s">
        <v>69</v>
      </c>
    </row>
    <row r="1172" spans="1:13" x14ac:dyDescent="0.25">
      <c r="A1172" s="1" t="s">
        <v>2163</v>
      </c>
      <c r="B1172" s="1" t="s">
        <v>88</v>
      </c>
      <c r="C1172" s="1" t="s">
        <v>1144</v>
      </c>
      <c r="D1172" s="1" t="s">
        <v>25</v>
      </c>
      <c r="E1172" s="1" t="s">
        <v>72</v>
      </c>
      <c r="F1172" s="1" t="s">
        <v>40</v>
      </c>
      <c r="G1172">
        <v>458363</v>
      </c>
      <c r="H1172" s="1" t="s">
        <v>1606</v>
      </c>
      <c r="I1172" s="2">
        <v>45298</v>
      </c>
      <c r="J1172">
        <v>43</v>
      </c>
      <c r="K1172">
        <v>8.6999999999999993</v>
      </c>
      <c r="L1172" s="1" t="s">
        <v>29</v>
      </c>
      <c r="M1172" s="1" t="s">
        <v>21</v>
      </c>
    </row>
    <row r="1173" spans="1:13" x14ac:dyDescent="0.25">
      <c r="A1173" s="1" t="s">
        <v>2164</v>
      </c>
      <c r="B1173" s="1" t="s">
        <v>80</v>
      </c>
      <c r="C1173" s="1" t="s">
        <v>1112</v>
      </c>
      <c r="D1173" s="1" t="s">
        <v>25</v>
      </c>
      <c r="E1173" s="1" t="s">
        <v>77</v>
      </c>
      <c r="F1173" s="1" t="s">
        <v>27</v>
      </c>
      <c r="G1173">
        <v>210386</v>
      </c>
      <c r="H1173" s="1" t="s">
        <v>399</v>
      </c>
      <c r="I1173" s="2"/>
      <c r="K1173">
        <v>9.1999999999999993</v>
      </c>
      <c r="L1173" s="1" t="s">
        <v>29</v>
      </c>
      <c r="M1173" s="1" t="s">
        <v>42</v>
      </c>
    </row>
    <row r="1174" spans="1:13" x14ac:dyDescent="0.25">
      <c r="A1174" s="1" t="s">
        <v>2165</v>
      </c>
      <c r="B1174" s="1" t="s">
        <v>173</v>
      </c>
      <c r="C1174" s="1" t="s">
        <v>1415</v>
      </c>
      <c r="D1174" s="1" t="s">
        <v>90</v>
      </c>
      <c r="E1174" s="1" t="s">
        <v>72</v>
      </c>
      <c r="F1174" s="1" t="s">
        <v>33</v>
      </c>
      <c r="G1174">
        <v>325682</v>
      </c>
      <c r="H1174" s="1" t="s">
        <v>2166</v>
      </c>
      <c r="I1174" s="2"/>
      <c r="K1174">
        <v>11.1</v>
      </c>
      <c r="L1174" s="1" t="s">
        <v>96</v>
      </c>
      <c r="M1174" s="1" t="s">
        <v>149</v>
      </c>
    </row>
    <row r="1175" spans="1:13" x14ac:dyDescent="0.25">
      <c r="A1175" s="1" t="s">
        <v>2167</v>
      </c>
      <c r="B1175" s="1" t="s">
        <v>173</v>
      </c>
      <c r="C1175" s="1" t="s">
        <v>177</v>
      </c>
      <c r="D1175" s="1" t="s">
        <v>25</v>
      </c>
      <c r="E1175" s="1" t="s">
        <v>77</v>
      </c>
      <c r="F1175" s="1" t="s">
        <v>18</v>
      </c>
      <c r="G1175">
        <v>198365</v>
      </c>
      <c r="H1175" s="1" t="s">
        <v>1487</v>
      </c>
      <c r="I1175" s="2">
        <v>44996</v>
      </c>
      <c r="J1175">
        <v>68</v>
      </c>
      <c r="L1175" s="1" t="s">
        <v>20</v>
      </c>
      <c r="M1175" s="1" t="s">
        <v>35</v>
      </c>
    </row>
    <row r="1176" spans="1:13" x14ac:dyDescent="0.25">
      <c r="A1176" s="1" t="s">
        <v>2168</v>
      </c>
      <c r="B1176" s="1" t="s">
        <v>173</v>
      </c>
      <c r="C1176" s="1" t="s">
        <v>972</v>
      </c>
      <c r="D1176" s="1" t="s">
        <v>90</v>
      </c>
      <c r="E1176" s="1" t="s">
        <v>77</v>
      </c>
      <c r="F1176" s="1" t="s">
        <v>129</v>
      </c>
      <c r="G1176">
        <v>269598</v>
      </c>
      <c r="H1176" s="1" t="s">
        <v>2169</v>
      </c>
      <c r="I1176" s="2"/>
      <c r="K1176">
        <v>10.4</v>
      </c>
      <c r="L1176" s="1" t="s">
        <v>96</v>
      </c>
      <c r="M1176" s="1" t="s">
        <v>42</v>
      </c>
    </row>
    <row r="1177" spans="1:13" x14ac:dyDescent="0.25">
      <c r="A1177" s="1" t="s">
        <v>2170</v>
      </c>
      <c r="B1177" s="1" t="s">
        <v>127</v>
      </c>
      <c r="C1177" s="1" t="s">
        <v>384</v>
      </c>
      <c r="D1177" s="1" t="s">
        <v>90</v>
      </c>
      <c r="E1177" s="1" t="s">
        <v>94</v>
      </c>
      <c r="F1177" s="1" t="s">
        <v>129</v>
      </c>
      <c r="G1177">
        <v>33145</v>
      </c>
      <c r="H1177" s="1" t="s">
        <v>1259</v>
      </c>
      <c r="I1177" s="2"/>
      <c r="K1177">
        <v>9.9</v>
      </c>
      <c r="L1177" s="1" t="s">
        <v>20</v>
      </c>
      <c r="M1177" s="1" t="s">
        <v>35</v>
      </c>
    </row>
    <row r="1178" spans="1:13" x14ac:dyDescent="0.25">
      <c r="A1178" s="1" t="s">
        <v>2171</v>
      </c>
      <c r="B1178" s="1" t="s">
        <v>59</v>
      </c>
      <c r="C1178" s="1" t="s">
        <v>352</v>
      </c>
      <c r="D1178" s="1" t="s">
        <v>25</v>
      </c>
      <c r="E1178" s="1" t="s">
        <v>94</v>
      </c>
      <c r="F1178" s="1" t="s">
        <v>40</v>
      </c>
      <c r="G1178">
        <v>494610</v>
      </c>
      <c r="H1178" s="1" t="s">
        <v>489</v>
      </c>
      <c r="I1178" s="2">
        <v>45060</v>
      </c>
      <c r="J1178">
        <v>42</v>
      </c>
      <c r="K1178">
        <v>19.399999999999999</v>
      </c>
      <c r="L1178" s="1" t="s">
        <v>49</v>
      </c>
      <c r="M1178" s="1" t="s">
        <v>30</v>
      </c>
    </row>
    <row r="1179" spans="1:13" x14ac:dyDescent="0.25">
      <c r="A1179" s="1" t="s">
        <v>2172</v>
      </c>
      <c r="B1179" s="1" t="s">
        <v>109</v>
      </c>
      <c r="C1179" s="1" t="s">
        <v>174</v>
      </c>
      <c r="D1179" s="1" t="s">
        <v>25</v>
      </c>
      <c r="E1179" s="1" t="s">
        <v>94</v>
      </c>
      <c r="F1179" s="1" t="s">
        <v>40</v>
      </c>
      <c r="G1179">
        <v>315836</v>
      </c>
      <c r="H1179" s="1" t="s">
        <v>2173</v>
      </c>
      <c r="I1179" s="2">
        <v>45654</v>
      </c>
      <c r="J1179">
        <v>159</v>
      </c>
      <c r="K1179">
        <v>6.7</v>
      </c>
      <c r="L1179" s="1" t="s">
        <v>20</v>
      </c>
      <c r="M1179" s="1" t="s">
        <v>149</v>
      </c>
    </row>
    <row r="1180" spans="1:13" x14ac:dyDescent="0.25">
      <c r="A1180" s="1" t="s">
        <v>2174</v>
      </c>
      <c r="B1180" s="1" t="s">
        <v>37</v>
      </c>
      <c r="C1180" s="1" t="s">
        <v>247</v>
      </c>
      <c r="D1180" s="1" t="s">
        <v>39</v>
      </c>
      <c r="E1180" s="1" t="s">
        <v>26</v>
      </c>
      <c r="F1180" s="1" t="s">
        <v>27</v>
      </c>
      <c r="G1180">
        <v>426963</v>
      </c>
      <c r="H1180" s="1" t="s">
        <v>569</v>
      </c>
      <c r="I1180" s="2"/>
      <c r="K1180">
        <v>14.2</v>
      </c>
      <c r="L1180" s="1" t="s">
        <v>96</v>
      </c>
      <c r="M1180" s="1" t="s">
        <v>30</v>
      </c>
    </row>
    <row r="1181" spans="1:13" x14ac:dyDescent="0.25">
      <c r="A1181" s="1" t="s">
        <v>2175</v>
      </c>
      <c r="B1181" s="1" t="s">
        <v>59</v>
      </c>
      <c r="C1181" s="1" t="s">
        <v>1136</v>
      </c>
      <c r="D1181" s="1" t="s">
        <v>16</v>
      </c>
      <c r="E1181" s="1" t="s">
        <v>61</v>
      </c>
      <c r="F1181" s="1" t="s">
        <v>40</v>
      </c>
      <c r="G1181">
        <v>283948</v>
      </c>
      <c r="H1181" s="1" t="s">
        <v>2176</v>
      </c>
      <c r="I1181" s="2">
        <v>45654</v>
      </c>
      <c r="J1181">
        <v>34</v>
      </c>
      <c r="K1181">
        <v>24.3</v>
      </c>
      <c r="L1181" s="1" t="s">
        <v>20</v>
      </c>
      <c r="M1181" s="1" t="s">
        <v>42</v>
      </c>
    </row>
    <row r="1182" spans="1:13" x14ac:dyDescent="0.25">
      <c r="A1182" s="1" t="s">
        <v>2177</v>
      </c>
      <c r="B1182" s="1" t="s">
        <v>109</v>
      </c>
      <c r="C1182" s="1" t="s">
        <v>449</v>
      </c>
      <c r="D1182" s="1" t="s">
        <v>25</v>
      </c>
      <c r="E1182" s="1" t="s">
        <v>26</v>
      </c>
      <c r="F1182" s="1" t="s">
        <v>129</v>
      </c>
      <c r="G1182">
        <v>489088</v>
      </c>
      <c r="H1182" s="1" t="s">
        <v>1885</v>
      </c>
      <c r="I1182" s="2"/>
      <c r="K1182">
        <v>2.2999999999999998</v>
      </c>
      <c r="L1182" s="1" t="s">
        <v>49</v>
      </c>
      <c r="M1182" s="1" t="s">
        <v>69</v>
      </c>
    </row>
    <row r="1183" spans="1:13" x14ac:dyDescent="0.25">
      <c r="A1183" s="1" t="s">
        <v>2178</v>
      </c>
      <c r="B1183" s="1" t="s">
        <v>44</v>
      </c>
      <c r="C1183" s="1" t="s">
        <v>471</v>
      </c>
      <c r="D1183" s="1" t="s">
        <v>25</v>
      </c>
      <c r="E1183" s="1" t="s">
        <v>61</v>
      </c>
      <c r="F1183" s="1" t="s">
        <v>129</v>
      </c>
      <c r="G1183">
        <v>233356</v>
      </c>
      <c r="H1183" s="1" t="s">
        <v>2179</v>
      </c>
      <c r="I1183" s="2"/>
      <c r="K1183">
        <v>2.8</v>
      </c>
      <c r="L1183" s="1" t="s">
        <v>29</v>
      </c>
      <c r="M1183" s="1" t="s">
        <v>21</v>
      </c>
    </row>
    <row r="1184" spans="1:13" x14ac:dyDescent="0.25">
      <c r="A1184" s="1" t="s">
        <v>2180</v>
      </c>
      <c r="B1184" s="1" t="s">
        <v>173</v>
      </c>
      <c r="C1184" s="1" t="s">
        <v>361</v>
      </c>
      <c r="D1184" s="1" t="s">
        <v>25</v>
      </c>
      <c r="E1184" s="1" t="s">
        <v>100</v>
      </c>
      <c r="F1184" s="1" t="s">
        <v>33</v>
      </c>
      <c r="G1184">
        <v>285426</v>
      </c>
      <c r="H1184" s="1" t="s">
        <v>1761</v>
      </c>
      <c r="I1184" s="2"/>
      <c r="K1184">
        <v>5</v>
      </c>
      <c r="L1184" s="1" t="s">
        <v>49</v>
      </c>
      <c r="M1184" s="1" t="s">
        <v>63</v>
      </c>
    </row>
    <row r="1185" spans="1:13" x14ac:dyDescent="0.25">
      <c r="A1185" s="1" t="s">
        <v>2181</v>
      </c>
      <c r="B1185" s="1" t="s">
        <v>37</v>
      </c>
      <c r="C1185" s="1" t="s">
        <v>364</v>
      </c>
      <c r="D1185" s="1" t="s">
        <v>90</v>
      </c>
      <c r="E1185" s="1" t="s">
        <v>77</v>
      </c>
      <c r="F1185" s="1" t="s">
        <v>27</v>
      </c>
      <c r="G1185">
        <v>251366</v>
      </c>
      <c r="H1185" s="1" t="s">
        <v>479</v>
      </c>
      <c r="I1185" s="2"/>
      <c r="K1185">
        <v>4</v>
      </c>
      <c r="L1185" s="1" t="s">
        <v>29</v>
      </c>
      <c r="M1185" s="1" t="s">
        <v>30</v>
      </c>
    </row>
    <row r="1186" spans="1:13" x14ac:dyDescent="0.25">
      <c r="A1186" s="1" t="s">
        <v>2182</v>
      </c>
      <c r="B1186" s="1" t="s">
        <v>23</v>
      </c>
      <c r="C1186" s="1" t="s">
        <v>1106</v>
      </c>
      <c r="D1186" s="1" t="s">
        <v>46</v>
      </c>
      <c r="E1186" s="1" t="s">
        <v>61</v>
      </c>
      <c r="F1186" s="1" t="s">
        <v>53</v>
      </c>
      <c r="G1186">
        <v>197263</v>
      </c>
      <c r="H1186" s="1" t="s">
        <v>1689</v>
      </c>
      <c r="I1186" s="2"/>
      <c r="K1186">
        <v>7.6</v>
      </c>
      <c r="L1186" s="1" t="s">
        <v>29</v>
      </c>
      <c r="M1186" s="1" t="s">
        <v>63</v>
      </c>
    </row>
    <row r="1187" spans="1:13" x14ac:dyDescent="0.25">
      <c r="A1187" s="1" t="s">
        <v>2183</v>
      </c>
      <c r="B1187" s="1" t="s">
        <v>75</v>
      </c>
      <c r="C1187" s="1" t="s">
        <v>782</v>
      </c>
      <c r="D1187" s="1" t="s">
        <v>25</v>
      </c>
      <c r="E1187" s="1" t="s">
        <v>61</v>
      </c>
      <c r="F1187" s="1" t="s">
        <v>129</v>
      </c>
      <c r="G1187">
        <v>14972</v>
      </c>
      <c r="H1187" s="1" t="s">
        <v>73</v>
      </c>
      <c r="I1187" s="2"/>
      <c r="K1187">
        <v>10.5</v>
      </c>
      <c r="L1187" s="1" t="s">
        <v>20</v>
      </c>
      <c r="M1187" s="1" t="s">
        <v>69</v>
      </c>
    </row>
    <row r="1188" spans="1:13" x14ac:dyDescent="0.25">
      <c r="A1188" s="1" t="s">
        <v>2184</v>
      </c>
      <c r="B1188" s="1" t="s">
        <v>98</v>
      </c>
      <c r="C1188" s="1" t="s">
        <v>2185</v>
      </c>
      <c r="D1188" s="1" t="s">
        <v>39</v>
      </c>
      <c r="E1188" s="1" t="s">
        <v>94</v>
      </c>
      <c r="F1188" s="1" t="s">
        <v>129</v>
      </c>
      <c r="G1188">
        <v>404863</v>
      </c>
      <c r="H1188" s="1" t="s">
        <v>1196</v>
      </c>
      <c r="I1188" s="2"/>
      <c r="K1188">
        <v>5.7</v>
      </c>
      <c r="L1188" s="1" t="s">
        <v>29</v>
      </c>
      <c r="M1188" s="1" t="s">
        <v>35</v>
      </c>
    </row>
    <row r="1189" spans="1:13" x14ac:dyDescent="0.25">
      <c r="A1189" s="1" t="s">
        <v>2186</v>
      </c>
      <c r="B1189" s="1" t="s">
        <v>98</v>
      </c>
      <c r="C1189" s="1" t="s">
        <v>144</v>
      </c>
      <c r="D1189" s="1" t="s">
        <v>67</v>
      </c>
      <c r="E1189" s="1" t="s">
        <v>94</v>
      </c>
      <c r="F1189" s="1" t="s">
        <v>18</v>
      </c>
      <c r="G1189">
        <v>133504</v>
      </c>
      <c r="H1189" s="1" t="s">
        <v>2187</v>
      </c>
      <c r="I1189" s="2">
        <v>45720</v>
      </c>
      <c r="J1189">
        <v>51</v>
      </c>
      <c r="K1189">
        <v>7.1</v>
      </c>
      <c r="L1189" s="1" t="s">
        <v>96</v>
      </c>
      <c r="M1189" s="1" t="s">
        <v>63</v>
      </c>
    </row>
    <row r="1190" spans="1:13" x14ac:dyDescent="0.25">
      <c r="A1190" s="1" t="s">
        <v>2188</v>
      </c>
      <c r="B1190" s="1" t="s">
        <v>59</v>
      </c>
      <c r="C1190" s="1" t="s">
        <v>89</v>
      </c>
      <c r="D1190" s="1" t="s">
        <v>46</v>
      </c>
      <c r="E1190" s="1" t="s">
        <v>61</v>
      </c>
      <c r="F1190" s="1" t="s">
        <v>129</v>
      </c>
      <c r="G1190">
        <v>311535</v>
      </c>
      <c r="H1190" s="1" t="s">
        <v>2189</v>
      </c>
      <c r="I1190" s="2"/>
      <c r="L1190" s="1" t="s">
        <v>96</v>
      </c>
      <c r="M1190" s="1" t="s">
        <v>69</v>
      </c>
    </row>
    <row r="1191" spans="1:13" x14ac:dyDescent="0.25">
      <c r="A1191" s="1" t="s">
        <v>317</v>
      </c>
      <c r="B1191" s="1" t="s">
        <v>75</v>
      </c>
      <c r="C1191" s="1" t="s">
        <v>318</v>
      </c>
      <c r="D1191" s="1" t="s">
        <v>16</v>
      </c>
      <c r="E1191" s="1" t="s">
        <v>17</v>
      </c>
      <c r="F1191" s="1" t="s">
        <v>129</v>
      </c>
      <c r="G1191">
        <v>376342</v>
      </c>
      <c r="H1191" s="1" t="s">
        <v>319</v>
      </c>
      <c r="I1191" s="2"/>
      <c r="K1191">
        <v>1.9</v>
      </c>
      <c r="L1191" s="1" t="s">
        <v>49</v>
      </c>
      <c r="M1191" s="1" t="s">
        <v>69</v>
      </c>
    </row>
    <row r="1192" spans="1:13" x14ac:dyDescent="0.25">
      <c r="A1192" s="1" t="s">
        <v>2190</v>
      </c>
      <c r="B1192" s="1" t="s">
        <v>84</v>
      </c>
      <c r="C1192" s="1" t="s">
        <v>220</v>
      </c>
      <c r="D1192" s="1" t="s">
        <v>39</v>
      </c>
      <c r="E1192" s="1" t="s">
        <v>17</v>
      </c>
      <c r="F1192" s="1" t="s">
        <v>33</v>
      </c>
      <c r="G1192">
        <v>499489</v>
      </c>
      <c r="H1192" s="1" t="s">
        <v>594</v>
      </c>
      <c r="I1192" s="2"/>
      <c r="L1192" s="1" t="s">
        <v>49</v>
      </c>
      <c r="M1192" s="1" t="s">
        <v>30</v>
      </c>
    </row>
    <row r="1193" spans="1:13" x14ac:dyDescent="0.25">
      <c r="A1193" s="1" t="s">
        <v>2191</v>
      </c>
      <c r="B1193" s="1" t="s">
        <v>44</v>
      </c>
      <c r="C1193" s="1" t="s">
        <v>352</v>
      </c>
      <c r="D1193" s="1" t="s">
        <v>16</v>
      </c>
      <c r="E1193" s="1" t="s">
        <v>26</v>
      </c>
      <c r="F1193" s="1" t="s">
        <v>40</v>
      </c>
      <c r="G1193">
        <v>69683</v>
      </c>
      <c r="H1193" s="1" t="s">
        <v>54</v>
      </c>
      <c r="I1193" s="2">
        <v>45392</v>
      </c>
      <c r="J1193">
        <v>116</v>
      </c>
      <c r="K1193">
        <v>15.4</v>
      </c>
      <c r="L1193" s="1" t="s">
        <v>96</v>
      </c>
      <c r="M1193" s="1" t="s">
        <v>21</v>
      </c>
    </row>
    <row r="1194" spans="1:13" x14ac:dyDescent="0.25">
      <c r="A1194" s="1" t="s">
        <v>2192</v>
      </c>
      <c r="B1194" s="1" t="s">
        <v>51</v>
      </c>
      <c r="C1194" s="1" t="s">
        <v>892</v>
      </c>
      <c r="D1194" s="1" t="s">
        <v>46</v>
      </c>
      <c r="E1194" s="1" t="s">
        <v>100</v>
      </c>
      <c r="F1194" s="1" t="s">
        <v>40</v>
      </c>
      <c r="G1194">
        <v>37136</v>
      </c>
      <c r="H1194" s="1" t="s">
        <v>907</v>
      </c>
      <c r="I1194" s="2">
        <v>45174</v>
      </c>
      <c r="J1194">
        <v>24</v>
      </c>
      <c r="K1194">
        <v>9.3000000000000007</v>
      </c>
      <c r="L1194" s="1" t="s">
        <v>96</v>
      </c>
      <c r="M1194" s="1" t="s">
        <v>102</v>
      </c>
    </row>
    <row r="1195" spans="1:13" x14ac:dyDescent="0.25">
      <c r="A1195" s="1" t="s">
        <v>2193</v>
      </c>
      <c r="B1195" s="1" t="s">
        <v>59</v>
      </c>
      <c r="C1195" s="1" t="s">
        <v>218</v>
      </c>
      <c r="D1195" s="1" t="s">
        <v>90</v>
      </c>
      <c r="E1195" s="1" t="s">
        <v>94</v>
      </c>
      <c r="F1195" s="1" t="s">
        <v>40</v>
      </c>
      <c r="G1195">
        <v>222473</v>
      </c>
      <c r="H1195" s="1" t="s">
        <v>2194</v>
      </c>
      <c r="I1195" s="2">
        <v>45222</v>
      </c>
      <c r="J1195">
        <v>136</v>
      </c>
      <c r="K1195">
        <v>24.3</v>
      </c>
      <c r="L1195" s="1" t="s">
        <v>29</v>
      </c>
      <c r="M1195" s="1" t="s">
        <v>30</v>
      </c>
    </row>
    <row r="1196" spans="1:13" x14ac:dyDescent="0.25">
      <c r="A1196" s="1" t="s">
        <v>2195</v>
      </c>
      <c r="B1196" s="1" t="s">
        <v>75</v>
      </c>
      <c r="C1196" s="1" t="s">
        <v>186</v>
      </c>
      <c r="D1196" s="1" t="s">
        <v>25</v>
      </c>
      <c r="E1196" s="1" t="s">
        <v>47</v>
      </c>
      <c r="F1196" s="1" t="s">
        <v>18</v>
      </c>
      <c r="G1196">
        <v>59249</v>
      </c>
      <c r="H1196" s="1" t="s">
        <v>155</v>
      </c>
      <c r="I1196" s="2">
        <v>45853</v>
      </c>
      <c r="J1196">
        <v>124</v>
      </c>
      <c r="K1196">
        <v>10.199999999999999</v>
      </c>
      <c r="L1196" s="1" t="s">
        <v>20</v>
      </c>
      <c r="M1196" s="1" t="s">
        <v>63</v>
      </c>
    </row>
    <row r="1197" spans="1:13" x14ac:dyDescent="0.25">
      <c r="A1197" s="1" t="s">
        <v>2196</v>
      </c>
      <c r="B1197" s="1" t="s">
        <v>80</v>
      </c>
      <c r="C1197" s="1" t="s">
        <v>460</v>
      </c>
      <c r="D1197" s="1" t="s">
        <v>67</v>
      </c>
      <c r="E1197" s="1" t="s">
        <v>100</v>
      </c>
      <c r="F1197" s="1" t="s">
        <v>40</v>
      </c>
      <c r="G1197">
        <v>477798</v>
      </c>
      <c r="H1197" s="1" t="s">
        <v>2197</v>
      </c>
      <c r="I1197" s="2">
        <v>44989</v>
      </c>
      <c r="J1197">
        <v>30</v>
      </c>
      <c r="K1197">
        <v>4.3</v>
      </c>
      <c r="L1197" s="1" t="s">
        <v>96</v>
      </c>
      <c r="M1197" s="1" t="s">
        <v>35</v>
      </c>
    </row>
    <row r="1198" spans="1:13" x14ac:dyDescent="0.25">
      <c r="A1198" s="1" t="s">
        <v>2198</v>
      </c>
      <c r="B1198" s="1" t="s">
        <v>84</v>
      </c>
      <c r="C1198" s="1" t="s">
        <v>705</v>
      </c>
      <c r="D1198" s="1" t="s">
        <v>39</v>
      </c>
      <c r="E1198" s="1" t="s">
        <v>72</v>
      </c>
      <c r="F1198" s="1" t="s">
        <v>27</v>
      </c>
      <c r="G1198">
        <v>291602</v>
      </c>
      <c r="H1198" s="1" t="s">
        <v>1915</v>
      </c>
      <c r="I1198" s="2"/>
      <c r="K1198">
        <v>8.4</v>
      </c>
      <c r="L1198" s="1" t="s">
        <v>20</v>
      </c>
      <c r="M1198" s="1" t="s">
        <v>21</v>
      </c>
    </row>
    <row r="1199" spans="1:13" x14ac:dyDescent="0.25">
      <c r="A1199" s="1" t="s">
        <v>2199</v>
      </c>
      <c r="B1199" s="1" t="s">
        <v>104</v>
      </c>
      <c r="C1199" s="1" t="s">
        <v>1070</v>
      </c>
      <c r="D1199" s="1" t="s">
        <v>90</v>
      </c>
      <c r="E1199" s="1" t="s">
        <v>100</v>
      </c>
      <c r="F1199" s="1" t="s">
        <v>129</v>
      </c>
      <c r="G1199">
        <v>280933</v>
      </c>
      <c r="H1199" s="1" t="s">
        <v>974</v>
      </c>
      <c r="I1199" s="2"/>
      <c r="L1199" s="1" t="s">
        <v>96</v>
      </c>
      <c r="M1199" s="1" t="s">
        <v>35</v>
      </c>
    </row>
    <row r="1200" spans="1:13" x14ac:dyDescent="0.25">
      <c r="A1200" s="1" t="s">
        <v>2200</v>
      </c>
      <c r="B1200" s="1" t="s">
        <v>84</v>
      </c>
      <c r="C1200" s="1" t="s">
        <v>1144</v>
      </c>
      <c r="D1200" s="1" t="s">
        <v>46</v>
      </c>
      <c r="E1200" s="1" t="s">
        <v>47</v>
      </c>
      <c r="F1200" s="1" t="s">
        <v>18</v>
      </c>
      <c r="G1200">
        <v>54460</v>
      </c>
      <c r="H1200" s="1" t="s">
        <v>2201</v>
      </c>
      <c r="I1200" s="2">
        <v>45440</v>
      </c>
      <c r="J1200">
        <v>114</v>
      </c>
      <c r="K1200">
        <v>10.8</v>
      </c>
      <c r="L1200" s="1" t="s">
        <v>96</v>
      </c>
      <c r="M1200" s="1" t="s">
        <v>69</v>
      </c>
    </row>
    <row r="1201" spans="1:13" x14ac:dyDescent="0.25">
      <c r="A1201" s="1" t="s">
        <v>2202</v>
      </c>
      <c r="B1201" s="1" t="s">
        <v>127</v>
      </c>
      <c r="C1201" s="1" t="s">
        <v>141</v>
      </c>
      <c r="D1201" s="1" t="s">
        <v>25</v>
      </c>
      <c r="E1201" s="1" t="s">
        <v>100</v>
      </c>
      <c r="F1201" s="1" t="s">
        <v>18</v>
      </c>
      <c r="G1201">
        <v>276452</v>
      </c>
      <c r="H1201" s="1" t="s">
        <v>1718</v>
      </c>
      <c r="I1201" s="2">
        <v>45153</v>
      </c>
      <c r="J1201">
        <v>154</v>
      </c>
      <c r="K1201">
        <v>13.4</v>
      </c>
      <c r="L1201" s="1" t="s">
        <v>29</v>
      </c>
      <c r="M1201" s="1" t="s">
        <v>35</v>
      </c>
    </row>
    <row r="1202" spans="1:13" x14ac:dyDescent="0.25">
      <c r="A1202" s="1" t="s">
        <v>2203</v>
      </c>
      <c r="B1202" s="1" t="s">
        <v>23</v>
      </c>
      <c r="C1202" s="1" t="s">
        <v>705</v>
      </c>
      <c r="D1202" s="1" t="s">
        <v>90</v>
      </c>
      <c r="E1202" s="1" t="s">
        <v>100</v>
      </c>
      <c r="F1202" s="1" t="s">
        <v>33</v>
      </c>
      <c r="G1202">
        <v>408907</v>
      </c>
      <c r="H1202" s="1" t="s">
        <v>1619</v>
      </c>
      <c r="I1202" s="2"/>
      <c r="L1202" s="1" t="s">
        <v>49</v>
      </c>
      <c r="M1202" s="1" t="s">
        <v>30</v>
      </c>
    </row>
    <row r="1203" spans="1:13" x14ac:dyDescent="0.25">
      <c r="A1203" s="1" t="s">
        <v>2204</v>
      </c>
      <c r="B1203" s="1" t="s">
        <v>75</v>
      </c>
      <c r="C1203" s="1" t="s">
        <v>208</v>
      </c>
      <c r="D1203" s="1" t="s">
        <v>16</v>
      </c>
      <c r="E1203" s="1" t="s">
        <v>72</v>
      </c>
      <c r="F1203" s="1" t="s">
        <v>129</v>
      </c>
      <c r="G1203">
        <v>99490</v>
      </c>
      <c r="H1203" s="1" t="s">
        <v>674</v>
      </c>
      <c r="I1203" s="2"/>
      <c r="L1203" s="1" t="s">
        <v>20</v>
      </c>
      <c r="M1203" s="1" t="s">
        <v>35</v>
      </c>
    </row>
    <row r="1204" spans="1:13" x14ac:dyDescent="0.25">
      <c r="A1204" s="1" t="s">
        <v>2205</v>
      </c>
      <c r="B1204" s="1" t="s">
        <v>127</v>
      </c>
      <c r="C1204" s="1" t="s">
        <v>76</v>
      </c>
      <c r="D1204" s="1" t="s">
        <v>67</v>
      </c>
      <c r="E1204" s="1" t="s">
        <v>100</v>
      </c>
      <c r="F1204" s="1" t="s">
        <v>53</v>
      </c>
      <c r="G1204">
        <v>361767</v>
      </c>
      <c r="H1204" s="1" t="s">
        <v>1681</v>
      </c>
      <c r="I1204" s="2"/>
      <c r="L1204" s="1" t="s">
        <v>20</v>
      </c>
      <c r="M1204" s="1" t="s">
        <v>102</v>
      </c>
    </row>
    <row r="1205" spans="1:13" x14ac:dyDescent="0.25">
      <c r="A1205" s="1" t="s">
        <v>2206</v>
      </c>
      <c r="B1205" s="1" t="s">
        <v>98</v>
      </c>
      <c r="C1205" s="1" t="s">
        <v>944</v>
      </c>
      <c r="D1205" s="1" t="s">
        <v>39</v>
      </c>
      <c r="E1205" s="1" t="s">
        <v>61</v>
      </c>
      <c r="F1205" s="1" t="s">
        <v>40</v>
      </c>
      <c r="G1205">
        <v>241423</v>
      </c>
      <c r="H1205" s="1" t="s">
        <v>1048</v>
      </c>
      <c r="I1205" s="2">
        <v>45185</v>
      </c>
      <c r="J1205">
        <v>75</v>
      </c>
      <c r="K1205">
        <v>10</v>
      </c>
      <c r="L1205" s="1" t="s">
        <v>20</v>
      </c>
      <c r="M1205" s="1" t="s">
        <v>102</v>
      </c>
    </row>
    <row r="1206" spans="1:13" x14ac:dyDescent="0.25">
      <c r="A1206" s="1" t="s">
        <v>2207</v>
      </c>
      <c r="B1206" s="1" t="s">
        <v>109</v>
      </c>
      <c r="C1206" s="1" t="s">
        <v>208</v>
      </c>
      <c r="D1206" s="1" t="s">
        <v>67</v>
      </c>
      <c r="E1206" s="1" t="s">
        <v>100</v>
      </c>
      <c r="F1206" s="1" t="s">
        <v>40</v>
      </c>
      <c r="G1206">
        <v>166611</v>
      </c>
      <c r="H1206" s="1" t="s">
        <v>1763</v>
      </c>
      <c r="I1206" s="2">
        <v>45600</v>
      </c>
      <c r="J1206">
        <v>79</v>
      </c>
      <c r="K1206">
        <v>7.3</v>
      </c>
      <c r="L1206" s="1" t="s">
        <v>20</v>
      </c>
      <c r="M1206" s="1" t="s">
        <v>149</v>
      </c>
    </row>
    <row r="1207" spans="1:13" x14ac:dyDescent="0.25">
      <c r="A1207" s="1" t="s">
        <v>2208</v>
      </c>
      <c r="B1207" s="1" t="s">
        <v>75</v>
      </c>
      <c r="C1207" s="1" t="s">
        <v>1112</v>
      </c>
      <c r="D1207" s="1" t="s">
        <v>67</v>
      </c>
      <c r="E1207" s="1" t="s">
        <v>94</v>
      </c>
      <c r="F1207" s="1" t="s">
        <v>53</v>
      </c>
      <c r="G1207">
        <v>343590</v>
      </c>
      <c r="H1207" s="1" t="s">
        <v>2209</v>
      </c>
      <c r="I1207" s="2"/>
      <c r="K1207">
        <v>2.6</v>
      </c>
      <c r="L1207" s="1" t="s">
        <v>29</v>
      </c>
      <c r="M1207" s="1" t="s">
        <v>63</v>
      </c>
    </row>
    <row r="1208" spans="1:13" x14ac:dyDescent="0.25">
      <c r="A1208" s="1" t="s">
        <v>2210</v>
      </c>
      <c r="B1208" s="1" t="s">
        <v>75</v>
      </c>
      <c r="C1208" s="1" t="s">
        <v>2211</v>
      </c>
      <c r="D1208" s="1" t="s">
        <v>39</v>
      </c>
      <c r="E1208" s="1" t="s">
        <v>61</v>
      </c>
      <c r="F1208" s="1" t="s">
        <v>18</v>
      </c>
      <c r="G1208">
        <v>181260</v>
      </c>
      <c r="H1208" s="1" t="s">
        <v>2212</v>
      </c>
      <c r="I1208" s="2">
        <v>45801</v>
      </c>
      <c r="J1208">
        <v>58</v>
      </c>
      <c r="L1208" s="1" t="s">
        <v>20</v>
      </c>
      <c r="M1208" s="1" t="s">
        <v>63</v>
      </c>
    </row>
    <row r="1209" spans="1:13" x14ac:dyDescent="0.25">
      <c r="A1209" s="1" t="s">
        <v>2213</v>
      </c>
      <c r="B1209" s="1" t="s">
        <v>127</v>
      </c>
      <c r="C1209" s="1" t="s">
        <v>189</v>
      </c>
      <c r="D1209" s="1" t="s">
        <v>90</v>
      </c>
      <c r="E1209" s="1" t="s">
        <v>17</v>
      </c>
      <c r="F1209" s="1" t="s">
        <v>33</v>
      </c>
      <c r="G1209">
        <v>332027</v>
      </c>
      <c r="H1209" s="1" t="s">
        <v>2214</v>
      </c>
      <c r="I1209" s="2"/>
      <c r="K1209">
        <v>10.199999999999999</v>
      </c>
      <c r="L1209" s="1" t="s">
        <v>49</v>
      </c>
      <c r="M1209" s="1" t="s">
        <v>42</v>
      </c>
    </row>
    <row r="1210" spans="1:13" x14ac:dyDescent="0.25">
      <c r="A1210" s="1" t="s">
        <v>2215</v>
      </c>
      <c r="B1210" s="1" t="s">
        <v>104</v>
      </c>
      <c r="C1210" s="1" t="s">
        <v>439</v>
      </c>
      <c r="D1210" s="1" t="s">
        <v>67</v>
      </c>
      <c r="E1210" s="1" t="s">
        <v>26</v>
      </c>
      <c r="F1210" s="1" t="s">
        <v>40</v>
      </c>
      <c r="G1210">
        <v>19063</v>
      </c>
      <c r="H1210" s="1" t="s">
        <v>1648</v>
      </c>
      <c r="I1210" s="2">
        <v>45407</v>
      </c>
      <c r="J1210">
        <v>114</v>
      </c>
      <c r="K1210">
        <v>13.9</v>
      </c>
      <c r="L1210" s="1" t="s">
        <v>29</v>
      </c>
      <c r="M1210" s="1" t="s">
        <v>69</v>
      </c>
    </row>
    <row r="1211" spans="1:13" x14ac:dyDescent="0.25">
      <c r="A1211" s="1" t="s">
        <v>2216</v>
      </c>
      <c r="B1211" s="1" t="s">
        <v>14</v>
      </c>
      <c r="C1211" s="1" t="s">
        <v>1308</v>
      </c>
      <c r="D1211" s="1" t="s">
        <v>39</v>
      </c>
      <c r="E1211" s="1" t="s">
        <v>26</v>
      </c>
      <c r="F1211" s="1" t="s">
        <v>27</v>
      </c>
      <c r="G1211">
        <v>349331</v>
      </c>
      <c r="H1211" s="1" t="s">
        <v>1016</v>
      </c>
      <c r="I1211" s="2"/>
      <c r="L1211" s="1" t="s">
        <v>29</v>
      </c>
      <c r="M1211" s="1" t="s">
        <v>30</v>
      </c>
    </row>
    <row r="1212" spans="1:13" x14ac:dyDescent="0.25">
      <c r="A1212" s="1" t="s">
        <v>2217</v>
      </c>
      <c r="B1212" s="1" t="s">
        <v>65</v>
      </c>
      <c r="C1212" s="1" t="s">
        <v>303</v>
      </c>
      <c r="D1212" s="1" t="s">
        <v>90</v>
      </c>
      <c r="E1212" s="1" t="s">
        <v>47</v>
      </c>
      <c r="F1212" s="1" t="s">
        <v>33</v>
      </c>
      <c r="G1212">
        <v>468744</v>
      </c>
      <c r="H1212" s="1" t="s">
        <v>1648</v>
      </c>
      <c r="I1212" s="2"/>
      <c r="K1212">
        <v>13.4</v>
      </c>
      <c r="L1212" s="1" t="s">
        <v>49</v>
      </c>
      <c r="M1212" s="1" t="s">
        <v>69</v>
      </c>
    </row>
    <row r="1213" spans="1:13" x14ac:dyDescent="0.25">
      <c r="A1213" s="1" t="s">
        <v>2218</v>
      </c>
      <c r="B1213" s="1" t="s">
        <v>59</v>
      </c>
      <c r="C1213" s="1" t="s">
        <v>1112</v>
      </c>
      <c r="D1213" s="1" t="s">
        <v>67</v>
      </c>
      <c r="E1213" s="1" t="s">
        <v>26</v>
      </c>
      <c r="F1213" s="1" t="s">
        <v>27</v>
      </c>
      <c r="G1213">
        <v>111112</v>
      </c>
      <c r="H1213" s="1" t="s">
        <v>2219</v>
      </c>
      <c r="I1213" s="2"/>
      <c r="K1213">
        <v>14</v>
      </c>
      <c r="L1213" s="1" t="s">
        <v>29</v>
      </c>
      <c r="M1213" s="1" t="s">
        <v>107</v>
      </c>
    </row>
    <row r="1214" spans="1:13" x14ac:dyDescent="0.25">
      <c r="A1214" s="1" t="s">
        <v>2220</v>
      </c>
      <c r="B1214" s="1" t="s">
        <v>88</v>
      </c>
      <c r="C1214" s="1" t="s">
        <v>747</v>
      </c>
      <c r="D1214" s="1" t="s">
        <v>39</v>
      </c>
      <c r="E1214" s="1" t="s">
        <v>61</v>
      </c>
      <c r="F1214" s="1" t="s">
        <v>33</v>
      </c>
      <c r="G1214">
        <v>339693</v>
      </c>
      <c r="H1214" s="1" t="s">
        <v>199</v>
      </c>
      <c r="I1214" s="2"/>
      <c r="K1214">
        <v>9</v>
      </c>
      <c r="L1214" s="1" t="s">
        <v>49</v>
      </c>
      <c r="M1214" s="1" t="s">
        <v>42</v>
      </c>
    </row>
    <row r="1215" spans="1:13" x14ac:dyDescent="0.25">
      <c r="A1215" s="1" t="s">
        <v>2221</v>
      </c>
      <c r="B1215" s="1" t="s">
        <v>80</v>
      </c>
      <c r="C1215" s="1" t="s">
        <v>877</v>
      </c>
      <c r="D1215" s="1" t="s">
        <v>67</v>
      </c>
      <c r="E1215" s="1" t="s">
        <v>94</v>
      </c>
      <c r="F1215" s="1" t="s">
        <v>33</v>
      </c>
      <c r="G1215">
        <v>271247</v>
      </c>
      <c r="H1215" s="1" t="s">
        <v>199</v>
      </c>
      <c r="I1215" s="2"/>
      <c r="L1215" s="1" t="s">
        <v>49</v>
      </c>
      <c r="M1215" s="1" t="s">
        <v>42</v>
      </c>
    </row>
    <row r="1216" spans="1:13" x14ac:dyDescent="0.25">
      <c r="A1216" s="1" t="s">
        <v>2222</v>
      </c>
      <c r="B1216" s="1" t="s">
        <v>88</v>
      </c>
      <c r="C1216" s="1" t="s">
        <v>460</v>
      </c>
      <c r="D1216" s="1" t="s">
        <v>16</v>
      </c>
      <c r="E1216" s="1" t="s">
        <v>61</v>
      </c>
      <c r="F1216" s="1" t="s">
        <v>27</v>
      </c>
      <c r="G1216">
        <v>460851</v>
      </c>
      <c r="H1216" s="1" t="s">
        <v>814</v>
      </c>
      <c r="I1216" s="2"/>
      <c r="L1216" s="1" t="s">
        <v>96</v>
      </c>
      <c r="M1216" s="1" t="s">
        <v>42</v>
      </c>
    </row>
    <row r="1217" spans="1:13" x14ac:dyDescent="0.25">
      <c r="A1217" s="1" t="s">
        <v>2223</v>
      </c>
      <c r="B1217" s="1" t="s">
        <v>173</v>
      </c>
      <c r="C1217" s="1" t="s">
        <v>474</v>
      </c>
      <c r="D1217" s="1" t="s">
        <v>46</v>
      </c>
      <c r="E1217" s="1" t="s">
        <v>77</v>
      </c>
      <c r="F1217" s="1" t="s">
        <v>53</v>
      </c>
      <c r="G1217">
        <v>321071</v>
      </c>
      <c r="H1217" s="1" t="s">
        <v>290</v>
      </c>
      <c r="I1217" s="2"/>
      <c r="K1217">
        <v>1.9</v>
      </c>
      <c r="L1217" s="1" t="s">
        <v>29</v>
      </c>
      <c r="M1217" s="1" t="s">
        <v>69</v>
      </c>
    </row>
    <row r="1218" spans="1:13" x14ac:dyDescent="0.25">
      <c r="A1218" s="1" t="s">
        <v>2224</v>
      </c>
      <c r="B1218" s="1" t="s">
        <v>23</v>
      </c>
      <c r="C1218" s="1" t="s">
        <v>1258</v>
      </c>
      <c r="D1218" s="1" t="s">
        <v>16</v>
      </c>
      <c r="E1218" s="1" t="s">
        <v>47</v>
      </c>
      <c r="F1218" s="1" t="s">
        <v>53</v>
      </c>
      <c r="G1218">
        <v>375755</v>
      </c>
      <c r="H1218" s="1" t="s">
        <v>225</v>
      </c>
      <c r="I1218" s="2"/>
      <c r="K1218">
        <v>9</v>
      </c>
      <c r="L1218" s="1" t="s">
        <v>20</v>
      </c>
      <c r="M1218" s="1" t="s">
        <v>149</v>
      </c>
    </row>
    <row r="1219" spans="1:13" x14ac:dyDescent="0.25">
      <c r="A1219" s="1" t="s">
        <v>2225</v>
      </c>
      <c r="B1219" s="1" t="s">
        <v>109</v>
      </c>
      <c r="C1219" s="1" t="s">
        <v>295</v>
      </c>
      <c r="D1219" s="1" t="s">
        <v>39</v>
      </c>
      <c r="E1219" s="1" t="s">
        <v>94</v>
      </c>
      <c r="F1219" s="1" t="s">
        <v>33</v>
      </c>
      <c r="G1219">
        <v>425285</v>
      </c>
      <c r="H1219" s="1" t="s">
        <v>2226</v>
      </c>
      <c r="I1219" s="2"/>
      <c r="K1219">
        <v>7.7</v>
      </c>
      <c r="L1219" s="1" t="s">
        <v>96</v>
      </c>
      <c r="M1219" s="1" t="s">
        <v>21</v>
      </c>
    </row>
    <row r="1220" spans="1:13" x14ac:dyDescent="0.25">
      <c r="A1220" s="1" t="s">
        <v>2227</v>
      </c>
      <c r="B1220" s="1" t="s">
        <v>65</v>
      </c>
      <c r="C1220" s="1" t="s">
        <v>237</v>
      </c>
      <c r="D1220" s="1" t="s">
        <v>46</v>
      </c>
      <c r="E1220" s="1" t="s">
        <v>72</v>
      </c>
      <c r="F1220" s="1" t="s">
        <v>129</v>
      </c>
      <c r="G1220">
        <v>159443</v>
      </c>
      <c r="H1220" s="1" t="s">
        <v>1961</v>
      </c>
      <c r="I1220" s="2"/>
      <c r="K1220">
        <v>10.8</v>
      </c>
      <c r="L1220" s="1" t="s">
        <v>96</v>
      </c>
      <c r="M1220" s="1" t="s">
        <v>35</v>
      </c>
    </row>
    <row r="1221" spans="1:13" x14ac:dyDescent="0.25">
      <c r="A1221" s="1" t="s">
        <v>2228</v>
      </c>
      <c r="B1221" s="1" t="s">
        <v>88</v>
      </c>
      <c r="C1221" s="1" t="s">
        <v>2006</v>
      </c>
      <c r="D1221" s="1" t="s">
        <v>90</v>
      </c>
      <c r="E1221" s="1" t="s">
        <v>61</v>
      </c>
      <c r="F1221" s="1" t="s">
        <v>18</v>
      </c>
      <c r="G1221">
        <v>353839</v>
      </c>
      <c r="H1221" s="1" t="s">
        <v>1435</v>
      </c>
      <c r="I1221" s="2">
        <v>45581</v>
      </c>
      <c r="J1221">
        <v>52</v>
      </c>
      <c r="K1221">
        <v>0.5</v>
      </c>
      <c r="L1221" s="1" t="s">
        <v>49</v>
      </c>
      <c r="M1221" s="1" t="s">
        <v>149</v>
      </c>
    </row>
    <row r="1222" spans="1:13" x14ac:dyDescent="0.25">
      <c r="A1222" s="1" t="s">
        <v>2229</v>
      </c>
      <c r="B1222" s="1" t="s">
        <v>127</v>
      </c>
      <c r="C1222" s="1" t="s">
        <v>71</v>
      </c>
      <c r="D1222" s="1" t="s">
        <v>25</v>
      </c>
      <c r="E1222" s="1" t="s">
        <v>77</v>
      </c>
      <c r="F1222" s="1" t="s">
        <v>18</v>
      </c>
      <c r="G1222">
        <v>239000</v>
      </c>
      <c r="H1222" s="1" t="s">
        <v>1957</v>
      </c>
      <c r="I1222" s="2">
        <v>45797</v>
      </c>
      <c r="J1222">
        <v>161</v>
      </c>
      <c r="K1222">
        <v>0.1</v>
      </c>
      <c r="L1222" s="1" t="s">
        <v>29</v>
      </c>
      <c r="M1222" s="1" t="s">
        <v>42</v>
      </c>
    </row>
    <row r="1223" spans="1:13" x14ac:dyDescent="0.25">
      <c r="A1223" s="1" t="s">
        <v>2230</v>
      </c>
      <c r="B1223" s="1" t="s">
        <v>80</v>
      </c>
      <c r="C1223" s="1" t="s">
        <v>60</v>
      </c>
      <c r="D1223" s="1" t="s">
        <v>16</v>
      </c>
      <c r="E1223" s="1" t="s">
        <v>100</v>
      </c>
      <c r="F1223" s="1" t="s">
        <v>40</v>
      </c>
      <c r="G1223">
        <v>420634</v>
      </c>
      <c r="H1223" s="1" t="s">
        <v>1418</v>
      </c>
      <c r="I1223" s="2">
        <v>45622</v>
      </c>
      <c r="J1223">
        <v>24</v>
      </c>
      <c r="K1223">
        <v>10.8</v>
      </c>
      <c r="L1223" s="1" t="s">
        <v>29</v>
      </c>
      <c r="M1223" s="1" t="s">
        <v>42</v>
      </c>
    </row>
    <row r="1224" spans="1:13" x14ac:dyDescent="0.25">
      <c r="A1224" s="1" t="s">
        <v>2231</v>
      </c>
      <c r="B1224" s="1" t="s">
        <v>88</v>
      </c>
      <c r="C1224" s="1" t="s">
        <v>168</v>
      </c>
      <c r="D1224" s="1" t="s">
        <v>67</v>
      </c>
      <c r="E1224" s="1" t="s">
        <v>100</v>
      </c>
      <c r="F1224" s="1" t="s">
        <v>27</v>
      </c>
      <c r="G1224">
        <v>45249</v>
      </c>
      <c r="H1224" s="1" t="s">
        <v>166</v>
      </c>
      <c r="I1224" s="2"/>
      <c r="K1224">
        <v>8</v>
      </c>
      <c r="L1224" s="1" t="s">
        <v>49</v>
      </c>
      <c r="M1224" s="1" t="s">
        <v>30</v>
      </c>
    </row>
    <row r="1225" spans="1:13" x14ac:dyDescent="0.25">
      <c r="A1225" s="1" t="s">
        <v>2232</v>
      </c>
      <c r="B1225" s="1" t="s">
        <v>14</v>
      </c>
      <c r="C1225" s="1" t="s">
        <v>912</v>
      </c>
      <c r="D1225" s="1" t="s">
        <v>39</v>
      </c>
      <c r="E1225" s="1" t="s">
        <v>47</v>
      </c>
      <c r="F1225" s="1" t="s">
        <v>129</v>
      </c>
      <c r="G1225">
        <v>176538</v>
      </c>
      <c r="H1225" s="1" t="s">
        <v>738</v>
      </c>
      <c r="I1225" s="2"/>
      <c r="L1225" s="1" t="s">
        <v>20</v>
      </c>
      <c r="M1225" s="1" t="s">
        <v>107</v>
      </c>
    </row>
    <row r="1226" spans="1:13" x14ac:dyDescent="0.25">
      <c r="A1226" s="1" t="s">
        <v>2233</v>
      </c>
      <c r="B1226" s="1" t="s">
        <v>59</v>
      </c>
      <c r="C1226" s="1" t="s">
        <v>1185</v>
      </c>
      <c r="D1226" s="1" t="s">
        <v>46</v>
      </c>
      <c r="E1226" s="1" t="s">
        <v>51</v>
      </c>
      <c r="F1226" s="1" t="s">
        <v>53</v>
      </c>
      <c r="G1226">
        <v>325010</v>
      </c>
      <c r="H1226" s="1" t="s">
        <v>684</v>
      </c>
      <c r="I1226" s="2"/>
      <c r="K1226">
        <v>7.9</v>
      </c>
      <c r="L1226" s="1" t="s">
        <v>49</v>
      </c>
      <c r="M1226" s="1" t="s">
        <v>63</v>
      </c>
    </row>
    <row r="1227" spans="1:13" x14ac:dyDescent="0.25">
      <c r="A1227" s="1" t="s">
        <v>2234</v>
      </c>
      <c r="B1227" s="1" t="s">
        <v>44</v>
      </c>
      <c r="C1227" s="1" t="s">
        <v>303</v>
      </c>
      <c r="D1227" s="1" t="s">
        <v>67</v>
      </c>
      <c r="E1227" s="1" t="s">
        <v>100</v>
      </c>
      <c r="F1227" s="1" t="s">
        <v>18</v>
      </c>
      <c r="G1227">
        <v>417993</v>
      </c>
      <c r="H1227" s="1" t="s">
        <v>2235</v>
      </c>
      <c r="I1227" s="2">
        <v>45598</v>
      </c>
      <c r="J1227">
        <v>92</v>
      </c>
      <c r="K1227">
        <v>1.3</v>
      </c>
      <c r="L1227" s="1" t="s">
        <v>49</v>
      </c>
      <c r="M1227" s="1" t="s">
        <v>149</v>
      </c>
    </row>
    <row r="1228" spans="1:13" x14ac:dyDescent="0.25">
      <c r="A1228" s="1" t="s">
        <v>2236</v>
      </c>
      <c r="B1228" s="1" t="s">
        <v>173</v>
      </c>
      <c r="C1228" s="1" t="s">
        <v>433</v>
      </c>
      <c r="D1228" s="1" t="s">
        <v>25</v>
      </c>
      <c r="E1228" s="1" t="s">
        <v>72</v>
      </c>
      <c r="F1228" s="1" t="s">
        <v>129</v>
      </c>
      <c r="G1228">
        <v>389700</v>
      </c>
      <c r="H1228" s="1" t="s">
        <v>2237</v>
      </c>
      <c r="I1228" s="2"/>
      <c r="L1228" s="1" t="s">
        <v>29</v>
      </c>
      <c r="M1228" s="1" t="s">
        <v>21</v>
      </c>
    </row>
    <row r="1229" spans="1:13" x14ac:dyDescent="0.25">
      <c r="A1229" s="1" t="s">
        <v>2238</v>
      </c>
      <c r="B1229" s="1" t="s">
        <v>65</v>
      </c>
      <c r="C1229" s="1" t="s">
        <v>513</v>
      </c>
      <c r="D1229" s="1" t="s">
        <v>39</v>
      </c>
      <c r="E1229" s="1" t="s">
        <v>77</v>
      </c>
      <c r="F1229" s="1" t="s">
        <v>40</v>
      </c>
      <c r="G1229">
        <v>60064</v>
      </c>
      <c r="H1229" s="1" t="s">
        <v>479</v>
      </c>
      <c r="I1229" s="2">
        <v>45151</v>
      </c>
      <c r="J1229">
        <v>83</v>
      </c>
      <c r="K1229">
        <v>18</v>
      </c>
      <c r="L1229" s="1" t="s">
        <v>29</v>
      </c>
      <c r="M1229" s="1" t="s">
        <v>30</v>
      </c>
    </row>
    <row r="1230" spans="1:13" x14ac:dyDescent="0.25">
      <c r="A1230" s="1" t="s">
        <v>2239</v>
      </c>
      <c r="B1230" s="1" t="s">
        <v>80</v>
      </c>
      <c r="C1230" s="1" t="s">
        <v>423</v>
      </c>
      <c r="D1230" s="1" t="s">
        <v>39</v>
      </c>
      <c r="E1230" s="1" t="s">
        <v>26</v>
      </c>
      <c r="F1230" s="1" t="s">
        <v>18</v>
      </c>
      <c r="G1230">
        <v>95474</v>
      </c>
      <c r="H1230" s="1" t="s">
        <v>1458</v>
      </c>
      <c r="I1230" s="2">
        <v>45228</v>
      </c>
      <c r="J1230">
        <v>143</v>
      </c>
      <c r="K1230">
        <v>2.8</v>
      </c>
      <c r="L1230" s="1" t="s">
        <v>96</v>
      </c>
      <c r="M1230" s="1" t="s">
        <v>30</v>
      </c>
    </row>
    <row r="1231" spans="1:13" x14ac:dyDescent="0.25">
      <c r="A1231" s="1" t="s">
        <v>2240</v>
      </c>
      <c r="B1231" s="1" t="s">
        <v>109</v>
      </c>
      <c r="C1231" s="1" t="s">
        <v>1549</v>
      </c>
      <c r="D1231" s="1" t="s">
        <v>90</v>
      </c>
      <c r="E1231" s="1" t="s">
        <v>72</v>
      </c>
      <c r="F1231" s="1" t="s">
        <v>40</v>
      </c>
      <c r="G1231">
        <v>217795</v>
      </c>
      <c r="H1231" s="1" t="s">
        <v>304</v>
      </c>
      <c r="I1231" s="2">
        <v>45532</v>
      </c>
      <c r="J1231">
        <v>88</v>
      </c>
      <c r="K1231">
        <v>1.7</v>
      </c>
      <c r="L1231" s="1" t="s">
        <v>20</v>
      </c>
      <c r="M1231" s="1" t="s">
        <v>107</v>
      </c>
    </row>
    <row r="1232" spans="1:13" x14ac:dyDescent="0.25">
      <c r="A1232" s="1" t="s">
        <v>2241</v>
      </c>
      <c r="B1232" s="1" t="s">
        <v>44</v>
      </c>
      <c r="C1232" s="1" t="s">
        <v>1074</v>
      </c>
      <c r="D1232" s="1" t="s">
        <v>90</v>
      </c>
      <c r="E1232" s="1" t="s">
        <v>94</v>
      </c>
      <c r="F1232" s="1" t="s">
        <v>27</v>
      </c>
      <c r="G1232">
        <v>347232</v>
      </c>
      <c r="H1232" s="1" t="s">
        <v>353</v>
      </c>
      <c r="I1232" s="2"/>
      <c r="K1232">
        <v>13.5</v>
      </c>
      <c r="L1232" s="1" t="s">
        <v>29</v>
      </c>
      <c r="M1232" s="1" t="s">
        <v>35</v>
      </c>
    </row>
    <row r="1233" spans="1:13" x14ac:dyDescent="0.25">
      <c r="A1233" s="1" t="s">
        <v>2242</v>
      </c>
      <c r="B1233" s="1" t="s">
        <v>37</v>
      </c>
      <c r="C1233" s="1" t="s">
        <v>1308</v>
      </c>
      <c r="D1233" s="1" t="s">
        <v>25</v>
      </c>
      <c r="E1233" s="1" t="s">
        <v>72</v>
      </c>
      <c r="F1233" s="1" t="s">
        <v>53</v>
      </c>
      <c r="G1233">
        <v>117424</v>
      </c>
      <c r="H1233" s="1" t="s">
        <v>114</v>
      </c>
      <c r="I1233" s="2"/>
      <c r="L1233" s="1" t="s">
        <v>49</v>
      </c>
      <c r="M1233" s="1" t="s">
        <v>69</v>
      </c>
    </row>
    <row r="1234" spans="1:13" x14ac:dyDescent="0.25">
      <c r="A1234" s="1" t="s">
        <v>2243</v>
      </c>
      <c r="B1234" s="1" t="s">
        <v>104</v>
      </c>
      <c r="C1234" s="1" t="s">
        <v>267</v>
      </c>
      <c r="D1234" s="1" t="s">
        <v>46</v>
      </c>
      <c r="E1234" s="1" t="s">
        <v>77</v>
      </c>
      <c r="F1234" s="1" t="s">
        <v>129</v>
      </c>
      <c r="G1234">
        <v>344166</v>
      </c>
      <c r="H1234" s="1" t="s">
        <v>222</v>
      </c>
      <c r="I1234" s="2"/>
      <c r="K1234">
        <v>14.4</v>
      </c>
      <c r="L1234" s="1" t="s">
        <v>49</v>
      </c>
      <c r="M1234" s="1" t="s">
        <v>63</v>
      </c>
    </row>
    <row r="1235" spans="1:13" x14ac:dyDescent="0.25">
      <c r="A1235" s="1" t="s">
        <v>2244</v>
      </c>
      <c r="B1235" s="1" t="s">
        <v>173</v>
      </c>
      <c r="C1235" s="1" t="s">
        <v>654</v>
      </c>
      <c r="D1235" s="1" t="s">
        <v>46</v>
      </c>
      <c r="E1235" s="1" t="s">
        <v>100</v>
      </c>
      <c r="F1235" s="1" t="s">
        <v>53</v>
      </c>
      <c r="G1235">
        <v>102612</v>
      </c>
      <c r="H1235" s="1" t="s">
        <v>2245</v>
      </c>
      <c r="I1235" s="2"/>
      <c r="K1235">
        <v>9.1</v>
      </c>
      <c r="L1235" s="1" t="s">
        <v>96</v>
      </c>
      <c r="M1235" s="1" t="s">
        <v>107</v>
      </c>
    </row>
    <row r="1236" spans="1:13" x14ac:dyDescent="0.25">
      <c r="A1236" s="1" t="s">
        <v>2246</v>
      </c>
      <c r="B1236" s="1" t="s">
        <v>37</v>
      </c>
      <c r="C1236" s="1" t="s">
        <v>877</v>
      </c>
      <c r="D1236" s="1" t="s">
        <v>39</v>
      </c>
      <c r="E1236" s="1" t="s">
        <v>26</v>
      </c>
      <c r="F1236" s="1" t="s">
        <v>40</v>
      </c>
      <c r="G1236">
        <v>104824</v>
      </c>
      <c r="H1236" s="1" t="s">
        <v>823</v>
      </c>
      <c r="I1236" s="2">
        <v>45337</v>
      </c>
      <c r="J1236">
        <v>86</v>
      </c>
      <c r="K1236">
        <v>1.9</v>
      </c>
      <c r="L1236" s="1" t="s">
        <v>96</v>
      </c>
      <c r="M1236" s="1" t="s">
        <v>21</v>
      </c>
    </row>
    <row r="1237" spans="1:13" x14ac:dyDescent="0.25">
      <c r="A1237" s="1" t="s">
        <v>2247</v>
      </c>
      <c r="B1237" s="1" t="s">
        <v>104</v>
      </c>
      <c r="C1237" s="1" t="s">
        <v>423</v>
      </c>
      <c r="D1237" s="1" t="s">
        <v>39</v>
      </c>
      <c r="E1237" s="1" t="s">
        <v>47</v>
      </c>
      <c r="F1237" s="1" t="s">
        <v>40</v>
      </c>
      <c r="G1237">
        <v>61534</v>
      </c>
      <c r="H1237" s="1" t="s">
        <v>2248</v>
      </c>
      <c r="I1237" s="2">
        <v>45533</v>
      </c>
      <c r="J1237">
        <v>116</v>
      </c>
      <c r="K1237">
        <v>3.1</v>
      </c>
      <c r="L1237" s="1" t="s">
        <v>29</v>
      </c>
      <c r="M1237" s="1" t="s">
        <v>107</v>
      </c>
    </row>
    <row r="1238" spans="1:13" x14ac:dyDescent="0.25">
      <c r="A1238" s="1" t="s">
        <v>2249</v>
      </c>
      <c r="B1238" s="1" t="s">
        <v>23</v>
      </c>
      <c r="C1238" s="1" t="s">
        <v>147</v>
      </c>
      <c r="D1238" s="1" t="s">
        <v>90</v>
      </c>
      <c r="E1238" s="1" t="s">
        <v>61</v>
      </c>
      <c r="F1238" s="1" t="s">
        <v>53</v>
      </c>
      <c r="G1238">
        <v>207809</v>
      </c>
      <c r="H1238" s="1" t="s">
        <v>2250</v>
      </c>
      <c r="I1238" s="2"/>
      <c r="L1238" s="1" t="s">
        <v>49</v>
      </c>
      <c r="M1238" s="1" t="s">
        <v>42</v>
      </c>
    </row>
    <row r="1239" spans="1:13" x14ac:dyDescent="0.25">
      <c r="A1239" s="1" t="s">
        <v>2251</v>
      </c>
      <c r="B1239" s="1" t="s">
        <v>44</v>
      </c>
      <c r="C1239" s="1" t="s">
        <v>279</v>
      </c>
      <c r="D1239" s="1" t="s">
        <v>16</v>
      </c>
      <c r="E1239" s="1" t="s">
        <v>94</v>
      </c>
      <c r="F1239" s="1" t="s">
        <v>33</v>
      </c>
      <c r="G1239">
        <v>210186</v>
      </c>
      <c r="H1239" s="1" t="s">
        <v>353</v>
      </c>
      <c r="I1239" s="2"/>
      <c r="K1239">
        <v>14.5</v>
      </c>
      <c r="L1239" s="1" t="s">
        <v>29</v>
      </c>
      <c r="M1239" s="1" t="s">
        <v>35</v>
      </c>
    </row>
    <row r="1240" spans="1:13" x14ac:dyDescent="0.25">
      <c r="A1240" s="1" t="s">
        <v>2252</v>
      </c>
      <c r="B1240" s="1" t="s">
        <v>65</v>
      </c>
      <c r="C1240" s="1" t="s">
        <v>393</v>
      </c>
      <c r="D1240" s="1" t="s">
        <v>90</v>
      </c>
      <c r="E1240" s="1" t="s">
        <v>17</v>
      </c>
      <c r="F1240" s="1" t="s">
        <v>27</v>
      </c>
      <c r="G1240">
        <v>89912</v>
      </c>
      <c r="H1240" s="1" t="s">
        <v>2253</v>
      </c>
      <c r="I1240" s="2"/>
      <c r="L1240" s="1" t="s">
        <v>96</v>
      </c>
      <c r="M1240" s="1" t="s">
        <v>102</v>
      </c>
    </row>
    <row r="1241" spans="1:13" x14ac:dyDescent="0.25">
      <c r="A1241" s="1" t="s">
        <v>1219</v>
      </c>
      <c r="B1241" s="1" t="s">
        <v>75</v>
      </c>
      <c r="C1241" s="1" t="s">
        <v>1009</v>
      </c>
      <c r="D1241" s="1" t="s">
        <v>39</v>
      </c>
      <c r="E1241" s="1" t="s">
        <v>72</v>
      </c>
      <c r="F1241" s="1" t="s">
        <v>53</v>
      </c>
      <c r="G1241">
        <v>454108</v>
      </c>
      <c r="H1241" s="1" t="s">
        <v>1220</v>
      </c>
      <c r="I1241" s="2"/>
      <c r="L1241" s="1" t="s">
        <v>29</v>
      </c>
      <c r="M1241" s="1" t="s">
        <v>149</v>
      </c>
    </row>
    <row r="1242" spans="1:13" x14ac:dyDescent="0.25">
      <c r="A1242" s="1" t="s">
        <v>2254</v>
      </c>
      <c r="B1242" s="1" t="s">
        <v>84</v>
      </c>
      <c r="C1242" s="1" t="s">
        <v>250</v>
      </c>
      <c r="D1242" s="1" t="s">
        <v>67</v>
      </c>
      <c r="E1242" s="1" t="s">
        <v>47</v>
      </c>
      <c r="F1242" s="1" t="s">
        <v>33</v>
      </c>
      <c r="G1242">
        <v>96577</v>
      </c>
      <c r="H1242" s="1" t="s">
        <v>2255</v>
      </c>
      <c r="I1242" s="2"/>
      <c r="K1242">
        <v>13.4</v>
      </c>
      <c r="L1242" s="1" t="s">
        <v>20</v>
      </c>
      <c r="M1242" s="1" t="s">
        <v>102</v>
      </c>
    </row>
    <row r="1243" spans="1:13" x14ac:dyDescent="0.25">
      <c r="A1243" s="1" t="s">
        <v>2256</v>
      </c>
      <c r="B1243" s="1" t="s">
        <v>37</v>
      </c>
      <c r="C1243" s="1" t="s">
        <v>442</v>
      </c>
      <c r="D1243" s="1" t="s">
        <v>25</v>
      </c>
      <c r="E1243" s="1" t="s">
        <v>94</v>
      </c>
      <c r="F1243" s="1" t="s">
        <v>40</v>
      </c>
      <c r="G1243">
        <v>334935</v>
      </c>
      <c r="H1243" s="1" t="s">
        <v>1796</v>
      </c>
      <c r="I1243" s="2">
        <v>45177</v>
      </c>
      <c r="J1243">
        <v>110</v>
      </c>
      <c r="K1243">
        <v>5.0999999999999996</v>
      </c>
      <c r="L1243" s="1" t="s">
        <v>20</v>
      </c>
      <c r="M1243" s="1" t="s">
        <v>30</v>
      </c>
    </row>
    <row r="1244" spans="1:13" x14ac:dyDescent="0.25">
      <c r="A1244" s="1" t="s">
        <v>2257</v>
      </c>
      <c r="B1244" s="1" t="s">
        <v>59</v>
      </c>
      <c r="C1244" s="1" t="s">
        <v>486</v>
      </c>
      <c r="D1244" s="1" t="s">
        <v>46</v>
      </c>
      <c r="E1244" s="1" t="s">
        <v>77</v>
      </c>
      <c r="F1244" s="1" t="s">
        <v>18</v>
      </c>
      <c r="G1244">
        <v>380285</v>
      </c>
      <c r="H1244" s="1" t="s">
        <v>1273</v>
      </c>
      <c r="I1244" s="2">
        <v>45011</v>
      </c>
      <c r="J1244">
        <v>52</v>
      </c>
      <c r="L1244" s="1" t="s">
        <v>49</v>
      </c>
      <c r="M1244" s="1" t="s">
        <v>35</v>
      </c>
    </row>
    <row r="1245" spans="1:13" x14ac:dyDescent="0.25">
      <c r="A1245" s="1" t="s">
        <v>2258</v>
      </c>
      <c r="B1245" s="1" t="s">
        <v>104</v>
      </c>
      <c r="C1245" s="1" t="s">
        <v>1582</v>
      </c>
      <c r="D1245" s="1" t="s">
        <v>67</v>
      </c>
      <c r="E1245" s="1" t="s">
        <v>47</v>
      </c>
      <c r="F1245" s="1" t="s">
        <v>129</v>
      </c>
      <c r="G1245">
        <v>439392</v>
      </c>
      <c r="H1245" s="1" t="s">
        <v>356</v>
      </c>
      <c r="I1245" s="2"/>
      <c r="K1245">
        <v>14.8</v>
      </c>
      <c r="L1245" s="1" t="s">
        <v>29</v>
      </c>
      <c r="M1245" s="1" t="s">
        <v>69</v>
      </c>
    </row>
    <row r="1246" spans="1:13" x14ac:dyDescent="0.25">
      <c r="A1246" s="1" t="s">
        <v>2259</v>
      </c>
      <c r="B1246" s="1" t="s">
        <v>109</v>
      </c>
      <c r="C1246" s="1" t="s">
        <v>502</v>
      </c>
      <c r="D1246" s="1" t="s">
        <v>39</v>
      </c>
      <c r="E1246" s="1" t="s">
        <v>77</v>
      </c>
      <c r="F1246" s="1" t="s">
        <v>40</v>
      </c>
      <c r="G1246">
        <v>477749</v>
      </c>
      <c r="H1246" s="1" t="s">
        <v>534</v>
      </c>
      <c r="I1246" s="2">
        <v>45732</v>
      </c>
      <c r="J1246">
        <v>18</v>
      </c>
      <c r="K1246">
        <v>5.2</v>
      </c>
      <c r="L1246" s="1" t="s">
        <v>20</v>
      </c>
      <c r="M1246" s="1" t="s">
        <v>63</v>
      </c>
    </row>
    <row r="1247" spans="1:13" x14ac:dyDescent="0.25">
      <c r="A1247" s="1" t="s">
        <v>2260</v>
      </c>
      <c r="B1247" s="1" t="s">
        <v>173</v>
      </c>
      <c r="C1247" s="1" t="s">
        <v>596</v>
      </c>
      <c r="D1247" s="1" t="s">
        <v>67</v>
      </c>
      <c r="E1247" s="1" t="s">
        <v>77</v>
      </c>
      <c r="F1247" s="1" t="s">
        <v>33</v>
      </c>
      <c r="G1247">
        <v>888412</v>
      </c>
      <c r="H1247" s="1" t="s">
        <v>329</v>
      </c>
      <c r="I1247" s="2"/>
      <c r="L1247" s="1" t="s">
        <v>29</v>
      </c>
      <c r="M1247" s="1" t="s">
        <v>102</v>
      </c>
    </row>
    <row r="1248" spans="1:13" x14ac:dyDescent="0.25">
      <c r="A1248" s="1" t="s">
        <v>2261</v>
      </c>
      <c r="B1248" s="1" t="s">
        <v>75</v>
      </c>
      <c r="C1248" s="1" t="s">
        <v>705</v>
      </c>
      <c r="D1248" s="1" t="s">
        <v>46</v>
      </c>
      <c r="E1248" s="1" t="s">
        <v>94</v>
      </c>
      <c r="F1248" s="1" t="s">
        <v>40</v>
      </c>
      <c r="G1248">
        <v>120151</v>
      </c>
      <c r="H1248" s="1" t="s">
        <v>2262</v>
      </c>
      <c r="I1248" s="2">
        <v>45636</v>
      </c>
      <c r="J1248">
        <v>146</v>
      </c>
      <c r="K1248">
        <v>5.0999999999999996</v>
      </c>
      <c r="L1248" s="1" t="s">
        <v>96</v>
      </c>
      <c r="M1248" s="1" t="s">
        <v>149</v>
      </c>
    </row>
    <row r="1249" spans="1:13" x14ac:dyDescent="0.25">
      <c r="A1249" s="1" t="s">
        <v>2263</v>
      </c>
      <c r="B1249" s="1" t="s">
        <v>104</v>
      </c>
      <c r="C1249" s="1" t="s">
        <v>544</v>
      </c>
      <c r="D1249" s="1" t="s">
        <v>39</v>
      </c>
      <c r="E1249" s="1" t="s">
        <v>47</v>
      </c>
      <c r="F1249" s="1" t="s">
        <v>53</v>
      </c>
      <c r="G1249">
        <v>120883</v>
      </c>
      <c r="H1249" s="1" t="s">
        <v>402</v>
      </c>
      <c r="I1249" s="2"/>
      <c r="L1249" s="1" t="s">
        <v>29</v>
      </c>
      <c r="M1249" s="1" t="s">
        <v>63</v>
      </c>
    </row>
    <row r="1250" spans="1:13" x14ac:dyDescent="0.25">
      <c r="A1250" s="1" t="s">
        <v>2264</v>
      </c>
      <c r="B1250" s="1" t="s">
        <v>173</v>
      </c>
      <c r="C1250" s="1" t="s">
        <v>364</v>
      </c>
      <c r="D1250" s="1" t="s">
        <v>46</v>
      </c>
      <c r="E1250" s="1" t="s">
        <v>47</v>
      </c>
      <c r="F1250" s="1" t="s">
        <v>33</v>
      </c>
      <c r="G1250">
        <v>448626</v>
      </c>
      <c r="H1250" s="1" t="s">
        <v>1332</v>
      </c>
      <c r="I1250" s="2"/>
      <c r="K1250">
        <v>6.6</v>
      </c>
      <c r="L1250" s="1" t="s">
        <v>96</v>
      </c>
      <c r="M1250" s="1" t="s">
        <v>149</v>
      </c>
    </row>
    <row r="1251" spans="1:13" x14ac:dyDescent="0.25">
      <c r="A1251" s="1" t="s">
        <v>2265</v>
      </c>
      <c r="B1251" s="1" t="s">
        <v>80</v>
      </c>
      <c r="C1251" s="1" t="s">
        <v>1914</v>
      </c>
      <c r="D1251" s="1" t="s">
        <v>16</v>
      </c>
      <c r="E1251" s="1" t="s">
        <v>61</v>
      </c>
      <c r="F1251" s="1" t="s">
        <v>40</v>
      </c>
      <c r="G1251">
        <v>313755</v>
      </c>
      <c r="H1251" s="1" t="s">
        <v>265</v>
      </c>
      <c r="I1251" s="2">
        <v>45146</v>
      </c>
      <c r="J1251">
        <v>73</v>
      </c>
      <c r="K1251">
        <v>19.8</v>
      </c>
      <c r="L1251" s="1" t="s">
        <v>49</v>
      </c>
      <c r="M1251" s="1" t="s">
        <v>30</v>
      </c>
    </row>
    <row r="1252" spans="1:13" x14ac:dyDescent="0.25">
      <c r="A1252" s="1" t="s">
        <v>2266</v>
      </c>
      <c r="B1252" s="1" t="s">
        <v>104</v>
      </c>
      <c r="C1252" s="1" t="s">
        <v>81</v>
      </c>
      <c r="D1252" s="1" t="s">
        <v>67</v>
      </c>
      <c r="E1252" s="1" t="s">
        <v>77</v>
      </c>
      <c r="F1252" s="1" t="s">
        <v>53</v>
      </c>
      <c r="G1252">
        <v>319008</v>
      </c>
      <c r="H1252" s="1" t="s">
        <v>476</v>
      </c>
      <c r="I1252" s="2"/>
      <c r="L1252" s="1" t="s">
        <v>20</v>
      </c>
      <c r="M1252" s="1" t="s">
        <v>102</v>
      </c>
    </row>
    <row r="1253" spans="1:13" x14ac:dyDescent="0.25">
      <c r="A1253" s="1" t="s">
        <v>2267</v>
      </c>
      <c r="B1253" s="1" t="s">
        <v>65</v>
      </c>
      <c r="C1253" s="1" t="s">
        <v>316</v>
      </c>
      <c r="D1253" s="1" t="s">
        <v>39</v>
      </c>
      <c r="E1253" s="1" t="s">
        <v>47</v>
      </c>
      <c r="F1253" s="1" t="s">
        <v>27</v>
      </c>
      <c r="G1253">
        <v>141632</v>
      </c>
      <c r="H1253" s="1" t="s">
        <v>2268</v>
      </c>
      <c r="I1253" s="2"/>
      <c r="L1253" s="1" t="s">
        <v>96</v>
      </c>
      <c r="M1253" s="1" t="s">
        <v>63</v>
      </c>
    </row>
    <row r="1254" spans="1:13" x14ac:dyDescent="0.25">
      <c r="A1254" s="1" t="s">
        <v>2269</v>
      </c>
      <c r="B1254" s="1" t="s">
        <v>109</v>
      </c>
      <c r="C1254" s="1" t="s">
        <v>1157</v>
      </c>
      <c r="D1254" s="1" t="s">
        <v>67</v>
      </c>
      <c r="E1254" s="1" t="s">
        <v>61</v>
      </c>
      <c r="F1254" s="1" t="s">
        <v>40</v>
      </c>
      <c r="G1254">
        <v>279210</v>
      </c>
      <c r="H1254" s="1" t="s">
        <v>2270</v>
      </c>
      <c r="I1254" s="2">
        <v>45452</v>
      </c>
      <c r="J1254">
        <v>45</v>
      </c>
      <c r="K1254">
        <v>1.1000000000000001</v>
      </c>
      <c r="L1254" s="1" t="s">
        <v>49</v>
      </c>
      <c r="M1254" s="1" t="s">
        <v>107</v>
      </c>
    </row>
    <row r="1255" spans="1:13" x14ac:dyDescent="0.25">
      <c r="A1255" s="1" t="s">
        <v>2271</v>
      </c>
      <c r="B1255" s="1" t="s">
        <v>23</v>
      </c>
      <c r="C1255" s="1" t="s">
        <v>980</v>
      </c>
      <c r="D1255" s="1" t="s">
        <v>39</v>
      </c>
      <c r="E1255" s="1" t="s">
        <v>17</v>
      </c>
      <c r="F1255" s="1" t="s">
        <v>129</v>
      </c>
      <c r="G1255">
        <v>307847</v>
      </c>
      <c r="H1255" s="1" t="s">
        <v>1296</v>
      </c>
      <c r="I1255" s="2"/>
      <c r="L1255" s="1" t="s">
        <v>20</v>
      </c>
      <c r="M1255" s="1" t="s">
        <v>21</v>
      </c>
    </row>
    <row r="1256" spans="1:13" x14ac:dyDescent="0.25">
      <c r="A1256" s="1" t="s">
        <v>2272</v>
      </c>
      <c r="B1256" s="1" t="s">
        <v>98</v>
      </c>
      <c r="C1256" s="1" t="s">
        <v>1364</v>
      </c>
      <c r="D1256" s="1" t="s">
        <v>25</v>
      </c>
      <c r="E1256" s="1" t="s">
        <v>77</v>
      </c>
      <c r="F1256" s="1" t="s">
        <v>53</v>
      </c>
      <c r="G1256">
        <v>26058</v>
      </c>
      <c r="H1256" s="1" t="s">
        <v>431</v>
      </c>
      <c r="I1256" s="2"/>
      <c r="K1256">
        <v>0.6</v>
      </c>
      <c r="L1256" s="1" t="s">
        <v>29</v>
      </c>
      <c r="M1256" s="1" t="s">
        <v>149</v>
      </c>
    </row>
    <row r="1257" spans="1:13" x14ac:dyDescent="0.25">
      <c r="A1257" s="1" t="s">
        <v>2273</v>
      </c>
      <c r="B1257" s="1" t="s">
        <v>173</v>
      </c>
      <c r="C1257" s="1" t="s">
        <v>2211</v>
      </c>
      <c r="D1257" s="1" t="s">
        <v>67</v>
      </c>
      <c r="E1257" s="1" t="s">
        <v>47</v>
      </c>
      <c r="F1257" s="1" t="s">
        <v>33</v>
      </c>
      <c r="G1257">
        <v>347860</v>
      </c>
      <c r="H1257" s="1" t="s">
        <v>880</v>
      </c>
      <c r="I1257" s="2"/>
      <c r="K1257">
        <v>7.1</v>
      </c>
      <c r="L1257" s="1" t="s">
        <v>29</v>
      </c>
      <c r="M1257" s="1" t="s">
        <v>107</v>
      </c>
    </row>
    <row r="1258" spans="1:13" x14ac:dyDescent="0.25">
      <c r="A1258" s="1" t="s">
        <v>2274</v>
      </c>
      <c r="B1258" s="1" t="s">
        <v>14</v>
      </c>
      <c r="C1258" s="1" t="s">
        <v>838</v>
      </c>
      <c r="D1258" s="1" t="s">
        <v>16</v>
      </c>
      <c r="E1258" s="1" t="s">
        <v>61</v>
      </c>
      <c r="F1258" s="1" t="s">
        <v>53</v>
      </c>
      <c r="G1258">
        <v>481271</v>
      </c>
      <c r="H1258" s="1" t="s">
        <v>2275</v>
      </c>
      <c r="I1258" s="2"/>
      <c r="K1258">
        <v>12.5</v>
      </c>
      <c r="L1258" s="1" t="s">
        <v>20</v>
      </c>
      <c r="M1258" s="1" t="s">
        <v>30</v>
      </c>
    </row>
    <row r="1259" spans="1:13" x14ac:dyDescent="0.25">
      <c r="A1259" s="1" t="s">
        <v>2276</v>
      </c>
      <c r="B1259" s="1" t="s">
        <v>88</v>
      </c>
      <c r="C1259" s="1" t="s">
        <v>224</v>
      </c>
      <c r="D1259" s="1" t="s">
        <v>67</v>
      </c>
      <c r="E1259" s="1" t="s">
        <v>72</v>
      </c>
      <c r="F1259" s="1" t="s">
        <v>40</v>
      </c>
      <c r="G1259">
        <v>217886</v>
      </c>
      <c r="H1259" s="1" t="s">
        <v>1306</v>
      </c>
      <c r="I1259" s="2">
        <v>45906</v>
      </c>
      <c r="J1259">
        <v>178</v>
      </c>
      <c r="K1259">
        <v>23.1</v>
      </c>
      <c r="L1259" s="1" t="s">
        <v>29</v>
      </c>
      <c r="M1259" s="1" t="s">
        <v>63</v>
      </c>
    </row>
    <row r="1260" spans="1:13" x14ac:dyDescent="0.25">
      <c r="A1260" s="1" t="s">
        <v>2277</v>
      </c>
      <c r="B1260" s="1" t="s">
        <v>84</v>
      </c>
      <c r="C1260" s="1" t="s">
        <v>928</v>
      </c>
      <c r="D1260" s="1" t="s">
        <v>25</v>
      </c>
      <c r="E1260" s="1" t="s">
        <v>61</v>
      </c>
      <c r="F1260" s="1" t="s">
        <v>40</v>
      </c>
      <c r="G1260">
        <v>326010</v>
      </c>
      <c r="H1260" s="1" t="s">
        <v>2278</v>
      </c>
      <c r="I1260" s="2">
        <v>45685</v>
      </c>
      <c r="J1260">
        <v>178</v>
      </c>
      <c r="K1260">
        <v>7.5</v>
      </c>
      <c r="L1260" s="1" t="s">
        <v>29</v>
      </c>
      <c r="M1260" s="1" t="s">
        <v>149</v>
      </c>
    </row>
    <row r="1261" spans="1:13" x14ac:dyDescent="0.25">
      <c r="A1261" s="1" t="s">
        <v>2279</v>
      </c>
      <c r="B1261" s="1" t="s">
        <v>109</v>
      </c>
      <c r="C1261" s="1" t="s">
        <v>349</v>
      </c>
      <c r="D1261" s="1" t="s">
        <v>67</v>
      </c>
      <c r="E1261" s="1" t="s">
        <v>100</v>
      </c>
      <c r="F1261" s="1" t="s">
        <v>18</v>
      </c>
      <c r="G1261">
        <v>258905</v>
      </c>
      <c r="H1261" s="1" t="s">
        <v>2280</v>
      </c>
      <c r="I1261" s="2">
        <v>45309</v>
      </c>
      <c r="J1261">
        <v>29</v>
      </c>
      <c r="K1261">
        <v>7.4</v>
      </c>
      <c r="L1261" s="1" t="s">
        <v>29</v>
      </c>
      <c r="M1261" s="1" t="s">
        <v>21</v>
      </c>
    </row>
    <row r="1262" spans="1:13" x14ac:dyDescent="0.25">
      <c r="A1262" s="1" t="s">
        <v>2281</v>
      </c>
      <c r="B1262" s="1" t="s">
        <v>23</v>
      </c>
      <c r="C1262" s="1" t="s">
        <v>637</v>
      </c>
      <c r="D1262" s="1" t="s">
        <v>90</v>
      </c>
      <c r="E1262" s="1" t="s">
        <v>47</v>
      </c>
      <c r="F1262" s="1" t="s">
        <v>27</v>
      </c>
      <c r="G1262">
        <v>325381</v>
      </c>
      <c r="H1262" s="1" t="s">
        <v>1961</v>
      </c>
      <c r="I1262" s="2"/>
      <c r="K1262">
        <v>13.6</v>
      </c>
      <c r="L1262" s="1" t="s">
        <v>20</v>
      </c>
      <c r="M1262" s="1" t="s">
        <v>35</v>
      </c>
    </row>
    <row r="1263" spans="1:13" x14ac:dyDescent="0.25">
      <c r="A1263" s="1" t="s">
        <v>2282</v>
      </c>
      <c r="B1263" s="1" t="s">
        <v>37</v>
      </c>
      <c r="C1263" s="1" t="s">
        <v>205</v>
      </c>
      <c r="D1263" s="1" t="s">
        <v>46</v>
      </c>
      <c r="E1263" s="1" t="s">
        <v>94</v>
      </c>
      <c r="F1263" s="1" t="s">
        <v>53</v>
      </c>
      <c r="G1263">
        <v>378192</v>
      </c>
      <c r="H1263" s="1" t="s">
        <v>2283</v>
      </c>
      <c r="I1263" s="2"/>
      <c r="L1263" s="1" t="s">
        <v>20</v>
      </c>
      <c r="M1263" s="1" t="s">
        <v>107</v>
      </c>
    </row>
    <row r="1264" spans="1:13" x14ac:dyDescent="0.25">
      <c r="A1264" s="1" t="s">
        <v>2284</v>
      </c>
      <c r="B1264" s="1" t="s">
        <v>88</v>
      </c>
      <c r="C1264" s="1" t="s">
        <v>662</v>
      </c>
      <c r="D1264" s="1" t="s">
        <v>25</v>
      </c>
      <c r="E1264" s="1" t="s">
        <v>77</v>
      </c>
      <c r="F1264" s="1" t="s">
        <v>40</v>
      </c>
      <c r="G1264">
        <v>350612</v>
      </c>
      <c r="H1264" s="1" t="s">
        <v>1421</v>
      </c>
      <c r="I1264" s="2">
        <v>45101</v>
      </c>
      <c r="J1264">
        <v>114</v>
      </c>
      <c r="K1264">
        <v>20.8</v>
      </c>
      <c r="L1264" s="1" t="s">
        <v>96</v>
      </c>
      <c r="M1264" s="1" t="s">
        <v>35</v>
      </c>
    </row>
    <row r="1265" spans="1:13" x14ac:dyDescent="0.25">
      <c r="A1265" s="1" t="s">
        <v>2285</v>
      </c>
      <c r="B1265" s="1" t="s">
        <v>51</v>
      </c>
      <c r="C1265" s="1" t="s">
        <v>56</v>
      </c>
      <c r="D1265" s="1" t="s">
        <v>46</v>
      </c>
      <c r="E1265" s="1" t="s">
        <v>100</v>
      </c>
      <c r="F1265" s="1" t="s">
        <v>53</v>
      </c>
      <c r="G1265">
        <v>365456</v>
      </c>
      <c r="H1265" s="1" t="s">
        <v>1957</v>
      </c>
      <c r="I1265" s="2"/>
      <c r="K1265">
        <v>10.199999999999999</v>
      </c>
      <c r="L1265" s="1" t="s">
        <v>20</v>
      </c>
      <c r="M1265" s="1" t="s">
        <v>42</v>
      </c>
    </row>
    <row r="1266" spans="1:13" x14ac:dyDescent="0.25">
      <c r="A1266" s="1" t="s">
        <v>2286</v>
      </c>
      <c r="B1266" s="1" t="s">
        <v>84</v>
      </c>
      <c r="C1266" s="1" t="s">
        <v>699</v>
      </c>
      <c r="D1266" s="1" t="s">
        <v>39</v>
      </c>
      <c r="E1266" s="1" t="s">
        <v>26</v>
      </c>
      <c r="F1266" s="1" t="s">
        <v>33</v>
      </c>
      <c r="G1266">
        <v>352125</v>
      </c>
      <c r="H1266" s="1" t="s">
        <v>2287</v>
      </c>
      <c r="I1266" s="2"/>
      <c r="K1266">
        <v>6.8</v>
      </c>
      <c r="L1266" s="1" t="s">
        <v>29</v>
      </c>
      <c r="M1266" s="1" t="s">
        <v>102</v>
      </c>
    </row>
    <row r="1267" spans="1:13" x14ac:dyDescent="0.25">
      <c r="A1267" s="1" t="s">
        <v>2288</v>
      </c>
      <c r="B1267" s="1" t="s">
        <v>59</v>
      </c>
      <c r="C1267" s="1" t="s">
        <v>355</v>
      </c>
      <c r="D1267" s="1" t="s">
        <v>25</v>
      </c>
      <c r="E1267" s="1" t="s">
        <v>100</v>
      </c>
      <c r="F1267" s="1" t="s">
        <v>33</v>
      </c>
      <c r="G1267">
        <v>227514</v>
      </c>
      <c r="H1267" s="1" t="s">
        <v>73</v>
      </c>
      <c r="I1267" s="2"/>
      <c r="K1267">
        <v>2.6</v>
      </c>
      <c r="L1267" s="1" t="s">
        <v>29</v>
      </c>
      <c r="M1267" s="1" t="s">
        <v>69</v>
      </c>
    </row>
    <row r="1268" spans="1:13" x14ac:dyDescent="0.25">
      <c r="A1268" s="1" t="s">
        <v>2289</v>
      </c>
      <c r="B1268" s="1" t="s">
        <v>88</v>
      </c>
      <c r="C1268" s="1" t="s">
        <v>862</v>
      </c>
      <c r="D1268" s="1" t="s">
        <v>16</v>
      </c>
      <c r="E1268" s="1" t="s">
        <v>77</v>
      </c>
      <c r="F1268" s="1" t="s">
        <v>18</v>
      </c>
      <c r="G1268">
        <v>278799</v>
      </c>
      <c r="H1268" s="1" t="s">
        <v>285</v>
      </c>
      <c r="I1268" s="2">
        <v>45048</v>
      </c>
      <c r="J1268">
        <v>59</v>
      </c>
      <c r="K1268">
        <v>10.4</v>
      </c>
      <c r="L1268" s="1" t="s">
        <v>29</v>
      </c>
      <c r="M1268" s="1" t="s">
        <v>35</v>
      </c>
    </row>
    <row r="1269" spans="1:13" x14ac:dyDescent="0.25">
      <c r="A1269" s="1" t="s">
        <v>2290</v>
      </c>
      <c r="B1269" s="1" t="s">
        <v>59</v>
      </c>
      <c r="C1269" s="1" t="s">
        <v>561</v>
      </c>
      <c r="D1269" s="1" t="s">
        <v>16</v>
      </c>
      <c r="E1269" s="1" t="s">
        <v>17</v>
      </c>
      <c r="F1269" s="1" t="s">
        <v>53</v>
      </c>
      <c r="G1269">
        <v>363178</v>
      </c>
      <c r="H1269" s="1" t="s">
        <v>506</v>
      </c>
      <c r="I1269" s="2"/>
      <c r="K1269">
        <v>14.6</v>
      </c>
      <c r="L1269" s="1" t="s">
        <v>96</v>
      </c>
      <c r="M1269" s="1" t="s">
        <v>69</v>
      </c>
    </row>
    <row r="1270" spans="1:13" x14ac:dyDescent="0.25">
      <c r="A1270" s="1" t="s">
        <v>2291</v>
      </c>
      <c r="B1270" s="1" t="s">
        <v>104</v>
      </c>
      <c r="C1270" s="1" t="s">
        <v>387</v>
      </c>
      <c r="D1270" s="1" t="s">
        <v>25</v>
      </c>
      <c r="E1270" s="1" t="s">
        <v>77</v>
      </c>
      <c r="F1270" s="1" t="s">
        <v>27</v>
      </c>
      <c r="G1270">
        <v>53715</v>
      </c>
      <c r="H1270" s="1" t="s">
        <v>2000</v>
      </c>
      <c r="I1270" s="2"/>
      <c r="K1270">
        <v>5.2</v>
      </c>
      <c r="L1270" s="1" t="s">
        <v>20</v>
      </c>
      <c r="M1270" s="1" t="s">
        <v>30</v>
      </c>
    </row>
    <row r="1271" spans="1:13" x14ac:dyDescent="0.25">
      <c r="A1271" s="1" t="s">
        <v>2292</v>
      </c>
      <c r="B1271" s="1" t="s">
        <v>88</v>
      </c>
      <c r="C1271" s="1" t="s">
        <v>732</v>
      </c>
      <c r="D1271" s="1" t="s">
        <v>39</v>
      </c>
      <c r="E1271" s="1" t="s">
        <v>72</v>
      </c>
      <c r="F1271" s="1" t="s">
        <v>27</v>
      </c>
      <c r="G1271">
        <v>353510</v>
      </c>
      <c r="H1271" s="1" t="s">
        <v>1933</v>
      </c>
      <c r="I1271" s="2"/>
      <c r="L1271" s="1" t="s">
        <v>96</v>
      </c>
      <c r="M1271" s="1" t="s">
        <v>149</v>
      </c>
    </row>
    <row r="1272" spans="1:13" x14ac:dyDescent="0.25">
      <c r="A1272" s="1" t="s">
        <v>2293</v>
      </c>
      <c r="B1272" s="1" t="s">
        <v>127</v>
      </c>
      <c r="C1272" s="1" t="s">
        <v>1258</v>
      </c>
      <c r="D1272" s="1" t="s">
        <v>46</v>
      </c>
      <c r="E1272" s="1" t="s">
        <v>100</v>
      </c>
      <c r="F1272" s="1" t="s">
        <v>53</v>
      </c>
      <c r="G1272">
        <v>23067</v>
      </c>
      <c r="H1272" s="1" t="s">
        <v>1226</v>
      </c>
      <c r="I1272" s="2"/>
      <c r="K1272">
        <v>11.5</v>
      </c>
      <c r="L1272" s="1" t="s">
        <v>49</v>
      </c>
      <c r="M1272" s="1" t="s">
        <v>107</v>
      </c>
    </row>
    <row r="1273" spans="1:13" x14ac:dyDescent="0.25">
      <c r="A1273" s="1" t="s">
        <v>2294</v>
      </c>
      <c r="B1273" s="1" t="s">
        <v>65</v>
      </c>
      <c r="C1273" s="1" t="s">
        <v>250</v>
      </c>
      <c r="D1273" s="1" t="s">
        <v>90</v>
      </c>
      <c r="E1273" s="1" t="s">
        <v>47</v>
      </c>
      <c r="F1273" s="1" t="s">
        <v>129</v>
      </c>
      <c r="G1273">
        <v>146979</v>
      </c>
      <c r="H1273" s="1" t="s">
        <v>2295</v>
      </c>
      <c r="I1273" s="2"/>
      <c r="L1273" s="1" t="s">
        <v>49</v>
      </c>
      <c r="M1273" s="1" t="s">
        <v>35</v>
      </c>
    </row>
    <row r="1274" spans="1:13" x14ac:dyDescent="0.25">
      <c r="A1274" s="1" t="s">
        <v>2296</v>
      </c>
      <c r="B1274" s="1" t="s">
        <v>104</v>
      </c>
      <c r="C1274" s="1" t="s">
        <v>334</v>
      </c>
      <c r="D1274" s="1" t="s">
        <v>39</v>
      </c>
      <c r="E1274" s="1" t="s">
        <v>77</v>
      </c>
      <c r="F1274" s="1" t="s">
        <v>40</v>
      </c>
      <c r="G1274">
        <v>461943</v>
      </c>
      <c r="H1274" s="1" t="s">
        <v>872</v>
      </c>
      <c r="I1274" s="2">
        <v>45065</v>
      </c>
      <c r="J1274">
        <v>52</v>
      </c>
      <c r="K1274">
        <v>20.5</v>
      </c>
      <c r="L1274" s="1" t="s">
        <v>20</v>
      </c>
      <c r="M1274" s="1" t="s">
        <v>35</v>
      </c>
    </row>
    <row r="1275" spans="1:13" x14ac:dyDescent="0.25">
      <c r="A1275" s="1" t="s">
        <v>2297</v>
      </c>
      <c r="B1275" s="1" t="s">
        <v>98</v>
      </c>
      <c r="C1275" s="1" t="s">
        <v>183</v>
      </c>
      <c r="D1275" s="1" t="s">
        <v>67</v>
      </c>
      <c r="E1275" s="1" t="s">
        <v>17</v>
      </c>
      <c r="F1275" s="1" t="s">
        <v>129</v>
      </c>
      <c r="G1275">
        <v>371623</v>
      </c>
      <c r="H1275" s="1" t="s">
        <v>41</v>
      </c>
      <c r="I1275" s="2"/>
      <c r="K1275">
        <v>8.6999999999999993</v>
      </c>
      <c r="L1275" s="1" t="s">
        <v>20</v>
      </c>
      <c r="M1275" s="1" t="s">
        <v>42</v>
      </c>
    </row>
    <row r="1276" spans="1:13" x14ac:dyDescent="0.25">
      <c r="A1276" s="1" t="s">
        <v>2298</v>
      </c>
      <c r="B1276" s="1" t="s">
        <v>75</v>
      </c>
      <c r="C1276" s="1" t="s">
        <v>676</v>
      </c>
      <c r="D1276" s="1" t="s">
        <v>67</v>
      </c>
      <c r="E1276" s="1" t="s">
        <v>26</v>
      </c>
      <c r="F1276" s="1" t="s">
        <v>40</v>
      </c>
      <c r="G1276">
        <v>18488</v>
      </c>
      <c r="H1276" s="1" t="s">
        <v>783</v>
      </c>
      <c r="I1276" s="2">
        <v>45384</v>
      </c>
      <c r="J1276">
        <v>143</v>
      </c>
      <c r="K1276">
        <v>3.1</v>
      </c>
      <c r="L1276" s="1" t="s">
        <v>20</v>
      </c>
      <c r="M1276" s="1" t="s">
        <v>21</v>
      </c>
    </row>
    <row r="1277" spans="1:13" x14ac:dyDescent="0.25">
      <c r="A1277" s="1" t="s">
        <v>2299</v>
      </c>
      <c r="B1277" s="1" t="s">
        <v>75</v>
      </c>
      <c r="C1277" s="1" t="s">
        <v>364</v>
      </c>
      <c r="D1277" s="1" t="s">
        <v>46</v>
      </c>
      <c r="E1277" s="1" t="s">
        <v>61</v>
      </c>
      <c r="F1277" s="1" t="s">
        <v>40</v>
      </c>
      <c r="G1277">
        <v>326336</v>
      </c>
      <c r="H1277" s="1" t="s">
        <v>1400</v>
      </c>
      <c r="I1277" s="2">
        <v>45183</v>
      </c>
      <c r="J1277">
        <v>65</v>
      </c>
      <c r="K1277">
        <v>24.1</v>
      </c>
      <c r="L1277" s="1" t="s">
        <v>49</v>
      </c>
      <c r="M1277" s="1" t="s">
        <v>102</v>
      </c>
    </row>
    <row r="1278" spans="1:13" x14ac:dyDescent="0.25">
      <c r="A1278" s="1" t="s">
        <v>2300</v>
      </c>
      <c r="B1278" s="1" t="s">
        <v>65</v>
      </c>
      <c r="C1278" s="1" t="s">
        <v>71</v>
      </c>
      <c r="D1278" s="1" t="s">
        <v>90</v>
      </c>
      <c r="E1278" s="1" t="s">
        <v>61</v>
      </c>
      <c r="F1278" s="1" t="s">
        <v>18</v>
      </c>
      <c r="G1278">
        <v>17811</v>
      </c>
      <c r="H1278" s="1" t="s">
        <v>1793</v>
      </c>
      <c r="I1278" s="2">
        <v>45211</v>
      </c>
      <c r="J1278">
        <v>29</v>
      </c>
      <c r="L1278" s="1" t="s">
        <v>96</v>
      </c>
      <c r="M1278" s="1" t="s">
        <v>102</v>
      </c>
    </row>
    <row r="1279" spans="1:13" x14ac:dyDescent="0.25">
      <c r="A1279" s="1" t="s">
        <v>2301</v>
      </c>
      <c r="B1279" s="1" t="s">
        <v>84</v>
      </c>
      <c r="C1279" s="1" t="s">
        <v>433</v>
      </c>
      <c r="D1279" s="1" t="s">
        <v>16</v>
      </c>
      <c r="E1279" s="1" t="s">
        <v>72</v>
      </c>
      <c r="F1279" s="1" t="s">
        <v>18</v>
      </c>
      <c r="G1279">
        <v>228320</v>
      </c>
      <c r="H1279" s="1" t="s">
        <v>1950</v>
      </c>
      <c r="I1279" s="2">
        <v>45584</v>
      </c>
      <c r="J1279">
        <v>154</v>
      </c>
      <c r="K1279">
        <v>4.8</v>
      </c>
      <c r="L1279" s="1" t="s">
        <v>29</v>
      </c>
      <c r="M1279" s="1" t="s">
        <v>107</v>
      </c>
    </row>
    <row r="1280" spans="1:13" x14ac:dyDescent="0.25">
      <c r="A1280" s="1" t="s">
        <v>2302</v>
      </c>
      <c r="B1280" s="1" t="s">
        <v>14</v>
      </c>
      <c r="C1280" s="1" t="s">
        <v>267</v>
      </c>
      <c r="D1280" s="1" t="s">
        <v>46</v>
      </c>
      <c r="E1280" s="1" t="s">
        <v>100</v>
      </c>
      <c r="F1280" s="1" t="s">
        <v>40</v>
      </c>
      <c r="G1280">
        <v>460186</v>
      </c>
      <c r="H1280" s="1" t="s">
        <v>1259</v>
      </c>
      <c r="I1280" s="2">
        <v>45040</v>
      </c>
      <c r="J1280">
        <v>111</v>
      </c>
      <c r="K1280">
        <v>4.4000000000000004</v>
      </c>
      <c r="L1280" s="1" t="s">
        <v>29</v>
      </c>
      <c r="M1280" s="1" t="s">
        <v>35</v>
      </c>
    </row>
    <row r="1281" spans="1:13" x14ac:dyDescent="0.25">
      <c r="A1281" s="1" t="s">
        <v>2303</v>
      </c>
      <c r="B1281" s="1" t="s">
        <v>80</v>
      </c>
      <c r="C1281" s="1" t="s">
        <v>800</v>
      </c>
      <c r="D1281" s="1" t="s">
        <v>67</v>
      </c>
      <c r="E1281" s="1" t="s">
        <v>94</v>
      </c>
      <c r="F1281" s="1" t="s">
        <v>40</v>
      </c>
      <c r="G1281">
        <v>274107</v>
      </c>
      <c r="H1281" s="1" t="s">
        <v>314</v>
      </c>
      <c r="I1281" s="2">
        <v>45424</v>
      </c>
      <c r="J1281">
        <v>50</v>
      </c>
      <c r="K1281">
        <v>3.7</v>
      </c>
      <c r="L1281" s="1" t="s">
        <v>49</v>
      </c>
      <c r="M1281" s="1" t="s">
        <v>69</v>
      </c>
    </row>
    <row r="1282" spans="1:13" x14ac:dyDescent="0.25">
      <c r="A1282" s="1" t="s">
        <v>2304</v>
      </c>
      <c r="B1282" s="1" t="s">
        <v>173</v>
      </c>
      <c r="C1282" s="1" t="s">
        <v>45</v>
      </c>
      <c r="D1282" s="1" t="s">
        <v>16</v>
      </c>
      <c r="E1282" s="1" t="s">
        <v>94</v>
      </c>
      <c r="F1282" s="1" t="s">
        <v>18</v>
      </c>
      <c r="G1282">
        <v>352780</v>
      </c>
      <c r="H1282" s="1" t="s">
        <v>2305</v>
      </c>
      <c r="I1282" s="2">
        <v>45767</v>
      </c>
      <c r="J1282">
        <v>76</v>
      </c>
      <c r="K1282">
        <v>0.8</v>
      </c>
      <c r="L1282" s="1" t="s">
        <v>20</v>
      </c>
      <c r="M1282" s="1" t="s">
        <v>63</v>
      </c>
    </row>
    <row r="1283" spans="1:13" x14ac:dyDescent="0.25">
      <c r="A1283" s="1" t="s">
        <v>2306</v>
      </c>
      <c r="B1283" s="1" t="s">
        <v>109</v>
      </c>
      <c r="C1283" s="1" t="s">
        <v>877</v>
      </c>
      <c r="D1283" s="1" t="s">
        <v>25</v>
      </c>
      <c r="E1283" s="1" t="s">
        <v>47</v>
      </c>
      <c r="F1283" s="1" t="s">
        <v>40</v>
      </c>
      <c r="G1283">
        <v>185416</v>
      </c>
      <c r="H1283" s="1" t="s">
        <v>2307</v>
      </c>
      <c r="I1283" s="2">
        <v>45294</v>
      </c>
      <c r="J1283">
        <v>45</v>
      </c>
      <c r="K1283">
        <v>22.8</v>
      </c>
      <c r="L1283" s="1" t="s">
        <v>20</v>
      </c>
      <c r="M1283" s="1" t="s">
        <v>21</v>
      </c>
    </row>
    <row r="1284" spans="1:13" x14ac:dyDescent="0.25">
      <c r="A1284" s="1" t="s">
        <v>2308</v>
      </c>
      <c r="B1284" s="1" t="s">
        <v>65</v>
      </c>
      <c r="C1284" s="1" t="s">
        <v>349</v>
      </c>
      <c r="D1284" s="1" t="s">
        <v>67</v>
      </c>
      <c r="E1284" s="1" t="s">
        <v>47</v>
      </c>
      <c r="F1284" s="1" t="s">
        <v>40</v>
      </c>
      <c r="G1284">
        <v>238173</v>
      </c>
      <c r="H1284" s="1" t="s">
        <v>1687</v>
      </c>
      <c r="I1284" s="2">
        <v>45268</v>
      </c>
      <c r="J1284">
        <v>80</v>
      </c>
      <c r="K1284">
        <v>23</v>
      </c>
      <c r="L1284" s="1" t="s">
        <v>96</v>
      </c>
      <c r="M1284" s="1" t="s">
        <v>102</v>
      </c>
    </row>
    <row r="1285" spans="1:13" x14ac:dyDescent="0.25">
      <c r="A1285" s="1" t="s">
        <v>2309</v>
      </c>
      <c r="B1285" s="1" t="s">
        <v>14</v>
      </c>
      <c r="C1285" s="1" t="s">
        <v>334</v>
      </c>
      <c r="D1285" s="1" t="s">
        <v>90</v>
      </c>
      <c r="E1285" s="1" t="s">
        <v>17</v>
      </c>
      <c r="F1285" s="1" t="s">
        <v>18</v>
      </c>
      <c r="G1285">
        <v>194972</v>
      </c>
      <c r="H1285" s="1" t="s">
        <v>2194</v>
      </c>
      <c r="I1285" s="2">
        <v>45174</v>
      </c>
      <c r="J1285">
        <v>88</v>
      </c>
      <c r="L1285" s="1" t="s">
        <v>29</v>
      </c>
      <c r="M1285" s="1" t="s">
        <v>30</v>
      </c>
    </row>
    <row r="1286" spans="1:13" x14ac:dyDescent="0.25">
      <c r="A1286" s="1" t="s">
        <v>2310</v>
      </c>
      <c r="B1286" s="1" t="s">
        <v>104</v>
      </c>
      <c r="C1286" s="1" t="s">
        <v>797</v>
      </c>
      <c r="D1286" s="1" t="s">
        <v>25</v>
      </c>
      <c r="E1286" s="1" t="s">
        <v>47</v>
      </c>
      <c r="F1286" s="1" t="s">
        <v>40</v>
      </c>
      <c r="G1286">
        <v>394486</v>
      </c>
      <c r="H1286" s="1" t="s">
        <v>411</v>
      </c>
      <c r="I1286" s="2">
        <v>44997</v>
      </c>
      <c r="J1286">
        <v>16</v>
      </c>
      <c r="K1286">
        <v>14.6</v>
      </c>
      <c r="L1286" s="1" t="s">
        <v>29</v>
      </c>
      <c r="M1286" s="1" t="s">
        <v>35</v>
      </c>
    </row>
    <row r="1287" spans="1:13" x14ac:dyDescent="0.25">
      <c r="A1287" s="1" t="s">
        <v>2311</v>
      </c>
      <c r="B1287" s="1" t="s">
        <v>109</v>
      </c>
      <c r="C1287" s="1" t="s">
        <v>264</v>
      </c>
      <c r="D1287" s="1" t="s">
        <v>46</v>
      </c>
      <c r="E1287" s="1" t="s">
        <v>77</v>
      </c>
      <c r="F1287" s="1" t="s">
        <v>53</v>
      </c>
      <c r="G1287">
        <v>102327</v>
      </c>
      <c r="H1287" s="1" t="s">
        <v>256</v>
      </c>
      <c r="I1287" s="2"/>
      <c r="L1287" s="1" t="s">
        <v>96</v>
      </c>
      <c r="M1287" s="1" t="s">
        <v>69</v>
      </c>
    </row>
    <row r="1288" spans="1:13" x14ac:dyDescent="0.25">
      <c r="A1288" s="1" t="s">
        <v>2312</v>
      </c>
      <c r="B1288" s="1" t="s">
        <v>80</v>
      </c>
      <c r="C1288" s="1" t="s">
        <v>1028</v>
      </c>
      <c r="D1288" s="1" t="s">
        <v>67</v>
      </c>
      <c r="E1288" s="1" t="s">
        <v>100</v>
      </c>
      <c r="F1288" s="1" t="s">
        <v>18</v>
      </c>
      <c r="G1288">
        <v>441592</v>
      </c>
      <c r="H1288" s="1" t="s">
        <v>1950</v>
      </c>
      <c r="I1288" s="2">
        <v>45565</v>
      </c>
      <c r="J1288">
        <v>135</v>
      </c>
      <c r="K1288">
        <v>13.9</v>
      </c>
      <c r="L1288" s="1" t="s">
        <v>20</v>
      </c>
      <c r="M1288" s="1" t="s">
        <v>107</v>
      </c>
    </row>
    <row r="1289" spans="1:13" x14ac:dyDescent="0.25">
      <c r="A1289" s="1" t="s">
        <v>2313</v>
      </c>
      <c r="B1289" s="1" t="s">
        <v>23</v>
      </c>
      <c r="C1289" s="1" t="s">
        <v>71</v>
      </c>
      <c r="D1289" s="1" t="s">
        <v>16</v>
      </c>
      <c r="E1289" s="1" t="s">
        <v>17</v>
      </c>
      <c r="F1289" s="1" t="s">
        <v>18</v>
      </c>
      <c r="G1289">
        <v>490145</v>
      </c>
      <c r="H1289" s="1" t="s">
        <v>130</v>
      </c>
      <c r="I1289" s="2">
        <v>45432</v>
      </c>
      <c r="J1289">
        <v>85</v>
      </c>
      <c r="L1289" s="1" t="s">
        <v>29</v>
      </c>
      <c r="M1289" s="1" t="s">
        <v>69</v>
      </c>
    </row>
    <row r="1290" spans="1:13" x14ac:dyDescent="0.25">
      <c r="A1290" s="1" t="s">
        <v>2314</v>
      </c>
      <c r="B1290" s="1" t="s">
        <v>84</v>
      </c>
      <c r="C1290" s="1" t="s">
        <v>279</v>
      </c>
      <c r="D1290" s="1" t="s">
        <v>25</v>
      </c>
      <c r="E1290" s="1" t="s">
        <v>100</v>
      </c>
      <c r="F1290" s="1" t="s">
        <v>33</v>
      </c>
      <c r="G1290">
        <v>349072</v>
      </c>
      <c r="H1290" s="1" t="s">
        <v>155</v>
      </c>
      <c r="I1290" s="2"/>
      <c r="K1290">
        <v>13.9</v>
      </c>
      <c r="L1290" s="1" t="s">
        <v>29</v>
      </c>
      <c r="M1290" s="1" t="s">
        <v>63</v>
      </c>
    </row>
    <row r="1291" spans="1:13" x14ac:dyDescent="0.25">
      <c r="A1291" s="1" t="s">
        <v>2315</v>
      </c>
      <c r="B1291" s="1" t="s">
        <v>59</v>
      </c>
      <c r="C1291" s="1" t="s">
        <v>859</v>
      </c>
      <c r="D1291" s="1" t="s">
        <v>46</v>
      </c>
      <c r="E1291" s="1" t="s">
        <v>61</v>
      </c>
      <c r="F1291" s="1" t="s">
        <v>33</v>
      </c>
      <c r="G1291">
        <v>451171</v>
      </c>
      <c r="H1291" s="1" t="s">
        <v>145</v>
      </c>
      <c r="I1291" s="2"/>
      <c r="K1291">
        <v>8.1</v>
      </c>
      <c r="L1291" s="1" t="s">
        <v>49</v>
      </c>
      <c r="M1291" s="1" t="s">
        <v>63</v>
      </c>
    </row>
    <row r="1292" spans="1:13" x14ac:dyDescent="0.25">
      <c r="A1292" s="1" t="s">
        <v>753</v>
      </c>
      <c r="B1292" s="1" t="s">
        <v>98</v>
      </c>
      <c r="C1292" s="1" t="s">
        <v>192</v>
      </c>
      <c r="D1292" s="1" t="s">
        <v>46</v>
      </c>
      <c r="E1292" s="1" t="s">
        <v>17</v>
      </c>
      <c r="F1292" s="1" t="s">
        <v>129</v>
      </c>
      <c r="G1292">
        <v>90351</v>
      </c>
      <c r="H1292" s="1" t="s">
        <v>754</v>
      </c>
      <c r="I1292" s="2"/>
      <c r="K1292">
        <v>8.1</v>
      </c>
      <c r="L1292" s="1" t="s">
        <v>20</v>
      </c>
      <c r="M1292" s="1" t="s">
        <v>42</v>
      </c>
    </row>
    <row r="1293" spans="1:13" x14ac:dyDescent="0.25">
      <c r="A1293" s="1" t="s">
        <v>2316</v>
      </c>
      <c r="B1293" s="1" t="s">
        <v>84</v>
      </c>
      <c r="C1293" s="1" t="s">
        <v>1142</v>
      </c>
      <c r="D1293" s="1" t="s">
        <v>25</v>
      </c>
      <c r="E1293" s="1" t="s">
        <v>100</v>
      </c>
      <c r="F1293" s="1" t="s">
        <v>40</v>
      </c>
      <c r="G1293">
        <v>64331</v>
      </c>
      <c r="H1293" s="1" t="s">
        <v>1238</v>
      </c>
      <c r="I1293" s="2">
        <v>45817</v>
      </c>
      <c r="J1293">
        <v>87</v>
      </c>
      <c r="K1293">
        <v>2.2999999999999998</v>
      </c>
      <c r="L1293" s="1" t="s">
        <v>96</v>
      </c>
      <c r="M1293" s="1" t="s">
        <v>63</v>
      </c>
    </row>
    <row r="1294" spans="1:13" x14ac:dyDescent="0.25">
      <c r="A1294" s="1" t="s">
        <v>2317</v>
      </c>
      <c r="B1294" s="1" t="s">
        <v>104</v>
      </c>
      <c r="C1294" s="1" t="s">
        <v>505</v>
      </c>
      <c r="D1294" s="1" t="s">
        <v>46</v>
      </c>
      <c r="E1294" s="1" t="s">
        <v>26</v>
      </c>
      <c r="F1294" s="1" t="s">
        <v>40</v>
      </c>
      <c r="G1294">
        <v>403701</v>
      </c>
      <c r="H1294" s="1" t="s">
        <v>984</v>
      </c>
      <c r="I1294" s="2">
        <v>45619</v>
      </c>
      <c r="J1294">
        <v>167</v>
      </c>
      <c r="K1294">
        <v>24.8</v>
      </c>
      <c r="L1294" s="1" t="s">
        <v>20</v>
      </c>
      <c r="M1294" s="1" t="s">
        <v>107</v>
      </c>
    </row>
    <row r="1295" spans="1:13" x14ac:dyDescent="0.25">
      <c r="A1295" s="1" t="s">
        <v>2318</v>
      </c>
      <c r="B1295" s="1" t="s">
        <v>104</v>
      </c>
      <c r="C1295" s="1" t="s">
        <v>977</v>
      </c>
      <c r="D1295" s="1" t="s">
        <v>25</v>
      </c>
      <c r="E1295" s="1" t="s">
        <v>100</v>
      </c>
      <c r="F1295" s="1" t="s">
        <v>129</v>
      </c>
      <c r="G1295">
        <v>145408</v>
      </c>
      <c r="H1295" s="1" t="s">
        <v>1748</v>
      </c>
      <c r="I1295" s="2"/>
      <c r="K1295">
        <v>3</v>
      </c>
      <c r="L1295" s="1" t="s">
        <v>49</v>
      </c>
      <c r="M1295" s="1" t="s">
        <v>107</v>
      </c>
    </row>
    <row r="1296" spans="1:13" x14ac:dyDescent="0.25">
      <c r="A1296" s="1" t="s">
        <v>2319</v>
      </c>
      <c r="B1296" s="1" t="s">
        <v>75</v>
      </c>
      <c r="C1296" s="1" t="s">
        <v>720</v>
      </c>
      <c r="D1296" s="1" t="s">
        <v>67</v>
      </c>
      <c r="E1296" s="1" t="s">
        <v>51</v>
      </c>
      <c r="F1296" s="1" t="s">
        <v>40</v>
      </c>
      <c r="G1296">
        <v>469621</v>
      </c>
      <c r="H1296" s="1" t="s">
        <v>1862</v>
      </c>
      <c r="I1296" s="2">
        <v>45767</v>
      </c>
      <c r="J1296">
        <v>22</v>
      </c>
      <c r="K1296">
        <v>5.4</v>
      </c>
      <c r="L1296" s="1" t="s">
        <v>49</v>
      </c>
      <c r="M1296" s="1" t="s">
        <v>63</v>
      </c>
    </row>
    <row r="1297" spans="1:13" x14ac:dyDescent="0.25">
      <c r="A1297" s="1" t="s">
        <v>2320</v>
      </c>
      <c r="B1297" s="1" t="s">
        <v>104</v>
      </c>
      <c r="C1297" s="1" t="s">
        <v>686</v>
      </c>
      <c r="D1297" s="1" t="s">
        <v>39</v>
      </c>
      <c r="E1297" s="1" t="s">
        <v>17</v>
      </c>
      <c r="F1297" s="1" t="s">
        <v>18</v>
      </c>
      <c r="G1297">
        <v>76308</v>
      </c>
      <c r="H1297" s="1" t="s">
        <v>142</v>
      </c>
      <c r="I1297" s="2">
        <v>45366</v>
      </c>
      <c r="J1297">
        <v>88</v>
      </c>
      <c r="K1297">
        <v>8</v>
      </c>
      <c r="L1297" s="1" t="s">
        <v>49</v>
      </c>
      <c r="M1297" s="1" t="s">
        <v>21</v>
      </c>
    </row>
    <row r="1298" spans="1:13" x14ac:dyDescent="0.25">
      <c r="A1298" s="1" t="s">
        <v>2321</v>
      </c>
      <c r="B1298" s="1" t="s">
        <v>59</v>
      </c>
      <c r="C1298" s="1" t="s">
        <v>423</v>
      </c>
      <c r="D1298" s="1" t="s">
        <v>16</v>
      </c>
      <c r="E1298" s="1" t="s">
        <v>72</v>
      </c>
      <c r="F1298" s="1" t="s">
        <v>53</v>
      </c>
      <c r="G1298">
        <v>81896</v>
      </c>
      <c r="H1298" s="1" t="s">
        <v>2322</v>
      </c>
      <c r="I1298" s="2"/>
      <c r="K1298">
        <v>3.5</v>
      </c>
      <c r="L1298" s="1" t="s">
        <v>29</v>
      </c>
      <c r="M1298" s="1" t="s">
        <v>107</v>
      </c>
    </row>
    <row r="1299" spans="1:13" x14ac:dyDescent="0.25">
      <c r="A1299" s="1" t="s">
        <v>2323</v>
      </c>
      <c r="B1299" s="1" t="s">
        <v>14</v>
      </c>
      <c r="C1299" s="1" t="s">
        <v>387</v>
      </c>
      <c r="D1299" s="1" t="s">
        <v>39</v>
      </c>
      <c r="E1299" s="1" t="s">
        <v>47</v>
      </c>
      <c r="F1299" s="1" t="s">
        <v>40</v>
      </c>
      <c r="G1299">
        <v>337376</v>
      </c>
      <c r="H1299" s="1" t="s">
        <v>2324</v>
      </c>
      <c r="I1299" s="2">
        <v>45635</v>
      </c>
      <c r="J1299">
        <v>57</v>
      </c>
      <c r="K1299">
        <v>2.1</v>
      </c>
      <c r="L1299" s="1" t="s">
        <v>96</v>
      </c>
      <c r="M1299" s="1" t="s">
        <v>42</v>
      </c>
    </row>
    <row r="1300" spans="1:13" x14ac:dyDescent="0.25">
      <c r="A1300" s="1" t="s">
        <v>2325</v>
      </c>
      <c r="B1300" s="1" t="s">
        <v>65</v>
      </c>
      <c r="C1300" s="1" t="s">
        <v>261</v>
      </c>
      <c r="D1300" s="1" t="s">
        <v>16</v>
      </c>
      <c r="E1300" s="1" t="s">
        <v>72</v>
      </c>
      <c r="F1300" s="1" t="s">
        <v>33</v>
      </c>
      <c r="G1300">
        <v>410572</v>
      </c>
      <c r="H1300" s="1" t="s">
        <v>1261</v>
      </c>
      <c r="I1300" s="2"/>
      <c r="L1300" s="1" t="s">
        <v>96</v>
      </c>
      <c r="M1300" s="1" t="s">
        <v>30</v>
      </c>
    </row>
    <row r="1301" spans="1:13" x14ac:dyDescent="0.25">
      <c r="A1301" s="1" t="s">
        <v>2326</v>
      </c>
      <c r="B1301" s="1" t="s">
        <v>59</v>
      </c>
      <c r="C1301" s="1" t="s">
        <v>401</v>
      </c>
      <c r="D1301" s="1" t="s">
        <v>16</v>
      </c>
      <c r="E1301" s="1" t="s">
        <v>77</v>
      </c>
      <c r="F1301" s="1" t="s">
        <v>53</v>
      </c>
      <c r="G1301">
        <v>408536</v>
      </c>
      <c r="H1301" s="1" t="s">
        <v>744</v>
      </c>
      <c r="I1301" s="2"/>
      <c r="L1301" s="1" t="s">
        <v>29</v>
      </c>
      <c r="M1301" s="1" t="s">
        <v>42</v>
      </c>
    </row>
    <row r="1302" spans="1:13" x14ac:dyDescent="0.25">
      <c r="A1302" s="1" t="s">
        <v>2327</v>
      </c>
      <c r="B1302" s="1" t="s">
        <v>37</v>
      </c>
      <c r="C1302" s="1" t="s">
        <v>539</v>
      </c>
      <c r="D1302" s="1" t="s">
        <v>16</v>
      </c>
      <c r="E1302" s="1" t="s">
        <v>47</v>
      </c>
      <c r="F1302" s="1" t="s">
        <v>40</v>
      </c>
      <c r="G1302">
        <v>315567</v>
      </c>
      <c r="H1302" s="1" t="s">
        <v>2328</v>
      </c>
      <c r="I1302" s="2">
        <v>45369</v>
      </c>
      <c r="J1302">
        <v>48</v>
      </c>
      <c r="K1302">
        <v>2</v>
      </c>
      <c r="L1302" s="1" t="s">
        <v>29</v>
      </c>
      <c r="M1302" s="1" t="s">
        <v>69</v>
      </c>
    </row>
    <row r="1303" spans="1:13" x14ac:dyDescent="0.25">
      <c r="A1303" s="1" t="s">
        <v>2329</v>
      </c>
      <c r="B1303" s="1" t="s">
        <v>80</v>
      </c>
      <c r="C1303" s="1" t="s">
        <v>160</v>
      </c>
      <c r="D1303" s="1" t="s">
        <v>46</v>
      </c>
      <c r="E1303" s="1" t="s">
        <v>51</v>
      </c>
      <c r="F1303" s="1" t="s">
        <v>53</v>
      </c>
      <c r="G1303">
        <v>120865</v>
      </c>
      <c r="H1303" s="1" t="s">
        <v>902</v>
      </c>
      <c r="I1303" s="2"/>
      <c r="L1303" s="1" t="s">
        <v>49</v>
      </c>
      <c r="M1303" s="1" t="s">
        <v>149</v>
      </c>
    </row>
    <row r="1304" spans="1:13" x14ac:dyDescent="0.25">
      <c r="A1304" s="1" t="s">
        <v>2330</v>
      </c>
      <c r="B1304" s="1" t="s">
        <v>59</v>
      </c>
      <c r="C1304" s="1" t="s">
        <v>56</v>
      </c>
      <c r="D1304" s="1" t="s">
        <v>46</v>
      </c>
      <c r="E1304" s="1" t="s">
        <v>26</v>
      </c>
      <c r="F1304" s="1" t="s">
        <v>18</v>
      </c>
      <c r="G1304">
        <v>171065</v>
      </c>
      <c r="H1304" s="1" t="s">
        <v>309</v>
      </c>
      <c r="I1304" s="2">
        <v>45782</v>
      </c>
      <c r="J1304">
        <v>96</v>
      </c>
      <c r="L1304" s="1" t="s">
        <v>29</v>
      </c>
      <c r="M1304" s="1" t="s">
        <v>63</v>
      </c>
    </row>
    <row r="1305" spans="1:13" x14ac:dyDescent="0.25">
      <c r="A1305" s="1" t="s">
        <v>2331</v>
      </c>
      <c r="B1305" s="1" t="s">
        <v>23</v>
      </c>
      <c r="C1305" s="1" t="s">
        <v>113</v>
      </c>
      <c r="D1305" s="1" t="s">
        <v>46</v>
      </c>
      <c r="E1305" s="1" t="s">
        <v>77</v>
      </c>
      <c r="F1305" s="1" t="s">
        <v>18</v>
      </c>
      <c r="G1305">
        <v>330353</v>
      </c>
      <c r="H1305" s="1" t="s">
        <v>626</v>
      </c>
      <c r="I1305" s="2">
        <v>45751</v>
      </c>
      <c r="J1305">
        <v>86</v>
      </c>
      <c r="K1305">
        <v>1.3</v>
      </c>
      <c r="L1305" s="1" t="s">
        <v>29</v>
      </c>
      <c r="M1305" s="1" t="s">
        <v>63</v>
      </c>
    </row>
    <row r="1306" spans="1:13" x14ac:dyDescent="0.25">
      <c r="A1306" s="1" t="s">
        <v>2332</v>
      </c>
      <c r="B1306" s="1" t="s">
        <v>44</v>
      </c>
      <c r="C1306" s="1" t="s">
        <v>1549</v>
      </c>
      <c r="D1306" s="1" t="s">
        <v>90</v>
      </c>
      <c r="E1306" s="1" t="s">
        <v>26</v>
      </c>
      <c r="F1306" s="1" t="s">
        <v>33</v>
      </c>
      <c r="G1306">
        <v>353952</v>
      </c>
      <c r="H1306" s="1" t="s">
        <v>821</v>
      </c>
      <c r="I1306" s="2"/>
      <c r="K1306">
        <v>13.6</v>
      </c>
      <c r="L1306" s="1" t="s">
        <v>96</v>
      </c>
      <c r="M1306" s="1" t="s">
        <v>149</v>
      </c>
    </row>
    <row r="1307" spans="1:13" x14ac:dyDescent="0.25">
      <c r="A1307" s="1" t="s">
        <v>2333</v>
      </c>
      <c r="B1307" s="1" t="s">
        <v>109</v>
      </c>
      <c r="C1307" s="1" t="s">
        <v>2334</v>
      </c>
      <c r="D1307" s="1" t="s">
        <v>39</v>
      </c>
      <c r="E1307" s="1" t="s">
        <v>61</v>
      </c>
      <c r="F1307" s="1" t="s">
        <v>27</v>
      </c>
      <c r="G1307">
        <v>359600</v>
      </c>
      <c r="H1307" s="1" t="s">
        <v>721</v>
      </c>
      <c r="I1307" s="2"/>
      <c r="K1307">
        <v>12.3</v>
      </c>
      <c r="L1307" s="1" t="s">
        <v>96</v>
      </c>
      <c r="M1307" s="1" t="s">
        <v>63</v>
      </c>
    </row>
    <row r="1308" spans="1:13" x14ac:dyDescent="0.25">
      <c r="A1308" s="1" t="s">
        <v>2335</v>
      </c>
      <c r="B1308" s="1" t="s">
        <v>75</v>
      </c>
      <c r="C1308" s="1" t="s">
        <v>1397</v>
      </c>
      <c r="D1308" s="1" t="s">
        <v>46</v>
      </c>
      <c r="E1308" s="1" t="s">
        <v>100</v>
      </c>
      <c r="F1308" s="1" t="s">
        <v>33</v>
      </c>
      <c r="G1308">
        <v>324389</v>
      </c>
      <c r="H1308" s="1" t="s">
        <v>1494</v>
      </c>
      <c r="I1308" s="2"/>
      <c r="K1308">
        <v>10.7</v>
      </c>
      <c r="L1308" s="1" t="s">
        <v>20</v>
      </c>
      <c r="M1308" s="1" t="s">
        <v>63</v>
      </c>
    </row>
    <row r="1309" spans="1:13" x14ac:dyDescent="0.25">
      <c r="A1309" s="1" t="s">
        <v>2336</v>
      </c>
      <c r="B1309" s="1" t="s">
        <v>109</v>
      </c>
      <c r="C1309" s="1" t="s">
        <v>1185</v>
      </c>
      <c r="D1309" s="1" t="s">
        <v>25</v>
      </c>
      <c r="E1309" s="1" t="s">
        <v>47</v>
      </c>
      <c r="F1309" s="1" t="s">
        <v>27</v>
      </c>
      <c r="G1309">
        <v>406892</v>
      </c>
      <c r="H1309" s="1" t="s">
        <v>1206</v>
      </c>
      <c r="I1309" s="2"/>
      <c r="K1309">
        <v>6.7</v>
      </c>
      <c r="L1309" s="1" t="s">
        <v>20</v>
      </c>
      <c r="M1309" s="1" t="s">
        <v>35</v>
      </c>
    </row>
    <row r="1310" spans="1:13" x14ac:dyDescent="0.25">
      <c r="A1310" s="1" t="s">
        <v>2337</v>
      </c>
      <c r="B1310" s="1" t="s">
        <v>44</v>
      </c>
      <c r="C1310" s="1" t="s">
        <v>539</v>
      </c>
      <c r="D1310" s="1" t="s">
        <v>67</v>
      </c>
      <c r="E1310" s="1" t="s">
        <v>61</v>
      </c>
      <c r="F1310" s="1" t="s">
        <v>40</v>
      </c>
      <c r="G1310">
        <v>1375104</v>
      </c>
      <c r="H1310" s="1" t="s">
        <v>2338</v>
      </c>
      <c r="I1310" s="2">
        <v>45019</v>
      </c>
      <c r="J1310">
        <v>92</v>
      </c>
      <c r="K1310">
        <v>18.2</v>
      </c>
      <c r="L1310" s="1" t="s">
        <v>29</v>
      </c>
      <c r="M1310" s="1" t="s">
        <v>35</v>
      </c>
    </row>
    <row r="1311" spans="1:13" x14ac:dyDescent="0.25">
      <c r="A1311" s="1" t="s">
        <v>2339</v>
      </c>
      <c r="B1311" s="1" t="s">
        <v>88</v>
      </c>
      <c r="C1311" s="1" t="s">
        <v>401</v>
      </c>
      <c r="D1311" s="1" t="s">
        <v>25</v>
      </c>
      <c r="E1311" s="1" t="s">
        <v>17</v>
      </c>
      <c r="F1311" s="1" t="s">
        <v>18</v>
      </c>
      <c r="G1311">
        <v>433349</v>
      </c>
      <c r="H1311" s="1" t="s">
        <v>1066</v>
      </c>
      <c r="I1311" s="2">
        <v>45127</v>
      </c>
      <c r="J1311">
        <v>56</v>
      </c>
      <c r="K1311">
        <v>7.5</v>
      </c>
      <c r="L1311" s="1" t="s">
        <v>49</v>
      </c>
      <c r="M1311" s="1" t="s">
        <v>30</v>
      </c>
    </row>
    <row r="1312" spans="1:13" x14ac:dyDescent="0.25">
      <c r="A1312" s="1" t="s">
        <v>2340</v>
      </c>
      <c r="B1312" s="1" t="s">
        <v>109</v>
      </c>
      <c r="C1312" s="1" t="s">
        <v>355</v>
      </c>
      <c r="D1312" s="1" t="s">
        <v>16</v>
      </c>
      <c r="E1312" s="1" t="s">
        <v>17</v>
      </c>
      <c r="F1312" s="1" t="s">
        <v>27</v>
      </c>
      <c r="G1312">
        <v>42182</v>
      </c>
      <c r="H1312" s="1" t="s">
        <v>2341</v>
      </c>
      <c r="I1312" s="2"/>
      <c r="L1312" s="1" t="s">
        <v>96</v>
      </c>
      <c r="M1312" s="1" t="s">
        <v>149</v>
      </c>
    </row>
    <row r="1313" spans="1:13" x14ac:dyDescent="0.25">
      <c r="A1313" s="1" t="s">
        <v>2342</v>
      </c>
      <c r="B1313" s="1" t="s">
        <v>173</v>
      </c>
      <c r="C1313" s="1" t="s">
        <v>276</v>
      </c>
      <c r="D1313" s="1" t="s">
        <v>25</v>
      </c>
      <c r="E1313" s="1" t="s">
        <v>61</v>
      </c>
      <c r="F1313" s="1" t="s">
        <v>40</v>
      </c>
      <c r="G1313">
        <v>360715</v>
      </c>
      <c r="H1313" s="1" t="s">
        <v>689</v>
      </c>
      <c r="I1313" s="2">
        <v>45172</v>
      </c>
      <c r="J1313">
        <v>116</v>
      </c>
      <c r="K1313">
        <v>18.600000000000001</v>
      </c>
      <c r="L1313" s="1" t="s">
        <v>96</v>
      </c>
      <c r="M1313" s="1" t="s">
        <v>30</v>
      </c>
    </row>
    <row r="1314" spans="1:13" x14ac:dyDescent="0.25">
      <c r="A1314" s="1" t="s">
        <v>2343</v>
      </c>
      <c r="B1314" s="1" t="s">
        <v>127</v>
      </c>
      <c r="C1314" s="1" t="s">
        <v>144</v>
      </c>
      <c r="D1314" s="1" t="s">
        <v>46</v>
      </c>
      <c r="E1314" s="1" t="s">
        <v>72</v>
      </c>
      <c r="F1314" s="1" t="s">
        <v>53</v>
      </c>
      <c r="G1314">
        <v>333217</v>
      </c>
      <c r="H1314" s="1" t="s">
        <v>2283</v>
      </c>
      <c r="I1314" s="2"/>
      <c r="K1314">
        <v>10.8</v>
      </c>
      <c r="L1314" s="1" t="s">
        <v>29</v>
      </c>
      <c r="M1314" s="1" t="s">
        <v>107</v>
      </c>
    </row>
    <row r="1315" spans="1:13" x14ac:dyDescent="0.25">
      <c r="A1315" s="1" t="s">
        <v>2344</v>
      </c>
      <c r="B1315" s="1" t="s">
        <v>37</v>
      </c>
      <c r="C1315" s="1" t="s">
        <v>528</v>
      </c>
      <c r="D1315" s="1" t="s">
        <v>16</v>
      </c>
      <c r="E1315" s="1" t="s">
        <v>17</v>
      </c>
      <c r="F1315" s="1" t="s">
        <v>53</v>
      </c>
      <c r="G1315">
        <v>455118</v>
      </c>
      <c r="H1315" s="1" t="s">
        <v>1199</v>
      </c>
      <c r="I1315" s="2"/>
      <c r="K1315">
        <v>2.4</v>
      </c>
      <c r="L1315" s="1" t="s">
        <v>49</v>
      </c>
      <c r="M1315" s="1" t="s">
        <v>69</v>
      </c>
    </row>
    <row r="1316" spans="1:13" x14ac:dyDescent="0.25">
      <c r="A1316" s="1" t="s">
        <v>2345</v>
      </c>
      <c r="B1316" s="1" t="s">
        <v>127</v>
      </c>
      <c r="C1316" s="1" t="s">
        <v>364</v>
      </c>
      <c r="D1316" s="1" t="s">
        <v>90</v>
      </c>
      <c r="E1316" s="1" t="s">
        <v>61</v>
      </c>
      <c r="F1316" s="1" t="s">
        <v>40</v>
      </c>
      <c r="G1316">
        <v>368693</v>
      </c>
      <c r="H1316" s="1" t="s">
        <v>1273</v>
      </c>
      <c r="I1316" s="2">
        <v>45122</v>
      </c>
      <c r="J1316">
        <v>163</v>
      </c>
      <c r="K1316">
        <v>10.4</v>
      </c>
      <c r="L1316" s="1" t="s">
        <v>20</v>
      </c>
      <c r="M1316" s="1" t="s">
        <v>35</v>
      </c>
    </row>
    <row r="1317" spans="1:13" x14ac:dyDescent="0.25">
      <c r="A1317" s="1" t="s">
        <v>2346</v>
      </c>
      <c r="B1317" s="1" t="s">
        <v>109</v>
      </c>
      <c r="C1317" s="1" t="s">
        <v>1136</v>
      </c>
      <c r="D1317" s="1" t="s">
        <v>25</v>
      </c>
      <c r="E1317" s="1" t="s">
        <v>94</v>
      </c>
      <c r="F1317" s="1" t="s">
        <v>129</v>
      </c>
      <c r="G1317">
        <v>10765</v>
      </c>
      <c r="H1317" s="1" t="s">
        <v>1400</v>
      </c>
      <c r="I1317" s="2"/>
      <c r="K1317">
        <v>1.6</v>
      </c>
      <c r="L1317" s="1" t="s">
        <v>20</v>
      </c>
      <c r="M1317" s="1" t="s">
        <v>102</v>
      </c>
    </row>
    <row r="1318" spans="1:13" x14ac:dyDescent="0.25">
      <c r="A1318" s="1" t="s">
        <v>2347</v>
      </c>
      <c r="B1318" s="1" t="s">
        <v>80</v>
      </c>
      <c r="C1318" s="1" t="s">
        <v>318</v>
      </c>
      <c r="D1318" s="1" t="s">
        <v>16</v>
      </c>
      <c r="E1318" s="1" t="s">
        <v>72</v>
      </c>
      <c r="F1318" s="1" t="s">
        <v>27</v>
      </c>
      <c r="G1318">
        <v>1048494</v>
      </c>
      <c r="H1318" s="1" t="s">
        <v>2348</v>
      </c>
      <c r="I1318" s="2"/>
      <c r="K1318">
        <v>4.0999999999999996</v>
      </c>
      <c r="L1318" s="1" t="s">
        <v>49</v>
      </c>
      <c r="M1318" s="1" t="s">
        <v>63</v>
      </c>
    </row>
    <row r="1319" spans="1:13" x14ac:dyDescent="0.25">
      <c r="A1319" s="1" t="s">
        <v>2349</v>
      </c>
      <c r="B1319" s="1" t="s">
        <v>88</v>
      </c>
      <c r="C1319" s="1" t="s">
        <v>157</v>
      </c>
      <c r="D1319" s="1" t="s">
        <v>25</v>
      </c>
      <c r="E1319" s="1" t="s">
        <v>100</v>
      </c>
      <c r="F1319" s="1" t="s">
        <v>33</v>
      </c>
      <c r="G1319">
        <v>223481</v>
      </c>
      <c r="H1319" s="1" t="s">
        <v>1759</v>
      </c>
      <c r="I1319" s="2"/>
      <c r="L1319" s="1" t="s">
        <v>49</v>
      </c>
      <c r="M1319" s="1" t="s">
        <v>63</v>
      </c>
    </row>
    <row r="1320" spans="1:13" x14ac:dyDescent="0.25">
      <c r="A1320" s="1" t="s">
        <v>2350</v>
      </c>
      <c r="B1320" s="1" t="s">
        <v>23</v>
      </c>
      <c r="C1320" s="1" t="s">
        <v>1095</v>
      </c>
      <c r="D1320" s="1" t="s">
        <v>90</v>
      </c>
      <c r="E1320" s="1" t="s">
        <v>47</v>
      </c>
      <c r="F1320" s="1" t="s">
        <v>27</v>
      </c>
      <c r="G1320">
        <v>181226</v>
      </c>
      <c r="H1320" s="1" t="s">
        <v>1014</v>
      </c>
      <c r="I1320" s="2"/>
      <c r="K1320">
        <v>9.1</v>
      </c>
      <c r="L1320" s="1" t="s">
        <v>96</v>
      </c>
      <c r="M1320" s="1" t="s">
        <v>30</v>
      </c>
    </row>
    <row r="1321" spans="1:13" x14ac:dyDescent="0.25">
      <c r="A1321" s="1" t="s">
        <v>2351</v>
      </c>
      <c r="B1321" s="1" t="s">
        <v>173</v>
      </c>
      <c r="C1321" s="1" t="s">
        <v>1018</v>
      </c>
      <c r="D1321" s="1" t="s">
        <v>39</v>
      </c>
      <c r="E1321" s="1" t="s">
        <v>94</v>
      </c>
      <c r="F1321" s="1" t="s">
        <v>129</v>
      </c>
      <c r="G1321">
        <v>55709</v>
      </c>
      <c r="H1321" s="1" t="s">
        <v>788</v>
      </c>
      <c r="I1321" s="2"/>
      <c r="L1321" s="1" t="s">
        <v>96</v>
      </c>
      <c r="M1321" s="1" t="s">
        <v>102</v>
      </c>
    </row>
    <row r="1322" spans="1:13" x14ac:dyDescent="0.25">
      <c r="A1322" s="1" t="s">
        <v>2352</v>
      </c>
      <c r="B1322" s="1" t="s">
        <v>88</v>
      </c>
      <c r="C1322" s="1" t="s">
        <v>917</v>
      </c>
      <c r="D1322" s="1" t="s">
        <v>46</v>
      </c>
      <c r="E1322" s="1" t="s">
        <v>94</v>
      </c>
      <c r="F1322" s="1" t="s">
        <v>53</v>
      </c>
      <c r="G1322">
        <v>99824</v>
      </c>
      <c r="H1322" s="1" t="s">
        <v>2003</v>
      </c>
      <c r="I1322" s="2"/>
      <c r="L1322" s="1" t="s">
        <v>29</v>
      </c>
      <c r="M1322" s="1" t="s">
        <v>107</v>
      </c>
    </row>
    <row r="1323" spans="1:13" x14ac:dyDescent="0.25">
      <c r="A1323" s="1" t="s">
        <v>2353</v>
      </c>
      <c r="B1323" s="1" t="s">
        <v>109</v>
      </c>
      <c r="C1323" s="1" t="s">
        <v>614</v>
      </c>
      <c r="D1323" s="1" t="s">
        <v>67</v>
      </c>
      <c r="E1323" s="1" t="s">
        <v>61</v>
      </c>
      <c r="F1323" s="1" t="s">
        <v>40</v>
      </c>
      <c r="G1323">
        <v>493585</v>
      </c>
      <c r="H1323" s="1" t="s">
        <v>758</v>
      </c>
      <c r="I1323" s="2">
        <v>45269</v>
      </c>
      <c r="J1323">
        <v>167</v>
      </c>
      <c r="K1323">
        <v>4.7</v>
      </c>
      <c r="L1323" s="1" t="s">
        <v>96</v>
      </c>
      <c r="M1323" s="1" t="s">
        <v>30</v>
      </c>
    </row>
    <row r="1324" spans="1:13" x14ac:dyDescent="0.25">
      <c r="A1324" s="1" t="s">
        <v>2354</v>
      </c>
      <c r="B1324" s="1" t="s">
        <v>75</v>
      </c>
      <c r="C1324" s="1" t="s">
        <v>735</v>
      </c>
      <c r="D1324" s="1" t="s">
        <v>90</v>
      </c>
      <c r="E1324" s="1" t="s">
        <v>47</v>
      </c>
      <c r="F1324" s="1" t="s">
        <v>40</v>
      </c>
      <c r="G1324">
        <v>157148</v>
      </c>
      <c r="H1324" s="1" t="s">
        <v>752</v>
      </c>
      <c r="I1324" s="2">
        <v>45841</v>
      </c>
      <c r="J1324">
        <v>164</v>
      </c>
      <c r="K1324">
        <v>16.8</v>
      </c>
      <c r="L1324" s="1" t="s">
        <v>20</v>
      </c>
      <c r="M1324" s="1" t="s">
        <v>63</v>
      </c>
    </row>
    <row r="1325" spans="1:13" x14ac:dyDescent="0.25">
      <c r="A1325" s="1" t="s">
        <v>2355</v>
      </c>
      <c r="B1325" s="1" t="s">
        <v>59</v>
      </c>
      <c r="C1325" s="1" t="s">
        <v>355</v>
      </c>
      <c r="D1325" s="1" t="s">
        <v>67</v>
      </c>
      <c r="E1325" s="1" t="s">
        <v>17</v>
      </c>
      <c r="F1325" s="1" t="s">
        <v>18</v>
      </c>
      <c r="G1325">
        <v>344724</v>
      </c>
      <c r="H1325" s="1" t="s">
        <v>2356</v>
      </c>
      <c r="I1325" s="2">
        <v>45371</v>
      </c>
      <c r="J1325">
        <v>160</v>
      </c>
      <c r="L1325" s="1" t="s">
        <v>29</v>
      </c>
      <c r="M1325" s="1" t="s">
        <v>21</v>
      </c>
    </row>
    <row r="1326" spans="1:13" x14ac:dyDescent="0.25">
      <c r="A1326" s="1" t="s">
        <v>2357</v>
      </c>
      <c r="B1326" s="1" t="s">
        <v>75</v>
      </c>
      <c r="C1326" s="1" t="s">
        <v>1455</v>
      </c>
      <c r="D1326" s="1" t="s">
        <v>16</v>
      </c>
      <c r="E1326" s="1" t="s">
        <v>72</v>
      </c>
      <c r="F1326" s="1" t="s">
        <v>33</v>
      </c>
      <c r="G1326">
        <v>10686</v>
      </c>
      <c r="H1326" s="1" t="s">
        <v>452</v>
      </c>
      <c r="I1326" s="2"/>
      <c r="K1326">
        <v>1.1000000000000001</v>
      </c>
      <c r="L1326" s="1" t="s">
        <v>20</v>
      </c>
      <c r="M1326" s="1" t="s">
        <v>107</v>
      </c>
    </row>
    <row r="1327" spans="1:13" x14ac:dyDescent="0.25">
      <c r="A1327" s="1" t="s">
        <v>2358</v>
      </c>
      <c r="B1327" s="1" t="s">
        <v>104</v>
      </c>
      <c r="C1327" s="1" t="s">
        <v>119</v>
      </c>
      <c r="D1327" s="1" t="s">
        <v>46</v>
      </c>
      <c r="E1327" s="1" t="s">
        <v>61</v>
      </c>
      <c r="F1327" s="1" t="s">
        <v>129</v>
      </c>
      <c r="G1327">
        <v>253379</v>
      </c>
      <c r="H1327" s="1" t="s">
        <v>1651</v>
      </c>
      <c r="I1327" s="2"/>
      <c r="K1327">
        <v>9.3000000000000007</v>
      </c>
      <c r="L1327" s="1" t="s">
        <v>96</v>
      </c>
      <c r="M1327" s="1" t="s">
        <v>149</v>
      </c>
    </row>
    <row r="1328" spans="1:13" x14ac:dyDescent="0.25">
      <c r="A1328" s="1" t="s">
        <v>2359</v>
      </c>
      <c r="B1328" s="1" t="s">
        <v>104</v>
      </c>
      <c r="C1328" s="1" t="s">
        <v>2334</v>
      </c>
      <c r="D1328" s="1" t="s">
        <v>67</v>
      </c>
      <c r="E1328" s="1" t="s">
        <v>100</v>
      </c>
      <c r="F1328" s="1" t="s">
        <v>40</v>
      </c>
      <c r="G1328">
        <v>273106</v>
      </c>
      <c r="H1328" s="1" t="s">
        <v>1244</v>
      </c>
      <c r="I1328" s="2">
        <v>45621</v>
      </c>
      <c r="J1328">
        <v>91</v>
      </c>
      <c r="K1328">
        <v>14.9</v>
      </c>
      <c r="L1328" s="1" t="s">
        <v>20</v>
      </c>
      <c r="M1328" s="1" t="s">
        <v>149</v>
      </c>
    </row>
    <row r="1329" spans="1:13" x14ac:dyDescent="0.25">
      <c r="A1329" s="1" t="s">
        <v>2360</v>
      </c>
      <c r="B1329" s="1" t="s">
        <v>127</v>
      </c>
      <c r="C1329" s="1" t="s">
        <v>364</v>
      </c>
      <c r="D1329" s="1" t="s">
        <v>16</v>
      </c>
      <c r="E1329" s="1" t="s">
        <v>51</v>
      </c>
      <c r="F1329" s="1" t="s">
        <v>53</v>
      </c>
      <c r="G1329">
        <v>498715</v>
      </c>
      <c r="H1329" s="1" t="s">
        <v>245</v>
      </c>
      <c r="I1329" s="2"/>
      <c r="K1329">
        <v>0.1</v>
      </c>
      <c r="L1329" s="1" t="s">
        <v>49</v>
      </c>
      <c r="M1329" s="1" t="s">
        <v>63</v>
      </c>
    </row>
    <row r="1330" spans="1:13" x14ac:dyDescent="0.25">
      <c r="A1330" s="1" t="s">
        <v>2361</v>
      </c>
      <c r="B1330" s="1" t="s">
        <v>98</v>
      </c>
      <c r="C1330" s="1" t="s">
        <v>433</v>
      </c>
      <c r="D1330" s="1" t="s">
        <v>90</v>
      </c>
      <c r="E1330" s="1" t="s">
        <v>94</v>
      </c>
      <c r="F1330" s="1" t="s">
        <v>27</v>
      </c>
      <c r="G1330">
        <v>210618</v>
      </c>
      <c r="H1330" s="1" t="s">
        <v>2362</v>
      </c>
      <c r="I1330" s="2"/>
      <c r="L1330" s="1" t="s">
        <v>96</v>
      </c>
      <c r="M1330" s="1" t="s">
        <v>63</v>
      </c>
    </row>
    <row r="1331" spans="1:13" x14ac:dyDescent="0.25">
      <c r="A1331" s="1" t="s">
        <v>2363</v>
      </c>
      <c r="B1331" s="1" t="s">
        <v>23</v>
      </c>
      <c r="C1331" s="1" t="s">
        <v>2185</v>
      </c>
      <c r="D1331" s="1" t="s">
        <v>46</v>
      </c>
      <c r="E1331" s="1" t="s">
        <v>47</v>
      </c>
      <c r="F1331" s="1" t="s">
        <v>129</v>
      </c>
      <c r="G1331">
        <v>284821</v>
      </c>
      <c r="H1331" s="1" t="s">
        <v>1437</v>
      </c>
      <c r="I1331" s="2"/>
      <c r="L1331" s="1" t="s">
        <v>49</v>
      </c>
      <c r="M1331" s="1" t="s">
        <v>107</v>
      </c>
    </row>
    <row r="1332" spans="1:13" x14ac:dyDescent="0.25">
      <c r="A1332" s="1" t="s">
        <v>2364</v>
      </c>
      <c r="B1332" s="1" t="s">
        <v>80</v>
      </c>
      <c r="C1332" s="1" t="s">
        <v>227</v>
      </c>
      <c r="D1332" s="1" t="s">
        <v>16</v>
      </c>
      <c r="E1332" s="1" t="s">
        <v>17</v>
      </c>
      <c r="F1332" s="1" t="s">
        <v>53</v>
      </c>
      <c r="G1332">
        <v>146703</v>
      </c>
      <c r="H1332" s="1" t="s">
        <v>1677</v>
      </c>
      <c r="I1332" s="2"/>
      <c r="L1332" s="1" t="s">
        <v>96</v>
      </c>
      <c r="M1332" s="1" t="s">
        <v>35</v>
      </c>
    </row>
    <row r="1333" spans="1:13" x14ac:dyDescent="0.25">
      <c r="A1333" s="1" t="s">
        <v>2365</v>
      </c>
      <c r="B1333" s="1" t="s">
        <v>84</v>
      </c>
      <c r="C1333" s="1" t="s">
        <v>1776</v>
      </c>
      <c r="D1333" s="1" t="s">
        <v>90</v>
      </c>
      <c r="E1333" s="1" t="s">
        <v>94</v>
      </c>
      <c r="F1333" s="1" t="s">
        <v>33</v>
      </c>
      <c r="G1333">
        <v>94991</v>
      </c>
      <c r="H1333" s="1" t="s">
        <v>1301</v>
      </c>
      <c r="I1333" s="2"/>
      <c r="L1333" s="1" t="s">
        <v>96</v>
      </c>
      <c r="M1333" s="1" t="s">
        <v>42</v>
      </c>
    </row>
    <row r="1334" spans="1:13" x14ac:dyDescent="0.25">
      <c r="A1334" s="1" t="s">
        <v>2366</v>
      </c>
      <c r="B1334" s="1" t="s">
        <v>44</v>
      </c>
      <c r="C1334" s="1" t="s">
        <v>1157</v>
      </c>
      <c r="D1334" s="1" t="s">
        <v>67</v>
      </c>
      <c r="E1334" s="1" t="s">
        <v>61</v>
      </c>
      <c r="F1334" s="1" t="s">
        <v>129</v>
      </c>
      <c r="G1334">
        <v>105276</v>
      </c>
      <c r="H1334" s="1" t="s">
        <v>2003</v>
      </c>
      <c r="I1334" s="2"/>
      <c r="K1334">
        <v>10.1</v>
      </c>
      <c r="L1334" s="1" t="s">
        <v>20</v>
      </c>
      <c r="M1334" s="1" t="s">
        <v>107</v>
      </c>
    </row>
    <row r="1335" spans="1:13" x14ac:dyDescent="0.25">
      <c r="A1335" s="1" t="s">
        <v>2367</v>
      </c>
      <c r="B1335" s="1" t="s">
        <v>23</v>
      </c>
      <c r="C1335" s="1" t="s">
        <v>1364</v>
      </c>
      <c r="D1335" s="1" t="s">
        <v>25</v>
      </c>
      <c r="E1335" s="1" t="s">
        <v>17</v>
      </c>
      <c r="F1335" s="1" t="s">
        <v>33</v>
      </c>
      <c r="G1335">
        <v>144950</v>
      </c>
      <c r="H1335" s="1" t="s">
        <v>1835</v>
      </c>
      <c r="I1335" s="2"/>
      <c r="K1335">
        <v>13.5</v>
      </c>
      <c r="L1335" s="1" t="s">
        <v>20</v>
      </c>
      <c r="M1335" s="1" t="s">
        <v>63</v>
      </c>
    </row>
    <row r="1336" spans="1:13" x14ac:dyDescent="0.25">
      <c r="A1336" s="1" t="s">
        <v>2368</v>
      </c>
      <c r="B1336" s="1" t="s">
        <v>84</v>
      </c>
      <c r="C1336" s="1" t="s">
        <v>1457</v>
      </c>
      <c r="D1336" s="1" t="s">
        <v>90</v>
      </c>
      <c r="E1336" s="1" t="s">
        <v>77</v>
      </c>
      <c r="F1336" s="1" t="s">
        <v>40</v>
      </c>
      <c r="G1336">
        <v>243885</v>
      </c>
      <c r="H1336" s="1" t="s">
        <v>2369</v>
      </c>
      <c r="I1336" s="2">
        <v>45596</v>
      </c>
      <c r="J1336">
        <v>110</v>
      </c>
      <c r="K1336">
        <v>11.9</v>
      </c>
      <c r="L1336" s="1" t="s">
        <v>29</v>
      </c>
      <c r="M1336" s="1" t="s">
        <v>149</v>
      </c>
    </row>
    <row r="1337" spans="1:13" x14ac:dyDescent="0.25">
      <c r="A1337" s="1" t="s">
        <v>2370</v>
      </c>
      <c r="B1337" s="1" t="s">
        <v>88</v>
      </c>
      <c r="C1337" s="1" t="s">
        <v>977</v>
      </c>
      <c r="D1337" s="1" t="s">
        <v>90</v>
      </c>
      <c r="E1337" s="1" t="s">
        <v>77</v>
      </c>
      <c r="F1337" s="1" t="s">
        <v>27</v>
      </c>
      <c r="G1337">
        <v>204233</v>
      </c>
      <c r="H1337" s="1" t="s">
        <v>282</v>
      </c>
      <c r="I1337" s="2"/>
      <c r="K1337">
        <v>8.5</v>
      </c>
      <c r="L1337" s="1" t="s">
        <v>96</v>
      </c>
      <c r="M1337" s="1" t="s">
        <v>21</v>
      </c>
    </row>
    <row r="1338" spans="1:13" x14ac:dyDescent="0.25">
      <c r="A1338" s="1" t="s">
        <v>2371</v>
      </c>
      <c r="B1338" s="1" t="s">
        <v>14</v>
      </c>
      <c r="C1338" s="1" t="s">
        <v>1028</v>
      </c>
      <c r="D1338" s="1" t="s">
        <v>46</v>
      </c>
      <c r="E1338" s="1" t="s">
        <v>51</v>
      </c>
      <c r="F1338" s="1" t="s">
        <v>27</v>
      </c>
      <c r="G1338">
        <v>140369</v>
      </c>
      <c r="H1338" s="1" t="s">
        <v>2219</v>
      </c>
      <c r="I1338" s="2"/>
      <c r="L1338" s="1" t="s">
        <v>29</v>
      </c>
      <c r="M1338" s="1" t="s">
        <v>107</v>
      </c>
    </row>
    <row r="1339" spans="1:13" x14ac:dyDescent="0.25">
      <c r="A1339" s="1" t="s">
        <v>2372</v>
      </c>
      <c r="B1339" s="1" t="s">
        <v>127</v>
      </c>
      <c r="C1339" s="1" t="s">
        <v>637</v>
      </c>
      <c r="D1339" s="1" t="s">
        <v>16</v>
      </c>
      <c r="E1339" s="1" t="s">
        <v>100</v>
      </c>
      <c r="F1339" s="1" t="s">
        <v>40</v>
      </c>
      <c r="G1339">
        <v>441197</v>
      </c>
      <c r="H1339" s="1" t="s">
        <v>2373</v>
      </c>
      <c r="I1339" s="2">
        <v>45167</v>
      </c>
      <c r="J1339">
        <v>106</v>
      </c>
      <c r="K1339">
        <v>17.600000000000001</v>
      </c>
      <c r="L1339" s="1" t="s">
        <v>20</v>
      </c>
      <c r="M1339" s="1" t="s">
        <v>30</v>
      </c>
    </row>
    <row r="1340" spans="1:13" x14ac:dyDescent="0.25">
      <c r="A1340" s="1" t="s">
        <v>2374</v>
      </c>
      <c r="B1340" s="1" t="s">
        <v>14</v>
      </c>
      <c r="C1340" s="1" t="s">
        <v>813</v>
      </c>
      <c r="D1340" s="1" t="s">
        <v>67</v>
      </c>
      <c r="E1340" s="1" t="s">
        <v>17</v>
      </c>
      <c r="F1340" s="1" t="s">
        <v>53</v>
      </c>
      <c r="G1340">
        <v>191092</v>
      </c>
      <c r="H1340" s="1" t="s">
        <v>2375</v>
      </c>
      <c r="I1340" s="2"/>
      <c r="L1340" s="1" t="s">
        <v>49</v>
      </c>
      <c r="M1340" s="1" t="s">
        <v>63</v>
      </c>
    </row>
    <row r="1341" spans="1:13" x14ac:dyDescent="0.25">
      <c r="A1341" s="1" t="s">
        <v>2376</v>
      </c>
      <c r="B1341" s="1" t="s">
        <v>88</v>
      </c>
      <c r="C1341" s="1" t="s">
        <v>778</v>
      </c>
      <c r="D1341" s="1" t="s">
        <v>16</v>
      </c>
      <c r="E1341" s="1" t="s">
        <v>17</v>
      </c>
      <c r="F1341" s="1" t="s">
        <v>33</v>
      </c>
      <c r="G1341">
        <v>95569</v>
      </c>
      <c r="H1341" s="1" t="s">
        <v>1029</v>
      </c>
      <c r="I1341" s="2"/>
      <c r="K1341">
        <v>0.1</v>
      </c>
      <c r="L1341" s="1" t="s">
        <v>49</v>
      </c>
      <c r="M1341" s="1" t="s">
        <v>30</v>
      </c>
    </row>
    <row r="1342" spans="1:13" x14ac:dyDescent="0.25">
      <c r="A1342" s="1" t="s">
        <v>2377</v>
      </c>
      <c r="B1342" s="1" t="s">
        <v>44</v>
      </c>
      <c r="C1342" s="1" t="s">
        <v>295</v>
      </c>
      <c r="D1342" s="1" t="s">
        <v>39</v>
      </c>
      <c r="E1342" s="1" t="s">
        <v>61</v>
      </c>
      <c r="F1342" s="1" t="s">
        <v>53</v>
      </c>
      <c r="G1342">
        <v>74064</v>
      </c>
      <c r="H1342" s="1" t="s">
        <v>2378</v>
      </c>
      <c r="I1342" s="2"/>
      <c r="L1342" s="1" t="s">
        <v>96</v>
      </c>
      <c r="M1342" s="1" t="s">
        <v>69</v>
      </c>
    </row>
    <row r="1343" spans="1:13" x14ac:dyDescent="0.25">
      <c r="A1343" s="1" t="s">
        <v>2379</v>
      </c>
      <c r="B1343" s="1" t="s">
        <v>109</v>
      </c>
      <c r="C1343" s="1" t="s">
        <v>244</v>
      </c>
      <c r="D1343" s="1" t="s">
        <v>46</v>
      </c>
      <c r="E1343" s="1" t="s">
        <v>61</v>
      </c>
      <c r="F1343" s="1" t="s">
        <v>18</v>
      </c>
      <c r="G1343">
        <v>261667</v>
      </c>
      <c r="H1343" s="1" t="s">
        <v>1492</v>
      </c>
      <c r="I1343" s="2">
        <v>45325</v>
      </c>
      <c r="J1343">
        <v>35</v>
      </c>
      <c r="L1343" s="1" t="s">
        <v>96</v>
      </c>
      <c r="M1343" s="1" t="s">
        <v>21</v>
      </c>
    </row>
    <row r="1344" spans="1:13" x14ac:dyDescent="0.25">
      <c r="A1344" s="1" t="s">
        <v>2380</v>
      </c>
      <c r="B1344" s="1" t="s">
        <v>14</v>
      </c>
      <c r="C1344" s="1" t="s">
        <v>393</v>
      </c>
      <c r="D1344" s="1" t="s">
        <v>67</v>
      </c>
      <c r="E1344" s="1" t="s">
        <v>94</v>
      </c>
      <c r="F1344" s="1" t="s">
        <v>18</v>
      </c>
      <c r="G1344">
        <v>455556</v>
      </c>
      <c r="H1344" s="1" t="s">
        <v>288</v>
      </c>
      <c r="I1344" s="2">
        <v>44991</v>
      </c>
      <c r="J1344">
        <v>33</v>
      </c>
      <c r="K1344">
        <v>8.9</v>
      </c>
      <c r="L1344" s="1" t="s">
        <v>29</v>
      </c>
      <c r="M1344" s="1" t="s">
        <v>35</v>
      </c>
    </row>
    <row r="1345" spans="1:13" x14ac:dyDescent="0.25">
      <c r="A1345" s="1" t="s">
        <v>2381</v>
      </c>
      <c r="B1345" s="1" t="s">
        <v>104</v>
      </c>
      <c r="C1345" s="1" t="s">
        <v>676</v>
      </c>
      <c r="D1345" s="1" t="s">
        <v>90</v>
      </c>
      <c r="E1345" s="1" t="s">
        <v>61</v>
      </c>
      <c r="F1345" s="1" t="s">
        <v>53</v>
      </c>
      <c r="G1345">
        <v>18743</v>
      </c>
      <c r="H1345" s="1" t="s">
        <v>569</v>
      </c>
      <c r="I1345" s="2"/>
      <c r="K1345">
        <v>11.4</v>
      </c>
      <c r="L1345" s="1" t="s">
        <v>49</v>
      </c>
      <c r="M1345" s="1" t="s">
        <v>30</v>
      </c>
    </row>
    <row r="1346" spans="1:13" x14ac:dyDescent="0.25">
      <c r="A1346" s="1" t="s">
        <v>121</v>
      </c>
      <c r="B1346" s="1" t="s">
        <v>65</v>
      </c>
      <c r="C1346" s="1" t="s">
        <v>122</v>
      </c>
      <c r="D1346" s="1" t="s">
        <v>67</v>
      </c>
      <c r="E1346" s="1" t="s">
        <v>72</v>
      </c>
      <c r="F1346" s="1" t="s">
        <v>33</v>
      </c>
      <c r="G1346">
        <v>111938</v>
      </c>
      <c r="H1346" s="1" t="s">
        <v>123</v>
      </c>
      <c r="I1346" s="2"/>
      <c r="L1346" s="1" t="s">
        <v>29</v>
      </c>
      <c r="M1346" s="1" t="s">
        <v>63</v>
      </c>
    </row>
    <row r="1347" spans="1:13" x14ac:dyDescent="0.25">
      <c r="A1347" s="1" t="s">
        <v>2382</v>
      </c>
      <c r="B1347" s="1" t="s">
        <v>127</v>
      </c>
      <c r="C1347" s="1" t="s">
        <v>151</v>
      </c>
      <c r="D1347" s="1" t="s">
        <v>39</v>
      </c>
      <c r="E1347" s="1" t="s">
        <v>26</v>
      </c>
      <c r="F1347" s="1" t="s">
        <v>18</v>
      </c>
      <c r="G1347">
        <v>14233</v>
      </c>
      <c r="H1347" s="1" t="s">
        <v>2383</v>
      </c>
      <c r="I1347" s="2">
        <v>45593</v>
      </c>
      <c r="J1347">
        <v>85</v>
      </c>
      <c r="K1347">
        <v>12.2</v>
      </c>
      <c r="L1347" s="1" t="s">
        <v>96</v>
      </c>
      <c r="M1347" s="1" t="s">
        <v>149</v>
      </c>
    </row>
    <row r="1348" spans="1:13" x14ac:dyDescent="0.25">
      <c r="A1348" s="1" t="s">
        <v>2384</v>
      </c>
      <c r="B1348" s="1" t="s">
        <v>80</v>
      </c>
      <c r="C1348" s="1" t="s">
        <v>882</v>
      </c>
      <c r="D1348" s="1" t="s">
        <v>46</v>
      </c>
      <c r="E1348" s="1" t="s">
        <v>100</v>
      </c>
      <c r="F1348" s="1" t="s">
        <v>53</v>
      </c>
      <c r="G1348">
        <v>304660</v>
      </c>
      <c r="H1348" s="1" t="s">
        <v>1651</v>
      </c>
      <c r="I1348" s="2"/>
      <c r="K1348">
        <v>14.2</v>
      </c>
      <c r="L1348" s="1" t="s">
        <v>49</v>
      </c>
      <c r="M1348" s="1" t="s">
        <v>149</v>
      </c>
    </row>
    <row r="1349" spans="1:13" x14ac:dyDescent="0.25">
      <c r="A1349" s="1" t="s">
        <v>2385</v>
      </c>
      <c r="B1349" s="1" t="s">
        <v>109</v>
      </c>
      <c r="C1349" s="1" t="s">
        <v>587</v>
      </c>
      <c r="D1349" s="1" t="s">
        <v>16</v>
      </c>
      <c r="E1349" s="1" t="s">
        <v>100</v>
      </c>
      <c r="F1349" s="1" t="s">
        <v>18</v>
      </c>
      <c r="G1349">
        <v>312833</v>
      </c>
      <c r="H1349" s="1" t="s">
        <v>691</v>
      </c>
      <c r="I1349" s="2">
        <v>45862</v>
      </c>
      <c r="J1349">
        <v>142</v>
      </c>
      <c r="L1349" s="1" t="s">
        <v>20</v>
      </c>
      <c r="M1349" s="1" t="s">
        <v>63</v>
      </c>
    </row>
    <row r="1350" spans="1:13" x14ac:dyDescent="0.25">
      <c r="A1350" s="1" t="s">
        <v>2386</v>
      </c>
      <c r="B1350" s="1" t="s">
        <v>37</v>
      </c>
      <c r="C1350" s="1" t="s">
        <v>539</v>
      </c>
      <c r="D1350" s="1" t="s">
        <v>39</v>
      </c>
      <c r="E1350" s="1" t="s">
        <v>61</v>
      </c>
      <c r="F1350" s="1" t="s">
        <v>27</v>
      </c>
      <c r="G1350">
        <v>1800592</v>
      </c>
      <c r="H1350" s="1" t="s">
        <v>742</v>
      </c>
      <c r="I1350" s="2"/>
      <c r="K1350">
        <v>10.4</v>
      </c>
      <c r="L1350" s="1" t="s">
        <v>20</v>
      </c>
      <c r="M1350" s="1" t="s">
        <v>107</v>
      </c>
    </row>
    <row r="1351" spans="1:13" x14ac:dyDescent="0.25">
      <c r="A1351" s="1" t="s">
        <v>2387</v>
      </c>
      <c r="B1351" s="1" t="s">
        <v>80</v>
      </c>
      <c r="C1351" s="1" t="s">
        <v>93</v>
      </c>
      <c r="D1351" s="1" t="s">
        <v>90</v>
      </c>
      <c r="E1351" s="1" t="s">
        <v>61</v>
      </c>
      <c r="F1351" s="1" t="s">
        <v>33</v>
      </c>
      <c r="G1351">
        <v>324198</v>
      </c>
      <c r="H1351" s="1" t="s">
        <v>1166</v>
      </c>
      <c r="I1351" s="2"/>
      <c r="L1351" s="1" t="s">
        <v>29</v>
      </c>
      <c r="M1351" s="1" t="s">
        <v>107</v>
      </c>
    </row>
    <row r="1352" spans="1:13" x14ac:dyDescent="0.25">
      <c r="A1352" s="1" t="s">
        <v>2388</v>
      </c>
      <c r="B1352" s="1" t="s">
        <v>104</v>
      </c>
      <c r="C1352" s="1" t="s">
        <v>859</v>
      </c>
      <c r="D1352" s="1" t="s">
        <v>39</v>
      </c>
      <c r="E1352" s="1" t="s">
        <v>94</v>
      </c>
      <c r="F1352" s="1" t="s">
        <v>18</v>
      </c>
      <c r="G1352">
        <v>451919</v>
      </c>
      <c r="H1352" s="1" t="s">
        <v>498</v>
      </c>
      <c r="I1352" s="2">
        <v>45203</v>
      </c>
      <c r="J1352">
        <v>59</v>
      </c>
      <c r="K1352">
        <v>12.7</v>
      </c>
      <c r="L1352" s="1" t="s">
        <v>49</v>
      </c>
      <c r="M1352" s="1" t="s">
        <v>102</v>
      </c>
    </row>
    <row r="1353" spans="1:13" x14ac:dyDescent="0.25">
      <c r="A1353" s="1" t="s">
        <v>2389</v>
      </c>
      <c r="B1353" s="1" t="s">
        <v>127</v>
      </c>
      <c r="C1353" s="1" t="s">
        <v>1566</v>
      </c>
      <c r="D1353" s="1" t="s">
        <v>46</v>
      </c>
      <c r="E1353" s="1" t="s">
        <v>47</v>
      </c>
      <c r="F1353" s="1" t="s">
        <v>40</v>
      </c>
      <c r="G1353">
        <v>175442</v>
      </c>
      <c r="H1353" s="1" t="s">
        <v>234</v>
      </c>
      <c r="I1353" s="2">
        <v>45597</v>
      </c>
      <c r="J1353">
        <v>97</v>
      </c>
      <c r="K1353">
        <v>13.5</v>
      </c>
      <c r="L1353" s="1" t="s">
        <v>20</v>
      </c>
      <c r="M1353" s="1" t="s">
        <v>149</v>
      </c>
    </row>
    <row r="1354" spans="1:13" x14ac:dyDescent="0.25">
      <c r="A1354" s="1" t="s">
        <v>2390</v>
      </c>
      <c r="B1354" s="1" t="s">
        <v>80</v>
      </c>
      <c r="C1354" s="1" t="s">
        <v>775</v>
      </c>
      <c r="D1354" s="1" t="s">
        <v>46</v>
      </c>
      <c r="E1354" s="1" t="s">
        <v>47</v>
      </c>
      <c r="F1354" s="1" t="s">
        <v>18</v>
      </c>
      <c r="G1354">
        <v>142124</v>
      </c>
      <c r="H1354" s="1" t="s">
        <v>829</v>
      </c>
      <c r="I1354" s="2">
        <v>45799</v>
      </c>
      <c r="J1354">
        <v>105</v>
      </c>
      <c r="K1354">
        <v>11.2</v>
      </c>
      <c r="L1354" s="1" t="s">
        <v>29</v>
      </c>
      <c r="M1354" s="1" t="s">
        <v>63</v>
      </c>
    </row>
    <row r="1355" spans="1:13" x14ac:dyDescent="0.25">
      <c r="A1355" s="1" t="s">
        <v>2391</v>
      </c>
      <c r="B1355" s="1" t="s">
        <v>51</v>
      </c>
      <c r="C1355" s="1" t="s">
        <v>295</v>
      </c>
      <c r="D1355" s="1" t="s">
        <v>67</v>
      </c>
      <c r="E1355" s="1" t="s">
        <v>72</v>
      </c>
      <c r="F1355" s="1" t="s">
        <v>18</v>
      </c>
      <c r="G1355">
        <v>84083</v>
      </c>
      <c r="H1355" s="1" t="s">
        <v>1335</v>
      </c>
      <c r="I1355" s="2">
        <v>45629</v>
      </c>
      <c r="J1355">
        <v>111</v>
      </c>
      <c r="K1355">
        <v>1.3</v>
      </c>
      <c r="L1355" s="1" t="s">
        <v>29</v>
      </c>
      <c r="M1355" s="1" t="s">
        <v>149</v>
      </c>
    </row>
    <row r="1356" spans="1:13" x14ac:dyDescent="0.25">
      <c r="A1356" s="1" t="s">
        <v>2392</v>
      </c>
      <c r="B1356" s="1" t="s">
        <v>104</v>
      </c>
      <c r="C1356" s="1" t="s">
        <v>1526</v>
      </c>
      <c r="D1356" s="1" t="s">
        <v>25</v>
      </c>
      <c r="E1356" s="1" t="s">
        <v>61</v>
      </c>
      <c r="F1356" s="1" t="s">
        <v>27</v>
      </c>
      <c r="G1356">
        <v>386281</v>
      </c>
      <c r="H1356" s="1" t="s">
        <v>152</v>
      </c>
      <c r="I1356" s="2"/>
      <c r="L1356" s="1" t="s">
        <v>96</v>
      </c>
      <c r="M1356" s="1" t="s">
        <v>30</v>
      </c>
    </row>
    <row r="1357" spans="1:13" x14ac:dyDescent="0.25">
      <c r="A1357" s="1" t="s">
        <v>2393</v>
      </c>
      <c r="B1357" s="1" t="s">
        <v>173</v>
      </c>
      <c r="C1357" s="1" t="s">
        <v>119</v>
      </c>
      <c r="D1357" s="1" t="s">
        <v>46</v>
      </c>
      <c r="E1357" s="1" t="s">
        <v>94</v>
      </c>
      <c r="F1357" s="1" t="s">
        <v>40</v>
      </c>
      <c r="G1357">
        <v>134549</v>
      </c>
      <c r="H1357" s="1" t="s">
        <v>1609</v>
      </c>
      <c r="I1357" s="2">
        <v>45656</v>
      </c>
      <c r="J1357">
        <v>37</v>
      </c>
      <c r="K1357">
        <v>17.5</v>
      </c>
      <c r="L1357" s="1" t="s">
        <v>29</v>
      </c>
      <c r="M1357" s="1" t="s">
        <v>42</v>
      </c>
    </row>
    <row r="1358" spans="1:13" x14ac:dyDescent="0.25">
      <c r="A1358" s="1" t="s">
        <v>2394</v>
      </c>
      <c r="B1358" s="1" t="s">
        <v>75</v>
      </c>
      <c r="C1358" s="1" t="s">
        <v>138</v>
      </c>
      <c r="D1358" s="1" t="s">
        <v>67</v>
      </c>
      <c r="E1358" s="1" t="s">
        <v>61</v>
      </c>
      <c r="F1358" s="1" t="s">
        <v>33</v>
      </c>
      <c r="G1358">
        <v>473157</v>
      </c>
      <c r="H1358" s="1" t="s">
        <v>1832</v>
      </c>
      <c r="I1358" s="2"/>
      <c r="K1358">
        <v>14.7</v>
      </c>
      <c r="L1358" s="1" t="s">
        <v>96</v>
      </c>
      <c r="M1358" s="1" t="s">
        <v>102</v>
      </c>
    </row>
    <row r="1359" spans="1:13" x14ac:dyDescent="0.25">
      <c r="A1359" s="1" t="s">
        <v>2395</v>
      </c>
      <c r="B1359" s="1" t="s">
        <v>104</v>
      </c>
      <c r="C1359" s="1" t="s">
        <v>267</v>
      </c>
      <c r="D1359" s="1" t="s">
        <v>90</v>
      </c>
      <c r="E1359" s="1" t="s">
        <v>61</v>
      </c>
      <c r="F1359" s="1" t="s">
        <v>129</v>
      </c>
      <c r="G1359">
        <v>314179</v>
      </c>
      <c r="H1359" s="1" t="s">
        <v>2396</v>
      </c>
      <c r="I1359" s="2"/>
      <c r="K1359">
        <v>8.3000000000000007</v>
      </c>
      <c r="L1359" s="1" t="s">
        <v>29</v>
      </c>
      <c r="M1359" s="1" t="s">
        <v>42</v>
      </c>
    </row>
    <row r="1360" spans="1:13" x14ac:dyDescent="0.25">
      <c r="A1360" s="1" t="s">
        <v>2397</v>
      </c>
      <c r="B1360" s="1" t="s">
        <v>75</v>
      </c>
      <c r="C1360" s="1" t="s">
        <v>189</v>
      </c>
      <c r="D1360" s="1" t="s">
        <v>39</v>
      </c>
      <c r="E1360" s="1" t="s">
        <v>61</v>
      </c>
      <c r="F1360" s="1" t="s">
        <v>33</v>
      </c>
      <c r="G1360">
        <v>318524</v>
      </c>
      <c r="H1360" s="1" t="s">
        <v>2398</v>
      </c>
      <c r="I1360" s="2"/>
      <c r="K1360">
        <v>8.6</v>
      </c>
      <c r="L1360" s="1" t="s">
        <v>96</v>
      </c>
      <c r="M1360" s="1" t="s">
        <v>35</v>
      </c>
    </row>
    <row r="1361" spans="1:13" x14ac:dyDescent="0.25">
      <c r="A1361" s="1" t="s">
        <v>2399</v>
      </c>
      <c r="B1361" s="1" t="s">
        <v>75</v>
      </c>
      <c r="C1361" s="1" t="s">
        <v>1157</v>
      </c>
      <c r="D1361" s="1" t="s">
        <v>16</v>
      </c>
      <c r="E1361" s="1" t="s">
        <v>47</v>
      </c>
      <c r="F1361" s="1" t="s">
        <v>53</v>
      </c>
      <c r="G1361">
        <v>436701</v>
      </c>
      <c r="H1361" s="1" t="s">
        <v>2400</v>
      </c>
      <c r="I1361" s="2"/>
      <c r="L1361" s="1" t="s">
        <v>96</v>
      </c>
      <c r="M1361" s="1" t="s">
        <v>107</v>
      </c>
    </row>
    <row r="1362" spans="1:13" x14ac:dyDescent="0.25">
      <c r="A1362" s="1" t="s">
        <v>2401</v>
      </c>
      <c r="B1362" s="1" t="s">
        <v>98</v>
      </c>
      <c r="C1362" s="1" t="s">
        <v>1057</v>
      </c>
      <c r="D1362" s="1" t="s">
        <v>16</v>
      </c>
      <c r="E1362" s="1" t="s">
        <v>17</v>
      </c>
      <c r="F1362" s="1" t="s">
        <v>18</v>
      </c>
      <c r="G1362">
        <v>431345</v>
      </c>
      <c r="H1362" s="1" t="s">
        <v>2080</v>
      </c>
      <c r="I1362" s="2">
        <v>45302</v>
      </c>
      <c r="J1362">
        <v>170</v>
      </c>
      <c r="K1362">
        <v>12.3</v>
      </c>
      <c r="L1362" s="1" t="s">
        <v>20</v>
      </c>
      <c r="M1362" s="1" t="s">
        <v>102</v>
      </c>
    </row>
    <row r="1363" spans="1:13" x14ac:dyDescent="0.25">
      <c r="A1363" s="1" t="s">
        <v>2402</v>
      </c>
      <c r="B1363" s="1" t="s">
        <v>80</v>
      </c>
      <c r="C1363" s="1" t="s">
        <v>587</v>
      </c>
      <c r="D1363" s="1" t="s">
        <v>25</v>
      </c>
      <c r="E1363" s="1" t="s">
        <v>61</v>
      </c>
      <c r="F1363" s="1" t="s">
        <v>129</v>
      </c>
      <c r="G1363">
        <v>84270</v>
      </c>
      <c r="H1363" s="1" t="s">
        <v>1062</v>
      </c>
      <c r="I1363" s="2"/>
      <c r="L1363" s="1" t="s">
        <v>96</v>
      </c>
      <c r="M1363" s="1" t="s">
        <v>21</v>
      </c>
    </row>
    <row r="1364" spans="1:13" x14ac:dyDescent="0.25">
      <c r="A1364" s="1" t="s">
        <v>2403</v>
      </c>
      <c r="B1364" s="1" t="s">
        <v>88</v>
      </c>
      <c r="C1364" s="1" t="s">
        <v>1185</v>
      </c>
      <c r="D1364" s="1" t="s">
        <v>16</v>
      </c>
      <c r="E1364" s="1" t="s">
        <v>72</v>
      </c>
      <c r="F1364" s="1" t="s">
        <v>33</v>
      </c>
      <c r="G1364">
        <v>276454</v>
      </c>
      <c r="H1364" s="1" t="s">
        <v>776</v>
      </c>
      <c r="I1364" s="2"/>
      <c r="K1364">
        <v>3.2</v>
      </c>
      <c r="L1364" s="1" t="s">
        <v>29</v>
      </c>
      <c r="M1364" s="1" t="s">
        <v>102</v>
      </c>
    </row>
    <row r="1365" spans="1:13" x14ac:dyDescent="0.25">
      <c r="A1365" s="1" t="s">
        <v>2404</v>
      </c>
      <c r="B1365" s="1" t="s">
        <v>37</v>
      </c>
      <c r="C1365" s="1" t="s">
        <v>321</v>
      </c>
      <c r="D1365" s="1" t="s">
        <v>90</v>
      </c>
      <c r="E1365" s="1" t="s">
        <v>77</v>
      </c>
      <c r="F1365" s="1" t="s">
        <v>40</v>
      </c>
      <c r="G1365">
        <v>147126</v>
      </c>
      <c r="H1365" s="1" t="s">
        <v>296</v>
      </c>
      <c r="I1365" s="2">
        <v>45563</v>
      </c>
      <c r="J1365">
        <v>18</v>
      </c>
      <c r="K1365">
        <v>21.6</v>
      </c>
      <c r="L1365" s="1" t="s">
        <v>20</v>
      </c>
      <c r="M1365" s="1" t="s">
        <v>149</v>
      </c>
    </row>
    <row r="1366" spans="1:13" x14ac:dyDescent="0.25">
      <c r="A1366" s="1" t="s">
        <v>2405</v>
      </c>
      <c r="B1366" s="1" t="s">
        <v>37</v>
      </c>
      <c r="C1366" s="1" t="s">
        <v>1172</v>
      </c>
      <c r="D1366" s="1" t="s">
        <v>67</v>
      </c>
      <c r="E1366" s="1" t="s">
        <v>61</v>
      </c>
      <c r="F1366" s="1" t="s">
        <v>33</v>
      </c>
      <c r="G1366">
        <v>443981</v>
      </c>
      <c r="H1366" s="1" t="s">
        <v>2406</v>
      </c>
      <c r="I1366" s="2"/>
      <c r="K1366">
        <v>12.2</v>
      </c>
      <c r="L1366" s="1" t="s">
        <v>96</v>
      </c>
      <c r="M1366" s="1" t="s">
        <v>21</v>
      </c>
    </row>
    <row r="1367" spans="1:13" x14ac:dyDescent="0.25">
      <c r="A1367" s="1" t="s">
        <v>2407</v>
      </c>
      <c r="B1367" s="1" t="s">
        <v>59</v>
      </c>
      <c r="C1367" s="1" t="s">
        <v>790</v>
      </c>
      <c r="D1367" s="1" t="s">
        <v>16</v>
      </c>
      <c r="E1367" s="1" t="s">
        <v>72</v>
      </c>
      <c r="F1367" s="1" t="s">
        <v>40</v>
      </c>
      <c r="G1367">
        <v>451997</v>
      </c>
      <c r="H1367" s="1" t="s">
        <v>2408</v>
      </c>
      <c r="I1367" s="2">
        <v>45328</v>
      </c>
      <c r="J1367">
        <v>141</v>
      </c>
      <c r="K1367">
        <v>22.5</v>
      </c>
      <c r="L1367" s="1" t="s">
        <v>96</v>
      </c>
      <c r="M1367" s="1" t="s">
        <v>102</v>
      </c>
    </row>
    <row r="1368" spans="1:13" x14ac:dyDescent="0.25">
      <c r="A1368" s="1" t="s">
        <v>2409</v>
      </c>
      <c r="B1368" s="1" t="s">
        <v>127</v>
      </c>
      <c r="C1368" s="1" t="s">
        <v>640</v>
      </c>
      <c r="D1368" s="1" t="s">
        <v>90</v>
      </c>
      <c r="E1368" s="1" t="s">
        <v>47</v>
      </c>
      <c r="F1368" s="1" t="s">
        <v>40</v>
      </c>
      <c r="G1368">
        <v>300862</v>
      </c>
      <c r="H1368" s="1" t="s">
        <v>2410</v>
      </c>
      <c r="I1368" s="2">
        <v>45767</v>
      </c>
      <c r="J1368">
        <v>41</v>
      </c>
      <c r="K1368">
        <v>18.899999999999999</v>
      </c>
      <c r="L1368" s="1" t="s">
        <v>29</v>
      </c>
      <c r="M1368" s="1" t="s">
        <v>63</v>
      </c>
    </row>
    <row r="1369" spans="1:13" x14ac:dyDescent="0.25">
      <c r="A1369" s="1" t="s">
        <v>2411</v>
      </c>
      <c r="B1369" s="1" t="s">
        <v>65</v>
      </c>
      <c r="C1369" s="1" t="s">
        <v>1866</v>
      </c>
      <c r="D1369" s="1" t="s">
        <v>90</v>
      </c>
      <c r="E1369" s="1" t="s">
        <v>17</v>
      </c>
      <c r="F1369" s="1" t="s">
        <v>27</v>
      </c>
      <c r="G1369">
        <v>36715</v>
      </c>
      <c r="H1369" s="1" t="s">
        <v>1024</v>
      </c>
      <c r="I1369" s="2"/>
      <c r="K1369">
        <v>4.5999999999999996</v>
      </c>
      <c r="L1369" s="1" t="s">
        <v>29</v>
      </c>
      <c r="M1369" s="1" t="s">
        <v>107</v>
      </c>
    </row>
    <row r="1370" spans="1:13" x14ac:dyDescent="0.25">
      <c r="A1370" s="1" t="s">
        <v>2412</v>
      </c>
      <c r="B1370" s="1" t="s">
        <v>104</v>
      </c>
      <c r="C1370" s="1" t="s">
        <v>852</v>
      </c>
      <c r="D1370" s="1" t="s">
        <v>67</v>
      </c>
      <c r="E1370" s="1" t="s">
        <v>26</v>
      </c>
      <c r="F1370" s="1" t="s">
        <v>18</v>
      </c>
      <c r="G1370">
        <v>173900</v>
      </c>
      <c r="H1370" s="1" t="s">
        <v>452</v>
      </c>
      <c r="I1370" s="2">
        <v>45523</v>
      </c>
      <c r="J1370">
        <v>92</v>
      </c>
      <c r="K1370">
        <v>1.7</v>
      </c>
      <c r="L1370" s="1" t="s">
        <v>96</v>
      </c>
      <c r="M1370" s="1" t="s">
        <v>107</v>
      </c>
    </row>
    <row r="1371" spans="1:13" x14ac:dyDescent="0.25">
      <c r="A1371" s="1" t="s">
        <v>2413</v>
      </c>
      <c r="B1371" s="1" t="s">
        <v>98</v>
      </c>
      <c r="C1371" s="1" t="s">
        <v>474</v>
      </c>
      <c r="D1371" s="1" t="s">
        <v>25</v>
      </c>
      <c r="E1371" s="1" t="s">
        <v>26</v>
      </c>
      <c r="F1371" s="1" t="s">
        <v>18</v>
      </c>
      <c r="G1371">
        <v>318084</v>
      </c>
      <c r="H1371" s="1" t="s">
        <v>1344</v>
      </c>
      <c r="I1371" s="2">
        <v>45193</v>
      </c>
      <c r="J1371">
        <v>62</v>
      </c>
      <c r="K1371">
        <v>0.5</v>
      </c>
      <c r="L1371" s="1" t="s">
        <v>49</v>
      </c>
      <c r="M1371" s="1" t="s">
        <v>102</v>
      </c>
    </row>
    <row r="1372" spans="1:13" x14ac:dyDescent="0.25">
      <c r="A1372" s="1" t="s">
        <v>2414</v>
      </c>
      <c r="B1372" s="1" t="s">
        <v>84</v>
      </c>
      <c r="C1372" s="1" t="s">
        <v>343</v>
      </c>
      <c r="D1372" s="1" t="s">
        <v>67</v>
      </c>
      <c r="E1372" s="1" t="s">
        <v>17</v>
      </c>
      <c r="F1372" s="1" t="s">
        <v>40</v>
      </c>
      <c r="G1372">
        <v>373092</v>
      </c>
      <c r="H1372" s="1" t="s">
        <v>1849</v>
      </c>
      <c r="I1372" s="2">
        <v>45309</v>
      </c>
      <c r="J1372">
        <v>78</v>
      </c>
      <c r="K1372">
        <v>14.9</v>
      </c>
      <c r="L1372" s="1" t="s">
        <v>49</v>
      </c>
      <c r="M1372" s="1" t="s">
        <v>21</v>
      </c>
    </row>
    <row r="1373" spans="1:13" x14ac:dyDescent="0.25">
      <c r="A1373" s="1" t="s">
        <v>2415</v>
      </c>
      <c r="B1373" s="1" t="s">
        <v>59</v>
      </c>
      <c r="C1373" s="1" t="s">
        <v>255</v>
      </c>
      <c r="D1373" s="1" t="s">
        <v>90</v>
      </c>
      <c r="E1373" s="1" t="s">
        <v>61</v>
      </c>
      <c r="F1373" s="1" t="s">
        <v>33</v>
      </c>
      <c r="G1373">
        <v>497513</v>
      </c>
      <c r="H1373" s="1" t="s">
        <v>1818</v>
      </c>
      <c r="I1373" s="2"/>
      <c r="L1373" s="1" t="s">
        <v>20</v>
      </c>
      <c r="M1373" s="1" t="s">
        <v>30</v>
      </c>
    </row>
    <row r="1374" spans="1:13" x14ac:dyDescent="0.25">
      <c r="A1374" s="1" t="s">
        <v>2416</v>
      </c>
      <c r="B1374" s="1" t="s">
        <v>84</v>
      </c>
      <c r="C1374" s="1" t="s">
        <v>1334</v>
      </c>
      <c r="D1374" s="1" t="s">
        <v>25</v>
      </c>
      <c r="E1374" s="1" t="s">
        <v>72</v>
      </c>
      <c r="F1374" s="1" t="s">
        <v>33</v>
      </c>
      <c r="G1374">
        <v>154714</v>
      </c>
      <c r="H1374" s="1" t="s">
        <v>827</v>
      </c>
      <c r="I1374" s="2"/>
      <c r="K1374">
        <v>1.7</v>
      </c>
      <c r="L1374" s="1" t="s">
        <v>20</v>
      </c>
      <c r="M1374" s="1" t="s">
        <v>21</v>
      </c>
    </row>
    <row r="1375" spans="1:13" x14ac:dyDescent="0.25">
      <c r="A1375" s="1" t="s">
        <v>2417</v>
      </c>
      <c r="B1375" s="1" t="s">
        <v>88</v>
      </c>
      <c r="C1375" s="1" t="s">
        <v>1776</v>
      </c>
      <c r="D1375" s="1" t="s">
        <v>90</v>
      </c>
      <c r="E1375" s="1" t="s">
        <v>94</v>
      </c>
      <c r="F1375" s="1" t="s">
        <v>33</v>
      </c>
      <c r="G1375">
        <v>317914</v>
      </c>
      <c r="H1375" s="1" t="s">
        <v>2048</v>
      </c>
      <c r="I1375" s="2"/>
      <c r="K1375">
        <v>6.4</v>
      </c>
      <c r="L1375" s="1" t="s">
        <v>96</v>
      </c>
      <c r="M1375" s="1" t="s">
        <v>21</v>
      </c>
    </row>
    <row r="1376" spans="1:13" x14ac:dyDescent="0.25">
      <c r="A1376" s="1" t="s">
        <v>2418</v>
      </c>
      <c r="B1376" s="1" t="s">
        <v>59</v>
      </c>
      <c r="C1376" s="1" t="s">
        <v>1153</v>
      </c>
      <c r="D1376" s="1" t="s">
        <v>67</v>
      </c>
      <c r="E1376" s="1" t="s">
        <v>100</v>
      </c>
      <c r="F1376" s="1" t="s">
        <v>40</v>
      </c>
      <c r="G1376">
        <v>48358</v>
      </c>
      <c r="H1376" s="1" t="s">
        <v>2419</v>
      </c>
      <c r="I1376" s="2">
        <v>45284</v>
      </c>
      <c r="J1376">
        <v>28</v>
      </c>
      <c r="K1376">
        <v>19.3</v>
      </c>
      <c r="L1376" s="1" t="s">
        <v>29</v>
      </c>
      <c r="M1376" s="1" t="s">
        <v>21</v>
      </c>
    </row>
    <row r="1377" spans="1:13" x14ac:dyDescent="0.25">
      <c r="A1377" s="1" t="s">
        <v>2420</v>
      </c>
      <c r="B1377" s="1" t="s">
        <v>44</v>
      </c>
      <c r="C1377" s="1" t="s">
        <v>505</v>
      </c>
      <c r="D1377" s="1" t="s">
        <v>90</v>
      </c>
      <c r="E1377" s="1" t="s">
        <v>17</v>
      </c>
      <c r="F1377" s="1" t="s">
        <v>40</v>
      </c>
      <c r="G1377">
        <v>239493</v>
      </c>
      <c r="H1377" s="1" t="s">
        <v>833</v>
      </c>
      <c r="I1377" s="2">
        <v>45268</v>
      </c>
      <c r="J1377">
        <v>56</v>
      </c>
      <c r="K1377">
        <v>0.5</v>
      </c>
      <c r="L1377" s="1" t="s">
        <v>96</v>
      </c>
      <c r="M1377" s="1" t="s">
        <v>21</v>
      </c>
    </row>
    <row r="1378" spans="1:13" x14ac:dyDescent="0.25">
      <c r="A1378" s="1" t="s">
        <v>2421</v>
      </c>
      <c r="B1378" s="1" t="s">
        <v>98</v>
      </c>
      <c r="C1378" s="1" t="s">
        <v>539</v>
      </c>
      <c r="D1378" s="1" t="s">
        <v>67</v>
      </c>
      <c r="E1378" s="1" t="s">
        <v>26</v>
      </c>
      <c r="F1378" s="1" t="s">
        <v>53</v>
      </c>
      <c r="G1378">
        <v>322347</v>
      </c>
      <c r="H1378" s="1" t="s">
        <v>1446</v>
      </c>
      <c r="I1378" s="2"/>
      <c r="K1378">
        <v>6.8</v>
      </c>
      <c r="L1378" s="1" t="s">
        <v>49</v>
      </c>
      <c r="M1378" s="1" t="s">
        <v>149</v>
      </c>
    </row>
    <row r="1379" spans="1:13" x14ac:dyDescent="0.25">
      <c r="A1379" s="1" t="s">
        <v>2422</v>
      </c>
      <c r="B1379" s="1" t="s">
        <v>104</v>
      </c>
      <c r="C1379" s="1" t="s">
        <v>1691</v>
      </c>
      <c r="D1379" s="1" t="s">
        <v>46</v>
      </c>
      <c r="E1379" s="1" t="s">
        <v>26</v>
      </c>
      <c r="F1379" s="1" t="s">
        <v>129</v>
      </c>
      <c r="G1379">
        <v>469904</v>
      </c>
      <c r="H1379" s="1" t="s">
        <v>585</v>
      </c>
      <c r="I1379" s="2"/>
      <c r="K1379">
        <v>4.5999999999999996</v>
      </c>
      <c r="L1379" s="1" t="s">
        <v>29</v>
      </c>
      <c r="M1379" s="1" t="s">
        <v>102</v>
      </c>
    </row>
    <row r="1380" spans="1:13" x14ac:dyDescent="0.25">
      <c r="A1380" s="1" t="s">
        <v>2423</v>
      </c>
      <c r="B1380" s="1" t="s">
        <v>37</v>
      </c>
      <c r="C1380" s="1" t="s">
        <v>52</v>
      </c>
      <c r="D1380" s="1" t="s">
        <v>67</v>
      </c>
      <c r="E1380" s="1" t="s">
        <v>72</v>
      </c>
      <c r="F1380" s="1" t="s">
        <v>18</v>
      </c>
      <c r="G1380">
        <v>384699</v>
      </c>
      <c r="H1380" s="1" t="s">
        <v>529</v>
      </c>
      <c r="I1380" s="2">
        <v>45844</v>
      </c>
      <c r="J1380">
        <v>128</v>
      </c>
      <c r="L1380" s="1" t="s">
        <v>96</v>
      </c>
      <c r="M1380" s="1" t="s">
        <v>63</v>
      </c>
    </row>
    <row r="1381" spans="1:13" x14ac:dyDescent="0.25">
      <c r="A1381" s="1" t="s">
        <v>2424</v>
      </c>
      <c r="B1381" s="1" t="s">
        <v>98</v>
      </c>
      <c r="C1381" s="1" t="s">
        <v>654</v>
      </c>
      <c r="D1381" s="1" t="s">
        <v>16</v>
      </c>
      <c r="E1381" s="1" t="s">
        <v>100</v>
      </c>
      <c r="F1381" s="1" t="s">
        <v>53</v>
      </c>
      <c r="G1381">
        <v>317920</v>
      </c>
      <c r="H1381" s="1" t="s">
        <v>1186</v>
      </c>
      <c r="I1381" s="2"/>
      <c r="K1381">
        <v>3.1</v>
      </c>
      <c r="L1381" s="1" t="s">
        <v>29</v>
      </c>
      <c r="M1381" s="1" t="s">
        <v>35</v>
      </c>
    </row>
    <row r="1382" spans="1:13" x14ac:dyDescent="0.25">
      <c r="A1382" s="1" t="s">
        <v>2425</v>
      </c>
      <c r="B1382" s="1" t="s">
        <v>104</v>
      </c>
      <c r="C1382" s="1" t="s">
        <v>160</v>
      </c>
      <c r="D1382" s="1" t="s">
        <v>16</v>
      </c>
      <c r="E1382" s="1" t="s">
        <v>47</v>
      </c>
      <c r="F1382" s="1" t="s">
        <v>18</v>
      </c>
      <c r="G1382">
        <v>26240</v>
      </c>
      <c r="H1382" s="1" t="s">
        <v>2426</v>
      </c>
      <c r="I1382" s="2">
        <v>45865</v>
      </c>
      <c r="J1382">
        <v>161</v>
      </c>
      <c r="L1382" s="1" t="s">
        <v>20</v>
      </c>
      <c r="M1382" s="1" t="s">
        <v>63</v>
      </c>
    </row>
    <row r="1383" spans="1:13" x14ac:dyDescent="0.25">
      <c r="A1383" s="1" t="s">
        <v>2427</v>
      </c>
      <c r="B1383" s="1" t="s">
        <v>84</v>
      </c>
      <c r="C1383" s="1" t="s">
        <v>198</v>
      </c>
      <c r="D1383" s="1" t="s">
        <v>67</v>
      </c>
      <c r="E1383" s="1" t="s">
        <v>26</v>
      </c>
      <c r="F1383" s="1" t="s">
        <v>40</v>
      </c>
      <c r="G1383">
        <v>441817</v>
      </c>
      <c r="H1383" s="1" t="s">
        <v>2428</v>
      </c>
      <c r="I1383" s="2">
        <v>45311</v>
      </c>
      <c r="J1383">
        <v>157</v>
      </c>
      <c r="K1383">
        <v>15.8</v>
      </c>
      <c r="L1383" s="1" t="s">
        <v>29</v>
      </c>
      <c r="M1383" s="1" t="s">
        <v>102</v>
      </c>
    </row>
    <row r="1384" spans="1:13" x14ac:dyDescent="0.25">
      <c r="A1384" s="1" t="s">
        <v>2298</v>
      </c>
      <c r="B1384" s="1" t="s">
        <v>75</v>
      </c>
      <c r="C1384" s="1" t="s">
        <v>676</v>
      </c>
      <c r="D1384" s="1" t="s">
        <v>67</v>
      </c>
      <c r="E1384" s="1" t="s">
        <v>26</v>
      </c>
      <c r="F1384" s="1" t="s">
        <v>40</v>
      </c>
      <c r="G1384">
        <v>18488</v>
      </c>
      <c r="H1384" s="1" t="s">
        <v>783</v>
      </c>
      <c r="I1384" s="2">
        <v>45384</v>
      </c>
      <c r="J1384">
        <v>143</v>
      </c>
      <c r="K1384">
        <v>3.1</v>
      </c>
      <c r="L1384" s="1" t="s">
        <v>20</v>
      </c>
      <c r="M1384" s="1" t="s">
        <v>21</v>
      </c>
    </row>
    <row r="1385" spans="1:13" x14ac:dyDescent="0.25">
      <c r="A1385" s="1" t="s">
        <v>2429</v>
      </c>
      <c r="B1385" s="1" t="s">
        <v>80</v>
      </c>
      <c r="C1385" s="1" t="s">
        <v>183</v>
      </c>
      <c r="D1385" s="1" t="s">
        <v>39</v>
      </c>
      <c r="E1385" s="1" t="s">
        <v>47</v>
      </c>
      <c r="F1385" s="1" t="s">
        <v>40</v>
      </c>
      <c r="G1385">
        <v>410372</v>
      </c>
      <c r="H1385" s="1" t="s">
        <v>2262</v>
      </c>
      <c r="I1385" s="2">
        <v>45604</v>
      </c>
      <c r="J1385">
        <v>114</v>
      </c>
      <c r="K1385">
        <v>10.1</v>
      </c>
      <c r="L1385" s="1" t="s">
        <v>29</v>
      </c>
      <c r="M1385" s="1" t="s">
        <v>149</v>
      </c>
    </row>
    <row r="1386" spans="1:13" x14ac:dyDescent="0.25">
      <c r="A1386" s="1" t="s">
        <v>2430</v>
      </c>
      <c r="B1386" s="1" t="s">
        <v>80</v>
      </c>
      <c r="C1386" s="1" t="s">
        <v>967</v>
      </c>
      <c r="D1386" s="1" t="s">
        <v>16</v>
      </c>
      <c r="E1386" s="1" t="s">
        <v>17</v>
      </c>
      <c r="F1386" s="1" t="s">
        <v>18</v>
      </c>
      <c r="G1386">
        <v>416716</v>
      </c>
      <c r="H1386" s="1" t="s">
        <v>1809</v>
      </c>
      <c r="I1386" s="2">
        <v>45415</v>
      </c>
      <c r="J1386">
        <v>39</v>
      </c>
      <c r="L1386" s="1" t="s">
        <v>96</v>
      </c>
      <c r="M1386" s="1" t="s">
        <v>69</v>
      </c>
    </row>
    <row r="1387" spans="1:13" x14ac:dyDescent="0.25">
      <c r="A1387" s="1" t="s">
        <v>2431</v>
      </c>
      <c r="B1387" s="1" t="s">
        <v>80</v>
      </c>
      <c r="C1387" s="1" t="s">
        <v>637</v>
      </c>
      <c r="D1387" s="1" t="s">
        <v>16</v>
      </c>
      <c r="E1387" s="1" t="s">
        <v>47</v>
      </c>
      <c r="F1387" s="1" t="s">
        <v>33</v>
      </c>
      <c r="G1387">
        <v>327992</v>
      </c>
      <c r="H1387" s="1" t="s">
        <v>2432</v>
      </c>
      <c r="I1387" s="2"/>
      <c r="K1387">
        <v>3.8</v>
      </c>
      <c r="L1387" s="1" t="s">
        <v>49</v>
      </c>
      <c r="M1387" s="1" t="s">
        <v>102</v>
      </c>
    </row>
    <row r="1388" spans="1:13" x14ac:dyDescent="0.25">
      <c r="A1388" s="1" t="s">
        <v>2433</v>
      </c>
      <c r="B1388" s="1" t="s">
        <v>37</v>
      </c>
      <c r="C1388" s="1" t="s">
        <v>138</v>
      </c>
      <c r="D1388" s="1" t="s">
        <v>67</v>
      </c>
      <c r="E1388" s="1" t="s">
        <v>100</v>
      </c>
      <c r="F1388" s="1" t="s">
        <v>33</v>
      </c>
      <c r="G1388">
        <v>397587</v>
      </c>
      <c r="H1388" s="1" t="s">
        <v>181</v>
      </c>
      <c r="I1388" s="2"/>
      <c r="L1388" s="1" t="s">
        <v>20</v>
      </c>
      <c r="M1388" s="1" t="s">
        <v>107</v>
      </c>
    </row>
    <row r="1389" spans="1:13" x14ac:dyDescent="0.25">
      <c r="A1389" s="1" t="s">
        <v>2434</v>
      </c>
      <c r="B1389" s="1" t="s">
        <v>88</v>
      </c>
      <c r="C1389" s="1" t="s">
        <v>192</v>
      </c>
      <c r="D1389" s="1" t="s">
        <v>46</v>
      </c>
      <c r="E1389" s="1" t="s">
        <v>61</v>
      </c>
      <c r="F1389" s="1" t="s">
        <v>18</v>
      </c>
      <c r="G1389">
        <v>410708</v>
      </c>
      <c r="H1389" s="1" t="s">
        <v>1512</v>
      </c>
      <c r="I1389" s="2">
        <v>45390</v>
      </c>
      <c r="J1389">
        <v>62</v>
      </c>
      <c r="L1389" s="1" t="s">
        <v>96</v>
      </c>
      <c r="M1389" s="1" t="s">
        <v>69</v>
      </c>
    </row>
    <row r="1390" spans="1:13" x14ac:dyDescent="0.25">
      <c r="A1390" s="1" t="s">
        <v>2435</v>
      </c>
      <c r="B1390" s="1" t="s">
        <v>104</v>
      </c>
      <c r="C1390" s="1" t="s">
        <v>247</v>
      </c>
      <c r="D1390" s="1" t="s">
        <v>46</v>
      </c>
      <c r="E1390" s="1" t="s">
        <v>94</v>
      </c>
      <c r="F1390" s="1" t="s">
        <v>40</v>
      </c>
      <c r="G1390">
        <v>239695</v>
      </c>
      <c r="H1390" s="1" t="s">
        <v>2436</v>
      </c>
      <c r="I1390" s="2">
        <v>45546</v>
      </c>
      <c r="J1390">
        <v>167</v>
      </c>
      <c r="K1390">
        <v>16.600000000000001</v>
      </c>
      <c r="L1390" s="1" t="s">
        <v>29</v>
      </c>
      <c r="M1390" s="1" t="s">
        <v>69</v>
      </c>
    </row>
    <row r="1391" spans="1:13" x14ac:dyDescent="0.25">
      <c r="A1391" s="1" t="s">
        <v>2437</v>
      </c>
      <c r="B1391" s="1" t="s">
        <v>104</v>
      </c>
      <c r="C1391" s="1" t="s">
        <v>1457</v>
      </c>
      <c r="D1391" s="1" t="s">
        <v>67</v>
      </c>
      <c r="E1391" s="1" t="s">
        <v>94</v>
      </c>
      <c r="F1391" s="1" t="s">
        <v>40</v>
      </c>
      <c r="G1391">
        <v>238985</v>
      </c>
      <c r="H1391" s="1" t="s">
        <v>2438</v>
      </c>
      <c r="I1391" s="2">
        <v>45205</v>
      </c>
      <c r="J1391">
        <v>124</v>
      </c>
      <c r="K1391">
        <v>2.2999999999999998</v>
      </c>
      <c r="L1391" s="1" t="s">
        <v>20</v>
      </c>
      <c r="M1391" s="1" t="s">
        <v>30</v>
      </c>
    </row>
    <row r="1392" spans="1:13" x14ac:dyDescent="0.25">
      <c r="A1392" s="1" t="s">
        <v>2439</v>
      </c>
      <c r="B1392" s="1" t="s">
        <v>37</v>
      </c>
      <c r="C1392" s="1" t="s">
        <v>393</v>
      </c>
      <c r="D1392" s="1" t="s">
        <v>67</v>
      </c>
      <c r="E1392" s="1" t="s">
        <v>47</v>
      </c>
      <c r="F1392" s="1" t="s">
        <v>53</v>
      </c>
      <c r="G1392">
        <v>372810</v>
      </c>
      <c r="H1392" s="1" t="s">
        <v>1085</v>
      </c>
      <c r="I1392" s="2"/>
      <c r="K1392">
        <v>4.7</v>
      </c>
      <c r="L1392" s="1" t="s">
        <v>96</v>
      </c>
      <c r="M1392" s="1" t="s">
        <v>63</v>
      </c>
    </row>
    <row r="1393" spans="1:13" x14ac:dyDescent="0.25">
      <c r="A1393" s="1" t="s">
        <v>2440</v>
      </c>
      <c r="B1393" s="1" t="s">
        <v>80</v>
      </c>
      <c r="C1393" s="1" t="s">
        <v>1018</v>
      </c>
      <c r="D1393" s="1" t="s">
        <v>25</v>
      </c>
      <c r="E1393" s="1" t="s">
        <v>47</v>
      </c>
      <c r="F1393" s="1" t="s">
        <v>40</v>
      </c>
      <c r="G1393">
        <v>408283</v>
      </c>
      <c r="H1393" s="1" t="s">
        <v>2059</v>
      </c>
      <c r="I1393" s="2">
        <v>45076</v>
      </c>
      <c r="J1393">
        <v>21</v>
      </c>
      <c r="K1393">
        <v>4</v>
      </c>
      <c r="L1393" s="1" t="s">
        <v>96</v>
      </c>
      <c r="M1393" s="1" t="s">
        <v>30</v>
      </c>
    </row>
    <row r="1394" spans="1:13" x14ac:dyDescent="0.25">
      <c r="A1394" s="1" t="s">
        <v>2441</v>
      </c>
      <c r="B1394" s="1" t="s">
        <v>23</v>
      </c>
      <c r="C1394" s="1" t="s">
        <v>862</v>
      </c>
      <c r="D1394" s="1" t="s">
        <v>25</v>
      </c>
      <c r="E1394" s="1" t="s">
        <v>26</v>
      </c>
      <c r="F1394" s="1" t="s">
        <v>40</v>
      </c>
      <c r="G1394">
        <v>144586</v>
      </c>
      <c r="H1394" s="1" t="s">
        <v>727</v>
      </c>
      <c r="I1394" s="2">
        <v>45496</v>
      </c>
      <c r="J1394">
        <v>91</v>
      </c>
      <c r="K1394">
        <v>15.3</v>
      </c>
      <c r="L1394" s="1" t="s">
        <v>20</v>
      </c>
      <c r="M1394" s="1" t="s">
        <v>107</v>
      </c>
    </row>
    <row r="1395" spans="1:13" x14ac:dyDescent="0.25">
      <c r="A1395" s="1" t="s">
        <v>2442</v>
      </c>
      <c r="B1395" s="1" t="s">
        <v>104</v>
      </c>
      <c r="C1395" s="1" t="s">
        <v>552</v>
      </c>
      <c r="D1395" s="1" t="s">
        <v>16</v>
      </c>
      <c r="E1395" s="1" t="s">
        <v>72</v>
      </c>
      <c r="F1395" s="1" t="s">
        <v>33</v>
      </c>
      <c r="G1395">
        <v>137156</v>
      </c>
      <c r="H1395" s="1" t="s">
        <v>1407</v>
      </c>
      <c r="I1395" s="2"/>
      <c r="K1395">
        <v>7.8</v>
      </c>
      <c r="L1395" s="1" t="s">
        <v>29</v>
      </c>
      <c r="M1395" s="1" t="s">
        <v>107</v>
      </c>
    </row>
    <row r="1396" spans="1:13" x14ac:dyDescent="0.25">
      <c r="A1396" s="1" t="s">
        <v>2443</v>
      </c>
      <c r="B1396" s="1" t="s">
        <v>44</v>
      </c>
      <c r="C1396" s="1" t="s">
        <v>587</v>
      </c>
      <c r="D1396" s="1" t="s">
        <v>46</v>
      </c>
      <c r="E1396" s="1" t="s">
        <v>61</v>
      </c>
      <c r="F1396" s="1" t="s">
        <v>53</v>
      </c>
      <c r="G1396">
        <v>304833</v>
      </c>
      <c r="H1396" s="1" t="s">
        <v>514</v>
      </c>
      <c r="I1396" s="2"/>
      <c r="L1396" s="1" t="s">
        <v>29</v>
      </c>
      <c r="M1396" s="1" t="s">
        <v>63</v>
      </c>
    </row>
    <row r="1397" spans="1:13" x14ac:dyDescent="0.25">
      <c r="A1397" s="1" t="s">
        <v>2444</v>
      </c>
      <c r="B1397" s="1" t="s">
        <v>109</v>
      </c>
      <c r="C1397" s="1" t="s">
        <v>325</v>
      </c>
      <c r="D1397" s="1" t="s">
        <v>25</v>
      </c>
      <c r="E1397" s="1" t="s">
        <v>61</v>
      </c>
      <c r="F1397" s="1" t="s">
        <v>40</v>
      </c>
      <c r="G1397">
        <v>134691</v>
      </c>
      <c r="H1397" s="1" t="s">
        <v>1101</v>
      </c>
      <c r="I1397" s="2">
        <v>45274</v>
      </c>
      <c r="J1397">
        <v>17</v>
      </c>
      <c r="K1397">
        <v>12.1</v>
      </c>
      <c r="L1397" s="1" t="s">
        <v>49</v>
      </c>
      <c r="M1397" s="1" t="s">
        <v>21</v>
      </c>
    </row>
    <row r="1398" spans="1:13" x14ac:dyDescent="0.25">
      <c r="A1398" s="1" t="s">
        <v>2445</v>
      </c>
      <c r="B1398" s="1" t="s">
        <v>127</v>
      </c>
      <c r="C1398" s="1" t="s">
        <v>331</v>
      </c>
      <c r="D1398" s="1" t="s">
        <v>25</v>
      </c>
      <c r="E1398" s="1" t="s">
        <v>72</v>
      </c>
      <c r="F1398" s="1" t="s">
        <v>18</v>
      </c>
      <c r="G1398">
        <v>310942</v>
      </c>
      <c r="H1398" s="1" t="s">
        <v>424</v>
      </c>
      <c r="I1398" s="2">
        <v>45600</v>
      </c>
      <c r="J1398">
        <v>98</v>
      </c>
      <c r="K1398">
        <v>3.4</v>
      </c>
      <c r="L1398" s="1" t="s">
        <v>20</v>
      </c>
      <c r="M1398" s="1" t="s">
        <v>149</v>
      </c>
    </row>
    <row r="1399" spans="1:13" x14ac:dyDescent="0.25">
      <c r="A1399" s="1" t="s">
        <v>2446</v>
      </c>
      <c r="B1399" s="1" t="s">
        <v>44</v>
      </c>
      <c r="C1399" s="1" t="s">
        <v>1070</v>
      </c>
      <c r="D1399" s="1" t="s">
        <v>39</v>
      </c>
      <c r="E1399" s="1" t="s">
        <v>100</v>
      </c>
      <c r="F1399" s="1" t="s">
        <v>40</v>
      </c>
      <c r="G1399">
        <v>26921</v>
      </c>
      <c r="H1399" s="1" t="s">
        <v>332</v>
      </c>
      <c r="I1399" s="2">
        <v>45260</v>
      </c>
      <c r="J1399">
        <v>66</v>
      </c>
      <c r="K1399">
        <v>19.100000000000001</v>
      </c>
      <c r="L1399" s="1" t="s">
        <v>29</v>
      </c>
      <c r="M1399" s="1" t="s">
        <v>102</v>
      </c>
    </row>
    <row r="1400" spans="1:13" x14ac:dyDescent="0.25">
      <c r="A1400" s="1" t="s">
        <v>2447</v>
      </c>
      <c r="B1400" s="1" t="s">
        <v>59</v>
      </c>
      <c r="C1400" s="1" t="s">
        <v>536</v>
      </c>
      <c r="D1400" s="1" t="s">
        <v>67</v>
      </c>
      <c r="E1400" s="1" t="s">
        <v>94</v>
      </c>
      <c r="F1400" s="1" t="s">
        <v>53</v>
      </c>
      <c r="G1400">
        <v>330018</v>
      </c>
      <c r="H1400" s="1" t="s">
        <v>169</v>
      </c>
      <c r="I1400" s="2"/>
      <c r="K1400">
        <v>8.5</v>
      </c>
      <c r="L1400" s="1" t="s">
        <v>96</v>
      </c>
      <c r="M1400" s="1" t="s">
        <v>30</v>
      </c>
    </row>
    <row r="1401" spans="1:13" x14ac:dyDescent="0.25">
      <c r="A1401" s="1" t="s">
        <v>2448</v>
      </c>
      <c r="B1401" s="1" t="s">
        <v>75</v>
      </c>
      <c r="C1401" s="1" t="s">
        <v>24</v>
      </c>
      <c r="D1401" s="1" t="s">
        <v>46</v>
      </c>
      <c r="E1401" s="1" t="s">
        <v>17</v>
      </c>
      <c r="F1401" s="1" t="s">
        <v>40</v>
      </c>
      <c r="G1401">
        <v>378366</v>
      </c>
      <c r="H1401" s="1" t="s">
        <v>1383</v>
      </c>
      <c r="I1401" s="2">
        <v>45199</v>
      </c>
      <c r="J1401">
        <v>140</v>
      </c>
      <c r="K1401">
        <v>16.100000000000001</v>
      </c>
      <c r="L1401" s="1" t="s">
        <v>20</v>
      </c>
      <c r="M1401" s="1" t="s">
        <v>30</v>
      </c>
    </row>
    <row r="1402" spans="1:13" x14ac:dyDescent="0.25">
      <c r="A1402" s="1" t="s">
        <v>2449</v>
      </c>
      <c r="B1402" s="1" t="s">
        <v>37</v>
      </c>
      <c r="C1402" s="1" t="s">
        <v>81</v>
      </c>
      <c r="D1402" s="1" t="s">
        <v>39</v>
      </c>
      <c r="E1402" s="1" t="s">
        <v>100</v>
      </c>
      <c r="F1402" s="1" t="s">
        <v>40</v>
      </c>
      <c r="G1402">
        <v>294146</v>
      </c>
      <c r="H1402" s="1" t="s">
        <v>1304</v>
      </c>
      <c r="I1402" s="2">
        <v>45143</v>
      </c>
      <c r="J1402">
        <v>21</v>
      </c>
      <c r="K1402">
        <v>7.4</v>
      </c>
      <c r="L1402" s="1" t="s">
        <v>29</v>
      </c>
      <c r="M1402" s="1" t="s">
        <v>102</v>
      </c>
    </row>
    <row r="1403" spans="1:13" x14ac:dyDescent="0.25">
      <c r="A1403" s="1" t="s">
        <v>2450</v>
      </c>
      <c r="B1403" s="1" t="s">
        <v>109</v>
      </c>
      <c r="C1403" s="1" t="s">
        <v>932</v>
      </c>
      <c r="D1403" s="1" t="s">
        <v>25</v>
      </c>
      <c r="E1403" s="1" t="s">
        <v>94</v>
      </c>
      <c r="F1403" s="1" t="s">
        <v>129</v>
      </c>
      <c r="G1403">
        <v>482598</v>
      </c>
      <c r="H1403" s="1" t="s">
        <v>2451</v>
      </c>
      <c r="I1403" s="2"/>
      <c r="K1403">
        <v>10.4</v>
      </c>
      <c r="L1403" s="1" t="s">
        <v>49</v>
      </c>
      <c r="M1403" s="1" t="s">
        <v>35</v>
      </c>
    </row>
    <row r="1404" spans="1:13" x14ac:dyDescent="0.25">
      <c r="A1404" s="1" t="s">
        <v>2452</v>
      </c>
      <c r="B1404" s="1" t="s">
        <v>44</v>
      </c>
      <c r="C1404" s="1" t="s">
        <v>852</v>
      </c>
      <c r="D1404" s="1" t="s">
        <v>16</v>
      </c>
      <c r="E1404" s="1" t="s">
        <v>17</v>
      </c>
      <c r="F1404" s="1" t="s">
        <v>40</v>
      </c>
      <c r="G1404">
        <v>77165</v>
      </c>
      <c r="H1404" s="1" t="s">
        <v>1062</v>
      </c>
      <c r="I1404" s="2">
        <v>45343</v>
      </c>
      <c r="J1404">
        <v>136</v>
      </c>
      <c r="K1404">
        <v>16.7</v>
      </c>
      <c r="L1404" s="1" t="s">
        <v>20</v>
      </c>
      <c r="M1404" s="1" t="s">
        <v>21</v>
      </c>
    </row>
    <row r="1405" spans="1:13" x14ac:dyDescent="0.25">
      <c r="A1405" s="1" t="s">
        <v>2453</v>
      </c>
      <c r="B1405" s="1" t="s">
        <v>37</v>
      </c>
      <c r="C1405" s="1" t="s">
        <v>372</v>
      </c>
      <c r="D1405" s="1" t="s">
        <v>25</v>
      </c>
      <c r="E1405" s="1" t="s">
        <v>94</v>
      </c>
      <c r="F1405" s="1" t="s">
        <v>40</v>
      </c>
      <c r="G1405">
        <v>21411</v>
      </c>
      <c r="H1405" s="1" t="s">
        <v>2454</v>
      </c>
      <c r="I1405" s="2">
        <v>45555</v>
      </c>
      <c r="J1405">
        <v>105</v>
      </c>
      <c r="K1405">
        <v>9.9</v>
      </c>
      <c r="L1405" s="1" t="s">
        <v>29</v>
      </c>
      <c r="M1405" s="1" t="s">
        <v>107</v>
      </c>
    </row>
    <row r="1406" spans="1:13" x14ac:dyDescent="0.25">
      <c r="A1406" s="1" t="s">
        <v>2455</v>
      </c>
      <c r="B1406" s="1" t="s">
        <v>127</v>
      </c>
      <c r="C1406" s="1" t="s">
        <v>264</v>
      </c>
      <c r="D1406" s="1" t="s">
        <v>46</v>
      </c>
      <c r="E1406" s="1" t="s">
        <v>26</v>
      </c>
      <c r="F1406" s="1" t="s">
        <v>27</v>
      </c>
      <c r="G1406">
        <v>115757</v>
      </c>
      <c r="H1406" s="1" t="s">
        <v>1640</v>
      </c>
      <c r="I1406" s="2"/>
      <c r="K1406">
        <v>13.1</v>
      </c>
      <c r="L1406" s="1" t="s">
        <v>29</v>
      </c>
      <c r="M1406" s="1" t="s">
        <v>149</v>
      </c>
    </row>
    <row r="1407" spans="1:13" x14ac:dyDescent="0.25">
      <c r="A1407" s="1" t="s">
        <v>2456</v>
      </c>
      <c r="B1407" s="1" t="s">
        <v>14</v>
      </c>
      <c r="C1407" s="1" t="s">
        <v>967</v>
      </c>
      <c r="D1407" s="1" t="s">
        <v>39</v>
      </c>
      <c r="E1407" s="1" t="s">
        <v>51</v>
      </c>
      <c r="F1407" s="1" t="s">
        <v>40</v>
      </c>
      <c r="G1407">
        <v>314855</v>
      </c>
      <c r="H1407" s="1" t="s">
        <v>567</v>
      </c>
      <c r="I1407" s="2">
        <v>45637</v>
      </c>
      <c r="J1407">
        <v>21</v>
      </c>
      <c r="K1407">
        <v>20.399999999999999</v>
      </c>
      <c r="L1407" s="1" t="s">
        <v>96</v>
      </c>
      <c r="M1407" s="1" t="s">
        <v>42</v>
      </c>
    </row>
    <row r="1408" spans="1:13" x14ac:dyDescent="0.25">
      <c r="A1408" s="1" t="s">
        <v>2457</v>
      </c>
      <c r="B1408" s="1" t="s">
        <v>127</v>
      </c>
      <c r="C1408" s="1" t="s">
        <v>486</v>
      </c>
      <c r="D1408" s="1" t="s">
        <v>25</v>
      </c>
      <c r="E1408" s="1" t="s">
        <v>72</v>
      </c>
      <c r="F1408" s="1" t="s">
        <v>33</v>
      </c>
      <c r="G1408">
        <v>148059</v>
      </c>
      <c r="H1408" s="1" t="s">
        <v>2458</v>
      </c>
      <c r="I1408" s="2"/>
      <c r="L1408" s="1" t="s">
        <v>20</v>
      </c>
      <c r="M1408" s="1" t="s">
        <v>42</v>
      </c>
    </row>
    <row r="1409" spans="1:13" x14ac:dyDescent="0.25">
      <c r="A1409" s="1" t="s">
        <v>2459</v>
      </c>
      <c r="B1409" s="1" t="s">
        <v>23</v>
      </c>
      <c r="C1409" s="1" t="s">
        <v>436</v>
      </c>
      <c r="D1409" s="1" t="s">
        <v>67</v>
      </c>
      <c r="E1409" s="1" t="s">
        <v>26</v>
      </c>
      <c r="F1409" s="1" t="s">
        <v>40</v>
      </c>
      <c r="G1409">
        <v>463717</v>
      </c>
      <c r="H1409" s="1" t="s">
        <v>467</v>
      </c>
      <c r="I1409" s="2">
        <v>45374</v>
      </c>
      <c r="J1409">
        <v>170</v>
      </c>
      <c r="K1409">
        <v>1.2</v>
      </c>
      <c r="L1409" s="1" t="s">
        <v>49</v>
      </c>
      <c r="M1409" s="1" t="s">
        <v>21</v>
      </c>
    </row>
    <row r="1410" spans="1:13" x14ac:dyDescent="0.25">
      <c r="A1410" s="1" t="s">
        <v>2460</v>
      </c>
      <c r="B1410" s="1" t="s">
        <v>98</v>
      </c>
      <c r="C1410" s="1" t="s">
        <v>287</v>
      </c>
      <c r="D1410" s="1" t="s">
        <v>25</v>
      </c>
      <c r="E1410" s="1" t="s">
        <v>61</v>
      </c>
      <c r="F1410" s="1" t="s">
        <v>18</v>
      </c>
      <c r="G1410">
        <v>289377</v>
      </c>
      <c r="H1410" s="1" t="s">
        <v>209</v>
      </c>
      <c r="I1410" s="2">
        <v>45304</v>
      </c>
      <c r="J1410">
        <v>113</v>
      </c>
      <c r="K1410">
        <v>1.9</v>
      </c>
      <c r="L1410" s="1" t="s">
        <v>29</v>
      </c>
      <c r="M1410" s="1" t="s">
        <v>102</v>
      </c>
    </row>
    <row r="1411" spans="1:13" x14ac:dyDescent="0.25">
      <c r="A1411" s="1" t="s">
        <v>2461</v>
      </c>
      <c r="B1411" s="1" t="s">
        <v>51</v>
      </c>
      <c r="C1411" s="1" t="s">
        <v>967</v>
      </c>
      <c r="D1411" s="1" t="s">
        <v>46</v>
      </c>
      <c r="E1411" s="1" t="s">
        <v>17</v>
      </c>
      <c r="F1411" s="1" t="s">
        <v>40</v>
      </c>
      <c r="G1411">
        <v>163687</v>
      </c>
      <c r="H1411" s="1" t="s">
        <v>2373</v>
      </c>
      <c r="I1411" s="2">
        <v>45123</v>
      </c>
      <c r="J1411">
        <v>62</v>
      </c>
      <c r="K1411">
        <v>2.2999999999999998</v>
      </c>
      <c r="L1411" s="1" t="s">
        <v>20</v>
      </c>
      <c r="M1411" s="1" t="s">
        <v>30</v>
      </c>
    </row>
    <row r="1412" spans="1:13" x14ac:dyDescent="0.25">
      <c r="A1412" s="1" t="s">
        <v>2462</v>
      </c>
      <c r="B1412" s="1" t="s">
        <v>37</v>
      </c>
      <c r="C1412" s="1" t="s">
        <v>2334</v>
      </c>
      <c r="D1412" s="1" t="s">
        <v>25</v>
      </c>
      <c r="E1412" s="1" t="s">
        <v>100</v>
      </c>
      <c r="F1412" s="1" t="s">
        <v>18</v>
      </c>
      <c r="G1412">
        <v>266624</v>
      </c>
      <c r="H1412" s="1" t="s">
        <v>2463</v>
      </c>
      <c r="I1412" s="2">
        <v>45823</v>
      </c>
      <c r="J1412">
        <v>147</v>
      </c>
      <c r="K1412">
        <v>12.9</v>
      </c>
      <c r="L1412" s="1" t="s">
        <v>29</v>
      </c>
      <c r="M1412" s="1" t="s">
        <v>63</v>
      </c>
    </row>
    <row r="1413" spans="1:13" x14ac:dyDescent="0.25">
      <c r="A1413" s="1" t="s">
        <v>2464</v>
      </c>
      <c r="B1413" s="1" t="s">
        <v>37</v>
      </c>
      <c r="C1413" s="1" t="s">
        <v>113</v>
      </c>
      <c r="D1413" s="1" t="s">
        <v>39</v>
      </c>
      <c r="E1413" s="1" t="s">
        <v>100</v>
      </c>
      <c r="F1413" s="1" t="s">
        <v>27</v>
      </c>
      <c r="G1413">
        <v>11889</v>
      </c>
      <c r="H1413" s="1" t="s">
        <v>2465</v>
      </c>
      <c r="I1413" s="2"/>
      <c r="K1413">
        <v>9.1</v>
      </c>
      <c r="L1413" s="1" t="s">
        <v>20</v>
      </c>
      <c r="M1413" s="1" t="s">
        <v>42</v>
      </c>
    </row>
    <row r="1414" spans="1:13" x14ac:dyDescent="0.25">
      <c r="A1414" s="1" t="s">
        <v>2466</v>
      </c>
      <c r="B1414" s="1" t="s">
        <v>84</v>
      </c>
      <c r="C1414" s="1" t="s">
        <v>52</v>
      </c>
      <c r="D1414" s="1" t="s">
        <v>25</v>
      </c>
      <c r="E1414" s="1" t="s">
        <v>72</v>
      </c>
      <c r="F1414" s="1" t="s">
        <v>18</v>
      </c>
      <c r="G1414">
        <v>127745</v>
      </c>
      <c r="H1414" s="1" t="s">
        <v>1137</v>
      </c>
      <c r="I1414" s="2">
        <v>45691</v>
      </c>
      <c r="J1414">
        <v>176</v>
      </c>
      <c r="K1414">
        <v>6.3</v>
      </c>
      <c r="L1414" s="1" t="s">
        <v>96</v>
      </c>
      <c r="M1414" s="1" t="s">
        <v>149</v>
      </c>
    </row>
    <row r="1415" spans="1:13" x14ac:dyDescent="0.25">
      <c r="A1415" s="1" t="s">
        <v>2467</v>
      </c>
      <c r="B1415" s="1" t="s">
        <v>98</v>
      </c>
      <c r="C1415" s="1" t="s">
        <v>71</v>
      </c>
      <c r="D1415" s="1" t="s">
        <v>39</v>
      </c>
      <c r="E1415" s="1" t="s">
        <v>61</v>
      </c>
      <c r="F1415" s="1" t="s">
        <v>40</v>
      </c>
      <c r="G1415">
        <v>340552</v>
      </c>
      <c r="H1415" s="1" t="s">
        <v>2468</v>
      </c>
      <c r="I1415" s="2">
        <v>45839</v>
      </c>
      <c r="J1415">
        <v>101</v>
      </c>
      <c r="K1415">
        <v>23.4</v>
      </c>
      <c r="L1415" s="1" t="s">
        <v>20</v>
      </c>
      <c r="M1415" s="1" t="s">
        <v>63</v>
      </c>
    </row>
    <row r="1416" spans="1:13" x14ac:dyDescent="0.25">
      <c r="A1416" s="1" t="s">
        <v>2469</v>
      </c>
      <c r="B1416" s="1" t="s">
        <v>88</v>
      </c>
      <c r="C1416" s="1" t="s">
        <v>662</v>
      </c>
      <c r="D1416" s="1" t="s">
        <v>16</v>
      </c>
      <c r="E1416" s="1" t="s">
        <v>47</v>
      </c>
      <c r="F1416" s="1" t="s">
        <v>27</v>
      </c>
      <c r="G1416">
        <v>141204</v>
      </c>
      <c r="H1416" s="1" t="s">
        <v>256</v>
      </c>
      <c r="I1416" s="2"/>
      <c r="K1416">
        <v>8.1</v>
      </c>
      <c r="L1416" s="1" t="s">
        <v>20</v>
      </c>
      <c r="M1416" s="1" t="s">
        <v>69</v>
      </c>
    </row>
    <row r="1417" spans="1:13" x14ac:dyDescent="0.25">
      <c r="A1417" s="1" t="s">
        <v>2470</v>
      </c>
      <c r="B1417" s="1" t="s">
        <v>75</v>
      </c>
      <c r="C1417" s="1" t="s">
        <v>474</v>
      </c>
      <c r="D1417" s="1" t="s">
        <v>90</v>
      </c>
      <c r="E1417" s="1" t="s">
        <v>100</v>
      </c>
      <c r="F1417" s="1" t="s">
        <v>40</v>
      </c>
      <c r="G1417">
        <v>68442</v>
      </c>
      <c r="H1417" s="1" t="s">
        <v>2287</v>
      </c>
      <c r="I1417" s="2">
        <v>45252</v>
      </c>
      <c r="J1417">
        <v>139</v>
      </c>
      <c r="K1417">
        <v>22.3</v>
      </c>
      <c r="L1417" s="1" t="s">
        <v>20</v>
      </c>
      <c r="M1417" s="1" t="s">
        <v>102</v>
      </c>
    </row>
    <row r="1418" spans="1:13" x14ac:dyDescent="0.25">
      <c r="A1418" s="1" t="s">
        <v>2471</v>
      </c>
      <c r="B1418" s="1" t="s">
        <v>88</v>
      </c>
      <c r="C1418" s="1" t="s">
        <v>258</v>
      </c>
      <c r="D1418" s="1" t="s">
        <v>90</v>
      </c>
      <c r="E1418" s="1" t="s">
        <v>77</v>
      </c>
      <c r="F1418" s="1" t="s">
        <v>129</v>
      </c>
      <c r="G1418">
        <v>71763</v>
      </c>
      <c r="H1418" s="1" t="s">
        <v>2166</v>
      </c>
      <c r="I1418" s="2"/>
      <c r="L1418" s="1" t="s">
        <v>49</v>
      </c>
      <c r="M1418" s="1" t="s">
        <v>149</v>
      </c>
    </row>
    <row r="1419" spans="1:13" x14ac:dyDescent="0.25">
      <c r="A1419" s="1" t="s">
        <v>2472</v>
      </c>
      <c r="B1419" s="1" t="s">
        <v>23</v>
      </c>
      <c r="C1419" s="1" t="s">
        <v>571</v>
      </c>
      <c r="D1419" s="1" t="s">
        <v>46</v>
      </c>
      <c r="E1419" s="1" t="s">
        <v>17</v>
      </c>
      <c r="F1419" s="1" t="s">
        <v>33</v>
      </c>
      <c r="G1419">
        <v>378321</v>
      </c>
      <c r="H1419" s="1" t="s">
        <v>1192</v>
      </c>
      <c r="I1419" s="2"/>
      <c r="K1419">
        <v>11.5</v>
      </c>
      <c r="L1419" s="1" t="s">
        <v>49</v>
      </c>
      <c r="M1419" s="1" t="s">
        <v>42</v>
      </c>
    </row>
    <row r="1420" spans="1:13" x14ac:dyDescent="0.25">
      <c r="A1420" s="1" t="s">
        <v>2473</v>
      </c>
      <c r="B1420" s="1" t="s">
        <v>65</v>
      </c>
      <c r="C1420" s="1" t="s">
        <v>398</v>
      </c>
      <c r="D1420" s="1" t="s">
        <v>46</v>
      </c>
      <c r="E1420" s="1" t="s">
        <v>26</v>
      </c>
      <c r="F1420" s="1" t="s">
        <v>27</v>
      </c>
      <c r="G1420">
        <v>85759</v>
      </c>
      <c r="H1420" s="1" t="s">
        <v>282</v>
      </c>
      <c r="I1420" s="2"/>
      <c r="K1420">
        <v>4.7</v>
      </c>
      <c r="L1420" s="1" t="s">
        <v>29</v>
      </c>
      <c r="M1420" s="1" t="s">
        <v>21</v>
      </c>
    </row>
    <row r="1421" spans="1:13" x14ac:dyDescent="0.25">
      <c r="A1421" s="1" t="s">
        <v>2474</v>
      </c>
      <c r="B1421" s="1" t="s">
        <v>98</v>
      </c>
      <c r="C1421" s="1" t="s">
        <v>1172</v>
      </c>
      <c r="D1421" s="1" t="s">
        <v>46</v>
      </c>
      <c r="E1421" s="1" t="s">
        <v>61</v>
      </c>
      <c r="F1421" s="1" t="s">
        <v>129</v>
      </c>
      <c r="G1421">
        <v>441173</v>
      </c>
      <c r="H1421" s="1" t="s">
        <v>761</v>
      </c>
      <c r="I1421" s="2"/>
      <c r="K1421">
        <v>4.2</v>
      </c>
      <c r="L1421" s="1" t="s">
        <v>20</v>
      </c>
      <c r="M1421" s="1" t="s">
        <v>102</v>
      </c>
    </row>
    <row r="1422" spans="1:13" x14ac:dyDescent="0.25">
      <c r="A1422" s="1" t="s">
        <v>2475</v>
      </c>
      <c r="B1422" s="1" t="s">
        <v>59</v>
      </c>
      <c r="C1422" s="1" t="s">
        <v>154</v>
      </c>
      <c r="D1422" s="1" t="s">
        <v>90</v>
      </c>
      <c r="E1422" s="1" t="s">
        <v>47</v>
      </c>
      <c r="F1422" s="1" t="s">
        <v>18</v>
      </c>
      <c r="G1422">
        <v>151824</v>
      </c>
      <c r="H1422" s="1" t="s">
        <v>756</v>
      </c>
      <c r="I1422" s="2">
        <v>45057</v>
      </c>
      <c r="J1422">
        <v>24</v>
      </c>
      <c r="K1422">
        <v>3.4</v>
      </c>
      <c r="L1422" s="1" t="s">
        <v>20</v>
      </c>
      <c r="M1422" s="1" t="s">
        <v>30</v>
      </c>
    </row>
    <row r="1423" spans="1:13" x14ac:dyDescent="0.25">
      <c r="A1423" s="1" t="s">
        <v>2476</v>
      </c>
      <c r="B1423" s="1" t="s">
        <v>104</v>
      </c>
      <c r="C1423" s="1" t="s">
        <v>381</v>
      </c>
      <c r="D1423" s="1" t="s">
        <v>39</v>
      </c>
      <c r="E1423" s="1" t="s">
        <v>26</v>
      </c>
      <c r="F1423" s="1" t="s">
        <v>129</v>
      </c>
      <c r="G1423">
        <v>67120</v>
      </c>
      <c r="H1423" s="1" t="s">
        <v>1894</v>
      </c>
      <c r="I1423" s="2"/>
      <c r="K1423">
        <v>2.2000000000000002</v>
      </c>
      <c r="L1423" s="1" t="s">
        <v>96</v>
      </c>
      <c r="M1423" s="1" t="s">
        <v>21</v>
      </c>
    </row>
    <row r="1424" spans="1:13" x14ac:dyDescent="0.25">
      <c r="A1424" s="1" t="s">
        <v>2477</v>
      </c>
      <c r="B1424" s="1" t="s">
        <v>127</v>
      </c>
      <c r="C1424" s="1" t="s">
        <v>261</v>
      </c>
      <c r="D1424" s="1" t="s">
        <v>39</v>
      </c>
      <c r="E1424" s="1" t="s">
        <v>17</v>
      </c>
      <c r="F1424" s="1" t="s">
        <v>53</v>
      </c>
      <c r="G1424">
        <v>181023</v>
      </c>
      <c r="H1424" s="1" t="s">
        <v>2478</v>
      </c>
      <c r="I1424" s="2"/>
      <c r="K1424">
        <v>9.5</v>
      </c>
      <c r="L1424" s="1" t="s">
        <v>20</v>
      </c>
      <c r="M1424" s="1" t="s">
        <v>21</v>
      </c>
    </row>
    <row r="1425" spans="1:13" x14ac:dyDescent="0.25">
      <c r="A1425" s="1" t="s">
        <v>2479</v>
      </c>
      <c r="B1425" s="1" t="s">
        <v>37</v>
      </c>
      <c r="C1425" s="1" t="s">
        <v>1018</v>
      </c>
      <c r="D1425" s="1" t="s">
        <v>39</v>
      </c>
      <c r="E1425" s="1" t="s">
        <v>61</v>
      </c>
      <c r="F1425" s="1" t="s">
        <v>129</v>
      </c>
      <c r="G1425">
        <v>409839</v>
      </c>
      <c r="H1425" s="1" t="s">
        <v>1041</v>
      </c>
      <c r="I1425" s="2"/>
      <c r="K1425">
        <v>6.8</v>
      </c>
      <c r="L1425" s="1" t="s">
        <v>29</v>
      </c>
      <c r="M1425" s="1" t="s">
        <v>149</v>
      </c>
    </row>
    <row r="1426" spans="1:13" x14ac:dyDescent="0.25">
      <c r="A1426" s="1" t="s">
        <v>2480</v>
      </c>
      <c r="B1426" s="1" t="s">
        <v>98</v>
      </c>
      <c r="C1426" s="1" t="s">
        <v>1997</v>
      </c>
      <c r="D1426" s="1" t="s">
        <v>16</v>
      </c>
      <c r="E1426" s="1" t="s">
        <v>26</v>
      </c>
      <c r="F1426" s="1" t="s">
        <v>53</v>
      </c>
      <c r="G1426">
        <v>322585</v>
      </c>
      <c r="H1426" s="1" t="s">
        <v>814</v>
      </c>
      <c r="I1426" s="2"/>
      <c r="K1426">
        <v>4.9000000000000004</v>
      </c>
      <c r="L1426" s="1" t="s">
        <v>96</v>
      </c>
      <c r="M1426" s="1" t="s">
        <v>42</v>
      </c>
    </row>
    <row r="1427" spans="1:13" x14ac:dyDescent="0.25">
      <c r="A1427" s="1" t="s">
        <v>2481</v>
      </c>
      <c r="B1427" s="1" t="s">
        <v>80</v>
      </c>
      <c r="C1427" s="1" t="s">
        <v>1397</v>
      </c>
      <c r="D1427" s="1" t="s">
        <v>25</v>
      </c>
      <c r="E1427" s="1" t="s">
        <v>61</v>
      </c>
      <c r="F1427" s="1" t="s">
        <v>53</v>
      </c>
      <c r="G1427">
        <v>198110</v>
      </c>
      <c r="H1427" s="1" t="s">
        <v>819</v>
      </c>
      <c r="I1427" s="2"/>
      <c r="K1427">
        <v>14.7</v>
      </c>
      <c r="L1427" s="1" t="s">
        <v>20</v>
      </c>
      <c r="M1427" s="1" t="s">
        <v>149</v>
      </c>
    </row>
    <row r="1428" spans="1:13" x14ac:dyDescent="0.25">
      <c r="A1428" s="1" t="s">
        <v>2482</v>
      </c>
      <c r="B1428" s="1" t="s">
        <v>104</v>
      </c>
      <c r="C1428" s="1" t="s">
        <v>93</v>
      </c>
      <c r="D1428" s="1" t="s">
        <v>90</v>
      </c>
      <c r="E1428" s="1" t="s">
        <v>17</v>
      </c>
      <c r="F1428" s="1" t="s">
        <v>27</v>
      </c>
      <c r="G1428">
        <v>414652</v>
      </c>
      <c r="H1428" s="1" t="s">
        <v>2483</v>
      </c>
      <c r="I1428" s="2"/>
      <c r="K1428">
        <v>6</v>
      </c>
      <c r="L1428" s="1" t="s">
        <v>49</v>
      </c>
      <c r="M1428" s="1" t="s">
        <v>149</v>
      </c>
    </row>
    <row r="1429" spans="1:13" x14ac:dyDescent="0.25">
      <c r="A1429" s="1" t="s">
        <v>2484</v>
      </c>
      <c r="B1429" s="1" t="s">
        <v>23</v>
      </c>
      <c r="C1429" s="1" t="s">
        <v>1050</v>
      </c>
      <c r="D1429" s="1" t="s">
        <v>16</v>
      </c>
      <c r="E1429" s="1" t="s">
        <v>26</v>
      </c>
      <c r="F1429" s="1" t="s">
        <v>18</v>
      </c>
      <c r="G1429">
        <v>389080</v>
      </c>
      <c r="H1429" s="1" t="s">
        <v>1796</v>
      </c>
      <c r="I1429" s="2">
        <v>45177</v>
      </c>
      <c r="J1429">
        <v>110</v>
      </c>
      <c r="K1429">
        <v>7.8</v>
      </c>
      <c r="L1429" s="1" t="s">
        <v>96</v>
      </c>
      <c r="M1429" s="1" t="s">
        <v>30</v>
      </c>
    </row>
    <row r="1430" spans="1:13" x14ac:dyDescent="0.25">
      <c r="A1430" s="1" t="s">
        <v>2485</v>
      </c>
      <c r="B1430" s="1" t="s">
        <v>109</v>
      </c>
      <c r="C1430" s="1" t="s">
        <v>1009</v>
      </c>
      <c r="D1430" s="1" t="s">
        <v>90</v>
      </c>
      <c r="E1430" s="1" t="s">
        <v>77</v>
      </c>
      <c r="F1430" s="1" t="s">
        <v>33</v>
      </c>
      <c r="G1430">
        <v>81342</v>
      </c>
      <c r="H1430" s="1" t="s">
        <v>2486</v>
      </c>
      <c r="I1430" s="2"/>
      <c r="K1430">
        <v>1.6</v>
      </c>
      <c r="L1430" s="1" t="s">
        <v>29</v>
      </c>
      <c r="M1430" s="1" t="s">
        <v>63</v>
      </c>
    </row>
    <row r="1431" spans="1:13" x14ac:dyDescent="0.25">
      <c r="A1431" s="1" t="s">
        <v>2487</v>
      </c>
      <c r="B1431" s="1" t="s">
        <v>127</v>
      </c>
      <c r="C1431" s="1" t="s">
        <v>831</v>
      </c>
      <c r="D1431" s="1" t="s">
        <v>39</v>
      </c>
      <c r="E1431" s="1" t="s">
        <v>72</v>
      </c>
      <c r="F1431" s="1" t="s">
        <v>129</v>
      </c>
      <c r="G1431">
        <v>187381</v>
      </c>
      <c r="H1431" s="1" t="s">
        <v>464</v>
      </c>
      <c r="I1431" s="2"/>
      <c r="L1431" s="1" t="s">
        <v>20</v>
      </c>
      <c r="M1431" s="1" t="s">
        <v>149</v>
      </c>
    </row>
    <row r="1432" spans="1:13" x14ac:dyDescent="0.25">
      <c r="A1432" s="1" t="s">
        <v>2488</v>
      </c>
      <c r="B1432" s="1" t="s">
        <v>14</v>
      </c>
      <c r="C1432" s="1" t="s">
        <v>352</v>
      </c>
      <c r="D1432" s="1" t="s">
        <v>90</v>
      </c>
      <c r="E1432" s="1" t="s">
        <v>77</v>
      </c>
      <c r="F1432" s="1" t="s">
        <v>33</v>
      </c>
      <c r="G1432">
        <v>127186</v>
      </c>
      <c r="H1432" s="1" t="s">
        <v>1012</v>
      </c>
      <c r="I1432" s="2"/>
      <c r="K1432">
        <v>6.5</v>
      </c>
      <c r="L1432" s="1" t="s">
        <v>20</v>
      </c>
      <c r="M1432" s="1" t="s">
        <v>42</v>
      </c>
    </row>
    <row r="1433" spans="1:13" x14ac:dyDescent="0.25">
      <c r="A1433" s="1" t="s">
        <v>2489</v>
      </c>
      <c r="B1433" s="1" t="s">
        <v>127</v>
      </c>
      <c r="C1433" s="1" t="s">
        <v>162</v>
      </c>
      <c r="D1433" s="1" t="s">
        <v>46</v>
      </c>
      <c r="E1433" s="1" t="s">
        <v>47</v>
      </c>
      <c r="F1433" s="1" t="s">
        <v>40</v>
      </c>
      <c r="G1433">
        <v>192123</v>
      </c>
      <c r="H1433" s="1" t="s">
        <v>2307</v>
      </c>
      <c r="I1433" s="2">
        <v>45327</v>
      </c>
      <c r="J1433">
        <v>78</v>
      </c>
      <c r="K1433">
        <v>1.4</v>
      </c>
      <c r="L1433" s="1" t="s">
        <v>49</v>
      </c>
      <c r="M1433" s="1" t="s">
        <v>21</v>
      </c>
    </row>
    <row r="1434" spans="1:13" x14ac:dyDescent="0.25">
      <c r="A1434" s="1" t="s">
        <v>2490</v>
      </c>
      <c r="B1434" s="1" t="s">
        <v>127</v>
      </c>
      <c r="C1434" s="1" t="s">
        <v>186</v>
      </c>
      <c r="D1434" s="1" t="s">
        <v>90</v>
      </c>
      <c r="E1434" s="1" t="s">
        <v>72</v>
      </c>
      <c r="F1434" s="1" t="s">
        <v>129</v>
      </c>
      <c r="G1434">
        <v>116870</v>
      </c>
      <c r="H1434" s="1" t="s">
        <v>2059</v>
      </c>
      <c r="I1434" s="2"/>
      <c r="L1434" s="1" t="s">
        <v>49</v>
      </c>
      <c r="M1434" s="1" t="s">
        <v>30</v>
      </c>
    </row>
    <row r="1435" spans="1:13" x14ac:dyDescent="0.25">
      <c r="A1435" s="1" t="s">
        <v>2491</v>
      </c>
      <c r="B1435" s="1" t="s">
        <v>23</v>
      </c>
      <c r="C1435" s="1" t="s">
        <v>1191</v>
      </c>
      <c r="D1435" s="1" t="s">
        <v>90</v>
      </c>
      <c r="E1435" s="1" t="s">
        <v>77</v>
      </c>
      <c r="F1435" s="1" t="s">
        <v>129</v>
      </c>
      <c r="G1435">
        <v>271366</v>
      </c>
      <c r="H1435" s="1" t="s">
        <v>1809</v>
      </c>
      <c r="I1435" s="2"/>
      <c r="K1435">
        <v>6.7</v>
      </c>
      <c r="L1435" s="1" t="s">
        <v>96</v>
      </c>
      <c r="M1435" s="1" t="s">
        <v>69</v>
      </c>
    </row>
    <row r="1436" spans="1:13" x14ac:dyDescent="0.25">
      <c r="A1436" s="1" t="s">
        <v>2492</v>
      </c>
      <c r="B1436" s="1" t="s">
        <v>44</v>
      </c>
      <c r="C1436" s="1" t="s">
        <v>38</v>
      </c>
      <c r="D1436" s="1" t="s">
        <v>67</v>
      </c>
      <c r="E1436" s="1" t="s">
        <v>77</v>
      </c>
      <c r="F1436" s="1" t="s">
        <v>27</v>
      </c>
      <c r="G1436">
        <v>484191</v>
      </c>
      <c r="H1436" s="1" t="s">
        <v>407</v>
      </c>
      <c r="I1436" s="2"/>
      <c r="L1436" s="1" t="s">
        <v>20</v>
      </c>
      <c r="M1436" s="1" t="s">
        <v>107</v>
      </c>
    </row>
    <row r="1437" spans="1:13" x14ac:dyDescent="0.25">
      <c r="A1437" s="1" t="s">
        <v>2493</v>
      </c>
      <c r="B1437" s="1" t="s">
        <v>104</v>
      </c>
      <c r="C1437" s="1" t="s">
        <v>1147</v>
      </c>
      <c r="D1437" s="1" t="s">
        <v>16</v>
      </c>
      <c r="E1437" s="1" t="s">
        <v>94</v>
      </c>
      <c r="F1437" s="1" t="s">
        <v>40</v>
      </c>
      <c r="G1437">
        <v>400048</v>
      </c>
      <c r="H1437" s="1" t="s">
        <v>2494</v>
      </c>
      <c r="I1437" s="2">
        <v>45430</v>
      </c>
      <c r="J1437">
        <v>70</v>
      </c>
      <c r="K1437">
        <v>4.4000000000000004</v>
      </c>
      <c r="L1437" s="1" t="s">
        <v>49</v>
      </c>
      <c r="M1437" s="1" t="s">
        <v>69</v>
      </c>
    </row>
    <row r="1438" spans="1:13" x14ac:dyDescent="0.25">
      <c r="A1438" s="1" t="s">
        <v>2495</v>
      </c>
      <c r="B1438" s="1" t="s">
        <v>51</v>
      </c>
      <c r="C1438" s="1" t="s">
        <v>650</v>
      </c>
      <c r="D1438" s="1" t="s">
        <v>67</v>
      </c>
      <c r="E1438" s="1" t="s">
        <v>72</v>
      </c>
      <c r="F1438" s="1" t="s">
        <v>53</v>
      </c>
      <c r="G1438">
        <v>208061</v>
      </c>
      <c r="H1438" s="1" t="s">
        <v>2496</v>
      </c>
      <c r="I1438" s="2"/>
      <c r="K1438">
        <v>14.4</v>
      </c>
      <c r="L1438" s="1" t="s">
        <v>49</v>
      </c>
      <c r="M1438" s="1" t="s">
        <v>35</v>
      </c>
    </row>
    <row r="1439" spans="1:13" x14ac:dyDescent="0.25">
      <c r="A1439" s="1" t="s">
        <v>2497</v>
      </c>
      <c r="B1439" s="1" t="s">
        <v>80</v>
      </c>
      <c r="C1439" s="1" t="s">
        <v>939</v>
      </c>
      <c r="D1439" s="1" t="s">
        <v>16</v>
      </c>
      <c r="E1439" s="1" t="s">
        <v>94</v>
      </c>
      <c r="F1439" s="1" t="s">
        <v>40</v>
      </c>
      <c r="G1439">
        <v>409767</v>
      </c>
      <c r="H1439" s="1" t="s">
        <v>1522</v>
      </c>
      <c r="I1439" s="2">
        <v>45220</v>
      </c>
      <c r="J1439">
        <v>123</v>
      </c>
      <c r="K1439">
        <v>2.5</v>
      </c>
      <c r="L1439" s="1" t="s">
        <v>20</v>
      </c>
      <c r="M1439" s="1" t="s">
        <v>30</v>
      </c>
    </row>
    <row r="1440" spans="1:13" x14ac:dyDescent="0.25">
      <c r="A1440" s="1" t="s">
        <v>2498</v>
      </c>
      <c r="B1440" s="1" t="s">
        <v>80</v>
      </c>
      <c r="C1440" s="1" t="s">
        <v>284</v>
      </c>
      <c r="D1440" s="1" t="s">
        <v>16</v>
      </c>
      <c r="E1440" s="1" t="s">
        <v>26</v>
      </c>
      <c r="F1440" s="1" t="s">
        <v>40</v>
      </c>
      <c r="G1440">
        <v>284225</v>
      </c>
      <c r="H1440" s="1" t="s">
        <v>714</v>
      </c>
      <c r="I1440" s="2">
        <v>45631</v>
      </c>
      <c r="J1440">
        <v>58</v>
      </c>
      <c r="K1440">
        <v>20.9</v>
      </c>
      <c r="L1440" s="1" t="s">
        <v>20</v>
      </c>
      <c r="M1440" s="1" t="s">
        <v>42</v>
      </c>
    </row>
    <row r="1441" spans="1:13" x14ac:dyDescent="0.25">
      <c r="A1441" s="1" t="s">
        <v>2499</v>
      </c>
      <c r="B1441" s="1" t="s">
        <v>14</v>
      </c>
      <c r="C1441" s="1" t="s">
        <v>486</v>
      </c>
      <c r="D1441" s="1" t="s">
        <v>46</v>
      </c>
      <c r="E1441" s="1" t="s">
        <v>100</v>
      </c>
      <c r="F1441" s="1" t="s">
        <v>33</v>
      </c>
      <c r="G1441">
        <v>488711</v>
      </c>
      <c r="H1441" s="1" t="s">
        <v>1559</v>
      </c>
      <c r="I1441" s="2"/>
      <c r="K1441">
        <v>9.4</v>
      </c>
      <c r="L1441" s="1" t="s">
        <v>49</v>
      </c>
      <c r="M1441" s="1" t="s">
        <v>63</v>
      </c>
    </row>
    <row r="1442" spans="1:13" x14ac:dyDescent="0.25">
      <c r="A1442" s="1" t="s">
        <v>2500</v>
      </c>
      <c r="B1442" s="1" t="s">
        <v>173</v>
      </c>
      <c r="C1442" s="1" t="s">
        <v>316</v>
      </c>
      <c r="D1442" s="1" t="s">
        <v>67</v>
      </c>
      <c r="E1442" s="1" t="s">
        <v>72</v>
      </c>
      <c r="F1442" s="1" t="s">
        <v>129</v>
      </c>
      <c r="G1442">
        <v>338655</v>
      </c>
      <c r="H1442" s="1" t="s">
        <v>2501</v>
      </c>
      <c r="I1442" s="2"/>
      <c r="K1442">
        <v>14.3</v>
      </c>
      <c r="L1442" s="1" t="s">
        <v>49</v>
      </c>
      <c r="M1442" s="1" t="s">
        <v>30</v>
      </c>
    </row>
    <row r="1443" spans="1:13" x14ac:dyDescent="0.25">
      <c r="A1443" s="1" t="s">
        <v>2502</v>
      </c>
      <c r="B1443" s="1" t="s">
        <v>59</v>
      </c>
      <c r="C1443" s="1" t="s">
        <v>2503</v>
      </c>
      <c r="D1443" s="1" t="s">
        <v>90</v>
      </c>
      <c r="E1443" s="1" t="s">
        <v>61</v>
      </c>
      <c r="F1443" s="1" t="s">
        <v>27</v>
      </c>
      <c r="G1443">
        <v>433408</v>
      </c>
      <c r="H1443" s="1" t="s">
        <v>1897</v>
      </c>
      <c r="I1443" s="2"/>
      <c r="K1443">
        <v>3.1</v>
      </c>
      <c r="L1443" s="1" t="s">
        <v>20</v>
      </c>
      <c r="M1443" s="1" t="s">
        <v>35</v>
      </c>
    </row>
    <row r="1444" spans="1:13" x14ac:dyDescent="0.25">
      <c r="A1444" s="1" t="s">
        <v>2504</v>
      </c>
      <c r="B1444" s="1" t="s">
        <v>14</v>
      </c>
      <c r="C1444" s="1" t="s">
        <v>539</v>
      </c>
      <c r="D1444" s="1" t="s">
        <v>67</v>
      </c>
      <c r="E1444" s="1" t="s">
        <v>47</v>
      </c>
      <c r="F1444" s="1" t="s">
        <v>18</v>
      </c>
      <c r="G1444">
        <v>121849</v>
      </c>
      <c r="H1444" s="1" t="s">
        <v>155</v>
      </c>
      <c r="I1444" s="2">
        <v>45836</v>
      </c>
      <c r="J1444">
        <v>107</v>
      </c>
      <c r="K1444">
        <v>7.9</v>
      </c>
      <c r="L1444" s="1" t="s">
        <v>29</v>
      </c>
      <c r="M1444" s="1" t="s">
        <v>63</v>
      </c>
    </row>
    <row r="1445" spans="1:13" x14ac:dyDescent="0.25">
      <c r="A1445" s="1" t="s">
        <v>2505</v>
      </c>
      <c r="B1445" s="1" t="s">
        <v>84</v>
      </c>
      <c r="C1445" s="1" t="s">
        <v>531</v>
      </c>
      <c r="D1445" s="1" t="s">
        <v>16</v>
      </c>
      <c r="E1445" s="1" t="s">
        <v>72</v>
      </c>
      <c r="F1445" s="1" t="s">
        <v>40</v>
      </c>
      <c r="G1445">
        <v>336940</v>
      </c>
      <c r="H1445" s="1" t="s">
        <v>1048</v>
      </c>
      <c r="I1445" s="2">
        <v>45223</v>
      </c>
      <c r="J1445">
        <v>113</v>
      </c>
      <c r="K1445">
        <v>16.7</v>
      </c>
      <c r="L1445" s="1" t="s">
        <v>96</v>
      </c>
      <c r="M1445" s="1" t="s">
        <v>102</v>
      </c>
    </row>
    <row r="1446" spans="1:13" x14ac:dyDescent="0.25">
      <c r="A1446" s="1" t="s">
        <v>2506</v>
      </c>
      <c r="B1446" s="1" t="s">
        <v>127</v>
      </c>
      <c r="C1446" s="1" t="s">
        <v>2503</v>
      </c>
      <c r="D1446" s="1" t="s">
        <v>90</v>
      </c>
      <c r="E1446" s="1" t="s">
        <v>26</v>
      </c>
      <c r="F1446" s="1" t="s">
        <v>40</v>
      </c>
      <c r="G1446">
        <v>47015</v>
      </c>
      <c r="H1446" s="1" t="s">
        <v>2507</v>
      </c>
      <c r="I1446" s="2">
        <v>45504</v>
      </c>
      <c r="J1446">
        <v>122</v>
      </c>
      <c r="K1446">
        <v>7.8</v>
      </c>
      <c r="L1446" s="1" t="s">
        <v>96</v>
      </c>
      <c r="M1446" s="1" t="s">
        <v>69</v>
      </c>
    </row>
    <row r="1447" spans="1:13" x14ac:dyDescent="0.25">
      <c r="A1447" s="1" t="s">
        <v>2508</v>
      </c>
      <c r="B1447" s="1" t="s">
        <v>127</v>
      </c>
      <c r="C1447" s="1" t="s">
        <v>1204</v>
      </c>
      <c r="D1447" s="1" t="s">
        <v>46</v>
      </c>
      <c r="E1447" s="1" t="s">
        <v>94</v>
      </c>
      <c r="F1447" s="1" t="s">
        <v>40</v>
      </c>
      <c r="G1447">
        <v>291055</v>
      </c>
      <c r="H1447" s="1" t="s">
        <v>2463</v>
      </c>
      <c r="I1447" s="2">
        <v>45754</v>
      </c>
      <c r="J1447">
        <v>78</v>
      </c>
      <c r="K1447">
        <v>13.9</v>
      </c>
      <c r="L1447" s="1" t="s">
        <v>49</v>
      </c>
      <c r="M1447" s="1" t="s">
        <v>63</v>
      </c>
    </row>
    <row r="1448" spans="1:13" x14ac:dyDescent="0.25">
      <c r="A1448" s="1" t="s">
        <v>2509</v>
      </c>
      <c r="B1448" s="1" t="s">
        <v>37</v>
      </c>
      <c r="C1448" s="1" t="s">
        <v>1153</v>
      </c>
      <c r="D1448" s="1" t="s">
        <v>90</v>
      </c>
      <c r="E1448" s="1" t="s">
        <v>94</v>
      </c>
      <c r="F1448" s="1" t="s">
        <v>33</v>
      </c>
      <c r="G1448">
        <v>12575</v>
      </c>
      <c r="H1448" s="1" t="s">
        <v>2510</v>
      </c>
      <c r="I1448" s="2"/>
      <c r="K1448">
        <v>5.9</v>
      </c>
      <c r="L1448" s="1" t="s">
        <v>49</v>
      </c>
      <c r="M1448" s="1" t="s">
        <v>102</v>
      </c>
    </row>
    <row r="1449" spans="1:13" x14ac:dyDescent="0.25">
      <c r="A1449" s="1" t="s">
        <v>2511</v>
      </c>
      <c r="B1449" s="1" t="s">
        <v>127</v>
      </c>
      <c r="C1449" s="1" t="s">
        <v>1172</v>
      </c>
      <c r="D1449" s="1" t="s">
        <v>90</v>
      </c>
      <c r="E1449" s="1" t="s">
        <v>72</v>
      </c>
      <c r="F1449" s="1" t="s">
        <v>40</v>
      </c>
      <c r="G1449">
        <v>166887</v>
      </c>
      <c r="H1449" s="1" t="s">
        <v>232</v>
      </c>
      <c r="I1449" s="2">
        <v>45297</v>
      </c>
      <c r="J1449">
        <v>178</v>
      </c>
      <c r="K1449">
        <v>21.5</v>
      </c>
      <c r="L1449" s="1" t="s">
        <v>96</v>
      </c>
      <c r="M1449" s="1" t="s">
        <v>102</v>
      </c>
    </row>
    <row r="1450" spans="1:13" x14ac:dyDescent="0.25">
      <c r="A1450" s="1" t="s">
        <v>2512</v>
      </c>
      <c r="B1450" s="1" t="s">
        <v>173</v>
      </c>
      <c r="C1450" s="1" t="s">
        <v>574</v>
      </c>
      <c r="D1450" s="1" t="s">
        <v>16</v>
      </c>
      <c r="E1450" s="1" t="s">
        <v>47</v>
      </c>
      <c r="F1450" s="1" t="s">
        <v>129</v>
      </c>
      <c r="G1450">
        <v>36978</v>
      </c>
      <c r="H1450" s="1" t="s">
        <v>1325</v>
      </c>
      <c r="I1450" s="2"/>
      <c r="K1450">
        <v>4.9000000000000004</v>
      </c>
      <c r="L1450" s="1" t="s">
        <v>49</v>
      </c>
      <c r="M1450" s="1" t="s">
        <v>63</v>
      </c>
    </row>
    <row r="1451" spans="1:13" x14ac:dyDescent="0.25">
      <c r="A1451" s="1" t="s">
        <v>2513</v>
      </c>
      <c r="B1451" s="1" t="s">
        <v>44</v>
      </c>
      <c r="C1451" s="1" t="s">
        <v>313</v>
      </c>
      <c r="D1451" s="1" t="s">
        <v>67</v>
      </c>
      <c r="E1451" s="1" t="s">
        <v>26</v>
      </c>
      <c r="F1451" s="1" t="s">
        <v>129</v>
      </c>
      <c r="G1451">
        <v>223425</v>
      </c>
      <c r="H1451" s="1" t="s">
        <v>34</v>
      </c>
      <c r="I1451" s="2"/>
      <c r="L1451" s="1" t="s">
        <v>96</v>
      </c>
      <c r="M1451" s="1" t="s">
        <v>35</v>
      </c>
    </row>
    <row r="1452" spans="1:13" x14ac:dyDescent="0.25">
      <c r="A1452" s="1" t="s">
        <v>2514</v>
      </c>
      <c r="B1452" s="1" t="s">
        <v>23</v>
      </c>
      <c r="C1452" s="1" t="s">
        <v>1352</v>
      </c>
      <c r="D1452" s="1" t="s">
        <v>25</v>
      </c>
      <c r="E1452" s="1" t="s">
        <v>51</v>
      </c>
      <c r="F1452" s="1" t="s">
        <v>53</v>
      </c>
      <c r="G1452">
        <v>238647</v>
      </c>
      <c r="H1452" s="1" t="s">
        <v>2451</v>
      </c>
      <c r="I1452" s="2"/>
      <c r="L1452" s="1" t="s">
        <v>29</v>
      </c>
      <c r="M1452" s="1" t="s">
        <v>35</v>
      </c>
    </row>
    <row r="1453" spans="1:13" x14ac:dyDescent="0.25">
      <c r="A1453" s="1" t="s">
        <v>2515</v>
      </c>
      <c r="B1453" s="1" t="s">
        <v>37</v>
      </c>
      <c r="C1453" s="1" t="s">
        <v>52</v>
      </c>
      <c r="D1453" s="1" t="s">
        <v>90</v>
      </c>
      <c r="E1453" s="1" t="s">
        <v>61</v>
      </c>
      <c r="F1453" s="1" t="s">
        <v>53</v>
      </c>
      <c r="G1453">
        <v>431903</v>
      </c>
      <c r="H1453" s="1" t="s">
        <v>1971</v>
      </c>
      <c r="I1453" s="2"/>
      <c r="K1453">
        <v>9.9</v>
      </c>
      <c r="L1453" s="1" t="s">
        <v>49</v>
      </c>
      <c r="M1453" s="1" t="s">
        <v>42</v>
      </c>
    </row>
    <row r="1454" spans="1:13" x14ac:dyDescent="0.25">
      <c r="A1454" s="1" t="s">
        <v>2516</v>
      </c>
      <c r="B1454" s="1" t="s">
        <v>98</v>
      </c>
      <c r="C1454" s="1" t="s">
        <v>1248</v>
      </c>
      <c r="D1454" s="1" t="s">
        <v>90</v>
      </c>
      <c r="E1454" s="1" t="s">
        <v>51</v>
      </c>
      <c r="F1454" s="1" t="s">
        <v>27</v>
      </c>
      <c r="G1454">
        <v>201355</v>
      </c>
      <c r="H1454" s="1" t="s">
        <v>1818</v>
      </c>
      <c r="I1454" s="2"/>
      <c r="K1454">
        <v>8.5</v>
      </c>
      <c r="L1454" s="1" t="s">
        <v>20</v>
      </c>
      <c r="M1454" s="1" t="s">
        <v>30</v>
      </c>
    </row>
    <row r="1455" spans="1:13" x14ac:dyDescent="0.25">
      <c r="A1455" s="1" t="s">
        <v>2517</v>
      </c>
      <c r="B1455" s="1" t="s">
        <v>104</v>
      </c>
      <c r="C1455" s="1" t="s">
        <v>160</v>
      </c>
      <c r="D1455" s="1" t="s">
        <v>16</v>
      </c>
      <c r="E1455" s="1" t="s">
        <v>26</v>
      </c>
      <c r="F1455" s="1" t="s">
        <v>18</v>
      </c>
      <c r="G1455">
        <v>237700</v>
      </c>
      <c r="H1455" s="1" t="s">
        <v>1580</v>
      </c>
      <c r="I1455" s="2">
        <v>45123</v>
      </c>
      <c r="J1455">
        <v>73</v>
      </c>
      <c r="K1455">
        <v>12.7</v>
      </c>
      <c r="L1455" s="1" t="s">
        <v>20</v>
      </c>
      <c r="M1455" s="1" t="s">
        <v>30</v>
      </c>
    </row>
    <row r="1456" spans="1:13" x14ac:dyDescent="0.25">
      <c r="A1456" s="1" t="s">
        <v>2518</v>
      </c>
      <c r="B1456" s="1" t="s">
        <v>104</v>
      </c>
      <c r="C1456" s="1" t="s">
        <v>874</v>
      </c>
      <c r="D1456" s="1" t="s">
        <v>90</v>
      </c>
      <c r="E1456" s="1" t="s">
        <v>77</v>
      </c>
      <c r="F1456" s="1" t="s">
        <v>53</v>
      </c>
      <c r="G1456">
        <v>431670</v>
      </c>
      <c r="H1456" s="1" t="s">
        <v>2519</v>
      </c>
      <c r="I1456" s="2"/>
      <c r="K1456">
        <v>3.1</v>
      </c>
      <c r="L1456" s="1" t="s">
        <v>29</v>
      </c>
      <c r="M1456" s="1" t="s">
        <v>42</v>
      </c>
    </row>
    <row r="1457" spans="1:13" x14ac:dyDescent="0.25">
      <c r="A1457" s="1" t="s">
        <v>2520</v>
      </c>
      <c r="B1457" s="1" t="s">
        <v>51</v>
      </c>
      <c r="C1457" s="1" t="s">
        <v>119</v>
      </c>
      <c r="D1457" s="1" t="s">
        <v>16</v>
      </c>
      <c r="E1457" s="1" t="s">
        <v>51</v>
      </c>
      <c r="F1457" s="1" t="s">
        <v>129</v>
      </c>
      <c r="G1457">
        <v>324317</v>
      </c>
      <c r="H1457" s="1" t="s">
        <v>1192</v>
      </c>
      <c r="I1457" s="2"/>
      <c r="K1457">
        <v>2</v>
      </c>
      <c r="L1457" s="1" t="s">
        <v>20</v>
      </c>
      <c r="M1457" s="1" t="s">
        <v>42</v>
      </c>
    </row>
    <row r="1458" spans="1:13" x14ac:dyDescent="0.25">
      <c r="A1458" s="1" t="s">
        <v>2521</v>
      </c>
      <c r="B1458" s="1" t="s">
        <v>44</v>
      </c>
      <c r="C1458" s="1" t="s">
        <v>151</v>
      </c>
      <c r="D1458" s="1" t="s">
        <v>39</v>
      </c>
      <c r="E1458" s="1" t="s">
        <v>100</v>
      </c>
      <c r="F1458" s="1" t="s">
        <v>53</v>
      </c>
      <c r="G1458">
        <v>139740</v>
      </c>
      <c r="H1458" s="1" t="s">
        <v>1515</v>
      </c>
      <c r="I1458" s="2"/>
      <c r="K1458">
        <v>13.8</v>
      </c>
      <c r="L1458" s="1" t="s">
        <v>49</v>
      </c>
      <c r="M1458" s="1" t="s">
        <v>102</v>
      </c>
    </row>
    <row r="1459" spans="1:13" x14ac:dyDescent="0.25">
      <c r="A1459" s="1" t="s">
        <v>2522</v>
      </c>
      <c r="B1459" s="1" t="s">
        <v>127</v>
      </c>
      <c r="C1459" s="1" t="s">
        <v>1144</v>
      </c>
      <c r="D1459" s="1" t="s">
        <v>25</v>
      </c>
      <c r="E1459" s="1" t="s">
        <v>26</v>
      </c>
      <c r="F1459" s="1" t="s">
        <v>129</v>
      </c>
      <c r="G1459">
        <v>214867</v>
      </c>
      <c r="H1459" s="1" t="s">
        <v>1619</v>
      </c>
      <c r="I1459" s="2"/>
      <c r="K1459">
        <v>13.8</v>
      </c>
      <c r="L1459" s="1" t="s">
        <v>49</v>
      </c>
      <c r="M1459" s="1" t="s">
        <v>30</v>
      </c>
    </row>
    <row r="1460" spans="1:13" x14ac:dyDescent="0.25">
      <c r="A1460" s="1" t="s">
        <v>2523</v>
      </c>
      <c r="B1460" s="1" t="s">
        <v>88</v>
      </c>
      <c r="C1460" s="1" t="s">
        <v>483</v>
      </c>
      <c r="D1460" s="1" t="s">
        <v>25</v>
      </c>
      <c r="E1460" s="1" t="s">
        <v>77</v>
      </c>
      <c r="F1460" s="1" t="s">
        <v>53</v>
      </c>
      <c r="G1460">
        <v>272595</v>
      </c>
      <c r="H1460" s="1" t="s">
        <v>514</v>
      </c>
      <c r="I1460" s="2"/>
      <c r="K1460">
        <v>1.9</v>
      </c>
      <c r="L1460" s="1" t="s">
        <v>20</v>
      </c>
      <c r="M1460" s="1" t="s">
        <v>63</v>
      </c>
    </row>
    <row r="1461" spans="1:13" x14ac:dyDescent="0.25">
      <c r="A1461" s="1" t="s">
        <v>2524</v>
      </c>
      <c r="B1461" s="1" t="s">
        <v>80</v>
      </c>
      <c r="C1461" s="1" t="s">
        <v>66</v>
      </c>
      <c r="D1461" s="1" t="s">
        <v>39</v>
      </c>
      <c r="E1461" s="1" t="s">
        <v>47</v>
      </c>
      <c r="F1461" s="1" t="s">
        <v>33</v>
      </c>
      <c r="G1461">
        <v>31334</v>
      </c>
      <c r="H1461" s="1" t="s">
        <v>2525</v>
      </c>
      <c r="I1461" s="2"/>
      <c r="K1461">
        <v>10.199999999999999</v>
      </c>
      <c r="L1461" s="1" t="s">
        <v>29</v>
      </c>
      <c r="M1461" s="1" t="s">
        <v>63</v>
      </c>
    </row>
    <row r="1462" spans="1:13" x14ac:dyDescent="0.25">
      <c r="A1462" s="1" t="s">
        <v>2526</v>
      </c>
      <c r="B1462" s="1" t="s">
        <v>109</v>
      </c>
      <c r="C1462" s="1" t="s">
        <v>2185</v>
      </c>
      <c r="D1462" s="1" t="s">
        <v>67</v>
      </c>
      <c r="E1462" s="1" t="s">
        <v>94</v>
      </c>
      <c r="F1462" s="1" t="s">
        <v>40</v>
      </c>
      <c r="G1462">
        <v>453768</v>
      </c>
      <c r="H1462" s="1" t="s">
        <v>2095</v>
      </c>
      <c r="I1462" s="2">
        <v>45106</v>
      </c>
      <c r="J1462">
        <v>170</v>
      </c>
      <c r="K1462">
        <v>12.6</v>
      </c>
      <c r="L1462" s="1" t="s">
        <v>29</v>
      </c>
      <c r="M1462" s="1" t="s">
        <v>35</v>
      </c>
    </row>
    <row r="1463" spans="1:13" x14ac:dyDescent="0.25">
      <c r="A1463" s="1" t="s">
        <v>2527</v>
      </c>
      <c r="B1463" s="1" t="s">
        <v>14</v>
      </c>
      <c r="C1463" s="1" t="s">
        <v>640</v>
      </c>
      <c r="D1463" s="1" t="s">
        <v>39</v>
      </c>
      <c r="E1463" s="1" t="s">
        <v>77</v>
      </c>
      <c r="F1463" s="1" t="s">
        <v>18</v>
      </c>
      <c r="G1463">
        <v>383508</v>
      </c>
      <c r="H1463" s="1" t="s">
        <v>1158</v>
      </c>
      <c r="I1463" s="2">
        <v>45725</v>
      </c>
      <c r="J1463">
        <v>67</v>
      </c>
      <c r="K1463">
        <v>8.6</v>
      </c>
      <c r="L1463" s="1" t="s">
        <v>96</v>
      </c>
      <c r="M1463" s="1" t="s">
        <v>63</v>
      </c>
    </row>
    <row r="1464" spans="1:13" x14ac:dyDescent="0.25">
      <c r="A1464" s="1" t="s">
        <v>2528</v>
      </c>
      <c r="B1464" s="1" t="s">
        <v>80</v>
      </c>
      <c r="C1464" s="1" t="s">
        <v>644</v>
      </c>
      <c r="D1464" s="1" t="s">
        <v>16</v>
      </c>
      <c r="E1464" s="1" t="s">
        <v>61</v>
      </c>
      <c r="F1464" s="1" t="s">
        <v>53</v>
      </c>
      <c r="G1464">
        <v>423484</v>
      </c>
      <c r="H1464" s="1" t="s">
        <v>632</v>
      </c>
      <c r="I1464" s="2"/>
      <c r="K1464">
        <v>5.5</v>
      </c>
      <c r="L1464" s="1" t="s">
        <v>29</v>
      </c>
      <c r="M1464" s="1" t="s">
        <v>42</v>
      </c>
    </row>
    <row r="1465" spans="1:13" x14ac:dyDescent="0.25">
      <c r="A1465" s="1" t="s">
        <v>2529</v>
      </c>
      <c r="B1465" s="1" t="s">
        <v>37</v>
      </c>
      <c r="C1465" s="1" t="s">
        <v>1479</v>
      </c>
      <c r="D1465" s="1" t="s">
        <v>16</v>
      </c>
      <c r="E1465" s="1" t="s">
        <v>61</v>
      </c>
      <c r="F1465" s="1" t="s">
        <v>33</v>
      </c>
      <c r="G1465">
        <v>167211</v>
      </c>
      <c r="H1465" s="1" t="s">
        <v>1654</v>
      </c>
      <c r="I1465" s="2"/>
      <c r="K1465">
        <v>6.2</v>
      </c>
      <c r="L1465" s="1" t="s">
        <v>29</v>
      </c>
      <c r="M1465" s="1" t="s">
        <v>107</v>
      </c>
    </row>
    <row r="1466" spans="1:13" x14ac:dyDescent="0.25">
      <c r="A1466" s="1" t="s">
        <v>2530</v>
      </c>
      <c r="B1466" s="1" t="s">
        <v>104</v>
      </c>
      <c r="C1466" s="1" t="s">
        <v>1410</v>
      </c>
      <c r="D1466" s="1" t="s">
        <v>67</v>
      </c>
      <c r="E1466" s="1" t="s">
        <v>17</v>
      </c>
      <c r="F1466" s="1" t="s">
        <v>18</v>
      </c>
      <c r="G1466">
        <v>443092</v>
      </c>
      <c r="H1466" s="1" t="s">
        <v>2253</v>
      </c>
      <c r="I1466" s="2">
        <v>45325</v>
      </c>
      <c r="J1466">
        <v>177</v>
      </c>
      <c r="K1466">
        <v>1.7</v>
      </c>
      <c r="L1466" s="1" t="s">
        <v>20</v>
      </c>
      <c r="M1466" s="1" t="s">
        <v>102</v>
      </c>
    </row>
    <row r="1467" spans="1:13" x14ac:dyDescent="0.25">
      <c r="A1467" s="1" t="s">
        <v>2531</v>
      </c>
      <c r="B1467" s="1" t="s">
        <v>14</v>
      </c>
      <c r="C1467" s="1" t="s">
        <v>539</v>
      </c>
      <c r="D1467" s="1" t="s">
        <v>46</v>
      </c>
      <c r="E1467" s="1" t="s">
        <v>61</v>
      </c>
      <c r="F1467" s="1" t="s">
        <v>27</v>
      </c>
      <c r="G1467">
        <v>310887</v>
      </c>
      <c r="H1467" s="1" t="s">
        <v>553</v>
      </c>
      <c r="I1467" s="2"/>
      <c r="L1467" s="1" t="s">
        <v>96</v>
      </c>
      <c r="M1467" s="1" t="s">
        <v>102</v>
      </c>
    </row>
    <row r="1468" spans="1:13" x14ac:dyDescent="0.25">
      <c r="A1468" s="1" t="s">
        <v>2532</v>
      </c>
      <c r="B1468" s="1" t="s">
        <v>65</v>
      </c>
      <c r="C1468" s="1" t="s">
        <v>564</v>
      </c>
      <c r="D1468" s="1" t="s">
        <v>16</v>
      </c>
      <c r="E1468" s="1" t="s">
        <v>77</v>
      </c>
      <c r="F1468" s="1" t="s">
        <v>129</v>
      </c>
      <c r="G1468">
        <v>101900</v>
      </c>
      <c r="H1468" s="1" t="s">
        <v>181</v>
      </c>
      <c r="I1468" s="2"/>
      <c r="K1468">
        <v>10.1</v>
      </c>
      <c r="L1468" s="1" t="s">
        <v>29</v>
      </c>
      <c r="M1468" s="1" t="s">
        <v>107</v>
      </c>
    </row>
    <row r="1469" spans="1:13" x14ac:dyDescent="0.25">
      <c r="A1469" s="1" t="s">
        <v>2533</v>
      </c>
      <c r="B1469" s="1" t="s">
        <v>173</v>
      </c>
      <c r="C1469" s="1" t="s">
        <v>686</v>
      </c>
      <c r="D1469" s="1" t="s">
        <v>90</v>
      </c>
      <c r="E1469" s="1" t="s">
        <v>47</v>
      </c>
      <c r="F1469" s="1" t="s">
        <v>33</v>
      </c>
      <c r="G1469">
        <v>410689</v>
      </c>
      <c r="H1469" s="1" t="s">
        <v>2534</v>
      </c>
      <c r="I1469" s="2"/>
      <c r="K1469">
        <v>0.3</v>
      </c>
      <c r="L1469" s="1" t="s">
        <v>20</v>
      </c>
      <c r="M1469" s="1" t="s">
        <v>42</v>
      </c>
    </row>
    <row r="1470" spans="1:13" x14ac:dyDescent="0.25">
      <c r="A1470" s="1" t="s">
        <v>2535</v>
      </c>
      <c r="B1470" s="1" t="s">
        <v>88</v>
      </c>
      <c r="C1470" s="1" t="s">
        <v>372</v>
      </c>
      <c r="D1470" s="1" t="s">
        <v>39</v>
      </c>
      <c r="E1470" s="1" t="s">
        <v>94</v>
      </c>
      <c r="F1470" s="1" t="s">
        <v>53</v>
      </c>
      <c r="G1470">
        <v>224252</v>
      </c>
      <c r="H1470" s="1" t="s">
        <v>467</v>
      </c>
      <c r="I1470" s="2"/>
      <c r="K1470">
        <v>10.7</v>
      </c>
      <c r="L1470" s="1" t="s">
        <v>49</v>
      </c>
      <c r="M1470" s="1" t="s">
        <v>21</v>
      </c>
    </row>
    <row r="1471" spans="1:13" x14ac:dyDescent="0.25">
      <c r="A1471" s="1" t="s">
        <v>2536</v>
      </c>
      <c r="B1471" s="1" t="s">
        <v>104</v>
      </c>
      <c r="C1471" s="1" t="s">
        <v>122</v>
      </c>
      <c r="D1471" s="1" t="s">
        <v>67</v>
      </c>
      <c r="E1471" s="1" t="s">
        <v>47</v>
      </c>
      <c r="F1471" s="1" t="s">
        <v>27</v>
      </c>
      <c r="G1471">
        <v>13787</v>
      </c>
      <c r="H1471" s="1" t="s">
        <v>489</v>
      </c>
      <c r="I1471" s="2"/>
      <c r="K1471">
        <v>10.6</v>
      </c>
      <c r="L1471" s="1" t="s">
        <v>49</v>
      </c>
      <c r="M1471" s="1" t="s">
        <v>30</v>
      </c>
    </row>
    <row r="1472" spans="1:13" x14ac:dyDescent="0.25">
      <c r="A1472" s="1" t="s">
        <v>2537</v>
      </c>
      <c r="B1472" s="1" t="s">
        <v>109</v>
      </c>
      <c r="C1472" s="1" t="s">
        <v>699</v>
      </c>
      <c r="D1472" s="1" t="s">
        <v>39</v>
      </c>
      <c r="E1472" s="1" t="s">
        <v>17</v>
      </c>
      <c r="F1472" s="1" t="s">
        <v>27</v>
      </c>
      <c r="G1472">
        <v>81356</v>
      </c>
      <c r="H1472" s="1" t="s">
        <v>2538</v>
      </c>
      <c r="I1472" s="2"/>
      <c r="K1472">
        <v>2.6</v>
      </c>
      <c r="L1472" s="1" t="s">
        <v>20</v>
      </c>
      <c r="M1472" s="1" t="s">
        <v>63</v>
      </c>
    </row>
    <row r="1473" spans="1:13" x14ac:dyDescent="0.25">
      <c r="A1473" s="1" t="s">
        <v>2539</v>
      </c>
      <c r="B1473" s="1" t="s">
        <v>14</v>
      </c>
      <c r="C1473" s="1" t="s">
        <v>85</v>
      </c>
      <c r="D1473" s="1" t="s">
        <v>46</v>
      </c>
      <c r="E1473" s="1" t="s">
        <v>17</v>
      </c>
      <c r="F1473" s="1" t="s">
        <v>27</v>
      </c>
      <c r="G1473">
        <v>63307</v>
      </c>
      <c r="H1473" s="1" t="s">
        <v>1380</v>
      </c>
      <c r="I1473" s="2"/>
      <c r="L1473" s="1" t="s">
        <v>20</v>
      </c>
      <c r="M1473" s="1" t="s">
        <v>30</v>
      </c>
    </row>
    <row r="1474" spans="1:13" x14ac:dyDescent="0.25">
      <c r="A1474" s="1" t="s">
        <v>2540</v>
      </c>
      <c r="B1474" s="1" t="s">
        <v>109</v>
      </c>
      <c r="C1474" s="1" t="s">
        <v>778</v>
      </c>
      <c r="D1474" s="1" t="s">
        <v>39</v>
      </c>
      <c r="E1474" s="1" t="s">
        <v>77</v>
      </c>
      <c r="F1474" s="1" t="s">
        <v>18</v>
      </c>
      <c r="G1474">
        <v>30491</v>
      </c>
      <c r="H1474" s="1" t="s">
        <v>1310</v>
      </c>
      <c r="I1474" s="2">
        <v>45379</v>
      </c>
      <c r="J1474">
        <v>156</v>
      </c>
      <c r="K1474">
        <v>0.9</v>
      </c>
      <c r="L1474" s="1" t="s">
        <v>29</v>
      </c>
      <c r="M1474" s="1" t="s">
        <v>21</v>
      </c>
    </row>
    <row r="1475" spans="1:13" x14ac:dyDescent="0.25">
      <c r="A1475" s="1" t="s">
        <v>2541</v>
      </c>
      <c r="B1475" s="1" t="s">
        <v>127</v>
      </c>
      <c r="C1475" s="1" t="s">
        <v>1147</v>
      </c>
      <c r="D1475" s="1" t="s">
        <v>67</v>
      </c>
      <c r="E1475" s="1" t="s">
        <v>51</v>
      </c>
      <c r="F1475" s="1" t="s">
        <v>27</v>
      </c>
      <c r="G1475">
        <v>196775</v>
      </c>
      <c r="H1475" s="1" t="s">
        <v>293</v>
      </c>
      <c r="I1475" s="2"/>
      <c r="K1475">
        <v>13.8</v>
      </c>
      <c r="L1475" s="1" t="s">
        <v>96</v>
      </c>
      <c r="M1475" s="1" t="s">
        <v>42</v>
      </c>
    </row>
    <row r="1476" spans="1:13" x14ac:dyDescent="0.25">
      <c r="A1476" s="1" t="s">
        <v>2542</v>
      </c>
      <c r="B1476" s="1" t="s">
        <v>80</v>
      </c>
      <c r="C1476" s="1" t="s">
        <v>343</v>
      </c>
      <c r="D1476" s="1" t="s">
        <v>39</v>
      </c>
      <c r="E1476" s="1" t="s">
        <v>94</v>
      </c>
      <c r="F1476" s="1" t="s">
        <v>40</v>
      </c>
      <c r="G1476">
        <v>179581</v>
      </c>
      <c r="H1476" s="1" t="s">
        <v>301</v>
      </c>
      <c r="I1476" s="2">
        <v>45657</v>
      </c>
      <c r="J1476">
        <v>154</v>
      </c>
      <c r="K1476">
        <v>19.100000000000001</v>
      </c>
      <c r="L1476" s="1" t="s">
        <v>49</v>
      </c>
      <c r="M1476" s="1" t="s">
        <v>149</v>
      </c>
    </row>
    <row r="1477" spans="1:13" x14ac:dyDescent="0.25">
      <c r="A1477" s="1" t="s">
        <v>2543</v>
      </c>
      <c r="B1477" s="1" t="s">
        <v>59</v>
      </c>
      <c r="C1477" s="1" t="s">
        <v>2544</v>
      </c>
      <c r="D1477" s="1" t="s">
        <v>16</v>
      </c>
      <c r="E1477" s="1" t="s">
        <v>47</v>
      </c>
      <c r="F1477" s="1" t="s">
        <v>27</v>
      </c>
      <c r="G1477">
        <v>383104</v>
      </c>
      <c r="H1477" s="1" t="s">
        <v>1387</v>
      </c>
      <c r="I1477" s="2"/>
      <c r="L1477" s="1" t="s">
        <v>29</v>
      </c>
      <c r="M1477" s="1" t="s">
        <v>69</v>
      </c>
    </row>
    <row r="1478" spans="1:13" x14ac:dyDescent="0.25">
      <c r="A1478" s="1" t="s">
        <v>2545</v>
      </c>
      <c r="B1478" s="1" t="s">
        <v>44</v>
      </c>
      <c r="C1478" s="1" t="s">
        <v>809</v>
      </c>
      <c r="D1478" s="1" t="s">
        <v>25</v>
      </c>
      <c r="E1478" s="1" t="s">
        <v>100</v>
      </c>
      <c r="F1478" s="1" t="s">
        <v>53</v>
      </c>
      <c r="G1478">
        <v>352198</v>
      </c>
      <c r="H1478" s="1" t="s">
        <v>642</v>
      </c>
      <c r="I1478" s="2"/>
      <c r="L1478" s="1" t="s">
        <v>96</v>
      </c>
      <c r="M1478" s="1" t="s">
        <v>69</v>
      </c>
    </row>
    <row r="1479" spans="1:13" x14ac:dyDescent="0.25">
      <c r="A1479" s="1" t="s">
        <v>2546</v>
      </c>
      <c r="B1479" s="1" t="s">
        <v>59</v>
      </c>
      <c r="C1479" s="1" t="s">
        <v>439</v>
      </c>
      <c r="D1479" s="1" t="s">
        <v>39</v>
      </c>
      <c r="E1479" s="1" t="s">
        <v>47</v>
      </c>
      <c r="F1479" s="1" t="s">
        <v>33</v>
      </c>
      <c r="G1479">
        <v>306953</v>
      </c>
      <c r="H1479" s="1" t="s">
        <v>1998</v>
      </c>
      <c r="I1479" s="2"/>
      <c r="L1479" s="1" t="s">
        <v>20</v>
      </c>
      <c r="M1479" s="1" t="s">
        <v>107</v>
      </c>
    </row>
    <row r="1480" spans="1:13" x14ac:dyDescent="0.25">
      <c r="A1480" s="1" t="s">
        <v>2547</v>
      </c>
      <c r="B1480" s="1" t="s">
        <v>84</v>
      </c>
      <c r="C1480" s="1" t="s">
        <v>1558</v>
      </c>
      <c r="D1480" s="1" t="s">
        <v>16</v>
      </c>
      <c r="E1480" s="1" t="s">
        <v>100</v>
      </c>
      <c r="F1480" s="1" t="s">
        <v>33</v>
      </c>
      <c r="G1480">
        <v>1941623</v>
      </c>
      <c r="H1480" s="1" t="s">
        <v>727</v>
      </c>
      <c r="I1480" s="2"/>
      <c r="K1480">
        <v>12.3</v>
      </c>
      <c r="L1480" s="1" t="s">
        <v>96</v>
      </c>
      <c r="M1480" s="1" t="s">
        <v>107</v>
      </c>
    </row>
    <row r="1481" spans="1:13" x14ac:dyDescent="0.25">
      <c r="A1481" s="1" t="s">
        <v>2548</v>
      </c>
      <c r="B1481" s="1" t="s">
        <v>44</v>
      </c>
      <c r="C1481" s="1" t="s">
        <v>15</v>
      </c>
      <c r="D1481" s="1" t="s">
        <v>16</v>
      </c>
      <c r="E1481" s="1" t="s">
        <v>26</v>
      </c>
      <c r="F1481" s="1" t="s">
        <v>40</v>
      </c>
      <c r="G1481">
        <v>367221</v>
      </c>
      <c r="H1481" s="1" t="s">
        <v>1801</v>
      </c>
      <c r="I1481" s="2">
        <v>45379</v>
      </c>
      <c r="J1481">
        <v>127</v>
      </c>
      <c r="K1481">
        <v>0.8</v>
      </c>
      <c r="L1481" s="1" t="s">
        <v>29</v>
      </c>
      <c r="M1481" s="1" t="s">
        <v>21</v>
      </c>
    </row>
    <row r="1482" spans="1:13" x14ac:dyDescent="0.25">
      <c r="A1482" s="1" t="s">
        <v>2549</v>
      </c>
      <c r="B1482" s="1" t="s">
        <v>23</v>
      </c>
      <c r="C1482" s="1" t="s">
        <v>1258</v>
      </c>
      <c r="D1482" s="1" t="s">
        <v>46</v>
      </c>
      <c r="E1482" s="1" t="s">
        <v>72</v>
      </c>
      <c r="F1482" s="1" t="s">
        <v>27</v>
      </c>
      <c r="G1482">
        <v>38795</v>
      </c>
      <c r="H1482" s="1" t="s">
        <v>958</v>
      </c>
      <c r="I1482" s="2"/>
      <c r="L1482" s="1" t="s">
        <v>49</v>
      </c>
      <c r="M1482" s="1" t="s">
        <v>42</v>
      </c>
    </row>
    <row r="1483" spans="1:13" x14ac:dyDescent="0.25">
      <c r="A1483" s="1" t="s">
        <v>2550</v>
      </c>
      <c r="B1483" s="1" t="s">
        <v>59</v>
      </c>
      <c r="C1483" s="1" t="s">
        <v>616</v>
      </c>
      <c r="D1483" s="1" t="s">
        <v>90</v>
      </c>
      <c r="E1483" s="1" t="s">
        <v>77</v>
      </c>
      <c r="F1483" s="1" t="s">
        <v>18</v>
      </c>
      <c r="G1483">
        <v>211230</v>
      </c>
      <c r="H1483" s="1" t="s">
        <v>608</v>
      </c>
      <c r="I1483" s="2">
        <v>45306</v>
      </c>
      <c r="J1483">
        <v>166</v>
      </c>
      <c r="K1483">
        <v>14.7</v>
      </c>
      <c r="L1483" s="1" t="s">
        <v>49</v>
      </c>
      <c r="M1483" s="1" t="s">
        <v>102</v>
      </c>
    </row>
    <row r="1484" spans="1:13" x14ac:dyDescent="0.25">
      <c r="A1484" s="1" t="s">
        <v>2551</v>
      </c>
      <c r="B1484" s="1" t="s">
        <v>88</v>
      </c>
      <c r="C1484" s="1" t="s">
        <v>892</v>
      </c>
      <c r="D1484" s="1" t="s">
        <v>67</v>
      </c>
      <c r="E1484" s="1" t="s">
        <v>26</v>
      </c>
      <c r="F1484" s="1" t="s">
        <v>27</v>
      </c>
      <c r="G1484">
        <v>80749</v>
      </c>
      <c r="H1484" s="1" t="s">
        <v>2176</v>
      </c>
      <c r="I1484" s="2"/>
      <c r="L1484" s="1" t="s">
        <v>29</v>
      </c>
      <c r="M1484" s="1" t="s">
        <v>42</v>
      </c>
    </row>
    <row r="1485" spans="1:13" x14ac:dyDescent="0.25">
      <c r="A1485" s="1" t="s">
        <v>2552</v>
      </c>
      <c r="B1485" s="1" t="s">
        <v>65</v>
      </c>
      <c r="C1485" s="1" t="s">
        <v>2503</v>
      </c>
      <c r="D1485" s="1" t="s">
        <v>39</v>
      </c>
      <c r="E1485" s="1" t="s">
        <v>72</v>
      </c>
      <c r="F1485" s="1" t="s">
        <v>33</v>
      </c>
      <c r="G1485">
        <v>192572</v>
      </c>
      <c r="H1485" s="1" t="s">
        <v>1453</v>
      </c>
      <c r="I1485" s="2"/>
      <c r="L1485" s="1" t="s">
        <v>29</v>
      </c>
      <c r="M1485" s="1" t="s">
        <v>69</v>
      </c>
    </row>
    <row r="1486" spans="1:13" x14ac:dyDescent="0.25">
      <c r="A1486" s="1" t="s">
        <v>2553</v>
      </c>
      <c r="B1486" s="1" t="s">
        <v>59</v>
      </c>
      <c r="C1486" s="1" t="s">
        <v>767</v>
      </c>
      <c r="D1486" s="1" t="s">
        <v>67</v>
      </c>
      <c r="E1486" s="1" t="s">
        <v>77</v>
      </c>
      <c r="F1486" s="1" t="s">
        <v>40</v>
      </c>
      <c r="G1486">
        <v>1326332</v>
      </c>
      <c r="H1486" s="1" t="s">
        <v>2554</v>
      </c>
      <c r="I1486" s="2">
        <v>45255</v>
      </c>
      <c r="J1486">
        <v>52</v>
      </c>
      <c r="K1486">
        <v>20.2</v>
      </c>
      <c r="L1486" s="1" t="s">
        <v>96</v>
      </c>
      <c r="M1486" s="1" t="s">
        <v>21</v>
      </c>
    </row>
    <row r="1487" spans="1:13" x14ac:dyDescent="0.25">
      <c r="A1487" s="1" t="s">
        <v>2555</v>
      </c>
      <c r="B1487" s="1" t="s">
        <v>75</v>
      </c>
      <c r="C1487" s="1" t="s">
        <v>237</v>
      </c>
      <c r="D1487" s="1" t="s">
        <v>67</v>
      </c>
      <c r="E1487" s="1" t="s">
        <v>47</v>
      </c>
      <c r="F1487" s="1" t="s">
        <v>33</v>
      </c>
      <c r="G1487">
        <v>370164</v>
      </c>
      <c r="H1487" s="1" t="s">
        <v>2556</v>
      </c>
      <c r="I1487" s="2"/>
      <c r="L1487" s="1" t="s">
        <v>29</v>
      </c>
      <c r="M1487" s="1" t="s">
        <v>102</v>
      </c>
    </row>
    <row r="1488" spans="1:13" x14ac:dyDescent="0.25">
      <c r="A1488" s="1" t="s">
        <v>2557</v>
      </c>
      <c r="B1488" s="1" t="s">
        <v>109</v>
      </c>
      <c r="C1488" s="1" t="s">
        <v>1352</v>
      </c>
      <c r="D1488" s="1" t="s">
        <v>67</v>
      </c>
      <c r="E1488" s="1" t="s">
        <v>61</v>
      </c>
      <c r="F1488" s="1" t="s">
        <v>33</v>
      </c>
      <c r="G1488">
        <v>497944</v>
      </c>
      <c r="H1488" s="1" t="s">
        <v>1001</v>
      </c>
      <c r="I1488" s="2"/>
      <c r="K1488">
        <v>13.1</v>
      </c>
      <c r="L1488" s="1" t="s">
        <v>96</v>
      </c>
      <c r="M1488" s="1" t="s">
        <v>30</v>
      </c>
    </row>
    <row r="1489" spans="1:13" x14ac:dyDescent="0.25">
      <c r="A1489" s="1" t="s">
        <v>2558</v>
      </c>
      <c r="B1489" s="1" t="s">
        <v>109</v>
      </c>
      <c r="C1489" s="1" t="s">
        <v>147</v>
      </c>
      <c r="D1489" s="1" t="s">
        <v>46</v>
      </c>
      <c r="E1489" s="1" t="s">
        <v>100</v>
      </c>
      <c r="F1489" s="1" t="s">
        <v>33</v>
      </c>
      <c r="G1489">
        <v>96604</v>
      </c>
      <c r="H1489" s="1" t="s">
        <v>1561</v>
      </c>
      <c r="I1489" s="2"/>
      <c r="L1489" s="1" t="s">
        <v>29</v>
      </c>
      <c r="M1489" s="1" t="s">
        <v>35</v>
      </c>
    </row>
    <row r="1490" spans="1:13" x14ac:dyDescent="0.25">
      <c r="A1490" s="1" t="s">
        <v>2559</v>
      </c>
      <c r="B1490" s="1" t="s">
        <v>127</v>
      </c>
      <c r="C1490" s="1" t="s">
        <v>449</v>
      </c>
      <c r="D1490" s="1" t="s">
        <v>25</v>
      </c>
      <c r="E1490" s="1" t="s">
        <v>17</v>
      </c>
      <c r="F1490" s="1" t="s">
        <v>27</v>
      </c>
      <c r="G1490">
        <v>206837</v>
      </c>
      <c r="H1490" s="1" t="s">
        <v>1458</v>
      </c>
      <c r="I1490" s="2"/>
      <c r="K1490">
        <v>7.6</v>
      </c>
      <c r="L1490" s="1" t="s">
        <v>29</v>
      </c>
      <c r="M1490" s="1" t="s">
        <v>30</v>
      </c>
    </row>
    <row r="1491" spans="1:13" x14ac:dyDescent="0.25">
      <c r="A1491" s="1" t="s">
        <v>2560</v>
      </c>
      <c r="B1491" s="1" t="s">
        <v>109</v>
      </c>
      <c r="C1491" s="1" t="s">
        <v>237</v>
      </c>
      <c r="D1491" s="1" t="s">
        <v>39</v>
      </c>
      <c r="E1491" s="1" t="s">
        <v>17</v>
      </c>
      <c r="F1491" s="1" t="s">
        <v>33</v>
      </c>
      <c r="G1491">
        <v>291943</v>
      </c>
      <c r="H1491" s="1" t="s">
        <v>2561</v>
      </c>
      <c r="I1491" s="2"/>
      <c r="K1491">
        <v>13.1</v>
      </c>
      <c r="L1491" s="1" t="s">
        <v>29</v>
      </c>
      <c r="M1491" s="1" t="s">
        <v>42</v>
      </c>
    </row>
    <row r="1492" spans="1:13" x14ac:dyDescent="0.25">
      <c r="A1492" s="1" t="s">
        <v>2562</v>
      </c>
      <c r="B1492" s="1" t="s">
        <v>37</v>
      </c>
      <c r="C1492" s="1" t="s">
        <v>912</v>
      </c>
      <c r="D1492" s="1" t="s">
        <v>25</v>
      </c>
      <c r="E1492" s="1" t="s">
        <v>47</v>
      </c>
      <c r="F1492" s="1" t="s">
        <v>129</v>
      </c>
      <c r="G1492">
        <v>398419</v>
      </c>
      <c r="H1492" s="1" t="s">
        <v>1362</v>
      </c>
      <c r="I1492" s="2"/>
      <c r="K1492">
        <v>1.7</v>
      </c>
      <c r="L1492" s="1" t="s">
        <v>20</v>
      </c>
      <c r="M1492" s="1" t="s">
        <v>69</v>
      </c>
    </row>
    <row r="1493" spans="1:13" x14ac:dyDescent="0.25">
      <c r="A1493" s="1" t="s">
        <v>2563</v>
      </c>
      <c r="B1493" s="1" t="s">
        <v>59</v>
      </c>
      <c r="C1493" s="1" t="s">
        <v>2564</v>
      </c>
      <c r="D1493" s="1" t="s">
        <v>25</v>
      </c>
      <c r="E1493" s="1" t="s">
        <v>47</v>
      </c>
      <c r="F1493" s="1" t="s">
        <v>33</v>
      </c>
      <c r="G1493">
        <v>489554</v>
      </c>
      <c r="H1493" s="1" t="s">
        <v>509</v>
      </c>
      <c r="I1493" s="2"/>
      <c r="K1493">
        <v>12.7</v>
      </c>
      <c r="L1493" s="1" t="s">
        <v>49</v>
      </c>
      <c r="M1493" s="1" t="s">
        <v>30</v>
      </c>
    </row>
    <row r="1494" spans="1:13" x14ac:dyDescent="0.25">
      <c r="A1494" s="1" t="s">
        <v>2565</v>
      </c>
      <c r="B1494" s="1" t="s">
        <v>37</v>
      </c>
      <c r="C1494" s="1" t="s">
        <v>384</v>
      </c>
      <c r="D1494" s="1" t="s">
        <v>67</v>
      </c>
      <c r="E1494" s="1" t="s">
        <v>17</v>
      </c>
      <c r="F1494" s="1" t="s">
        <v>33</v>
      </c>
      <c r="G1494">
        <v>1906897</v>
      </c>
      <c r="H1494" s="1" t="s">
        <v>1166</v>
      </c>
      <c r="I1494" s="2"/>
      <c r="K1494">
        <v>11.7</v>
      </c>
      <c r="L1494" s="1" t="s">
        <v>29</v>
      </c>
      <c r="M1494" s="1" t="s">
        <v>107</v>
      </c>
    </row>
    <row r="1495" spans="1:13" x14ac:dyDescent="0.25">
      <c r="A1495" s="1" t="s">
        <v>2566</v>
      </c>
      <c r="B1495" s="1" t="s">
        <v>98</v>
      </c>
      <c r="C1495" s="1" t="s">
        <v>247</v>
      </c>
      <c r="D1495" s="1" t="s">
        <v>16</v>
      </c>
      <c r="E1495" s="1" t="s">
        <v>100</v>
      </c>
      <c r="F1495" s="1" t="s">
        <v>40</v>
      </c>
      <c r="G1495">
        <v>478781</v>
      </c>
      <c r="H1495" s="1" t="s">
        <v>2567</v>
      </c>
      <c r="I1495" s="2">
        <v>45321</v>
      </c>
      <c r="J1495">
        <v>132</v>
      </c>
      <c r="K1495">
        <v>21.8</v>
      </c>
      <c r="L1495" s="1" t="s">
        <v>29</v>
      </c>
      <c r="M1495" s="1" t="s">
        <v>102</v>
      </c>
    </row>
    <row r="1496" spans="1:13" x14ac:dyDescent="0.25">
      <c r="A1496" s="1" t="s">
        <v>2568</v>
      </c>
      <c r="B1496" s="1" t="s">
        <v>109</v>
      </c>
      <c r="C1496" s="1" t="s">
        <v>544</v>
      </c>
      <c r="D1496" s="1" t="s">
        <v>46</v>
      </c>
      <c r="E1496" s="1" t="s">
        <v>47</v>
      </c>
      <c r="F1496" s="1" t="s">
        <v>27</v>
      </c>
      <c r="G1496">
        <v>308588</v>
      </c>
      <c r="H1496" s="1" t="s">
        <v>1711</v>
      </c>
      <c r="I1496" s="2"/>
      <c r="L1496" s="1" t="s">
        <v>20</v>
      </c>
      <c r="M1496" s="1" t="s">
        <v>35</v>
      </c>
    </row>
    <row r="1497" spans="1:13" x14ac:dyDescent="0.25">
      <c r="A1497" s="1" t="s">
        <v>2569</v>
      </c>
      <c r="B1497" s="1" t="s">
        <v>37</v>
      </c>
      <c r="C1497" s="1" t="s">
        <v>250</v>
      </c>
      <c r="D1497" s="1" t="s">
        <v>90</v>
      </c>
      <c r="E1497" s="1" t="s">
        <v>26</v>
      </c>
      <c r="F1497" s="1" t="s">
        <v>40</v>
      </c>
      <c r="G1497">
        <v>15980</v>
      </c>
      <c r="H1497" s="1" t="s">
        <v>1846</v>
      </c>
      <c r="I1497" s="2">
        <v>45481</v>
      </c>
      <c r="J1497">
        <v>166</v>
      </c>
      <c r="K1497">
        <v>4.5</v>
      </c>
      <c r="L1497" s="1" t="s">
        <v>20</v>
      </c>
      <c r="M1497" s="1" t="s">
        <v>69</v>
      </c>
    </row>
    <row r="1498" spans="1:13" x14ac:dyDescent="0.25">
      <c r="A1498" s="1" t="s">
        <v>2570</v>
      </c>
      <c r="B1498" s="1" t="s">
        <v>65</v>
      </c>
      <c r="C1498" s="1" t="s">
        <v>1518</v>
      </c>
      <c r="D1498" s="1" t="s">
        <v>90</v>
      </c>
      <c r="E1498" s="1" t="s">
        <v>77</v>
      </c>
      <c r="F1498" s="1" t="s">
        <v>33</v>
      </c>
      <c r="G1498">
        <v>67028</v>
      </c>
      <c r="H1498" s="1" t="s">
        <v>540</v>
      </c>
      <c r="I1498" s="2"/>
      <c r="K1498">
        <v>6.4</v>
      </c>
      <c r="L1498" s="1" t="s">
        <v>29</v>
      </c>
      <c r="M1498" s="1" t="s">
        <v>107</v>
      </c>
    </row>
    <row r="1499" spans="1:13" x14ac:dyDescent="0.25">
      <c r="A1499" s="1" t="s">
        <v>1596</v>
      </c>
      <c r="B1499" s="1" t="s">
        <v>65</v>
      </c>
      <c r="C1499" s="1" t="s">
        <v>122</v>
      </c>
      <c r="D1499" s="1" t="s">
        <v>90</v>
      </c>
      <c r="E1499" s="1" t="s">
        <v>51</v>
      </c>
      <c r="F1499" s="1" t="s">
        <v>18</v>
      </c>
      <c r="G1499">
        <v>281099</v>
      </c>
      <c r="H1499" s="1" t="s">
        <v>1597</v>
      </c>
      <c r="I1499" s="2">
        <v>45139</v>
      </c>
      <c r="J1499">
        <v>162</v>
      </c>
      <c r="L1499" s="1" t="s">
        <v>96</v>
      </c>
      <c r="M1499" s="1" t="s">
        <v>35</v>
      </c>
    </row>
    <row r="1500" spans="1:13" x14ac:dyDescent="0.25">
      <c r="A1500" s="1" t="s">
        <v>2571</v>
      </c>
      <c r="B1500" s="1" t="s">
        <v>75</v>
      </c>
      <c r="C1500" s="1" t="s">
        <v>590</v>
      </c>
      <c r="D1500" s="1" t="s">
        <v>67</v>
      </c>
      <c r="E1500" s="1" t="s">
        <v>94</v>
      </c>
      <c r="F1500" s="1" t="s">
        <v>40</v>
      </c>
      <c r="G1500">
        <v>367690</v>
      </c>
      <c r="H1500" s="1" t="s">
        <v>133</v>
      </c>
      <c r="I1500" s="2">
        <v>45120</v>
      </c>
      <c r="J1500">
        <v>126</v>
      </c>
      <c r="K1500">
        <v>3</v>
      </c>
      <c r="L1500" s="1" t="s">
        <v>49</v>
      </c>
      <c r="M1500" s="1" t="s">
        <v>35</v>
      </c>
    </row>
    <row r="1501" spans="1:13" x14ac:dyDescent="0.25">
      <c r="A1501" s="1" t="s">
        <v>2572</v>
      </c>
      <c r="B1501" s="1" t="s">
        <v>14</v>
      </c>
      <c r="C1501" s="1" t="s">
        <v>423</v>
      </c>
      <c r="D1501" s="1" t="s">
        <v>46</v>
      </c>
      <c r="E1501" s="1" t="s">
        <v>17</v>
      </c>
      <c r="F1501" s="1" t="s">
        <v>40</v>
      </c>
      <c r="G1501">
        <v>260754</v>
      </c>
      <c r="H1501" s="1" t="s">
        <v>1188</v>
      </c>
      <c r="I1501" s="2">
        <v>45087</v>
      </c>
      <c r="J1501">
        <v>59</v>
      </c>
      <c r="K1501">
        <v>15.8</v>
      </c>
      <c r="L1501" s="1" t="s">
        <v>96</v>
      </c>
      <c r="M1501" s="1" t="s">
        <v>30</v>
      </c>
    </row>
    <row r="1502" spans="1:13" x14ac:dyDescent="0.25">
      <c r="A1502" s="1" t="s">
        <v>2573</v>
      </c>
      <c r="B1502" s="1" t="s">
        <v>75</v>
      </c>
      <c r="C1502" s="1" t="s">
        <v>724</v>
      </c>
      <c r="D1502" s="1" t="s">
        <v>39</v>
      </c>
      <c r="E1502" s="1" t="s">
        <v>47</v>
      </c>
      <c r="F1502" s="1" t="s">
        <v>33</v>
      </c>
      <c r="G1502">
        <v>219684</v>
      </c>
      <c r="H1502" s="1" t="s">
        <v>2574</v>
      </c>
      <c r="I1502" s="2"/>
      <c r="K1502">
        <v>2.6</v>
      </c>
      <c r="L1502" s="1" t="s">
        <v>49</v>
      </c>
      <c r="M1502" s="1" t="s">
        <v>102</v>
      </c>
    </row>
    <row r="1503" spans="1:13" x14ac:dyDescent="0.25">
      <c r="A1503" s="1" t="s">
        <v>2575</v>
      </c>
      <c r="B1503" s="1" t="s">
        <v>23</v>
      </c>
      <c r="C1503" s="1" t="s">
        <v>325</v>
      </c>
      <c r="D1503" s="1" t="s">
        <v>39</v>
      </c>
      <c r="E1503" s="1" t="s">
        <v>72</v>
      </c>
      <c r="F1503" s="1" t="s">
        <v>129</v>
      </c>
      <c r="G1503">
        <v>79584</v>
      </c>
      <c r="H1503" s="1" t="s">
        <v>1319</v>
      </c>
      <c r="I1503" s="2"/>
      <c r="L1503" s="1" t="s">
        <v>29</v>
      </c>
      <c r="M1503" s="1" t="s">
        <v>42</v>
      </c>
    </row>
    <row r="1504" spans="1:13" x14ac:dyDescent="0.25">
      <c r="A1504" s="1" t="s">
        <v>2576</v>
      </c>
      <c r="B1504" s="1" t="s">
        <v>84</v>
      </c>
      <c r="C1504" s="1" t="s">
        <v>1050</v>
      </c>
      <c r="D1504" s="1" t="s">
        <v>46</v>
      </c>
      <c r="E1504" s="1" t="s">
        <v>100</v>
      </c>
      <c r="F1504" s="1" t="s">
        <v>33</v>
      </c>
      <c r="G1504">
        <v>265272</v>
      </c>
      <c r="H1504" s="1" t="s">
        <v>889</v>
      </c>
      <c r="I1504" s="2"/>
      <c r="K1504">
        <v>2.2000000000000002</v>
      </c>
      <c r="L1504" s="1" t="s">
        <v>29</v>
      </c>
      <c r="M1504" s="1" t="s">
        <v>21</v>
      </c>
    </row>
    <row r="1505" spans="1:13" x14ac:dyDescent="0.25">
      <c r="A1505" s="1" t="s">
        <v>2577</v>
      </c>
      <c r="B1505" s="1" t="s">
        <v>173</v>
      </c>
      <c r="C1505" s="1" t="s">
        <v>775</v>
      </c>
      <c r="D1505" s="1" t="s">
        <v>46</v>
      </c>
      <c r="E1505" s="1" t="s">
        <v>72</v>
      </c>
      <c r="F1505" s="1" t="s">
        <v>40</v>
      </c>
      <c r="G1505">
        <v>248777</v>
      </c>
      <c r="H1505" s="1" t="s">
        <v>2305</v>
      </c>
      <c r="I1505" s="2">
        <v>45746</v>
      </c>
      <c r="J1505">
        <v>55</v>
      </c>
      <c r="K1505">
        <v>9.1999999999999993</v>
      </c>
      <c r="L1505" s="1" t="s">
        <v>96</v>
      </c>
      <c r="M1505" s="1" t="s">
        <v>63</v>
      </c>
    </row>
    <row r="1506" spans="1:13" x14ac:dyDescent="0.25">
      <c r="A1506" s="1" t="s">
        <v>2578</v>
      </c>
      <c r="B1506" s="1" t="s">
        <v>98</v>
      </c>
      <c r="C1506" s="1" t="s">
        <v>667</v>
      </c>
      <c r="D1506" s="1" t="s">
        <v>90</v>
      </c>
      <c r="E1506" s="1" t="s">
        <v>100</v>
      </c>
      <c r="F1506" s="1" t="s">
        <v>33</v>
      </c>
      <c r="G1506">
        <v>393124</v>
      </c>
      <c r="H1506" s="1" t="s">
        <v>2579</v>
      </c>
      <c r="I1506" s="2"/>
      <c r="L1506" s="1" t="s">
        <v>49</v>
      </c>
      <c r="M1506" s="1" t="s">
        <v>102</v>
      </c>
    </row>
    <row r="1507" spans="1:13" x14ac:dyDescent="0.25">
      <c r="A1507" s="1" t="s">
        <v>2580</v>
      </c>
      <c r="B1507" s="1" t="s">
        <v>88</v>
      </c>
      <c r="C1507" s="1" t="s">
        <v>442</v>
      </c>
      <c r="D1507" s="1" t="s">
        <v>90</v>
      </c>
      <c r="E1507" s="1" t="s">
        <v>61</v>
      </c>
      <c r="F1507" s="1" t="s">
        <v>33</v>
      </c>
      <c r="G1507">
        <v>294276</v>
      </c>
      <c r="H1507" s="1" t="s">
        <v>1677</v>
      </c>
      <c r="I1507" s="2"/>
      <c r="L1507" s="1" t="s">
        <v>29</v>
      </c>
      <c r="M1507" s="1" t="s">
        <v>35</v>
      </c>
    </row>
    <row r="1508" spans="1:13" x14ac:dyDescent="0.25">
      <c r="A1508" s="1" t="s">
        <v>2581</v>
      </c>
      <c r="B1508" s="1" t="s">
        <v>44</v>
      </c>
      <c r="C1508" s="1" t="s">
        <v>2564</v>
      </c>
      <c r="D1508" s="1" t="s">
        <v>67</v>
      </c>
      <c r="E1508" s="1" t="s">
        <v>100</v>
      </c>
      <c r="F1508" s="1" t="s">
        <v>40</v>
      </c>
      <c r="G1508">
        <v>109399</v>
      </c>
      <c r="H1508" s="1" t="s">
        <v>2582</v>
      </c>
      <c r="I1508" s="2">
        <v>45262</v>
      </c>
      <c r="J1508">
        <v>115</v>
      </c>
      <c r="K1508">
        <v>6.3</v>
      </c>
      <c r="L1508" s="1" t="s">
        <v>29</v>
      </c>
      <c r="M1508" s="1" t="s">
        <v>102</v>
      </c>
    </row>
    <row r="1509" spans="1:13" x14ac:dyDescent="0.25">
      <c r="A1509" s="1" t="s">
        <v>2583</v>
      </c>
      <c r="B1509" s="1" t="s">
        <v>37</v>
      </c>
      <c r="C1509" s="1" t="s">
        <v>625</v>
      </c>
      <c r="D1509" s="1" t="s">
        <v>25</v>
      </c>
      <c r="E1509" s="1" t="s">
        <v>26</v>
      </c>
      <c r="F1509" s="1" t="s">
        <v>53</v>
      </c>
      <c r="G1509">
        <v>82389</v>
      </c>
      <c r="H1509" s="1" t="s">
        <v>655</v>
      </c>
      <c r="I1509" s="2"/>
      <c r="L1509" s="1" t="s">
        <v>96</v>
      </c>
      <c r="M1509" s="1" t="s">
        <v>42</v>
      </c>
    </row>
    <row r="1510" spans="1:13" x14ac:dyDescent="0.25">
      <c r="A1510" s="1" t="s">
        <v>2584</v>
      </c>
      <c r="B1510" s="1" t="s">
        <v>98</v>
      </c>
      <c r="C1510" s="1" t="s">
        <v>1178</v>
      </c>
      <c r="D1510" s="1" t="s">
        <v>67</v>
      </c>
      <c r="E1510" s="1" t="s">
        <v>61</v>
      </c>
      <c r="F1510" s="1" t="s">
        <v>27</v>
      </c>
      <c r="G1510">
        <v>468848</v>
      </c>
      <c r="H1510" s="1" t="s">
        <v>78</v>
      </c>
      <c r="I1510" s="2"/>
      <c r="K1510">
        <v>0.3</v>
      </c>
      <c r="L1510" s="1" t="s">
        <v>29</v>
      </c>
      <c r="M1510" s="1" t="s">
        <v>69</v>
      </c>
    </row>
    <row r="1511" spans="1:13" x14ac:dyDescent="0.25">
      <c r="A1511" s="1" t="s">
        <v>2585</v>
      </c>
      <c r="B1511" s="1" t="s">
        <v>51</v>
      </c>
      <c r="C1511" s="1" t="s">
        <v>874</v>
      </c>
      <c r="D1511" s="1" t="s">
        <v>16</v>
      </c>
      <c r="E1511" s="1" t="s">
        <v>47</v>
      </c>
      <c r="F1511" s="1" t="s">
        <v>40</v>
      </c>
      <c r="G1511">
        <v>355440</v>
      </c>
      <c r="H1511" s="1" t="s">
        <v>2586</v>
      </c>
      <c r="I1511" s="2">
        <v>45574</v>
      </c>
      <c r="J1511">
        <v>120</v>
      </c>
      <c r="K1511">
        <v>0.1</v>
      </c>
      <c r="L1511" s="1" t="s">
        <v>49</v>
      </c>
      <c r="M1511" s="1" t="s">
        <v>107</v>
      </c>
    </row>
    <row r="1512" spans="1:13" x14ac:dyDescent="0.25">
      <c r="A1512" s="1" t="s">
        <v>2587</v>
      </c>
      <c r="B1512" s="1" t="s">
        <v>65</v>
      </c>
      <c r="C1512" s="1" t="s">
        <v>667</v>
      </c>
      <c r="D1512" s="1" t="s">
        <v>67</v>
      </c>
      <c r="E1512" s="1" t="s">
        <v>61</v>
      </c>
      <c r="F1512" s="1" t="s">
        <v>27</v>
      </c>
      <c r="G1512">
        <v>187002</v>
      </c>
      <c r="H1512" s="1" t="s">
        <v>1589</v>
      </c>
      <c r="I1512" s="2"/>
      <c r="K1512">
        <v>4.2</v>
      </c>
      <c r="L1512" s="1" t="s">
        <v>29</v>
      </c>
      <c r="M1512" s="1" t="s">
        <v>63</v>
      </c>
    </row>
    <row r="1513" spans="1:13" x14ac:dyDescent="0.25">
      <c r="A1513" s="1" t="s">
        <v>2588</v>
      </c>
      <c r="B1513" s="1" t="s">
        <v>173</v>
      </c>
      <c r="C1513" s="1" t="s">
        <v>574</v>
      </c>
      <c r="D1513" s="1" t="s">
        <v>16</v>
      </c>
      <c r="E1513" s="1" t="s">
        <v>17</v>
      </c>
      <c r="F1513" s="1" t="s">
        <v>40</v>
      </c>
      <c r="G1513">
        <v>356622</v>
      </c>
      <c r="H1513" s="1" t="s">
        <v>2589</v>
      </c>
      <c r="I1513" s="2">
        <v>45592</v>
      </c>
      <c r="J1513">
        <v>24</v>
      </c>
      <c r="K1513">
        <v>15.7</v>
      </c>
      <c r="L1513" s="1" t="s">
        <v>29</v>
      </c>
      <c r="M1513" s="1" t="s">
        <v>42</v>
      </c>
    </row>
    <row r="1514" spans="1:13" x14ac:dyDescent="0.25">
      <c r="A1514" s="1" t="s">
        <v>2590</v>
      </c>
      <c r="B1514" s="1" t="s">
        <v>80</v>
      </c>
      <c r="C1514" s="1" t="s">
        <v>471</v>
      </c>
      <c r="D1514" s="1" t="s">
        <v>67</v>
      </c>
      <c r="E1514" s="1" t="s">
        <v>17</v>
      </c>
      <c r="F1514" s="1" t="s">
        <v>40</v>
      </c>
      <c r="G1514">
        <v>214485</v>
      </c>
      <c r="H1514" s="1" t="s">
        <v>296</v>
      </c>
      <c r="I1514" s="2">
        <v>45608</v>
      </c>
      <c r="J1514">
        <v>63</v>
      </c>
      <c r="K1514">
        <v>19.399999999999999</v>
      </c>
      <c r="L1514" s="1" t="s">
        <v>29</v>
      </c>
      <c r="M1514" s="1" t="s">
        <v>149</v>
      </c>
    </row>
    <row r="1515" spans="1:13" x14ac:dyDescent="0.25">
      <c r="A1515" s="1" t="s">
        <v>2591</v>
      </c>
      <c r="B1515" s="1" t="s">
        <v>59</v>
      </c>
      <c r="C1515" s="1" t="s">
        <v>390</v>
      </c>
      <c r="D1515" s="1" t="s">
        <v>46</v>
      </c>
      <c r="E1515" s="1" t="s">
        <v>77</v>
      </c>
      <c r="F1515" s="1" t="s">
        <v>53</v>
      </c>
      <c r="G1515">
        <v>481066</v>
      </c>
      <c r="H1515" s="1" t="s">
        <v>1201</v>
      </c>
      <c r="I1515" s="2"/>
      <c r="K1515">
        <v>14.9</v>
      </c>
      <c r="L1515" s="1" t="s">
        <v>96</v>
      </c>
      <c r="M1515" s="1" t="s">
        <v>69</v>
      </c>
    </row>
    <row r="1516" spans="1:13" x14ac:dyDescent="0.25">
      <c r="A1516" s="1" t="s">
        <v>2592</v>
      </c>
      <c r="B1516" s="1" t="s">
        <v>75</v>
      </c>
      <c r="C1516" s="1" t="s">
        <v>699</v>
      </c>
      <c r="D1516" s="1" t="s">
        <v>16</v>
      </c>
      <c r="E1516" s="1" t="s">
        <v>72</v>
      </c>
      <c r="F1516" s="1" t="s">
        <v>53</v>
      </c>
      <c r="G1516">
        <v>471980</v>
      </c>
      <c r="H1516" s="1" t="s">
        <v>296</v>
      </c>
      <c r="I1516" s="2"/>
      <c r="K1516">
        <v>11.3</v>
      </c>
      <c r="L1516" s="1" t="s">
        <v>96</v>
      </c>
      <c r="M1516" s="1" t="s">
        <v>149</v>
      </c>
    </row>
    <row r="1517" spans="1:13" x14ac:dyDescent="0.25">
      <c r="A1517" s="1" t="s">
        <v>2593</v>
      </c>
      <c r="B1517" s="1" t="s">
        <v>23</v>
      </c>
      <c r="C1517" s="1" t="s">
        <v>119</v>
      </c>
      <c r="D1517" s="1" t="s">
        <v>16</v>
      </c>
      <c r="E1517" s="1" t="s">
        <v>47</v>
      </c>
      <c r="F1517" s="1" t="s">
        <v>40</v>
      </c>
      <c r="G1517">
        <v>202007</v>
      </c>
      <c r="H1517" s="1" t="s">
        <v>2594</v>
      </c>
      <c r="I1517" s="2">
        <v>45557</v>
      </c>
      <c r="J1517">
        <v>158</v>
      </c>
      <c r="K1517">
        <v>23.5</v>
      </c>
      <c r="L1517" s="1" t="s">
        <v>29</v>
      </c>
      <c r="M1517" s="1" t="s">
        <v>107</v>
      </c>
    </row>
    <row r="1518" spans="1:13" x14ac:dyDescent="0.25">
      <c r="A1518" s="1" t="s">
        <v>2595</v>
      </c>
      <c r="B1518" s="1" t="s">
        <v>59</v>
      </c>
      <c r="C1518" s="1" t="s">
        <v>398</v>
      </c>
      <c r="D1518" s="1" t="s">
        <v>39</v>
      </c>
      <c r="E1518" s="1" t="s">
        <v>72</v>
      </c>
      <c r="F1518" s="1" t="s">
        <v>129</v>
      </c>
      <c r="G1518">
        <v>273804</v>
      </c>
      <c r="H1518" s="1" t="s">
        <v>771</v>
      </c>
      <c r="I1518" s="2"/>
      <c r="K1518">
        <v>14.5</v>
      </c>
      <c r="L1518" s="1" t="s">
        <v>29</v>
      </c>
      <c r="M1518" s="1" t="s">
        <v>21</v>
      </c>
    </row>
    <row r="1519" spans="1:13" x14ac:dyDescent="0.25">
      <c r="A1519" s="1" t="s">
        <v>2596</v>
      </c>
      <c r="B1519" s="1" t="s">
        <v>80</v>
      </c>
      <c r="C1519" s="1" t="s">
        <v>983</v>
      </c>
      <c r="D1519" s="1" t="s">
        <v>16</v>
      </c>
      <c r="E1519" s="1" t="s">
        <v>17</v>
      </c>
      <c r="F1519" s="1" t="s">
        <v>129</v>
      </c>
      <c r="G1519">
        <v>248962</v>
      </c>
      <c r="H1519" s="1" t="s">
        <v>537</v>
      </c>
      <c r="I1519" s="2"/>
      <c r="K1519">
        <v>2.2000000000000002</v>
      </c>
      <c r="L1519" s="1" t="s">
        <v>96</v>
      </c>
      <c r="M1519" s="1" t="s">
        <v>21</v>
      </c>
    </row>
    <row r="1520" spans="1:13" x14ac:dyDescent="0.25">
      <c r="A1520" s="1" t="s">
        <v>2597</v>
      </c>
      <c r="B1520" s="1" t="s">
        <v>127</v>
      </c>
      <c r="C1520" s="1" t="s">
        <v>1518</v>
      </c>
      <c r="D1520" s="1" t="s">
        <v>39</v>
      </c>
      <c r="E1520" s="1" t="s">
        <v>61</v>
      </c>
      <c r="F1520" s="1" t="s">
        <v>33</v>
      </c>
      <c r="G1520">
        <v>444743</v>
      </c>
      <c r="H1520" s="1" t="s">
        <v>2598</v>
      </c>
      <c r="I1520" s="2"/>
      <c r="K1520">
        <v>7.4</v>
      </c>
      <c r="L1520" s="1" t="s">
        <v>29</v>
      </c>
      <c r="M1520" s="1" t="s">
        <v>107</v>
      </c>
    </row>
    <row r="1521" spans="1:13" x14ac:dyDescent="0.25">
      <c r="A1521" s="1" t="s">
        <v>2599</v>
      </c>
      <c r="B1521" s="1" t="s">
        <v>104</v>
      </c>
      <c r="C1521" s="1" t="s">
        <v>650</v>
      </c>
      <c r="D1521" s="1" t="s">
        <v>90</v>
      </c>
      <c r="E1521" s="1" t="s">
        <v>51</v>
      </c>
      <c r="F1521" s="1" t="s">
        <v>33</v>
      </c>
      <c r="G1521">
        <v>230330</v>
      </c>
      <c r="H1521" s="1" t="s">
        <v>2600</v>
      </c>
      <c r="I1521" s="2"/>
      <c r="K1521">
        <v>13.9</v>
      </c>
      <c r="L1521" s="1" t="s">
        <v>20</v>
      </c>
      <c r="M1521" s="1" t="s">
        <v>149</v>
      </c>
    </row>
    <row r="1522" spans="1:13" x14ac:dyDescent="0.25">
      <c r="A1522" s="1" t="s">
        <v>2601</v>
      </c>
      <c r="B1522" s="1" t="s">
        <v>104</v>
      </c>
      <c r="C1522" s="1" t="s">
        <v>539</v>
      </c>
      <c r="D1522" s="1" t="s">
        <v>46</v>
      </c>
      <c r="E1522" s="1" t="s">
        <v>47</v>
      </c>
      <c r="F1522" s="1" t="s">
        <v>53</v>
      </c>
      <c r="G1522">
        <v>302736</v>
      </c>
      <c r="H1522" s="1" t="s">
        <v>1085</v>
      </c>
      <c r="I1522" s="2"/>
      <c r="K1522">
        <v>5.2</v>
      </c>
      <c r="L1522" s="1" t="s">
        <v>29</v>
      </c>
      <c r="M1522" s="1" t="s">
        <v>63</v>
      </c>
    </row>
    <row r="1523" spans="1:13" x14ac:dyDescent="0.25">
      <c r="A1523" s="1" t="s">
        <v>2602</v>
      </c>
      <c r="B1523" s="1" t="s">
        <v>44</v>
      </c>
      <c r="C1523" s="1" t="s">
        <v>334</v>
      </c>
      <c r="D1523" s="1" t="s">
        <v>90</v>
      </c>
      <c r="E1523" s="1" t="s">
        <v>77</v>
      </c>
      <c r="F1523" s="1" t="s">
        <v>33</v>
      </c>
      <c r="G1523">
        <v>133756</v>
      </c>
      <c r="H1523" s="1" t="s">
        <v>529</v>
      </c>
      <c r="I1523" s="2"/>
      <c r="L1523" s="1" t="s">
        <v>96</v>
      </c>
      <c r="M1523" s="1" t="s">
        <v>63</v>
      </c>
    </row>
    <row r="1524" spans="1:13" x14ac:dyDescent="0.25">
      <c r="A1524" s="1" t="s">
        <v>2603</v>
      </c>
      <c r="B1524" s="1" t="s">
        <v>127</v>
      </c>
      <c r="C1524" s="1" t="s">
        <v>52</v>
      </c>
      <c r="D1524" s="1" t="s">
        <v>25</v>
      </c>
      <c r="E1524" s="1" t="s">
        <v>17</v>
      </c>
      <c r="F1524" s="1" t="s">
        <v>40</v>
      </c>
      <c r="G1524">
        <v>215780</v>
      </c>
      <c r="H1524" s="1" t="s">
        <v>2287</v>
      </c>
      <c r="I1524" s="2">
        <v>45240</v>
      </c>
      <c r="J1524">
        <v>127</v>
      </c>
      <c r="K1524">
        <v>16.100000000000001</v>
      </c>
      <c r="L1524" s="1" t="s">
        <v>29</v>
      </c>
      <c r="M1524" s="1" t="s">
        <v>102</v>
      </c>
    </row>
    <row r="1525" spans="1:13" x14ac:dyDescent="0.25">
      <c r="A1525" s="1" t="s">
        <v>2604</v>
      </c>
      <c r="B1525" s="1" t="s">
        <v>80</v>
      </c>
      <c r="C1525" s="1" t="s">
        <v>273</v>
      </c>
      <c r="D1525" s="1" t="s">
        <v>39</v>
      </c>
      <c r="E1525" s="1" t="s">
        <v>17</v>
      </c>
      <c r="F1525" s="1" t="s">
        <v>40</v>
      </c>
      <c r="G1525">
        <v>330892</v>
      </c>
      <c r="H1525" s="1" t="s">
        <v>902</v>
      </c>
      <c r="I1525" s="2">
        <v>45688</v>
      </c>
      <c r="J1525">
        <v>176</v>
      </c>
      <c r="K1525">
        <v>2.2000000000000002</v>
      </c>
      <c r="L1525" s="1" t="s">
        <v>49</v>
      </c>
      <c r="M1525" s="1" t="s">
        <v>149</v>
      </c>
    </row>
    <row r="1526" spans="1:13" x14ac:dyDescent="0.25">
      <c r="A1526" s="1" t="s">
        <v>2605</v>
      </c>
      <c r="B1526" s="1" t="s">
        <v>59</v>
      </c>
      <c r="C1526" s="1" t="s">
        <v>944</v>
      </c>
      <c r="D1526" s="1" t="s">
        <v>39</v>
      </c>
      <c r="E1526" s="1" t="s">
        <v>61</v>
      </c>
      <c r="F1526" s="1" t="s">
        <v>129</v>
      </c>
      <c r="G1526">
        <v>335174</v>
      </c>
      <c r="H1526" s="1" t="s">
        <v>201</v>
      </c>
      <c r="I1526" s="2"/>
      <c r="L1526" s="1" t="s">
        <v>29</v>
      </c>
      <c r="M1526" s="1" t="s">
        <v>21</v>
      </c>
    </row>
    <row r="1527" spans="1:13" x14ac:dyDescent="0.25">
      <c r="A1527" s="1" t="s">
        <v>2606</v>
      </c>
      <c r="B1527" s="1" t="s">
        <v>88</v>
      </c>
      <c r="C1527" s="1" t="s">
        <v>205</v>
      </c>
      <c r="D1527" s="1" t="s">
        <v>25</v>
      </c>
      <c r="E1527" s="1" t="s">
        <v>100</v>
      </c>
      <c r="F1527" s="1" t="s">
        <v>33</v>
      </c>
      <c r="G1527">
        <v>476929</v>
      </c>
      <c r="H1527" s="1" t="s">
        <v>1273</v>
      </c>
      <c r="I1527" s="2"/>
      <c r="L1527" s="1" t="s">
        <v>20</v>
      </c>
      <c r="M1527" s="1" t="s">
        <v>35</v>
      </c>
    </row>
    <row r="1528" spans="1:13" x14ac:dyDescent="0.25">
      <c r="A1528" s="1" t="s">
        <v>2607</v>
      </c>
      <c r="B1528" s="1" t="s">
        <v>37</v>
      </c>
      <c r="C1528" s="1" t="s">
        <v>195</v>
      </c>
      <c r="D1528" s="1" t="s">
        <v>25</v>
      </c>
      <c r="E1528" s="1" t="s">
        <v>26</v>
      </c>
      <c r="F1528" s="1" t="s">
        <v>53</v>
      </c>
      <c r="G1528">
        <v>460477</v>
      </c>
      <c r="H1528" s="1" t="s">
        <v>335</v>
      </c>
      <c r="I1528" s="2"/>
      <c r="K1528">
        <v>1.7</v>
      </c>
      <c r="L1528" s="1" t="s">
        <v>20</v>
      </c>
      <c r="M1528" s="1" t="s">
        <v>69</v>
      </c>
    </row>
    <row r="1529" spans="1:13" x14ac:dyDescent="0.25">
      <c r="A1529" s="1" t="s">
        <v>2608</v>
      </c>
      <c r="B1529" s="1" t="s">
        <v>23</v>
      </c>
      <c r="C1529" s="1" t="s">
        <v>874</v>
      </c>
      <c r="D1529" s="1" t="s">
        <v>39</v>
      </c>
      <c r="E1529" s="1" t="s">
        <v>26</v>
      </c>
      <c r="F1529" s="1" t="s">
        <v>53</v>
      </c>
      <c r="G1529">
        <v>191529</v>
      </c>
      <c r="H1529" s="1" t="s">
        <v>2609</v>
      </c>
      <c r="I1529" s="2"/>
      <c r="L1529" s="1" t="s">
        <v>96</v>
      </c>
      <c r="M1529" s="1" t="s">
        <v>149</v>
      </c>
    </row>
    <row r="1530" spans="1:13" x14ac:dyDescent="0.25">
      <c r="A1530" s="1" t="s">
        <v>2610</v>
      </c>
      <c r="B1530" s="1" t="s">
        <v>104</v>
      </c>
      <c r="C1530" s="1" t="s">
        <v>261</v>
      </c>
      <c r="D1530" s="1" t="s">
        <v>90</v>
      </c>
      <c r="E1530" s="1" t="s">
        <v>77</v>
      </c>
      <c r="F1530" s="1" t="s">
        <v>27</v>
      </c>
      <c r="G1530">
        <v>481258</v>
      </c>
      <c r="H1530" s="1" t="s">
        <v>2283</v>
      </c>
      <c r="I1530" s="2"/>
      <c r="K1530">
        <v>1.5</v>
      </c>
      <c r="L1530" s="1" t="s">
        <v>49</v>
      </c>
      <c r="M1530" s="1" t="s">
        <v>107</v>
      </c>
    </row>
    <row r="1531" spans="1:13" x14ac:dyDescent="0.25">
      <c r="A1531" s="1" t="s">
        <v>2611</v>
      </c>
      <c r="B1531" s="1" t="s">
        <v>37</v>
      </c>
      <c r="C1531" s="1" t="s">
        <v>877</v>
      </c>
      <c r="D1531" s="1" t="s">
        <v>90</v>
      </c>
      <c r="E1531" s="1" t="s">
        <v>100</v>
      </c>
      <c r="F1531" s="1" t="s">
        <v>18</v>
      </c>
      <c r="G1531">
        <v>194080</v>
      </c>
      <c r="H1531" s="1" t="s">
        <v>2075</v>
      </c>
      <c r="I1531" s="2">
        <v>45879</v>
      </c>
      <c r="J1531">
        <v>138</v>
      </c>
      <c r="K1531">
        <v>12.5</v>
      </c>
      <c r="L1531" s="1" t="s">
        <v>96</v>
      </c>
      <c r="M1531" s="1" t="s">
        <v>63</v>
      </c>
    </row>
    <row r="1532" spans="1:13" x14ac:dyDescent="0.25">
      <c r="A1532" s="1" t="s">
        <v>2612</v>
      </c>
      <c r="B1532" s="1" t="s">
        <v>127</v>
      </c>
      <c r="C1532" s="1" t="s">
        <v>119</v>
      </c>
      <c r="D1532" s="1" t="s">
        <v>90</v>
      </c>
      <c r="E1532" s="1" t="s">
        <v>72</v>
      </c>
      <c r="F1532" s="1" t="s">
        <v>18</v>
      </c>
      <c r="G1532">
        <v>50125</v>
      </c>
      <c r="H1532" s="1" t="s">
        <v>562</v>
      </c>
      <c r="I1532" s="2">
        <v>45541</v>
      </c>
      <c r="J1532">
        <v>98</v>
      </c>
      <c r="L1532" s="1" t="s">
        <v>96</v>
      </c>
      <c r="M1532" s="1" t="s">
        <v>107</v>
      </c>
    </row>
    <row r="1533" spans="1:13" x14ac:dyDescent="0.25">
      <c r="A1533" s="1" t="s">
        <v>2613</v>
      </c>
      <c r="B1533" s="1" t="s">
        <v>104</v>
      </c>
      <c r="C1533" s="1" t="s">
        <v>1018</v>
      </c>
      <c r="D1533" s="1" t="s">
        <v>16</v>
      </c>
      <c r="E1533" s="1" t="s">
        <v>47</v>
      </c>
      <c r="F1533" s="1" t="s">
        <v>18</v>
      </c>
      <c r="G1533">
        <v>479196</v>
      </c>
      <c r="H1533" s="1" t="s">
        <v>427</v>
      </c>
      <c r="I1533" s="2">
        <v>45009</v>
      </c>
      <c r="J1533">
        <v>65</v>
      </c>
      <c r="K1533">
        <v>1.2</v>
      </c>
      <c r="L1533" s="1" t="s">
        <v>49</v>
      </c>
      <c r="M1533" s="1" t="s">
        <v>35</v>
      </c>
    </row>
    <row r="1534" spans="1:13" x14ac:dyDescent="0.25">
      <c r="A1534" s="1" t="s">
        <v>2614</v>
      </c>
      <c r="B1534" s="1" t="s">
        <v>65</v>
      </c>
      <c r="C1534" s="1" t="s">
        <v>1518</v>
      </c>
      <c r="D1534" s="1" t="s">
        <v>39</v>
      </c>
      <c r="E1534" s="1" t="s">
        <v>26</v>
      </c>
      <c r="F1534" s="1" t="s">
        <v>27</v>
      </c>
      <c r="G1534">
        <v>438500</v>
      </c>
      <c r="H1534" s="1" t="s">
        <v>290</v>
      </c>
      <c r="I1534" s="2"/>
      <c r="L1534" s="1" t="s">
        <v>49</v>
      </c>
      <c r="M1534" s="1" t="s">
        <v>69</v>
      </c>
    </row>
    <row r="1535" spans="1:13" x14ac:dyDescent="0.25">
      <c r="A1535" s="1" t="s">
        <v>2615</v>
      </c>
      <c r="B1535" s="1" t="s">
        <v>65</v>
      </c>
      <c r="C1535" s="1" t="s">
        <v>93</v>
      </c>
      <c r="D1535" s="1" t="s">
        <v>67</v>
      </c>
      <c r="E1535" s="1" t="s">
        <v>94</v>
      </c>
      <c r="F1535" s="1" t="s">
        <v>53</v>
      </c>
      <c r="G1535">
        <v>404059</v>
      </c>
      <c r="H1535" s="1" t="s">
        <v>907</v>
      </c>
      <c r="I1535" s="2"/>
      <c r="K1535">
        <v>1</v>
      </c>
      <c r="L1535" s="1" t="s">
        <v>49</v>
      </c>
      <c r="M1535" s="1" t="s">
        <v>102</v>
      </c>
    </row>
    <row r="1536" spans="1:13" x14ac:dyDescent="0.25">
      <c r="A1536" s="1" t="s">
        <v>2616</v>
      </c>
      <c r="B1536" s="1" t="s">
        <v>173</v>
      </c>
      <c r="C1536" s="1" t="s">
        <v>1248</v>
      </c>
      <c r="D1536" s="1" t="s">
        <v>67</v>
      </c>
      <c r="E1536" s="1" t="s">
        <v>26</v>
      </c>
      <c r="F1536" s="1" t="s">
        <v>129</v>
      </c>
      <c r="G1536">
        <v>327322</v>
      </c>
      <c r="H1536" s="1" t="s">
        <v>2617</v>
      </c>
      <c r="I1536" s="2"/>
      <c r="K1536">
        <v>8</v>
      </c>
      <c r="L1536" s="1" t="s">
        <v>49</v>
      </c>
      <c r="M1536" s="1" t="s">
        <v>42</v>
      </c>
    </row>
    <row r="1537" spans="1:13" x14ac:dyDescent="0.25">
      <c r="A1537" s="1" t="s">
        <v>2618</v>
      </c>
      <c r="B1537" s="1" t="s">
        <v>84</v>
      </c>
      <c r="C1537" s="1" t="s">
        <v>328</v>
      </c>
      <c r="D1537" s="1" t="s">
        <v>46</v>
      </c>
      <c r="E1537" s="1" t="s">
        <v>26</v>
      </c>
      <c r="F1537" s="1" t="s">
        <v>18</v>
      </c>
      <c r="G1537">
        <v>237345</v>
      </c>
      <c r="H1537" s="1" t="s">
        <v>296</v>
      </c>
      <c r="I1537" s="2">
        <v>45623</v>
      </c>
      <c r="J1537">
        <v>78</v>
      </c>
      <c r="L1537" s="1" t="s">
        <v>20</v>
      </c>
      <c r="M1537" s="1" t="s">
        <v>149</v>
      </c>
    </row>
    <row r="1538" spans="1:13" x14ac:dyDescent="0.25">
      <c r="A1538" s="1" t="s">
        <v>2619</v>
      </c>
      <c r="B1538" s="1" t="s">
        <v>84</v>
      </c>
      <c r="C1538" s="1" t="s">
        <v>460</v>
      </c>
      <c r="D1538" s="1" t="s">
        <v>90</v>
      </c>
      <c r="E1538" s="1" t="s">
        <v>47</v>
      </c>
      <c r="F1538" s="1" t="s">
        <v>129</v>
      </c>
      <c r="G1538">
        <v>241772</v>
      </c>
      <c r="H1538" s="1" t="s">
        <v>2620</v>
      </c>
      <c r="I1538" s="2"/>
      <c r="K1538">
        <v>12.8</v>
      </c>
      <c r="L1538" s="1" t="s">
        <v>96</v>
      </c>
      <c r="M1538" s="1" t="s">
        <v>21</v>
      </c>
    </row>
    <row r="1539" spans="1:13" x14ac:dyDescent="0.25">
      <c r="A1539" s="1" t="s">
        <v>2621</v>
      </c>
      <c r="B1539" s="1" t="s">
        <v>98</v>
      </c>
      <c r="C1539" s="1" t="s">
        <v>906</v>
      </c>
      <c r="D1539" s="1" t="s">
        <v>46</v>
      </c>
      <c r="E1539" s="1" t="s">
        <v>61</v>
      </c>
      <c r="F1539" s="1" t="s">
        <v>27</v>
      </c>
      <c r="G1539">
        <v>488609</v>
      </c>
      <c r="H1539" s="1" t="s">
        <v>733</v>
      </c>
      <c r="I1539" s="2"/>
      <c r="K1539">
        <v>9</v>
      </c>
      <c r="L1539" s="1" t="s">
        <v>96</v>
      </c>
      <c r="M1539" s="1" t="s">
        <v>69</v>
      </c>
    </row>
    <row r="1540" spans="1:13" x14ac:dyDescent="0.25">
      <c r="A1540" s="1" t="s">
        <v>2622</v>
      </c>
      <c r="B1540" s="1" t="s">
        <v>14</v>
      </c>
      <c r="C1540" s="1" t="s">
        <v>865</v>
      </c>
      <c r="D1540" s="1" t="s">
        <v>16</v>
      </c>
      <c r="E1540" s="1" t="s">
        <v>17</v>
      </c>
      <c r="F1540" s="1" t="s">
        <v>129</v>
      </c>
      <c r="G1540">
        <v>290135</v>
      </c>
      <c r="H1540" s="1" t="s">
        <v>2623</v>
      </c>
      <c r="I1540" s="2"/>
      <c r="L1540" s="1" t="s">
        <v>96</v>
      </c>
      <c r="M1540" s="1" t="s">
        <v>102</v>
      </c>
    </row>
    <row r="1541" spans="1:13" x14ac:dyDescent="0.25">
      <c r="A1541" s="1" t="s">
        <v>2624</v>
      </c>
      <c r="B1541" s="1" t="s">
        <v>75</v>
      </c>
      <c r="C1541" s="1" t="s">
        <v>198</v>
      </c>
      <c r="D1541" s="1" t="s">
        <v>67</v>
      </c>
      <c r="E1541" s="1" t="s">
        <v>100</v>
      </c>
      <c r="F1541" s="1" t="s">
        <v>129</v>
      </c>
      <c r="G1541">
        <v>361085</v>
      </c>
      <c r="H1541" s="1" t="s">
        <v>2625</v>
      </c>
      <c r="I1541" s="2"/>
      <c r="L1541" s="1" t="s">
        <v>96</v>
      </c>
      <c r="M1541" s="1" t="s">
        <v>69</v>
      </c>
    </row>
    <row r="1542" spans="1:13" x14ac:dyDescent="0.25">
      <c r="A1542" s="1" t="s">
        <v>2626</v>
      </c>
      <c r="B1542" s="1" t="s">
        <v>23</v>
      </c>
      <c r="C1542" s="1" t="s">
        <v>71</v>
      </c>
      <c r="D1542" s="1" t="s">
        <v>25</v>
      </c>
      <c r="E1542" s="1" t="s">
        <v>77</v>
      </c>
      <c r="F1542" s="1" t="s">
        <v>40</v>
      </c>
      <c r="G1542">
        <v>168320</v>
      </c>
      <c r="H1542" s="1" t="s">
        <v>509</v>
      </c>
      <c r="I1542" s="2">
        <v>45091</v>
      </c>
      <c r="J1542">
        <v>19</v>
      </c>
      <c r="K1542">
        <v>22.6</v>
      </c>
      <c r="L1542" s="1" t="s">
        <v>49</v>
      </c>
      <c r="M1542" s="1" t="s">
        <v>30</v>
      </c>
    </row>
    <row r="1543" spans="1:13" x14ac:dyDescent="0.25">
      <c r="A1543" s="1" t="s">
        <v>2627</v>
      </c>
      <c r="B1543" s="1" t="s">
        <v>75</v>
      </c>
      <c r="C1543" s="1" t="s">
        <v>882</v>
      </c>
      <c r="D1543" s="1" t="s">
        <v>67</v>
      </c>
      <c r="E1543" s="1" t="s">
        <v>61</v>
      </c>
      <c r="F1543" s="1" t="s">
        <v>40</v>
      </c>
      <c r="G1543">
        <v>424756</v>
      </c>
      <c r="H1543" s="1" t="s">
        <v>2209</v>
      </c>
      <c r="I1543" s="2">
        <v>45700</v>
      </c>
      <c r="J1543">
        <v>28</v>
      </c>
      <c r="K1543">
        <v>12.4</v>
      </c>
      <c r="L1543" s="1" t="s">
        <v>96</v>
      </c>
      <c r="M1543" s="1" t="s">
        <v>63</v>
      </c>
    </row>
    <row r="1544" spans="1:13" x14ac:dyDescent="0.25">
      <c r="A1544" s="1" t="s">
        <v>2628</v>
      </c>
      <c r="B1544" s="1" t="s">
        <v>88</v>
      </c>
      <c r="C1544" s="1" t="s">
        <v>1170</v>
      </c>
      <c r="D1544" s="1" t="s">
        <v>39</v>
      </c>
      <c r="E1544" s="1" t="s">
        <v>17</v>
      </c>
      <c r="F1544" s="1" t="s">
        <v>129</v>
      </c>
      <c r="G1544">
        <v>177890</v>
      </c>
      <c r="H1544" s="1" t="s">
        <v>623</v>
      </c>
      <c r="I1544" s="2"/>
      <c r="K1544">
        <v>13.8</v>
      </c>
      <c r="L1544" s="1" t="s">
        <v>49</v>
      </c>
      <c r="M1544" s="1" t="s">
        <v>69</v>
      </c>
    </row>
    <row r="1545" spans="1:13" x14ac:dyDescent="0.25">
      <c r="A1545" s="1" t="s">
        <v>2629</v>
      </c>
      <c r="B1545" s="1" t="s">
        <v>88</v>
      </c>
      <c r="C1545" s="1" t="s">
        <v>138</v>
      </c>
      <c r="D1545" s="1" t="s">
        <v>16</v>
      </c>
      <c r="E1545" s="1" t="s">
        <v>100</v>
      </c>
      <c r="F1545" s="1" t="s">
        <v>33</v>
      </c>
      <c r="G1545">
        <v>442984</v>
      </c>
      <c r="H1545" s="1" t="s">
        <v>2630</v>
      </c>
      <c r="I1545" s="2"/>
      <c r="K1545">
        <v>13.2</v>
      </c>
      <c r="L1545" s="1" t="s">
        <v>20</v>
      </c>
      <c r="M1545" s="1" t="s">
        <v>149</v>
      </c>
    </row>
    <row r="1546" spans="1:13" x14ac:dyDescent="0.25">
      <c r="A1546" s="1" t="s">
        <v>2631</v>
      </c>
      <c r="B1546" s="1" t="s">
        <v>104</v>
      </c>
      <c r="C1546" s="1" t="s">
        <v>2211</v>
      </c>
      <c r="D1546" s="1" t="s">
        <v>67</v>
      </c>
      <c r="E1546" s="1" t="s">
        <v>72</v>
      </c>
      <c r="F1546" s="1" t="s">
        <v>33</v>
      </c>
      <c r="G1546">
        <v>411195</v>
      </c>
      <c r="H1546" s="1" t="s">
        <v>1508</v>
      </c>
      <c r="I1546" s="2"/>
      <c r="K1546">
        <v>7.2</v>
      </c>
      <c r="L1546" s="1" t="s">
        <v>49</v>
      </c>
      <c r="M1546" s="1" t="s">
        <v>42</v>
      </c>
    </row>
    <row r="1547" spans="1:13" x14ac:dyDescent="0.25">
      <c r="A1547" s="1" t="s">
        <v>2632</v>
      </c>
      <c r="B1547" s="1" t="s">
        <v>127</v>
      </c>
      <c r="C1547" s="1" t="s">
        <v>1087</v>
      </c>
      <c r="D1547" s="1" t="s">
        <v>25</v>
      </c>
      <c r="E1547" s="1" t="s">
        <v>61</v>
      </c>
      <c r="F1547" s="1" t="s">
        <v>129</v>
      </c>
      <c r="G1547">
        <v>370598</v>
      </c>
      <c r="H1547" s="1" t="s">
        <v>2633</v>
      </c>
      <c r="I1547" s="2"/>
      <c r="K1547">
        <v>6</v>
      </c>
      <c r="L1547" s="1" t="s">
        <v>49</v>
      </c>
      <c r="M1547" s="1" t="s">
        <v>42</v>
      </c>
    </row>
    <row r="1548" spans="1:13" x14ac:dyDescent="0.25">
      <c r="A1548" s="1" t="s">
        <v>2634</v>
      </c>
      <c r="B1548" s="1" t="s">
        <v>98</v>
      </c>
      <c r="C1548" s="1" t="s">
        <v>300</v>
      </c>
      <c r="D1548" s="1" t="s">
        <v>46</v>
      </c>
      <c r="E1548" s="1" t="s">
        <v>26</v>
      </c>
      <c r="F1548" s="1" t="s">
        <v>40</v>
      </c>
      <c r="G1548">
        <v>325831</v>
      </c>
      <c r="H1548" s="1" t="s">
        <v>2635</v>
      </c>
      <c r="I1548" s="2">
        <v>45669</v>
      </c>
      <c r="J1548">
        <v>77</v>
      </c>
      <c r="K1548">
        <v>13</v>
      </c>
      <c r="L1548" s="1" t="s">
        <v>96</v>
      </c>
      <c r="M1548" s="1" t="s">
        <v>42</v>
      </c>
    </row>
    <row r="1549" spans="1:13" x14ac:dyDescent="0.25">
      <c r="A1549" s="1" t="s">
        <v>2636</v>
      </c>
      <c r="B1549" s="1" t="s">
        <v>23</v>
      </c>
      <c r="C1549" s="1" t="s">
        <v>151</v>
      </c>
      <c r="D1549" s="1" t="s">
        <v>16</v>
      </c>
      <c r="E1549" s="1" t="s">
        <v>94</v>
      </c>
      <c r="F1549" s="1" t="s">
        <v>33</v>
      </c>
      <c r="G1549">
        <v>195408</v>
      </c>
      <c r="H1549" s="1" t="s">
        <v>136</v>
      </c>
      <c r="I1549" s="2"/>
      <c r="L1549" s="1" t="s">
        <v>96</v>
      </c>
      <c r="M1549" s="1" t="s">
        <v>42</v>
      </c>
    </row>
    <row r="1550" spans="1:13" x14ac:dyDescent="0.25">
      <c r="A1550" s="1" t="s">
        <v>2637</v>
      </c>
      <c r="B1550" s="1" t="s">
        <v>37</v>
      </c>
      <c r="C1550" s="1" t="s">
        <v>564</v>
      </c>
      <c r="D1550" s="1" t="s">
        <v>16</v>
      </c>
      <c r="E1550" s="1" t="s">
        <v>26</v>
      </c>
      <c r="F1550" s="1" t="s">
        <v>33</v>
      </c>
      <c r="G1550">
        <v>230718</v>
      </c>
      <c r="H1550" s="1" t="s">
        <v>2638</v>
      </c>
      <c r="I1550" s="2"/>
      <c r="K1550">
        <v>13.4</v>
      </c>
      <c r="L1550" s="1" t="s">
        <v>20</v>
      </c>
      <c r="M1550" s="1" t="s">
        <v>30</v>
      </c>
    </row>
    <row r="1551" spans="1:13" x14ac:dyDescent="0.25">
      <c r="A1551" s="1" t="s">
        <v>2639</v>
      </c>
      <c r="B1551" s="1" t="s">
        <v>84</v>
      </c>
      <c r="C1551" s="1" t="s">
        <v>720</v>
      </c>
      <c r="D1551" s="1" t="s">
        <v>67</v>
      </c>
      <c r="E1551" s="1" t="s">
        <v>26</v>
      </c>
      <c r="F1551" s="1" t="s">
        <v>129</v>
      </c>
      <c r="G1551">
        <v>297439</v>
      </c>
      <c r="H1551" s="1" t="s">
        <v>2640</v>
      </c>
      <c r="I1551" s="2"/>
      <c r="K1551">
        <v>9.6999999999999993</v>
      </c>
      <c r="L1551" s="1" t="s">
        <v>29</v>
      </c>
      <c r="M1551" s="1" t="s">
        <v>107</v>
      </c>
    </row>
    <row r="1552" spans="1:13" x14ac:dyDescent="0.25">
      <c r="A1552" s="1" t="s">
        <v>2641</v>
      </c>
      <c r="B1552" s="1" t="s">
        <v>127</v>
      </c>
      <c r="C1552" s="1" t="s">
        <v>287</v>
      </c>
      <c r="D1552" s="1" t="s">
        <v>16</v>
      </c>
      <c r="E1552" s="1" t="s">
        <v>100</v>
      </c>
      <c r="F1552" s="1" t="s">
        <v>129</v>
      </c>
      <c r="G1552">
        <v>397897</v>
      </c>
      <c r="H1552" s="1" t="s">
        <v>850</v>
      </c>
      <c r="I1552" s="2"/>
      <c r="L1552" s="1" t="s">
        <v>49</v>
      </c>
      <c r="M1552" s="1" t="s">
        <v>35</v>
      </c>
    </row>
    <row r="1553" spans="1:13" x14ac:dyDescent="0.25">
      <c r="A1553" s="1" t="s">
        <v>2642</v>
      </c>
      <c r="B1553" s="1" t="s">
        <v>88</v>
      </c>
      <c r="C1553" s="1" t="s">
        <v>983</v>
      </c>
      <c r="D1553" s="1" t="s">
        <v>39</v>
      </c>
      <c r="E1553" s="1" t="s">
        <v>72</v>
      </c>
      <c r="F1553" s="1" t="s">
        <v>33</v>
      </c>
      <c r="G1553">
        <v>358700</v>
      </c>
      <c r="H1553" s="1" t="s">
        <v>1012</v>
      </c>
      <c r="I1553" s="2"/>
      <c r="L1553" s="1" t="s">
        <v>20</v>
      </c>
      <c r="M1553" s="1" t="s">
        <v>42</v>
      </c>
    </row>
    <row r="1554" spans="1:13" x14ac:dyDescent="0.25">
      <c r="A1554" s="1" t="s">
        <v>2643</v>
      </c>
      <c r="B1554" s="1" t="s">
        <v>65</v>
      </c>
      <c r="C1554" s="1" t="s">
        <v>735</v>
      </c>
      <c r="D1554" s="1" t="s">
        <v>67</v>
      </c>
      <c r="E1554" s="1" t="s">
        <v>51</v>
      </c>
      <c r="F1554" s="1" t="s">
        <v>129</v>
      </c>
      <c r="G1554">
        <v>261811</v>
      </c>
      <c r="H1554" s="1" t="s">
        <v>1941</v>
      </c>
      <c r="I1554" s="2"/>
      <c r="K1554">
        <v>9.8000000000000007</v>
      </c>
      <c r="L1554" s="1" t="s">
        <v>49</v>
      </c>
      <c r="M1554" s="1" t="s">
        <v>63</v>
      </c>
    </row>
    <row r="1555" spans="1:13" x14ac:dyDescent="0.25">
      <c r="A1555" s="1" t="s">
        <v>2644</v>
      </c>
      <c r="B1555" s="1" t="s">
        <v>127</v>
      </c>
      <c r="C1555" s="1" t="s">
        <v>1136</v>
      </c>
      <c r="D1555" s="1" t="s">
        <v>16</v>
      </c>
      <c r="E1555" s="1" t="s">
        <v>72</v>
      </c>
      <c r="F1555" s="1" t="s">
        <v>129</v>
      </c>
      <c r="G1555">
        <v>981493</v>
      </c>
      <c r="H1555" s="1" t="s">
        <v>604</v>
      </c>
      <c r="I1555" s="2"/>
      <c r="K1555">
        <v>9.3000000000000007</v>
      </c>
      <c r="L1555" s="1" t="s">
        <v>29</v>
      </c>
      <c r="M1555" s="1" t="s">
        <v>107</v>
      </c>
    </row>
    <row r="1556" spans="1:13" x14ac:dyDescent="0.25">
      <c r="A1556" s="1" t="s">
        <v>2645</v>
      </c>
      <c r="B1556" s="1" t="s">
        <v>127</v>
      </c>
      <c r="C1556" s="1" t="s">
        <v>616</v>
      </c>
      <c r="D1556" s="1" t="s">
        <v>16</v>
      </c>
      <c r="E1556" s="1" t="s">
        <v>26</v>
      </c>
      <c r="F1556" s="1" t="s">
        <v>53</v>
      </c>
      <c r="G1556">
        <v>257410</v>
      </c>
      <c r="H1556" s="1" t="s">
        <v>1625</v>
      </c>
      <c r="I1556" s="2"/>
      <c r="K1556">
        <v>6.1</v>
      </c>
      <c r="L1556" s="1" t="s">
        <v>49</v>
      </c>
      <c r="M1556" s="1" t="s">
        <v>21</v>
      </c>
    </row>
    <row r="1557" spans="1:13" x14ac:dyDescent="0.25">
      <c r="A1557" s="1" t="s">
        <v>2646</v>
      </c>
      <c r="B1557" s="1" t="s">
        <v>65</v>
      </c>
      <c r="C1557" s="1" t="s">
        <v>980</v>
      </c>
      <c r="D1557" s="1" t="s">
        <v>46</v>
      </c>
      <c r="E1557" s="1" t="s">
        <v>26</v>
      </c>
      <c r="F1557" s="1" t="s">
        <v>40</v>
      </c>
      <c r="G1557">
        <v>128428</v>
      </c>
      <c r="H1557" s="1" t="s">
        <v>2647</v>
      </c>
      <c r="I1557" s="2">
        <v>45740</v>
      </c>
      <c r="J1557">
        <v>113</v>
      </c>
      <c r="K1557">
        <v>17.899999999999999</v>
      </c>
      <c r="L1557" s="1" t="s">
        <v>96</v>
      </c>
      <c r="M1557" s="1" t="s">
        <v>42</v>
      </c>
    </row>
    <row r="1558" spans="1:13" x14ac:dyDescent="0.25">
      <c r="A1558" s="1" t="s">
        <v>2648</v>
      </c>
      <c r="B1558" s="1" t="s">
        <v>84</v>
      </c>
      <c r="C1558" s="1" t="s">
        <v>679</v>
      </c>
      <c r="D1558" s="1" t="s">
        <v>90</v>
      </c>
      <c r="E1558" s="1" t="s">
        <v>94</v>
      </c>
      <c r="F1558" s="1" t="s">
        <v>33</v>
      </c>
      <c r="G1558">
        <v>411048</v>
      </c>
      <c r="H1558" s="1" t="s">
        <v>537</v>
      </c>
      <c r="I1558" s="2"/>
      <c r="K1558">
        <v>8.3000000000000007</v>
      </c>
      <c r="L1558" s="1" t="s">
        <v>29</v>
      </c>
      <c r="M1558" s="1" t="s">
        <v>21</v>
      </c>
    </row>
    <row r="1559" spans="1:13" x14ac:dyDescent="0.25">
      <c r="A1559" s="1" t="s">
        <v>2649</v>
      </c>
      <c r="B1559" s="1" t="s">
        <v>127</v>
      </c>
      <c r="C1559" s="1" t="s">
        <v>972</v>
      </c>
      <c r="D1559" s="1" t="s">
        <v>39</v>
      </c>
      <c r="E1559" s="1" t="s">
        <v>26</v>
      </c>
      <c r="F1559" s="1" t="s">
        <v>33</v>
      </c>
      <c r="G1559">
        <v>456497</v>
      </c>
      <c r="H1559" s="1" t="s">
        <v>329</v>
      </c>
      <c r="I1559" s="2"/>
      <c r="K1559">
        <v>4.3</v>
      </c>
      <c r="L1559" s="1" t="s">
        <v>20</v>
      </c>
      <c r="M1559" s="1" t="s">
        <v>102</v>
      </c>
    </row>
    <row r="1560" spans="1:13" x14ac:dyDescent="0.25">
      <c r="A1560" s="1" t="s">
        <v>2650</v>
      </c>
      <c r="B1560" s="1" t="s">
        <v>88</v>
      </c>
      <c r="C1560" s="1" t="s">
        <v>110</v>
      </c>
      <c r="D1560" s="1" t="s">
        <v>46</v>
      </c>
      <c r="E1560" s="1" t="s">
        <v>17</v>
      </c>
      <c r="F1560" s="1" t="s">
        <v>53</v>
      </c>
      <c r="G1560">
        <v>194304</v>
      </c>
      <c r="H1560" s="1" t="s">
        <v>211</v>
      </c>
      <c r="I1560" s="2"/>
      <c r="K1560">
        <v>12.7</v>
      </c>
      <c r="L1560" s="1" t="s">
        <v>49</v>
      </c>
      <c r="M1560" s="1" t="s">
        <v>30</v>
      </c>
    </row>
    <row r="1561" spans="1:13" x14ac:dyDescent="0.25">
      <c r="A1561" s="1" t="s">
        <v>2651</v>
      </c>
      <c r="B1561" s="1" t="s">
        <v>44</v>
      </c>
      <c r="C1561" s="1" t="s">
        <v>298</v>
      </c>
      <c r="D1561" s="1" t="s">
        <v>46</v>
      </c>
      <c r="E1561" s="1" t="s">
        <v>47</v>
      </c>
      <c r="F1561" s="1" t="s">
        <v>33</v>
      </c>
      <c r="G1561">
        <v>398215</v>
      </c>
      <c r="H1561" s="1" t="s">
        <v>1259</v>
      </c>
      <c r="I1561" s="2"/>
      <c r="K1561">
        <v>7.2</v>
      </c>
      <c r="L1561" s="1" t="s">
        <v>96</v>
      </c>
      <c r="M1561" s="1" t="s">
        <v>35</v>
      </c>
    </row>
    <row r="1562" spans="1:13" x14ac:dyDescent="0.25">
      <c r="A1562" s="1" t="s">
        <v>2652</v>
      </c>
      <c r="B1562" s="1" t="s">
        <v>88</v>
      </c>
      <c r="C1562" s="1" t="s">
        <v>390</v>
      </c>
      <c r="D1562" s="1" t="s">
        <v>25</v>
      </c>
      <c r="E1562" s="1" t="s">
        <v>47</v>
      </c>
      <c r="F1562" s="1" t="s">
        <v>40</v>
      </c>
      <c r="G1562">
        <v>127314</v>
      </c>
      <c r="H1562" s="1" t="s">
        <v>461</v>
      </c>
      <c r="I1562" s="2">
        <v>45716</v>
      </c>
      <c r="J1562">
        <v>57</v>
      </c>
      <c r="K1562">
        <v>19.8</v>
      </c>
      <c r="L1562" s="1" t="s">
        <v>20</v>
      </c>
      <c r="M1562" s="1" t="s">
        <v>63</v>
      </c>
    </row>
    <row r="1563" spans="1:13" x14ac:dyDescent="0.25">
      <c r="A1563" s="1" t="s">
        <v>1307</v>
      </c>
      <c r="B1563" s="1" t="s">
        <v>127</v>
      </c>
      <c r="C1563" s="1" t="s">
        <v>1308</v>
      </c>
      <c r="D1563" s="1" t="s">
        <v>25</v>
      </c>
      <c r="E1563" s="1" t="s">
        <v>72</v>
      </c>
      <c r="F1563" s="1" t="s">
        <v>129</v>
      </c>
      <c r="G1563">
        <v>252748</v>
      </c>
      <c r="H1563" s="1" t="s">
        <v>798</v>
      </c>
      <c r="I1563" s="2"/>
      <c r="L1563" s="1" t="s">
        <v>49</v>
      </c>
      <c r="M1563" s="1" t="s">
        <v>30</v>
      </c>
    </row>
    <row r="1564" spans="1:13" x14ac:dyDescent="0.25">
      <c r="A1564" s="1" t="s">
        <v>2653</v>
      </c>
      <c r="B1564" s="1" t="s">
        <v>75</v>
      </c>
      <c r="C1564" s="1" t="s">
        <v>430</v>
      </c>
      <c r="D1564" s="1" t="s">
        <v>16</v>
      </c>
      <c r="E1564" s="1" t="s">
        <v>77</v>
      </c>
      <c r="F1564" s="1" t="s">
        <v>40</v>
      </c>
      <c r="G1564">
        <v>264786</v>
      </c>
      <c r="H1564" s="1" t="s">
        <v>511</v>
      </c>
      <c r="I1564" s="2">
        <v>45393</v>
      </c>
      <c r="J1564">
        <v>82</v>
      </c>
      <c r="K1564">
        <v>7.5</v>
      </c>
      <c r="L1564" s="1" t="s">
        <v>96</v>
      </c>
      <c r="M1564" s="1" t="s">
        <v>69</v>
      </c>
    </row>
    <row r="1565" spans="1:13" x14ac:dyDescent="0.25">
      <c r="A1565" s="1" t="s">
        <v>2654</v>
      </c>
      <c r="B1565" s="1" t="s">
        <v>14</v>
      </c>
      <c r="C1565" s="1" t="s">
        <v>552</v>
      </c>
      <c r="D1565" s="1" t="s">
        <v>67</v>
      </c>
      <c r="E1565" s="1" t="s">
        <v>26</v>
      </c>
      <c r="F1565" s="1" t="s">
        <v>27</v>
      </c>
      <c r="G1565">
        <v>337176</v>
      </c>
      <c r="H1565" s="1" t="s">
        <v>319</v>
      </c>
      <c r="I1565" s="2"/>
      <c r="K1565">
        <v>4.0999999999999996</v>
      </c>
      <c r="L1565" s="1" t="s">
        <v>29</v>
      </c>
      <c r="M1565" s="1" t="s">
        <v>69</v>
      </c>
    </row>
    <row r="1566" spans="1:13" x14ac:dyDescent="0.25">
      <c r="A1566" s="1" t="s">
        <v>2655</v>
      </c>
      <c r="B1566" s="1" t="s">
        <v>59</v>
      </c>
      <c r="C1566" s="1" t="s">
        <v>295</v>
      </c>
      <c r="D1566" s="1" t="s">
        <v>25</v>
      </c>
      <c r="E1566" s="1" t="s">
        <v>100</v>
      </c>
      <c r="F1566" s="1" t="s">
        <v>18</v>
      </c>
      <c r="G1566">
        <v>302877</v>
      </c>
      <c r="H1566" s="1" t="s">
        <v>268</v>
      </c>
      <c r="I1566" s="2">
        <v>45476</v>
      </c>
      <c r="J1566">
        <v>72</v>
      </c>
      <c r="L1566" s="1" t="s">
        <v>96</v>
      </c>
      <c r="M1566" s="1" t="s">
        <v>107</v>
      </c>
    </row>
    <row r="1567" spans="1:13" x14ac:dyDescent="0.25">
      <c r="A1567" s="1" t="s">
        <v>2656</v>
      </c>
      <c r="B1567" s="1" t="s">
        <v>14</v>
      </c>
      <c r="C1567" s="1" t="s">
        <v>805</v>
      </c>
      <c r="D1567" s="1" t="s">
        <v>25</v>
      </c>
      <c r="E1567" s="1" t="s">
        <v>77</v>
      </c>
      <c r="F1567" s="1" t="s">
        <v>27</v>
      </c>
      <c r="G1567">
        <v>56494</v>
      </c>
      <c r="H1567" s="1" t="s">
        <v>2657</v>
      </c>
      <c r="I1567" s="2"/>
      <c r="K1567">
        <v>14.8</v>
      </c>
      <c r="L1567" s="1" t="s">
        <v>29</v>
      </c>
      <c r="M1567" s="1" t="s">
        <v>107</v>
      </c>
    </row>
    <row r="1568" spans="1:13" x14ac:dyDescent="0.25">
      <c r="A1568" s="1" t="s">
        <v>2658</v>
      </c>
      <c r="B1568" s="1" t="s">
        <v>37</v>
      </c>
      <c r="C1568" s="1" t="s">
        <v>381</v>
      </c>
      <c r="D1568" s="1" t="s">
        <v>39</v>
      </c>
      <c r="E1568" s="1" t="s">
        <v>47</v>
      </c>
      <c r="F1568" s="1" t="s">
        <v>18</v>
      </c>
      <c r="G1568">
        <v>369919</v>
      </c>
      <c r="H1568" s="1" t="s">
        <v>2659</v>
      </c>
      <c r="I1568" s="2">
        <v>45356</v>
      </c>
      <c r="J1568">
        <v>180</v>
      </c>
      <c r="K1568">
        <v>6.8</v>
      </c>
      <c r="L1568" s="1" t="s">
        <v>20</v>
      </c>
      <c r="M1568" s="1" t="s">
        <v>102</v>
      </c>
    </row>
    <row r="1569" spans="1:13" x14ac:dyDescent="0.25">
      <c r="A1569" s="1" t="s">
        <v>2660</v>
      </c>
      <c r="B1569" s="1" t="s">
        <v>44</v>
      </c>
      <c r="C1569" s="1" t="s">
        <v>186</v>
      </c>
      <c r="D1569" s="1" t="s">
        <v>25</v>
      </c>
      <c r="E1569" s="1" t="s">
        <v>26</v>
      </c>
      <c r="F1569" s="1" t="s">
        <v>53</v>
      </c>
      <c r="G1569">
        <v>459382</v>
      </c>
      <c r="H1569" s="1" t="s">
        <v>567</v>
      </c>
      <c r="I1569" s="2"/>
      <c r="K1569">
        <v>0.2</v>
      </c>
      <c r="L1569" s="1" t="s">
        <v>96</v>
      </c>
      <c r="M1569" s="1" t="s">
        <v>42</v>
      </c>
    </row>
    <row r="1570" spans="1:13" x14ac:dyDescent="0.25">
      <c r="A1570" s="1" t="s">
        <v>2661</v>
      </c>
      <c r="B1570" s="1" t="s">
        <v>88</v>
      </c>
      <c r="C1570" s="1" t="s">
        <v>454</v>
      </c>
      <c r="D1570" s="1" t="s">
        <v>46</v>
      </c>
      <c r="E1570" s="1" t="s">
        <v>51</v>
      </c>
      <c r="F1570" s="1" t="s">
        <v>129</v>
      </c>
      <c r="G1570">
        <v>170466</v>
      </c>
      <c r="H1570" s="1" t="s">
        <v>421</v>
      </c>
      <c r="I1570" s="2"/>
      <c r="L1570" s="1" t="s">
        <v>49</v>
      </c>
      <c r="M1570" s="1" t="s">
        <v>69</v>
      </c>
    </row>
    <row r="1571" spans="1:13" x14ac:dyDescent="0.25">
      <c r="A1571" s="1" t="s">
        <v>2662</v>
      </c>
      <c r="B1571" s="1" t="s">
        <v>127</v>
      </c>
      <c r="C1571" s="1" t="s">
        <v>1144</v>
      </c>
      <c r="D1571" s="1" t="s">
        <v>25</v>
      </c>
      <c r="E1571" s="1" t="s">
        <v>100</v>
      </c>
      <c r="F1571" s="1" t="s">
        <v>53</v>
      </c>
      <c r="G1571">
        <v>302320</v>
      </c>
      <c r="H1571" s="1" t="s">
        <v>152</v>
      </c>
      <c r="I1571" s="2"/>
      <c r="K1571">
        <v>0.3</v>
      </c>
      <c r="L1571" s="1" t="s">
        <v>29</v>
      </c>
      <c r="M1571" s="1" t="s">
        <v>30</v>
      </c>
    </row>
    <row r="1572" spans="1:13" x14ac:dyDescent="0.25">
      <c r="A1572" s="1" t="s">
        <v>2663</v>
      </c>
      <c r="B1572" s="1" t="s">
        <v>44</v>
      </c>
      <c r="C1572" s="1" t="s">
        <v>906</v>
      </c>
      <c r="D1572" s="1" t="s">
        <v>39</v>
      </c>
      <c r="E1572" s="1" t="s">
        <v>72</v>
      </c>
      <c r="F1572" s="1" t="s">
        <v>40</v>
      </c>
      <c r="G1572">
        <v>432261</v>
      </c>
      <c r="H1572" s="1" t="s">
        <v>1096</v>
      </c>
      <c r="I1572" s="2">
        <v>45244</v>
      </c>
      <c r="J1572">
        <v>66</v>
      </c>
      <c r="K1572">
        <v>18.399999999999999</v>
      </c>
      <c r="L1572" s="1" t="s">
        <v>29</v>
      </c>
      <c r="M1572" s="1" t="s">
        <v>102</v>
      </c>
    </row>
    <row r="1573" spans="1:13" x14ac:dyDescent="0.25">
      <c r="A1573" s="1" t="s">
        <v>2664</v>
      </c>
      <c r="B1573" s="1" t="s">
        <v>65</v>
      </c>
      <c r="C1573" s="1" t="s">
        <v>869</v>
      </c>
      <c r="D1573" s="1" t="s">
        <v>90</v>
      </c>
      <c r="E1573" s="1" t="s">
        <v>94</v>
      </c>
      <c r="F1573" s="1" t="s">
        <v>33</v>
      </c>
      <c r="G1573">
        <v>468226</v>
      </c>
      <c r="H1573" s="1" t="s">
        <v>2214</v>
      </c>
      <c r="I1573" s="2"/>
      <c r="L1573" s="1" t="s">
        <v>29</v>
      </c>
      <c r="M1573" s="1" t="s">
        <v>42</v>
      </c>
    </row>
    <row r="1574" spans="1:13" x14ac:dyDescent="0.25">
      <c r="A1574" s="1" t="s">
        <v>2665</v>
      </c>
      <c r="B1574" s="1" t="s">
        <v>98</v>
      </c>
      <c r="C1574" s="1" t="s">
        <v>667</v>
      </c>
      <c r="D1574" s="1" t="s">
        <v>25</v>
      </c>
      <c r="E1574" s="1" t="s">
        <v>94</v>
      </c>
      <c r="F1574" s="1" t="s">
        <v>129</v>
      </c>
      <c r="G1574">
        <v>105498</v>
      </c>
      <c r="H1574" s="1" t="s">
        <v>537</v>
      </c>
      <c r="I1574" s="2"/>
      <c r="K1574">
        <v>4.5</v>
      </c>
      <c r="L1574" s="1" t="s">
        <v>20</v>
      </c>
      <c r="M1574" s="1" t="s">
        <v>21</v>
      </c>
    </row>
    <row r="1575" spans="1:13" x14ac:dyDescent="0.25">
      <c r="A1575" s="1" t="s">
        <v>2666</v>
      </c>
      <c r="B1575" s="1" t="s">
        <v>37</v>
      </c>
      <c r="C1575" s="1" t="s">
        <v>32</v>
      </c>
      <c r="D1575" s="1" t="s">
        <v>67</v>
      </c>
      <c r="E1575" s="1" t="s">
        <v>47</v>
      </c>
      <c r="F1575" s="1" t="s">
        <v>40</v>
      </c>
      <c r="G1575">
        <v>491503</v>
      </c>
      <c r="H1575" s="1" t="s">
        <v>2667</v>
      </c>
      <c r="I1575" s="2">
        <v>45654</v>
      </c>
      <c r="J1575">
        <v>120</v>
      </c>
      <c r="K1575">
        <v>17.5</v>
      </c>
      <c r="L1575" s="1" t="s">
        <v>29</v>
      </c>
      <c r="M1575" s="1" t="s">
        <v>149</v>
      </c>
    </row>
    <row r="1576" spans="1:13" x14ac:dyDescent="0.25">
      <c r="A1576" s="1" t="s">
        <v>236</v>
      </c>
      <c r="B1576" s="1" t="s">
        <v>59</v>
      </c>
      <c r="C1576" s="1" t="s">
        <v>237</v>
      </c>
      <c r="D1576" s="1" t="s">
        <v>67</v>
      </c>
      <c r="E1576" s="1" t="s">
        <v>77</v>
      </c>
      <c r="F1576" s="1" t="s">
        <v>33</v>
      </c>
      <c r="G1576">
        <v>499086</v>
      </c>
      <c r="H1576" s="1" t="s">
        <v>238</v>
      </c>
      <c r="I1576" s="2"/>
      <c r="K1576">
        <v>4.9000000000000004</v>
      </c>
      <c r="L1576" s="1" t="s">
        <v>49</v>
      </c>
      <c r="M1576" s="1" t="s">
        <v>35</v>
      </c>
    </row>
    <row r="1577" spans="1:13" x14ac:dyDescent="0.25">
      <c r="A1577" s="1" t="s">
        <v>2668</v>
      </c>
      <c r="B1577" s="1" t="s">
        <v>98</v>
      </c>
      <c r="C1577" s="1" t="s">
        <v>387</v>
      </c>
      <c r="D1577" s="1" t="s">
        <v>39</v>
      </c>
      <c r="E1577" s="1" t="s">
        <v>100</v>
      </c>
      <c r="F1577" s="1" t="s">
        <v>18</v>
      </c>
      <c r="G1577">
        <v>133522</v>
      </c>
      <c r="H1577" s="1" t="s">
        <v>2669</v>
      </c>
      <c r="I1577" s="2">
        <v>45216</v>
      </c>
      <c r="J1577">
        <v>171</v>
      </c>
      <c r="K1577">
        <v>2</v>
      </c>
      <c r="L1577" s="1" t="s">
        <v>29</v>
      </c>
      <c r="M1577" s="1" t="s">
        <v>30</v>
      </c>
    </row>
    <row r="1578" spans="1:13" x14ac:dyDescent="0.25">
      <c r="A1578" s="1" t="s">
        <v>2670</v>
      </c>
      <c r="B1578" s="1" t="s">
        <v>80</v>
      </c>
      <c r="C1578" s="1" t="s">
        <v>790</v>
      </c>
      <c r="D1578" s="1" t="s">
        <v>39</v>
      </c>
      <c r="E1578" s="1" t="s">
        <v>47</v>
      </c>
      <c r="F1578" s="1" t="s">
        <v>129</v>
      </c>
      <c r="G1578">
        <v>95871</v>
      </c>
      <c r="H1578" s="1" t="s">
        <v>1134</v>
      </c>
      <c r="I1578" s="2"/>
      <c r="K1578">
        <v>6.1</v>
      </c>
      <c r="L1578" s="1" t="s">
        <v>49</v>
      </c>
      <c r="M1578" s="1" t="s">
        <v>35</v>
      </c>
    </row>
    <row r="1579" spans="1:13" x14ac:dyDescent="0.25">
      <c r="A1579" s="1" t="s">
        <v>2671</v>
      </c>
      <c r="B1579" s="1" t="s">
        <v>127</v>
      </c>
      <c r="C1579" s="1" t="s">
        <v>449</v>
      </c>
      <c r="D1579" s="1" t="s">
        <v>67</v>
      </c>
      <c r="E1579" s="1" t="s">
        <v>77</v>
      </c>
      <c r="F1579" s="1" t="s">
        <v>18</v>
      </c>
      <c r="G1579">
        <v>398453</v>
      </c>
      <c r="H1579" s="1" t="s">
        <v>1779</v>
      </c>
      <c r="I1579" s="2">
        <v>45756</v>
      </c>
      <c r="J1579">
        <v>146</v>
      </c>
      <c r="L1579" s="1" t="s">
        <v>29</v>
      </c>
      <c r="M1579" s="1" t="s">
        <v>42</v>
      </c>
    </row>
    <row r="1580" spans="1:13" x14ac:dyDescent="0.25">
      <c r="A1580" s="1" t="s">
        <v>2672</v>
      </c>
      <c r="B1580" s="1" t="s">
        <v>14</v>
      </c>
      <c r="C1580" s="1" t="s">
        <v>364</v>
      </c>
      <c r="D1580" s="1" t="s">
        <v>67</v>
      </c>
      <c r="E1580" s="1" t="s">
        <v>72</v>
      </c>
      <c r="F1580" s="1" t="s">
        <v>53</v>
      </c>
      <c r="G1580">
        <v>85835</v>
      </c>
      <c r="H1580" s="1" t="s">
        <v>2673</v>
      </c>
      <c r="I1580" s="2"/>
      <c r="K1580">
        <v>13.4</v>
      </c>
      <c r="L1580" s="1" t="s">
        <v>20</v>
      </c>
      <c r="M1580" s="1" t="s">
        <v>69</v>
      </c>
    </row>
    <row r="1581" spans="1:13" x14ac:dyDescent="0.25">
      <c r="A1581" s="1" t="s">
        <v>2674</v>
      </c>
      <c r="B1581" s="1" t="s">
        <v>44</v>
      </c>
      <c r="C1581" s="1" t="s">
        <v>189</v>
      </c>
      <c r="D1581" s="1" t="s">
        <v>39</v>
      </c>
      <c r="E1581" s="1" t="s">
        <v>94</v>
      </c>
      <c r="F1581" s="1" t="s">
        <v>40</v>
      </c>
      <c r="G1581">
        <v>137347</v>
      </c>
      <c r="H1581" s="1" t="s">
        <v>175</v>
      </c>
      <c r="I1581" s="2">
        <v>45766</v>
      </c>
      <c r="J1581">
        <v>179</v>
      </c>
      <c r="K1581">
        <v>4.2</v>
      </c>
      <c r="L1581" s="1" t="s">
        <v>29</v>
      </c>
      <c r="M1581" s="1" t="s">
        <v>42</v>
      </c>
    </row>
    <row r="1582" spans="1:13" x14ac:dyDescent="0.25">
      <c r="A1582" s="1" t="s">
        <v>2675</v>
      </c>
      <c r="B1582" s="1" t="s">
        <v>14</v>
      </c>
      <c r="C1582" s="1" t="s">
        <v>381</v>
      </c>
      <c r="D1582" s="1" t="s">
        <v>67</v>
      </c>
      <c r="E1582" s="1" t="s">
        <v>26</v>
      </c>
      <c r="F1582" s="1" t="s">
        <v>33</v>
      </c>
      <c r="G1582">
        <v>157784</v>
      </c>
      <c r="H1582" s="1" t="s">
        <v>2676</v>
      </c>
      <c r="I1582" s="2"/>
      <c r="L1582" s="1" t="s">
        <v>20</v>
      </c>
      <c r="M1582" s="1" t="s">
        <v>42</v>
      </c>
    </row>
    <row r="1583" spans="1:13" x14ac:dyDescent="0.25">
      <c r="A1583" s="1" t="s">
        <v>2677</v>
      </c>
      <c r="B1583" s="1" t="s">
        <v>75</v>
      </c>
      <c r="C1583" s="1" t="s">
        <v>328</v>
      </c>
      <c r="D1583" s="1" t="s">
        <v>67</v>
      </c>
      <c r="E1583" s="1" t="s">
        <v>77</v>
      </c>
      <c r="F1583" s="1" t="s">
        <v>129</v>
      </c>
      <c r="G1583">
        <v>217564</v>
      </c>
      <c r="H1583" s="1" t="s">
        <v>1515</v>
      </c>
      <c r="I1583" s="2"/>
      <c r="K1583">
        <v>11.8</v>
      </c>
      <c r="L1583" s="1" t="s">
        <v>49</v>
      </c>
      <c r="M1583" s="1" t="s">
        <v>102</v>
      </c>
    </row>
    <row r="1584" spans="1:13" x14ac:dyDescent="0.25">
      <c r="A1584" s="1" t="s">
        <v>2678</v>
      </c>
      <c r="B1584" s="1" t="s">
        <v>51</v>
      </c>
      <c r="C1584" s="1" t="s">
        <v>917</v>
      </c>
      <c r="D1584" s="1" t="s">
        <v>46</v>
      </c>
      <c r="E1584" s="1" t="s">
        <v>47</v>
      </c>
      <c r="F1584" s="1" t="s">
        <v>27</v>
      </c>
      <c r="G1584">
        <v>483224</v>
      </c>
      <c r="H1584" s="1" t="s">
        <v>2679</v>
      </c>
      <c r="I1584" s="2"/>
      <c r="L1584" s="1" t="s">
        <v>29</v>
      </c>
      <c r="M1584" s="1" t="s">
        <v>102</v>
      </c>
    </row>
    <row r="1585" spans="1:13" x14ac:dyDescent="0.25">
      <c r="A1585" s="1" t="s">
        <v>2680</v>
      </c>
      <c r="B1585" s="1" t="s">
        <v>75</v>
      </c>
      <c r="C1585" s="1" t="s">
        <v>1165</v>
      </c>
      <c r="D1585" s="1" t="s">
        <v>25</v>
      </c>
      <c r="E1585" s="1" t="s">
        <v>26</v>
      </c>
      <c r="F1585" s="1" t="s">
        <v>27</v>
      </c>
      <c r="G1585">
        <v>257387</v>
      </c>
      <c r="H1585" s="1" t="s">
        <v>1879</v>
      </c>
      <c r="I1585" s="2"/>
      <c r="K1585">
        <v>4.9000000000000004</v>
      </c>
      <c r="L1585" s="1" t="s">
        <v>49</v>
      </c>
      <c r="M1585" s="1" t="s">
        <v>102</v>
      </c>
    </row>
    <row r="1586" spans="1:13" x14ac:dyDescent="0.25">
      <c r="A1586" s="1" t="s">
        <v>2681</v>
      </c>
      <c r="B1586" s="1" t="s">
        <v>59</v>
      </c>
      <c r="C1586" s="1" t="s">
        <v>292</v>
      </c>
      <c r="D1586" s="1" t="s">
        <v>25</v>
      </c>
      <c r="E1586" s="1" t="s">
        <v>100</v>
      </c>
      <c r="F1586" s="1" t="s">
        <v>129</v>
      </c>
      <c r="G1586">
        <v>283835</v>
      </c>
      <c r="H1586" s="1" t="s">
        <v>1713</v>
      </c>
      <c r="I1586" s="2"/>
      <c r="L1586" s="1" t="s">
        <v>20</v>
      </c>
      <c r="M1586" s="1" t="s">
        <v>42</v>
      </c>
    </row>
    <row r="1587" spans="1:13" x14ac:dyDescent="0.25">
      <c r="A1587" s="1" t="s">
        <v>2682</v>
      </c>
      <c r="B1587" s="1" t="s">
        <v>14</v>
      </c>
      <c r="C1587" s="1" t="s">
        <v>1339</v>
      </c>
      <c r="D1587" s="1" t="s">
        <v>16</v>
      </c>
      <c r="E1587" s="1" t="s">
        <v>47</v>
      </c>
      <c r="F1587" s="1" t="s">
        <v>18</v>
      </c>
      <c r="G1587">
        <v>333568</v>
      </c>
      <c r="H1587" s="1" t="s">
        <v>211</v>
      </c>
      <c r="I1587" s="2">
        <v>45253</v>
      </c>
      <c r="J1587">
        <v>177</v>
      </c>
      <c r="K1587">
        <v>2.1</v>
      </c>
      <c r="L1587" s="1" t="s">
        <v>29</v>
      </c>
      <c r="M1587" s="1" t="s">
        <v>30</v>
      </c>
    </row>
    <row r="1588" spans="1:13" x14ac:dyDescent="0.25">
      <c r="A1588" s="1" t="s">
        <v>2683</v>
      </c>
      <c r="B1588" s="1" t="s">
        <v>88</v>
      </c>
      <c r="C1588" s="1" t="s">
        <v>267</v>
      </c>
      <c r="D1588" s="1" t="s">
        <v>16</v>
      </c>
      <c r="E1588" s="1" t="s">
        <v>17</v>
      </c>
      <c r="F1588" s="1" t="s">
        <v>53</v>
      </c>
      <c r="G1588">
        <v>397795</v>
      </c>
      <c r="H1588" s="1" t="s">
        <v>242</v>
      </c>
      <c r="I1588" s="2"/>
      <c r="L1588" s="1" t="s">
        <v>96</v>
      </c>
      <c r="M1588" s="1" t="s">
        <v>30</v>
      </c>
    </row>
    <row r="1589" spans="1:13" x14ac:dyDescent="0.25">
      <c r="A1589" s="1" t="s">
        <v>2684</v>
      </c>
      <c r="B1589" s="1" t="s">
        <v>23</v>
      </c>
      <c r="C1589" s="1" t="s">
        <v>132</v>
      </c>
      <c r="D1589" s="1" t="s">
        <v>90</v>
      </c>
      <c r="E1589" s="1" t="s">
        <v>47</v>
      </c>
      <c r="F1589" s="1" t="s">
        <v>18</v>
      </c>
      <c r="G1589">
        <v>132166</v>
      </c>
      <c r="H1589" s="1" t="s">
        <v>2501</v>
      </c>
      <c r="I1589" s="2">
        <v>45046</v>
      </c>
      <c r="J1589">
        <v>23</v>
      </c>
      <c r="L1589" s="1" t="s">
        <v>49</v>
      </c>
      <c r="M1589" s="1" t="s">
        <v>30</v>
      </c>
    </row>
    <row r="1590" spans="1:13" x14ac:dyDescent="0.25">
      <c r="A1590" s="1" t="s">
        <v>2685</v>
      </c>
      <c r="B1590" s="1" t="s">
        <v>59</v>
      </c>
      <c r="C1590" s="1" t="s">
        <v>972</v>
      </c>
      <c r="D1590" s="1" t="s">
        <v>67</v>
      </c>
      <c r="E1590" s="1" t="s">
        <v>17</v>
      </c>
      <c r="F1590" s="1" t="s">
        <v>40</v>
      </c>
      <c r="G1590">
        <v>174607</v>
      </c>
      <c r="H1590" s="1" t="s">
        <v>930</v>
      </c>
      <c r="I1590" s="2">
        <v>45768</v>
      </c>
      <c r="J1590">
        <v>130</v>
      </c>
      <c r="K1590">
        <v>1</v>
      </c>
      <c r="L1590" s="1" t="s">
        <v>29</v>
      </c>
      <c r="M1590" s="1" t="s">
        <v>42</v>
      </c>
    </row>
    <row r="1591" spans="1:13" x14ac:dyDescent="0.25">
      <c r="A1591" s="1" t="s">
        <v>2686</v>
      </c>
      <c r="B1591" s="1" t="s">
        <v>80</v>
      </c>
      <c r="C1591" s="1" t="s">
        <v>1095</v>
      </c>
      <c r="D1591" s="1" t="s">
        <v>39</v>
      </c>
      <c r="E1591" s="1" t="s">
        <v>47</v>
      </c>
      <c r="F1591" s="1" t="s">
        <v>40</v>
      </c>
      <c r="G1591">
        <v>456241</v>
      </c>
      <c r="H1591" s="1" t="s">
        <v>1597</v>
      </c>
      <c r="I1591" s="2">
        <v>45013</v>
      </c>
      <c r="J1591">
        <v>36</v>
      </c>
      <c r="K1591">
        <v>14.7</v>
      </c>
      <c r="L1591" s="1" t="s">
        <v>29</v>
      </c>
      <c r="M1591" s="1" t="s">
        <v>35</v>
      </c>
    </row>
    <row r="1592" spans="1:13" x14ac:dyDescent="0.25">
      <c r="A1592" s="1" t="s">
        <v>2687</v>
      </c>
      <c r="B1592" s="1" t="s">
        <v>84</v>
      </c>
      <c r="C1592" s="1" t="s">
        <v>433</v>
      </c>
      <c r="D1592" s="1" t="s">
        <v>46</v>
      </c>
      <c r="E1592" s="1" t="s">
        <v>94</v>
      </c>
      <c r="F1592" s="1" t="s">
        <v>33</v>
      </c>
      <c r="G1592">
        <v>252831</v>
      </c>
      <c r="H1592" s="1" t="s">
        <v>2688</v>
      </c>
      <c r="I1592" s="2"/>
      <c r="K1592">
        <v>11.3</v>
      </c>
      <c r="L1592" s="1" t="s">
        <v>29</v>
      </c>
      <c r="M1592" s="1" t="s">
        <v>149</v>
      </c>
    </row>
    <row r="1593" spans="1:13" x14ac:dyDescent="0.25">
      <c r="A1593" s="1" t="s">
        <v>2689</v>
      </c>
      <c r="B1593" s="1" t="s">
        <v>127</v>
      </c>
      <c r="C1593" s="1" t="s">
        <v>227</v>
      </c>
      <c r="D1593" s="1" t="s">
        <v>16</v>
      </c>
      <c r="E1593" s="1" t="s">
        <v>61</v>
      </c>
      <c r="F1593" s="1" t="s">
        <v>53</v>
      </c>
      <c r="G1593">
        <v>460734</v>
      </c>
      <c r="H1593" s="1" t="s">
        <v>230</v>
      </c>
      <c r="I1593" s="2"/>
      <c r="L1593" s="1" t="s">
        <v>20</v>
      </c>
      <c r="M1593" s="1" t="s">
        <v>69</v>
      </c>
    </row>
    <row r="1594" spans="1:13" x14ac:dyDescent="0.25">
      <c r="A1594" s="1" t="s">
        <v>2690</v>
      </c>
      <c r="B1594" s="1" t="s">
        <v>80</v>
      </c>
      <c r="C1594" s="1" t="s">
        <v>381</v>
      </c>
      <c r="D1594" s="1" t="s">
        <v>67</v>
      </c>
      <c r="E1594" s="1" t="s">
        <v>77</v>
      </c>
      <c r="F1594" s="1" t="s">
        <v>18</v>
      </c>
      <c r="G1594">
        <v>31841</v>
      </c>
      <c r="H1594" s="1" t="s">
        <v>2691</v>
      </c>
      <c r="I1594" s="2">
        <v>45811</v>
      </c>
      <c r="J1594">
        <v>151</v>
      </c>
      <c r="K1594">
        <v>2</v>
      </c>
      <c r="L1594" s="1" t="s">
        <v>49</v>
      </c>
      <c r="M1594" s="1" t="s">
        <v>63</v>
      </c>
    </row>
    <row r="1595" spans="1:13" x14ac:dyDescent="0.25">
      <c r="A1595" s="1" t="s">
        <v>2692</v>
      </c>
      <c r="B1595" s="1" t="s">
        <v>173</v>
      </c>
      <c r="C1595" s="1" t="s">
        <v>270</v>
      </c>
      <c r="D1595" s="1" t="s">
        <v>46</v>
      </c>
      <c r="E1595" s="1" t="s">
        <v>77</v>
      </c>
      <c r="F1595" s="1" t="s">
        <v>40</v>
      </c>
      <c r="G1595">
        <v>284248</v>
      </c>
      <c r="H1595" s="1" t="s">
        <v>788</v>
      </c>
      <c r="I1595" s="2">
        <v>45230</v>
      </c>
      <c r="J1595">
        <v>59</v>
      </c>
      <c r="K1595">
        <v>0.9</v>
      </c>
      <c r="L1595" s="1" t="s">
        <v>29</v>
      </c>
      <c r="M1595" s="1" t="s">
        <v>102</v>
      </c>
    </row>
    <row r="1596" spans="1:13" x14ac:dyDescent="0.25">
      <c r="A1596" s="1" t="s">
        <v>2693</v>
      </c>
      <c r="B1596" s="1" t="s">
        <v>75</v>
      </c>
      <c r="C1596" s="1" t="s">
        <v>775</v>
      </c>
      <c r="D1596" s="1" t="s">
        <v>25</v>
      </c>
      <c r="E1596" s="1" t="s">
        <v>94</v>
      </c>
      <c r="F1596" s="1" t="s">
        <v>18</v>
      </c>
      <c r="G1596">
        <v>97456</v>
      </c>
      <c r="H1596" s="1" t="s">
        <v>2262</v>
      </c>
      <c r="I1596" s="2">
        <v>45607</v>
      </c>
      <c r="J1596">
        <v>117</v>
      </c>
      <c r="K1596">
        <v>9.9</v>
      </c>
      <c r="L1596" s="1" t="s">
        <v>20</v>
      </c>
      <c r="M1596" s="1" t="s">
        <v>149</v>
      </c>
    </row>
    <row r="1597" spans="1:13" x14ac:dyDescent="0.25">
      <c r="A1597" s="1" t="s">
        <v>2694</v>
      </c>
      <c r="B1597" s="1" t="s">
        <v>65</v>
      </c>
      <c r="C1597" s="1" t="s">
        <v>261</v>
      </c>
      <c r="D1597" s="1" t="s">
        <v>16</v>
      </c>
      <c r="E1597" s="1" t="s">
        <v>72</v>
      </c>
      <c r="F1597" s="1" t="s">
        <v>40</v>
      </c>
      <c r="G1597">
        <v>379140</v>
      </c>
      <c r="H1597" s="1" t="s">
        <v>2695</v>
      </c>
      <c r="I1597" s="2">
        <v>45244</v>
      </c>
      <c r="J1597">
        <v>87</v>
      </c>
      <c r="K1597">
        <v>11.2</v>
      </c>
      <c r="L1597" s="1" t="s">
        <v>49</v>
      </c>
      <c r="M1597" s="1" t="s">
        <v>102</v>
      </c>
    </row>
    <row r="1598" spans="1:13" x14ac:dyDescent="0.25">
      <c r="A1598" s="1" t="s">
        <v>2696</v>
      </c>
      <c r="B1598" s="1" t="s">
        <v>127</v>
      </c>
      <c r="C1598" s="1" t="s">
        <v>650</v>
      </c>
      <c r="D1598" s="1" t="s">
        <v>90</v>
      </c>
      <c r="E1598" s="1" t="s">
        <v>26</v>
      </c>
      <c r="F1598" s="1" t="s">
        <v>33</v>
      </c>
      <c r="G1598">
        <v>367669</v>
      </c>
      <c r="H1598" s="1" t="s">
        <v>1081</v>
      </c>
      <c r="I1598" s="2"/>
      <c r="K1598">
        <v>3.9</v>
      </c>
      <c r="L1598" s="1" t="s">
        <v>96</v>
      </c>
      <c r="M1598" s="1" t="s">
        <v>107</v>
      </c>
    </row>
    <row r="1599" spans="1:13" x14ac:dyDescent="0.25">
      <c r="A1599" s="1" t="s">
        <v>2697</v>
      </c>
      <c r="B1599" s="1" t="s">
        <v>109</v>
      </c>
      <c r="C1599" s="1" t="s">
        <v>474</v>
      </c>
      <c r="D1599" s="1" t="s">
        <v>67</v>
      </c>
      <c r="E1599" s="1" t="s">
        <v>47</v>
      </c>
      <c r="F1599" s="1" t="s">
        <v>33</v>
      </c>
      <c r="G1599">
        <v>366366</v>
      </c>
      <c r="H1599" s="1" t="s">
        <v>163</v>
      </c>
      <c r="I1599" s="2"/>
      <c r="K1599">
        <v>5.3</v>
      </c>
      <c r="L1599" s="1" t="s">
        <v>49</v>
      </c>
      <c r="M1599" s="1" t="s">
        <v>149</v>
      </c>
    </row>
    <row r="1600" spans="1:13" x14ac:dyDescent="0.25">
      <c r="A1600" s="1" t="s">
        <v>2698</v>
      </c>
      <c r="B1600" s="1" t="s">
        <v>84</v>
      </c>
      <c r="C1600" s="1" t="s">
        <v>724</v>
      </c>
      <c r="D1600" s="1" t="s">
        <v>39</v>
      </c>
      <c r="E1600" s="1" t="s">
        <v>72</v>
      </c>
      <c r="F1600" s="1" t="s">
        <v>40</v>
      </c>
      <c r="G1600">
        <v>181716</v>
      </c>
      <c r="H1600" s="1" t="s">
        <v>1723</v>
      </c>
      <c r="I1600" s="2">
        <v>45043</v>
      </c>
      <c r="J1600">
        <v>23</v>
      </c>
      <c r="K1600">
        <v>14.3</v>
      </c>
      <c r="L1600" s="1" t="s">
        <v>96</v>
      </c>
      <c r="M1600" s="1" t="s">
        <v>30</v>
      </c>
    </row>
    <row r="1601" spans="1:13" x14ac:dyDescent="0.25">
      <c r="A1601" s="1" t="s">
        <v>2699</v>
      </c>
      <c r="B1601" s="1" t="s">
        <v>65</v>
      </c>
      <c r="C1601" s="1" t="s">
        <v>587</v>
      </c>
      <c r="D1601" s="1" t="s">
        <v>25</v>
      </c>
      <c r="E1601" s="1" t="s">
        <v>94</v>
      </c>
      <c r="F1601" s="1" t="s">
        <v>129</v>
      </c>
      <c r="G1601">
        <v>478527</v>
      </c>
      <c r="H1601" s="1" t="s">
        <v>1110</v>
      </c>
      <c r="I1601" s="2"/>
      <c r="K1601">
        <v>5.8</v>
      </c>
      <c r="L1601" s="1" t="s">
        <v>49</v>
      </c>
      <c r="M1601" s="1" t="s">
        <v>42</v>
      </c>
    </row>
    <row r="1602" spans="1:13" x14ac:dyDescent="0.25">
      <c r="A1602" s="1" t="s">
        <v>2700</v>
      </c>
      <c r="B1602" s="1" t="s">
        <v>14</v>
      </c>
      <c r="C1602" s="1" t="s">
        <v>401</v>
      </c>
      <c r="D1602" s="1" t="s">
        <v>46</v>
      </c>
      <c r="E1602" s="1" t="s">
        <v>47</v>
      </c>
      <c r="F1602" s="1" t="s">
        <v>40</v>
      </c>
      <c r="G1602">
        <v>306668</v>
      </c>
      <c r="H1602" s="1" t="s">
        <v>1689</v>
      </c>
      <c r="I1602" s="2">
        <v>45837</v>
      </c>
      <c r="J1602">
        <v>147</v>
      </c>
      <c r="K1602">
        <v>2.7</v>
      </c>
      <c r="L1602" s="1" t="s">
        <v>96</v>
      </c>
      <c r="M1602" s="1" t="s">
        <v>63</v>
      </c>
    </row>
    <row r="1603" spans="1:13" x14ac:dyDescent="0.25">
      <c r="A1603" s="1" t="s">
        <v>2701</v>
      </c>
      <c r="B1603" s="1" t="s">
        <v>44</v>
      </c>
      <c r="C1603" s="1" t="s">
        <v>71</v>
      </c>
      <c r="D1603" s="1" t="s">
        <v>46</v>
      </c>
      <c r="E1603" s="1" t="s">
        <v>47</v>
      </c>
      <c r="F1603" s="1" t="s">
        <v>53</v>
      </c>
      <c r="G1603">
        <v>365724</v>
      </c>
      <c r="H1603" s="1" t="s">
        <v>2702</v>
      </c>
      <c r="I1603" s="2"/>
      <c r="K1603">
        <v>13.1</v>
      </c>
      <c r="L1603" s="1" t="s">
        <v>49</v>
      </c>
      <c r="M1603" s="1" t="s">
        <v>107</v>
      </c>
    </row>
    <row r="1604" spans="1:13" x14ac:dyDescent="0.25">
      <c r="A1604" s="1" t="s">
        <v>2703</v>
      </c>
      <c r="B1604" s="1" t="s">
        <v>104</v>
      </c>
      <c r="C1604" s="1" t="s">
        <v>1997</v>
      </c>
      <c r="D1604" s="1" t="s">
        <v>39</v>
      </c>
      <c r="E1604" s="1" t="s">
        <v>72</v>
      </c>
      <c r="F1604" s="1" t="s">
        <v>33</v>
      </c>
      <c r="G1604">
        <v>139384</v>
      </c>
      <c r="H1604" s="1" t="s">
        <v>1606</v>
      </c>
      <c r="I1604" s="2"/>
      <c r="K1604">
        <v>11.2</v>
      </c>
      <c r="L1604" s="1" t="s">
        <v>96</v>
      </c>
      <c r="M1604" s="1" t="s">
        <v>21</v>
      </c>
    </row>
    <row r="1605" spans="1:13" x14ac:dyDescent="0.25">
      <c r="A1605" s="1" t="s">
        <v>2704</v>
      </c>
      <c r="B1605" s="1" t="s">
        <v>14</v>
      </c>
      <c r="C1605" s="1" t="s">
        <v>331</v>
      </c>
      <c r="D1605" s="1" t="s">
        <v>16</v>
      </c>
      <c r="E1605" s="1" t="s">
        <v>94</v>
      </c>
      <c r="F1605" s="1" t="s">
        <v>129</v>
      </c>
      <c r="G1605">
        <v>476440</v>
      </c>
      <c r="H1605" s="1" t="s">
        <v>91</v>
      </c>
      <c r="I1605" s="2"/>
      <c r="K1605">
        <v>13.7</v>
      </c>
      <c r="L1605" s="1" t="s">
        <v>49</v>
      </c>
      <c r="M1605" s="1" t="s">
        <v>21</v>
      </c>
    </row>
    <row r="1606" spans="1:13" x14ac:dyDescent="0.25">
      <c r="A1606" s="1" t="s">
        <v>2705</v>
      </c>
      <c r="B1606" s="1" t="s">
        <v>88</v>
      </c>
      <c r="C1606" s="1" t="s">
        <v>237</v>
      </c>
      <c r="D1606" s="1" t="s">
        <v>39</v>
      </c>
      <c r="E1606" s="1" t="s">
        <v>61</v>
      </c>
      <c r="F1606" s="1" t="s">
        <v>18</v>
      </c>
      <c r="G1606">
        <v>868992</v>
      </c>
      <c r="H1606" s="1" t="s">
        <v>2706</v>
      </c>
      <c r="I1606" s="2">
        <v>45389</v>
      </c>
      <c r="J1606">
        <v>164</v>
      </c>
      <c r="K1606">
        <v>2.8</v>
      </c>
      <c r="L1606" s="1" t="s">
        <v>29</v>
      </c>
      <c r="M1606" s="1" t="s">
        <v>21</v>
      </c>
    </row>
    <row r="1607" spans="1:13" x14ac:dyDescent="0.25">
      <c r="A1607" s="1" t="s">
        <v>2707</v>
      </c>
      <c r="B1607" s="1" t="s">
        <v>65</v>
      </c>
      <c r="C1607" s="1" t="s">
        <v>384</v>
      </c>
      <c r="D1607" s="1" t="s">
        <v>16</v>
      </c>
      <c r="E1607" s="1" t="s">
        <v>94</v>
      </c>
      <c r="F1607" s="1" t="s">
        <v>27</v>
      </c>
      <c r="G1607">
        <v>184727</v>
      </c>
      <c r="H1607" s="1" t="s">
        <v>670</v>
      </c>
      <c r="I1607" s="2"/>
      <c r="L1607" s="1" t="s">
        <v>96</v>
      </c>
      <c r="M1607" s="1" t="s">
        <v>35</v>
      </c>
    </row>
    <row r="1608" spans="1:13" x14ac:dyDescent="0.25">
      <c r="A1608" s="1" t="s">
        <v>2708</v>
      </c>
      <c r="B1608" s="1" t="s">
        <v>84</v>
      </c>
      <c r="C1608" s="1" t="s">
        <v>892</v>
      </c>
      <c r="D1608" s="1" t="s">
        <v>46</v>
      </c>
      <c r="E1608" s="1" t="s">
        <v>72</v>
      </c>
      <c r="F1608" s="1" t="s">
        <v>33</v>
      </c>
      <c r="G1608">
        <v>154489</v>
      </c>
      <c r="H1608" s="1" t="s">
        <v>1115</v>
      </c>
      <c r="I1608" s="2"/>
      <c r="K1608">
        <v>7.8</v>
      </c>
      <c r="L1608" s="1" t="s">
        <v>29</v>
      </c>
      <c r="M1608" s="1" t="s">
        <v>102</v>
      </c>
    </row>
    <row r="1609" spans="1:13" x14ac:dyDescent="0.25">
      <c r="A1609" s="1" t="s">
        <v>2709</v>
      </c>
      <c r="B1609" s="1" t="s">
        <v>84</v>
      </c>
      <c r="C1609" s="1" t="s">
        <v>474</v>
      </c>
      <c r="D1609" s="1" t="s">
        <v>46</v>
      </c>
      <c r="E1609" s="1" t="s">
        <v>77</v>
      </c>
      <c r="F1609" s="1" t="s">
        <v>129</v>
      </c>
      <c r="G1609">
        <v>25531</v>
      </c>
      <c r="H1609" s="1" t="s">
        <v>1689</v>
      </c>
      <c r="I1609" s="2"/>
      <c r="L1609" s="1" t="s">
        <v>29</v>
      </c>
      <c r="M1609" s="1" t="s">
        <v>63</v>
      </c>
    </row>
    <row r="1610" spans="1:13" x14ac:dyDescent="0.25">
      <c r="A1610" s="1" t="s">
        <v>2710</v>
      </c>
      <c r="B1610" s="1" t="s">
        <v>14</v>
      </c>
      <c r="C1610" s="1" t="s">
        <v>423</v>
      </c>
      <c r="D1610" s="1" t="s">
        <v>39</v>
      </c>
      <c r="E1610" s="1" t="s">
        <v>94</v>
      </c>
      <c r="F1610" s="1" t="s">
        <v>27</v>
      </c>
      <c r="G1610">
        <v>46745</v>
      </c>
      <c r="H1610" s="1" t="s">
        <v>2711</v>
      </c>
      <c r="I1610" s="2"/>
      <c r="L1610" s="1" t="s">
        <v>20</v>
      </c>
      <c r="M1610" s="1" t="s">
        <v>69</v>
      </c>
    </row>
    <row r="1611" spans="1:13" x14ac:dyDescent="0.25">
      <c r="A1611" s="1" t="s">
        <v>2712</v>
      </c>
      <c r="B1611" s="1" t="s">
        <v>23</v>
      </c>
      <c r="C1611" s="1" t="s">
        <v>273</v>
      </c>
      <c r="D1611" s="1" t="s">
        <v>39</v>
      </c>
      <c r="E1611" s="1" t="s">
        <v>26</v>
      </c>
      <c r="F1611" s="1" t="s">
        <v>18</v>
      </c>
      <c r="G1611">
        <v>137717</v>
      </c>
      <c r="H1611" s="1" t="s">
        <v>2713</v>
      </c>
      <c r="I1611" s="2">
        <v>45221</v>
      </c>
      <c r="J1611">
        <v>137</v>
      </c>
      <c r="K1611">
        <v>5.8</v>
      </c>
      <c r="L1611" s="1" t="s">
        <v>96</v>
      </c>
      <c r="M1611" s="1" t="s">
        <v>30</v>
      </c>
    </row>
    <row r="1612" spans="1:13" x14ac:dyDescent="0.25">
      <c r="A1612" s="1" t="s">
        <v>2714</v>
      </c>
      <c r="B1612" s="1" t="s">
        <v>75</v>
      </c>
      <c r="C1612" s="1" t="s">
        <v>313</v>
      </c>
      <c r="D1612" s="1" t="s">
        <v>90</v>
      </c>
      <c r="E1612" s="1" t="s">
        <v>61</v>
      </c>
      <c r="F1612" s="1" t="s">
        <v>33</v>
      </c>
      <c r="G1612">
        <v>32988</v>
      </c>
      <c r="H1612" s="1" t="s">
        <v>2715</v>
      </c>
      <c r="I1612" s="2"/>
      <c r="K1612">
        <v>4.9000000000000004</v>
      </c>
      <c r="L1612" s="1" t="s">
        <v>29</v>
      </c>
      <c r="M1612" s="1" t="s">
        <v>107</v>
      </c>
    </row>
    <row r="1613" spans="1:13" x14ac:dyDescent="0.25">
      <c r="A1613" s="1" t="s">
        <v>2716</v>
      </c>
      <c r="B1613" s="1" t="s">
        <v>23</v>
      </c>
      <c r="C1613" s="1" t="s">
        <v>1866</v>
      </c>
      <c r="D1613" s="1" t="s">
        <v>25</v>
      </c>
      <c r="E1613" s="1" t="s">
        <v>94</v>
      </c>
      <c r="F1613" s="1" t="s">
        <v>18</v>
      </c>
      <c r="G1613">
        <v>149077</v>
      </c>
      <c r="H1613" s="1" t="s">
        <v>930</v>
      </c>
      <c r="I1613" s="2">
        <v>45813</v>
      </c>
      <c r="J1613">
        <v>175</v>
      </c>
      <c r="K1613">
        <v>12.2</v>
      </c>
      <c r="L1613" s="1" t="s">
        <v>49</v>
      </c>
      <c r="M1613" s="1" t="s">
        <v>42</v>
      </c>
    </row>
    <row r="1614" spans="1:13" x14ac:dyDescent="0.25">
      <c r="A1614" s="1" t="s">
        <v>2717</v>
      </c>
      <c r="B1614" s="1" t="s">
        <v>14</v>
      </c>
      <c r="C1614" s="1" t="s">
        <v>292</v>
      </c>
      <c r="D1614" s="1" t="s">
        <v>39</v>
      </c>
      <c r="E1614" s="1" t="s">
        <v>26</v>
      </c>
      <c r="F1614" s="1" t="s">
        <v>40</v>
      </c>
      <c r="G1614">
        <v>90880</v>
      </c>
      <c r="H1614" s="1" t="s">
        <v>57</v>
      </c>
      <c r="I1614" s="2">
        <v>45660</v>
      </c>
      <c r="J1614">
        <v>47</v>
      </c>
      <c r="K1614">
        <v>1.8</v>
      </c>
      <c r="L1614" s="1" t="s">
        <v>96</v>
      </c>
      <c r="M1614" s="1" t="s">
        <v>42</v>
      </c>
    </row>
    <row r="1615" spans="1:13" x14ac:dyDescent="0.25">
      <c r="A1615" s="1" t="s">
        <v>2718</v>
      </c>
      <c r="B1615" s="1" t="s">
        <v>37</v>
      </c>
      <c r="C1615" s="1" t="s">
        <v>205</v>
      </c>
      <c r="D1615" s="1" t="s">
        <v>67</v>
      </c>
      <c r="E1615" s="1" t="s">
        <v>77</v>
      </c>
      <c r="F1615" s="1" t="s">
        <v>129</v>
      </c>
      <c r="G1615">
        <v>273716</v>
      </c>
      <c r="H1615" s="1" t="s">
        <v>2348</v>
      </c>
      <c r="I1615" s="2"/>
      <c r="L1615" s="1" t="s">
        <v>96</v>
      </c>
      <c r="M1615" s="1" t="s">
        <v>63</v>
      </c>
    </row>
    <row r="1616" spans="1:13" x14ac:dyDescent="0.25">
      <c r="A1616" s="1" t="s">
        <v>2719</v>
      </c>
      <c r="B1616" s="1" t="s">
        <v>84</v>
      </c>
      <c r="C1616" s="1" t="s">
        <v>1415</v>
      </c>
      <c r="D1616" s="1" t="s">
        <v>67</v>
      </c>
      <c r="E1616" s="1" t="s">
        <v>47</v>
      </c>
      <c r="F1616" s="1" t="s">
        <v>40</v>
      </c>
      <c r="G1616">
        <v>63795</v>
      </c>
      <c r="H1616" s="1" t="s">
        <v>367</v>
      </c>
      <c r="I1616" s="2">
        <v>45108</v>
      </c>
      <c r="J1616">
        <v>178</v>
      </c>
      <c r="K1616">
        <v>10.3</v>
      </c>
      <c r="L1616" s="1" t="s">
        <v>96</v>
      </c>
      <c r="M1616" s="1" t="s">
        <v>35</v>
      </c>
    </row>
    <row r="1617" spans="1:13" x14ac:dyDescent="0.25">
      <c r="A1617" s="1" t="s">
        <v>2720</v>
      </c>
      <c r="B1617" s="1" t="s">
        <v>109</v>
      </c>
      <c r="C1617" s="1" t="s">
        <v>732</v>
      </c>
      <c r="D1617" s="1" t="s">
        <v>16</v>
      </c>
      <c r="E1617" s="1" t="s">
        <v>17</v>
      </c>
      <c r="F1617" s="1" t="s">
        <v>33</v>
      </c>
      <c r="G1617">
        <v>135395</v>
      </c>
      <c r="H1617" s="1" t="s">
        <v>130</v>
      </c>
      <c r="I1617" s="2"/>
      <c r="K1617">
        <v>0.4</v>
      </c>
      <c r="L1617" s="1" t="s">
        <v>49</v>
      </c>
      <c r="M1617" s="1" t="s">
        <v>69</v>
      </c>
    </row>
    <row r="1618" spans="1:13" x14ac:dyDescent="0.25">
      <c r="A1618" s="1" t="s">
        <v>2721</v>
      </c>
      <c r="B1618" s="1" t="s">
        <v>14</v>
      </c>
      <c r="C1618" s="1" t="s">
        <v>45</v>
      </c>
      <c r="D1618" s="1" t="s">
        <v>25</v>
      </c>
      <c r="E1618" s="1" t="s">
        <v>100</v>
      </c>
      <c r="F1618" s="1" t="s">
        <v>40</v>
      </c>
      <c r="G1618">
        <v>336622</v>
      </c>
      <c r="H1618" s="1" t="s">
        <v>1367</v>
      </c>
      <c r="I1618" s="2">
        <v>45151</v>
      </c>
      <c r="J1618">
        <v>51</v>
      </c>
      <c r="K1618">
        <v>14.2</v>
      </c>
      <c r="L1618" s="1" t="s">
        <v>96</v>
      </c>
      <c r="M1618" s="1" t="s">
        <v>30</v>
      </c>
    </row>
    <row r="1619" spans="1:13" x14ac:dyDescent="0.25">
      <c r="A1619" s="1" t="s">
        <v>2722</v>
      </c>
      <c r="B1619" s="1" t="s">
        <v>51</v>
      </c>
      <c r="C1619" s="1" t="s">
        <v>423</v>
      </c>
      <c r="D1619" s="1" t="s">
        <v>46</v>
      </c>
      <c r="E1619" s="1" t="s">
        <v>72</v>
      </c>
      <c r="F1619" s="1" t="s">
        <v>18</v>
      </c>
      <c r="G1619">
        <v>70156</v>
      </c>
      <c r="H1619" s="1" t="s">
        <v>933</v>
      </c>
      <c r="I1619" s="2">
        <v>45321</v>
      </c>
      <c r="J1619">
        <v>116</v>
      </c>
      <c r="L1619" s="1" t="s">
        <v>29</v>
      </c>
      <c r="M1619" s="1" t="s">
        <v>21</v>
      </c>
    </row>
    <row r="1620" spans="1:13" x14ac:dyDescent="0.25">
      <c r="A1620" s="1" t="s">
        <v>2723</v>
      </c>
      <c r="B1620" s="1" t="s">
        <v>127</v>
      </c>
      <c r="C1620" s="1" t="s">
        <v>1691</v>
      </c>
      <c r="D1620" s="1" t="s">
        <v>46</v>
      </c>
      <c r="E1620" s="1" t="s">
        <v>77</v>
      </c>
      <c r="F1620" s="1" t="s">
        <v>18</v>
      </c>
      <c r="G1620">
        <v>156855</v>
      </c>
      <c r="H1620" s="1" t="s">
        <v>1107</v>
      </c>
      <c r="I1620" s="2">
        <v>45386</v>
      </c>
      <c r="J1620">
        <v>141</v>
      </c>
      <c r="K1620">
        <v>10.9</v>
      </c>
      <c r="L1620" s="1" t="s">
        <v>29</v>
      </c>
      <c r="M1620" s="1" t="s">
        <v>21</v>
      </c>
    </row>
    <row r="1621" spans="1:13" x14ac:dyDescent="0.25">
      <c r="A1621" s="1" t="s">
        <v>2724</v>
      </c>
      <c r="B1621" s="1" t="s">
        <v>59</v>
      </c>
      <c r="C1621" s="1" t="s">
        <v>1354</v>
      </c>
      <c r="D1621" s="1" t="s">
        <v>46</v>
      </c>
      <c r="E1621" s="1" t="s">
        <v>61</v>
      </c>
      <c r="F1621" s="1" t="s">
        <v>18</v>
      </c>
      <c r="G1621">
        <v>201140</v>
      </c>
      <c r="H1621" s="1" t="s">
        <v>2725</v>
      </c>
      <c r="I1621" s="2">
        <v>45199</v>
      </c>
      <c r="J1621">
        <v>38</v>
      </c>
      <c r="K1621">
        <v>2.4</v>
      </c>
      <c r="L1621" s="1" t="s">
        <v>96</v>
      </c>
      <c r="M1621" s="1" t="s">
        <v>102</v>
      </c>
    </row>
    <row r="1622" spans="1:13" x14ac:dyDescent="0.25">
      <c r="A1622" s="1" t="s">
        <v>2726</v>
      </c>
      <c r="B1622" s="1" t="s">
        <v>88</v>
      </c>
      <c r="C1622" s="1" t="s">
        <v>151</v>
      </c>
      <c r="D1622" s="1" t="s">
        <v>90</v>
      </c>
      <c r="E1622" s="1" t="s">
        <v>26</v>
      </c>
      <c r="F1622" s="1" t="s">
        <v>129</v>
      </c>
      <c r="G1622">
        <v>439133</v>
      </c>
      <c r="H1622" s="1" t="s">
        <v>807</v>
      </c>
      <c r="I1622" s="2"/>
      <c r="K1622">
        <v>5.4</v>
      </c>
      <c r="L1622" s="1" t="s">
        <v>96</v>
      </c>
      <c r="M1622" s="1" t="s">
        <v>102</v>
      </c>
    </row>
    <row r="1623" spans="1:13" x14ac:dyDescent="0.25">
      <c r="A1623" s="1" t="s">
        <v>2727</v>
      </c>
      <c r="B1623" s="1" t="s">
        <v>88</v>
      </c>
      <c r="C1623" s="1" t="s">
        <v>1095</v>
      </c>
      <c r="D1623" s="1" t="s">
        <v>39</v>
      </c>
      <c r="E1623" s="1" t="s">
        <v>47</v>
      </c>
      <c r="F1623" s="1" t="s">
        <v>53</v>
      </c>
      <c r="G1623">
        <v>293818</v>
      </c>
      <c r="H1623" s="1" t="s">
        <v>2728</v>
      </c>
      <c r="I1623" s="2"/>
      <c r="K1623">
        <v>11</v>
      </c>
      <c r="L1623" s="1" t="s">
        <v>20</v>
      </c>
      <c r="M1623" s="1" t="s">
        <v>30</v>
      </c>
    </row>
    <row r="1624" spans="1:13" x14ac:dyDescent="0.25">
      <c r="A1624" s="1" t="s">
        <v>2729</v>
      </c>
      <c r="B1624" s="1" t="s">
        <v>14</v>
      </c>
      <c r="C1624" s="1" t="s">
        <v>406</v>
      </c>
      <c r="D1624" s="1" t="s">
        <v>25</v>
      </c>
      <c r="E1624" s="1" t="s">
        <v>72</v>
      </c>
      <c r="F1624" s="1" t="s">
        <v>33</v>
      </c>
      <c r="G1624">
        <v>148033</v>
      </c>
      <c r="H1624" s="1" t="s">
        <v>937</v>
      </c>
      <c r="I1624" s="2"/>
      <c r="K1624">
        <v>2.9</v>
      </c>
      <c r="L1624" s="1" t="s">
        <v>96</v>
      </c>
      <c r="M1624" s="1" t="s">
        <v>63</v>
      </c>
    </row>
    <row r="1625" spans="1:13" x14ac:dyDescent="0.25">
      <c r="A1625" s="1" t="s">
        <v>2730</v>
      </c>
      <c r="B1625" s="1" t="s">
        <v>65</v>
      </c>
      <c r="C1625" s="1" t="s">
        <v>279</v>
      </c>
      <c r="D1625" s="1" t="s">
        <v>46</v>
      </c>
      <c r="E1625" s="1" t="s">
        <v>72</v>
      </c>
      <c r="F1625" s="1" t="s">
        <v>18</v>
      </c>
      <c r="G1625">
        <v>38034</v>
      </c>
      <c r="H1625" s="1" t="s">
        <v>373</v>
      </c>
      <c r="I1625" s="2">
        <v>45257</v>
      </c>
      <c r="J1625">
        <v>73</v>
      </c>
      <c r="K1625">
        <v>13.3</v>
      </c>
      <c r="L1625" s="1" t="s">
        <v>20</v>
      </c>
      <c r="M1625" s="1" t="s">
        <v>102</v>
      </c>
    </row>
    <row r="1626" spans="1:13" x14ac:dyDescent="0.25">
      <c r="A1626" s="1" t="s">
        <v>2731</v>
      </c>
      <c r="B1626" s="1" t="s">
        <v>59</v>
      </c>
      <c r="C1626" s="1" t="s">
        <v>1090</v>
      </c>
      <c r="D1626" s="1" t="s">
        <v>46</v>
      </c>
      <c r="E1626" s="1" t="s">
        <v>51</v>
      </c>
      <c r="F1626" s="1" t="s">
        <v>40</v>
      </c>
      <c r="G1626">
        <v>55990</v>
      </c>
      <c r="H1626" s="1" t="s">
        <v>280</v>
      </c>
      <c r="I1626" s="2">
        <v>45047</v>
      </c>
      <c r="J1626">
        <v>64</v>
      </c>
      <c r="K1626">
        <v>17.399999999999999</v>
      </c>
      <c r="L1626" s="1" t="s">
        <v>29</v>
      </c>
      <c r="M1626" s="1" t="s">
        <v>35</v>
      </c>
    </row>
    <row r="1627" spans="1:13" x14ac:dyDescent="0.25">
      <c r="A1627" s="1" t="s">
        <v>2732</v>
      </c>
      <c r="B1627" s="1" t="s">
        <v>98</v>
      </c>
      <c r="C1627" s="1" t="s">
        <v>1185</v>
      </c>
      <c r="D1627" s="1" t="s">
        <v>46</v>
      </c>
      <c r="E1627" s="1" t="s">
        <v>61</v>
      </c>
      <c r="F1627" s="1" t="s">
        <v>18</v>
      </c>
      <c r="G1627">
        <v>149099</v>
      </c>
      <c r="H1627" s="1" t="s">
        <v>2733</v>
      </c>
      <c r="I1627" s="2">
        <v>45597</v>
      </c>
      <c r="J1627">
        <v>170</v>
      </c>
      <c r="K1627">
        <v>10.3</v>
      </c>
      <c r="L1627" s="1" t="s">
        <v>20</v>
      </c>
      <c r="M1627" s="1" t="s">
        <v>107</v>
      </c>
    </row>
    <row r="1628" spans="1:13" x14ac:dyDescent="0.25">
      <c r="A1628" s="1" t="s">
        <v>2734</v>
      </c>
      <c r="B1628" s="1" t="s">
        <v>104</v>
      </c>
      <c r="C1628" s="1" t="s">
        <v>218</v>
      </c>
      <c r="D1628" s="1" t="s">
        <v>25</v>
      </c>
      <c r="E1628" s="1" t="s">
        <v>47</v>
      </c>
      <c r="F1628" s="1" t="s">
        <v>40</v>
      </c>
      <c r="G1628">
        <v>485121</v>
      </c>
      <c r="H1628" s="1" t="s">
        <v>184</v>
      </c>
      <c r="I1628" s="2">
        <v>45531</v>
      </c>
      <c r="J1628">
        <v>140</v>
      </c>
      <c r="K1628">
        <v>18.399999999999999</v>
      </c>
      <c r="L1628" s="1" t="s">
        <v>49</v>
      </c>
      <c r="M1628" s="1" t="s">
        <v>107</v>
      </c>
    </row>
    <row r="1629" spans="1:13" x14ac:dyDescent="0.25">
      <c r="A1629" s="1" t="s">
        <v>2735</v>
      </c>
      <c r="B1629" s="1" t="s">
        <v>88</v>
      </c>
      <c r="C1629" s="1" t="s">
        <v>334</v>
      </c>
      <c r="D1629" s="1" t="s">
        <v>90</v>
      </c>
      <c r="E1629" s="1" t="s">
        <v>61</v>
      </c>
      <c r="F1629" s="1" t="s">
        <v>18</v>
      </c>
      <c r="G1629">
        <v>300010</v>
      </c>
      <c r="H1629" s="1" t="s">
        <v>599</v>
      </c>
      <c r="I1629" s="2">
        <v>45526</v>
      </c>
      <c r="J1629">
        <v>172</v>
      </c>
      <c r="K1629">
        <v>11.7</v>
      </c>
      <c r="L1629" s="1" t="s">
        <v>96</v>
      </c>
      <c r="M1629" s="1" t="s">
        <v>69</v>
      </c>
    </row>
    <row r="1630" spans="1:13" x14ac:dyDescent="0.25">
      <c r="A1630" s="1" t="s">
        <v>2736</v>
      </c>
      <c r="B1630" s="1" t="s">
        <v>65</v>
      </c>
      <c r="C1630" s="1" t="s">
        <v>877</v>
      </c>
      <c r="D1630" s="1" t="s">
        <v>16</v>
      </c>
      <c r="E1630" s="1" t="s">
        <v>47</v>
      </c>
      <c r="F1630" s="1" t="s">
        <v>53</v>
      </c>
      <c r="G1630">
        <v>410855</v>
      </c>
      <c r="H1630" s="1" t="s">
        <v>1266</v>
      </c>
      <c r="I1630" s="2"/>
      <c r="K1630">
        <v>9.9</v>
      </c>
      <c r="L1630" s="1" t="s">
        <v>49</v>
      </c>
      <c r="M1630" s="1" t="s">
        <v>21</v>
      </c>
    </row>
    <row r="1631" spans="1:13" x14ac:dyDescent="0.25">
      <c r="A1631" s="1" t="s">
        <v>2737</v>
      </c>
      <c r="B1631" s="1" t="s">
        <v>104</v>
      </c>
      <c r="C1631" s="1" t="s">
        <v>809</v>
      </c>
      <c r="D1631" s="1" t="s">
        <v>46</v>
      </c>
      <c r="E1631" s="1" t="s">
        <v>94</v>
      </c>
      <c r="F1631" s="1" t="s">
        <v>40</v>
      </c>
      <c r="G1631">
        <v>392920</v>
      </c>
      <c r="H1631" s="1" t="s">
        <v>875</v>
      </c>
      <c r="I1631" s="2">
        <v>45227</v>
      </c>
      <c r="J1631">
        <v>98</v>
      </c>
      <c r="K1631">
        <v>7</v>
      </c>
      <c r="L1631" s="1" t="s">
        <v>49</v>
      </c>
      <c r="M1631" s="1" t="s">
        <v>102</v>
      </c>
    </row>
    <row r="1632" spans="1:13" x14ac:dyDescent="0.25">
      <c r="A1632" s="1" t="s">
        <v>2738</v>
      </c>
      <c r="B1632" s="1" t="s">
        <v>173</v>
      </c>
      <c r="C1632" s="1" t="s">
        <v>165</v>
      </c>
      <c r="D1632" s="1" t="s">
        <v>90</v>
      </c>
      <c r="E1632" s="1" t="s">
        <v>17</v>
      </c>
      <c r="F1632" s="1" t="s">
        <v>18</v>
      </c>
      <c r="G1632">
        <v>392366</v>
      </c>
      <c r="H1632" s="1" t="s">
        <v>1332</v>
      </c>
      <c r="I1632" s="2">
        <v>45668</v>
      </c>
      <c r="J1632">
        <v>108</v>
      </c>
      <c r="K1632">
        <v>8.1999999999999993</v>
      </c>
      <c r="L1632" s="1" t="s">
        <v>20</v>
      </c>
      <c r="M1632" s="1" t="s">
        <v>149</v>
      </c>
    </row>
    <row r="1633" spans="1:13" x14ac:dyDescent="0.25">
      <c r="A1633" s="1" t="s">
        <v>2739</v>
      </c>
      <c r="B1633" s="1" t="s">
        <v>23</v>
      </c>
      <c r="C1633" s="1" t="s">
        <v>1028</v>
      </c>
      <c r="D1633" s="1" t="s">
        <v>46</v>
      </c>
      <c r="E1633" s="1" t="s">
        <v>94</v>
      </c>
      <c r="F1633" s="1" t="s">
        <v>53</v>
      </c>
      <c r="G1633">
        <v>255595</v>
      </c>
      <c r="H1633" s="1" t="s">
        <v>1689</v>
      </c>
      <c r="I1633" s="2"/>
      <c r="K1633">
        <v>12.1</v>
      </c>
      <c r="L1633" s="1" t="s">
        <v>96</v>
      </c>
      <c r="M1633" s="1" t="s">
        <v>63</v>
      </c>
    </row>
    <row r="1634" spans="1:13" x14ac:dyDescent="0.25">
      <c r="A1634" s="1" t="s">
        <v>2740</v>
      </c>
      <c r="B1634" s="1" t="s">
        <v>98</v>
      </c>
      <c r="C1634" s="1" t="s">
        <v>644</v>
      </c>
      <c r="D1634" s="1" t="s">
        <v>46</v>
      </c>
      <c r="E1634" s="1" t="s">
        <v>100</v>
      </c>
      <c r="F1634" s="1" t="s">
        <v>18</v>
      </c>
      <c r="G1634">
        <v>229366</v>
      </c>
      <c r="H1634" s="1" t="s">
        <v>2630</v>
      </c>
      <c r="I1634" s="2">
        <v>45509</v>
      </c>
      <c r="J1634">
        <v>35</v>
      </c>
      <c r="K1634">
        <v>14.3</v>
      </c>
      <c r="L1634" s="1" t="s">
        <v>49</v>
      </c>
      <c r="M1634" s="1" t="s">
        <v>149</v>
      </c>
    </row>
    <row r="1635" spans="1:13" x14ac:dyDescent="0.25">
      <c r="A1635" s="1" t="s">
        <v>2741</v>
      </c>
      <c r="B1635" s="1" t="s">
        <v>104</v>
      </c>
      <c r="C1635" s="1" t="s">
        <v>502</v>
      </c>
      <c r="D1635" s="1" t="s">
        <v>25</v>
      </c>
      <c r="E1635" s="1" t="s">
        <v>77</v>
      </c>
      <c r="F1635" s="1" t="s">
        <v>53</v>
      </c>
      <c r="G1635">
        <v>458199</v>
      </c>
      <c r="H1635" s="1" t="s">
        <v>2742</v>
      </c>
      <c r="I1635" s="2"/>
      <c r="L1635" s="1" t="s">
        <v>20</v>
      </c>
      <c r="M1635" s="1" t="s">
        <v>42</v>
      </c>
    </row>
    <row r="1636" spans="1:13" x14ac:dyDescent="0.25">
      <c r="A1636" s="1" t="s">
        <v>2743</v>
      </c>
      <c r="B1636" s="1" t="s">
        <v>127</v>
      </c>
      <c r="C1636" s="1" t="s">
        <v>571</v>
      </c>
      <c r="D1636" s="1" t="s">
        <v>25</v>
      </c>
      <c r="E1636" s="1" t="s">
        <v>94</v>
      </c>
      <c r="F1636" s="1" t="s">
        <v>40</v>
      </c>
      <c r="G1636">
        <v>221881</v>
      </c>
      <c r="H1636" s="1" t="s">
        <v>1759</v>
      </c>
      <c r="I1636" s="2">
        <v>45759</v>
      </c>
      <c r="J1636">
        <v>32</v>
      </c>
      <c r="K1636">
        <v>7.4</v>
      </c>
      <c r="L1636" s="1" t="s">
        <v>96</v>
      </c>
      <c r="M1636" s="1" t="s">
        <v>63</v>
      </c>
    </row>
    <row r="1637" spans="1:13" x14ac:dyDescent="0.25">
      <c r="A1637" s="1" t="s">
        <v>2744</v>
      </c>
      <c r="B1637" s="1" t="s">
        <v>14</v>
      </c>
      <c r="C1637" s="1" t="s">
        <v>292</v>
      </c>
      <c r="D1637" s="1" t="s">
        <v>67</v>
      </c>
      <c r="E1637" s="1" t="s">
        <v>100</v>
      </c>
      <c r="F1637" s="1" t="s">
        <v>53</v>
      </c>
      <c r="G1637">
        <v>422416</v>
      </c>
      <c r="H1637" s="1" t="s">
        <v>2728</v>
      </c>
      <c r="I1637" s="2"/>
      <c r="K1637">
        <v>2.9</v>
      </c>
      <c r="L1637" s="1" t="s">
        <v>96</v>
      </c>
      <c r="M1637" s="1" t="s">
        <v>30</v>
      </c>
    </row>
    <row r="1638" spans="1:13" x14ac:dyDescent="0.25">
      <c r="A1638" s="1" t="s">
        <v>2745</v>
      </c>
      <c r="B1638" s="1" t="s">
        <v>98</v>
      </c>
      <c r="C1638" s="1" t="s">
        <v>865</v>
      </c>
      <c r="D1638" s="1" t="s">
        <v>39</v>
      </c>
      <c r="E1638" s="1" t="s">
        <v>47</v>
      </c>
      <c r="F1638" s="1" t="s">
        <v>27</v>
      </c>
      <c r="G1638">
        <v>13088</v>
      </c>
      <c r="H1638" s="1" t="s">
        <v>19</v>
      </c>
      <c r="I1638" s="2"/>
      <c r="L1638" s="1" t="s">
        <v>49</v>
      </c>
      <c r="M1638" s="1" t="s">
        <v>21</v>
      </c>
    </row>
    <row r="1639" spans="1:13" x14ac:dyDescent="0.25">
      <c r="A1639" s="1" t="s">
        <v>2746</v>
      </c>
      <c r="B1639" s="1" t="s">
        <v>88</v>
      </c>
      <c r="C1639" s="1" t="s">
        <v>667</v>
      </c>
      <c r="D1639" s="1" t="s">
        <v>39</v>
      </c>
      <c r="E1639" s="1" t="s">
        <v>77</v>
      </c>
      <c r="F1639" s="1" t="s">
        <v>33</v>
      </c>
      <c r="G1639">
        <v>36920</v>
      </c>
      <c r="H1639" s="1" t="s">
        <v>211</v>
      </c>
      <c r="I1639" s="2"/>
      <c r="K1639">
        <v>13.5</v>
      </c>
      <c r="L1639" s="1" t="s">
        <v>49</v>
      </c>
      <c r="M1639" s="1" t="s">
        <v>30</v>
      </c>
    </row>
    <row r="1640" spans="1:13" x14ac:dyDescent="0.25">
      <c r="A1640" s="1" t="s">
        <v>2747</v>
      </c>
      <c r="B1640" s="1" t="s">
        <v>37</v>
      </c>
      <c r="C1640" s="1" t="s">
        <v>1518</v>
      </c>
      <c r="D1640" s="1" t="s">
        <v>16</v>
      </c>
      <c r="E1640" s="1" t="s">
        <v>61</v>
      </c>
      <c r="F1640" s="1" t="s">
        <v>18</v>
      </c>
      <c r="G1640">
        <v>446485</v>
      </c>
      <c r="H1640" s="1" t="s">
        <v>1748</v>
      </c>
      <c r="I1640" s="2">
        <v>45488</v>
      </c>
      <c r="J1640">
        <v>72</v>
      </c>
      <c r="K1640">
        <v>10</v>
      </c>
      <c r="L1640" s="1" t="s">
        <v>20</v>
      </c>
      <c r="M1640" s="1" t="s">
        <v>107</v>
      </c>
    </row>
    <row r="1641" spans="1:13" x14ac:dyDescent="0.25">
      <c r="A1641" s="1" t="s">
        <v>2748</v>
      </c>
      <c r="B1641" s="1" t="s">
        <v>23</v>
      </c>
      <c r="C1641" s="1" t="s">
        <v>454</v>
      </c>
      <c r="D1641" s="1" t="s">
        <v>90</v>
      </c>
      <c r="E1641" s="1" t="s">
        <v>61</v>
      </c>
      <c r="F1641" s="1" t="s">
        <v>40</v>
      </c>
      <c r="G1641">
        <v>209365</v>
      </c>
      <c r="H1641" s="1" t="s">
        <v>714</v>
      </c>
      <c r="I1641" s="2">
        <v>45738</v>
      </c>
      <c r="J1641">
        <v>165</v>
      </c>
      <c r="K1641">
        <v>23</v>
      </c>
      <c r="L1641" s="1" t="s">
        <v>96</v>
      </c>
      <c r="M1641" s="1" t="s">
        <v>42</v>
      </c>
    </row>
    <row r="1642" spans="1:13" x14ac:dyDescent="0.25">
      <c r="A1642" s="1" t="s">
        <v>2749</v>
      </c>
      <c r="B1642" s="1" t="s">
        <v>84</v>
      </c>
      <c r="C1642" s="1" t="s">
        <v>247</v>
      </c>
      <c r="D1642" s="1" t="s">
        <v>16</v>
      </c>
      <c r="E1642" s="1" t="s">
        <v>17</v>
      </c>
      <c r="F1642" s="1" t="s">
        <v>33</v>
      </c>
      <c r="G1642">
        <v>17407</v>
      </c>
      <c r="H1642" s="1" t="s">
        <v>2750</v>
      </c>
      <c r="I1642" s="2"/>
      <c r="K1642">
        <v>4.3</v>
      </c>
      <c r="L1642" s="1" t="s">
        <v>20</v>
      </c>
      <c r="M1642" s="1" t="s">
        <v>21</v>
      </c>
    </row>
    <row r="1643" spans="1:13" x14ac:dyDescent="0.25">
      <c r="A1643" s="1" t="s">
        <v>2751</v>
      </c>
      <c r="B1643" s="1" t="s">
        <v>84</v>
      </c>
      <c r="C1643" s="1" t="s">
        <v>892</v>
      </c>
      <c r="D1643" s="1" t="s">
        <v>46</v>
      </c>
      <c r="E1643" s="1" t="s">
        <v>72</v>
      </c>
      <c r="F1643" s="1" t="s">
        <v>18</v>
      </c>
      <c r="G1643">
        <v>489655</v>
      </c>
      <c r="H1643" s="1" t="s">
        <v>1791</v>
      </c>
      <c r="I1643" s="2">
        <v>45801</v>
      </c>
      <c r="J1643">
        <v>153</v>
      </c>
      <c r="K1643">
        <v>8.8000000000000007</v>
      </c>
      <c r="L1643" s="1" t="s">
        <v>49</v>
      </c>
      <c r="M1643" s="1" t="s">
        <v>42</v>
      </c>
    </row>
    <row r="1644" spans="1:13" x14ac:dyDescent="0.25">
      <c r="A1644" s="1" t="s">
        <v>2752</v>
      </c>
      <c r="B1644" s="1" t="s">
        <v>173</v>
      </c>
      <c r="C1644" s="1" t="s">
        <v>747</v>
      </c>
      <c r="D1644" s="1" t="s">
        <v>39</v>
      </c>
      <c r="E1644" s="1" t="s">
        <v>77</v>
      </c>
      <c r="F1644" s="1" t="s">
        <v>18</v>
      </c>
      <c r="G1644">
        <v>259882</v>
      </c>
      <c r="H1644" s="1" t="s">
        <v>1402</v>
      </c>
      <c r="I1644" s="2">
        <v>45648</v>
      </c>
      <c r="J1644">
        <v>77</v>
      </c>
      <c r="K1644">
        <v>2.4</v>
      </c>
      <c r="L1644" s="1" t="s">
        <v>49</v>
      </c>
      <c r="M1644" s="1" t="s">
        <v>42</v>
      </c>
    </row>
    <row r="1645" spans="1:13" x14ac:dyDescent="0.25">
      <c r="A1645" s="1" t="s">
        <v>2753</v>
      </c>
      <c r="B1645" s="1" t="s">
        <v>37</v>
      </c>
      <c r="C1645" s="1" t="s">
        <v>420</v>
      </c>
      <c r="D1645" s="1" t="s">
        <v>25</v>
      </c>
      <c r="E1645" s="1" t="s">
        <v>47</v>
      </c>
      <c r="F1645" s="1" t="s">
        <v>129</v>
      </c>
      <c r="G1645">
        <v>39625</v>
      </c>
      <c r="H1645" s="1" t="s">
        <v>234</v>
      </c>
      <c r="I1645" s="2"/>
      <c r="K1645">
        <v>13.3</v>
      </c>
      <c r="L1645" s="1" t="s">
        <v>49</v>
      </c>
      <c r="M1645" s="1" t="s">
        <v>149</v>
      </c>
    </row>
    <row r="1646" spans="1:13" x14ac:dyDescent="0.25">
      <c r="A1646" s="1" t="s">
        <v>2754</v>
      </c>
      <c r="B1646" s="1" t="s">
        <v>23</v>
      </c>
      <c r="C1646" s="1" t="s">
        <v>358</v>
      </c>
      <c r="D1646" s="1" t="s">
        <v>90</v>
      </c>
      <c r="E1646" s="1" t="s">
        <v>17</v>
      </c>
      <c r="F1646" s="1" t="s">
        <v>27</v>
      </c>
      <c r="G1646">
        <v>242452</v>
      </c>
      <c r="H1646" s="1" t="s">
        <v>2045</v>
      </c>
      <c r="I1646" s="2"/>
      <c r="K1646">
        <v>0.1</v>
      </c>
      <c r="L1646" s="1" t="s">
        <v>96</v>
      </c>
      <c r="M1646" s="1" t="s">
        <v>63</v>
      </c>
    </row>
    <row r="1647" spans="1:13" x14ac:dyDescent="0.25">
      <c r="A1647" s="1" t="s">
        <v>2755</v>
      </c>
      <c r="B1647" s="1" t="s">
        <v>23</v>
      </c>
      <c r="C1647" s="1" t="s">
        <v>486</v>
      </c>
      <c r="D1647" s="1" t="s">
        <v>46</v>
      </c>
      <c r="E1647" s="1" t="s">
        <v>26</v>
      </c>
      <c r="F1647" s="1" t="s">
        <v>33</v>
      </c>
      <c r="G1647">
        <v>58727</v>
      </c>
      <c r="H1647" s="1" t="s">
        <v>514</v>
      </c>
      <c r="I1647" s="2"/>
      <c r="K1647">
        <v>3.5</v>
      </c>
      <c r="L1647" s="1" t="s">
        <v>49</v>
      </c>
      <c r="M1647" s="1" t="s">
        <v>63</v>
      </c>
    </row>
    <row r="1648" spans="1:13" x14ac:dyDescent="0.25">
      <c r="A1648" s="1" t="s">
        <v>2756</v>
      </c>
      <c r="B1648" s="1" t="s">
        <v>98</v>
      </c>
      <c r="C1648" s="1" t="s">
        <v>505</v>
      </c>
      <c r="D1648" s="1" t="s">
        <v>67</v>
      </c>
      <c r="E1648" s="1" t="s">
        <v>51</v>
      </c>
      <c r="F1648" s="1" t="s">
        <v>40</v>
      </c>
      <c r="G1648">
        <v>130338</v>
      </c>
      <c r="H1648" s="1" t="s">
        <v>841</v>
      </c>
      <c r="I1648" s="2">
        <v>45377</v>
      </c>
      <c r="J1648">
        <v>89</v>
      </c>
      <c r="K1648">
        <v>3.7</v>
      </c>
      <c r="L1648" s="1" t="s">
        <v>96</v>
      </c>
      <c r="M1648" s="1" t="s">
        <v>21</v>
      </c>
    </row>
    <row r="1649" spans="1:13" x14ac:dyDescent="0.25">
      <c r="A1649" s="1" t="s">
        <v>2757</v>
      </c>
      <c r="B1649" s="1" t="s">
        <v>80</v>
      </c>
      <c r="C1649" s="1" t="s">
        <v>420</v>
      </c>
      <c r="D1649" s="1" t="s">
        <v>16</v>
      </c>
      <c r="E1649" s="1" t="s">
        <v>100</v>
      </c>
      <c r="F1649" s="1" t="s">
        <v>40</v>
      </c>
      <c r="G1649">
        <v>440778</v>
      </c>
      <c r="H1649" s="1" t="s">
        <v>1929</v>
      </c>
      <c r="I1649" s="2">
        <v>45197</v>
      </c>
      <c r="J1649">
        <v>91</v>
      </c>
      <c r="K1649">
        <v>21.4</v>
      </c>
      <c r="L1649" s="1" t="s">
        <v>49</v>
      </c>
      <c r="M1649" s="1" t="s">
        <v>30</v>
      </c>
    </row>
    <row r="1650" spans="1:13" x14ac:dyDescent="0.25">
      <c r="A1650" s="1" t="s">
        <v>2758</v>
      </c>
      <c r="B1650" s="1" t="s">
        <v>65</v>
      </c>
      <c r="C1650" s="1" t="s">
        <v>620</v>
      </c>
      <c r="D1650" s="1" t="s">
        <v>16</v>
      </c>
      <c r="E1650" s="1" t="s">
        <v>17</v>
      </c>
      <c r="F1650" s="1" t="s">
        <v>27</v>
      </c>
      <c r="G1650">
        <v>354433</v>
      </c>
      <c r="H1650" s="1" t="s">
        <v>437</v>
      </c>
      <c r="I1650" s="2"/>
      <c r="L1650" s="1" t="s">
        <v>49</v>
      </c>
      <c r="M1650" s="1" t="s">
        <v>30</v>
      </c>
    </row>
    <row r="1651" spans="1:13" x14ac:dyDescent="0.25">
      <c r="A1651" s="1" t="s">
        <v>2759</v>
      </c>
      <c r="B1651" s="1" t="s">
        <v>65</v>
      </c>
      <c r="C1651" s="1" t="s">
        <v>15</v>
      </c>
      <c r="D1651" s="1" t="s">
        <v>90</v>
      </c>
      <c r="E1651" s="1" t="s">
        <v>47</v>
      </c>
      <c r="F1651" s="1" t="s">
        <v>33</v>
      </c>
      <c r="G1651">
        <v>23074</v>
      </c>
      <c r="H1651" s="1" t="s">
        <v>232</v>
      </c>
      <c r="I1651" s="2"/>
      <c r="K1651">
        <v>13.7</v>
      </c>
      <c r="L1651" s="1" t="s">
        <v>96</v>
      </c>
      <c r="M1651" s="1" t="s">
        <v>102</v>
      </c>
    </row>
    <row r="1652" spans="1:13" x14ac:dyDescent="0.25">
      <c r="A1652" s="1" t="s">
        <v>2760</v>
      </c>
      <c r="B1652" s="1" t="s">
        <v>59</v>
      </c>
      <c r="C1652" s="1" t="s">
        <v>1299</v>
      </c>
      <c r="D1652" s="1" t="s">
        <v>16</v>
      </c>
      <c r="E1652" s="1" t="s">
        <v>72</v>
      </c>
      <c r="F1652" s="1" t="s">
        <v>33</v>
      </c>
      <c r="G1652">
        <v>269035</v>
      </c>
      <c r="H1652" s="1" t="s">
        <v>1107</v>
      </c>
      <c r="I1652" s="2"/>
      <c r="K1652">
        <v>5</v>
      </c>
      <c r="L1652" s="1" t="s">
        <v>29</v>
      </c>
      <c r="M1652" s="1" t="s">
        <v>21</v>
      </c>
    </row>
    <row r="1653" spans="1:13" x14ac:dyDescent="0.25">
      <c r="A1653" s="1" t="s">
        <v>2761</v>
      </c>
      <c r="B1653" s="1" t="s">
        <v>37</v>
      </c>
      <c r="C1653" s="1" t="s">
        <v>1496</v>
      </c>
      <c r="D1653" s="1" t="s">
        <v>90</v>
      </c>
      <c r="E1653" s="1" t="s">
        <v>94</v>
      </c>
      <c r="F1653" s="1" t="s">
        <v>33</v>
      </c>
      <c r="G1653">
        <v>167033</v>
      </c>
      <c r="H1653" s="1" t="s">
        <v>2307</v>
      </c>
      <c r="I1653" s="2"/>
      <c r="K1653">
        <v>7.3</v>
      </c>
      <c r="L1653" s="1" t="s">
        <v>29</v>
      </c>
      <c r="M1653" s="1" t="s">
        <v>21</v>
      </c>
    </row>
    <row r="1654" spans="1:13" x14ac:dyDescent="0.25">
      <c r="A1654" s="1" t="s">
        <v>2762</v>
      </c>
      <c r="B1654" s="1" t="s">
        <v>37</v>
      </c>
      <c r="C1654" s="1" t="s">
        <v>486</v>
      </c>
      <c r="D1654" s="1" t="s">
        <v>39</v>
      </c>
      <c r="E1654" s="1" t="s">
        <v>61</v>
      </c>
      <c r="F1654" s="1" t="s">
        <v>18</v>
      </c>
      <c r="G1654">
        <v>365937</v>
      </c>
      <c r="H1654" s="1" t="s">
        <v>955</v>
      </c>
      <c r="I1654" s="2">
        <v>45768</v>
      </c>
      <c r="J1654">
        <v>50</v>
      </c>
      <c r="L1654" s="1" t="s">
        <v>96</v>
      </c>
      <c r="M1654" s="1" t="s">
        <v>63</v>
      </c>
    </row>
    <row r="1655" spans="1:13" x14ac:dyDescent="0.25">
      <c r="A1655" s="1" t="s">
        <v>2763</v>
      </c>
      <c r="B1655" s="1" t="s">
        <v>127</v>
      </c>
      <c r="C1655" s="1" t="s">
        <v>2091</v>
      </c>
      <c r="D1655" s="1" t="s">
        <v>16</v>
      </c>
      <c r="E1655" s="1" t="s">
        <v>17</v>
      </c>
      <c r="F1655" s="1" t="s">
        <v>129</v>
      </c>
      <c r="G1655">
        <v>74013</v>
      </c>
      <c r="H1655" s="1" t="s">
        <v>495</v>
      </c>
      <c r="I1655" s="2"/>
      <c r="K1655">
        <v>1.3</v>
      </c>
      <c r="L1655" s="1" t="s">
        <v>96</v>
      </c>
      <c r="M1655" s="1" t="s">
        <v>21</v>
      </c>
    </row>
    <row r="1656" spans="1:13" x14ac:dyDescent="0.25">
      <c r="A1656" s="1" t="s">
        <v>2764</v>
      </c>
      <c r="B1656" s="1" t="s">
        <v>37</v>
      </c>
      <c r="C1656" s="1" t="s">
        <v>218</v>
      </c>
      <c r="D1656" s="1" t="s">
        <v>46</v>
      </c>
      <c r="E1656" s="1" t="s">
        <v>61</v>
      </c>
      <c r="F1656" s="1" t="s">
        <v>129</v>
      </c>
      <c r="G1656">
        <v>258423</v>
      </c>
      <c r="H1656" s="1" t="s">
        <v>2733</v>
      </c>
      <c r="I1656" s="2"/>
      <c r="K1656">
        <v>13.1</v>
      </c>
      <c r="L1656" s="1" t="s">
        <v>96</v>
      </c>
      <c r="M1656" s="1" t="s">
        <v>107</v>
      </c>
    </row>
    <row r="1657" spans="1:13" x14ac:dyDescent="0.25">
      <c r="A1657" s="1" t="s">
        <v>2765</v>
      </c>
      <c r="B1657" s="1" t="s">
        <v>14</v>
      </c>
      <c r="C1657" s="1" t="s">
        <v>436</v>
      </c>
      <c r="D1657" s="1" t="s">
        <v>39</v>
      </c>
      <c r="E1657" s="1" t="s">
        <v>94</v>
      </c>
      <c r="F1657" s="1" t="s">
        <v>129</v>
      </c>
      <c r="G1657">
        <v>305204</v>
      </c>
      <c r="H1657" s="1" t="s">
        <v>2766</v>
      </c>
      <c r="I1657" s="2"/>
      <c r="K1657">
        <v>11.3</v>
      </c>
      <c r="L1657" s="1" t="s">
        <v>29</v>
      </c>
      <c r="M1657" s="1" t="s">
        <v>30</v>
      </c>
    </row>
    <row r="1658" spans="1:13" x14ac:dyDescent="0.25">
      <c r="A1658" s="1" t="s">
        <v>2099</v>
      </c>
      <c r="B1658" s="1" t="s">
        <v>84</v>
      </c>
      <c r="C1658" s="1" t="s">
        <v>1021</v>
      </c>
      <c r="D1658" s="1" t="s">
        <v>16</v>
      </c>
      <c r="E1658" s="1" t="s">
        <v>100</v>
      </c>
      <c r="F1658" s="1" t="s">
        <v>33</v>
      </c>
      <c r="G1658">
        <v>443974</v>
      </c>
      <c r="H1658" s="1" t="s">
        <v>670</v>
      </c>
      <c r="I1658" s="2"/>
      <c r="K1658">
        <v>3</v>
      </c>
      <c r="L1658" s="1" t="s">
        <v>29</v>
      </c>
      <c r="M1658" s="1" t="s">
        <v>35</v>
      </c>
    </row>
    <row r="1659" spans="1:13" x14ac:dyDescent="0.25">
      <c r="A1659" s="1" t="s">
        <v>2767</v>
      </c>
      <c r="B1659" s="1" t="s">
        <v>44</v>
      </c>
      <c r="C1659" s="1" t="s">
        <v>76</v>
      </c>
      <c r="D1659" s="1" t="s">
        <v>16</v>
      </c>
      <c r="E1659" s="1" t="s">
        <v>61</v>
      </c>
      <c r="F1659" s="1" t="s">
        <v>33</v>
      </c>
      <c r="G1659">
        <v>217551</v>
      </c>
      <c r="H1659" s="1" t="s">
        <v>1168</v>
      </c>
      <c r="I1659" s="2"/>
      <c r="L1659" s="1" t="s">
        <v>29</v>
      </c>
      <c r="M1659" s="1" t="s">
        <v>42</v>
      </c>
    </row>
    <row r="1660" spans="1:13" x14ac:dyDescent="0.25">
      <c r="A1660" s="1" t="s">
        <v>2768</v>
      </c>
      <c r="B1660" s="1" t="s">
        <v>104</v>
      </c>
      <c r="C1660" s="1" t="s">
        <v>1377</v>
      </c>
      <c r="D1660" s="1" t="s">
        <v>16</v>
      </c>
      <c r="E1660" s="1" t="s">
        <v>72</v>
      </c>
      <c r="F1660" s="1" t="s">
        <v>27</v>
      </c>
      <c r="G1660">
        <v>225361</v>
      </c>
      <c r="H1660" s="1" t="s">
        <v>1220</v>
      </c>
      <c r="I1660" s="2"/>
      <c r="K1660">
        <v>5.2</v>
      </c>
      <c r="L1660" s="1" t="s">
        <v>49</v>
      </c>
      <c r="M1660" s="1" t="s">
        <v>149</v>
      </c>
    </row>
    <row r="1661" spans="1:13" x14ac:dyDescent="0.25">
      <c r="A1661" s="1" t="s">
        <v>2769</v>
      </c>
      <c r="B1661" s="1" t="s">
        <v>127</v>
      </c>
      <c r="C1661" s="1" t="s">
        <v>1170</v>
      </c>
      <c r="D1661" s="1" t="s">
        <v>67</v>
      </c>
      <c r="E1661" s="1" t="s">
        <v>26</v>
      </c>
      <c r="F1661" s="1" t="s">
        <v>129</v>
      </c>
      <c r="G1661">
        <v>227425</v>
      </c>
      <c r="H1661" s="1" t="s">
        <v>926</v>
      </c>
      <c r="I1661" s="2"/>
      <c r="K1661">
        <v>11.6</v>
      </c>
      <c r="L1661" s="1" t="s">
        <v>20</v>
      </c>
      <c r="M1661" s="1" t="s">
        <v>149</v>
      </c>
    </row>
    <row r="1662" spans="1:13" x14ac:dyDescent="0.25">
      <c r="A1662" s="1" t="s">
        <v>2770</v>
      </c>
      <c r="B1662" s="1" t="s">
        <v>23</v>
      </c>
      <c r="C1662" s="1" t="s">
        <v>255</v>
      </c>
      <c r="D1662" s="1" t="s">
        <v>16</v>
      </c>
      <c r="E1662" s="1" t="s">
        <v>61</v>
      </c>
      <c r="F1662" s="1" t="s">
        <v>40</v>
      </c>
      <c r="G1662">
        <v>268674</v>
      </c>
      <c r="H1662" s="1" t="s">
        <v>2771</v>
      </c>
      <c r="I1662" s="2">
        <v>45532</v>
      </c>
      <c r="J1662">
        <v>151</v>
      </c>
      <c r="K1662">
        <v>3.2</v>
      </c>
      <c r="L1662" s="1" t="s">
        <v>29</v>
      </c>
      <c r="M1662" s="1" t="s">
        <v>69</v>
      </c>
    </row>
    <row r="1663" spans="1:13" x14ac:dyDescent="0.25">
      <c r="A1663" s="1" t="s">
        <v>2772</v>
      </c>
      <c r="B1663" s="1" t="s">
        <v>51</v>
      </c>
      <c r="C1663" s="1" t="s">
        <v>433</v>
      </c>
      <c r="D1663" s="1" t="s">
        <v>90</v>
      </c>
      <c r="E1663" s="1" t="s">
        <v>61</v>
      </c>
      <c r="F1663" s="1" t="s">
        <v>18</v>
      </c>
      <c r="G1663">
        <v>198382</v>
      </c>
      <c r="H1663" s="1" t="s">
        <v>152</v>
      </c>
      <c r="I1663" s="2">
        <v>45131</v>
      </c>
      <c r="J1663">
        <v>37</v>
      </c>
      <c r="K1663">
        <v>11.3</v>
      </c>
      <c r="L1663" s="1" t="s">
        <v>20</v>
      </c>
      <c r="M1663" s="1" t="s">
        <v>30</v>
      </c>
    </row>
    <row r="1664" spans="1:13" x14ac:dyDescent="0.25">
      <c r="A1664" s="1" t="s">
        <v>2773</v>
      </c>
      <c r="B1664" s="1" t="s">
        <v>109</v>
      </c>
      <c r="C1664" s="1" t="s">
        <v>1151</v>
      </c>
      <c r="D1664" s="1" t="s">
        <v>25</v>
      </c>
      <c r="E1664" s="1" t="s">
        <v>100</v>
      </c>
      <c r="F1664" s="1" t="s">
        <v>53</v>
      </c>
      <c r="G1664">
        <v>405689</v>
      </c>
      <c r="H1664" s="1" t="s">
        <v>1879</v>
      </c>
      <c r="I1664" s="2"/>
      <c r="K1664">
        <v>2</v>
      </c>
      <c r="L1664" s="1" t="s">
        <v>20</v>
      </c>
      <c r="M1664" s="1" t="s">
        <v>102</v>
      </c>
    </row>
    <row r="1665" spans="1:13" x14ac:dyDescent="0.25">
      <c r="A1665" s="1" t="s">
        <v>2774</v>
      </c>
      <c r="B1665" s="1" t="s">
        <v>109</v>
      </c>
      <c r="C1665" s="1" t="s">
        <v>463</v>
      </c>
      <c r="D1665" s="1" t="s">
        <v>16</v>
      </c>
      <c r="E1665" s="1" t="s">
        <v>94</v>
      </c>
      <c r="F1665" s="1" t="s">
        <v>27</v>
      </c>
      <c r="G1665">
        <v>16284</v>
      </c>
      <c r="H1665" s="1" t="s">
        <v>2775</v>
      </c>
      <c r="I1665" s="2"/>
      <c r="L1665" s="1" t="s">
        <v>49</v>
      </c>
      <c r="M1665" s="1" t="s">
        <v>30</v>
      </c>
    </row>
    <row r="1666" spans="1:13" x14ac:dyDescent="0.25">
      <c r="A1666" s="1" t="s">
        <v>2776</v>
      </c>
      <c r="B1666" s="1" t="s">
        <v>65</v>
      </c>
      <c r="C1666" s="1" t="s">
        <v>1165</v>
      </c>
      <c r="D1666" s="1" t="s">
        <v>67</v>
      </c>
      <c r="E1666" s="1" t="s">
        <v>47</v>
      </c>
      <c r="F1666" s="1" t="s">
        <v>40</v>
      </c>
      <c r="G1666">
        <v>263881</v>
      </c>
      <c r="H1666" s="1" t="s">
        <v>1679</v>
      </c>
      <c r="I1666" s="2">
        <v>45723</v>
      </c>
      <c r="J1666">
        <v>31</v>
      </c>
      <c r="K1666">
        <v>3.2</v>
      </c>
      <c r="L1666" s="1" t="s">
        <v>49</v>
      </c>
      <c r="M1666" s="1" t="s">
        <v>63</v>
      </c>
    </row>
    <row r="1667" spans="1:13" x14ac:dyDescent="0.25">
      <c r="A1667" s="1" t="s">
        <v>2777</v>
      </c>
      <c r="B1667" s="1" t="s">
        <v>37</v>
      </c>
      <c r="C1667" s="1" t="s">
        <v>711</v>
      </c>
      <c r="D1667" s="1" t="s">
        <v>25</v>
      </c>
      <c r="E1667" s="1" t="s">
        <v>47</v>
      </c>
      <c r="F1667" s="1" t="s">
        <v>27</v>
      </c>
      <c r="G1667">
        <v>270686</v>
      </c>
      <c r="H1667" s="1" t="s">
        <v>152</v>
      </c>
      <c r="I1667" s="2"/>
      <c r="K1667">
        <v>13</v>
      </c>
      <c r="L1667" s="1" t="s">
        <v>96</v>
      </c>
      <c r="M1667" s="1" t="s">
        <v>30</v>
      </c>
    </row>
    <row r="1668" spans="1:13" x14ac:dyDescent="0.25">
      <c r="A1668" s="1" t="s">
        <v>2778</v>
      </c>
      <c r="B1668" s="1" t="s">
        <v>127</v>
      </c>
      <c r="C1668" s="1" t="s">
        <v>898</v>
      </c>
      <c r="D1668" s="1" t="s">
        <v>67</v>
      </c>
      <c r="E1668" s="1" t="s">
        <v>26</v>
      </c>
      <c r="F1668" s="1" t="s">
        <v>18</v>
      </c>
      <c r="G1668">
        <v>165454</v>
      </c>
      <c r="H1668" s="1" t="s">
        <v>152</v>
      </c>
      <c r="I1668" s="2">
        <v>45256</v>
      </c>
      <c r="J1668">
        <v>162</v>
      </c>
      <c r="K1668">
        <v>13.3</v>
      </c>
      <c r="L1668" s="1" t="s">
        <v>96</v>
      </c>
      <c r="M1668" s="1" t="s">
        <v>30</v>
      </c>
    </row>
    <row r="1669" spans="1:13" x14ac:dyDescent="0.25">
      <c r="A1669" s="1" t="s">
        <v>2779</v>
      </c>
      <c r="B1669" s="1" t="s">
        <v>104</v>
      </c>
      <c r="C1669" s="1" t="s">
        <v>1526</v>
      </c>
      <c r="D1669" s="1" t="s">
        <v>25</v>
      </c>
      <c r="E1669" s="1" t="s">
        <v>17</v>
      </c>
      <c r="F1669" s="1" t="s">
        <v>40</v>
      </c>
      <c r="G1669">
        <v>408923</v>
      </c>
      <c r="H1669" s="1" t="s">
        <v>841</v>
      </c>
      <c r="I1669" s="2">
        <v>45371</v>
      </c>
      <c r="J1669">
        <v>83</v>
      </c>
      <c r="K1669">
        <v>10.6</v>
      </c>
      <c r="L1669" s="1" t="s">
        <v>96</v>
      </c>
      <c r="M1669" s="1" t="s">
        <v>21</v>
      </c>
    </row>
    <row r="1670" spans="1:13" x14ac:dyDescent="0.25">
      <c r="A1670" s="1" t="s">
        <v>2780</v>
      </c>
      <c r="B1670" s="1" t="s">
        <v>14</v>
      </c>
      <c r="C1670" s="1" t="s">
        <v>1397</v>
      </c>
      <c r="D1670" s="1" t="s">
        <v>39</v>
      </c>
      <c r="E1670" s="1" t="s">
        <v>72</v>
      </c>
      <c r="F1670" s="1" t="s">
        <v>33</v>
      </c>
      <c r="G1670">
        <v>352907</v>
      </c>
      <c r="H1670" s="1" t="s">
        <v>2438</v>
      </c>
      <c r="I1670" s="2"/>
      <c r="K1670">
        <v>4.3</v>
      </c>
      <c r="L1670" s="1" t="s">
        <v>20</v>
      </c>
      <c r="M1670" s="1" t="s">
        <v>30</v>
      </c>
    </row>
    <row r="1671" spans="1:13" x14ac:dyDescent="0.25">
      <c r="A1671" s="1" t="s">
        <v>2781</v>
      </c>
      <c r="B1671" s="1" t="s">
        <v>127</v>
      </c>
      <c r="C1671" s="1" t="s">
        <v>705</v>
      </c>
      <c r="D1671" s="1" t="s">
        <v>16</v>
      </c>
      <c r="E1671" s="1" t="s">
        <v>77</v>
      </c>
      <c r="F1671" s="1" t="s">
        <v>129</v>
      </c>
      <c r="G1671">
        <v>239705</v>
      </c>
      <c r="H1671" s="1" t="s">
        <v>427</v>
      </c>
      <c r="I1671" s="2"/>
      <c r="K1671">
        <v>11.7</v>
      </c>
      <c r="L1671" s="1" t="s">
        <v>20</v>
      </c>
      <c r="M1671" s="1" t="s">
        <v>35</v>
      </c>
    </row>
    <row r="1672" spans="1:13" x14ac:dyDescent="0.25">
      <c r="A1672" s="1" t="s">
        <v>2782</v>
      </c>
      <c r="B1672" s="1" t="s">
        <v>88</v>
      </c>
      <c r="C1672" s="1" t="s">
        <v>686</v>
      </c>
      <c r="D1672" s="1" t="s">
        <v>25</v>
      </c>
      <c r="E1672" s="1" t="s">
        <v>17</v>
      </c>
      <c r="F1672" s="1" t="s">
        <v>40</v>
      </c>
      <c r="G1672">
        <v>149950</v>
      </c>
      <c r="H1672" s="1" t="s">
        <v>2783</v>
      </c>
      <c r="I1672" s="2">
        <v>45644</v>
      </c>
      <c r="J1672">
        <v>56</v>
      </c>
      <c r="K1672">
        <v>15</v>
      </c>
      <c r="L1672" s="1" t="s">
        <v>20</v>
      </c>
      <c r="M1672" s="1" t="s">
        <v>42</v>
      </c>
    </row>
    <row r="1673" spans="1:13" x14ac:dyDescent="0.25">
      <c r="A1673" s="1" t="s">
        <v>2784</v>
      </c>
      <c r="B1673" s="1" t="s">
        <v>84</v>
      </c>
      <c r="C1673" s="1" t="s">
        <v>885</v>
      </c>
      <c r="D1673" s="1" t="s">
        <v>90</v>
      </c>
      <c r="E1673" s="1" t="s">
        <v>17</v>
      </c>
      <c r="F1673" s="1" t="s">
        <v>27</v>
      </c>
      <c r="G1673">
        <v>75539</v>
      </c>
      <c r="H1673" s="1" t="s">
        <v>2785</v>
      </c>
      <c r="I1673" s="2"/>
      <c r="K1673">
        <v>9.9</v>
      </c>
      <c r="L1673" s="1" t="s">
        <v>49</v>
      </c>
      <c r="M1673" s="1" t="s">
        <v>69</v>
      </c>
    </row>
    <row r="1674" spans="1:13" x14ac:dyDescent="0.25">
      <c r="A1674" s="1" t="s">
        <v>2786</v>
      </c>
      <c r="B1674" s="1" t="s">
        <v>65</v>
      </c>
      <c r="C1674" s="1" t="s">
        <v>141</v>
      </c>
      <c r="D1674" s="1" t="s">
        <v>90</v>
      </c>
      <c r="E1674" s="1" t="s">
        <v>100</v>
      </c>
      <c r="F1674" s="1" t="s">
        <v>53</v>
      </c>
      <c r="G1674">
        <v>363008</v>
      </c>
      <c r="H1674" s="1" t="s">
        <v>216</v>
      </c>
      <c r="I1674" s="2"/>
      <c r="K1674">
        <v>13.1</v>
      </c>
      <c r="L1674" s="1" t="s">
        <v>96</v>
      </c>
      <c r="M1674" s="1" t="s">
        <v>63</v>
      </c>
    </row>
    <row r="1675" spans="1:13" x14ac:dyDescent="0.25">
      <c r="A1675" s="1" t="s">
        <v>2787</v>
      </c>
      <c r="B1675" s="1" t="s">
        <v>23</v>
      </c>
      <c r="C1675" s="1" t="s">
        <v>640</v>
      </c>
      <c r="D1675" s="1" t="s">
        <v>39</v>
      </c>
      <c r="E1675" s="1" t="s">
        <v>47</v>
      </c>
      <c r="F1675" s="1" t="s">
        <v>53</v>
      </c>
      <c r="G1675">
        <v>302808</v>
      </c>
      <c r="H1675" s="1" t="s">
        <v>1957</v>
      </c>
      <c r="I1675" s="2"/>
      <c r="K1675">
        <v>11</v>
      </c>
      <c r="L1675" s="1" t="s">
        <v>29</v>
      </c>
      <c r="M1675" s="1" t="s">
        <v>42</v>
      </c>
    </row>
    <row r="1676" spans="1:13" x14ac:dyDescent="0.25">
      <c r="A1676" s="1" t="s">
        <v>1856</v>
      </c>
      <c r="B1676" s="1" t="s">
        <v>23</v>
      </c>
      <c r="C1676" s="1" t="s">
        <v>141</v>
      </c>
      <c r="D1676" s="1" t="s">
        <v>39</v>
      </c>
      <c r="E1676" s="1" t="s">
        <v>61</v>
      </c>
      <c r="F1676" s="1" t="s">
        <v>27</v>
      </c>
      <c r="G1676">
        <v>146766</v>
      </c>
      <c r="H1676" s="1" t="s">
        <v>730</v>
      </c>
      <c r="I1676" s="2"/>
      <c r="K1676">
        <v>1.2</v>
      </c>
      <c r="L1676" s="1" t="s">
        <v>29</v>
      </c>
      <c r="M1676" s="1" t="s">
        <v>35</v>
      </c>
    </row>
    <row r="1677" spans="1:13" x14ac:dyDescent="0.25">
      <c r="A1677" s="1" t="s">
        <v>2788</v>
      </c>
      <c r="B1677" s="1" t="s">
        <v>80</v>
      </c>
      <c r="C1677" s="1" t="s">
        <v>390</v>
      </c>
      <c r="D1677" s="1" t="s">
        <v>90</v>
      </c>
      <c r="E1677" s="1" t="s">
        <v>77</v>
      </c>
      <c r="F1677" s="1" t="s">
        <v>27</v>
      </c>
      <c r="G1677">
        <v>275870</v>
      </c>
      <c r="H1677" s="1" t="s">
        <v>163</v>
      </c>
      <c r="I1677" s="2"/>
      <c r="K1677">
        <v>12.9</v>
      </c>
      <c r="L1677" s="1" t="s">
        <v>29</v>
      </c>
      <c r="M1677" s="1" t="s">
        <v>149</v>
      </c>
    </row>
    <row r="1678" spans="1:13" x14ac:dyDescent="0.25">
      <c r="A1678" s="1" t="s">
        <v>2789</v>
      </c>
      <c r="B1678" s="1" t="s">
        <v>44</v>
      </c>
      <c r="C1678" s="1" t="s">
        <v>250</v>
      </c>
      <c r="D1678" s="1" t="s">
        <v>67</v>
      </c>
      <c r="E1678" s="1" t="s">
        <v>100</v>
      </c>
      <c r="F1678" s="1" t="s">
        <v>53</v>
      </c>
      <c r="G1678">
        <v>346286</v>
      </c>
      <c r="H1678" s="1" t="s">
        <v>2179</v>
      </c>
      <c r="I1678" s="2"/>
      <c r="L1678" s="1" t="s">
        <v>29</v>
      </c>
      <c r="M1678" s="1" t="s">
        <v>21</v>
      </c>
    </row>
    <row r="1679" spans="1:13" x14ac:dyDescent="0.25">
      <c r="A1679" s="1" t="s">
        <v>2790</v>
      </c>
      <c r="B1679" s="1" t="s">
        <v>23</v>
      </c>
      <c r="C1679" s="1" t="s">
        <v>2211</v>
      </c>
      <c r="D1679" s="1" t="s">
        <v>46</v>
      </c>
      <c r="E1679" s="1" t="s">
        <v>47</v>
      </c>
      <c r="F1679" s="1" t="s">
        <v>18</v>
      </c>
      <c r="G1679">
        <v>262795</v>
      </c>
      <c r="H1679" s="1" t="s">
        <v>2791</v>
      </c>
      <c r="I1679" s="2">
        <v>45250</v>
      </c>
      <c r="J1679">
        <v>77</v>
      </c>
      <c r="K1679">
        <v>11.3</v>
      </c>
      <c r="L1679" s="1" t="s">
        <v>96</v>
      </c>
      <c r="M1679" s="1" t="s">
        <v>102</v>
      </c>
    </row>
    <row r="1680" spans="1:13" x14ac:dyDescent="0.25">
      <c r="A1680" s="1" t="s">
        <v>2118</v>
      </c>
      <c r="B1680" s="1" t="s">
        <v>44</v>
      </c>
      <c r="C1680" s="1" t="s">
        <v>192</v>
      </c>
      <c r="D1680" s="1" t="s">
        <v>25</v>
      </c>
      <c r="E1680" s="1" t="s">
        <v>61</v>
      </c>
      <c r="F1680" s="1" t="s">
        <v>129</v>
      </c>
      <c r="G1680">
        <v>1799142</v>
      </c>
      <c r="H1680" s="1" t="s">
        <v>902</v>
      </c>
      <c r="I1680" s="2"/>
      <c r="L1680" s="1" t="s">
        <v>20</v>
      </c>
      <c r="M1680" s="1" t="s">
        <v>149</v>
      </c>
    </row>
    <row r="1681" spans="1:13" x14ac:dyDescent="0.25">
      <c r="A1681" s="1" t="s">
        <v>397</v>
      </c>
      <c r="B1681" s="1" t="s">
        <v>65</v>
      </c>
      <c r="C1681" s="1" t="s">
        <v>398</v>
      </c>
      <c r="D1681" s="1" t="s">
        <v>90</v>
      </c>
      <c r="E1681" s="1" t="s">
        <v>100</v>
      </c>
      <c r="F1681" s="1" t="s">
        <v>129</v>
      </c>
      <c r="G1681">
        <v>427742</v>
      </c>
      <c r="H1681" s="1" t="s">
        <v>399</v>
      </c>
      <c r="I1681" s="2"/>
      <c r="K1681">
        <v>8.1</v>
      </c>
      <c r="L1681" s="1" t="s">
        <v>20</v>
      </c>
      <c r="M1681" s="1" t="s">
        <v>42</v>
      </c>
    </row>
    <row r="1682" spans="1:13" x14ac:dyDescent="0.25">
      <c r="A1682" s="1" t="s">
        <v>2792</v>
      </c>
      <c r="B1682" s="1" t="s">
        <v>84</v>
      </c>
      <c r="C1682" s="1" t="s">
        <v>1157</v>
      </c>
      <c r="D1682" s="1" t="s">
        <v>46</v>
      </c>
      <c r="E1682" s="1" t="s">
        <v>17</v>
      </c>
      <c r="F1682" s="1" t="s">
        <v>53</v>
      </c>
      <c r="G1682">
        <v>251620</v>
      </c>
      <c r="H1682" s="1" t="s">
        <v>1081</v>
      </c>
      <c r="I1682" s="2"/>
      <c r="L1682" s="1" t="s">
        <v>96</v>
      </c>
      <c r="M1682" s="1" t="s">
        <v>107</v>
      </c>
    </row>
    <row r="1683" spans="1:13" x14ac:dyDescent="0.25">
      <c r="A1683" s="1" t="s">
        <v>2793</v>
      </c>
      <c r="B1683" s="1" t="s">
        <v>37</v>
      </c>
      <c r="C1683" s="1" t="s">
        <v>1077</v>
      </c>
      <c r="D1683" s="1" t="s">
        <v>67</v>
      </c>
      <c r="E1683" s="1" t="s">
        <v>61</v>
      </c>
      <c r="F1683" s="1" t="s">
        <v>40</v>
      </c>
      <c r="G1683">
        <v>450628</v>
      </c>
      <c r="H1683" s="1" t="s">
        <v>1355</v>
      </c>
      <c r="I1683" s="2">
        <v>45114</v>
      </c>
      <c r="J1683">
        <v>144</v>
      </c>
      <c r="K1683">
        <v>15.1</v>
      </c>
      <c r="L1683" s="1" t="s">
        <v>20</v>
      </c>
      <c r="M1683" s="1" t="s">
        <v>35</v>
      </c>
    </row>
    <row r="1684" spans="1:13" x14ac:dyDescent="0.25">
      <c r="A1684" s="1" t="s">
        <v>2794</v>
      </c>
      <c r="B1684" s="1" t="s">
        <v>109</v>
      </c>
      <c r="C1684" s="1" t="s">
        <v>138</v>
      </c>
      <c r="D1684" s="1" t="s">
        <v>39</v>
      </c>
      <c r="E1684" s="1" t="s">
        <v>77</v>
      </c>
      <c r="F1684" s="1" t="s">
        <v>40</v>
      </c>
      <c r="G1684">
        <v>234206</v>
      </c>
      <c r="H1684" s="1" t="s">
        <v>559</v>
      </c>
      <c r="I1684" s="2">
        <v>45326</v>
      </c>
      <c r="J1684">
        <v>18</v>
      </c>
      <c r="K1684">
        <v>8.8000000000000007</v>
      </c>
      <c r="L1684" s="1" t="s">
        <v>20</v>
      </c>
      <c r="M1684" s="1" t="s">
        <v>69</v>
      </c>
    </row>
    <row r="1685" spans="1:13" x14ac:dyDescent="0.25">
      <c r="A1685" s="1" t="s">
        <v>2795</v>
      </c>
      <c r="B1685" s="1" t="s">
        <v>75</v>
      </c>
      <c r="C1685" s="1" t="s">
        <v>939</v>
      </c>
      <c r="D1685" s="1" t="s">
        <v>46</v>
      </c>
      <c r="E1685" s="1" t="s">
        <v>47</v>
      </c>
      <c r="F1685" s="1" t="s">
        <v>53</v>
      </c>
      <c r="G1685">
        <v>379914</v>
      </c>
      <c r="H1685" s="1" t="s">
        <v>2494</v>
      </c>
      <c r="I1685" s="2"/>
      <c r="K1685">
        <v>1</v>
      </c>
      <c r="L1685" s="1" t="s">
        <v>49</v>
      </c>
      <c r="M1685" s="1" t="s">
        <v>69</v>
      </c>
    </row>
    <row r="1686" spans="1:13" x14ac:dyDescent="0.25">
      <c r="A1686" s="1" t="s">
        <v>2796</v>
      </c>
      <c r="B1686" s="1" t="s">
        <v>23</v>
      </c>
      <c r="C1686" s="1" t="s">
        <v>183</v>
      </c>
      <c r="D1686" s="1" t="s">
        <v>90</v>
      </c>
      <c r="E1686" s="1" t="s">
        <v>72</v>
      </c>
      <c r="F1686" s="1" t="s">
        <v>53</v>
      </c>
      <c r="G1686">
        <v>281186</v>
      </c>
      <c r="H1686" s="1" t="s">
        <v>942</v>
      </c>
      <c r="I1686" s="2"/>
      <c r="L1686" s="1" t="s">
        <v>49</v>
      </c>
      <c r="M1686" s="1" t="s">
        <v>30</v>
      </c>
    </row>
    <row r="1687" spans="1:13" x14ac:dyDescent="0.25">
      <c r="A1687" s="1" t="s">
        <v>2797</v>
      </c>
      <c r="B1687" s="1" t="s">
        <v>98</v>
      </c>
      <c r="C1687" s="1" t="s">
        <v>1558</v>
      </c>
      <c r="D1687" s="1" t="s">
        <v>39</v>
      </c>
      <c r="E1687" s="1" t="s">
        <v>94</v>
      </c>
      <c r="F1687" s="1" t="s">
        <v>40</v>
      </c>
      <c r="G1687">
        <v>391292</v>
      </c>
      <c r="H1687" s="1" t="s">
        <v>516</v>
      </c>
      <c r="I1687" s="2">
        <v>45447</v>
      </c>
      <c r="J1687">
        <v>68</v>
      </c>
      <c r="K1687">
        <v>18.600000000000001</v>
      </c>
      <c r="L1687" s="1" t="s">
        <v>20</v>
      </c>
      <c r="M1687" s="1" t="s">
        <v>69</v>
      </c>
    </row>
    <row r="1688" spans="1:13" x14ac:dyDescent="0.25">
      <c r="A1688" s="1" t="s">
        <v>2798</v>
      </c>
      <c r="B1688" s="1" t="s">
        <v>104</v>
      </c>
      <c r="C1688" s="1" t="s">
        <v>693</v>
      </c>
      <c r="D1688" s="1" t="s">
        <v>90</v>
      </c>
      <c r="E1688" s="1" t="s">
        <v>77</v>
      </c>
      <c r="F1688" s="1" t="s">
        <v>27</v>
      </c>
      <c r="G1688">
        <v>61123</v>
      </c>
      <c r="H1688" s="1" t="s">
        <v>2799</v>
      </c>
      <c r="I1688" s="2"/>
      <c r="L1688" s="1" t="s">
        <v>29</v>
      </c>
      <c r="M1688" s="1" t="s">
        <v>149</v>
      </c>
    </row>
    <row r="1689" spans="1:13" x14ac:dyDescent="0.25">
      <c r="A1689" s="1" t="s">
        <v>2800</v>
      </c>
      <c r="B1689" s="1" t="s">
        <v>173</v>
      </c>
      <c r="C1689" s="1" t="s">
        <v>154</v>
      </c>
      <c r="D1689" s="1" t="s">
        <v>90</v>
      </c>
      <c r="E1689" s="1" t="s">
        <v>26</v>
      </c>
      <c r="F1689" s="1" t="s">
        <v>129</v>
      </c>
      <c r="G1689">
        <v>444653</v>
      </c>
      <c r="H1689" s="1" t="s">
        <v>498</v>
      </c>
      <c r="I1689" s="2"/>
      <c r="L1689" s="1" t="s">
        <v>49</v>
      </c>
      <c r="M1689" s="1" t="s">
        <v>102</v>
      </c>
    </row>
    <row r="1690" spans="1:13" x14ac:dyDescent="0.25">
      <c r="A1690" s="1" t="s">
        <v>2801</v>
      </c>
      <c r="B1690" s="1" t="s">
        <v>65</v>
      </c>
      <c r="C1690" s="1" t="s">
        <v>782</v>
      </c>
      <c r="D1690" s="1" t="s">
        <v>16</v>
      </c>
      <c r="E1690" s="1" t="s">
        <v>94</v>
      </c>
      <c r="F1690" s="1" t="s">
        <v>129</v>
      </c>
      <c r="G1690">
        <v>132555</v>
      </c>
      <c r="H1690" s="1" t="s">
        <v>2802</v>
      </c>
      <c r="I1690" s="2"/>
      <c r="K1690">
        <v>5</v>
      </c>
      <c r="L1690" s="1" t="s">
        <v>29</v>
      </c>
      <c r="M1690" s="1" t="s">
        <v>42</v>
      </c>
    </row>
    <row r="1691" spans="1:13" x14ac:dyDescent="0.25">
      <c r="A1691" s="1" t="s">
        <v>2803</v>
      </c>
      <c r="B1691" s="1" t="s">
        <v>37</v>
      </c>
      <c r="C1691" s="1" t="s">
        <v>1165</v>
      </c>
      <c r="D1691" s="1" t="s">
        <v>46</v>
      </c>
      <c r="E1691" s="1" t="s">
        <v>47</v>
      </c>
      <c r="F1691" s="1" t="s">
        <v>27</v>
      </c>
      <c r="G1691">
        <v>165173</v>
      </c>
      <c r="H1691" s="1" t="s">
        <v>697</v>
      </c>
      <c r="I1691" s="2"/>
      <c r="K1691">
        <v>9.6999999999999993</v>
      </c>
      <c r="L1691" s="1" t="s">
        <v>96</v>
      </c>
      <c r="M1691" s="1" t="s">
        <v>42</v>
      </c>
    </row>
    <row r="1692" spans="1:13" x14ac:dyDescent="0.25">
      <c r="A1692" s="1" t="s">
        <v>2804</v>
      </c>
      <c r="B1692" s="1" t="s">
        <v>14</v>
      </c>
      <c r="C1692" s="1" t="s">
        <v>147</v>
      </c>
      <c r="D1692" s="1" t="s">
        <v>90</v>
      </c>
      <c r="E1692" s="1" t="s">
        <v>100</v>
      </c>
      <c r="F1692" s="1" t="s">
        <v>40</v>
      </c>
      <c r="G1692">
        <v>490747</v>
      </c>
      <c r="H1692" s="1" t="s">
        <v>1994</v>
      </c>
      <c r="I1692" s="2">
        <v>45000</v>
      </c>
      <c r="J1692">
        <v>66</v>
      </c>
      <c r="K1692">
        <v>8.6999999999999993</v>
      </c>
      <c r="L1692" s="1" t="s">
        <v>49</v>
      </c>
      <c r="M1692" s="1" t="s">
        <v>35</v>
      </c>
    </row>
    <row r="1693" spans="1:13" x14ac:dyDescent="0.25">
      <c r="A1693" s="1" t="s">
        <v>2805</v>
      </c>
      <c r="B1693" s="1" t="s">
        <v>84</v>
      </c>
      <c r="C1693" s="1" t="s">
        <v>119</v>
      </c>
      <c r="D1693" s="1" t="s">
        <v>16</v>
      </c>
      <c r="E1693" s="1" t="s">
        <v>47</v>
      </c>
      <c r="F1693" s="1" t="s">
        <v>53</v>
      </c>
      <c r="G1693">
        <v>397168</v>
      </c>
      <c r="H1693" s="1" t="s">
        <v>2657</v>
      </c>
      <c r="I1693" s="2"/>
      <c r="K1693">
        <v>4.7</v>
      </c>
      <c r="L1693" s="1" t="s">
        <v>96</v>
      </c>
      <c r="M1693" s="1" t="s">
        <v>107</v>
      </c>
    </row>
    <row r="1694" spans="1:13" x14ac:dyDescent="0.25">
      <c r="A1694" s="1" t="s">
        <v>2806</v>
      </c>
      <c r="B1694" s="1" t="s">
        <v>127</v>
      </c>
      <c r="C1694" s="1" t="s">
        <v>76</v>
      </c>
      <c r="D1694" s="1" t="s">
        <v>39</v>
      </c>
      <c r="E1694" s="1" t="s">
        <v>51</v>
      </c>
      <c r="F1694" s="1" t="s">
        <v>18</v>
      </c>
      <c r="G1694">
        <v>444549</v>
      </c>
      <c r="H1694" s="1" t="s">
        <v>399</v>
      </c>
      <c r="I1694" s="2">
        <v>45772</v>
      </c>
      <c r="J1694">
        <v>151</v>
      </c>
      <c r="K1694">
        <v>2.1</v>
      </c>
      <c r="L1694" s="1" t="s">
        <v>96</v>
      </c>
      <c r="M1694" s="1" t="s">
        <v>42</v>
      </c>
    </row>
    <row r="1695" spans="1:13" x14ac:dyDescent="0.25">
      <c r="A1695" s="1" t="s">
        <v>2807</v>
      </c>
      <c r="B1695" s="1" t="s">
        <v>173</v>
      </c>
      <c r="C1695" s="1" t="s">
        <v>859</v>
      </c>
      <c r="D1695" s="1" t="s">
        <v>46</v>
      </c>
      <c r="E1695" s="1" t="s">
        <v>100</v>
      </c>
      <c r="F1695" s="1" t="s">
        <v>129</v>
      </c>
      <c r="G1695">
        <v>51017</v>
      </c>
      <c r="H1695" s="1" t="s">
        <v>1439</v>
      </c>
      <c r="I1695" s="2"/>
      <c r="K1695">
        <v>1.3</v>
      </c>
      <c r="L1695" s="1" t="s">
        <v>96</v>
      </c>
      <c r="M1695" s="1" t="s">
        <v>149</v>
      </c>
    </row>
    <row r="1696" spans="1:13" x14ac:dyDescent="0.25">
      <c r="A1696" s="1" t="s">
        <v>2808</v>
      </c>
      <c r="B1696" s="1" t="s">
        <v>75</v>
      </c>
      <c r="C1696" s="1" t="s">
        <v>218</v>
      </c>
      <c r="D1696" s="1" t="s">
        <v>46</v>
      </c>
      <c r="E1696" s="1" t="s">
        <v>17</v>
      </c>
      <c r="F1696" s="1" t="s">
        <v>40</v>
      </c>
      <c r="G1696">
        <v>54053</v>
      </c>
      <c r="H1696" s="1" t="s">
        <v>968</v>
      </c>
      <c r="I1696" s="2">
        <v>45586</v>
      </c>
      <c r="J1696">
        <v>72</v>
      </c>
      <c r="K1696">
        <v>16.100000000000001</v>
      </c>
      <c r="L1696" s="1" t="s">
        <v>29</v>
      </c>
      <c r="M1696" s="1" t="s">
        <v>149</v>
      </c>
    </row>
    <row r="1697" spans="1:13" x14ac:dyDescent="0.25">
      <c r="A1697" s="1" t="s">
        <v>2809</v>
      </c>
      <c r="B1697" s="1" t="s">
        <v>14</v>
      </c>
      <c r="C1697" s="1" t="s">
        <v>831</v>
      </c>
      <c r="D1697" s="1" t="s">
        <v>25</v>
      </c>
      <c r="E1697" s="1" t="s">
        <v>72</v>
      </c>
      <c r="F1697" s="1" t="s">
        <v>18</v>
      </c>
      <c r="G1697">
        <v>67428</v>
      </c>
      <c r="H1697" s="1" t="s">
        <v>1039</v>
      </c>
      <c r="I1697" s="2">
        <v>45518</v>
      </c>
      <c r="J1697">
        <v>89</v>
      </c>
      <c r="L1697" s="1" t="s">
        <v>49</v>
      </c>
      <c r="M1697" s="1" t="s">
        <v>107</v>
      </c>
    </row>
    <row r="1698" spans="1:13" x14ac:dyDescent="0.25">
      <c r="A1698" s="1" t="s">
        <v>2810</v>
      </c>
      <c r="B1698" s="1" t="s">
        <v>109</v>
      </c>
      <c r="C1698" s="1" t="s">
        <v>334</v>
      </c>
      <c r="D1698" s="1" t="s">
        <v>25</v>
      </c>
      <c r="E1698" s="1" t="s">
        <v>47</v>
      </c>
      <c r="F1698" s="1" t="s">
        <v>40</v>
      </c>
      <c r="G1698">
        <v>247902</v>
      </c>
      <c r="H1698" s="1" t="s">
        <v>2811</v>
      </c>
      <c r="I1698" s="2">
        <v>45090</v>
      </c>
      <c r="J1698">
        <v>142</v>
      </c>
      <c r="K1698">
        <v>6.8</v>
      </c>
      <c r="L1698" s="1" t="s">
        <v>20</v>
      </c>
      <c r="M1698" s="1" t="s">
        <v>35</v>
      </c>
    </row>
    <row r="1699" spans="1:13" x14ac:dyDescent="0.25">
      <c r="A1699" s="1" t="s">
        <v>2812</v>
      </c>
      <c r="B1699" s="1" t="s">
        <v>80</v>
      </c>
      <c r="C1699" s="1" t="s">
        <v>387</v>
      </c>
      <c r="D1699" s="1" t="s">
        <v>46</v>
      </c>
      <c r="E1699" s="1" t="s">
        <v>94</v>
      </c>
      <c r="F1699" s="1" t="s">
        <v>129</v>
      </c>
      <c r="G1699">
        <v>139393</v>
      </c>
      <c r="H1699" s="1" t="s">
        <v>2375</v>
      </c>
      <c r="I1699" s="2"/>
      <c r="K1699">
        <v>3.8</v>
      </c>
      <c r="L1699" s="1" t="s">
        <v>29</v>
      </c>
      <c r="M1699" s="1" t="s">
        <v>63</v>
      </c>
    </row>
    <row r="1700" spans="1:13" x14ac:dyDescent="0.25">
      <c r="A1700" s="1" t="s">
        <v>2813</v>
      </c>
      <c r="B1700" s="1" t="s">
        <v>84</v>
      </c>
      <c r="C1700" s="1" t="s">
        <v>818</v>
      </c>
      <c r="D1700" s="1" t="s">
        <v>90</v>
      </c>
      <c r="E1700" s="1" t="s">
        <v>77</v>
      </c>
      <c r="F1700" s="1" t="s">
        <v>53</v>
      </c>
      <c r="G1700">
        <v>335023</v>
      </c>
      <c r="H1700" s="1" t="s">
        <v>919</v>
      </c>
      <c r="I1700" s="2"/>
      <c r="L1700" s="1" t="s">
        <v>29</v>
      </c>
      <c r="M1700" s="1" t="s">
        <v>69</v>
      </c>
    </row>
    <row r="1701" spans="1:13" x14ac:dyDescent="0.25">
      <c r="A1701" s="1" t="s">
        <v>2814</v>
      </c>
      <c r="B1701" s="1" t="s">
        <v>80</v>
      </c>
      <c r="C1701" s="1" t="s">
        <v>279</v>
      </c>
      <c r="D1701" s="1" t="s">
        <v>16</v>
      </c>
      <c r="E1701" s="1" t="s">
        <v>26</v>
      </c>
      <c r="F1701" s="1" t="s">
        <v>40</v>
      </c>
      <c r="G1701">
        <v>306951</v>
      </c>
      <c r="H1701" s="1" t="s">
        <v>2815</v>
      </c>
      <c r="I1701" s="2">
        <v>45141</v>
      </c>
      <c r="J1701">
        <v>117</v>
      </c>
      <c r="K1701">
        <v>6.2</v>
      </c>
      <c r="L1701" s="1" t="s">
        <v>29</v>
      </c>
      <c r="M1701" s="1" t="s">
        <v>30</v>
      </c>
    </row>
    <row r="1702" spans="1:13" x14ac:dyDescent="0.25">
      <c r="A1702" s="1" t="s">
        <v>2816</v>
      </c>
      <c r="B1702" s="1" t="s">
        <v>44</v>
      </c>
      <c r="C1702" s="1" t="s">
        <v>381</v>
      </c>
      <c r="D1702" s="1" t="s">
        <v>46</v>
      </c>
      <c r="E1702" s="1" t="s">
        <v>26</v>
      </c>
      <c r="F1702" s="1" t="s">
        <v>40</v>
      </c>
      <c r="G1702">
        <v>243273</v>
      </c>
      <c r="H1702" s="1" t="s">
        <v>447</v>
      </c>
      <c r="I1702" s="2">
        <v>45626</v>
      </c>
      <c r="J1702">
        <v>15</v>
      </c>
      <c r="K1702">
        <v>11.3</v>
      </c>
      <c r="L1702" s="1" t="s">
        <v>49</v>
      </c>
      <c r="M1702" s="1" t="s">
        <v>42</v>
      </c>
    </row>
    <row r="1703" spans="1:13" x14ac:dyDescent="0.25">
      <c r="A1703" s="1" t="s">
        <v>2817</v>
      </c>
      <c r="B1703" s="1" t="s">
        <v>59</v>
      </c>
      <c r="C1703" s="1" t="s">
        <v>2091</v>
      </c>
      <c r="D1703" s="1" t="s">
        <v>16</v>
      </c>
      <c r="E1703" s="1" t="s">
        <v>61</v>
      </c>
      <c r="F1703" s="1" t="s">
        <v>53</v>
      </c>
      <c r="G1703">
        <v>464944</v>
      </c>
      <c r="H1703" s="1" t="s">
        <v>1055</v>
      </c>
      <c r="I1703" s="2"/>
      <c r="K1703">
        <v>5.5</v>
      </c>
      <c r="L1703" s="1" t="s">
        <v>20</v>
      </c>
      <c r="M1703" s="1" t="s">
        <v>107</v>
      </c>
    </row>
    <row r="1704" spans="1:13" x14ac:dyDescent="0.25">
      <c r="A1704" s="1" t="s">
        <v>2818</v>
      </c>
      <c r="B1704" s="1" t="s">
        <v>173</v>
      </c>
      <c r="C1704" s="1" t="s">
        <v>343</v>
      </c>
      <c r="D1704" s="1" t="s">
        <v>25</v>
      </c>
      <c r="E1704" s="1" t="s">
        <v>26</v>
      </c>
      <c r="F1704" s="1" t="s">
        <v>53</v>
      </c>
      <c r="G1704">
        <v>344195</v>
      </c>
      <c r="H1704" s="1" t="s">
        <v>285</v>
      </c>
      <c r="I1704" s="2"/>
      <c r="K1704">
        <v>12</v>
      </c>
      <c r="L1704" s="1" t="s">
        <v>96</v>
      </c>
      <c r="M1704" s="1" t="s">
        <v>35</v>
      </c>
    </row>
    <row r="1705" spans="1:13" x14ac:dyDescent="0.25">
      <c r="A1705" s="1" t="s">
        <v>2819</v>
      </c>
      <c r="B1705" s="1" t="s">
        <v>98</v>
      </c>
      <c r="C1705" s="1" t="s">
        <v>423</v>
      </c>
      <c r="D1705" s="1" t="s">
        <v>16</v>
      </c>
      <c r="E1705" s="1" t="s">
        <v>17</v>
      </c>
      <c r="F1705" s="1" t="s">
        <v>53</v>
      </c>
      <c r="G1705">
        <v>313383</v>
      </c>
      <c r="H1705" s="1" t="s">
        <v>2820</v>
      </c>
      <c r="I1705" s="2"/>
      <c r="K1705">
        <v>12</v>
      </c>
      <c r="L1705" s="1" t="s">
        <v>49</v>
      </c>
      <c r="M1705" s="1" t="s">
        <v>63</v>
      </c>
    </row>
    <row r="1706" spans="1:13" x14ac:dyDescent="0.25">
      <c r="A1706" s="1" t="s">
        <v>2821</v>
      </c>
      <c r="B1706" s="1" t="s">
        <v>80</v>
      </c>
      <c r="C1706" s="1" t="s">
        <v>270</v>
      </c>
      <c r="D1706" s="1" t="s">
        <v>25</v>
      </c>
      <c r="E1706" s="1" t="s">
        <v>47</v>
      </c>
      <c r="F1706" s="1" t="s">
        <v>18</v>
      </c>
      <c r="G1706">
        <v>183026</v>
      </c>
      <c r="H1706" s="1" t="s">
        <v>1576</v>
      </c>
      <c r="I1706" s="2">
        <v>45191</v>
      </c>
      <c r="J1706">
        <v>164</v>
      </c>
      <c r="K1706">
        <v>0.7</v>
      </c>
      <c r="L1706" s="1" t="s">
        <v>29</v>
      </c>
      <c r="M1706" s="1" t="s">
        <v>30</v>
      </c>
    </row>
    <row r="1707" spans="1:13" x14ac:dyDescent="0.25">
      <c r="A1707" s="1" t="s">
        <v>2822</v>
      </c>
      <c r="B1707" s="1" t="s">
        <v>127</v>
      </c>
      <c r="C1707" s="1" t="s">
        <v>1121</v>
      </c>
      <c r="D1707" s="1" t="s">
        <v>67</v>
      </c>
      <c r="E1707" s="1" t="s">
        <v>26</v>
      </c>
      <c r="F1707" s="1" t="s">
        <v>53</v>
      </c>
      <c r="G1707">
        <v>1154021</v>
      </c>
      <c r="H1707" s="1" t="s">
        <v>1522</v>
      </c>
      <c r="I1707" s="2"/>
      <c r="K1707">
        <v>6.5</v>
      </c>
      <c r="L1707" s="1" t="s">
        <v>49</v>
      </c>
      <c r="M1707" s="1" t="s">
        <v>30</v>
      </c>
    </row>
    <row r="1708" spans="1:13" x14ac:dyDescent="0.25">
      <c r="A1708" s="1" t="s">
        <v>2823</v>
      </c>
      <c r="B1708" s="1" t="s">
        <v>14</v>
      </c>
      <c r="C1708" s="1" t="s">
        <v>877</v>
      </c>
      <c r="D1708" s="1" t="s">
        <v>39</v>
      </c>
      <c r="E1708" s="1" t="s">
        <v>47</v>
      </c>
      <c r="F1708" s="1" t="s">
        <v>40</v>
      </c>
      <c r="G1708">
        <v>166026</v>
      </c>
      <c r="H1708" s="1" t="s">
        <v>1446</v>
      </c>
      <c r="I1708" s="2">
        <v>45528</v>
      </c>
      <c r="J1708">
        <v>52</v>
      </c>
      <c r="K1708">
        <v>10.6</v>
      </c>
      <c r="L1708" s="1" t="s">
        <v>96</v>
      </c>
      <c r="M1708" s="1" t="s">
        <v>149</v>
      </c>
    </row>
    <row r="1709" spans="1:13" x14ac:dyDescent="0.25">
      <c r="A1709" s="1" t="s">
        <v>2824</v>
      </c>
      <c r="B1709" s="1" t="s">
        <v>109</v>
      </c>
      <c r="C1709" s="1" t="s">
        <v>177</v>
      </c>
      <c r="D1709" s="1" t="s">
        <v>67</v>
      </c>
      <c r="E1709" s="1" t="s">
        <v>26</v>
      </c>
      <c r="F1709" s="1" t="s">
        <v>33</v>
      </c>
      <c r="G1709">
        <v>227546</v>
      </c>
      <c r="H1709" s="1" t="s">
        <v>2003</v>
      </c>
      <c r="I1709" s="2"/>
      <c r="L1709" s="1" t="s">
        <v>96</v>
      </c>
      <c r="M1709" s="1" t="s">
        <v>107</v>
      </c>
    </row>
    <row r="1710" spans="1:13" x14ac:dyDescent="0.25">
      <c r="A1710" s="1" t="s">
        <v>2825</v>
      </c>
      <c r="B1710" s="1" t="s">
        <v>109</v>
      </c>
      <c r="C1710" s="1" t="s">
        <v>977</v>
      </c>
      <c r="D1710" s="1" t="s">
        <v>67</v>
      </c>
      <c r="E1710" s="1" t="s">
        <v>47</v>
      </c>
      <c r="F1710" s="1" t="s">
        <v>129</v>
      </c>
      <c r="G1710">
        <v>119338</v>
      </c>
      <c r="H1710" s="1" t="s">
        <v>645</v>
      </c>
      <c r="I1710" s="2"/>
      <c r="L1710" s="1" t="s">
        <v>20</v>
      </c>
      <c r="M1710" s="1" t="s">
        <v>35</v>
      </c>
    </row>
    <row r="1711" spans="1:13" x14ac:dyDescent="0.25">
      <c r="A1711" s="1" t="s">
        <v>2826</v>
      </c>
      <c r="B1711" s="1" t="s">
        <v>84</v>
      </c>
      <c r="C1711" s="1" t="s">
        <v>2091</v>
      </c>
      <c r="D1711" s="1" t="s">
        <v>46</v>
      </c>
      <c r="E1711" s="1" t="s">
        <v>47</v>
      </c>
      <c r="F1711" s="1" t="s">
        <v>129</v>
      </c>
      <c r="G1711">
        <v>296280</v>
      </c>
      <c r="H1711" s="1" t="s">
        <v>2827</v>
      </c>
      <c r="I1711" s="2"/>
      <c r="K1711">
        <v>4.9000000000000004</v>
      </c>
      <c r="L1711" s="1" t="s">
        <v>49</v>
      </c>
      <c r="M1711" s="1" t="s">
        <v>35</v>
      </c>
    </row>
    <row r="1712" spans="1:13" x14ac:dyDescent="0.25">
      <c r="A1712" s="1" t="s">
        <v>2828</v>
      </c>
      <c r="B1712" s="1" t="s">
        <v>44</v>
      </c>
      <c r="C1712" s="1" t="s">
        <v>737</v>
      </c>
      <c r="D1712" s="1" t="s">
        <v>67</v>
      </c>
      <c r="E1712" s="1" t="s">
        <v>47</v>
      </c>
      <c r="F1712" s="1" t="s">
        <v>129</v>
      </c>
      <c r="G1712">
        <v>388143</v>
      </c>
      <c r="H1712" s="1" t="s">
        <v>2275</v>
      </c>
      <c r="I1712" s="2"/>
      <c r="K1712">
        <v>8.1999999999999993</v>
      </c>
      <c r="L1712" s="1" t="s">
        <v>29</v>
      </c>
      <c r="M1712" s="1" t="s">
        <v>30</v>
      </c>
    </row>
    <row r="1713" spans="1:13" x14ac:dyDescent="0.25">
      <c r="A1713" s="1" t="s">
        <v>2829</v>
      </c>
      <c r="B1713" s="1" t="s">
        <v>44</v>
      </c>
      <c r="C1713" s="1" t="s">
        <v>220</v>
      </c>
      <c r="D1713" s="1" t="s">
        <v>25</v>
      </c>
      <c r="E1713" s="1" t="s">
        <v>94</v>
      </c>
      <c r="F1713" s="1" t="s">
        <v>129</v>
      </c>
      <c r="G1713">
        <v>81037</v>
      </c>
      <c r="H1713" s="1" t="s">
        <v>1016</v>
      </c>
      <c r="I1713" s="2"/>
      <c r="K1713">
        <v>12.7</v>
      </c>
      <c r="L1713" s="1" t="s">
        <v>29</v>
      </c>
      <c r="M1713" s="1" t="s">
        <v>30</v>
      </c>
    </row>
    <row r="1714" spans="1:13" x14ac:dyDescent="0.25">
      <c r="A1714" s="1" t="s">
        <v>2830</v>
      </c>
      <c r="B1714" s="1" t="s">
        <v>23</v>
      </c>
      <c r="C1714" s="1" t="s">
        <v>1742</v>
      </c>
      <c r="D1714" s="1" t="s">
        <v>90</v>
      </c>
      <c r="E1714" s="1" t="s">
        <v>77</v>
      </c>
      <c r="F1714" s="1" t="s">
        <v>40</v>
      </c>
      <c r="G1714">
        <v>416457</v>
      </c>
      <c r="H1714" s="1" t="s">
        <v>382</v>
      </c>
      <c r="I1714" s="2">
        <v>45338</v>
      </c>
      <c r="J1714">
        <v>100</v>
      </c>
      <c r="K1714">
        <v>18.399999999999999</v>
      </c>
      <c r="L1714" s="1" t="s">
        <v>49</v>
      </c>
      <c r="M1714" s="1" t="s">
        <v>21</v>
      </c>
    </row>
    <row r="1715" spans="1:13" x14ac:dyDescent="0.25">
      <c r="A1715" s="1" t="s">
        <v>2831</v>
      </c>
      <c r="B1715" s="1" t="s">
        <v>104</v>
      </c>
      <c r="C1715" s="1" t="s">
        <v>724</v>
      </c>
      <c r="D1715" s="1" t="s">
        <v>46</v>
      </c>
      <c r="E1715" s="1" t="s">
        <v>26</v>
      </c>
      <c r="F1715" s="1" t="s">
        <v>53</v>
      </c>
      <c r="G1715">
        <v>150616</v>
      </c>
      <c r="H1715" s="1" t="s">
        <v>610</v>
      </c>
      <c r="I1715" s="2"/>
      <c r="L1715" s="1" t="s">
        <v>49</v>
      </c>
      <c r="M1715" s="1" t="s">
        <v>69</v>
      </c>
    </row>
    <row r="1716" spans="1:13" x14ac:dyDescent="0.25">
      <c r="A1716" s="1" t="s">
        <v>2832</v>
      </c>
      <c r="B1716" s="1" t="s">
        <v>127</v>
      </c>
      <c r="C1716" s="1" t="s">
        <v>463</v>
      </c>
      <c r="D1716" s="1" t="s">
        <v>90</v>
      </c>
      <c r="E1716" s="1" t="s">
        <v>17</v>
      </c>
      <c r="F1716" s="1" t="s">
        <v>33</v>
      </c>
      <c r="G1716">
        <v>419412</v>
      </c>
      <c r="H1716" s="1" t="s">
        <v>968</v>
      </c>
      <c r="I1716" s="2"/>
      <c r="K1716">
        <v>1.3</v>
      </c>
      <c r="L1716" s="1" t="s">
        <v>49</v>
      </c>
      <c r="M1716" s="1" t="s">
        <v>149</v>
      </c>
    </row>
    <row r="1717" spans="1:13" x14ac:dyDescent="0.25">
      <c r="A1717" s="1" t="s">
        <v>2833</v>
      </c>
      <c r="B1717" s="1" t="s">
        <v>104</v>
      </c>
      <c r="C1717" s="1" t="s">
        <v>325</v>
      </c>
      <c r="D1717" s="1" t="s">
        <v>16</v>
      </c>
      <c r="E1717" s="1" t="s">
        <v>77</v>
      </c>
      <c r="F1717" s="1" t="s">
        <v>40</v>
      </c>
      <c r="G1717">
        <v>206049</v>
      </c>
      <c r="H1717" s="1" t="s">
        <v>740</v>
      </c>
      <c r="I1717" s="2">
        <v>45556</v>
      </c>
      <c r="J1717">
        <v>19</v>
      </c>
      <c r="K1717">
        <v>23.5</v>
      </c>
      <c r="L1717" s="1" t="s">
        <v>29</v>
      </c>
      <c r="M1717" s="1" t="s">
        <v>149</v>
      </c>
    </row>
    <row r="1718" spans="1:13" x14ac:dyDescent="0.25">
      <c r="A1718" s="1" t="s">
        <v>2834</v>
      </c>
      <c r="B1718" s="1" t="s">
        <v>109</v>
      </c>
      <c r="C1718" s="1" t="s">
        <v>1691</v>
      </c>
      <c r="D1718" s="1" t="s">
        <v>25</v>
      </c>
      <c r="E1718" s="1" t="s">
        <v>94</v>
      </c>
      <c r="F1718" s="1" t="s">
        <v>18</v>
      </c>
      <c r="G1718">
        <v>135384</v>
      </c>
      <c r="H1718" s="1" t="s">
        <v>963</v>
      </c>
      <c r="I1718" s="2">
        <v>45290</v>
      </c>
      <c r="J1718">
        <v>95</v>
      </c>
      <c r="K1718">
        <v>8.9</v>
      </c>
      <c r="L1718" s="1" t="s">
        <v>29</v>
      </c>
      <c r="M1718" s="1" t="s">
        <v>102</v>
      </c>
    </row>
    <row r="1719" spans="1:13" x14ac:dyDescent="0.25">
      <c r="A1719" s="1" t="s">
        <v>2835</v>
      </c>
      <c r="B1719" s="1" t="s">
        <v>23</v>
      </c>
      <c r="C1719" s="1" t="s">
        <v>99</v>
      </c>
      <c r="D1719" s="1" t="s">
        <v>39</v>
      </c>
      <c r="E1719" s="1" t="s">
        <v>77</v>
      </c>
      <c r="F1719" s="1" t="s">
        <v>129</v>
      </c>
      <c r="G1719">
        <v>420265</v>
      </c>
      <c r="H1719" s="1" t="s">
        <v>2836</v>
      </c>
      <c r="I1719" s="2"/>
      <c r="L1719" s="1" t="s">
        <v>29</v>
      </c>
      <c r="M1719" s="1" t="s">
        <v>102</v>
      </c>
    </row>
    <row r="1720" spans="1:13" x14ac:dyDescent="0.25">
      <c r="A1720" s="1" t="s">
        <v>2837</v>
      </c>
      <c r="B1720" s="1" t="s">
        <v>37</v>
      </c>
      <c r="C1720" s="1" t="s">
        <v>898</v>
      </c>
      <c r="D1720" s="1" t="s">
        <v>67</v>
      </c>
      <c r="E1720" s="1" t="s">
        <v>100</v>
      </c>
      <c r="F1720" s="1" t="s">
        <v>40</v>
      </c>
      <c r="G1720">
        <v>491746</v>
      </c>
      <c r="H1720" s="1" t="s">
        <v>1616</v>
      </c>
      <c r="I1720" s="2">
        <v>45577</v>
      </c>
      <c r="J1720">
        <v>84</v>
      </c>
      <c r="K1720">
        <v>8.1</v>
      </c>
      <c r="L1720" s="1" t="s">
        <v>96</v>
      </c>
      <c r="M1720" s="1" t="s">
        <v>149</v>
      </c>
    </row>
    <row r="1721" spans="1:13" x14ac:dyDescent="0.25">
      <c r="A1721" s="1" t="s">
        <v>2838</v>
      </c>
      <c r="B1721" s="1" t="s">
        <v>37</v>
      </c>
      <c r="C1721" s="1" t="s">
        <v>488</v>
      </c>
      <c r="D1721" s="1" t="s">
        <v>25</v>
      </c>
      <c r="E1721" s="1" t="s">
        <v>17</v>
      </c>
      <c r="F1721" s="1" t="s">
        <v>129</v>
      </c>
      <c r="G1721">
        <v>12163</v>
      </c>
      <c r="H1721" s="1" t="s">
        <v>472</v>
      </c>
      <c r="I1721" s="2"/>
      <c r="K1721">
        <v>2.7</v>
      </c>
      <c r="L1721" s="1" t="s">
        <v>29</v>
      </c>
      <c r="M1721" s="1" t="s">
        <v>149</v>
      </c>
    </row>
    <row r="1722" spans="1:13" x14ac:dyDescent="0.25">
      <c r="A1722" s="1" t="s">
        <v>2839</v>
      </c>
      <c r="B1722" s="1" t="s">
        <v>75</v>
      </c>
      <c r="C1722" s="1" t="s">
        <v>1364</v>
      </c>
      <c r="D1722" s="1" t="s">
        <v>25</v>
      </c>
      <c r="E1722" s="1" t="s">
        <v>100</v>
      </c>
      <c r="F1722" s="1" t="s">
        <v>33</v>
      </c>
      <c r="G1722">
        <v>484981</v>
      </c>
      <c r="H1722" s="1" t="s">
        <v>2840</v>
      </c>
      <c r="I1722" s="2"/>
      <c r="L1722" s="1" t="s">
        <v>49</v>
      </c>
      <c r="M1722" s="1" t="s">
        <v>63</v>
      </c>
    </row>
    <row r="1723" spans="1:13" x14ac:dyDescent="0.25">
      <c r="A1723" s="1" t="s">
        <v>2841</v>
      </c>
      <c r="B1723" s="1" t="s">
        <v>88</v>
      </c>
      <c r="C1723" s="1" t="s">
        <v>1129</v>
      </c>
      <c r="D1723" s="1" t="s">
        <v>90</v>
      </c>
      <c r="E1723" s="1" t="s">
        <v>47</v>
      </c>
      <c r="F1723" s="1" t="s">
        <v>18</v>
      </c>
      <c r="G1723">
        <v>30434</v>
      </c>
      <c r="H1723" s="1" t="s">
        <v>532</v>
      </c>
      <c r="I1723" s="2">
        <v>45142</v>
      </c>
      <c r="J1723">
        <v>104</v>
      </c>
      <c r="L1723" s="1" t="s">
        <v>29</v>
      </c>
      <c r="M1723" s="1" t="s">
        <v>30</v>
      </c>
    </row>
    <row r="1724" spans="1:13" x14ac:dyDescent="0.25">
      <c r="A1724" s="1" t="s">
        <v>2842</v>
      </c>
      <c r="B1724" s="1" t="s">
        <v>37</v>
      </c>
      <c r="C1724" s="1" t="s">
        <v>809</v>
      </c>
      <c r="D1724" s="1" t="s">
        <v>16</v>
      </c>
      <c r="E1724" s="1" t="s">
        <v>100</v>
      </c>
      <c r="F1724" s="1" t="s">
        <v>129</v>
      </c>
      <c r="G1724">
        <v>137088</v>
      </c>
      <c r="H1724" s="1" t="s">
        <v>206</v>
      </c>
      <c r="I1724" s="2"/>
      <c r="K1724">
        <v>10</v>
      </c>
      <c r="L1724" s="1" t="s">
        <v>96</v>
      </c>
      <c r="M1724" s="1" t="s">
        <v>63</v>
      </c>
    </row>
    <row r="1725" spans="1:13" x14ac:dyDescent="0.25">
      <c r="A1725" s="1" t="s">
        <v>2843</v>
      </c>
      <c r="B1725" s="1" t="s">
        <v>84</v>
      </c>
      <c r="C1725" s="1" t="s">
        <v>1050</v>
      </c>
      <c r="D1725" s="1" t="s">
        <v>90</v>
      </c>
      <c r="E1725" s="1" t="s">
        <v>72</v>
      </c>
      <c r="F1725" s="1" t="s">
        <v>129</v>
      </c>
      <c r="G1725">
        <v>111166</v>
      </c>
      <c r="H1725" s="1" t="s">
        <v>2844</v>
      </c>
      <c r="I1725" s="2"/>
      <c r="K1725">
        <v>3.2</v>
      </c>
      <c r="L1725" s="1" t="s">
        <v>49</v>
      </c>
      <c r="M1725" s="1" t="s">
        <v>149</v>
      </c>
    </row>
    <row r="1726" spans="1:13" x14ac:dyDescent="0.25">
      <c r="A1726" s="1" t="s">
        <v>2845</v>
      </c>
      <c r="B1726" s="1" t="s">
        <v>37</v>
      </c>
      <c r="C1726" s="1" t="s">
        <v>497</v>
      </c>
      <c r="D1726" s="1" t="s">
        <v>46</v>
      </c>
      <c r="E1726" s="1" t="s">
        <v>94</v>
      </c>
      <c r="F1726" s="1" t="s">
        <v>33</v>
      </c>
      <c r="G1726">
        <v>30633</v>
      </c>
      <c r="H1726" s="1" t="s">
        <v>1998</v>
      </c>
      <c r="I1726" s="2"/>
      <c r="K1726">
        <v>5.8</v>
      </c>
      <c r="L1726" s="1" t="s">
        <v>29</v>
      </c>
      <c r="M1726" s="1" t="s">
        <v>107</v>
      </c>
    </row>
    <row r="1727" spans="1:13" x14ac:dyDescent="0.25">
      <c r="A1727" s="1" t="s">
        <v>2846</v>
      </c>
      <c r="B1727" s="1" t="s">
        <v>80</v>
      </c>
      <c r="C1727" s="1" t="s">
        <v>1153</v>
      </c>
      <c r="D1727" s="1" t="s">
        <v>67</v>
      </c>
      <c r="E1727" s="1" t="s">
        <v>26</v>
      </c>
      <c r="F1727" s="1" t="s">
        <v>129</v>
      </c>
      <c r="G1727">
        <v>324644</v>
      </c>
      <c r="H1727" s="1" t="s">
        <v>1301</v>
      </c>
      <c r="I1727" s="2"/>
      <c r="K1727">
        <v>10.199999999999999</v>
      </c>
      <c r="L1727" s="1" t="s">
        <v>29</v>
      </c>
      <c r="M1727" s="1" t="s">
        <v>42</v>
      </c>
    </row>
    <row r="1728" spans="1:13" x14ac:dyDescent="0.25">
      <c r="A1728" s="1" t="s">
        <v>2847</v>
      </c>
      <c r="B1728" s="1" t="s">
        <v>75</v>
      </c>
      <c r="C1728" s="1" t="s">
        <v>983</v>
      </c>
      <c r="D1728" s="1" t="s">
        <v>46</v>
      </c>
      <c r="E1728" s="1" t="s">
        <v>26</v>
      </c>
      <c r="F1728" s="1" t="s">
        <v>129</v>
      </c>
      <c r="G1728">
        <v>494350</v>
      </c>
      <c r="H1728" s="1" t="s">
        <v>373</v>
      </c>
      <c r="I1728" s="2"/>
      <c r="K1728">
        <v>12.6</v>
      </c>
      <c r="L1728" s="1" t="s">
        <v>20</v>
      </c>
      <c r="M1728" s="1" t="s">
        <v>102</v>
      </c>
    </row>
    <row r="1729" spans="1:13" x14ac:dyDescent="0.25">
      <c r="A1729" s="1" t="s">
        <v>2848</v>
      </c>
      <c r="B1729" s="1" t="s">
        <v>51</v>
      </c>
      <c r="C1729" s="1" t="s">
        <v>119</v>
      </c>
      <c r="D1729" s="1" t="s">
        <v>16</v>
      </c>
      <c r="E1729" s="1" t="s">
        <v>77</v>
      </c>
      <c r="F1729" s="1" t="s">
        <v>33</v>
      </c>
      <c r="G1729">
        <v>168276</v>
      </c>
      <c r="H1729" s="1" t="s">
        <v>889</v>
      </c>
      <c r="I1729" s="2"/>
      <c r="L1729" s="1" t="s">
        <v>29</v>
      </c>
      <c r="M1729" s="1" t="s">
        <v>21</v>
      </c>
    </row>
    <row r="1730" spans="1:13" x14ac:dyDescent="0.25">
      <c r="A1730" s="1" t="s">
        <v>2849</v>
      </c>
      <c r="B1730" s="1" t="s">
        <v>127</v>
      </c>
      <c r="C1730" s="1" t="s">
        <v>420</v>
      </c>
      <c r="D1730" s="1" t="s">
        <v>16</v>
      </c>
      <c r="E1730" s="1" t="s">
        <v>77</v>
      </c>
      <c r="F1730" s="1" t="s">
        <v>27</v>
      </c>
      <c r="G1730">
        <v>386542</v>
      </c>
      <c r="H1730" s="1" t="s">
        <v>2850</v>
      </c>
      <c r="I1730" s="2"/>
      <c r="K1730">
        <v>3.5</v>
      </c>
      <c r="L1730" s="1" t="s">
        <v>20</v>
      </c>
      <c r="M1730" s="1" t="s">
        <v>149</v>
      </c>
    </row>
    <row r="1731" spans="1:13" x14ac:dyDescent="0.25">
      <c r="A1731" s="1" t="s">
        <v>2851</v>
      </c>
      <c r="B1731" s="1" t="s">
        <v>37</v>
      </c>
      <c r="C1731" s="1" t="s">
        <v>313</v>
      </c>
      <c r="D1731" s="1" t="s">
        <v>46</v>
      </c>
      <c r="E1731" s="1" t="s">
        <v>72</v>
      </c>
      <c r="F1731" s="1" t="s">
        <v>40</v>
      </c>
      <c r="G1731">
        <v>143693</v>
      </c>
      <c r="H1731" s="1" t="s">
        <v>2852</v>
      </c>
      <c r="I1731" s="2">
        <v>45451</v>
      </c>
      <c r="J1731">
        <v>15</v>
      </c>
      <c r="K1731">
        <v>10.1</v>
      </c>
      <c r="L1731" s="1" t="s">
        <v>29</v>
      </c>
      <c r="M1731" s="1" t="s">
        <v>107</v>
      </c>
    </row>
    <row r="1732" spans="1:13" x14ac:dyDescent="0.25">
      <c r="A1732" s="1" t="s">
        <v>2853</v>
      </c>
      <c r="B1732" s="1" t="s">
        <v>65</v>
      </c>
      <c r="C1732" s="1" t="s">
        <v>208</v>
      </c>
      <c r="D1732" s="1" t="s">
        <v>46</v>
      </c>
      <c r="E1732" s="1" t="s">
        <v>72</v>
      </c>
      <c r="F1732" s="1" t="s">
        <v>27</v>
      </c>
      <c r="G1732">
        <v>313085</v>
      </c>
      <c r="H1732" s="1" t="s">
        <v>1648</v>
      </c>
      <c r="I1732" s="2"/>
      <c r="L1732" s="1" t="s">
        <v>29</v>
      </c>
      <c r="M1732" s="1" t="s">
        <v>69</v>
      </c>
    </row>
    <row r="1733" spans="1:13" x14ac:dyDescent="0.25">
      <c r="A1733" s="1" t="s">
        <v>2854</v>
      </c>
      <c r="B1733" s="1" t="s">
        <v>98</v>
      </c>
      <c r="C1733" s="1" t="s">
        <v>463</v>
      </c>
      <c r="D1733" s="1" t="s">
        <v>39</v>
      </c>
      <c r="E1733" s="1" t="s">
        <v>61</v>
      </c>
      <c r="F1733" s="1" t="s">
        <v>33</v>
      </c>
      <c r="G1733">
        <v>351161</v>
      </c>
      <c r="H1733" s="1" t="s">
        <v>771</v>
      </c>
      <c r="I1733" s="2"/>
      <c r="K1733">
        <v>13.6</v>
      </c>
      <c r="L1733" s="1" t="s">
        <v>29</v>
      </c>
      <c r="M1733" s="1" t="s">
        <v>21</v>
      </c>
    </row>
    <row r="1734" spans="1:13" x14ac:dyDescent="0.25">
      <c r="A1734" s="1" t="s">
        <v>2359</v>
      </c>
      <c r="B1734" s="1" t="s">
        <v>104</v>
      </c>
      <c r="C1734" s="1" t="s">
        <v>2334</v>
      </c>
      <c r="D1734" s="1" t="s">
        <v>67</v>
      </c>
      <c r="E1734" s="1" t="s">
        <v>100</v>
      </c>
      <c r="F1734" s="1" t="s">
        <v>40</v>
      </c>
      <c r="G1734">
        <v>273106</v>
      </c>
      <c r="H1734" s="1" t="s">
        <v>1244</v>
      </c>
      <c r="I1734" s="2">
        <v>45621</v>
      </c>
      <c r="J1734">
        <v>91</v>
      </c>
      <c r="K1734">
        <v>14.9</v>
      </c>
      <c r="L1734" s="1" t="s">
        <v>20</v>
      </c>
      <c r="M1734" s="1" t="s">
        <v>149</v>
      </c>
    </row>
    <row r="1735" spans="1:13" x14ac:dyDescent="0.25">
      <c r="A1735" s="1" t="s">
        <v>2855</v>
      </c>
      <c r="B1735" s="1" t="s">
        <v>98</v>
      </c>
      <c r="C1735" s="1" t="s">
        <v>1087</v>
      </c>
      <c r="D1735" s="1" t="s">
        <v>67</v>
      </c>
      <c r="E1735" s="1" t="s">
        <v>17</v>
      </c>
      <c r="F1735" s="1" t="s">
        <v>27</v>
      </c>
      <c r="G1735">
        <v>450050</v>
      </c>
      <c r="H1735" s="1" t="s">
        <v>1745</v>
      </c>
      <c r="I1735" s="2"/>
      <c r="K1735">
        <v>5.7</v>
      </c>
      <c r="L1735" s="1" t="s">
        <v>49</v>
      </c>
      <c r="M1735" s="1" t="s">
        <v>69</v>
      </c>
    </row>
    <row r="1736" spans="1:13" x14ac:dyDescent="0.25">
      <c r="A1736" s="1" t="s">
        <v>2856</v>
      </c>
      <c r="B1736" s="1" t="s">
        <v>37</v>
      </c>
      <c r="C1736" s="1" t="s">
        <v>1112</v>
      </c>
      <c r="D1736" s="1" t="s">
        <v>39</v>
      </c>
      <c r="E1736" s="1" t="s">
        <v>61</v>
      </c>
      <c r="F1736" s="1" t="s">
        <v>53</v>
      </c>
      <c r="G1736">
        <v>456045</v>
      </c>
      <c r="H1736" s="1" t="s">
        <v>2857</v>
      </c>
      <c r="I1736" s="2"/>
      <c r="L1736" s="1" t="s">
        <v>20</v>
      </c>
      <c r="M1736" s="1" t="s">
        <v>30</v>
      </c>
    </row>
    <row r="1737" spans="1:13" x14ac:dyDescent="0.25">
      <c r="A1737" s="1" t="s">
        <v>2858</v>
      </c>
      <c r="B1737" s="1" t="s">
        <v>80</v>
      </c>
      <c r="C1737" s="1" t="s">
        <v>1087</v>
      </c>
      <c r="D1737" s="1" t="s">
        <v>25</v>
      </c>
      <c r="E1737" s="1" t="s">
        <v>94</v>
      </c>
      <c r="F1737" s="1" t="s">
        <v>40</v>
      </c>
      <c r="G1737">
        <v>259479</v>
      </c>
      <c r="H1737" s="1" t="s">
        <v>196</v>
      </c>
      <c r="I1737" s="2">
        <v>45352</v>
      </c>
      <c r="J1737">
        <v>87</v>
      </c>
      <c r="K1737">
        <v>13.8</v>
      </c>
      <c r="L1737" s="1" t="s">
        <v>96</v>
      </c>
      <c r="M1737" s="1" t="s">
        <v>21</v>
      </c>
    </row>
    <row r="1738" spans="1:13" x14ac:dyDescent="0.25">
      <c r="A1738" s="1" t="s">
        <v>2859</v>
      </c>
      <c r="B1738" s="1" t="s">
        <v>109</v>
      </c>
      <c r="C1738" s="1" t="s">
        <v>1142</v>
      </c>
      <c r="D1738" s="1" t="s">
        <v>67</v>
      </c>
      <c r="E1738" s="1" t="s">
        <v>77</v>
      </c>
      <c r="F1738" s="1" t="s">
        <v>40</v>
      </c>
      <c r="G1738">
        <v>415205</v>
      </c>
      <c r="H1738" s="1" t="s">
        <v>663</v>
      </c>
      <c r="I1738" s="2">
        <v>45169</v>
      </c>
      <c r="J1738">
        <v>87</v>
      </c>
      <c r="K1738">
        <v>15.6</v>
      </c>
      <c r="L1738" s="1" t="s">
        <v>96</v>
      </c>
      <c r="M1738" s="1" t="s">
        <v>30</v>
      </c>
    </row>
    <row r="1739" spans="1:13" x14ac:dyDescent="0.25">
      <c r="A1739" s="1" t="s">
        <v>2860</v>
      </c>
      <c r="B1739" s="1" t="s">
        <v>109</v>
      </c>
      <c r="C1739" s="1" t="s">
        <v>141</v>
      </c>
      <c r="D1739" s="1" t="s">
        <v>16</v>
      </c>
      <c r="E1739" s="1" t="s">
        <v>77</v>
      </c>
      <c r="F1739" s="1" t="s">
        <v>53</v>
      </c>
      <c r="G1739">
        <v>358285</v>
      </c>
      <c r="H1739" s="1" t="s">
        <v>203</v>
      </c>
      <c r="I1739" s="2"/>
      <c r="K1739">
        <v>10.5</v>
      </c>
      <c r="L1739" s="1" t="s">
        <v>20</v>
      </c>
      <c r="M1739" s="1" t="s">
        <v>30</v>
      </c>
    </row>
    <row r="1740" spans="1:13" x14ac:dyDescent="0.25">
      <c r="A1740" s="1" t="s">
        <v>2861</v>
      </c>
      <c r="B1740" s="1" t="s">
        <v>127</v>
      </c>
      <c r="C1740" s="1" t="s">
        <v>1178</v>
      </c>
      <c r="D1740" s="1" t="s">
        <v>67</v>
      </c>
      <c r="E1740" s="1" t="s">
        <v>94</v>
      </c>
      <c r="F1740" s="1" t="s">
        <v>18</v>
      </c>
      <c r="G1740">
        <v>306246</v>
      </c>
      <c r="H1740" s="1" t="s">
        <v>1681</v>
      </c>
      <c r="I1740" s="2">
        <v>45250</v>
      </c>
      <c r="J1740">
        <v>133</v>
      </c>
      <c r="K1740">
        <v>1.6</v>
      </c>
      <c r="L1740" s="1" t="s">
        <v>49</v>
      </c>
      <c r="M1740" s="1" t="s">
        <v>102</v>
      </c>
    </row>
    <row r="1741" spans="1:13" x14ac:dyDescent="0.25">
      <c r="A1741" s="1" t="s">
        <v>2862</v>
      </c>
      <c r="B1741" s="1" t="s">
        <v>59</v>
      </c>
      <c r="C1741" s="1" t="s">
        <v>813</v>
      </c>
      <c r="D1741" s="1" t="s">
        <v>90</v>
      </c>
      <c r="E1741" s="1" t="s">
        <v>72</v>
      </c>
      <c r="F1741" s="1" t="s">
        <v>33</v>
      </c>
      <c r="G1741">
        <v>976351</v>
      </c>
      <c r="H1741" s="1" t="s">
        <v>2253</v>
      </c>
      <c r="I1741" s="2"/>
      <c r="K1741">
        <v>12.2</v>
      </c>
      <c r="L1741" s="1" t="s">
        <v>20</v>
      </c>
      <c r="M1741" s="1" t="s">
        <v>102</v>
      </c>
    </row>
    <row r="1742" spans="1:13" x14ac:dyDescent="0.25">
      <c r="A1742" s="1" t="s">
        <v>2863</v>
      </c>
      <c r="B1742" s="1" t="s">
        <v>173</v>
      </c>
      <c r="C1742" s="1" t="s">
        <v>1299</v>
      </c>
      <c r="D1742" s="1" t="s">
        <v>25</v>
      </c>
      <c r="E1742" s="1" t="s">
        <v>100</v>
      </c>
      <c r="F1742" s="1" t="s">
        <v>129</v>
      </c>
      <c r="G1742">
        <v>179695</v>
      </c>
      <c r="H1742" s="1" t="s">
        <v>754</v>
      </c>
      <c r="I1742" s="2"/>
      <c r="K1742">
        <v>6.6</v>
      </c>
      <c r="L1742" s="1" t="s">
        <v>20</v>
      </c>
      <c r="M1742" s="1" t="s">
        <v>42</v>
      </c>
    </row>
    <row r="1743" spans="1:13" x14ac:dyDescent="0.25">
      <c r="A1743" s="1" t="s">
        <v>2864</v>
      </c>
      <c r="B1743" s="1" t="s">
        <v>88</v>
      </c>
      <c r="C1743" s="1" t="s">
        <v>15</v>
      </c>
      <c r="D1743" s="1" t="s">
        <v>25</v>
      </c>
      <c r="E1743" s="1" t="s">
        <v>47</v>
      </c>
      <c r="F1743" s="1" t="s">
        <v>33</v>
      </c>
      <c r="G1743">
        <v>361562</v>
      </c>
      <c r="H1743" s="1" t="s">
        <v>1088</v>
      </c>
      <c r="I1743" s="2"/>
      <c r="L1743" s="1" t="s">
        <v>20</v>
      </c>
      <c r="M1743" s="1" t="s">
        <v>69</v>
      </c>
    </row>
    <row r="1744" spans="1:13" x14ac:dyDescent="0.25">
      <c r="A1744" s="1" t="s">
        <v>2865</v>
      </c>
      <c r="B1744" s="1" t="s">
        <v>59</v>
      </c>
      <c r="C1744" s="1" t="s">
        <v>339</v>
      </c>
      <c r="D1744" s="1" t="s">
        <v>90</v>
      </c>
      <c r="E1744" s="1" t="s">
        <v>17</v>
      </c>
      <c r="F1744" s="1" t="s">
        <v>40</v>
      </c>
      <c r="G1744">
        <v>52445</v>
      </c>
      <c r="H1744" s="1" t="s">
        <v>2866</v>
      </c>
      <c r="I1744" s="2">
        <v>45299</v>
      </c>
      <c r="J1744">
        <v>29</v>
      </c>
      <c r="K1744">
        <v>22.8</v>
      </c>
      <c r="L1744" s="1" t="s">
        <v>49</v>
      </c>
      <c r="M1744" s="1" t="s">
        <v>21</v>
      </c>
    </row>
    <row r="1745" spans="1:13" x14ac:dyDescent="0.25">
      <c r="A1745" s="1" t="s">
        <v>2867</v>
      </c>
      <c r="B1745" s="1" t="s">
        <v>44</v>
      </c>
      <c r="C1745" s="1" t="s">
        <v>316</v>
      </c>
      <c r="D1745" s="1" t="s">
        <v>90</v>
      </c>
      <c r="E1745" s="1" t="s">
        <v>94</v>
      </c>
      <c r="F1745" s="1" t="s">
        <v>129</v>
      </c>
      <c r="G1745">
        <v>57862</v>
      </c>
      <c r="H1745" s="1" t="s">
        <v>1803</v>
      </c>
      <c r="I1745" s="2"/>
      <c r="K1745">
        <v>3.6</v>
      </c>
      <c r="L1745" s="1" t="s">
        <v>20</v>
      </c>
      <c r="M1745" s="1" t="s">
        <v>69</v>
      </c>
    </row>
    <row r="1746" spans="1:13" x14ac:dyDescent="0.25">
      <c r="A1746" s="1" t="s">
        <v>2868</v>
      </c>
      <c r="B1746" s="1" t="s">
        <v>173</v>
      </c>
      <c r="C1746" s="1" t="s">
        <v>198</v>
      </c>
      <c r="D1746" s="1" t="s">
        <v>16</v>
      </c>
      <c r="E1746" s="1" t="s">
        <v>72</v>
      </c>
      <c r="F1746" s="1" t="s">
        <v>53</v>
      </c>
      <c r="G1746">
        <v>17274</v>
      </c>
      <c r="H1746" s="1" t="s">
        <v>706</v>
      </c>
      <c r="I1746" s="2"/>
      <c r="L1746" s="1" t="s">
        <v>96</v>
      </c>
      <c r="M1746" s="1" t="s">
        <v>35</v>
      </c>
    </row>
    <row r="1747" spans="1:13" x14ac:dyDescent="0.25">
      <c r="A1747" s="1" t="s">
        <v>2869</v>
      </c>
      <c r="B1747" s="1" t="s">
        <v>127</v>
      </c>
      <c r="C1747" s="1" t="s">
        <v>972</v>
      </c>
      <c r="D1747" s="1" t="s">
        <v>39</v>
      </c>
      <c r="E1747" s="1" t="s">
        <v>72</v>
      </c>
      <c r="F1747" s="1" t="s">
        <v>33</v>
      </c>
      <c r="G1747">
        <v>285905</v>
      </c>
      <c r="H1747" s="1" t="s">
        <v>2870</v>
      </c>
      <c r="I1747" s="2"/>
      <c r="K1747">
        <v>14.9</v>
      </c>
      <c r="L1747" s="1" t="s">
        <v>20</v>
      </c>
      <c r="M1747" s="1" t="s">
        <v>102</v>
      </c>
    </row>
    <row r="1748" spans="1:13" x14ac:dyDescent="0.25">
      <c r="A1748" s="1" t="s">
        <v>2871</v>
      </c>
      <c r="B1748" s="1" t="s">
        <v>104</v>
      </c>
      <c r="C1748" s="1" t="s">
        <v>316</v>
      </c>
      <c r="D1748" s="1" t="s">
        <v>25</v>
      </c>
      <c r="E1748" s="1" t="s">
        <v>26</v>
      </c>
      <c r="F1748" s="1" t="s">
        <v>40</v>
      </c>
      <c r="G1748">
        <v>300964</v>
      </c>
      <c r="H1748" s="1" t="s">
        <v>304</v>
      </c>
      <c r="I1748" s="2">
        <v>45613</v>
      </c>
      <c r="J1748">
        <v>169</v>
      </c>
      <c r="K1748">
        <v>20.399999999999999</v>
      </c>
      <c r="L1748" s="1" t="s">
        <v>96</v>
      </c>
      <c r="M1748" s="1" t="s">
        <v>107</v>
      </c>
    </row>
    <row r="1749" spans="1:13" x14ac:dyDescent="0.25">
      <c r="A1749" s="1" t="s">
        <v>2872</v>
      </c>
      <c r="B1749" s="1" t="s">
        <v>84</v>
      </c>
      <c r="C1749" s="1" t="s">
        <v>983</v>
      </c>
      <c r="D1749" s="1" t="s">
        <v>16</v>
      </c>
      <c r="E1749" s="1" t="s">
        <v>77</v>
      </c>
      <c r="F1749" s="1" t="s">
        <v>129</v>
      </c>
      <c r="G1749">
        <v>181602</v>
      </c>
      <c r="H1749" s="1" t="s">
        <v>855</v>
      </c>
      <c r="I1749" s="2"/>
      <c r="L1749" s="1" t="s">
        <v>96</v>
      </c>
      <c r="M1749" s="1" t="s">
        <v>35</v>
      </c>
    </row>
    <row r="1750" spans="1:13" x14ac:dyDescent="0.25">
      <c r="A1750" s="1" t="s">
        <v>2873</v>
      </c>
      <c r="B1750" s="1" t="s">
        <v>109</v>
      </c>
      <c r="C1750" s="1" t="s">
        <v>1170</v>
      </c>
      <c r="D1750" s="1" t="s">
        <v>16</v>
      </c>
      <c r="E1750" s="1" t="s">
        <v>61</v>
      </c>
      <c r="F1750" s="1" t="s">
        <v>129</v>
      </c>
      <c r="G1750">
        <v>476786</v>
      </c>
      <c r="H1750" s="1" t="s">
        <v>1532</v>
      </c>
      <c r="I1750" s="2"/>
      <c r="L1750" s="1" t="s">
        <v>49</v>
      </c>
      <c r="M1750" s="1" t="s">
        <v>21</v>
      </c>
    </row>
    <row r="1751" spans="1:13" x14ac:dyDescent="0.25">
      <c r="A1751" s="1" t="s">
        <v>2874</v>
      </c>
      <c r="B1751" s="1" t="s">
        <v>75</v>
      </c>
      <c r="C1751" s="1" t="s">
        <v>1812</v>
      </c>
      <c r="D1751" s="1" t="s">
        <v>39</v>
      </c>
      <c r="E1751" s="1" t="s">
        <v>94</v>
      </c>
      <c r="F1751" s="1" t="s">
        <v>40</v>
      </c>
      <c r="G1751">
        <v>76484</v>
      </c>
      <c r="H1751" s="1" t="s">
        <v>1036</v>
      </c>
      <c r="I1751" s="2">
        <v>45852</v>
      </c>
      <c r="J1751">
        <v>152</v>
      </c>
      <c r="K1751">
        <v>2.6</v>
      </c>
      <c r="L1751" s="1" t="s">
        <v>29</v>
      </c>
      <c r="M1751" s="1" t="s">
        <v>63</v>
      </c>
    </row>
    <row r="1752" spans="1:13" x14ac:dyDescent="0.25">
      <c r="A1752" s="1" t="s">
        <v>2875</v>
      </c>
      <c r="B1752" s="1" t="s">
        <v>98</v>
      </c>
      <c r="C1752" s="1" t="s">
        <v>720</v>
      </c>
      <c r="D1752" s="1" t="s">
        <v>25</v>
      </c>
      <c r="E1752" s="1" t="s">
        <v>47</v>
      </c>
      <c r="F1752" s="1" t="s">
        <v>40</v>
      </c>
      <c r="G1752">
        <v>157447</v>
      </c>
      <c r="H1752" s="1" t="s">
        <v>1793</v>
      </c>
      <c r="I1752" s="2">
        <v>45226</v>
      </c>
      <c r="J1752">
        <v>44</v>
      </c>
      <c r="K1752">
        <v>3.7</v>
      </c>
      <c r="L1752" s="1" t="s">
        <v>20</v>
      </c>
      <c r="M1752" s="1" t="s">
        <v>102</v>
      </c>
    </row>
    <row r="1753" spans="1:13" x14ac:dyDescent="0.25">
      <c r="A1753" s="1" t="s">
        <v>2876</v>
      </c>
      <c r="B1753" s="1" t="s">
        <v>14</v>
      </c>
      <c r="C1753" s="1" t="s">
        <v>110</v>
      </c>
      <c r="D1753" s="1" t="s">
        <v>16</v>
      </c>
      <c r="E1753" s="1" t="s">
        <v>47</v>
      </c>
      <c r="F1753" s="1" t="s">
        <v>18</v>
      </c>
      <c r="G1753">
        <v>175594</v>
      </c>
      <c r="H1753" s="1" t="s">
        <v>2877</v>
      </c>
      <c r="I1753" s="2">
        <v>45155</v>
      </c>
      <c r="J1753">
        <v>159</v>
      </c>
      <c r="L1753" s="1" t="s">
        <v>20</v>
      </c>
      <c r="M1753" s="1" t="s">
        <v>35</v>
      </c>
    </row>
    <row r="1754" spans="1:13" x14ac:dyDescent="0.25">
      <c r="A1754" s="1" t="s">
        <v>2878</v>
      </c>
      <c r="B1754" s="1" t="s">
        <v>75</v>
      </c>
      <c r="C1754" s="1" t="s">
        <v>460</v>
      </c>
      <c r="D1754" s="1" t="s">
        <v>90</v>
      </c>
      <c r="E1754" s="1" t="s">
        <v>51</v>
      </c>
      <c r="F1754" s="1" t="s">
        <v>27</v>
      </c>
      <c r="G1754">
        <v>148935</v>
      </c>
      <c r="H1754" s="1" t="s">
        <v>1405</v>
      </c>
      <c r="I1754" s="2"/>
      <c r="L1754" s="1" t="s">
        <v>96</v>
      </c>
      <c r="M1754" s="1" t="s">
        <v>21</v>
      </c>
    </row>
    <row r="1755" spans="1:13" x14ac:dyDescent="0.25">
      <c r="A1755" s="1" t="s">
        <v>2879</v>
      </c>
      <c r="B1755" s="1" t="s">
        <v>98</v>
      </c>
      <c r="C1755" s="1" t="s">
        <v>987</v>
      </c>
      <c r="D1755" s="1" t="s">
        <v>39</v>
      </c>
      <c r="E1755" s="1" t="s">
        <v>100</v>
      </c>
      <c r="F1755" s="1" t="s">
        <v>40</v>
      </c>
      <c r="G1755">
        <v>196782</v>
      </c>
      <c r="H1755" s="1" t="s">
        <v>841</v>
      </c>
      <c r="I1755" s="2">
        <v>45348</v>
      </c>
      <c r="J1755">
        <v>60</v>
      </c>
      <c r="K1755">
        <v>4.7</v>
      </c>
      <c r="L1755" s="1" t="s">
        <v>49</v>
      </c>
      <c r="M1755" s="1" t="s">
        <v>21</v>
      </c>
    </row>
    <row r="1756" spans="1:13" x14ac:dyDescent="0.25">
      <c r="A1756" s="1" t="s">
        <v>2880</v>
      </c>
      <c r="B1756" s="1" t="s">
        <v>104</v>
      </c>
      <c r="C1756" s="1" t="s">
        <v>401</v>
      </c>
      <c r="D1756" s="1" t="s">
        <v>90</v>
      </c>
      <c r="E1756" s="1" t="s">
        <v>17</v>
      </c>
      <c r="F1756" s="1" t="s">
        <v>33</v>
      </c>
      <c r="G1756">
        <v>442469</v>
      </c>
      <c r="H1756" s="1" t="s">
        <v>2338</v>
      </c>
      <c r="I1756" s="2"/>
      <c r="K1756">
        <v>1.2</v>
      </c>
      <c r="L1756" s="1" t="s">
        <v>49</v>
      </c>
      <c r="M1756" s="1" t="s">
        <v>35</v>
      </c>
    </row>
    <row r="1757" spans="1:13" x14ac:dyDescent="0.25">
      <c r="A1757" s="1" t="s">
        <v>2881</v>
      </c>
      <c r="B1757" s="1" t="s">
        <v>65</v>
      </c>
      <c r="C1757" s="1" t="s">
        <v>1121</v>
      </c>
      <c r="D1757" s="1" t="s">
        <v>25</v>
      </c>
      <c r="E1757" s="1" t="s">
        <v>94</v>
      </c>
      <c r="F1757" s="1" t="s">
        <v>53</v>
      </c>
      <c r="G1757">
        <v>139013</v>
      </c>
      <c r="H1757" s="1" t="s">
        <v>2882</v>
      </c>
      <c r="I1757" s="2"/>
      <c r="L1757" s="1" t="s">
        <v>49</v>
      </c>
      <c r="M1757" s="1" t="s">
        <v>102</v>
      </c>
    </row>
    <row r="1758" spans="1:13" x14ac:dyDescent="0.25">
      <c r="A1758" s="1" t="s">
        <v>2883</v>
      </c>
      <c r="B1758" s="1" t="s">
        <v>104</v>
      </c>
      <c r="C1758" s="1" t="s">
        <v>906</v>
      </c>
      <c r="D1758" s="1" t="s">
        <v>25</v>
      </c>
      <c r="E1758" s="1" t="s">
        <v>61</v>
      </c>
      <c r="F1758" s="1" t="s">
        <v>40</v>
      </c>
      <c r="G1758">
        <v>122521</v>
      </c>
      <c r="H1758" s="1" t="s">
        <v>795</v>
      </c>
      <c r="I1758" s="2">
        <v>45676</v>
      </c>
      <c r="J1758">
        <v>167</v>
      </c>
      <c r="K1758">
        <v>19.5</v>
      </c>
      <c r="L1758" s="1" t="s">
        <v>20</v>
      </c>
      <c r="M1758" s="1" t="s">
        <v>149</v>
      </c>
    </row>
    <row r="1759" spans="1:13" x14ac:dyDescent="0.25">
      <c r="A1759" s="1" t="s">
        <v>2884</v>
      </c>
      <c r="B1759" s="1" t="s">
        <v>23</v>
      </c>
      <c r="C1759" s="1" t="s">
        <v>654</v>
      </c>
      <c r="D1759" s="1" t="s">
        <v>67</v>
      </c>
      <c r="E1759" s="1" t="s">
        <v>17</v>
      </c>
      <c r="F1759" s="1" t="s">
        <v>53</v>
      </c>
      <c r="G1759">
        <v>61246</v>
      </c>
      <c r="H1759" s="1" t="s">
        <v>2885</v>
      </c>
      <c r="I1759" s="2"/>
      <c r="K1759">
        <v>0.2</v>
      </c>
      <c r="L1759" s="1" t="s">
        <v>29</v>
      </c>
      <c r="M1759" s="1" t="s">
        <v>21</v>
      </c>
    </row>
    <row r="1760" spans="1:13" x14ac:dyDescent="0.25">
      <c r="A1760" s="1" t="s">
        <v>2886</v>
      </c>
      <c r="B1760" s="1" t="s">
        <v>80</v>
      </c>
      <c r="C1760" s="1" t="s">
        <v>1742</v>
      </c>
      <c r="D1760" s="1" t="s">
        <v>46</v>
      </c>
      <c r="E1760" s="1" t="s">
        <v>94</v>
      </c>
      <c r="F1760" s="1" t="s">
        <v>40</v>
      </c>
      <c r="G1760">
        <v>320540</v>
      </c>
      <c r="H1760" s="1" t="s">
        <v>2887</v>
      </c>
      <c r="I1760" s="2">
        <v>45493</v>
      </c>
      <c r="J1760">
        <v>144</v>
      </c>
      <c r="K1760">
        <v>5.5</v>
      </c>
      <c r="L1760" s="1" t="s">
        <v>49</v>
      </c>
      <c r="M1760" s="1" t="s">
        <v>69</v>
      </c>
    </row>
    <row r="1761" spans="1:13" x14ac:dyDescent="0.25">
      <c r="A1761" s="1" t="s">
        <v>2888</v>
      </c>
      <c r="B1761" s="1" t="s">
        <v>109</v>
      </c>
      <c r="C1761" s="1" t="s">
        <v>1112</v>
      </c>
      <c r="D1761" s="1" t="s">
        <v>46</v>
      </c>
      <c r="E1761" s="1" t="s">
        <v>77</v>
      </c>
      <c r="F1761" s="1" t="s">
        <v>27</v>
      </c>
      <c r="G1761">
        <v>91741</v>
      </c>
      <c r="H1761" s="1" t="s">
        <v>2836</v>
      </c>
      <c r="I1761" s="2"/>
      <c r="K1761">
        <v>12.9</v>
      </c>
      <c r="L1761" s="1" t="s">
        <v>49</v>
      </c>
      <c r="M1761" s="1" t="s">
        <v>102</v>
      </c>
    </row>
    <row r="1762" spans="1:13" x14ac:dyDescent="0.25">
      <c r="A1762" s="1" t="s">
        <v>2889</v>
      </c>
      <c r="B1762" s="1" t="s">
        <v>104</v>
      </c>
      <c r="C1762" s="1" t="s">
        <v>300</v>
      </c>
      <c r="D1762" s="1" t="s">
        <v>25</v>
      </c>
      <c r="E1762" s="1" t="s">
        <v>47</v>
      </c>
      <c r="F1762" s="1" t="s">
        <v>53</v>
      </c>
      <c r="G1762">
        <v>264036</v>
      </c>
      <c r="H1762" s="1" t="s">
        <v>1075</v>
      </c>
      <c r="I1762" s="2"/>
      <c r="K1762">
        <v>11.9</v>
      </c>
      <c r="L1762" s="1" t="s">
        <v>20</v>
      </c>
      <c r="M1762" s="1" t="s">
        <v>149</v>
      </c>
    </row>
    <row r="1763" spans="1:13" x14ac:dyDescent="0.25">
      <c r="A1763" s="1" t="s">
        <v>2890</v>
      </c>
      <c r="B1763" s="1" t="s">
        <v>84</v>
      </c>
      <c r="C1763" s="1" t="s">
        <v>292</v>
      </c>
      <c r="D1763" s="1" t="s">
        <v>46</v>
      </c>
      <c r="E1763" s="1" t="s">
        <v>100</v>
      </c>
      <c r="F1763" s="1" t="s">
        <v>27</v>
      </c>
      <c r="G1763">
        <v>155604</v>
      </c>
      <c r="H1763" s="1" t="s">
        <v>2891</v>
      </c>
      <c r="I1763" s="2"/>
      <c r="K1763">
        <v>7.9</v>
      </c>
      <c r="L1763" s="1" t="s">
        <v>49</v>
      </c>
      <c r="M1763" s="1" t="s">
        <v>30</v>
      </c>
    </row>
    <row r="1764" spans="1:13" x14ac:dyDescent="0.25">
      <c r="A1764" s="1" t="s">
        <v>2892</v>
      </c>
      <c r="B1764" s="1" t="s">
        <v>14</v>
      </c>
      <c r="C1764" s="1" t="s">
        <v>195</v>
      </c>
      <c r="D1764" s="1" t="s">
        <v>39</v>
      </c>
      <c r="E1764" s="1" t="s">
        <v>47</v>
      </c>
      <c r="F1764" s="1" t="s">
        <v>53</v>
      </c>
      <c r="G1764">
        <v>321096</v>
      </c>
      <c r="H1764" s="1" t="s">
        <v>2893</v>
      </c>
      <c r="I1764" s="2"/>
      <c r="K1764">
        <v>1.1000000000000001</v>
      </c>
      <c r="L1764" s="1" t="s">
        <v>29</v>
      </c>
      <c r="M1764" s="1" t="s">
        <v>107</v>
      </c>
    </row>
    <row r="1765" spans="1:13" x14ac:dyDescent="0.25">
      <c r="A1765" s="1" t="s">
        <v>1179</v>
      </c>
      <c r="B1765" s="1" t="s">
        <v>14</v>
      </c>
      <c r="C1765" s="1" t="s">
        <v>186</v>
      </c>
      <c r="D1765" s="1" t="s">
        <v>16</v>
      </c>
      <c r="E1765" s="1" t="s">
        <v>100</v>
      </c>
      <c r="F1765" s="1" t="s">
        <v>40</v>
      </c>
      <c r="G1765">
        <v>34808</v>
      </c>
      <c r="H1765" s="1" t="s">
        <v>493</v>
      </c>
      <c r="I1765" s="2">
        <v>45349</v>
      </c>
      <c r="J1765">
        <v>131</v>
      </c>
      <c r="K1765">
        <v>15.5</v>
      </c>
      <c r="L1765" s="1" t="s">
        <v>29</v>
      </c>
      <c r="M1765" s="1" t="s">
        <v>21</v>
      </c>
    </row>
    <row r="1766" spans="1:13" x14ac:dyDescent="0.25">
      <c r="A1766" s="1" t="s">
        <v>2894</v>
      </c>
      <c r="B1766" s="1" t="s">
        <v>104</v>
      </c>
      <c r="C1766" s="1" t="s">
        <v>303</v>
      </c>
      <c r="D1766" s="1" t="s">
        <v>16</v>
      </c>
      <c r="E1766" s="1" t="s">
        <v>72</v>
      </c>
      <c r="F1766" s="1" t="s">
        <v>53</v>
      </c>
      <c r="G1766">
        <v>323038</v>
      </c>
      <c r="H1766" s="1" t="s">
        <v>1400</v>
      </c>
      <c r="I1766" s="2"/>
      <c r="L1766" s="1" t="s">
        <v>29</v>
      </c>
      <c r="M1766" s="1" t="s">
        <v>102</v>
      </c>
    </row>
    <row r="1767" spans="1:13" x14ac:dyDescent="0.25">
      <c r="A1767" s="1" t="s">
        <v>2895</v>
      </c>
      <c r="B1767" s="1" t="s">
        <v>59</v>
      </c>
      <c r="C1767" s="1" t="s">
        <v>767</v>
      </c>
      <c r="D1767" s="1" t="s">
        <v>25</v>
      </c>
      <c r="E1767" s="1" t="s">
        <v>17</v>
      </c>
      <c r="F1767" s="1" t="s">
        <v>40</v>
      </c>
      <c r="G1767">
        <v>445143</v>
      </c>
      <c r="H1767" s="1" t="s">
        <v>1201</v>
      </c>
      <c r="I1767" s="2">
        <v>45392</v>
      </c>
      <c r="J1767">
        <v>42</v>
      </c>
      <c r="K1767">
        <v>11.2</v>
      </c>
      <c r="L1767" s="1" t="s">
        <v>29</v>
      </c>
      <c r="M1767" s="1" t="s">
        <v>69</v>
      </c>
    </row>
    <row r="1768" spans="1:13" x14ac:dyDescent="0.25">
      <c r="A1768" s="1" t="s">
        <v>2896</v>
      </c>
      <c r="B1768" s="1" t="s">
        <v>14</v>
      </c>
      <c r="C1768" s="1" t="s">
        <v>676</v>
      </c>
      <c r="D1768" s="1" t="s">
        <v>67</v>
      </c>
      <c r="E1768" s="1" t="s">
        <v>100</v>
      </c>
      <c r="F1768" s="1" t="s">
        <v>27</v>
      </c>
      <c r="G1768">
        <v>420677</v>
      </c>
      <c r="H1768" s="1" t="s">
        <v>238</v>
      </c>
      <c r="I1768" s="2"/>
      <c r="L1768" s="1" t="s">
        <v>20</v>
      </c>
      <c r="M1768" s="1" t="s">
        <v>35</v>
      </c>
    </row>
    <row r="1769" spans="1:13" x14ac:dyDescent="0.25">
      <c r="A1769" s="1" t="s">
        <v>2897</v>
      </c>
      <c r="B1769" s="1" t="s">
        <v>104</v>
      </c>
      <c r="C1769" s="1" t="s">
        <v>539</v>
      </c>
      <c r="D1769" s="1" t="s">
        <v>67</v>
      </c>
      <c r="E1769" s="1" t="s">
        <v>61</v>
      </c>
      <c r="F1769" s="1" t="s">
        <v>129</v>
      </c>
      <c r="G1769">
        <v>83315</v>
      </c>
      <c r="H1769" s="1" t="s">
        <v>2095</v>
      </c>
      <c r="I1769" s="2"/>
      <c r="L1769" s="1" t="s">
        <v>49</v>
      </c>
      <c r="M1769" s="1" t="s">
        <v>35</v>
      </c>
    </row>
    <row r="1770" spans="1:13" x14ac:dyDescent="0.25">
      <c r="A1770" s="1" t="s">
        <v>2898</v>
      </c>
      <c r="B1770" s="1" t="s">
        <v>104</v>
      </c>
      <c r="C1770" s="1" t="s">
        <v>1018</v>
      </c>
      <c r="D1770" s="1" t="s">
        <v>39</v>
      </c>
      <c r="E1770" s="1" t="s">
        <v>61</v>
      </c>
      <c r="F1770" s="1" t="s">
        <v>33</v>
      </c>
      <c r="G1770">
        <v>127137</v>
      </c>
      <c r="H1770" s="1" t="s">
        <v>1319</v>
      </c>
      <c r="I1770" s="2"/>
      <c r="K1770">
        <v>8.8000000000000007</v>
      </c>
      <c r="L1770" s="1" t="s">
        <v>20</v>
      </c>
      <c r="M1770" s="1" t="s">
        <v>42</v>
      </c>
    </row>
    <row r="1771" spans="1:13" x14ac:dyDescent="0.25">
      <c r="A1771" s="1" t="s">
        <v>2899</v>
      </c>
      <c r="B1771" s="1" t="s">
        <v>37</v>
      </c>
      <c r="C1771" s="1" t="s">
        <v>1558</v>
      </c>
      <c r="D1771" s="1" t="s">
        <v>90</v>
      </c>
      <c r="E1771" s="1" t="s">
        <v>77</v>
      </c>
      <c r="F1771" s="1" t="s">
        <v>18</v>
      </c>
      <c r="G1771">
        <v>179417</v>
      </c>
      <c r="H1771" s="1" t="s">
        <v>73</v>
      </c>
      <c r="I1771" s="2">
        <v>45525</v>
      </c>
      <c r="J1771">
        <v>169</v>
      </c>
      <c r="L1771" s="1" t="s">
        <v>49</v>
      </c>
      <c r="M1771" s="1" t="s">
        <v>69</v>
      </c>
    </row>
    <row r="1772" spans="1:13" x14ac:dyDescent="0.25">
      <c r="A1772" s="1" t="s">
        <v>2900</v>
      </c>
      <c r="B1772" s="1" t="s">
        <v>23</v>
      </c>
      <c r="C1772" s="1" t="s">
        <v>747</v>
      </c>
      <c r="D1772" s="1" t="s">
        <v>39</v>
      </c>
      <c r="E1772" s="1" t="s">
        <v>26</v>
      </c>
      <c r="F1772" s="1" t="s">
        <v>27</v>
      </c>
      <c r="G1772">
        <v>466903</v>
      </c>
      <c r="H1772" s="1" t="s">
        <v>827</v>
      </c>
      <c r="I1772" s="2"/>
      <c r="K1772">
        <v>1.1000000000000001</v>
      </c>
      <c r="L1772" s="1" t="s">
        <v>49</v>
      </c>
      <c r="M1772" s="1" t="s">
        <v>21</v>
      </c>
    </row>
    <row r="1773" spans="1:13" x14ac:dyDescent="0.25">
      <c r="A1773" s="1" t="s">
        <v>2901</v>
      </c>
      <c r="B1773" s="1" t="s">
        <v>37</v>
      </c>
      <c r="C1773" s="1" t="s">
        <v>1095</v>
      </c>
      <c r="D1773" s="1" t="s">
        <v>90</v>
      </c>
      <c r="E1773" s="1" t="s">
        <v>47</v>
      </c>
      <c r="F1773" s="1" t="s">
        <v>40</v>
      </c>
      <c r="G1773">
        <v>199142</v>
      </c>
      <c r="H1773" s="1" t="s">
        <v>2902</v>
      </c>
      <c r="I1773" s="2">
        <v>45496</v>
      </c>
      <c r="J1773">
        <v>59</v>
      </c>
      <c r="K1773">
        <v>23.9</v>
      </c>
      <c r="L1773" s="1" t="s">
        <v>29</v>
      </c>
      <c r="M1773" s="1" t="s">
        <v>107</v>
      </c>
    </row>
    <row r="1774" spans="1:13" x14ac:dyDescent="0.25">
      <c r="A1774" s="1" t="s">
        <v>2903</v>
      </c>
      <c r="B1774" s="1" t="s">
        <v>104</v>
      </c>
      <c r="C1774" s="1" t="s">
        <v>1518</v>
      </c>
      <c r="D1774" s="1" t="s">
        <v>46</v>
      </c>
      <c r="E1774" s="1" t="s">
        <v>94</v>
      </c>
      <c r="F1774" s="1" t="s">
        <v>129</v>
      </c>
      <c r="G1774">
        <v>398007</v>
      </c>
      <c r="H1774" s="1" t="s">
        <v>754</v>
      </c>
      <c r="I1774" s="2"/>
      <c r="L1774" s="1" t="s">
        <v>49</v>
      </c>
      <c r="M1774" s="1" t="s">
        <v>42</v>
      </c>
    </row>
    <row r="1775" spans="1:13" x14ac:dyDescent="0.25">
      <c r="A1775" s="1" t="s">
        <v>2904</v>
      </c>
      <c r="B1775" s="1" t="s">
        <v>23</v>
      </c>
      <c r="C1775" s="1" t="s">
        <v>603</v>
      </c>
      <c r="D1775" s="1" t="s">
        <v>46</v>
      </c>
      <c r="E1775" s="1" t="s">
        <v>47</v>
      </c>
      <c r="F1775" s="1" t="s">
        <v>18</v>
      </c>
      <c r="G1775">
        <v>394050</v>
      </c>
      <c r="H1775" s="1" t="s">
        <v>2905</v>
      </c>
      <c r="I1775" s="2">
        <v>45628</v>
      </c>
      <c r="J1775">
        <v>54</v>
      </c>
      <c r="K1775">
        <v>4.8</v>
      </c>
      <c r="L1775" s="1" t="s">
        <v>49</v>
      </c>
      <c r="M1775" s="1" t="s">
        <v>42</v>
      </c>
    </row>
    <row r="1776" spans="1:13" x14ac:dyDescent="0.25">
      <c r="A1776" s="1" t="s">
        <v>2906</v>
      </c>
      <c r="B1776" s="1" t="s">
        <v>109</v>
      </c>
      <c r="C1776" s="1" t="s">
        <v>486</v>
      </c>
      <c r="D1776" s="1" t="s">
        <v>67</v>
      </c>
      <c r="E1776" s="1" t="s">
        <v>94</v>
      </c>
      <c r="F1776" s="1" t="s">
        <v>18</v>
      </c>
      <c r="G1776">
        <v>387457</v>
      </c>
      <c r="H1776" s="1" t="s">
        <v>1609</v>
      </c>
      <c r="I1776" s="2">
        <v>45703</v>
      </c>
      <c r="J1776">
        <v>84</v>
      </c>
      <c r="K1776">
        <v>9.1999999999999993</v>
      </c>
      <c r="L1776" s="1" t="s">
        <v>29</v>
      </c>
      <c r="M1776" s="1" t="s">
        <v>42</v>
      </c>
    </row>
    <row r="1777" spans="1:13" x14ac:dyDescent="0.25">
      <c r="A1777" s="1" t="s">
        <v>2907</v>
      </c>
      <c r="B1777" s="1" t="s">
        <v>98</v>
      </c>
      <c r="C1777" s="1" t="s">
        <v>790</v>
      </c>
      <c r="D1777" s="1" t="s">
        <v>90</v>
      </c>
      <c r="E1777" s="1" t="s">
        <v>72</v>
      </c>
      <c r="F1777" s="1" t="s">
        <v>53</v>
      </c>
      <c r="G1777">
        <v>331847</v>
      </c>
      <c r="H1777" s="1" t="s">
        <v>2483</v>
      </c>
      <c r="I1777" s="2"/>
      <c r="L1777" s="1" t="s">
        <v>20</v>
      </c>
      <c r="M1777" s="1" t="s">
        <v>149</v>
      </c>
    </row>
    <row r="1778" spans="1:13" x14ac:dyDescent="0.25">
      <c r="A1778" s="1" t="s">
        <v>2908</v>
      </c>
      <c r="B1778" s="1" t="s">
        <v>109</v>
      </c>
      <c r="C1778" s="1" t="s">
        <v>442</v>
      </c>
      <c r="D1778" s="1" t="s">
        <v>25</v>
      </c>
      <c r="E1778" s="1" t="s">
        <v>61</v>
      </c>
      <c r="F1778" s="1" t="s">
        <v>53</v>
      </c>
      <c r="G1778">
        <v>80912</v>
      </c>
      <c r="H1778" s="1" t="s">
        <v>963</v>
      </c>
      <c r="I1778" s="2"/>
      <c r="K1778">
        <v>5.0999999999999996</v>
      </c>
      <c r="L1778" s="1" t="s">
        <v>20</v>
      </c>
      <c r="M1778" s="1" t="s">
        <v>102</v>
      </c>
    </row>
    <row r="1779" spans="1:13" x14ac:dyDescent="0.25">
      <c r="A1779" s="1" t="s">
        <v>2909</v>
      </c>
      <c r="B1779" s="1" t="s">
        <v>44</v>
      </c>
      <c r="C1779" s="1" t="s">
        <v>939</v>
      </c>
      <c r="D1779" s="1" t="s">
        <v>16</v>
      </c>
      <c r="E1779" s="1" t="s">
        <v>17</v>
      </c>
      <c r="F1779" s="1" t="s">
        <v>40</v>
      </c>
      <c r="G1779">
        <v>362912</v>
      </c>
      <c r="H1779" s="1" t="s">
        <v>1110</v>
      </c>
      <c r="I1779" s="2">
        <v>45587</v>
      </c>
      <c r="J1779">
        <v>18</v>
      </c>
      <c r="K1779">
        <v>15.9</v>
      </c>
      <c r="L1779" s="1" t="s">
        <v>96</v>
      </c>
      <c r="M1779" s="1" t="s">
        <v>42</v>
      </c>
    </row>
    <row r="1780" spans="1:13" x14ac:dyDescent="0.25">
      <c r="A1780" s="1" t="s">
        <v>2910</v>
      </c>
      <c r="B1780" s="1" t="s">
        <v>23</v>
      </c>
      <c r="C1780" s="1" t="s">
        <v>650</v>
      </c>
      <c r="D1780" s="1" t="s">
        <v>67</v>
      </c>
      <c r="E1780" s="1" t="s">
        <v>26</v>
      </c>
      <c r="F1780" s="1" t="s">
        <v>129</v>
      </c>
      <c r="G1780">
        <v>244504</v>
      </c>
      <c r="H1780" s="1" t="s">
        <v>2911</v>
      </c>
      <c r="I1780" s="2"/>
      <c r="K1780">
        <v>4</v>
      </c>
      <c r="L1780" s="1" t="s">
        <v>96</v>
      </c>
      <c r="M1780" s="1" t="s">
        <v>42</v>
      </c>
    </row>
    <row r="1781" spans="1:13" x14ac:dyDescent="0.25">
      <c r="A1781" s="1" t="s">
        <v>2912</v>
      </c>
      <c r="B1781" s="1" t="s">
        <v>88</v>
      </c>
      <c r="C1781" s="1" t="s">
        <v>539</v>
      </c>
      <c r="D1781" s="1" t="s">
        <v>46</v>
      </c>
      <c r="E1781" s="1" t="s">
        <v>100</v>
      </c>
      <c r="F1781" s="1" t="s">
        <v>33</v>
      </c>
      <c r="G1781">
        <v>138080</v>
      </c>
      <c r="H1781" s="1" t="s">
        <v>2913</v>
      </c>
      <c r="I1781" s="2"/>
      <c r="K1781">
        <v>14</v>
      </c>
      <c r="L1781" s="1" t="s">
        <v>29</v>
      </c>
      <c r="M1781" s="1" t="s">
        <v>42</v>
      </c>
    </row>
    <row r="1782" spans="1:13" x14ac:dyDescent="0.25">
      <c r="A1782" s="1" t="s">
        <v>2914</v>
      </c>
      <c r="B1782" s="1" t="s">
        <v>127</v>
      </c>
      <c r="C1782" s="1" t="s">
        <v>917</v>
      </c>
      <c r="D1782" s="1" t="s">
        <v>90</v>
      </c>
      <c r="E1782" s="1" t="s">
        <v>26</v>
      </c>
      <c r="F1782" s="1" t="s">
        <v>18</v>
      </c>
      <c r="G1782">
        <v>145310</v>
      </c>
      <c r="H1782" s="1" t="s">
        <v>1933</v>
      </c>
      <c r="I1782" s="2">
        <v>45587</v>
      </c>
      <c r="J1782">
        <v>99</v>
      </c>
      <c r="L1782" s="1" t="s">
        <v>49</v>
      </c>
      <c r="M1782" s="1" t="s">
        <v>149</v>
      </c>
    </row>
    <row r="1783" spans="1:13" x14ac:dyDescent="0.25">
      <c r="A1783" s="1" t="s">
        <v>2915</v>
      </c>
      <c r="B1783" s="1" t="s">
        <v>75</v>
      </c>
      <c r="C1783" s="1" t="s">
        <v>1997</v>
      </c>
      <c r="D1783" s="1" t="s">
        <v>25</v>
      </c>
      <c r="E1783" s="1" t="s">
        <v>77</v>
      </c>
      <c r="F1783" s="1" t="s">
        <v>40</v>
      </c>
      <c r="G1783">
        <v>427257</v>
      </c>
      <c r="H1783" s="1" t="s">
        <v>201</v>
      </c>
      <c r="I1783" s="2">
        <v>45293</v>
      </c>
      <c r="J1783">
        <v>45</v>
      </c>
      <c r="K1783">
        <v>10.5</v>
      </c>
      <c r="L1783" s="1" t="s">
        <v>29</v>
      </c>
      <c r="M1783" s="1" t="s">
        <v>21</v>
      </c>
    </row>
    <row r="1784" spans="1:13" x14ac:dyDescent="0.25">
      <c r="A1784" s="1" t="s">
        <v>881</v>
      </c>
      <c r="B1784" s="1" t="s">
        <v>104</v>
      </c>
      <c r="C1784" s="1" t="s">
        <v>882</v>
      </c>
      <c r="D1784" s="1" t="s">
        <v>25</v>
      </c>
      <c r="E1784" s="1" t="s">
        <v>61</v>
      </c>
      <c r="F1784" s="1" t="s">
        <v>129</v>
      </c>
      <c r="G1784">
        <v>31827</v>
      </c>
      <c r="H1784" s="1" t="s">
        <v>489</v>
      </c>
      <c r="I1784" s="2"/>
      <c r="K1784">
        <v>4.5999999999999996</v>
      </c>
      <c r="L1784" s="1" t="s">
        <v>29</v>
      </c>
      <c r="M1784" s="1" t="s">
        <v>30</v>
      </c>
    </row>
    <row r="1785" spans="1:13" x14ac:dyDescent="0.25">
      <c r="A1785" s="1" t="s">
        <v>2916</v>
      </c>
      <c r="B1785" s="1" t="s">
        <v>88</v>
      </c>
      <c r="C1785" s="1" t="s">
        <v>711</v>
      </c>
      <c r="D1785" s="1" t="s">
        <v>46</v>
      </c>
      <c r="E1785" s="1" t="s">
        <v>26</v>
      </c>
      <c r="F1785" s="1" t="s">
        <v>33</v>
      </c>
      <c r="G1785">
        <v>356660</v>
      </c>
      <c r="H1785" s="1" t="s">
        <v>1585</v>
      </c>
      <c r="I1785" s="2"/>
      <c r="L1785" s="1" t="s">
        <v>20</v>
      </c>
      <c r="M1785" s="1" t="s">
        <v>63</v>
      </c>
    </row>
    <row r="1786" spans="1:13" x14ac:dyDescent="0.25">
      <c r="A1786" s="1" t="s">
        <v>2917</v>
      </c>
      <c r="B1786" s="1" t="s">
        <v>80</v>
      </c>
      <c r="C1786" s="1" t="s">
        <v>180</v>
      </c>
      <c r="D1786" s="1" t="s">
        <v>39</v>
      </c>
      <c r="E1786" s="1" t="s">
        <v>51</v>
      </c>
      <c r="F1786" s="1" t="s">
        <v>129</v>
      </c>
      <c r="G1786">
        <v>250852</v>
      </c>
      <c r="H1786" s="1" t="s">
        <v>2150</v>
      </c>
      <c r="I1786" s="2"/>
      <c r="K1786">
        <v>2.8</v>
      </c>
      <c r="L1786" s="1" t="s">
        <v>29</v>
      </c>
      <c r="M1786" s="1" t="s">
        <v>30</v>
      </c>
    </row>
    <row r="1787" spans="1:13" x14ac:dyDescent="0.25">
      <c r="A1787" s="1" t="s">
        <v>2918</v>
      </c>
      <c r="B1787" s="1" t="s">
        <v>109</v>
      </c>
      <c r="C1787" s="1" t="s">
        <v>1125</v>
      </c>
      <c r="D1787" s="1" t="s">
        <v>25</v>
      </c>
      <c r="E1787" s="1" t="s">
        <v>17</v>
      </c>
      <c r="F1787" s="1" t="s">
        <v>40</v>
      </c>
      <c r="G1787">
        <v>398854</v>
      </c>
      <c r="H1787" s="1" t="s">
        <v>1075</v>
      </c>
      <c r="I1787" s="2">
        <v>45679</v>
      </c>
      <c r="J1787">
        <v>125</v>
      </c>
      <c r="K1787">
        <v>5.0999999999999996</v>
      </c>
      <c r="L1787" s="1" t="s">
        <v>20</v>
      </c>
      <c r="M1787" s="1" t="s">
        <v>149</v>
      </c>
    </row>
    <row r="1788" spans="1:13" x14ac:dyDescent="0.25">
      <c r="A1788" s="1" t="s">
        <v>2919</v>
      </c>
      <c r="B1788" s="1" t="s">
        <v>84</v>
      </c>
      <c r="C1788" s="1" t="s">
        <v>426</v>
      </c>
      <c r="D1788" s="1" t="s">
        <v>16</v>
      </c>
      <c r="E1788" s="1" t="s">
        <v>77</v>
      </c>
      <c r="F1788" s="1" t="s">
        <v>33</v>
      </c>
      <c r="G1788">
        <v>300720</v>
      </c>
      <c r="H1788" s="1" t="s">
        <v>2579</v>
      </c>
      <c r="I1788" s="2"/>
      <c r="K1788">
        <v>0.3</v>
      </c>
      <c r="L1788" s="1" t="s">
        <v>96</v>
      </c>
      <c r="M1788" s="1" t="s">
        <v>102</v>
      </c>
    </row>
    <row r="1789" spans="1:13" x14ac:dyDescent="0.25">
      <c r="A1789" s="1" t="s">
        <v>2920</v>
      </c>
      <c r="B1789" s="1" t="s">
        <v>65</v>
      </c>
      <c r="C1789" s="1" t="s">
        <v>521</v>
      </c>
      <c r="D1789" s="1" t="s">
        <v>16</v>
      </c>
      <c r="E1789" s="1" t="s">
        <v>47</v>
      </c>
      <c r="F1789" s="1" t="s">
        <v>129</v>
      </c>
      <c r="G1789">
        <v>89528</v>
      </c>
      <c r="H1789" s="1" t="s">
        <v>214</v>
      </c>
      <c r="I1789" s="2"/>
      <c r="K1789">
        <v>2.2999999999999998</v>
      </c>
      <c r="L1789" s="1" t="s">
        <v>20</v>
      </c>
      <c r="M1789" s="1" t="s">
        <v>35</v>
      </c>
    </row>
    <row r="1790" spans="1:13" x14ac:dyDescent="0.25">
      <c r="A1790" s="1" t="s">
        <v>2921</v>
      </c>
      <c r="B1790" s="1" t="s">
        <v>104</v>
      </c>
      <c r="C1790" s="1" t="s">
        <v>439</v>
      </c>
      <c r="D1790" s="1" t="s">
        <v>16</v>
      </c>
      <c r="E1790" s="1" t="s">
        <v>77</v>
      </c>
      <c r="F1790" s="1" t="s">
        <v>53</v>
      </c>
      <c r="G1790">
        <v>267344</v>
      </c>
      <c r="H1790" s="1" t="s">
        <v>1365</v>
      </c>
      <c r="I1790" s="2"/>
      <c r="K1790">
        <v>12.1</v>
      </c>
      <c r="L1790" s="1" t="s">
        <v>29</v>
      </c>
      <c r="M1790" s="1" t="s">
        <v>63</v>
      </c>
    </row>
    <row r="1791" spans="1:13" x14ac:dyDescent="0.25">
      <c r="A1791" s="1" t="s">
        <v>2922</v>
      </c>
      <c r="B1791" s="1" t="s">
        <v>127</v>
      </c>
      <c r="C1791" s="1" t="s">
        <v>76</v>
      </c>
      <c r="D1791" s="1" t="s">
        <v>39</v>
      </c>
      <c r="E1791" s="1" t="s">
        <v>72</v>
      </c>
      <c r="F1791" s="1" t="s">
        <v>53</v>
      </c>
      <c r="G1791">
        <v>228881</v>
      </c>
      <c r="H1791" s="1" t="s">
        <v>628</v>
      </c>
      <c r="I1791" s="2"/>
      <c r="L1791" s="1" t="s">
        <v>96</v>
      </c>
      <c r="M1791" s="1" t="s">
        <v>107</v>
      </c>
    </row>
    <row r="1792" spans="1:13" x14ac:dyDescent="0.25">
      <c r="A1792" s="1" t="s">
        <v>2923</v>
      </c>
      <c r="B1792" s="1" t="s">
        <v>44</v>
      </c>
      <c r="C1792" s="1" t="s">
        <v>622</v>
      </c>
      <c r="D1792" s="1" t="s">
        <v>39</v>
      </c>
      <c r="E1792" s="1" t="s">
        <v>61</v>
      </c>
      <c r="F1792" s="1" t="s">
        <v>18</v>
      </c>
      <c r="G1792">
        <v>453089</v>
      </c>
      <c r="H1792" s="1" t="s">
        <v>1550</v>
      </c>
      <c r="I1792" s="2">
        <v>45450</v>
      </c>
      <c r="J1792">
        <v>28</v>
      </c>
      <c r="K1792">
        <v>11.7</v>
      </c>
      <c r="L1792" s="1" t="s">
        <v>49</v>
      </c>
      <c r="M1792" s="1" t="s">
        <v>107</v>
      </c>
    </row>
    <row r="1793" spans="1:13" x14ac:dyDescent="0.25">
      <c r="A1793" s="1" t="s">
        <v>2924</v>
      </c>
      <c r="B1793" s="1" t="s">
        <v>88</v>
      </c>
      <c r="C1793" s="1" t="s">
        <v>928</v>
      </c>
      <c r="D1793" s="1" t="s">
        <v>16</v>
      </c>
      <c r="E1793" s="1" t="s">
        <v>100</v>
      </c>
      <c r="F1793" s="1" t="s">
        <v>18</v>
      </c>
      <c r="G1793">
        <v>184299</v>
      </c>
      <c r="H1793" s="1" t="s">
        <v>839</v>
      </c>
      <c r="I1793" s="2">
        <v>45279</v>
      </c>
      <c r="J1793">
        <v>57</v>
      </c>
      <c r="K1793">
        <v>1.2</v>
      </c>
      <c r="L1793" s="1" t="s">
        <v>49</v>
      </c>
      <c r="M1793" s="1" t="s">
        <v>21</v>
      </c>
    </row>
    <row r="1794" spans="1:13" x14ac:dyDescent="0.25">
      <c r="A1794" s="1" t="s">
        <v>2925</v>
      </c>
      <c r="B1794" s="1" t="s">
        <v>59</v>
      </c>
      <c r="C1794" s="1" t="s">
        <v>1470</v>
      </c>
      <c r="D1794" s="1" t="s">
        <v>90</v>
      </c>
      <c r="E1794" s="1" t="s">
        <v>47</v>
      </c>
      <c r="F1794" s="1" t="s">
        <v>33</v>
      </c>
      <c r="G1794">
        <v>400782</v>
      </c>
      <c r="H1794" s="1" t="s">
        <v>2667</v>
      </c>
      <c r="I1794" s="2"/>
      <c r="K1794">
        <v>2.7</v>
      </c>
      <c r="L1794" s="1" t="s">
        <v>20</v>
      </c>
      <c r="M1794" s="1" t="s">
        <v>149</v>
      </c>
    </row>
    <row r="1795" spans="1:13" x14ac:dyDescent="0.25">
      <c r="A1795" s="1" t="s">
        <v>2926</v>
      </c>
      <c r="B1795" s="1" t="s">
        <v>75</v>
      </c>
      <c r="C1795" s="1" t="s">
        <v>258</v>
      </c>
      <c r="D1795" s="1" t="s">
        <v>16</v>
      </c>
      <c r="E1795" s="1" t="s">
        <v>94</v>
      </c>
      <c r="F1795" s="1" t="s">
        <v>53</v>
      </c>
      <c r="G1795">
        <v>434790</v>
      </c>
      <c r="H1795" s="1" t="s">
        <v>2840</v>
      </c>
      <c r="I1795" s="2"/>
      <c r="K1795">
        <v>14.8</v>
      </c>
      <c r="L1795" s="1" t="s">
        <v>20</v>
      </c>
      <c r="M1795" s="1" t="s">
        <v>63</v>
      </c>
    </row>
    <row r="1796" spans="1:13" x14ac:dyDescent="0.25">
      <c r="A1796" s="1" t="s">
        <v>2927</v>
      </c>
      <c r="B1796" s="1" t="s">
        <v>44</v>
      </c>
      <c r="C1796" s="1" t="s">
        <v>917</v>
      </c>
      <c r="D1796" s="1" t="s">
        <v>46</v>
      </c>
      <c r="E1796" s="1" t="s">
        <v>100</v>
      </c>
      <c r="F1796" s="1" t="s">
        <v>53</v>
      </c>
      <c r="G1796">
        <v>88689</v>
      </c>
      <c r="H1796" s="1" t="s">
        <v>2928</v>
      </c>
      <c r="I1796" s="2"/>
      <c r="L1796" s="1" t="s">
        <v>29</v>
      </c>
      <c r="M1796" s="1" t="s">
        <v>63</v>
      </c>
    </row>
    <row r="1797" spans="1:13" x14ac:dyDescent="0.25">
      <c r="A1797" s="1" t="s">
        <v>2929</v>
      </c>
      <c r="B1797" s="1" t="s">
        <v>127</v>
      </c>
      <c r="C1797" s="1" t="s">
        <v>449</v>
      </c>
      <c r="D1797" s="1" t="s">
        <v>67</v>
      </c>
      <c r="E1797" s="1" t="s">
        <v>47</v>
      </c>
      <c r="F1797" s="1" t="s">
        <v>53</v>
      </c>
      <c r="G1797">
        <v>360717</v>
      </c>
      <c r="H1797" s="1" t="s">
        <v>2930</v>
      </c>
      <c r="I1797" s="2"/>
      <c r="K1797">
        <v>13.9</v>
      </c>
      <c r="L1797" s="1" t="s">
        <v>96</v>
      </c>
      <c r="M1797" s="1" t="s">
        <v>102</v>
      </c>
    </row>
    <row r="1798" spans="1:13" x14ac:dyDescent="0.25">
      <c r="A1798" s="1" t="s">
        <v>2931</v>
      </c>
      <c r="B1798" s="1" t="s">
        <v>84</v>
      </c>
      <c r="C1798" s="1" t="s">
        <v>372</v>
      </c>
      <c r="D1798" s="1" t="s">
        <v>46</v>
      </c>
      <c r="E1798" s="1" t="s">
        <v>26</v>
      </c>
      <c r="F1798" s="1" t="s">
        <v>27</v>
      </c>
      <c r="G1798">
        <v>401025</v>
      </c>
      <c r="H1798" s="1" t="s">
        <v>1832</v>
      </c>
      <c r="I1798" s="2"/>
      <c r="K1798">
        <v>0</v>
      </c>
      <c r="L1798" s="1" t="s">
        <v>49</v>
      </c>
      <c r="M1798" s="1" t="s">
        <v>102</v>
      </c>
    </row>
    <row r="1799" spans="1:13" x14ac:dyDescent="0.25">
      <c r="A1799" s="1" t="s">
        <v>2932</v>
      </c>
      <c r="B1799" s="1" t="s">
        <v>14</v>
      </c>
      <c r="C1799" s="1" t="s">
        <v>946</v>
      </c>
      <c r="D1799" s="1" t="s">
        <v>67</v>
      </c>
      <c r="E1799" s="1" t="s">
        <v>77</v>
      </c>
      <c r="F1799" s="1" t="s">
        <v>53</v>
      </c>
      <c r="G1799">
        <v>377223</v>
      </c>
      <c r="H1799" s="1" t="s">
        <v>1188</v>
      </c>
      <c r="I1799" s="2"/>
      <c r="K1799">
        <v>9.6999999999999993</v>
      </c>
      <c r="L1799" s="1" t="s">
        <v>29</v>
      </c>
      <c r="M1799" s="1" t="s">
        <v>30</v>
      </c>
    </row>
    <row r="1800" spans="1:13" x14ac:dyDescent="0.25">
      <c r="A1800" s="1" t="s">
        <v>2933</v>
      </c>
      <c r="B1800" s="1" t="s">
        <v>14</v>
      </c>
      <c r="C1800" s="1" t="s">
        <v>809</v>
      </c>
      <c r="D1800" s="1" t="s">
        <v>46</v>
      </c>
      <c r="E1800" s="1" t="s">
        <v>26</v>
      </c>
      <c r="F1800" s="1" t="s">
        <v>33</v>
      </c>
      <c r="G1800">
        <v>189422</v>
      </c>
      <c r="H1800" s="1" t="s">
        <v>2934</v>
      </c>
      <c r="I1800" s="2"/>
      <c r="K1800">
        <v>9.5</v>
      </c>
      <c r="L1800" s="1" t="s">
        <v>96</v>
      </c>
      <c r="M1800" s="1" t="s">
        <v>102</v>
      </c>
    </row>
    <row r="1801" spans="1:13" x14ac:dyDescent="0.25">
      <c r="A1801" s="1" t="s">
        <v>2935</v>
      </c>
      <c r="B1801" s="1" t="s">
        <v>98</v>
      </c>
      <c r="C1801" s="1" t="s">
        <v>361</v>
      </c>
      <c r="D1801" s="1" t="s">
        <v>39</v>
      </c>
      <c r="E1801" s="1" t="s">
        <v>47</v>
      </c>
      <c r="F1801" s="1" t="s">
        <v>40</v>
      </c>
      <c r="G1801">
        <v>453391</v>
      </c>
      <c r="H1801" s="1" t="s">
        <v>730</v>
      </c>
      <c r="I1801" s="2">
        <v>45151</v>
      </c>
      <c r="J1801">
        <v>140</v>
      </c>
      <c r="K1801">
        <v>19.3</v>
      </c>
      <c r="L1801" s="1" t="s">
        <v>29</v>
      </c>
      <c r="M1801" s="1" t="s">
        <v>35</v>
      </c>
    </row>
    <row r="1802" spans="1:13" x14ac:dyDescent="0.25">
      <c r="A1802" s="1" t="s">
        <v>2936</v>
      </c>
      <c r="B1802" s="1" t="s">
        <v>104</v>
      </c>
      <c r="C1802" s="1" t="s">
        <v>650</v>
      </c>
      <c r="D1802" s="1" t="s">
        <v>90</v>
      </c>
      <c r="E1802" s="1" t="s">
        <v>94</v>
      </c>
      <c r="F1802" s="1" t="s">
        <v>40</v>
      </c>
      <c r="G1802">
        <v>308194</v>
      </c>
      <c r="H1802" s="1" t="s">
        <v>196</v>
      </c>
      <c r="I1802" s="2">
        <v>45424</v>
      </c>
      <c r="J1802">
        <v>159</v>
      </c>
      <c r="K1802">
        <v>0.5</v>
      </c>
      <c r="L1802" s="1" t="s">
        <v>49</v>
      </c>
      <c r="M1802" s="1" t="s">
        <v>21</v>
      </c>
    </row>
    <row r="1803" spans="1:13" x14ac:dyDescent="0.25">
      <c r="A1803" s="1" t="s">
        <v>2937</v>
      </c>
      <c r="B1803" s="1" t="s">
        <v>104</v>
      </c>
      <c r="C1803" s="1" t="s">
        <v>76</v>
      </c>
      <c r="D1803" s="1" t="s">
        <v>25</v>
      </c>
      <c r="E1803" s="1" t="s">
        <v>94</v>
      </c>
      <c r="F1803" s="1" t="s">
        <v>40</v>
      </c>
      <c r="G1803">
        <v>314108</v>
      </c>
      <c r="H1803" s="1" t="s">
        <v>545</v>
      </c>
      <c r="I1803" s="2">
        <v>45106</v>
      </c>
      <c r="J1803">
        <v>142</v>
      </c>
      <c r="K1803">
        <v>19.899999999999999</v>
      </c>
      <c r="L1803" s="1" t="s">
        <v>96</v>
      </c>
      <c r="M1803" s="1" t="s">
        <v>35</v>
      </c>
    </row>
    <row r="1804" spans="1:13" x14ac:dyDescent="0.25">
      <c r="A1804" s="1" t="s">
        <v>2938</v>
      </c>
      <c r="B1804" s="1" t="s">
        <v>51</v>
      </c>
      <c r="C1804" s="1" t="s">
        <v>1050</v>
      </c>
      <c r="D1804" s="1" t="s">
        <v>39</v>
      </c>
      <c r="E1804" s="1" t="s">
        <v>17</v>
      </c>
      <c r="F1804" s="1" t="s">
        <v>40</v>
      </c>
      <c r="G1804">
        <v>475288</v>
      </c>
      <c r="H1804" s="1" t="s">
        <v>166</v>
      </c>
      <c r="I1804" s="2">
        <v>45160</v>
      </c>
      <c r="J1804">
        <v>143</v>
      </c>
      <c r="K1804">
        <v>23.1</v>
      </c>
      <c r="L1804" s="1" t="s">
        <v>49</v>
      </c>
      <c r="M1804" s="1" t="s">
        <v>30</v>
      </c>
    </row>
    <row r="1805" spans="1:13" x14ac:dyDescent="0.25">
      <c r="A1805" s="1" t="s">
        <v>2939</v>
      </c>
      <c r="B1805" s="1" t="s">
        <v>75</v>
      </c>
      <c r="C1805" s="1" t="s">
        <v>478</v>
      </c>
      <c r="D1805" s="1" t="s">
        <v>25</v>
      </c>
      <c r="E1805" s="1" t="s">
        <v>17</v>
      </c>
      <c r="F1805" s="1" t="s">
        <v>18</v>
      </c>
      <c r="G1805">
        <v>231386</v>
      </c>
      <c r="H1805" s="1" t="s">
        <v>1552</v>
      </c>
      <c r="I1805" s="2">
        <v>45823</v>
      </c>
      <c r="J1805">
        <v>130</v>
      </c>
      <c r="K1805">
        <v>3.8</v>
      </c>
      <c r="L1805" s="1" t="s">
        <v>49</v>
      </c>
      <c r="M1805" s="1" t="s">
        <v>63</v>
      </c>
    </row>
    <row r="1806" spans="1:13" x14ac:dyDescent="0.25">
      <c r="A1806" s="1" t="s">
        <v>2940</v>
      </c>
      <c r="B1806" s="1" t="s">
        <v>44</v>
      </c>
      <c r="C1806" s="1" t="s">
        <v>1106</v>
      </c>
      <c r="D1806" s="1" t="s">
        <v>46</v>
      </c>
      <c r="E1806" s="1" t="s">
        <v>61</v>
      </c>
      <c r="F1806" s="1" t="s">
        <v>40</v>
      </c>
      <c r="G1806">
        <v>125897</v>
      </c>
      <c r="H1806" s="1" t="s">
        <v>827</v>
      </c>
      <c r="I1806" s="2">
        <v>45391</v>
      </c>
      <c r="J1806">
        <v>170</v>
      </c>
      <c r="K1806">
        <v>14.7</v>
      </c>
      <c r="L1806" s="1" t="s">
        <v>49</v>
      </c>
      <c r="M1806" s="1" t="s">
        <v>21</v>
      </c>
    </row>
    <row r="1807" spans="1:13" x14ac:dyDescent="0.25">
      <c r="A1807" s="1" t="s">
        <v>2941</v>
      </c>
      <c r="B1807" s="1" t="s">
        <v>98</v>
      </c>
      <c r="C1807" s="1" t="s">
        <v>71</v>
      </c>
      <c r="D1807" s="1" t="s">
        <v>16</v>
      </c>
      <c r="E1807" s="1" t="s">
        <v>17</v>
      </c>
      <c r="F1807" s="1" t="s">
        <v>53</v>
      </c>
      <c r="G1807">
        <v>211947</v>
      </c>
      <c r="H1807" s="1" t="s">
        <v>519</v>
      </c>
      <c r="I1807" s="2"/>
      <c r="K1807">
        <v>11.3</v>
      </c>
      <c r="L1807" s="1" t="s">
        <v>20</v>
      </c>
      <c r="M1807" s="1" t="s">
        <v>30</v>
      </c>
    </row>
    <row r="1808" spans="1:13" x14ac:dyDescent="0.25">
      <c r="A1808" s="1" t="s">
        <v>2942</v>
      </c>
      <c r="B1808" s="1" t="s">
        <v>84</v>
      </c>
      <c r="C1808" s="1" t="s">
        <v>220</v>
      </c>
      <c r="D1808" s="1" t="s">
        <v>16</v>
      </c>
      <c r="E1808" s="1" t="s">
        <v>94</v>
      </c>
      <c r="F1808" s="1" t="s">
        <v>40</v>
      </c>
      <c r="G1808">
        <v>421072</v>
      </c>
      <c r="H1808" s="1" t="s">
        <v>1475</v>
      </c>
      <c r="I1808" s="2">
        <v>45661</v>
      </c>
      <c r="J1808">
        <v>180</v>
      </c>
      <c r="K1808">
        <v>7</v>
      </c>
      <c r="L1808" s="1" t="s">
        <v>20</v>
      </c>
      <c r="M1808" s="1" t="s">
        <v>149</v>
      </c>
    </row>
    <row r="1809" spans="1:13" x14ac:dyDescent="0.25">
      <c r="A1809" s="1" t="s">
        <v>2943</v>
      </c>
      <c r="B1809" s="1" t="s">
        <v>37</v>
      </c>
      <c r="C1809" s="1" t="s">
        <v>720</v>
      </c>
      <c r="D1809" s="1" t="s">
        <v>39</v>
      </c>
      <c r="E1809" s="1" t="s">
        <v>94</v>
      </c>
      <c r="F1809" s="1" t="s">
        <v>129</v>
      </c>
      <c r="G1809">
        <v>283582</v>
      </c>
      <c r="H1809" s="1" t="s">
        <v>1357</v>
      </c>
      <c r="I1809" s="2"/>
      <c r="K1809">
        <v>2.2000000000000002</v>
      </c>
      <c r="L1809" s="1" t="s">
        <v>49</v>
      </c>
      <c r="M1809" s="1" t="s">
        <v>21</v>
      </c>
    </row>
    <row r="1810" spans="1:13" x14ac:dyDescent="0.25">
      <c r="A1810" s="1" t="s">
        <v>2944</v>
      </c>
      <c r="B1810" s="1" t="s">
        <v>127</v>
      </c>
      <c r="C1810" s="1" t="s">
        <v>1299</v>
      </c>
      <c r="D1810" s="1" t="s">
        <v>67</v>
      </c>
      <c r="E1810" s="1" t="s">
        <v>17</v>
      </c>
      <c r="F1810" s="1" t="s">
        <v>129</v>
      </c>
      <c r="G1810">
        <v>227842</v>
      </c>
      <c r="H1810" s="1" t="s">
        <v>2945</v>
      </c>
      <c r="I1810" s="2"/>
      <c r="K1810">
        <v>8.3000000000000007</v>
      </c>
      <c r="L1810" s="1" t="s">
        <v>20</v>
      </c>
      <c r="M1810" s="1" t="s">
        <v>35</v>
      </c>
    </row>
    <row r="1811" spans="1:13" x14ac:dyDescent="0.25">
      <c r="A1811" s="1" t="s">
        <v>2946</v>
      </c>
      <c r="B1811" s="1" t="s">
        <v>23</v>
      </c>
      <c r="C1811" s="1" t="s">
        <v>250</v>
      </c>
      <c r="D1811" s="1" t="s">
        <v>90</v>
      </c>
      <c r="E1811" s="1" t="s">
        <v>61</v>
      </c>
      <c r="F1811" s="1" t="s">
        <v>40</v>
      </c>
      <c r="G1811">
        <v>257785</v>
      </c>
      <c r="H1811" s="1" t="s">
        <v>2947</v>
      </c>
      <c r="I1811" s="2">
        <v>45711</v>
      </c>
      <c r="J1811">
        <v>114</v>
      </c>
      <c r="K1811">
        <v>4.5999999999999996</v>
      </c>
      <c r="L1811" s="1" t="s">
        <v>96</v>
      </c>
      <c r="M1811" s="1" t="s">
        <v>42</v>
      </c>
    </row>
    <row r="1812" spans="1:13" x14ac:dyDescent="0.25">
      <c r="A1812" s="1" t="s">
        <v>2948</v>
      </c>
      <c r="B1812" s="1" t="s">
        <v>65</v>
      </c>
      <c r="C1812" s="1" t="s">
        <v>244</v>
      </c>
      <c r="D1812" s="1" t="s">
        <v>25</v>
      </c>
      <c r="E1812" s="1" t="s">
        <v>26</v>
      </c>
      <c r="F1812" s="1" t="s">
        <v>53</v>
      </c>
      <c r="G1812">
        <v>366520</v>
      </c>
      <c r="H1812" s="1" t="s">
        <v>930</v>
      </c>
      <c r="I1812" s="2"/>
      <c r="K1812">
        <v>14.1</v>
      </c>
      <c r="L1812" s="1" t="s">
        <v>96</v>
      </c>
      <c r="M1812" s="1" t="s">
        <v>42</v>
      </c>
    </row>
    <row r="1813" spans="1:13" x14ac:dyDescent="0.25">
      <c r="A1813" s="1" t="s">
        <v>2949</v>
      </c>
      <c r="B1813" s="1" t="s">
        <v>127</v>
      </c>
      <c r="C1813" s="1" t="s">
        <v>295</v>
      </c>
      <c r="D1813" s="1" t="s">
        <v>67</v>
      </c>
      <c r="E1813" s="1" t="s">
        <v>47</v>
      </c>
      <c r="F1813" s="1" t="s">
        <v>53</v>
      </c>
      <c r="G1813">
        <v>179473</v>
      </c>
      <c r="H1813" s="1" t="s">
        <v>2950</v>
      </c>
      <c r="I1813" s="2"/>
      <c r="K1813">
        <v>10.3</v>
      </c>
      <c r="L1813" s="1" t="s">
        <v>20</v>
      </c>
      <c r="M1813" s="1" t="s">
        <v>69</v>
      </c>
    </row>
    <row r="1814" spans="1:13" x14ac:dyDescent="0.25">
      <c r="A1814" s="1" t="s">
        <v>2951</v>
      </c>
      <c r="B1814" s="1" t="s">
        <v>84</v>
      </c>
      <c r="C1814" s="1" t="s">
        <v>165</v>
      </c>
      <c r="D1814" s="1" t="s">
        <v>67</v>
      </c>
      <c r="E1814" s="1" t="s">
        <v>77</v>
      </c>
      <c r="F1814" s="1" t="s">
        <v>40</v>
      </c>
      <c r="G1814">
        <v>433141</v>
      </c>
      <c r="H1814" s="1" t="s">
        <v>491</v>
      </c>
      <c r="I1814" s="2">
        <v>45279</v>
      </c>
      <c r="J1814">
        <v>51</v>
      </c>
      <c r="K1814">
        <v>10.7</v>
      </c>
      <c r="L1814" s="1" t="s">
        <v>96</v>
      </c>
      <c r="M1814" s="1" t="s">
        <v>21</v>
      </c>
    </row>
    <row r="1815" spans="1:13" x14ac:dyDescent="0.25">
      <c r="A1815" s="1" t="s">
        <v>2952</v>
      </c>
      <c r="B1815" s="1" t="s">
        <v>14</v>
      </c>
      <c r="C1815" s="1" t="s">
        <v>300</v>
      </c>
      <c r="D1815" s="1" t="s">
        <v>67</v>
      </c>
      <c r="E1815" s="1" t="s">
        <v>72</v>
      </c>
      <c r="F1815" s="1" t="s">
        <v>129</v>
      </c>
      <c r="G1815">
        <v>286656</v>
      </c>
      <c r="H1815" s="1" t="s">
        <v>1052</v>
      </c>
      <c r="I1815" s="2"/>
      <c r="K1815">
        <v>0.3</v>
      </c>
      <c r="L1815" s="1" t="s">
        <v>49</v>
      </c>
      <c r="M1815" s="1" t="s">
        <v>42</v>
      </c>
    </row>
    <row r="1816" spans="1:13" x14ac:dyDescent="0.25">
      <c r="A1816" s="1" t="s">
        <v>2953</v>
      </c>
      <c r="B1816" s="1" t="s">
        <v>84</v>
      </c>
      <c r="C1816" s="1" t="s">
        <v>640</v>
      </c>
      <c r="D1816" s="1" t="s">
        <v>25</v>
      </c>
      <c r="E1816" s="1" t="s">
        <v>47</v>
      </c>
      <c r="F1816" s="1" t="s">
        <v>40</v>
      </c>
      <c r="G1816">
        <v>430962</v>
      </c>
      <c r="H1816" s="1" t="s">
        <v>2212</v>
      </c>
      <c r="I1816" s="2">
        <v>45893</v>
      </c>
      <c r="J1816">
        <v>150</v>
      </c>
      <c r="K1816">
        <v>9.1999999999999993</v>
      </c>
      <c r="L1816" s="1" t="s">
        <v>96</v>
      </c>
      <c r="M1816" s="1" t="s">
        <v>63</v>
      </c>
    </row>
    <row r="1817" spans="1:13" x14ac:dyDescent="0.25">
      <c r="A1817" s="1" t="s">
        <v>2954</v>
      </c>
      <c r="B1817" s="1" t="s">
        <v>80</v>
      </c>
      <c r="C1817" s="1" t="s">
        <v>946</v>
      </c>
      <c r="D1817" s="1" t="s">
        <v>39</v>
      </c>
      <c r="E1817" s="1" t="s">
        <v>72</v>
      </c>
      <c r="F1817" s="1" t="s">
        <v>18</v>
      </c>
      <c r="G1817">
        <v>302018</v>
      </c>
      <c r="H1817" s="1" t="s">
        <v>1093</v>
      </c>
      <c r="I1817" s="2">
        <v>45155</v>
      </c>
      <c r="J1817">
        <v>68</v>
      </c>
      <c r="L1817" s="1" t="s">
        <v>29</v>
      </c>
      <c r="M1817" s="1" t="s">
        <v>30</v>
      </c>
    </row>
    <row r="1818" spans="1:13" x14ac:dyDescent="0.25">
      <c r="A1818" s="1" t="s">
        <v>2955</v>
      </c>
      <c r="B1818" s="1" t="s">
        <v>88</v>
      </c>
      <c r="C1818" s="1" t="s">
        <v>513</v>
      </c>
      <c r="D1818" s="1" t="s">
        <v>46</v>
      </c>
      <c r="E1818" s="1" t="s">
        <v>26</v>
      </c>
      <c r="F1818" s="1" t="s">
        <v>53</v>
      </c>
      <c r="G1818">
        <v>468228</v>
      </c>
      <c r="H1818" s="1" t="s">
        <v>1407</v>
      </c>
      <c r="I1818" s="2"/>
      <c r="L1818" s="1" t="s">
        <v>96</v>
      </c>
      <c r="M1818" s="1" t="s">
        <v>107</v>
      </c>
    </row>
    <row r="1819" spans="1:13" x14ac:dyDescent="0.25">
      <c r="A1819" s="1" t="s">
        <v>2956</v>
      </c>
      <c r="B1819" s="1" t="s">
        <v>59</v>
      </c>
      <c r="C1819" s="1" t="s">
        <v>1566</v>
      </c>
      <c r="D1819" s="1" t="s">
        <v>39</v>
      </c>
      <c r="E1819" s="1" t="s">
        <v>94</v>
      </c>
      <c r="F1819" s="1" t="s">
        <v>33</v>
      </c>
      <c r="G1819">
        <v>326982</v>
      </c>
      <c r="H1819" s="1" t="s">
        <v>461</v>
      </c>
      <c r="I1819" s="2"/>
      <c r="K1819">
        <v>2.1</v>
      </c>
      <c r="L1819" s="1" t="s">
        <v>29</v>
      </c>
      <c r="M1819" s="1" t="s">
        <v>63</v>
      </c>
    </row>
    <row r="1820" spans="1:13" x14ac:dyDescent="0.25">
      <c r="A1820" s="1" t="s">
        <v>2957</v>
      </c>
      <c r="B1820" s="1" t="s">
        <v>104</v>
      </c>
      <c r="C1820" s="1" t="s">
        <v>558</v>
      </c>
      <c r="D1820" s="1" t="s">
        <v>90</v>
      </c>
      <c r="E1820" s="1" t="s">
        <v>17</v>
      </c>
      <c r="F1820" s="1" t="s">
        <v>129</v>
      </c>
      <c r="G1820">
        <v>50712</v>
      </c>
      <c r="H1820" s="1" t="s">
        <v>893</v>
      </c>
      <c r="I1820" s="2"/>
      <c r="K1820">
        <v>0.7</v>
      </c>
      <c r="L1820" s="1" t="s">
        <v>20</v>
      </c>
      <c r="M1820" s="1" t="s">
        <v>69</v>
      </c>
    </row>
    <row r="1821" spans="1:13" x14ac:dyDescent="0.25">
      <c r="A1821" s="1" t="s">
        <v>2958</v>
      </c>
      <c r="B1821" s="1" t="s">
        <v>88</v>
      </c>
      <c r="C1821" s="1" t="s">
        <v>449</v>
      </c>
      <c r="D1821" s="1" t="s">
        <v>90</v>
      </c>
      <c r="E1821" s="1" t="s">
        <v>72</v>
      </c>
      <c r="F1821" s="1" t="s">
        <v>40</v>
      </c>
      <c r="G1821">
        <v>315544</v>
      </c>
      <c r="H1821" s="1" t="s">
        <v>738</v>
      </c>
      <c r="I1821" s="2">
        <v>45561</v>
      </c>
      <c r="J1821">
        <v>173</v>
      </c>
      <c r="K1821">
        <v>1.3</v>
      </c>
      <c r="L1821" s="1" t="s">
        <v>29</v>
      </c>
      <c r="M1821" s="1" t="s">
        <v>107</v>
      </c>
    </row>
    <row r="1822" spans="1:13" x14ac:dyDescent="0.25">
      <c r="A1822" s="1" t="s">
        <v>2959</v>
      </c>
      <c r="B1822" s="1" t="s">
        <v>23</v>
      </c>
      <c r="C1822" s="1" t="s">
        <v>474</v>
      </c>
      <c r="D1822" s="1" t="s">
        <v>39</v>
      </c>
      <c r="E1822" s="1" t="s">
        <v>61</v>
      </c>
      <c r="F1822" s="1" t="s">
        <v>33</v>
      </c>
      <c r="G1822">
        <v>133830</v>
      </c>
      <c r="H1822" s="1" t="s">
        <v>1666</v>
      </c>
      <c r="I1822" s="2"/>
      <c r="L1822" s="1" t="s">
        <v>96</v>
      </c>
      <c r="M1822" s="1" t="s">
        <v>63</v>
      </c>
    </row>
    <row r="1823" spans="1:13" x14ac:dyDescent="0.25">
      <c r="A1823" s="1" t="s">
        <v>2960</v>
      </c>
      <c r="B1823" s="1" t="s">
        <v>104</v>
      </c>
      <c r="C1823" s="1" t="s">
        <v>436</v>
      </c>
      <c r="D1823" s="1" t="s">
        <v>67</v>
      </c>
      <c r="E1823" s="1" t="s">
        <v>17</v>
      </c>
      <c r="F1823" s="1" t="s">
        <v>33</v>
      </c>
      <c r="G1823">
        <v>273595</v>
      </c>
      <c r="H1823" s="1" t="s">
        <v>1779</v>
      </c>
      <c r="I1823" s="2"/>
      <c r="K1823">
        <v>5.0999999999999996</v>
      </c>
      <c r="L1823" s="1" t="s">
        <v>49</v>
      </c>
      <c r="M1823" s="1" t="s">
        <v>42</v>
      </c>
    </row>
    <row r="1824" spans="1:13" x14ac:dyDescent="0.25">
      <c r="A1824" s="1" t="s">
        <v>2961</v>
      </c>
      <c r="B1824" s="1" t="s">
        <v>51</v>
      </c>
      <c r="C1824" s="1" t="s">
        <v>640</v>
      </c>
      <c r="D1824" s="1" t="s">
        <v>67</v>
      </c>
      <c r="E1824" s="1" t="s">
        <v>61</v>
      </c>
      <c r="F1824" s="1" t="s">
        <v>53</v>
      </c>
      <c r="G1824">
        <v>415324</v>
      </c>
      <c r="H1824" s="1" t="s">
        <v>2219</v>
      </c>
      <c r="I1824" s="2"/>
      <c r="K1824">
        <v>12.5</v>
      </c>
      <c r="L1824" s="1" t="s">
        <v>29</v>
      </c>
      <c r="M1824" s="1" t="s">
        <v>107</v>
      </c>
    </row>
    <row r="1825" spans="1:13" x14ac:dyDescent="0.25">
      <c r="A1825" s="1" t="s">
        <v>2962</v>
      </c>
      <c r="B1825" s="1" t="s">
        <v>80</v>
      </c>
      <c r="C1825" s="1" t="s">
        <v>849</v>
      </c>
      <c r="D1825" s="1" t="s">
        <v>39</v>
      </c>
      <c r="E1825" s="1" t="s">
        <v>94</v>
      </c>
      <c r="F1825" s="1" t="s">
        <v>53</v>
      </c>
      <c r="G1825">
        <v>88245</v>
      </c>
      <c r="H1825" s="1" t="s">
        <v>1630</v>
      </c>
      <c r="I1825" s="2"/>
      <c r="K1825">
        <v>10.9</v>
      </c>
      <c r="L1825" s="1" t="s">
        <v>49</v>
      </c>
      <c r="M1825" s="1" t="s">
        <v>149</v>
      </c>
    </row>
    <row r="1826" spans="1:13" x14ac:dyDescent="0.25">
      <c r="A1826" s="1" t="s">
        <v>2963</v>
      </c>
      <c r="B1826" s="1" t="s">
        <v>88</v>
      </c>
      <c r="C1826" s="1" t="s">
        <v>177</v>
      </c>
      <c r="D1826" s="1" t="s">
        <v>39</v>
      </c>
      <c r="E1826" s="1" t="s">
        <v>100</v>
      </c>
      <c r="F1826" s="1" t="s">
        <v>27</v>
      </c>
      <c r="G1826">
        <v>235672</v>
      </c>
      <c r="H1826" s="1" t="s">
        <v>1556</v>
      </c>
      <c r="I1826" s="2"/>
      <c r="L1826" s="1" t="s">
        <v>49</v>
      </c>
      <c r="M1826" s="1" t="s">
        <v>149</v>
      </c>
    </row>
    <row r="1827" spans="1:13" x14ac:dyDescent="0.25">
      <c r="A1827" s="1" t="s">
        <v>2964</v>
      </c>
      <c r="B1827" s="1" t="s">
        <v>98</v>
      </c>
      <c r="C1827" s="1" t="s">
        <v>1178</v>
      </c>
      <c r="D1827" s="1" t="s">
        <v>90</v>
      </c>
      <c r="E1827" s="1" t="s">
        <v>77</v>
      </c>
      <c r="F1827" s="1" t="s">
        <v>53</v>
      </c>
      <c r="G1827">
        <v>184665</v>
      </c>
      <c r="H1827" s="1" t="s">
        <v>1010</v>
      </c>
      <c r="I1827" s="2"/>
      <c r="K1827">
        <v>14.6</v>
      </c>
      <c r="L1827" s="1" t="s">
        <v>29</v>
      </c>
      <c r="M1827" s="1" t="s">
        <v>35</v>
      </c>
    </row>
    <row r="1828" spans="1:13" x14ac:dyDescent="0.25">
      <c r="A1828" s="1" t="s">
        <v>2965</v>
      </c>
      <c r="B1828" s="1" t="s">
        <v>173</v>
      </c>
      <c r="C1828" s="1" t="s">
        <v>56</v>
      </c>
      <c r="D1828" s="1" t="s">
        <v>16</v>
      </c>
      <c r="E1828" s="1" t="s">
        <v>26</v>
      </c>
      <c r="F1828" s="1" t="s">
        <v>33</v>
      </c>
      <c r="G1828">
        <v>52870</v>
      </c>
      <c r="H1828" s="1" t="s">
        <v>2966</v>
      </c>
      <c r="I1828" s="2"/>
      <c r="K1828">
        <v>1.7</v>
      </c>
      <c r="L1828" s="1" t="s">
        <v>29</v>
      </c>
      <c r="M1828" s="1" t="s">
        <v>35</v>
      </c>
    </row>
    <row r="1829" spans="1:13" x14ac:dyDescent="0.25">
      <c r="A1829" s="1" t="s">
        <v>2967</v>
      </c>
      <c r="B1829" s="1" t="s">
        <v>23</v>
      </c>
      <c r="C1829" s="1" t="s">
        <v>483</v>
      </c>
      <c r="D1829" s="1" t="s">
        <v>16</v>
      </c>
      <c r="E1829" s="1" t="s">
        <v>77</v>
      </c>
      <c r="F1829" s="1" t="s">
        <v>33</v>
      </c>
      <c r="G1829">
        <v>121086</v>
      </c>
      <c r="H1829" s="1" t="s">
        <v>930</v>
      </c>
      <c r="I1829" s="2"/>
      <c r="K1829">
        <v>1.7</v>
      </c>
      <c r="L1829" s="1" t="s">
        <v>29</v>
      </c>
      <c r="M1829" s="1" t="s">
        <v>42</v>
      </c>
    </row>
    <row r="1830" spans="1:13" x14ac:dyDescent="0.25">
      <c r="A1830" s="1" t="s">
        <v>2968</v>
      </c>
      <c r="B1830" s="1" t="s">
        <v>104</v>
      </c>
      <c r="C1830" s="1" t="s">
        <v>838</v>
      </c>
      <c r="D1830" s="1" t="s">
        <v>90</v>
      </c>
      <c r="E1830" s="1" t="s">
        <v>77</v>
      </c>
      <c r="F1830" s="1" t="s">
        <v>18</v>
      </c>
      <c r="G1830">
        <v>495536</v>
      </c>
      <c r="H1830" s="1" t="s">
        <v>2287</v>
      </c>
      <c r="I1830" s="2">
        <v>45172</v>
      </c>
      <c r="J1830">
        <v>59</v>
      </c>
      <c r="K1830">
        <v>14.3</v>
      </c>
      <c r="L1830" s="1" t="s">
        <v>29</v>
      </c>
      <c r="M1830" s="1" t="s">
        <v>102</v>
      </c>
    </row>
    <row r="1831" spans="1:13" x14ac:dyDescent="0.25">
      <c r="A1831" s="1" t="s">
        <v>2969</v>
      </c>
      <c r="B1831" s="1" t="s">
        <v>127</v>
      </c>
      <c r="C1831" s="1" t="s">
        <v>767</v>
      </c>
      <c r="D1831" s="1" t="s">
        <v>90</v>
      </c>
      <c r="E1831" s="1" t="s">
        <v>94</v>
      </c>
      <c r="F1831" s="1" t="s">
        <v>40</v>
      </c>
      <c r="G1831">
        <v>378885</v>
      </c>
      <c r="H1831" s="1" t="s">
        <v>413</v>
      </c>
      <c r="I1831" s="2">
        <v>45403</v>
      </c>
      <c r="J1831">
        <v>117</v>
      </c>
      <c r="K1831">
        <v>21.4</v>
      </c>
      <c r="L1831" s="1" t="s">
        <v>49</v>
      </c>
      <c r="M1831" s="1" t="s">
        <v>21</v>
      </c>
    </row>
    <row r="1832" spans="1:13" x14ac:dyDescent="0.25">
      <c r="A1832" s="1" t="s">
        <v>2970</v>
      </c>
      <c r="B1832" s="1" t="s">
        <v>75</v>
      </c>
      <c r="C1832" s="1" t="s">
        <v>865</v>
      </c>
      <c r="D1832" s="1" t="s">
        <v>39</v>
      </c>
      <c r="E1832" s="1" t="s">
        <v>26</v>
      </c>
      <c r="F1832" s="1" t="s">
        <v>27</v>
      </c>
      <c r="G1832">
        <v>50646</v>
      </c>
      <c r="H1832" s="1" t="s">
        <v>1571</v>
      </c>
      <c r="I1832" s="2"/>
      <c r="K1832">
        <v>6.6</v>
      </c>
      <c r="L1832" s="1" t="s">
        <v>96</v>
      </c>
      <c r="M1832" s="1" t="s">
        <v>102</v>
      </c>
    </row>
    <row r="1833" spans="1:13" x14ac:dyDescent="0.25">
      <c r="A1833" s="1" t="s">
        <v>2971</v>
      </c>
      <c r="B1833" s="1" t="s">
        <v>88</v>
      </c>
      <c r="C1833" s="1" t="s">
        <v>99</v>
      </c>
      <c r="D1833" s="1" t="s">
        <v>90</v>
      </c>
      <c r="E1833" s="1" t="s">
        <v>100</v>
      </c>
      <c r="F1833" s="1" t="s">
        <v>40</v>
      </c>
      <c r="G1833">
        <v>219968</v>
      </c>
      <c r="H1833" s="1" t="s">
        <v>921</v>
      </c>
      <c r="I1833" s="2">
        <v>45591</v>
      </c>
      <c r="J1833">
        <v>151</v>
      </c>
      <c r="K1833">
        <v>13.1</v>
      </c>
      <c r="L1833" s="1" t="s">
        <v>49</v>
      </c>
      <c r="M1833" s="1" t="s">
        <v>107</v>
      </c>
    </row>
    <row r="1834" spans="1:13" x14ac:dyDescent="0.25">
      <c r="A1834" s="1" t="s">
        <v>2972</v>
      </c>
      <c r="B1834" s="1" t="s">
        <v>84</v>
      </c>
      <c r="C1834" s="1" t="s">
        <v>52</v>
      </c>
      <c r="D1834" s="1" t="s">
        <v>46</v>
      </c>
      <c r="E1834" s="1" t="s">
        <v>100</v>
      </c>
      <c r="F1834" s="1" t="s">
        <v>18</v>
      </c>
      <c r="G1834">
        <v>264510</v>
      </c>
      <c r="H1834" s="1" t="s">
        <v>1007</v>
      </c>
      <c r="I1834" s="2">
        <v>45482</v>
      </c>
      <c r="J1834">
        <v>107</v>
      </c>
      <c r="K1834">
        <v>14.4</v>
      </c>
      <c r="L1834" s="1" t="s">
        <v>96</v>
      </c>
      <c r="M1834" s="1" t="s">
        <v>69</v>
      </c>
    </row>
    <row r="1835" spans="1:13" x14ac:dyDescent="0.25">
      <c r="A1835" s="1" t="s">
        <v>2973</v>
      </c>
      <c r="B1835" s="1" t="s">
        <v>65</v>
      </c>
      <c r="C1835" s="1" t="s">
        <v>539</v>
      </c>
      <c r="D1835" s="1" t="s">
        <v>16</v>
      </c>
      <c r="E1835" s="1" t="s">
        <v>17</v>
      </c>
      <c r="F1835" s="1" t="s">
        <v>129</v>
      </c>
      <c r="G1835">
        <v>428715</v>
      </c>
      <c r="H1835" s="1" t="s">
        <v>1534</v>
      </c>
      <c r="I1835" s="2"/>
      <c r="K1835">
        <v>13</v>
      </c>
      <c r="L1835" s="1" t="s">
        <v>29</v>
      </c>
      <c r="M1835" s="1" t="s">
        <v>63</v>
      </c>
    </row>
    <row r="1836" spans="1:13" x14ac:dyDescent="0.25">
      <c r="A1836" s="1" t="s">
        <v>2578</v>
      </c>
      <c r="B1836" s="1" t="s">
        <v>98</v>
      </c>
      <c r="C1836" s="1" t="s">
        <v>667</v>
      </c>
      <c r="D1836" s="1" t="s">
        <v>90</v>
      </c>
      <c r="E1836" s="1" t="s">
        <v>100</v>
      </c>
      <c r="F1836" s="1" t="s">
        <v>33</v>
      </c>
      <c r="G1836">
        <v>393124</v>
      </c>
      <c r="H1836" s="1" t="s">
        <v>2579</v>
      </c>
      <c r="I1836" s="2"/>
      <c r="L1836" s="1" t="s">
        <v>49</v>
      </c>
      <c r="M1836" s="1" t="s">
        <v>102</v>
      </c>
    </row>
    <row r="1837" spans="1:13" x14ac:dyDescent="0.25">
      <c r="A1837" s="1" t="s">
        <v>2974</v>
      </c>
      <c r="B1837" s="1" t="s">
        <v>84</v>
      </c>
      <c r="C1837" s="1" t="s">
        <v>401</v>
      </c>
      <c r="D1837" s="1" t="s">
        <v>90</v>
      </c>
      <c r="E1837" s="1" t="s">
        <v>17</v>
      </c>
      <c r="F1837" s="1" t="s">
        <v>40</v>
      </c>
      <c r="G1837">
        <v>143364</v>
      </c>
      <c r="H1837" s="1" t="s">
        <v>632</v>
      </c>
      <c r="I1837" s="2">
        <v>45715</v>
      </c>
      <c r="J1837">
        <v>97</v>
      </c>
      <c r="K1837">
        <v>13.5</v>
      </c>
      <c r="L1837" s="1" t="s">
        <v>96</v>
      </c>
      <c r="M1837" s="1" t="s">
        <v>42</v>
      </c>
    </row>
    <row r="1838" spans="1:13" x14ac:dyDescent="0.25">
      <c r="A1838" s="1" t="s">
        <v>2975</v>
      </c>
      <c r="B1838" s="1" t="s">
        <v>80</v>
      </c>
      <c r="C1838" s="1" t="s">
        <v>987</v>
      </c>
      <c r="D1838" s="1" t="s">
        <v>39</v>
      </c>
      <c r="E1838" s="1" t="s">
        <v>47</v>
      </c>
      <c r="F1838" s="1" t="s">
        <v>129</v>
      </c>
      <c r="G1838">
        <v>425511</v>
      </c>
      <c r="H1838" s="1" t="s">
        <v>839</v>
      </c>
      <c r="I1838" s="2"/>
      <c r="L1838" s="1" t="s">
        <v>29</v>
      </c>
      <c r="M1838" s="1" t="s">
        <v>21</v>
      </c>
    </row>
    <row r="1839" spans="1:13" x14ac:dyDescent="0.25">
      <c r="A1839" s="1" t="s">
        <v>2976</v>
      </c>
      <c r="B1839" s="1" t="s">
        <v>14</v>
      </c>
      <c r="C1839" s="1" t="s">
        <v>162</v>
      </c>
      <c r="D1839" s="1" t="s">
        <v>16</v>
      </c>
      <c r="E1839" s="1" t="s">
        <v>94</v>
      </c>
      <c r="F1839" s="1" t="s">
        <v>33</v>
      </c>
      <c r="G1839">
        <v>368659</v>
      </c>
      <c r="H1839" s="1" t="s">
        <v>1796</v>
      </c>
      <c r="I1839" s="2"/>
      <c r="K1839">
        <v>4.8</v>
      </c>
      <c r="L1839" s="1" t="s">
        <v>29</v>
      </c>
      <c r="M1839" s="1" t="s">
        <v>30</v>
      </c>
    </row>
    <row r="1840" spans="1:13" x14ac:dyDescent="0.25">
      <c r="A1840" s="1" t="s">
        <v>2977</v>
      </c>
      <c r="B1840" s="1" t="s">
        <v>23</v>
      </c>
      <c r="C1840" s="1" t="s">
        <v>1691</v>
      </c>
      <c r="D1840" s="1" t="s">
        <v>25</v>
      </c>
      <c r="E1840" s="1" t="s">
        <v>61</v>
      </c>
      <c r="F1840" s="1" t="s">
        <v>33</v>
      </c>
      <c r="G1840">
        <v>114670</v>
      </c>
      <c r="H1840" s="1" t="s">
        <v>114</v>
      </c>
      <c r="I1840" s="2"/>
      <c r="K1840">
        <v>5.8</v>
      </c>
      <c r="L1840" s="1" t="s">
        <v>49</v>
      </c>
      <c r="M1840" s="1" t="s">
        <v>69</v>
      </c>
    </row>
    <row r="1841" spans="1:13" x14ac:dyDescent="0.25">
      <c r="A1841" s="1" t="s">
        <v>2978</v>
      </c>
      <c r="B1841" s="1" t="s">
        <v>44</v>
      </c>
      <c r="C1841" s="1" t="s">
        <v>364</v>
      </c>
      <c r="D1841" s="1" t="s">
        <v>16</v>
      </c>
      <c r="E1841" s="1" t="s">
        <v>100</v>
      </c>
      <c r="F1841" s="1" t="s">
        <v>33</v>
      </c>
      <c r="G1841">
        <v>446962</v>
      </c>
      <c r="H1841" s="1" t="s">
        <v>2979</v>
      </c>
      <c r="I1841" s="2"/>
      <c r="K1841">
        <v>6.5</v>
      </c>
      <c r="L1841" s="1" t="s">
        <v>96</v>
      </c>
      <c r="M1841" s="1" t="s">
        <v>21</v>
      </c>
    </row>
    <row r="1842" spans="1:13" x14ac:dyDescent="0.25">
      <c r="A1842" s="1" t="s">
        <v>2980</v>
      </c>
      <c r="B1842" s="1" t="s">
        <v>75</v>
      </c>
      <c r="C1842" s="1" t="s">
        <v>1691</v>
      </c>
      <c r="D1842" s="1" t="s">
        <v>39</v>
      </c>
      <c r="E1842" s="1" t="s">
        <v>61</v>
      </c>
      <c r="F1842" s="1" t="s">
        <v>40</v>
      </c>
      <c r="G1842">
        <v>463209</v>
      </c>
      <c r="H1842" s="1" t="s">
        <v>1230</v>
      </c>
      <c r="I1842" s="2">
        <v>45550</v>
      </c>
      <c r="J1842">
        <v>167</v>
      </c>
      <c r="K1842">
        <v>3.4</v>
      </c>
      <c r="L1842" s="1" t="s">
        <v>20</v>
      </c>
      <c r="M1842" s="1" t="s">
        <v>107</v>
      </c>
    </row>
    <row r="1843" spans="1:13" x14ac:dyDescent="0.25">
      <c r="A1843" s="1" t="s">
        <v>2981</v>
      </c>
      <c r="B1843" s="1" t="s">
        <v>88</v>
      </c>
      <c r="C1843" s="1" t="s">
        <v>2334</v>
      </c>
      <c r="D1843" s="1" t="s">
        <v>46</v>
      </c>
      <c r="E1843" s="1" t="s">
        <v>100</v>
      </c>
      <c r="F1843" s="1" t="s">
        <v>40</v>
      </c>
      <c r="G1843">
        <v>99457</v>
      </c>
      <c r="H1843" s="1" t="s">
        <v>2253</v>
      </c>
      <c r="I1843" s="2">
        <v>45232</v>
      </c>
      <c r="J1843">
        <v>84</v>
      </c>
      <c r="K1843">
        <v>23.8</v>
      </c>
      <c r="L1843" s="1" t="s">
        <v>29</v>
      </c>
      <c r="M1843" s="1" t="s">
        <v>102</v>
      </c>
    </row>
    <row r="1844" spans="1:13" x14ac:dyDescent="0.25">
      <c r="A1844" s="1" t="s">
        <v>2982</v>
      </c>
      <c r="B1844" s="1" t="s">
        <v>44</v>
      </c>
      <c r="C1844" s="1" t="s">
        <v>483</v>
      </c>
      <c r="D1844" s="1" t="s">
        <v>46</v>
      </c>
      <c r="E1844" s="1" t="s">
        <v>17</v>
      </c>
      <c r="F1844" s="1" t="s">
        <v>27</v>
      </c>
      <c r="G1844">
        <v>198909</v>
      </c>
      <c r="H1844" s="1" t="s">
        <v>1915</v>
      </c>
      <c r="I1844" s="2"/>
      <c r="K1844">
        <v>1.2</v>
      </c>
      <c r="L1844" s="1" t="s">
        <v>96</v>
      </c>
      <c r="M1844" s="1" t="s">
        <v>21</v>
      </c>
    </row>
    <row r="1845" spans="1:13" x14ac:dyDescent="0.25">
      <c r="A1845" s="1" t="s">
        <v>2983</v>
      </c>
      <c r="B1845" s="1" t="s">
        <v>84</v>
      </c>
      <c r="C1845" s="1" t="s">
        <v>122</v>
      </c>
      <c r="D1845" s="1" t="s">
        <v>67</v>
      </c>
      <c r="E1845" s="1" t="s">
        <v>17</v>
      </c>
      <c r="F1845" s="1" t="s">
        <v>33</v>
      </c>
      <c r="G1845">
        <v>481802</v>
      </c>
      <c r="H1845" s="1" t="s">
        <v>2984</v>
      </c>
      <c r="I1845" s="2"/>
      <c r="K1845">
        <v>6.6</v>
      </c>
      <c r="L1845" s="1" t="s">
        <v>20</v>
      </c>
      <c r="M1845" s="1" t="s">
        <v>21</v>
      </c>
    </row>
    <row r="1846" spans="1:13" x14ac:dyDescent="0.25">
      <c r="A1846" s="1" t="s">
        <v>2985</v>
      </c>
      <c r="B1846" s="1" t="s">
        <v>75</v>
      </c>
      <c r="C1846" s="1" t="s">
        <v>708</v>
      </c>
      <c r="D1846" s="1" t="s">
        <v>16</v>
      </c>
      <c r="E1846" s="1" t="s">
        <v>77</v>
      </c>
      <c r="F1846" s="1" t="s">
        <v>33</v>
      </c>
      <c r="G1846">
        <v>23206</v>
      </c>
      <c r="H1846" s="1" t="s">
        <v>1644</v>
      </c>
      <c r="I1846" s="2"/>
      <c r="K1846">
        <v>2.7</v>
      </c>
      <c r="L1846" s="1" t="s">
        <v>20</v>
      </c>
      <c r="M1846" s="1" t="s">
        <v>21</v>
      </c>
    </row>
    <row r="1847" spans="1:13" x14ac:dyDescent="0.25">
      <c r="A1847" s="1" t="s">
        <v>2986</v>
      </c>
      <c r="B1847" s="1" t="s">
        <v>84</v>
      </c>
      <c r="C1847" s="1" t="s">
        <v>2987</v>
      </c>
      <c r="D1847" s="1" t="s">
        <v>16</v>
      </c>
      <c r="E1847" s="1" t="s">
        <v>17</v>
      </c>
      <c r="F1847" s="1" t="s">
        <v>33</v>
      </c>
      <c r="G1847">
        <v>251012</v>
      </c>
      <c r="H1847" s="1" t="s">
        <v>2945</v>
      </c>
      <c r="I1847" s="2"/>
      <c r="K1847">
        <v>14.4</v>
      </c>
      <c r="L1847" s="1" t="s">
        <v>20</v>
      </c>
      <c r="M1847" s="1" t="s">
        <v>35</v>
      </c>
    </row>
    <row r="1848" spans="1:13" x14ac:dyDescent="0.25">
      <c r="A1848" s="1" t="s">
        <v>2988</v>
      </c>
      <c r="B1848" s="1" t="s">
        <v>37</v>
      </c>
      <c r="C1848" s="1" t="s">
        <v>767</v>
      </c>
      <c r="D1848" s="1" t="s">
        <v>39</v>
      </c>
      <c r="E1848" s="1" t="s">
        <v>47</v>
      </c>
      <c r="F1848" s="1" t="s">
        <v>53</v>
      </c>
      <c r="G1848">
        <v>419675</v>
      </c>
      <c r="H1848" s="1" t="s">
        <v>550</v>
      </c>
      <c r="I1848" s="2"/>
      <c r="K1848">
        <v>11.2</v>
      </c>
      <c r="L1848" s="1" t="s">
        <v>29</v>
      </c>
      <c r="M1848" s="1" t="s">
        <v>35</v>
      </c>
    </row>
    <row r="1849" spans="1:13" x14ac:dyDescent="0.25">
      <c r="A1849" s="1" t="s">
        <v>2989</v>
      </c>
      <c r="B1849" s="1" t="s">
        <v>173</v>
      </c>
      <c r="C1849" s="1" t="s">
        <v>635</v>
      </c>
      <c r="D1849" s="1" t="s">
        <v>39</v>
      </c>
      <c r="E1849" s="1" t="s">
        <v>26</v>
      </c>
      <c r="F1849" s="1" t="s">
        <v>40</v>
      </c>
      <c r="G1849">
        <v>458671</v>
      </c>
      <c r="H1849" s="1" t="s">
        <v>2990</v>
      </c>
      <c r="I1849" s="2">
        <v>44982</v>
      </c>
      <c r="J1849">
        <v>17</v>
      </c>
      <c r="K1849">
        <v>17.7</v>
      </c>
      <c r="L1849" s="1" t="s">
        <v>29</v>
      </c>
      <c r="M1849" s="1" t="s">
        <v>35</v>
      </c>
    </row>
    <row r="1850" spans="1:13" x14ac:dyDescent="0.25">
      <c r="A1850" s="1" t="s">
        <v>2991</v>
      </c>
      <c r="B1850" s="1" t="s">
        <v>104</v>
      </c>
      <c r="C1850" s="1" t="s">
        <v>339</v>
      </c>
      <c r="D1850" s="1" t="s">
        <v>25</v>
      </c>
      <c r="E1850" s="1" t="s">
        <v>17</v>
      </c>
      <c r="F1850" s="1" t="s">
        <v>33</v>
      </c>
      <c r="G1850">
        <v>357507</v>
      </c>
      <c r="H1850" s="1" t="s">
        <v>1754</v>
      </c>
      <c r="I1850" s="2"/>
      <c r="K1850">
        <v>5.7</v>
      </c>
      <c r="L1850" s="1" t="s">
        <v>49</v>
      </c>
      <c r="M1850" s="1" t="s">
        <v>107</v>
      </c>
    </row>
    <row r="1851" spans="1:13" x14ac:dyDescent="0.25">
      <c r="A1851" s="1" t="s">
        <v>2992</v>
      </c>
      <c r="B1851" s="1" t="s">
        <v>104</v>
      </c>
      <c r="C1851" s="1" t="s">
        <v>2185</v>
      </c>
      <c r="D1851" s="1" t="s">
        <v>67</v>
      </c>
      <c r="E1851" s="1" t="s">
        <v>100</v>
      </c>
      <c r="F1851" s="1" t="s">
        <v>33</v>
      </c>
      <c r="G1851">
        <v>194044</v>
      </c>
      <c r="H1851" s="1" t="s">
        <v>1723</v>
      </c>
      <c r="I1851" s="2"/>
      <c r="K1851">
        <v>1.8</v>
      </c>
      <c r="L1851" s="1" t="s">
        <v>20</v>
      </c>
      <c r="M1851" s="1" t="s">
        <v>30</v>
      </c>
    </row>
    <row r="1852" spans="1:13" x14ac:dyDescent="0.25">
      <c r="A1852" s="1" t="s">
        <v>2993</v>
      </c>
      <c r="B1852" s="1" t="s">
        <v>14</v>
      </c>
      <c r="C1852" s="1" t="s">
        <v>505</v>
      </c>
      <c r="D1852" s="1" t="s">
        <v>16</v>
      </c>
      <c r="E1852" s="1" t="s">
        <v>77</v>
      </c>
      <c r="F1852" s="1" t="s">
        <v>129</v>
      </c>
      <c r="G1852">
        <v>128677</v>
      </c>
      <c r="H1852" s="1" t="s">
        <v>2451</v>
      </c>
      <c r="I1852" s="2"/>
      <c r="L1852" s="1" t="s">
        <v>20</v>
      </c>
      <c r="M1852" s="1" t="s">
        <v>35</v>
      </c>
    </row>
    <row r="1853" spans="1:13" x14ac:dyDescent="0.25">
      <c r="A1853" s="1" t="s">
        <v>2994</v>
      </c>
      <c r="B1853" s="1" t="s">
        <v>109</v>
      </c>
      <c r="C1853" s="1" t="s">
        <v>1028</v>
      </c>
      <c r="D1853" s="1" t="s">
        <v>90</v>
      </c>
      <c r="E1853" s="1" t="s">
        <v>94</v>
      </c>
      <c r="F1853" s="1" t="s">
        <v>27</v>
      </c>
      <c r="G1853">
        <v>386877</v>
      </c>
      <c r="H1853" s="1" t="s">
        <v>242</v>
      </c>
      <c r="I1853" s="2"/>
      <c r="L1853" s="1" t="s">
        <v>49</v>
      </c>
      <c r="M1853" s="1" t="s">
        <v>30</v>
      </c>
    </row>
    <row r="1854" spans="1:13" x14ac:dyDescent="0.25">
      <c r="A1854" s="1" t="s">
        <v>2995</v>
      </c>
      <c r="B1854" s="1" t="s">
        <v>84</v>
      </c>
      <c r="C1854" s="1" t="s">
        <v>1018</v>
      </c>
      <c r="D1854" s="1" t="s">
        <v>46</v>
      </c>
      <c r="E1854" s="1" t="s">
        <v>72</v>
      </c>
      <c r="F1854" s="1" t="s">
        <v>33</v>
      </c>
      <c r="G1854">
        <v>453444</v>
      </c>
      <c r="H1854" s="1" t="s">
        <v>2771</v>
      </c>
      <c r="I1854" s="2"/>
      <c r="L1854" s="1" t="s">
        <v>96</v>
      </c>
      <c r="M1854" s="1" t="s">
        <v>69</v>
      </c>
    </row>
    <row r="1855" spans="1:13" x14ac:dyDescent="0.25">
      <c r="A1855" s="1" t="s">
        <v>2996</v>
      </c>
      <c r="B1855" s="1" t="s">
        <v>127</v>
      </c>
      <c r="C1855" s="1" t="s">
        <v>423</v>
      </c>
      <c r="D1855" s="1" t="s">
        <v>16</v>
      </c>
      <c r="E1855" s="1" t="s">
        <v>100</v>
      </c>
      <c r="F1855" s="1" t="s">
        <v>40</v>
      </c>
      <c r="G1855">
        <v>318681</v>
      </c>
      <c r="H1855" s="1" t="s">
        <v>1779</v>
      </c>
      <c r="I1855" s="2">
        <v>45695</v>
      </c>
      <c r="J1855">
        <v>85</v>
      </c>
      <c r="K1855">
        <v>17.399999999999999</v>
      </c>
      <c r="L1855" s="1" t="s">
        <v>96</v>
      </c>
      <c r="M1855" s="1" t="s">
        <v>42</v>
      </c>
    </row>
    <row r="1856" spans="1:13" x14ac:dyDescent="0.25">
      <c r="A1856" s="1" t="s">
        <v>2997</v>
      </c>
      <c r="B1856" s="1" t="s">
        <v>88</v>
      </c>
      <c r="C1856" s="1" t="s">
        <v>809</v>
      </c>
      <c r="D1856" s="1" t="s">
        <v>39</v>
      </c>
      <c r="E1856" s="1" t="s">
        <v>17</v>
      </c>
      <c r="F1856" s="1" t="s">
        <v>53</v>
      </c>
      <c r="G1856">
        <v>336617</v>
      </c>
      <c r="H1856" s="1" t="s">
        <v>2998</v>
      </c>
      <c r="I1856" s="2"/>
      <c r="K1856">
        <v>0.6</v>
      </c>
      <c r="L1856" s="1" t="s">
        <v>20</v>
      </c>
      <c r="M1856" s="1" t="s">
        <v>102</v>
      </c>
    </row>
    <row r="1857" spans="1:13" x14ac:dyDescent="0.25">
      <c r="A1857" s="1" t="s">
        <v>2999</v>
      </c>
      <c r="B1857" s="1" t="s">
        <v>44</v>
      </c>
      <c r="C1857" s="1" t="s">
        <v>483</v>
      </c>
      <c r="D1857" s="1" t="s">
        <v>90</v>
      </c>
      <c r="E1857" s="1" t="s">
        <v>47</v>
      </c>
      <c r="F1857" s="1" t="s">
        <v>40</v>
      </c>
      <c r="G1857">
        <v>369868</v>
      </c>
      <c r="H1857" s="1" t="s">
        <v>2501</v>
      </c>
      <c r="I1857" s="2">
        <v>45149</v>
      </c>
      <c r="J1857">
        <v>126</v>
      </c>
      <c r="K1857">
        <v>2.8</v>
      </c>
      <c r="L1857" s="1" t="s">
        <v>20</v>
      </c>
      <c r="M1857" s="1" t="s">
        <v>30</v>
      </c>
    </row>
    <row r="1858" spans="1:13" x14ac:dyDescent="0.25">
      <c r="A1858" s="1" t="s">
        <v>3000</v>
      </c>
      <c r="B1858" s="1" t="s">
        <v>173</v>
      </c>
      <c r="C1858" s="1" t="s">
        <v>60</v>
      </c>
      <c r="D1858" s="1" t="s">
        <v>67</v>
      </c>
      <c r="E1858" s="1" t="s">
        <v>72</v>
      </c>
      <c r="F1858" s="1" t="s">
        <v>129</v>
      </c>
      <c r="G1858">
        <v>10537</v>
      </c>
      <c r="H1858" s="1" t="s">
        <v>3001</v>
      </c>
      <c r="I1858" s="2"/>
      <c r="L1858" s="1" t="s">
        <v>96</v>
      </c>
      <c r="M1858" s="1" t="s">
        <v>107</v>
      </c>
    </row>
    <row r="1859" spans="1:13" x14ac:dyDescent="0.25">
      <c r="A1859" s="1" t="s">
        <v>3002</v>
      </c>
      <c r="B1859" s="1" t="s">
        <v>37</v>
      </c>
      <c r="C1859" s="1" t="s">
        <v>693</v>
      </c>
      <c r="D1859" s="1" t="s">
        <v>90</v>
      </c>
      <c r="E1859" s="1" t="s">
        <v>77</v>
      </c>
      <c r="F1859" s="1" t="s">
        <v>33</v>
      </c>
      <c r="G1859">
        <v>354519</v>
      </c>
      <c r="H1859" s="1" t="s">
        <v>385</v>
      </c>
      <c r="I1859" s="2"/>
      <c r="L1859" s="1" t="s">
        <v>49</v>
      </c>
      <c r="M1859" s="1" t="s">
        <v>102</v>
      </c>
    </row>
    <row r="1860" spans="1:13" x14ac:dyDescent="0.25">
      <c r="A1860" s="1" t="s">
        <v>2467</v>
      </c>
      <c r="B1860" s="1" t="s">
        <v>98</v>
      </c>
      <c r="C1860" s="1" t="s">
        <v>71</v>
      </c>
      <c r="D1860" s="1" t="s">
        <v>39</v>
      </c>
      <c r="E1860" s="1" t="s">
        <v>61</v>
      </c>
      <c r="F1860" s="1" t="s">
        <v>40</v>
      </c>
      <c r="G1860">
        <v>340552</v>
      </c>
      <c r="H1860" s="1" t="s">
        <v>2468</v>
      </c>
      <c r="I1860" s="2">
        <v>45839</v>
      </c>
      <c r="J1860">
        <v>101</v>
      </c>
      <c r="K1860">
        <v>23.4</v>
      </c>
      <c r="L1860" s="1" t="s">
        <v>20</v>
      </c>
      <c r="M1860" s="1" t="s">
        <v>63</v>
      </c>
    </row>
    <row r="1861" spans="1:13" x14ac:dyDescent="0.25">
      <c r="A1861" s="1" t="s">
        <v>3003</v>
      </c>
      <c r="B1861" s="1" t="s">
        <v>127</v>
      </c>
      <c r="C1861" s="1" t="s">
        <v>667</v>
      </c>
      <c r="D1861" s="1" t="s">
        <v>16</v>
      </c>
      <c r="E1861" s="1" t="s">
        <v>94</v>
      </c>
      <c r="F1861" s="1" t="s">
        <v>40</v>
      </c>
      <c r="G1861">
        <v>268024</v>
      </c>
      <c r="H1861" s="1" t="s">
        <v>3004</v>
      </c>
      <c r="I1861" s="2">
        <v>45466</v>
      </c>
      <c r="J1861">
        <v>18</v>
      </c>
      <c r="K1861">
        <v>12.5</v>
      </c>
      <c r="L1861" s="1" t="s">
        <v>29</v>
      </c>
      <c r="M1861" s="1" t="s">
        <v>107</v>
      </c>
    </row>
    <row r="1862" spans="1:13" x14ac:dyDescent="0.25">
      <c r="A1862" s="1" t="s">
        <v>3005</v>
      </c>
      <c r="B1862" s="1" t="s">
        <v>109</v>
      </c>
      <c r="C1862" s="1" t="s">
        <v>157</v>
      </c>
      <c r="D1862" s="1" t="s">
        <v>25</v>
      </c>
      <c r="E1862" s="1" t="s">
        <v>47</v>
      </c>
      <c r="F1862" s="1" t="s">
        <v>53</v>
      </c>
      <c r="G1862">
        <v>95643</v>
      </c>
      <c r="H1862" s="1" t="s">
        <v>211</v>
      </c>
      <c r="I1862" s="2"/>
      <c r="K1862">
        <v>13</v>
      </c>
      <c r="L1862" s="1" t="s">
        <v>49</v>
      </c>
      <c r="M1862" s="1" t="s">
        <v>30</v>
      </c>
    </row>
    <row r="1863" spans="1:13" x14ac:dyDescent="0.25">
      <c r="A1863" s="1" t="s">
        <v>3006</v>
      </c>
      <c r="B1863" s="1" t="s">
        <v>88</v>
      </c>
      <c r="C1863" s="1" t="s">
        <v>1112</v>
      </c>
      <c r="D1863" s="1" t="s">
        <v>25</v>
      </c>
      <c r="E1863" s="1" t="s">
        <v>94</v>
      </c>
      <c r="F1863" s="1" t="s">
        <v>18</v>
      </c>
      <c r="G1863">
        <v>296216</v>
      </c>
      <c r="H1863" s="1" t="s">
        <v>3007</v>
      </c>
      <c r="I1863" s="2">
        <v>45758</v>
      </c>
      <c r="J1863">
        <v>152</v>
      </c>
      <c r="K1863">
        <v>13.7</v>
      </c>
      <c r="L1863" s="1" t="s">
        <v>20</v>
      </c>
      <c r="M1863" s="1" t="s">
        <v>42</v>
      </c>
    </row>
    <row r="1864" spans="1:13" x14ac:dyDescent="0.25">
      <c r="A1864" s="1" t="s">
        <v>3008</v>
      </c>
      <c r="B1864" s="1" t="s">
        <v>109</v>
      </c>
      <c r="C1864" s="1" t="s">
        <v>877</v>
      </c>
      <c r="D1864" s="1" t="s">
        <v>16</v>
      </c>
      <c r="E1864" s="1" t="s">
        <v>77</v>
      </c>
      <c r="F1864" s="1" t="s">
        <v>53</v>
      </c>
      <c r="G1864">
        <v>279618</v>
      </c>
      <c r="H1864" s="1" t="s">
        <v>651</v>
      </c>
      <c r="I1864" s="2"/>
      <c r="L1864" s="1" t="s">
        <v>29</v>
      </c>
      <c r="M1864" s="1" t="s">
        <v>63</v>
      </c>
    </row>
    <row r="1865" spans="1:13" x14ac:dyDescent="0.25">
      <c r="A1865" s="1" t="s">
        <v>3009</v>
      </c>
      <c r="B1865" s="1" t="s">
        <v>84</v>
      </c>
      <c r="C1865" s="1" t="s">
        <v>912</v>
      </c>
      <c r="D1865" s="1" t="s">
        <v>90</v>
      </c>
      <c r="E1865" s="1" t="s">
        <v>72</v>
      </c>
      <c r="F1865" s="1" t="s">
        <v>53</v>
      </c>
      <c r="G1865">
        <v>14080</v>
      </c>
      <c r="H1865" s="1" t="s">
        <v>1900</v>
      </c>
      <c r="I1865" s="2"/>
      <c r="K1865">
        <v>10.1</v>
      </c>
      <c r="L1865" s="1" t="s">
        <v>49</v>
      </c>
      <c r="M1865" s="1" t="s">
        <v>69</v>
      </c>
    </row>
    <row r="1866" spans="1:13" x14ac:dyDescent="0.25">
      <c r="A1866" s="1" t="s">
        <v>3010</v>
      </c>
      <c r="B1866" s="1" t="s">
        <v>37</v>
      </c>
      <c r="C1866" s="1" t="s">
        <v>436</v>
      </c>
      <c r="D1866" s="1" t="s">
        <v>16</v>
      </c>
      <c r="E1866" s="1" t="s">
        <v>17</v>
      </c>
      <c r="F1866" s="1" t="s">
        <v>53</v>
      </c>
      <c r="G1866">
        <v>99418</v>
      </c>
      <c r="H1866" s="1" t="s">
        <v>841</v>
      </c>
      <c r="I1866" s="2"/>
      <c r="K1866">
        <v>6.1</v>
      </c>
      <c r="L1866" s="1" t="s">
        <v>49</v>
      </c>
      <c r="M1866" s="1" t="s">
        <v>21</v>
      </c>
    </row>
    <row r="1867" spans="1:13" x14ac:dyDescent="0.25">
      <c r="A1867" s="1" t="s">
        <v>3011</v>
      </c>
      <c r="B1867" s="1" t="s">
        <v>14</v>
      </c>
      <c r="C1867" s="1" t="s">
        <v>279</v>
      </c>
      <c r="D1867" s="1" t="s">
        <v>16</v>
      </c>
      <c r="E1867" s="1" t="s">
        <v>77</v>
      </c>
      <c r="F1867" s="1" t="s">
        <v>129</v>
      </c>
      <c r="G1867">
        <v>154760</v>
      </c>
      <c r="H1867" s="1" t="s">
        <v>1365</v>
      </c>
      <c r="I1867" s="2"/>
      <c r="K1867">
        <v>7.7</v>
      </c>
      <c r="L1867" s="1" t="s">
        <v>49</v>
      </c>
      <c r="M1867" s="1" t="s">
        <v>63</v>
      </c>
    </row>
    <row r="1868" spans="1:13" x14ac:dyDescent="0.25">
      <c r="A1868" s="1" t="s">
        <v>3012</v>
      </c>
      <c r="B1868" s="1" t="s">
        <v>75</v>
      </c>
      <c r="C1868" s="1" t="s">
        <v>932</v>
      </c>
      <c r="D1868" s="1" t="s">
        <v>39</v>
      </c>
      <c r="E1868" s="1" t="s">
        <v>26</v>
      </c>
      <c r="F1868" s="1" t="s">
        <v>129</v>
      </c>
      <c r="G1868">
        <v>12398</v>
      </c>
      <c r="H1868" s="1" t="s">
        <v>1777</v>
      </c>
      <c r="I1868" s="2"/>
      <c r="L1868" s="1" t="s">
        <v>20</v>
      </c>
      <c r="M1868" s="1" t="s">
        <v>149</v>
      </c>
    </row>
    <row r="1869" spans="1:13" x14ac:dyDescent="0.25">
      <c r="A1869" s="1" t="s">
        <v>3013</v>
      </c>
      <c r="B1869" s="1" t="s">
        <v>84</v>
      </c>
      <c r="C1869" s="1" t="s">
        <v>1129</v>
      </c>
      <c r="D1869" s="1" t="s">
        <v>39</v>
      </c>
      <c r="E1869" s="1" t="s">
        <v>61</v>
      </c>
      <c r="F1869" s="1" t="s">
        <v>53</v>
      </c>
      <c r="G1869">
        <v>398503</v>
      </c>
      <c r="H1869" s="1" t="s">
        <v>2673</v>
      </c>
      <c r="I1869" s="2"/>
      <c r="K1869">
        <v>5.4</v>
      </c>
      <c r="L1869" s="1" t="s">
        <v>29</v>
      </c>
      <c r="M1869" s="1" t="s">
        <v>69</v>
      </c>
    </row>
    <row r="1870" spans="1:13" x14ac:dyDescent="0.25">
      <c r="A1870" s="1" t="s">
        <v>3014</v>
      </c>
      <c r="B1870" s="1" t="s">
        <v>84</v>
      </c>
      <c r="C1870" s="1" t="s">
        <v>987</v>
      </c>
      <c r="D1870" s="1" t="s">
        <v>39</v>
      </c>
      <c r="E1870" s="1" t="s">
        <v>17</v>
      </c>
      <c r="F1870" s="1" t="s">
        <v>53</v>
      </c>
      <c r="G1870">
        <v>426458</v>
      </c>
      <c r="H1870" s="1" t="s">
        <v>1052</v>
      </c>
      <c r="I1870" s="2"/>
      <c r="K1870">
        <v>7.3</v>
      </c>
      <c r="L1870" s="1" t="s">
        <v>20</v>
      </c>
      <c r="M1870" s="1" t="s">
        <v>42</v>
      </c>
    </row>
    <row r="1871" spans="1:13" x14ac:dyDescent="0.25">
      <c r="A1871" s="1" t="s">
        <v>3015</v>
      </c>
      <c r="B1871" s="1" t="s">
        <v>75</v>
      </c>
      <c r="C1871" s="1" t="s">
        <v>1278</v>
      </c>
      <c r="D1871" s="1" t="s">
        <v>16</v>
      </c>
      <c r="E1871" s="1" t="s">
        <v>100</v>
      </c>
      <c r="F1871" s="1" t="s">
        <v>53</v>
      </c>
      <c r="G1871">
        <v>32657</v>
      </c>
      <c r="H1871" s="1" t="s">
        <v>3016</v>
      </c>
      <c r="I1871" s="2"/>
      <c r="L1871" s="1" t="s">
        <v>20</v>
      </c>
      <c r="M1871" s="1" t="s">
        <v>149</v>
      </c>
    </row>
    <row r="1872" spans="1:13" x14ac:dyDescent="0.25">
      <c r="A1872" s="1" t="s">
        <v>3017</v>
      </c>
      <c r="B1872" s="1" t="s">
        <v>80</v>
      </c>
      <c r="C1872" s="1" t="s">
        <v>165</v>
      </c>
      <c r="D1872" s="1" t="s">
        <v>25</v>
      </c>
      <c r="E1872" s="1" t="s">
        <v>47</v>
      </c>
      <c r="F1872" s="1" t="s">
        <v>53</v>
      </c>
      <c r="G1872">
        <v>136734</v>
      </c>
      <c r="H1872" s="1" t="s">
        <v>3018</v>
      </c>
      <c r="I1872" s="2"/>
      <c r="L1872" s="1" t="s">
        <v>96</v>
      </c>
      <c r="M1872" s="1" t="s">
        <v>35</v>
      </c>
    </row>
    <row r="1873" spans="1:13" x14ac:dyDescent="0.25">
      <c r="A1873" s="1" t="s">
        <v>3019</v>
      </c>
      <c r="B1873" s="1" t="s">
        <v>173</v>
      </c>
      <c r="C1873" s="1" t="s">
        <v>809</v>
      </c>
      <c r="D1873" s="1" t="s">
        <v>39</v>
      </c>
      <c r="E1873" s="1" t="s">
        <v>17</v>
      </c>
      <c r="F1873" s="1" t="s">
        <v>40</v>
      </c>
      <c r="G1873">
        <v>309038</v>
      </c>
      <c r="H1873" s="1" t="s">
        <v>3020</v>
      </c>
      <c r="I1873" s="2">
        <v>45544</v>
      </c>
      <c r="J1873">
        <v>105</v>
      </c>
      <c r="K1873">
        <v>22.5</v>
      </c>
      <c r="L1873" s="1" t="s">
        <v>29</v>
      </c>
      <c r="M1873" s="1" t="s">
        <v>107</v>
      </c>
    </row>
    <row r="1874" spans="1:13" x14ac:dyDescent="0.25">
      <c r="A1874" s="1" t="s">
        <v>3021</v>
      </c>
      <c r="B1874" s="1" t="s">
        <v>75</v>
      </c>
      <c r="C1874" s="1" t="s">
        <v>1074</v>
      </c>
      <c r="D1874" s="1" t="s">
        <v>90</v>
      </c>
      <c r="E1874" s="1" t="s">
        <v>72</v>
      </c>
      <c r="F1874" s="1" t="s">
        <v>129</v>
      </c>
      <c r="G1874">
        <v>389000</v>
      </c>
      <c r="H1874" s="1" t="s">
        <v>1402</v>
      </c>
      <c r="I1874" s="2"/>
      <c r="L1874" s="1" t="s">
        <v>29</v>
      </c>
      <c r="M1874" s="1" t="s">
        <v>42</v>
      </c>
    </row>
    <row r="1875" spans="1:13" x14ac:dyDescent="0.25">
      <c r="A1875" s="1" t="s">
        <v>3022</v>
      </c>
      <c r="B1875" s="1" t="s">
        <v>104</v>
      </c>
      <c r="C1875" s="1" t="s">
        <v>186</v>
      </c>
      <c r="D1875" s="1" t="s">
        <v>67</v>
      </c>
      <c r="E1875" s="1" t="s">
        <v>61</v>
      </c>
      <c r="F1875" s="1" t="s">
        <v>33</v>
      </c>
      <c r="G1875">
        <v>1547947</v>
      </c>
      <c r="H1875" s="1" t="s">
        <v>62</v>
      </c>
      <c r="I1875" s="2"/>
      <c r="K1875">
        <v>4.2</v>
      </c>
      <c r="L1875" s="1" t="s">
        <v>29</v>
      </c>
      <c r="M1875" s="1" t="s">
        <v>63</v>
      </c>
    </row>
    <row r="1876" spans="1:13" x14ac:dyDescent="0.25">
      <c r="A1876" s="1" t="s">
        <v>3023</v>
      </c>
      <c r="B1876" s="1" t="s">
        <v>75</v>
      </c>
      <c r="C1876" s="1" t="s">
        <v>882</v>
      </c>
      <c r="D1876" s="1" t="s">
        <v>39</v>
      </c>
      <c r="E1876" s="1" t="s">
        <v>77</v>
      </c>
      <c r="F1876" s="1" t="s">
        <v>129</v>
      </c>
      <c r="G1876">
        <v>370627</v>
      </c>
      <c r="H1876" s="1" t="s">
        <v>34</v>
      </c>
      <c r="I1876" s="2"/>
      <c r="L1876" s="1" t="s">
        <v>96</v>
      </c>
      <c r="M1876" s="1" t="s">
        <v>35</v>
      </c>
    </row>
    <row r="1877" spans="1:13" x14ac:dyDescent="0.25">
      <c r="A1877" s="1" t="s">
        <v>3024</v>
      </c>
      <c r="B1877" s="1" t="s">
        <v>104</v>
      </c>
      <c r="C1877" s="1" t="s">
        <v>1072</v>
      </c>
      <c r="D1877" s="1" t="s">
        <v>25</v>
      </c>
      <c r="E1877" s="1" t="s">
        <v>77</v>
      </c>
      <c r="F1877" s="1" t="s">
        <v>33</v>
      </c>
      <c r="G1877">
        <v>417769</v>
      </c>
      <c r="H1877" s="1" t="s">
        <v>585</v>
      </c>
      <c r="I1877" s="2"/>
      <c r="L1877" s="1" t="s">
        <v>49</v>
      </c>
      <c r="M1877" s="1" t="s">
        <v>102</v>
      </c>
    </row>
    <row r="1878" spans="1:13" x14ac:dyDescent="0.25">
      <c r="A1878" s="1" t="s">
        <v>3025</v>
      </c>
      <c r="B1878" s="1" t="s">
        <v>44</v>
      </c>
      <c r="C1878" s="1" t="s">
        <v>983</v>
      </c>
      <c r="D1878" s="1" t="s">
        <v>67</v>
      </c>
      <c r="E1878" s="1" t="s">
        <v>61</v>
      </c>
      <c r="F1878" s="1" t="s">
        <v>40</v>
      </c>
      <c r="G1878">
        <v>385562</v>
      </c>
      <c r="H1878" s="1" t="s">
        <v>1066</v>
      </c>
      <c r="I1878" s="2">
        <v>45135</v>
      </c>
      <c r="J1878">
        <v>64</v>
      </c>
      <c r="K1878">
        <v>7.3</v>
      </c>
      <c r="L1878" s="1" t="s">
        <v>29</v>
      </c>
      <c r="M1878" s="1" t="s">
        <v>30</v>
      </c>
    </row>
    <row r="1879" spans="1:13" x14ac:dyDescent="0.25">
      <c r="A1879" s="1" t="s">
        <v>3026</v>
      </c>
      <c r="B1879" s="1" t="s">
        <v>80</v>
      </c>
      <c r="C1879" s="1" t="s">
        <v>877</v>
      </c>
      <c r="D1879" s="1" t="s">
        <v>46</v>
      </c>
      <c r="E1879" s="1" t="s">
        <v>17</v>
      </c>
      <c r="F1879" s="1" t="s">
        <v>33</v>
      </c>
      <c r="G1879">
        <v>61352</v>
      </c>
      <c r="H1879" s="1" t="s">
        <v>2428</v>
      </c>
      <c r="I1879" s="2"/>
      <c r="L1879" s="1" t="s">
        <v>96</v>
      </c>
      <c r="M1879" s="1" t="s">
        <v>102</v>
      </c>
    </row>
    <row r="1880" spans="1:13" x14ac:dyDescent="0.25">
      <c r="A1880" s="1" t="s">
        <v>3027</v>
      </c>
      <c r="B1880" s="1" t="s">
        <v>44</v>
      </c>
      <c r="C1880" s="1" t="s">
        <v>2503</v>
      </c>
      <c r="D1880" s="1" t="s">
        <v>90</v>
      </c>
      <c r="E1880" s="1" t="s">
        <v>100</v>
      </c>
      <c r="F1880" s="1" t="s">
        <v>129</v>
      </c>
      <c r="G1880">
        <v>312721</v>
      </c>
      <c r="H1880" s="1" t="s">
        <v>1196</v>
      </c>
      <c r="I1880" s="2"/>
      <c r="K1880">
        <v>2.9</v>
      </c>
      <c r="L1880" s="1" t="s">
        <v>29</v>
      </c>
      <c r="M1880" s="1" t="s">
        <v>35</v>
      </c>
    </row>
    <row r="1881" spans="1:13" x14ac:dyDescent="0.25">
      <c r="A1881" s="1" t="s">
        <v>3028</v>
      </c>
      <c r="B1881" s="1" t="s">
        <v>98</v>
      </c>
      <c r="C1881" s="1" t="s">
        <v>637</v>
      </c>
      <c r="D1881" s="1" t="s">
        <v>25</v>
      </c>
      <c r="E1881" s="1" t="s">
        <v>100</v>
      </c>
      <c r="F1881" s="1" t="s">
        <v>40</v>
      </c>
      <c r="G1881">
        <v>221222</v>
      </c>
      <c r="H1881" s="1" t="s">
        <v>3029</v>
      </c>
      <c r="I1881" s="2">
        <v>45586</v>
      </c>
      <c r="J1881">
        <v>21</v>
      </c>
      <c r="K1881">
        <v>24.4</v>
      </c>
      <c r="L1881" s="1" t="s">
        <v>29</v>
      </c>
      <c r="M1881" s="1" t="s">
        <v>149</v>
      </c>
    </row>
    <row r="1882" spans="1:13" x14ac:dyDescent="0.25">
      <c r="A1882" s="1" t="s">
        <v>3030</v>
      </c>
      <c r="B1882" s="1" t="s">
        <v>23</v>
      </c>
      <c r="C1882" s="1" t="s">
        <v>1776</v>
      </c>
      <c r="D1882" s="1" t="s">
        <v>46</v>
      </c>
      <c r="E1882" s="1" t="s">
        <v>77</v>
      </c>
      <c r="F1882" s="1" t="s">
        <v>18</v>
      </c>
      <c r="G1882">
        <v>404465</v>
      </c>
      <c r="H1882" s="1" t="s">
        <v>431</v>
      </c>
      <c r="I1882" s="2">
        <v>45564</v>
      </c>
      <c r="J1882">
        <v>81</v>
      </c>
      <c r="K1882">
        <v>4.5</v>
      </c>
      <c r="L1882" s="1" t="s">
        <v>20</v>
      </c>
      <c r="M1882" s="1" t="s">
        <v>149</v>
      </c>
    </row>
    <row r="1883" spans="1:13" x14ac:dyDescent="0.25">
      <c r="A1883" s="1" t="s">
        <v>3031</v>
      </c>
      <c r="B1883" s="1" t="s">
        <v>65</v>
      </c>
      <c r="C1883" s="1" t="s">
        <v>528</v>
      </c>
      <c r="D1883" s="1" t="s">
        <v>16</v>
      </c>
      <c r="E1883" s="1" t="s">
        <v>47</v>
      </c>
      <c r="F1883" s="1" t="s">
        <v>40</v>
      </c>
      <c r="G1883">
        <v>444535</v>
      </c>
      <c r="H1883" s="1" t="s">
        <v>779</v>
      </c>
      <c r="I1883" s="2">
        <v>45232</v>
      </c>
      <c r="J1883">
        <v>112</v>
      </c>
      <c r="K1883">
        <v>7.5</v>
      </c>
      <c r="L1883" s="1" t="s">
        <v>20</v>
      </c>
      <c r="M1883" s="1" t="s">
        <v>102</v>
      </c>
    </row>
    <row r="1884" spans="1:13" x14ac:dyDescent="0.25">
      <c r="A1884" s="1" t="s">
        <v>3032</v>
      </c>
      <c r="B1884" s="1" t="s">
        <v>104</v>
      </c>
      <c r="C1884" s="1" t="s">
        <v>502</v>
      </c>
      <c r="D1884" s="1" t="s">
        <v>25</v>
      </c>
      <c r="E1884" s="1" t="s">
        <v>61</v>
      </c>
      <c r="F1884" s="1" t="s">
        <v>33</v>
      </c>
      <c r="G1884">
        <v>401722</v>
      </c>
      <c r="H1884" s="1" t="s">
        <v>948</v>
      </c>
      <c r="I1884" s="2"/>
      <c r="K1884">
        <v>12.6</v>
      </c>
      <c r="L1884" s="1" t="s">
        <v>96</v>
      </c>
      <c r="M1884" s="1" t="s">
        <v>69</v>
      </c>
    </row>
    <row r="1885" spans="1:13" x14ac:dyDescent="0.25">
      <c r="A1885" s="1" t="s">
        <v>3033</v>
      </c>
      <c r="B1885" s="1" t="s">
        <v>14</v>
      </c>
      <c r="C1885" s="1" t="s">
        <v>696</v>
      </c>
      <c r="D1885" s="1" t="s">
        <v>46</v>
      </c>
      <c r="E1885" s="1" t="s">
        <v>77</v>
      </c>
      <c r="F1885" s="1" t="s">
        <v>33</v>
      </c>
      <c r="G1885">
        <v>472525</v>
      </c>
      <c r="H1885" s="1" t="s">
        <v>3034</v>
      </c>
      <c r="I1885" s="2"/>
      <c r="K1885">
        <v>4.0999999999999996</v>
      </c>
      <c r="L1885" s="1" t="s">
        <v>96</v>
      </c>
      <c r="M1885" s="1" t="s">
        <v>21</v>
      </c>
    </row>
    <row r="1886" spans="1:13" x14ac:dyDescent="0.25">
      <c r="A1886" s="1" t="s">
        <v>3035</v>
      </c>
      <c r="B1886" s="1" t="s">
        <v>59</v>
      </c>
      <c r="C1886" s="1" t="s">
        <v>747</v>
      </c>
      <c r="D1886" s="1" t="s">
        <v>39</v>
      </c>
      <c r="E1886" s="1" t="s">
        <v>61</v>
      </c>
      <c r="F1886" s="1" t="s">
        <v>18</v>
      </c>
      <c r="G1886">
        <v>88042</v>
      </c>
      <c r="H1886" s="1" t="s">
        <v>2338</v>
      </c>
      <c r="I1886" s="2">
        <v>44951</v>
      </c>
      <c r="J1886">
        <v>24</v>
      </c>
      <c r="K1886">
        <v>4</v>
      </c>
      <c r="L1886" s="1" t="s">
        <v>20</v>
      </c>
      <c r="M1886" s="1" t="s">
        <v>35</v>
      </c>
    </row>
    <row r="1887" spans="1:13" x14ac:dyDescent="0.25">
      <c r="A1887" s="1" t="s">
        <v>3036</v>
      </c>
      <c r="B1887" s="1" t="s">
        <v>75</v>
      </c>
      <c r="C1887" s="1" t="s">
        <v>1866</v>
      </c>
      <c r="D1887" s="1" t="s">
        <v>67</v>
      </c>
      <c r="E1887" s="1" t="s">
        <v>26</v>
      </c>
      <c r="F1887" s="1" t="s">
        <v>53</v>
      </c>
      <c r="G1887">
        <v>367011</v>
      </c>
      <c r="H1887" s="1" t="s">
        <v>3037</v>
      </c>
      <c r="I1887" s="2"/>
      <c r="L1887" s="1" t="s">
        <v>96</v>
      </c>
      <c r="M1887" s="1" t="s">
        <v>107</v>
      </c>
    </row>
    <row r="1888" spans="1:13" x14ac:dyDescent="0.25">
      <c r="A1888" s="1" t="s">
        <v>3038</v>
      </c>
      <c r="B1888" s="1" t="s">
        <v>44</v>
      </c>
      <c r="C1888" s="1" t="s">
        <v>15</v>
      </c>
      <c r="D1888" s="1" t="s">
        <v>25</v>
      </c>
      <c r="E1888" s="1" t="s">
        <v>94</v>
      </c>
      <c r="F1888" s="1" t="s">
        <v>53</v>
      </c>
      <c r="G1888">
        <v>56146</v>
      </c>
      <c r="H1888" s="1" t="s">
        <v>356</v>
      </c>
      <c r="I1888" s="2"/>
      <c r="K1888">
        <v>12.2</v>
      </c>
      <c r="L1888" s="1" t="s">
        <v>96</v>
      </c>
      <c r="M1888" s="1" t="s">
        <v>69</v>
      </c>
    </row>
    <row r="1889" spans="1:13" x14ac:dyDescent="0.25">
      <c r="A1889" s="1" t="s">
        <v>3039</v>
      </c>
      <c r="B1889" s="1" t="s">
        <v>173</v>
      </c>
      <c r="C1889" s="1" t="s">
        <v>1129</v>
      </c>
      <c r="D1889" s="1" t="s">
        <v>25</v>
      </c>
      <c r="E1889" s="1" t="s">
        <v>61</v>
      </c>
      <c r="F1889" s="1" t="s">
        <v>129</v>
      </c>
      <c r="G1889">
        <v>185841</v>
      </c>
      <c r="H1889" s="1" t="s">
        <v>889</v>
      </c>
      <c r="I1889" s="2"/>
      <c r="K1889">
        <v>11.8</v>
      </c>
      <c r="L1889" s="1" t="s">
        <v>20</v>
      </c>
      <c r="M1889" s="1" t="s">
        <v>21</v>
      </c>
    </row>
    <row r="1890" spans="1:13" x14ac:dyDescent="0.25">
      <c r="A1890" s="1" t="s">
        <v>3040</v>
      </c>
      <c r="B1890" s="1" t="s">
        <v>59</v>
      </c>
      <c r="C1890" s="1" t="s">
        <v>224</v>
      </c>
      <c r="D1890" s="1" t="s">
        <v>67</v>
      </c>
      <c r="E1890" s="1" t="s">
        <v>94</v>
      </c>
      <c r="F1890" s="1" t="s">
        <v>129</v>
      </c>
      <c r="G1890">
        <v>345337</v>
      </c>
      <c r="H1890" s="1" t="s">
        <v>3041</v>
      </c>
      <c r="I1890" s="2"/>
      <c r="L1890" s="1" t="s">
        <v>20</v>
      </c>
      <c r="M1890" s="1" t="s">
        <v>149</v>
      </c>
    </row>
    <row r="1891" spans="1:13" x14ac:dyDescent="0.25">
      <c r="A1891" s="1" t="s">
        <v>3042</v>
      </c>
      <c r="B1891" s="1" t="s">
        <v>23</v>
      </c>
      <c r="C1891" s="1" t="s">
        <v>662</v>
      </c>
      <c r="D1891" s="1" t="s">
        <v>39</v>
      </c>
      <c r="E1891" s="1" t="s">
        <v>100</v>
      </c>
      <c r="F1891" s="1" t="s">
        <v>40</v>
      </c>
      <c r="G1891">
        <v>59673</v>
      </c>
      <c r="H1891" s="1" t="s">
        <v>3043</v>
      </c>
      <c r="I1891" s="2">
        <v>45338</v>
      </c>
      <c r="J1891">
        <v>95</v>
      </c>
      <c r="K1891">
        <v>8.9</v>
      </c>
      <c r="L1891" s="1" t="s">
        <v>29</v>
      </c>
      <c r="M1891" s="1" t="s">
        <v>21</v>
      </c>
    </row>
    <row r="1892" spans="1:13" x14ac:dyDescent="0.25">
      <c r="A1892" s="1" t="s">
        <v>3044</v>
      </c>
      <c r="B1892" s="1" t="s">
        <v>98</v>
      </c>
      <c r="C1892" s="1" t="s">
        <v>1354</v>
      </c>
      <c r="D1892" s="1" t="s">
        <v>46</v>
      </c>
      <c r="E1892" s="1" t="s">
        <v>77</v>
      </c>
      <c r="F1892" s="1" t="s">
        <v>18</v>
      </c>
      <c r="G1892">
        <v>178107</v>
      </c>
      <c r="H1892" s="1" t="s">
        <v>262</v>
      </c>
      <c r="I1892" s="2">
        <v>45791</v>
      </c>
      <c r="J1892">
        <v>137</v>
      </c>
      <c r="L1892" s="1" t="s">
        <v>49</v>
      </c>
      <c r="M1892" s="1" t="s">
        <v>42</v>
      </c>
    </row>
    <row r="1893" spans="1:13" x14ac:dyDescent="0.25">
      <c r="A1893" s="1" t="s">
        <v>3045</v>
      </c>
      <c r="B1893" s="1" t="s">
        <v>37</v>
      </c>
      <c r="C1893" s="1" t="s">
        <v>1142</v>
      </c>
      <c r="D1893" s="1" t="s">
        <v>16</v>
      </c>
      <c r="E1893" s="1" t="s">
        <v>100</v>
      </c>
      <c r="F1893" s="1" t="s">
        <v>33</v>
      </c>
      <c r="G1893">
        <v>441714</v>
      </c>
      <c r="H1893" s="1" t="s">
        <v>1929</v>
      </c>
      <c r="I1893" s="2"/>
      <c r="L1893" s="1" t="s">
        <v>20</v>
      </c>
      <c r="M1893" s="1" t="s">
        <v>30</v>
      </c>
    </row>
    <row r="1894" spans="1:13" x14ac:dyDescent="0.25">
      <c r="A1894" s="1" t="s">
        <v>3046</v>
      </c>
      <c r="B1894" s="1" t="s">
        <v>80</v>
      </c>
      <c r="C1894" s="1" t="s">
        <v>303</v>
      </c>
      <c r="D1894" s="1" t="s">
        <v>67</v>
      </c>
      <c r="E1894" s="1" t="s">
        <v>61</v>
      </c>
      <c r="F1894" s="1" t="s">
        <v>129</v>
      </c>
      <c r="G1894">
        <v>434422</v>
      </c>
      <c r="H1894" s="1" t="s">
        <v>356</v>
      </c>
      <c r="I1894" s="2"/>
      <c r="K1894">
        <v>14.7</v>
      </c>
      <c r="L1894" s="1" t="s">
        <v>29</v>
      </c>
      <c r="M1894" s="1" t="s">
        <v>69</v>
      </c>
    </row>
    <row r="1895" spans="1:13" x14ac:dyDescent="0.25">
      <c r="A1895" s="1" t="s">
        <v>3047</v>
      </c>
      <c r="B1895" s="1" t="s">
        <v>88</v>
      </c>
      <c r="C1895" s="1" t="s">
        <v>1087</v>
      </c>
      <c r="D1895" s="1" t="s">
        <v>25</v>
      </c>
      <c r="E1895" s="1" t="s">
        <v>17</v>
      </c>
      <c r="F1895" s="1" t="s">
        <v>40</v>
      </c>
      <c r="G1895">
        <v>56338</v>
      </c>
      <c r="H1895" s="1" t="s">
        <v>120</v>
      </c>
      <c r="I1895" s="2">
        <v>45092</v>
      </c>
      <c r="J1895">
        <v>142</v>
      </c>
      <c r="K1895">
        <v>11.8</v>
      </c>
      <c r="L1895" s="1" t="s">
        <v>20</v>
      </c>
      <c r="M1895" s="1" t="s">
        <v>35</v>
      </c>
    </row>
    <row r="1896" spans="1:13" x14ac:dyDescent="0.25">
      <c r="A1896" s="1" t="s">
        <v>3048</v>
      </c>
      <c r="B1896" s="1" t="s">
        <v>37</v>
      </c>
      <c r="C1896" s="1" t="s">
        <v>708</v>
      </c>
      <c r="D1896" s="1" t="s">
        <v>90</v>
      </c>
      <c r="E1896" s="1" t="s">
        <v>94</v>
      </c>
      <c r="F1896" s="1" t="s">
        <v>27</v>
      </c>
      <c r="G1896">
        <v>55740</v>
      </c>
      <c r="H1896" s="1" t="s">
        <v>1098</v>
      </c>
      <c r="I1896" s="2"/>
      <c r="K1896">
        <v>5.4</v>
      </c>
      <c r="L1896" s="1" t="s">
        <v>29</v>
      </c>
      <c r="M1896" s="1" t="s">
        <v>42</v>
      </c>
    </row>
    <row r="1897" spans="1:13" x14ac:dyDescent="0.25">
      <c r="A1897" s="1" t="s">
        <v>3049</v>
      </c>
      <c r="B1897" s="1" t="s">
        <v>173</v>
      </c>
      <c r="C1897" s="1" t="s">
        <v>442</v>
      </c>
      <c r="D1897" s="1" t="s">
        <v>25</v>
      </c>
      <c r="E1897" s="1" t="s">
        <v>17</v>
      </c>
      <c r="F1897" s="1" t="s">
        <v>18</v>
      </c>
      <c r="G1897">
        <v>237241</v>
      </c>
      <c r="H1897" s="1" t="s">
        <v>2038</v>
      </c>
      <c r="I1897" s="2">
        <v>45553</v>
      </c>
      <c r="J1897">
        <v>25</v>
      </c>
      <c r="K1897">
        <v>0</v>
      </c>
      <c r="L1897" s="1" t="s">
        <v>29</v>
      </c>
      <c r="M1897" s="1" t="s">
        <v>149</v>
      </c>
    </row>
    <row r="1898" spans="1:13" x14ac:dyDescent="0.25">
      <c r="A1898" s="1" t="s">
        <v>3050</v>
      </c>
      <c r="B1898" s="1" t="s">
        <v>104</v>
      </c>
      <c r="C1898" s="1" t="s">
        <v>531</v>
      </c>
      <c r="D1898" s="1" t="s">
        <v>25</v>
      </c>
      <c r="E1898" s="1" t="s">
        <v>94</v>
      </c>
      <c r="F1898" s="1" t="s">
        <v>53</v>
      </c>
      <c r="G1898">
        <v>43170</v>
      </c>
      <c r="H1898" s="1" t="s">
        <v>440</v>
      </c>
      <c r="I1898" s="2"/>
      <c r="L1898" s="1" t="s">
        <v>49</v>
      </c>
      <c r="M1898" s="1" t="s">
        <v>30</v>
      </c>
    </row>
    <row r="1899" spans="1:13" x14ac:dyDescent="0.25">
      <c r="A1899" s="1" t="s">
        <v>3051</v>
      </c>
      <c r="B1899" s="1" t="s">
        <v>109</v>
      </c>
      <c r="C1899" s="1" t="s">
        <v>539</v>
      </c>
      <c r="D1899" s="1" t="s">
        <v>90</v>
      </c>
      <c r="E1899" s="1" t="s">
        <v>72</v>
      </c>
      <c r="F1899" s="1" t="s">
        <v>33</v>
      </c>
      <c r="G1899">
        <v>13588</v>
      </c>
      <c r="H1899" s="1" t="s">
        <v>1589</v>
      </c>
      <c r="I1899" s="2"/>
      <c r="K1899">
        <v>11.2</v>
      </c>
      <c r="L1899" s="1" t="s">
        <v>29</v>
      </c>
      <c r="M1899" s="1" t="s">
        <v>63</v>
      </c>
    </row>
    <row r="1900" spans="1:13" x14ac:dyDescent="0.25">
      <c r="A1900" s="1" t="s">
        <v>3052</v>
      </c>
      <c r="B1900" s="1" t="s">
        <v>44</v>
      </c>
      <c r="C1900" s="1" t="s">
        <v>1776</v>
      </c>
      <c r="D1900" s="1" t="s">
        <v>16</v>
      </c>
      <c r="E1900" s="1" t="s">
        <v>61</v>
      </c>
      <c r="F1900" s="1" t="s">
        <v>40</v>
      </c>
      <c r="G1900">
        <v>120776</v>
      </c>
      <c r="H1900" s="1" t="s">
        <v>495</v>
      </c>
      <c r="I1900" s="2">
        <v>45316</v>
      </c>
      <c r="J1900">
        <v>31</v>
      </c>
      <c r="K1900">
        <v>21.3</v>
      </c>
      <c r="L1900" s="1" t="s">
        <v>49</v>
      </c>
      <c r="M1900" s="1" t="s">
        <v>21</v>
      </c>
    </row>
    <row r="1901" spans="1:13" x14ac:dyDescent="0.25">
      <c r="A1901" s="1" t="s">
        <v>3053</v>
      </c>
      <c r="B1901" s="1" t="s">
        <v>127</v>
      </c>
      <c r="C1901" s="1" t="s">
        <v>66</v>
      </c>
      <c r="D1901" s="1" t="s">
        <v>90</v>
      </c>
      <c r="E1901" s="1" t="s">
        <v>77</v>
      </c>
      <c r="F1901" s="1" t="s">
        <v>40</v>
      </c>
      <c r="G1901">
        <v>455057</v>
      </c>
      <c r="H1901" s="1" t="s">
        <v>3054</v>
      </c>
      <c r="I1901" s="2">
        <v>45294</v>
      </c>
      <c r="J1901">
        <v>92</v>
      </c>
      <c r="K1901">
        <v>20.9</v>
      </c>
      <c r="L1901" s="1" t="s">
        <v>29</v>
      </c>
      <c r="M1901" s="1" t="s">
        <v>21</v>
      </c>
    </row>
    <row r="1902" spans="1:13" x14ac:dyDescent="0.25">
      <c r="A1902" s="1" t="s">
        <v>3055</v>
      </c>
      <c r="B1902" s="1" t="s">
        <v>44</v>
      </c>
      <c r="C1902" s="1" t="s">
        <v>957</v>
      </c>
      <c r="D1902" s="1" t="s">
        <v>25</v>
      </c>
      <c r="E1902" s="1" t="s">
        <v>77</v>
      </c>
      <c r="F1902" s="1" t="s">
        <v>40</v>
      </c>
      <c r="G1902">
        <v>275730</v>
      </c>
      <c r="H1902" s="1" t="s">
        <v>974</v>
      </c>
      <c r="I1902" s="2">
        <v>45040</v>
      </c>
      <c r="J1902">
        <v>101</v>
      </c>
      <c r="K1902">
        <v>10.1</v>
      </c>
      <c r="L1902" s="1" t="s">
        <v>96</v>
      </c>
      <c r="M1902" s="1" t="s">
        <v>35</v>
      </c>
    </row>
    <row r="1903" spans="1:13" x14ac:dyDescent="0.25">
      <c r="A1903" s="1" t="s">
        <v>3056</v>
      </c>
      <c r="B1903" s="1" t="s">
        <v>14</v>
      </c>
      <c r="C1903" s="1" t="s">
        <v>1153</v>
      </c>
      <c r="D1903" s="1" t="s">
        <v>67</v>
      </c>
      <c r="E1903" s="1" t="s">
        <v>94</v>
      </c>
      <c r="F1903" s="1" t="s">
        <v>33</v>
      </c>
      <c r="G1903">
        <v>482360</v>
      </c>
      <c r="H1903" s="1" t="s">
        <v>1784</v>
      </c>
      <c r="I1903" s="2"/>
      <c r="K1903">
        <v>13.4</v>
      </c>
      <c r="L1903" s="1" t="s">
        <v>29</v>
      </c>
      <c r="M1903" s="1" t="s">
        <v>69</v>
      </c>
    </row>
    <row r="1904" spans="1:13" x14ac:dyDescent="0.25">
      <c r="A1904" s="1" t="s">
        <v>3057</v>
      </c>
      <c r="B1904" s="1" t="s">
        <v>127</v>
      </c>
      <c r="C1904" s="1" t="s">
        <v>874</v>
      </c>
      <c r="D1904" s="1" t="s">
        <v>90</v>
      </c>
      <c r="E1904" s="1" t="s">
        <v>26</v>
      </c>
      <c r="F1904" s="1" t="s">
        <v>33</v>
      </c>
      <c r="G1904">
        <v>383450</v>
      </c>
      <c r="H1904" s="1" t="s">
        <v>663</v>
      </c>
      <c r="I1904" s="2"/>
      <c r="K1904">
        <v>15</v>
      </c>
      <c r="L1904" s="1" t="s">
        <v>29</v>
      </c>
      <c r="M1904" s="1" t="s">
        <v>30</v>
      </c>
    </row>
    <row r="1905" spans="1:13" x14ac:dyDescent="0.25">
      <c r="A1905" s="1" t="s">
        <v>3058</v>
      </c>
      <c r="B1905" s="1" t="s">
        <v>51</v>
      </c>
      <c r="C1905" s="1" t="s">
        <v>198</v>
      </c>
      <c r="D1905" s="1" t="s">
        <v>16</v>
      </c>
      <c r="E1905" s="1" t="s">
        <v>72</v>
      </c>
      <c r="F1905" s="1" t="s">
        <v>53</v>
      </c>
      <c r="G1905">
        <v>393447</v>
      </c>
      <c r="H1905" s="1" t="s">
        <v>841</v>
      </c>
      <c r="I1905" s="2"/>
      <c r="K1905">
        <v>5</v>
      </c>
      <c r="L1905" s="1" t="s">
        <v>96</v>
      </c>
      <c r="M1905" s="1" t="s">
        <v>21</v>
      </c>
    </row>
    <row r="1906" spans="1:13" x14ac:dyDescent="0.25">
      <c r="A1906" s="1" t="s">
        <v>3059</v>
      </c>
      <c r="B1906" s="1" t="s">
        <v>51</v>
      </c>
      <c r="C1906" s="1" t="s">
        <v>449</v>
      </c>
      <c r="D1906" s="1" t="s">
        <v>39</v>
      </c>
      <c r="E1906" s="1" t="s">
        <v>61</v>
      </c>
      <c r="F1906" s="1" t="s">
        <v>129</v>
      </c>
      <c r="G1906">
        <v>132358</v>
      </c>
      <c r="H1906" s="1" t="s">
        <v>687</v>
      </c>
      <c r="I1906" s="2"/>
      <c r="K1906">
        <v>13</v>
      </c>
      <c r="L1906" s="1" t="s">
        <v>20</v>
      </c>
      <c r="M1906" s="1" t="s">
        <v>107</v>
      </c>
    </row>
    <row r="1907" spans="1:13" x14ac:dyDescent="0.25">
      <c r="A1907" s="1" t="s">
        <v>3060</v>
      </c>
      <c r="B1907" s="1" t="s">
        <v>88</v>
      </c>
      <c r="C1907" s="1" t="s">
        <v>917</v>
      </c>
      <c r="D1907" s="1" t="s">
        <v>16</v>
      </c>
      <c r="E1907" s="1" t="s">
        <v>47</v>
      </c>
      <c r="F1907" s="1" t="s">
        <v>129</v>
      </c>
      <c r="G1907">
        <v>96397</v>
      </c>
      <c r="H1907" s="1" t="s">
        <v>1623</v>
      </c>
      <c r="I1907" s="2"/>
      <c r="L1907" s="1" t="s">
        <v>20</v>
      </c>
      <c r="M1907" s="1" t="s">
        <v>69</v>
      </c>
    </row>
    <row r="1908" spans="1:13" x14ac:dyDescent="0.25">
      <c r="A1908" s="1" t="s">
        <v>3061</v>
      </c>
      <c r="B1908" s="1" t="s">
        <v>109</v>
      </c>
      <c r="C1908" s="1" t="s">
        <v>571</v>
      </c>
      <c r="D1908" s="1" t="s">
        <v>25</v>
      </c>
      <c r="E1908" s="1" t="s">
        <v>77</v>
      </c>
      <c r="F1908" s="1" t="s">
        <v>33</v>
      </c>
      <c r="G1908">
        <v>494338</v>
      </c>
      <c r="H1908" s="1" t="s">
        <v>2679</v>
      </c>
      <c r="I1908" s="2"/>
      <c r="K1908">
        <v>0.8</v>
      </c>
      <c r="L1908" s="1" t="s">
        <v>29</v>
      </c>
      <c r="M1908" s="1" t="s">
        <v>102</v>
      </c>
    </row>
    <row r="1909" spans="1:13" x14ac:dyDescent="0.25">
      <c r="A1909" s="1" t="s">
        <v>3062</v>
      </c>
      <c r="B1909" s="1" t="s">
        <v>44</v>
      </c>
      <c r="C1909" s="1" t="s">
        <v>1462</v>
      </c>
      <c r="D1909" s="1" t="s">
        <v>25</v>
      </c>
      <c r="E1909" s="1" t="s">
        <v>94</v>
      </c>
      <c r="F1909" s="1" t="s">
        <v>129</v>
      </c>
      <c r="G1909">
        <v>140891</v>
      </c>
      <c r="H1909" s="1" t="s">
        <v>431</v>
      </c>
      <c r="I1909" s="2"/>
      <c r="L1909" s="1" t="s">
        <v>20</v>
      </c>
      <c r="M1909" s="1" t="s">
        <v>149</v>
      </c>
    </row>
    <row r="1910" spans="1:13" x14ac:dyDescent="0.25">
      <c r="A1910" s="1" t="s">
        <v>3063</v>
      </c>
      <c r="B1910" s="1" t="s">
        <v>51</v>
      </c>
      <c r="C1910" s="1" t="s">
        <v>415</v>
      </c>
      <c r="D1910" s="1" t="s">
        <v>16</v>
      </c>
      <c r="E1910" s="1" t="s">
        <v>94</v>
      </c>
      <c r="F1910" s="1" t="s">
        <v>27</v>
      </c>
      <c r="G1910">
        <v>15497</v>
      </c>
      <c r="H1910" s="1" t="s">
        <v>1068</v>
      </c>
      <c r="I1910" s="2"/>
      <c r="K1910">
        <v>2.2999999999999998</v>
      </c>
      <c r="L1910" s="1" t="s">
        <v>20</v>
      </c>
      <c r="M1910" s="1" t="s">
        <v>42</v>
      </c>
    </row>
    <row r="1911" spans="1:13" x14ac:dyDescent="0.25">
      <c r="A1911" s="1" t="s">
        <v>3064</v>
      </c>
      <c r="B1911" s="1" t="s">
        <v>173</v>
      </c>
      <c r="C1911" s="1" t="s">
        <v>1582</v>
      </c>
      <c r="D1911" s="1" t="s">
        <v>90</v>
      </c>
      <c r="E1911" s="1" t="s">
        <v>94</v>
      </c>
      <c r="F1911" s="1" t="s">
        <v>129</v>
      </c>
      <c r="G1911">
        <v>76884</v>
      </c>
      <c r="H1911" s="1" t="s">
        <v>2911</v>
      </c>
      <c r="I1911" s="2"/>
      <c r="L1911" s="1" t="s">
        <v>29</v>
      </c>
      <c r="M1911" s="1" t="s">
        <v>42</v>
      </c>
    </row>
    <row r="1912" spans="1:13" x14ac:dyDescent="0.25">
      <c r="A1912" s="1" t="s">
        <v>3065</v>
      </c>
      <c r="B1912" s="1" t="s">
        <v>75</v>
      </c>
      <c r="C1912" s="1" t="s">
        <v>168</v>
      </c>
      <c r="D1912" s="1" t="s">
        <v>90</v>
      </c>
      <c r="E1912" s="1" t="s">
        <v>26</v>
      </c>
      <c r="F1912" s="1" t="s">
        <v>129</v>
      </c>
      <c r="G1912">
        <v>208169</v>
      </c>
      <c r="H1912" s="1" t="s">
        <v>3066</v>
      </c>
      <c r="I1912" s="2"/>
      <c r="K1912">
        <v>9.6999999999999993</v>
      </c>
      <c r="L1912" s="1" t="s">
        <v>20</v>
      </c>
      <c r="M1912" s="1" t="s">
        <v>107</v>
      </c>
    </row>
    <row r="1913" spans="1:13" x14ac:dyDescent="0.25">
      <c r="A1913" s="1" t="s">
        <v>3067</v>
      </c>
      <c r="B1913" s="1" t="s">
        <v>14</v>
      </c>
      <c r="C1913" s="1" t="s">
        <v>474</v>
      </c>
      <c r="D1913" s="1" t="s">
        <v>67</v>
      </c>
      <c r="E1913" s="1" t="s">
        <v>77</v>
      </c>
      <c r="F1913" s="1" t="s">
        <v>18</v>
      </c>
      <c r="G1913">
        <v>162389</v>
      </c>
      <c r="H1913" s="1" t="s">
        <v>1148</v>
      </c>
      <c r="I1913" s="2">
        <v>45627</v>
      </c>
      <c r="J1913">
        <v>117</v>
      </c>
      <c r="K1913">
        <v>3.3</v>
      </c>
      <c r="L1913" s="1" t="s">
        <v>96</v>
      </c>
      <c r="M1913" s="1" t="s">
        <v>149</v>
      </c>
    </row>
    <row r="1914" spans="1:13" x14ac:dyDescent="0.25">
      <c r="A1914" s="1" t="s">
        <v>3068</v>
      </c>
      <c r="B1914" s="1" t="s">
        <v>51</v>
      </c>
      <c r="C1914" s="1" t="s">
        <v>1191</v>
      </c>
      <c r="D1914" s="1" t="s">
        <v>90</v>
      </c>
      <c r="E1914" s="1" t="s">
        <v>100</v>
      </c>
      <c r="F1914" s="1" t="s">
        <v>40</v>
      </c>
      <c r="G1914">
        <v>412959</v>
      </c>
      <c r="H1914" s="1" t="s">
        <v>1910</v>
      </c>
      <c r="I1914" s="2">
        <v>45105</v>
      </c>
      <c r="J1914">
        <v>47</v>
      </c>
      <c r="K1914">
        <v>4.3</v>
      </c>
      <c r="L1914" s="1" t="s">
        <v>96</v>
      </c>
      <c r="M1914" s="1" t="s">
        <v>30</v>
      </c>
    </row>
    <row r="1915" spans="1:13" x14ac:dyDescent="0.25">
      <c r="A1915" s="1" t="s">
        <v>3069</v>
      </c>
      <c r="B1915" s="1" t="s">
        <v>44</v>
      </c>
      <c r="C1915" s="1" t="s">
        <v>805</v>
      </c>
      <c r="D1915" s="1" t="s">
        <v>39</v>
      </c>
      <c r="E1915" s="1" t="s">
        <v>72</v>
      </c>
      <c r="F1915" s="1" t="s">
        <v>33</v>
      </c>
      <c r="G1915">
        <v>499664</v>
      </c>
      <c r="H1915" s="1" t="s">
        <v>434</v>
      </c>
      <c r="I1915" s="2"/>
      <c r="L1915" s="1" t="s">
        <v>96</v>
      </c>
      <c r="M1915" s="1" t="s">
        <v>63</v>
      </c>
    </row>
    <row r="1916" spans="1:13" x14ac:dyDescent="0.25">
      <c r="A1916" s="1" t="s">
        <v>3070</v>
      </c>
      <c r="B1916" s="1" t="s">
        <v>37</v>
      </c>
      <c r="C1916" s="1" t="s">
        <v>1455</v>
      </c>
      <c r="D1916" s="1" t="s">
        <v>25</v>
      </c>
      <c r="E1916" s="1" t="s">
        <v>72</v>
      </c>
      <c r="F1916" s="1" t="s">
        <v>33</v>
      </c>
      <c r="G1916">
        <v>262812</v>
      </c>
      <c r="H1916" s="1" t="s">
        <v>875</v>
      </c>
      <c r="I1916" s="2"/>
      <c r="L1916" s="1" t="s">
        <v>49</v>
      </c>
      <c r="M1916" s="1" t="s">
        <v>102</v>
      </c>
    </row>
    <row r="1917" spans="1:13" x14ac:dyDescent="0.25">
      <c r="A1917" s="1" t="s">
        <v>2427</v>
      </c>
      <c r="B1917" s="1" t="s">
        <v>84</v>
      </c>
      <c r="C1917" s="1" t="s">
        <v>198</v>
      </c>
      <c r="D1917" s="1" t="s">
        <v>67</v>
      </c>
      <c r="E1917" s="1" t="s">
        <v>26</v>
      </c>
      <c r="F1917" s="1" t="s">
        <v>40</v>
      </c>
      <c r="G1917">
        <v>441817</v>
      </c>
      <c r="H1917" s="1" t="s">
        <v>2428</v>
      </c>
      <c r="I1917" s="2">
        <v>45311</v>
      </c>
      <c r="J1917">
        <v>157</v>
      </c>
      <c r="K1917">
        <v>15.8</v>
      </c>
      <c r="L1917" s="1" t="s">
        <v>29</v>
      </c>
      <c r="M1917" s="1" t="s">
        <v>102</v>
      </c>
    </row>
    <row r="1918" spans="1:13" x14ac:dyDescent="0.25">
      <c r="A1918" s="1" t="s">
        <v>3071</v>
      </c>
      <c r="B1918" s="1" t="s">
        <v>44</v>
      </c>
      <c r="C1918" s="1" t="s">
        <v>2185</v>
      </c>
      <c r="D1918" s="1" t="s">
        <v>39</v>
      </c>
      <c r="E1918" s="1" t="s">
        <v>17</v>
      </c>
      <c r="F1918" s="1" t="s">
        <v>129</v>
      </c>
      <c r="G1918">
        <v>360600</v>
      </c>
      <c r="H1918" s="1" t="s">
        <v>1310</v>
      </c>
      <c r="I1918" s="2"/>
      <c r="L1918" s="1" t="s">
        <v>29</v>
      </c>
      <c r="M1918" s="1" t="s">
        <v>21</v>
      </c>
    </row>
    <row r="1919" spans="1:13" x14ac:dyDescent="0.25">
      <c r="A1919" s="1" t="s">
        <v>3072</v>
      </c>
      <c r="B1919" s="1" t="s">
        <v>65</v>
      </c>
      <c r="C1919" s="1" t="s">
        <v>972</v>
      </c>
      <c r="D1919" s="1" t="s">
        <v>46</v>
      </c>
      <c r="E1919" s="1" t="s">
        <v>26</v>
      </c>
      <c r="F1919" s="1" t="s">
        <v>40</v>
      </c>
      <c r="G1919">
        <v>433801</v>
      </c>
      <c r="H1919" s="1" t="s">
        <v>1937</v>
      </c>
      <c r="I1919" s="2">
        <v>45458</v>
      </c>
      <c r="J1919">
        <v>135</v>
      </c>
      <c r="K1919">
        <v>14.3</v>
      </c>
      <c r="L1919" s="1" t="s">
        <v>29</v>
      </c>
      <c r="M1919" s="1" t="s">
        <v>69</v>
      </c>
    </row>
    <row r="1920" spans="1:13" x14ac:dyDescent="0.25">
      <c r="A1920" s="1" t="s">
        <v>3073</v>
      </c>
      <c r="B1920" s="1" t="s">
        <v>44</v>
      </c>
      <c r="C1920" s="1" t="s">
        <v>220</v>
      </c>
      <c r="D1920" s="1" t="s">
        <v>90</v>
      </c>
      <c r="E1920" s="1" t="s">
        <v>51</v>
      </c>
      <c r="F1920" s="1" t="s">
        <v>27</v>
      </c>
      <c r="G1920">
        <v>402173</v>
      </c>
      <c r="H1920" s="1" t="s">
        <v>1900</v>
      </c>
      <c r="I1920" s="2"/>
      <c r="K1920">
        <v>4.5999999999999996</v>
      </c>
      <c r="L1920" s="1" t="s">
        <v>20</v>
      </c>
      <c r="M1920" s="1" t="s">
        <v>69</v>
      </c>
    </row>
    <row r="1921" spans="1:13" x14ac:dyDescent="0.25">
      <c r="A1921" s="1" t="s">
        <v>3074</v>
      </c>
      <c r="B1921" s="1" t="s">
        <v>88</v>
      </c>
      <c r="C1921" s="1" t="s">
        <v>983</v>
      </c>
      <c r="D1921" s="1" t="s">
        <v>46</v>
      </c>
      <c r="E1921" s="1" t="s">
        <v>47</v>
      </c>
      <c r="F1921" s="1" t="s">
        <v>40</v>
      </c>
      <c r="G1921">
        <v>55310</v>
      </c>
      <c r="H1921" s="1" t="s">
        <v>2201</v>
      </c>
      <c r="I1921" s="2">
        <v>45444</v>
      </c>
      <c r="J1921">
        <v>118</v>
      </c>
      <c r="K1921">
        <v>16.3</v>
      </c>
      <c r="L1921" s="1" t="s">
        <v>20</v>
      </c>
      <c r="M1921" s="1" t="s">
        <v>69</v>
      </c>
    </row>
    <row r="1922" spans="1:13" x14ac:dyDescent="0.25">
      <c r="A1922" s="1" t="s">
        <v>3075</v>
      </c>
      <c r="B1922" s="1" t="s">
        <v>14</v>
      </c>
      <c r="C1922" s="1" t="s">
        <v>778</v>
      </c>
      <c r="D1922" s="1" t="s">
        <v>25</v>
      </c>
      <c r="E1922" s="1" t="s">
        <v>94</v>
      </c>
      <c r="F1922" s="1" t="s">
        <v>40</v>
      </c>
      <c r="G1922">
        <v>125653</v>
      </c>
      <c r="H1922" s="1" t="s">
        <v>391</v>
      </c>
      <c r="I1922" s="2">
        <v>45534</v>
      </c>
      <c r="J1922">
        <v>175</v>
      </c>
      <c r="K1922">
        <v>19.100000000000001</v>
      </c>
      <c r="L1922" s="1" t="s">
        <v>49</v>
      </c>
      <c r="M1922" s="1" t="s">
        <v>69</v>
      </c>
    </row>
    <row r="1923" spans="1:13" x14ac:dyDescent="0.25">
      <c r="A1923" s="1" t="s">
        <v>3076</v>
      </c>
      <c r="B1923" s="1" t="s">
        <v>127</v>
      </c>
      <c r="C1923" s="1" t="s">
        <v>273</v>
      </c>
      <c r="D1923" s="1" t="s">
        <v>90</v>
      </c>
      <c r="E1923" s="1" t="s">
        <v>100</v>
      </c>
      <c r="F1923" s="1" t="s">
        <v>27</v>
      </c>
      <c r="G1923">
        <v>125722</v>
      </c>
      <c r="H1923" s="1" t="s">
        <v>1718</v>
      </c>
      <c r="I1923" s="2"/>
      <c r="K1923">
        <v>0.2</v>
      </c>
      <c r="L1923" s="1" t="s">
        <v>20</v>
      </c>
      <c r="M1923" s="1" t="s">
        <v>35</v>
      </c>
    </row>
    <row r="1924" spans="1:13" x14ac:dyDescent="0.25">
      <c r="A1924" s="1" t="s">
        <v>3077</v>
      </c>
      <c r="B1924" s="1" t="s">
        <v>75</v>
      </c>
      <c r="C1924" s="1" t="s">
        <v>2564</v>
      </c>
      <c r="D1924" s="1" t="s">
        <v>25</v>
      </c>
      <c r="E1924" s="1" t="s">
        <v>26</v>
      </c>
      <c r="F1924" s="1" t="s">
        <v>40</v>
      </c>
      <c r="G1924">
        <v>436598</v>
      </c>
      <c r="H1924" s="1" t="s">
        <v>3078</v>
      </c>
      <c r="I1924" s="2">
        <v>45507</v>
      </c>
      <c r="J1924">
        <v>31</v>
      </c>
      <c r="K1924">
        <v>23.4</v>
      </c>
      <c r="L1924" s="1" t="s">
        <v>49</v>
      </c>
      <c r="M1924" s="1" t="s">
        <v>149</v>
      </c>
    </row>
    <row r="1925" spans="1:13" x14ac:dyDescent="0.25">
      <c r="A1925" s="1" t="s">
        <v>3079</v>
      </c>
      <c r="B1925" s="1" t="s">
        <v>104</v>
      </c>
      <c r="C1925" s="1" t="s">
        <v>364</v>
      </c>
      <c r="D1925" s="1" t="s">
        <v>90</v>
      </c>
      <c r="E1925" s="1" t="s">
        <v>51</v>
      </c>
      <c r="F1925" s="1" t="s">
        <v>33</v>
      </c>
      <c r="G1925">
        <v>121368</v>
      </c>
      <c r="H1925" s="1" t="s">
        <v>604</v>
      </c>
      <c r="I1925" s="2"/>
      <c r="K1925">
        <v>9.9</v>
      </c>
      <c r="L1925" s="1" t="s">
        <v>29</v>
      </c>
      <c r="M1925" s="1" t="s">
        <v>107</v>
      </c>
    </row>
    <row r="1926" spans="1:13" x14ac:dyDescent="0.25">
      <c r="A1926" s="1" t="s">
        <v>3080</v>
      </c>
      <c r="B1926" s="1" t="s">
        <v>80</v>
      </c>
      <c r="C1926" s="1" t="s">
        <v>622</v>
      </c>
      <c r="D1926" s="1" t="s">
        <v>90</v>
      </c>
      <c r="E1926" s="1" t="s">
        <v>61</v>
      </c>
      <c r="F1926" s="1" t="s">
        <v>40</v>
      </c>
      <c r="G1926">
        <v>98738</v>
      </c>
      <c r="H1926" s="1" t="s">
        <v>2688</v>
      </c>
      <c r="I1926" s="2">
        <v>45686</v>
      </c>
      <c r="J1926">
        <v>128</v>
      </c>
      <c r="K1926">
        <v>11</v>
      </c>
      <c r="L1926" s="1" t="s">
        <v>29</v>
      </c>
      <c r="M1926" s="1" t="s">
        <v>149</v>
      </c>
    </row>
    <row r="1927" spans="1:13" x14ac:dyDescent="0.25">
      <c r="A1927" s="1" t="s">
        <v>3081</v>
      </c>
      <c r="B1927" s="1" t="s">
        <v>98</v>
      </c>
      <c r="C1927" s="1" t="s">
        <v>71</v>
      </c>
      <c r="D1927" s="1" t="s">
        <v>67</v>
      </c>
      <c r="E1927" s="1" t="s">
        <v>51</v>
      </c>
      <c r="F1927" s="1" t="s">
        <v>129</v>
      </c>
      <c r="G1927">
        <v>398313</v>
      </c>
      <c r="H1927" s="1" t="s">
        <v>1016</v>
      </c>
      <c r="I1927" s="2"/>
      <c r="L1927" s="1" t="s">
        <v>49</v>
      </c>
      <c r="M1927" s="1" t="s">
        <v>30</v>
      </c>
    </row>
    <row r="1928" spans="1:13" x14ac:dyDescent="0.25">
      <c r="A1928" s="1" t="s">
        <v>3082</v>
      </c>
      <c r="B1928" s="1" t="s">
        <v>65</v>
      </c>
      <c r="C1928" s="1" t="s">
        <v>398</v>
      </c>
      <c r="D1928" s="1" t="s">
        <v>67</v>
      </c>
      <c r="E1928" s="1" t="s">
        <v>100</v>
      </c>
      <c r="F1928" s="1" t="s">
        <v>129</v>
      </c>
      <c r="G1928">
        <v>132675</v>
      </c>
      <c r="H1928" s="1" t="s">
        <v>1032</v>
      </c>
      <c r="I1928" s="2"/>
      <c r="L1928" s="1" t="s">
        <v>96</v>
      </c>
      <c r="M1928" s="1" t="s">
        <v>42</v>
      </c>
    </row>
    <row r="1929" spans="1:13" x14ac:dyDescent="0.25">
      <c r="A1929" s="1" t="s">
        <v>3083</v>
      </c>
      <c r="B1929" s="1" t="s">
        <v>65</v>
      </c>
      <c r="C1929" s="1" t="s">
        <v>267</v>
      </c>
      <c r="D1929" s="1" t="s">
        <v>16</v>
      </c>
      <c r="E1929" s="1" t="s">
        <v>47</v>
      </c>
      <c r="F1929" s="1" t="s">
        <v>53</v>
      </c>
      <c r="G1929">
        <v>155524</v>
      </c>
      <c r="H1929" s="1" t="s">
        <v>1273</v>
      </c>
      <c r="I1929" s="2"/>
      <c r="K1929">
        <v>8.4</v>
      </c>
      <c r="L1929" s="1" t="s">
        <v>29</v>
      </c>
      <c r="M1929" s="1" t="s">
        <v>35</v>
      </c>
    </row>
    <row r="1930" spans="1:13" x14ac:dyDescent="0.25">
      <c r="A1930" s="1" t="s">
        <v>3084</v>
      </c>
      <c r="B1930" s="1" t="s">
        <v>65</v>
      </c>
      <c r="C1930" s="1" t="s">
        <v>430</v>
      </c>
      <c r="D1930" s="1" t="s">
        <v>25</v>
      </c>
      <c r="E1930" s="1" t="s">
        <v>26</v>
      </c>
      <c r="F1930" s="1" t="s">
        <v>18</v>
      </c>
      <c r="G1930">
        <v>19891</v>
      </c>
      <c r="H1930" s="1" t="s">
        <v>3085</v>
      </c>
      <c r="I1930" s="2">
        <v>45126</v>
      </c>
      <c r="J1930">
        <v>58</v>
      </c>
      <c r="L1930" s="1" t="s">
        <v>29</v>
      </c>
      <c r="M1930" s="1" t="s">
        <v>30</v>
      </c>
    </row>
    <row r="1931" spans="1:13" x14ac:dyDescent="0.25">
      <c r="A1931" s="1" t="s">
        <v>3086</v>
      </c>
      <c r="B1931" s="1" t="s">
        <v>75</v>
      </c>
      <c r="C1931" s="1" t="s">
        <v>349</v>
      </c>
      <c r="D1931" s="1" t="s">
        <v>67</v>
      </c>
      <c r="E1931" s="1" t="s">
        <v>47</v>
      </c>
      <c r="F1931" s="1" t="s">
        <v>27</v>
      </c>
      <c r="G1931">
        <v>16012</v>
      </c>
      <c r="H1931" s="1" t="s">
        <v>1439</v>
      </c>
      <c r="I1931" s="2"/>
      <c r="K1931">
        <v>14.2</v>
      </c>
      <c r="L1931" s="1" t="s">
        <v>29</v>
      </c>
      <c r="M1931" s="1" t="s">
        <v>149</v>
      </c>
    </row>
    <row r="1932" spans="1:13" x14ac:dyDescent="0.25">
      <c r="A1932" s="1" t="s">
        <v>3087</v>
      </c>
      <c r="B1932" s="1" t="s">
        <v>98</v>
      </c>
      <c r="C1932" s="1" t="s">
        <v>321</v>
      </c>
      <c r="D1932" s="1" t="s">
        <v>25</v>
      </c>
      <c r="E1932" s="1" t="s">
        <v>51</v>
      </c>
      <c r="F1932" s="1" t="s">
        <v>53</v>
      </c>
      <c r="G1932">
        <v>200702</v>
      </c>
      <c r="H1932" s="1" t="s">
        <v>479</v>
      </c>
      <c r="I1932" s="2"/>
      <c r="L1932" s="1" t="s">
        <v>20</v>
      </c>
      <c r="M1932" s="1" t="s">
        <v>30</v>
      </c>
    </row>
    <row r="1933" spans="1:13" x14ac:dyDescent="0.25">
      <c r="A1933" s="1" t="s">
        <v>3088</v>
      </c>
      <c r="B1933" s="1" t="s">
        <v>84</v>
      </c>
      <c r="C1933" s="1" t="s">
        <v>132</v>
      </c>
      <c r="D1933" s="1" t="s">
        <v>67</v>
      </c>
      <c r="E1933" s="1" t="s">
        <v>26</v>
      </c>
      <c r="F1933" s="1" t="s">
        <v>18</v>
      </c>
      <c r="G1933">
        <v>88710</v>
      </c>
      <c r="H1933" s="1" t="s">
        <v>511</v>
      </c>
      <c r="I1933" s="2">
        <v>45358</v>
      </c>
      <c r="J1933">
        <v>47</v>
      </c>
      <c r="L1933" s="1" t="s">
        <v>49</v>
      </c>
      <c r="M1933" s="1" t="s">
        <v>69</v>
      </c>
    </row>
    <row r="1934" spans="1:13" x14ac:dyDescent="0.25">
      <c r="A1934" s="1" t="s">
        <v>3089</v>
      </c>
      <c r="B1934" s="1" t="s">
        <v>37</v>
      </c>
      <c r="C1934" s="1" t="s">
        <v>132</v>
      </c>
      <c r="D1934" s="1" t="s">
        <v>67</v>
      </c>
      <c r="E1934" s="1" t="s">
        <v>61</v>
      </c>
      <c r="F1934" s="1" t="s">
        <v>40</v>
      </c>
      <c r="G1934">
        <v>418969</v>
      </c>
      <c r="H1934" s="1" t="s">
        <v>1098</v>
      </c>
      <c r="I1934" s="2">
        <v>45628</v>
      </c>
      <c r="J1934">
        <v>21</v>
      </c>
      <c r="K1934">
        <v>18.100000000000001</v>
      </c>
      <c r="L1934" s="1" t="s">
        <v>96</v>
      </c>
      <c r="M1934" s="1" t="s">
        <v>42</v>
      </c>
    </row>
    <row r="1935" spans="1:13" x14ac:dyDescent="0.25">
      <c r="A1935" s="1" t="s">
        <v>3090</v>
      </c>
      <c r="B1935" s="1" t="s">
        <v>37</v>
      </c>
      <c r="C1935" s="1" t="s">
        <v>430</v>
      </c>
      <c r="D1935" s="1" t="s">
        <v>39</v>
      </c>
      <c r="E1935" s="1" t="s">
        <v>100</v>
      </c>
      <c r="F1935" s="1" t="s">
        <v>33</v>
      </c>
      <c r="G1935">
        <v>123549</v>
      </c>
      <c r="H1935" s="1" t="s">
        <v>3091</v>
      </c>
      <c r="I1935" s="2"/>
      <c r="K1935">
        <v>6</v>
      </c>
      <c r="L1935" s="1" t="s">
        <v>49</v>
      </c>
      <c r="M1935" s="1" t="s">
        <v>107</v>
      </c>
    </row>
    <row r="1936" spans="1:13" x14ac:dyDescent="0.25">
      <c r="A1936" s="1" t="s">
        <v>3092</v>
      </c>
      <c r="B1936" s="1" t="s">
        <v>59</v>
      </c>
      <c r="C1936" s="1" t="s">
        <v>1136</v>
      </c>
      <c r="D1936" s="1" t="s">
        <v>90</v>
      </c>
      <c r="E1936" s="1" t="s">
        <v>72</v>
      </c>
      <c r="F1936" s="1" t="s">
        <v>40</v>
      </c>
      <c r="G1936">
        <v>298183</v>
      </c>
      <c r="H1936" s="1" t="s">
        <v>1405</v>
      </c>
      <c r="I1936" s="2">
        <v>45320</v>
      </c>
      <c r="J1936">
        <v>84</v>
      </c>
      <c r="K1936">
        <v>4.2</v>
      </c>
      <c r="L1936" s="1" t="s">
        <v>20</v>
      </c>
      <c r="M1936" s="1" t="s">
        <v>21</v>
      </c>
    </row>
    <row r="1937" spans="1:13" x14ac:dyDescent="0.25">
      <c r="A1937" s="1" t="s">
        <v>3093</v>
      </c>
      <c r="B1937" s="1" t="s">
        <v>173</v>
      </c>
      <c r="C1937" s="1" t="s">
        <v>316</v>
      </c>
      <c r="D1937" s="1" t="s">
        <v>16</v>
      </c>
      <c r="E1937" s="1" t="s">
        <v>17</v>
      </c>
      <c r="F1937" s="1" t="s">
        <v>27</v>
      </c>
      <c r="G1937">
        <v>334742</v>
      </c>
      <c r="H1937" s="1" t="s">
        <v>2844</v>
      </c>
      <c r="I1937" s="2"/>
      <c r="K1937">
        <v>9.8000000000000007</v>
      </c>
      <c r="L1937" s="1" t="s">
        <v>96</v>
      </c>
      <c r="M1937" s="1" t="s">
        <v>149</v>
      </c>
    </row>
    <row r="1938" spans="1:13" x14ac:dyDescent="0.25">
      <c r="A1938" s="1" t="s">
        <v>3094</v>
      </c>
      <c r="B1938" s="1" t="s">
        <v>75</v>
      </c>
      <c r="C1938" s="1" t="s">
        <v>1057</v>
      </c>
      <c r="D1938" s="1" t="s">
        <v>46</v>
      </c>
      <c r="E1938" s="1" t="s">
        <v>61</v>
      </c>
      <c r="F1938" s="1" t="s">
        <v>27</v>
      </c>
      <c r="G1938">
        <v>82198</v>
      </c>
      <c r="H1938" s="1" t="s">
        <v>413</v>
      </c>
      <c r="I1938" s="2"/>
      <c r="L1938" s="1" t="s">
        <v>29</v>
      </c>
      <c r="M1938" s="1" t="s">
        <v>21</v>
      </c>
    </row>
    <row r="1939" spans="1:13" x14ac:dyDescent="0.25">
      <c r="A1939" s="1" t="s">
        <v>3095</v>
      </c>
      <c r="B1939" s="1" t="s">
        <v>23</v>
      </c>
      <c r="C1939" s="1" t="s">
        <v>679</v>
      </c>
      <c r="D1939" s="1" t="s">
        <v>39</v>
      </c>
      <c r="E1939" s="1" t="s">
        <v>26</v>
      </c>
      <c r="F1939" s="1" t="s">
        <v>40</v>
      </c>
      <c r="G1939">
        <v>290170</v>
      </c>
      <c r="H1939" s="1" t="s">
        <v>3096</v>
      </c>
      <c r="I1939" s="2">
        <v>45189</v>
      </c>
      <c r="J1939">
        <v>180</v>
      </c>
      <c r="K1939">
        <v>24.4</v>
      </c>
      <c r="L1939" s="1" t="s">
        <v>20</v>
      </c>
      <c r="M1939" s="1" t="s">
        <v>35</v>
      </c>
    </row>
    <row r="1940" spans="1:13" x14ac:dyDescent="0.25">
      <c r="A1940" s="1" t="s">
        <v>3097</v>
      </c>
      <c r="B1940" s="1" t="s">
        <v>37</v>
      </c>
      <c r="C1940" s="1" t="s">
        <v>387</v>
      </c>
      <c r="D1940" s="1" t="s">
        <v>46</v>
      </c>
      <c r="E1940" s="1" t="s">
        <v>72</v>
      </c>
      <c r="F1940" s="1" t="s">
        <v>129</v>
      </c>
      <c r="G1940">
        <v>380801</v>
      </c>
      <c r="H1940" s="1" t="s">
        <v>3098</v>
      </c>
      <c r="I1940" s="2"/>
      <c r="K1940">
        <v>3.7</v>
      </c>
      <c r="L1940" s="1" t="s">
        <v>49</v>
      </c>
      <c r="M1940" s="1" t="s">
        <v>21</v>
      </c>
    </row>
    <row r="1941" spans="1:13" x14ac:dyDescent="0.25">
      <c r="A1941" s="1" t="s">
        <v>3099</v>
      </c>
      <c r="B1941" s="1" t="s">
        <v>23</v>
      </c>
      <c r="C1941" s="1" t="s">
        <v>401</v>
      </c>
      <c r="D1941" s="1" t="s">
        <v>39</v>
      </c>
      <c r="E1941" s="1" t="s">
        <v>77</v>
      </c>
      <c r="F1941" s="1" t="s">
        <v>40</v>
      </c>
      <c r="G1941">
        <v>82804</v>
      </c>
      <c r="H1941" s="1" t="s">
        <v>638</v>
      </c>
      <c r="I1941" s="2">
        <v>45264</v>
      </c>
      <c r="J1941">
        <v>131</v>
      </c>
      <c r="K1941">
        <v>14.5</v>
      </c>
      <c r="L1941" s="1" t="s">
        <v>20</v>
      </c>
      <c r="M1941" s="1" t="s">
        <v>102</v>
      </c>
    </row>
    <row r="1942" spans="1:13" x14ac:dyDescent="0.25">
      <c r="A1942" s="1" t="s">
        <v>3100</v>
      </c>
      <c r="B1942" s="1" t="s">
        <v>88</v>
      </c>
      <c r="C1942" s="1" t="s">
        <v>56</v>
      </c>
      <c r="D1942" s="1" t="s">
        <v>67</v>
      </c>
      <c r="E1942" s="1" t="s">
        <v>26</v>
      </c>
      <c r="F1942" s="1" t="s">
        <v>53</v>
      </c>
      <c r="G1942">
        <v>215152</v>
      </c>
      <c r="H1942" s="1" t="s">
        <v>1134</v>
      </c>
      <c r="I1942" s="2"/>
      <c r="L1942" s="1" t="s">
        <v>49</v>
      </c>
      <c r="M1942" s="1" t="s">
        <v>35</v>
      </c>
    </row>
    <row r="1943" spans="1:13" x14ac:dyDescent="0.25">
      <c r="A1943" s="1" t="s">
        <v>3101</v>
      </c>
      <c r="B1943" s="1" t="s">
        <v>104</v>
      </c>
      <c r="C1943" s="1" t="s">
        <v>227</v>
      </c>
      <c r="D1943" s="1" t="s">
        <v>39</v>
      </c>
      <c r="E1943" s="1" t="s">
        <v>17</v>
      </c>
      <c r="F1943" s="1" t="s">
        <v>18</v>
      </c>
      <c r="G1943">
        <v>81235</v>
      </c>
      <c r="H1943" s="1" t="s">
        <v>821</v>
      </c>
      <c r="I1943" s="2">
        <v>45572</v>
      </c>
      <c r="J1943">
        <v>31</v>
      </c>
      <c r="L1943" s="1" t="s">
        <v>29</v>
      </c>
      <c r="M1943" s="1" t="s">
        <v>149</v>
      </c>
    </row>
    <row r="1944" spans="1:13" x14ac:dyDescent="0.25">
      <c r="A1944" s="1" t="s">
        <v>3102</v>
      </c>
      <c r="B1944" s="1" t="s">
        <v>84</v>
      </c>
      <c r="C1944" s="1" t="s">
        <v>393</v>
      </c>
      <c r="D1944" s="1" t="s">
        <v>67</v>
      </c>
      <c r="E1944" s="1" t="s">
        <v>77</v>
      </c>
      <c r="F1944" s="1" t="s">
        <v>33</v>
      </c>
      <c r="G1944">
        <v>223530</v>
      </c>
      <c r="H1944" s="1" t="s">
        <v>1421</v>
      </c>
      <c r="I1944" s="2"/>
      <c r="K1944">
        <v>9.1999999999999993</v>
      </c>
      <c r="L1944" s="1" t="s">
        <v>96</v>
      </c>
      <c r="M1944" s="1" t="s">
        <v>35</v>
      </c>
    </row>
    <row r="1945" spans="1:13" x14ac:dyDescent="0.25">
      <c r="A1945" s="1" t="s">
        <v>3103</v>
      </c>
      <c r="B1945" s="1" t="s">
        <v>88</v>
      </c>
      <c r="C1945" s="1" t="s">
        <v>667</v>
      </c>
      <c r="D1945" s="1" t="s">
        <v>67</v>
      </c>
      <c r="E1945" s="1" t="s">
        <v>61</v>
      </c>
      <c r="F1945" s="1" t="s">
        <v>18</v>
      </c>
      <c r="G1945">
        <v>498659</v>
      </c>
      <c r="H1945" s="1" t="s">
        <v>484</v>
      </c>
      <c r="I1945" s="2">
        <v>44984</v>
      </c>
      <c r="J1945">
        <v>43</v>
      </c>
      <c r="K1945">
        <v>3.5</v>
      </c>
      <c r="L1945" s="1" t="s">
        <v>49</v>
      </c>
      <c r="M1945" s="1" t="s">
        <v>35</v>
      </c>
    </row>
    <row r="1946" spans="1:13" x14ac:dyDescent="0.25">
      <c r="A1946" s="1" t="s">
        <v>3104</v>
      </c>
      <c r="B1946" s="1" t="s">
        <v>44</v>
      </c>
      <c r="C1946" s="1" t="s">
        <v>128</v>
      </c>
      <c r="D1946" s="1" t="s">
        <v>16</v>
      </c>
      <c r="E1946" s="1" t="s">
        <v>26</v>
      </c>
      <c r="F1946" s="1" t="s">
        <v>18</v>
      </c>
      <c r="G1946">
        <v>255140</v>
      </c>
      <c r="H1946" s="1" t="s">
        <v>3105</v>
      </c>
      <c r="I1946" s="2">
        <v>45472</v>
      </c>
      <c r="J1946">
        <v>178</v>
      </c>
      <c r="L1946" s="1" t="s">
        <v>29</v>
      </c>
      <c r="M1946" s="1" t="s">
        <v>69</v>
      </c>
    </row>
    <row r="1947" spans="1:13" x14ac:dyDescent="0.25">
      <c r="A1947" s="1" t="s">
        <v>3106</v>
      </c>
      <c r="B1947" s="1" t="s">
        <v>75</v>
      </c>
      <c r="C1947" s="1" t="s">
        <v>264</v>
      </c>
      <c r="D1947" s="1" t="s">
        <v>90</v>
      </c>
      <c r="E1947" s="1" t="s">
        <v>72</v>
      </c>
      <c r="F1947" s="1" t="s">
        <v>27</v>
      </c>
      <c r="G1947">
        <v>77384</v>
      </c>
      <c r="H1947" s="1" t="s">
        <v>1818</v>
      </c>
      <c r="I1947" s="2"/>
      <c r="L1947" s="1" t="s">
        <v>96</v>
      </c>
      <c r="M1947" s="1" t="s">
        <v>30</v>
      </c>
    </row>
    <row r="1948" spans="1:13" x14ac:dyDescent="0.25">
      <c r="A1948" s="1" t="s">
        <v>3107</v>
      </c>
      <c r="B1948" s="1" t="s">
        <v>59</v>
      </c>
      <c r="C1948" s="1" t="s">
        <v>1170</v>
      </c>
      <c r="D1948" s="1" t="s">
        <v>90</v>
      </c>
      <c r="E1948" s="1" t="s">
        <v>26</v>
      </c>
      <c r="F1948" s="1" t="s">
        <v>18</v>
      </c>
      <c r="G1948">
        <v>180158</v>
      </c>
      <c r="H1948" s="1" t="s">
        <v>3108</v>
      </c>
      <c r="I1948" s="2">
        <v>45608</v>
      </c>
      <c r="J1948">
        <v>176</v>
      </c>
      <c r="K1948">
        <v>11</v>
      </c>
      <c r="L1948" s="1" t="s">
        <v>96</v>
      </c>
      <c r="M1948" s="1" t="s">
        <v>107</v>
      </c>
    </row>
    <row r="1949" spans="1:13" x14ac:dyDescent="0.25">
      <c r="A1949" s="1" t="s">
        <v>3109</v>
      </c>
      <c r="B1949" s="1" t="s">
        <v>75</v>
      </c>
      <c r="C1949" s="1" t="s">
        <v>676</v>
      </c>
      <c r="D1949" s="1" t="s">
        <v>67</v>
      </c>
      <c r="E1949" s="1" t="s">
        <v>26</v>
      </c>
      <c r="F1949" s="1" t="s">
        <v>53</v>
      </c>
      <c r="G1949">
        <v>88398</v>
      </c>
      <c r="H1949" s="1" t="s">
        <v>234</v>
      </c>
      <c r="I1949" s="2"/>
      <c r="K1949">
        <v>9.8000000000000007</v>
      </c>
      <c r="L1949" s="1" t="s">
        <v>96</v>
      </c>
      <c r="M1949" s="1" t="s">
        <v>149</v>
      </c>
    </row>
    <row r="1950" spans="1:13" x14ac:dyDescent="0.25">
      <c r="A1950" s="1" t="s">
        <v>3110</v>
      </c>
      <c r="B1950" s="1" t="s">
        <v>37</v>
      </c>
      <c r="C1950" s="1" t="s">
        <v>552</v>
      </c>
      <c r="D1950" s="1" t="s">
        <v>16</v>
      </c>
      <c r="E1950" s="1" t="s">
        <v>77</v>
      </c>
      <c r="F1950" s="1" t="s">
        <v>40</v>
      </c>
      <c r="G1950">
        <v>372578</v>
      </c>
      <c r="H1950" s="1" t="s">
        <v>1578</v>
      </c>
      <c r="I1950" s="2">
        <v>45758</v>
      </c>
      <c r="J1950">
        <v>92</v>
      </c>
      <c r="K1950">
        <v>21.6</v>
      </c>
      <c r="L1950" s="1" t="s">
        <v>29</v>
      </c>
      <c r="M1950" s="1" t="s">
        <v>63</v>
      </c>
    </row>
    <row r="1951" spans="1:13" x14ac:dyDescent="0.25">
      <c r="A1951" s="1" t="s">
        <v>3111</v>
      </c>
      <c r="B1951" s="1" t="s">
        <v>23</v>
      </c>
      <c r="C1951" s="1" t="s">
        <v>2503</v>
      </c>
      <c r="D1951" s="1" t="s">
        <v>39</v>
      </c>
      <c r="E1951" s="1" t="s">
        <v>26</v>
      </c>
      <c r="F1951" s="1" t="s">
        <v>40</v>
      </c>
      <c r="G1951">
        <v>161907</v>
      </c>
      <c r="H1951" s="1" t="s">
        <v>424</v>
      </c>
      <c r="I1951" s="2">
        <v>45557</v>
      </c>
      <c r="J1951">
        <v>55</v>
      </c>
      <c r="K1951">
        <v>3.8</v>
      </c>
      <c r="L1951" s="1" t="s">
        <v>20</v>
      </c>
      <c r="M1951" s="1" t="s">
        <v>149</v>
      </c>
    </row>
    <row r="1952" spans="1:13" x14ac:dyDescent="0.25">
      <c r="A1952" s="1" t="s">
        <v>3112</v>
      </c>
      <c r="B1952" s="1" t="s">
        <v>37</v>
      </c>
      <c r="C1952" s="1" t="s">
        <v>528</v>
      </c>
      <c r="D1952" s="1" t="s">
        <v>16</v>
      </c>
      <c r="E1952" s="1" t="s">
        <v>47</v>
      </c>
      <c r="F1952" s="1" t="s">
        <v>40</v>
      </c>
      <c r="G1952">
        <v>83634</v>
      </c>
      <c r="H1952" s="1" t="s">
        <v>795</v>
      </c>
      <c r="I1952" s="2">
        <v>45648</v>
      </c>
      <c r="J1952">
        <v>139</v>
      </c>
      <c r="K1952">
        <v>21.5</v>
      </c>
      <c r="L1952" s="1" t="s">
        <v>20</v>
      </c>
      <c r="M1952" s="1" t="s">
        <v>149</v>
      </c>
    </row>
    <row r="1953" spans="1:13" x14ac:dyDescent="0.25">
      <c r="A1953" s="1" t="s">
        <v>3113</v>
      </c>
      <c r="B1953" s="1" t="s">
        <v>98</v>
      </c>
      <c r="C1953" s="1" t="s">
        <v>71</v>
      </c>
      <c r="D1953" s="1" t="s">
        <v>90</v>
      </c>
      <c r="E1953" s="1" t="s">
        <v>26</v>
      </c>
      <c r="F1953" s="1" t="s">
        <v>18</v>
      </c>
      <c r="G1953">
        <v>92521</v>
      </c>
      <c r="H1953" s="1" t="s">
        <v>2844</v>
      </c>
      <c r="I1953" s="2">
        <v>45686</v>
      </c>
      <c r="J1953">
        <v>151</v>
      </c>
      <c r="K1953">
        <v>3.2</v>
      </c>
      <c r="L1953" s="1" t="s">
        <v>29</v>
      </c>
      <c r="M1953" s="1" t="s">
        <v>149</v>
      </c>
    </row>
    <row r="1954" spans="1:13" x14ac:dyDescent="0.25">
      <c r="A1954" s="1" t="s">
        <v>3114</v>
      </c>
      <c r="B1954" s="1" t="s">
        <v>84</v>
      </c>
      <c r="C1954" s="1" t="s">
        <v>528</v>
      </c>
      <c r="D1954" s="1" t="s">
        <v>16</v>
      </c>
      <c r="E1954" s="1" t="s">
        <v>94</v>
      </c>
      <c r="F1954" s="1" t="s">
        <v>33</v>
      </c>
      <c r="G1954">
        <v>348000</v>
      </c>
      <c r="H1954" s="1" t="s">
        <v>779</v>
      </c>
      <c r="I1954" s="2"/>
      <c r="K1954">
        <v>0.9</v>
      </c>
      <c r="L1954" s="1" t="s">
        <v>29</v>
      </c>
      <c r="M1954" s="1" t="s">
        <v>102</v>
      </c>
    </row>
    <row r="1955" spans="1:13" x14ac:dyDescent="0.25">
      <c r="A1955" s="1" t="s">
        <v>3115</v>
      </c>
      <c r="B1955" s="1" t="s">
        <v>127</v>
      </c>
      <c r="C1955" s="1" t="s">
        <v>45</v>
      </c>
      <c r="D1955" s="1" t="s">
        <v>46</v>
      </c>
      <c r="E1955" s="1" t="s">
        <v>51</v>
      </c>
      <c r="F1955" s="1" t="s">
        <v>129</v>
      </c>
      <c r="G1955">
        <v>380235</v>
      </c>
      <c r="H1955" s="1" t="s">
        <v>1675</v>
      </c>
      <c r="I1955" s="2"/>
      <c r="K1955">
        <v>13.8</v>
      </c>
      <c r="L1955" s="1" t="s">
        <v>20</v>
      </c>
      <c r="M1955" s="1" t="s">
        <v>107</v>
      </c>
    </row>
    <row r="1956" spans="1:13" x14ac:dyDescent="0.25">
      <c r="A1956" s="1" t="s">
        <v>3116</v>
      </c>
      <c r="B1956" s="1" t="s">
        <v>44</v>
      </c>
      <c r="C1956" s="1" t="s">
        <v>1144</v>
      </c>
      <c r="D1956" s="1" t="s">
        <v>90</v>
      </c>
      <c r="E1956" s="1" t="s">
        <v>17</v>
      </c>
      <c r="F1956" s="1" t="s">
        <v>27</v>
      </c>
      <c r="G1956">
        <v>360389</v>
      </c>
      <c r="H1956" s="1" t="s">
        <v>588</v>
      </c>
      <c r="I1956" s="2"/>
      <c r="K1956">
        <v>5</v>
      </c>
      <c r="L1956" s="1" t="s">
        <v>96</v>
      </c>
      <c r="M1956" s="1" t="s">
        <v>149</v>
      </c>
    </row>
    <row r="1957" spans="1:13" x14ac:dyDescent="0.25">
      <c r="A1957" s="1" t="s">
        <v>3117</v>
      </c>
      <c r="B1957" s="1" t="s">
        <v>75</v>
      </c>
      <c r="C1957" s="1" t="s">
        <v>2987</v>
      </c>
      <c r="D1957" s="1" t="s">
        <v>46</v>
      </c>
      <c r="E1957" s="1" t="s">
        <v>72</v>
      </c>
      <c r="F1957" s="1" t="s">
        <v>129</v>
      </c>
      <c r="G1957">
        <v>124079</v>
      </c>
      <c r="H1957" s="1" t="s">
        <v>1952</v>
      </c>
      <c r="I1957" s="2"/>
      <c r="K1957">
        <v>11.6</v>
      </c>
      <c r="L1957" s="1" t="s">
        <v>49</v>
      </c>
      <c r="M1957" s="1" t="s">
        <v>42</v>
      </c>
    </row>
    <row r="1958" spans="1:13" x14ac:dyDescent="0.25">
      <c r="A1958" s="1" t="s">
        <v>3118</v>
      </c>
      <c r="B1958" s="1" t="s">
        <v>14</v>
      </c>
      <c r="C1958" s="1" t="s">
        <v>300</v>
      </c>
      <c r="D1958" s="1" t="s">
        <v>90</v>
      </c>
      <c r="E1958" s="1" t="s">
        <v>77</v>
      </c>
      <c r="F1958" s="1" t="s">
        <v>27</v>
      </c>
      <c r="G1958">
        <v>246606</v>
      </c>
      <c r="H1958" s="1" t="s">
        <v>3119</v>
      </c>
      <c r="I1958" s="2"/>
      <c r="L1958" s="1" t="s">
        <v>96</v>
      </c>
      <c r="M1958" s="1" t="s">
        <v>21</v>
      </c>
    </row>
    <row r="1959" spans="1:13" x14ac:dyDescent="0.25">
      <c r="A1959" s="1" t="s">
        <v>3120</v>
      </c>
      <c r="B1959" s="1" t="s">
        <v>173</v>
      </c>
      <c r="C1959" s="1" t="s">
        <v>71</v>
      </c>
      <c r="D1959" s="1" t="s">
        <v>67</v>
      </c>
      <c r="E1959" s="1" t="s">
        <v>72</v>
      </c>
      <c r="F1959" s="1" t="s">
        <v>129</v>
      </c>
      <c r="G1959">
        <v>90877</v>
      </c>
      <c r="H1959" s="1" t="s">
        <v>1752</v>
      </c>
      <c r="I1959" s="2"/>
      <c r="K1959">
        <v>0.6</v>
      </c>
      <c r="L1959" s="1" t="s">
        <v>49</v>
      </c>
      <c r="M1959" s="1" t="s">
        <v>102</v>
      </c>
    </row>
    <row r="1960" spans="1:13" x14ac:dyDescent="0.25">
      <c r="A1960" s="1" t="s">
        <v>3121</v>
      </c>
      <c r="B1960" s="1" t="s">
        <v>109</v>
      </c>
      <c r="C1960" s="1" t="s">
        <v>442</v>
      </c>
      <c r="D1960" s="1" t="s">
        <v>16</v>
      </c>
      <c r="E1960" s="1" t="s">
        <v>61</v>
      </c>
      <c r="F1960" s="1" t="s">
        <v>33</v>
      </c>
      <c r="G1960">
        <v>455998</v>
      </c>
      <c r="H1960" s="1" t="s">
        <v>2013</v>
      </c>
      <c r="I1960" s="2"/>
      <c r="K1960">
        <v>5.2</v>
      </c>
      <c r="L1960" s="1" t="s">
        <v>29</v>
      </c>
      <c r="M1960" s="1" t="s">
        <v>69</v>
      </c>
    </row>
    <row r="1961" spans="1:13" x14ac:dyDescent="0.25">
      <c r="A1961" s="1" t="s">
        <v>3122</v>
      </c>
      <c r="B1961" s="1" t="s">
        <v>127</v>
      </c>
      <c r="C1961" s="1" t="s">
        <v>364</v>
      </c>
      <c r="D1961" s="1" t="s">
        <v>25</v>
      </c>
      <c r="E1961" s="1" t="s">
        <v>100</v>
      </c>
      <c r="F1961" s="1" t="s">
        <v>18</v>
      </c>
      <c r="G1961">
        <v>273125</v>
      </c>
      <c r="H1961" s="1" t="s">
        <v>3123</v>
      </c>
      <c r="I1961" s="2">
        <v>45282</v>
      </c>
      <c r="J1961">
        <v>123</v>
      </c>
      <c r="L1961" s="1" t="s">
        <v>20</v>
      </c>
      <c r="M1961" s="1" t="s">
        <v>102</v>
      </c>
    </row>
    <row r="1962" spans="1:13" x14ac:dyDescent="0.25">
      <c r="A1962" s="1" t="s">
        <v>3124</v>
      </c>
      <c r="B1962" s="1" t="s">
        <v>104</v>
      </c>
      <c r="C1962" s="1" t="s">
        <v>1142</v>
      </c>
      <c r="D1962" s="1" t="s">
        <v>90</v>
      </c>
      <c r="E1962" s="1" t="s">
        <v>94</v>
      </c>
      <c r="F1962" s="1" t="s">
        <v>40</v>
      </c>
      <c r="G1962">
        <v>258288</v>
      </c>
      <c r="H1962" s="1" t="s">
        <v>476</v>
      </c>
      <c r="I1962" s="2">
        <v>45295</v>
      </c>
      <c r="J1962">
        <v>110</v>
      </c>
      <c r="K1962">
        <v>12.1</v>
      </c>
      <c r="L1962" s="1" t="s">
        <v>20</v>
      </c>
      <c r="M1962" s="1" t="s">
        <v>102</v>
      </c>
    </row>
    <row r="1963" spans="1:13" x14ac:dyDescent="0.25">
      <c r="A1963" s="1" t="s">
        <v>3125</v>
      </c>
      <c r="B1963" s="1" t="s">
        <v>44</v>
      </c>
      <c r="C1963" s="1" t="s">
        <v>849</v>
      </c>
      <c r="D1963" s="1" t="s">
        <v>16</v>
      </c>
      <c r="E1963" s="1" t="s">
        <v>77</v>
      </c>
      <c r="F1963" s="1" t="s">
        <v>33</v>
      </c>
      <c r="G1963">
        <v>373485</v>
      </c>
      <c r="H1963" s="1" t="s">
        <v>1398</v>
      </c>
      <c r="I1963" s="2"/>
      <c r="K1963">
        <v>7.6</v>
      </c>
      <c r="L1963" s="1" t="s">
        <v>96</v>
      </c>
      <c r="M1963" s="1" t="s">
        <v>42</v>
      </c>
    </row>
    <row r="1964" spans="1:13" x14ac:dyDescent="0.25">
      <c r="A1964" s="1" t="s">
        <v>3126</v>
      </c>
      <c r="B1964" s="1" t="s">
        <v>98</v>
      </c>
      <c r="C1964" s="1" t="s">
        <v>192</v>
      </c>
      <c r="D1964" s="1" t="s">
        <v>39</v>
      </c>
      <c r="E1964" s="1" t="s">
        <v>100</v>
      </c>
      <c r="F1964" s="1" t="s">
        <v>18</v>
      </c>
      <c r="G1964">
        <v>421506</v>
      </c>
      <c r="H1964" s="1" t="s">
        <v>750</v>
      </c>
      <c r="I1964" s="2">
        <v>45131</v>
      </c>
      <c r="J1964">
        <v>157</v>
      </c>
      <c r="K1964">
        <v>2.2999999999999998</v>
      </c>
      <c r="L1964" s="1" t="s">
        <v>96</v>
      </c>
      <c r="M1964" s="1" t="s">
        <v>35</v>
      </c>
    </row>
    <row r="1965" spans="1:13" x14ac:dyDescent="0.25">
      <c r="A1965" s="1" t="s">
        <v>3127</v>
      </c>
      <c r="B1965" s="1" t="s">
        <v>23</v>
      </c>
      <c r="C1965" s="1" t="s">
        <v>483</v>
      </c>
      <c r="D1965" s="1" t="s">
        <v>67</v>
      </c>
      <c r="E1965" s="1" t="s">
        <v>61</v>
      </c>
      <c r="F1965" s="1" t="s">
        <v>33</v>
      </c>
      <c r="G1965">
        <v>33084</v>
      </c>
      <c r="H1965" s="1" t="s">
        <v>2844</v>
      </c>
      <c r="I1965" s="2"/>
      <c r="K1965">
        <v>13.1</v>
      </c>
      <c r="L1965" s="1" t="s">
        <v>96</v>
      </c>
      <c r="M1965" s="1" t="s">
        <v>149</v>
      </c>
    </row>
    <row r="1966" spans="1:13" x14ac:dyDescent="0.25">
      <c r="A1966" s="1" t="s">
        <v>3128</v>
      </c>
      <c r="B1966" s="1" t="s">
        <v>14</v>
      </c>
      <c r="C1966" s="1" t="s">
        <v>381</v>
      </c>
      <c r="D1966" s="1" t="s">
        <v>90</v>
      </c>
      <c r="E1966" s="1" t="s">
        <v>51</v>
      </c>
      <c r="F1966" s="1" t="s">
        <v>27</v>
      </c>
      <c r="G1966">
        <v>141097</v>
      </c>
      <c r="H1966" s="1" t="s">
        <v>1735</v>
      </c>
      <c r="I1966" s="2"/>
      <c r="K1966">
        <v>9.4</v>
      </c>
      <c r="L1966" s="1" t="s">
        <v>29</v>
      </c>
      <c r="M1966" s="1" t="s">
        <v>35</v>
      </c>
    </row>
    <row r="1967" spans="1:13" x14ac:dyDescent="0.25">
      <c r="A1967" s="1" t="s">
        <v>3129</v>
      </c>
      <c r="B1967" s="1" t="s">
        <v>84</v>
      </c>
      <c r="C1967" s="1" t="s">
        <v>778</v>
      </c>
      <c r="D1967" s="1" t="s">
        <v>46</v>
      </c>
      <c r="E1967" s="1" t="s">
        <v>51</v>
      </c>
      <c r="F1967" s="1" t="s">
        <v>40</v>
      </c>
      <c r="G1967">
        <v>36901</v>
      </c>
      <c r="H1967" s="1" t="s">
        <v>3043</v>
      </c>
      <c r="I1967" s="2">
        <v>45372</v>
      </c>
      <c r="J1967">
        <v>129</v>
      </c>
      <c r="K1967">
        <v>4.5</v>
      </c>
      <c r="L1967" s="1" t="s">
        <v>29</v>
      </c>
      <c r="M1967" s="1" t="s">
        <v>21</v>
      </c>
    </row>
    <row r="1968" spans="1:13" x14ac:dyDescent="0.25">
      <c r="A1968" s="1" t="s">
        <v>3130</v>
      </c>
      <c r="B1968" s="1" t="s">
        <v>127</v>
      </c>
      <c r="C1968" s="1" t="s">
        <v>513</v>
      </c>
      <c r="D1968" s="1" t="s">
        <v>39</v>
      </c>
      <c r="E1968" s="1" t="s">
        <v>26</v>
      </c>
      <c r="F1968" s="1" t="s">
        <v>40</v>
      </c>
      <c r="G1968">
        <v>176210</v>
      </c>
      <c r="H1968" s="1" t="s">
        <v>886</v>
      </c>
      <c r="I1968" s="2">
        <v>45012</v>
      </c>
      <c r="J1968">
        <v>60</v>
      </c>
      <c r="K1968">
        <v>6.6</v>
      </c>
      <c r="L1968" s="1" t="s">
        <v>96</v>
      </c>
      <c r="M1968" s="1" t="s">
        <v>35</v>
      </c>
    </row>
    <row r="1969" spans="1:13" x14ac:dyDescent="0.25">
      <c r="A1969" s="1" t="s">
        <v>3131</v>
      </c>
      <c r="B1969" s="1" t="s">
        <v>75</v>
      </c>
      <c r="C1969" s="1" t="s">
        <v>1136</v>
      </c>
      <c r="D1969" s="1" t="s">
        <v>25</v>
      </c>
      <c r="E1969" s="1" t="s">
        <v>94</v>
      </c>
      <c r="F1969" s="1" t="s">
        <v>33</v>
      </c>
      <c r="G1969">
        <v>399169</v>
      </c>
      <c r="H1969" s="1" t="s">
        <v>754</v>
      </c>
      <c r="I1969" s="2"/>
      <c r="K1969">
        <v>2</v>
      </c>
      <c r="L1969" s="1" t="s">
        <v>49</v>
      </c>
      <c r="M1969" s="1" t="s">
        <v>42</v>
      </c>
    </row>
    <row r="1970" spans="1:13" x14ac:dyDescent="0.25">
      <c r="A1970" s="1" t="s">
        <v>3132</v>
      </c>
      <c r="B1970" s="1" t="s">
        <v>88</v>
      </c>
      <c r="C1970" s="1" t="s">
        <v>420</v>
      </c>
      <c r="D1970" s="1" t="s">
        <v>25</v>
      </c>
      <c r="E1970" s="1" t="s">
        <v>61</v>
      </c>
      <c r="F1970" s="1" t="s">
        <v>40</v>
      </c>
      <c r="G1970">
        <v>129193</v>
      </c>
      <c r="H1970" s="1" t="s">
        <v>341</v>
      </c>
      <c r="I1970" s="2">
        <v>45570</v>
      </c>
      <c r="J1970">
        <v>44</v>
      </c>
      <c r="K1970">
        <v>2.4</v>
      </c>
      <c r="L1970" s="1" t="s">
        <v>20</v>
      </c>
      <c r="M1970" s="1" t="s">
        <v>149</v>
      </c>
    </row>
    <row r="1971" spans="1:13" x14ac:dyDescent="0.25">
      <c r="A1971" s="1" t="s">
        <v>3133</v>
      </c>
      <c r="B1971" s="1" t="s">
        <v>44</v>
      </c>
      <c r="C1971" s="1" t="s">
        <v>250</v>
      </c>
      <c r="D1971" s="1" t="s">
        <v>16</v>
      </c>
      <c r="E1971" s="1" t="s">
        <v>61</v>
      </c>
      <c r="F1971" s="1" t="s">
        <v>33</v>
      </c>
      <c r="G1971">
        <v>1149522</v>
      </c>
      <c r="H1971" s="1" t="s">
        <v>3134</v>
      </c>
      <c r="I1971" s="2"/>
      <c r="K1971">
        <v>9.6</v>
      </c>
      <c r="L1971" s="1" t="s">
        <v>96</v>
      </c>
      <c r="M1971" s="1" t="s">
        <v>42</v>
      </c>
    </row>
    <row r="1972" spans="1:13" x14ac:dyDescent="0.25">
      <c r="A1972" s="1" t="s">
        <v>3135</v>
      </c>
      <c r="B1972" s="1" t="s">
        <v>59</v>
      </c>
      <c r="C1972" s="1" t="s">
        <v>640</v>
      </c>
      <c r="D1972" s="1" t="s">
        <v>16</v>
      </c>
      <c r="E1972" s="1" t="s">
        <v>51</v>
      </c>
      <c r="F1972" s="1" t="s">
        <v>53</v>
      </c>
      <c r="G1972">
        <v>496633</v>
      </c>
      <c r="H1972" s="1" t="s">
        <v>1499</v>
      </c>
      <c r="I1972" s="2"/>
      <c r="K1972">
        <v>9.6</v>
      </c>
      <c r="L1972" s="1" t="s">
        <v>96</v>
      </c>
      <c r="M1972" s="1" t="s">
        <v>69</v>
      </c>
    </row>
    <row r="1973" spans="1:13" x14ac:dyDescent="0.25">
      <c r="A1973" s="1" t="s">
        <v>3136</v>
      </c>
      <c r="B1973" s="1" t="s">
        <v>14</v>
      </c>
      <c r="C1973" s="1" t="s">
        <v>667</v>
      </c>
      <c r="D1973" s="1" t="s">
        <v>67</v>
      </c>
      <c r="E1973" s="1" t="s">
        <v>77</v>
      </c>
      <c r="F1973" s="1" t="s">
        <v>18</v>
      </c>
      <c r="G1973">
        <v>240311</v>
      </c>
      <c r="H1973" s="1" t="s">
        <v>3137</v>
      </c>
      <c r="I1973" s="2">
        <v>45526</v>
      </c>
      <c r="J1973">
        <v>98</v>
      </c>
      <c r="K1973">
        <v>13.3</v>
      </c>
      <c r="L1973" s="1" t="s">
        <v>96</v>
      </c>
      <c r="M1973" s="1" t="s">
        <v>107</v>
      </c>
    </row>
    <row r="1974" spans="1:13" x14ac:dyDescent="0.25">
      <c r="A1974" s="1" t="s">
        <v>3138</v>
      </c>
      <c r="B1974" s="1" t="s">
        <v>75</v>
      </c>
      <c r="C1974" s="1" t="s">
        <v>800</v>
      </c>
      <c r="D1974" s="1" t="s">
        <v>39</v>
      </c>
      <c r="E1974" s="1" t="s">
        <v>77</v>
      </c>
      <c r="F1974" s="1" t="s">
        <v>33</v>
      </c>
      <c r="G1974">
        <v>109894</v>
      </c>
      <c r="H1974" s="1" t="s">
        <v>1110</v>
      </c>
      <c r="I1974" s="2"/>
      <c r="K1974">
        <v>8</v>
      </c>
      <c r="L1974" s="1" t="s">
        <v>20</v>
      </c>
      <c r="M1974" s="1" t="s">
        <v>42</v>
      </c>
    </row>
    <row r="1975" spans="1:13" x14ac:dyDescent="0.25">
      <c r="A1975" s="1" t="s">
        <v>3139</v>
      </c>
      <c r="B1975" s="1" t="s">
        <v>37</v>
      </c>
      <c r="C1975" s="1" t="s">
        <v>321</v>
      </c>
      <c r="D1975" s="1" t="s">
        <v>16</v>
      </c>
      <c r="E1975" s="1" t="s">
        <v>72</v>
      </c>
      <c r="F1975" s="1" t="s">
        <v>40</v>
      </c>
      <c r="G1975">
        <v>237072</v>
      </c>
      <c r="H1975" s="1" t="s">
        <v>409</v>
      </c>
      <c r="I1975" s="2">
        <v>45252</v>
      </c>
      <c r="J1975">
        <v>80</v>
      </c>
      <c r="K1975">
        <v>17.7</v>
      </c>
      <c r="L1975" s="1" t="s">
        <v>96</v>
      </c>
      <c r="M1975" s="1" t="s">
        <v>102</v>
      </c>
    </row>
    <row r="1976" spans="1:13" x14ac:dyDescent="0.25">
      <c r="A1976" s="1" t="s">
        <v>3140</v>
      </c>
      <c r="B1976" s="1" t="s">
        <v>23</v>
      </c>
      <c r="C1976" s="1" t="s">
        <v>625</v>
      </c>
      <c r="D1976" s="1" t="s">
        <v>39</v>
      </c>
      <c r="E1976" s="1" t="s">
        <v>72</v>
      </c>
      <c r="F1976" s="1" t="s">
        <v>33</v>
      </c>
      <c r="G1976">
        <v>196905</v>
      </c>
      <c r="H1976" s="1" t="s">
        <v>2902</v>
      </c>
      <c r="I1976" s="2"/>
      <c r="K1976">
        <v>0.8</v>
      </c>
      <c r="L1976" s="1" t="s">
        <v>49</v>
      </c>
      <c r="M1976" s="1" t="s">
        <v>107</v>
      </c>
    </row>
    <row r="1977" spans="1:13" x14ac:dyDescent="0.25">
      <c r="A1977" s="1" t="s">
        <v>3141</v>
      </c>
      <c r="B1977" s="1" t="s">
        <v>173</v>
      </c>
      <c r="C1977" s="1" t="s">
        <v>502</v>
      </c>
      <c r="D1977" s="1" t="s">
        <v>67</v>
      </c>
      <c r="E1977" s="1" t="s">
        <v>94</v>
      </c>
      <c r="F1977" s="1" t="s">
        <v>18</v>
      </c>
      <c r="G1977">
        <v>491148</v>
      </c>
      <c r="H1977" s="1" t="s">
        <v>1574</v>
      </c>
      <c r="I1977" s="2">
        <v>45497</v>
      </c>
      <c r="J1977">
        <v>179</v>
      </c>
      <c r="L1977" s="1" t="s">
        <v>29</v>
      </c>
      <c r="M1977" s="1" t="s">
        <v>69</v>
      </c>
    </row>
    <row r="1978" spans="1:13" x14ac:dyDescent="0.25">
      <c r="A1978" s="1" t="s">
        <v>3142</v>
      </c>
      <c r="B1978" s="1" t="s">
        <v>173</v>
      </c>
      <c r="C1978" s="1" t="s">
        <v>1147</v>
      </c>
      <c r="D1978" s="1" t="s">
        <v>90</v>
      </c>
      <c r="E1978" s="1" t="s">
        <v>26</v>
      </c>
      <c r="F1978" s="1" t="s">
        <v>40</v>
      </c>
      <c r="G1978">
        <v>277696</v>
      </c>
      <c r="H1978" s="1" t="s">
        <v>1188</v>
      </c>
      <c r="I1978" s="2">
        <v>45054</v>
      </c>
      <c r="J1978">
        <v>26</v>
      </c>
      <c r="K1978">
        <v>4.7</v>
      </c>
      <c r="L1978" s="1" t="s">
        <v>49</v>
      </c>
      <c r="M1978" s="1" t="s">
        <v>30</v>
      </c>
    </row>
    <row r="1979" spans="1:13" x14ac:dyDescent="0.25">
      <c r="A1979" s="1" t="s">
        <v>3143</v>
      </c>
      <c r="B1979" s="1" t="s">
        <v>173</v>
      </c>
      <c r="C1979" s="1" t="s">
        <v>1812</v>
      </c>
      <c r="D1979" s="1" t="s">
        <v>39</v>
      </c>
      <c r="E1979" s="1" t="s">
        <v>94</v>
      </c>
      <c r="F1979" s="1" t="s">
        <v>27</v>
      </c>
      <c r="G1979">
        <v>452412</v>
      </c>
      <c r="H1979" s="1" t="s">
        <v>2250</v>
      </c>
      <c r="I1979" s="2"/>
      <c r="L1979" s="1" t="s">
        <v>49</v>
      </c>
      <c r="M1979" s="1" t="s">
        <v>42</v>
      </c>
    </row>
    <row r="1980" spans="1:13" x14ac:dyDescent="0.25">
      <c r="A1980" s="1" t="s">
        <v>3144</v>
      </c>
      <c r="B1980" s="1" t="s">
        <v>14</v>
      </c>
      <c r="C1980" s="1" t="s">
        <v>497</v>
      </c>
      <c r="D1980" s="1" t="s">
        <v>90</v>
      </c>
      <c r="E1980" s="1" t="s">
        <v>77</v>
      </c>
      <c r="F1980" s="1" t="s">
        <v>33</v>
      </c>
      <c r="G1980">
        <v>110025</v>
      </c>
      <c r="H1980" s="1" t="s">
        <v>1490</v>
      </c>
      <c r="I1980" s="2"/>
      <c r="L1980" s="1" t="s">
        <v>20</v>
      </c>
      <c r="M1980" s="1" t="s">
        <v>21</v>
      </c>
    </row>
    <row r="1981" spans="1:13" x14ac:dyDescent="0.25">
      <c r="A1981" s="1" t="s">
        <v>3145</v>
      </c>
      <c r="B1981" s="1" t="s">
        <v>88</v>
      </c>
      <c r="C1981" s="1" t="s">
        <v>622</v>
      </c>
      <c r="D1981" s="1" t="s">
        <v>90</v>
      </c>
      <c r="E1981" s="1" t="s">
        <v>94</v>
      </c>
      <c r="F1981" s="1" t="s">
        <v>18</v>
      </c>
      <c r="G1981">
        <v>81789</v>
      </c>
      <c r="H1981" s="1" t="s">
        <v>733</v>
      </c>
      <c r="I1981" s="2">
        <v>45422</v>
      </c>
      <c r="J1981">
        <v>60</v>
      </c>
      <c r="L1981" s="1" t="s">
        <v>96</v>
      </c>
      <c r="M1981" s="1" t="s">
        <v>69</v>
      </c>
    </row>
    <row r="1982" spans="1:13" x14ac:dyDescent="0.25">
      <c r="A1982" s="1" t="s">
        <v>3146</v>
      </c>
      <c r="B1982" s="1" t="s">
        <v>59</v>
      </c>
      <c r="C1982" s="1" t="s">
        <v>313</v>
      </c>
      <c r="D1982" s="1" t="s">
        <v>90</v>
      </c>
      <c r="E1982" s="1" t="s">
        <v>47</v>
      </c>
      <c r="F1982" s="1" t="s">
        <v>27</v>
      </c>
      <c r="G1982">
        <v>1977965</v>
      </c>
      <c r="H1982" s="1" t="s">
        <v>1291</v>
      </c>
      <c r="I1982" s="2"/>
      <c r="K1982">
        <v>2.9</v>
      </c>
      <c r="L1982" s="1" t="s">
        <v>29</v>
      </c>
      <c r="M1982" s="1" t="s">
        <v>63</v>
      </c>
    </row>
    <row r="1983" spans="1:13" x14ac:dyDescent="0.25">
      <c r="A1983" s="1" t="s">
        <v>3147</v>
      </c>
      <c r="B1983" s="1" t="s">
        <v>59</v>
      </c>
      <c r="C1983" s="1" t="s">
        <v>1157</v>
      </c>
      <c r="D1983" s="1" t="s">
        <v>39</v>
      </c>
      <c r="E1983" s="1" t="s">
        <v>100</v>
      </c>
      <c r="F1983" s="1" t="s">
        <v>53</v>
      </c>
      <c r="G1983">
        <v>285361</v>
      </c>
      <c r="H1983" s="1" t="s">
        <v>125</v>
      </c>
      <c r="I1983" s="2"/>
      <c r="K1983">
        <v>7.3</v>
      </c>
      <c r="L1983" s="1" t="s">
        <v>29</v>
      </c>
      <c r="M1983" s="1" t="s">
        <v>30</v>
      </c>
    </row>
    <row r="1984" spans="1:13" x14ac:dyDescent="0.25">
      <c r="A1984" s="1" t="s">
        <v>3148</v>
      </c>
      <c r="B1984" s="1" t="s">
        <v>51</v>
      </c>
      <c r="C1984" s="1" t="s">
        <v>93</v>
      </c>
      <c r="D1984" s="1" t="s">
        <v>16</v>
      </c>
      <c r="E1984" s="1" t="s">
        <v>17</v>
      </c>
      <c r="F1984" s="1" t="s">
        <v>129</v>
      </c>
      <c r="G1984">
        <v>195756</v>
      </c>
      <c r="H1984" s="1" t="s">
        <v>57</v>
      </c>
      <c r="I1984" s="2"/>
      <c r="K1984">
        <v>14.5</v>
      </c>
      <c r="L1984" s="1" t="s">
        <v>96</v>
      </c>
      <c r="M1984" s="1" t="s">
        <v>42</v>
      </c>
    </row>
    <row r="1985" spans="1:13" x14ac:dyDescent="0.25">
      <c r="A1985" s="1" t="s">
        <v>3149</v>
      </c>
      <c r="B1985" s="1" t="s">
        <v>23</v>
      </c>
      <c r="C1985" s="1" t="s">
        <v>1153</v>
      </c>
      <c r="D1985" s="1" t="s">
        <v>90</v>
      </c>
      <c r="E1985" s="1" t="s">
        <v>47</v>
      </c>
      <c r="F1985" s="1" t="s">
        <v>40</v>
      </c>
      <c r="G1985">
        <v>466743</v>
      </c>
      <c r="H1985" s="1" t="s">
        <v>413</v>
      </c>
      <c r="I1985" s="2">
        <v>45329</v>
      </c>
      <c r="J1985">
        <v>43</v>
      </c>
      <c r="K1985">
        <v>5.9</v>
      </c>
      <c r="L1985" s="1" t="s">
        <v>49</v>
      </c>
      <c r="M1985" s="1" t="s">
        <v>21</v>
      </c>
    </row>
    <row r="1986" spans="1:13" x14ac:dyDescent="0.25">
      <c r="A1986" s="1" t="s">
        <v>3150</v>
      </c>
      <c r="B1986" s="1" t="s">
        <v>98</v>
      </c>
      <c r="C1986" s="1" t="s">
        <v>198</v>
      </c>
      <c r="D1986" s="1" t="s">
        <v>46</v>
      </c>
      <c r="E1986" s="1" t="s">
        <v>94</v>
      </c>
      <c r="F1986" s="1" t="s">
        <v>33</v>
      </c>
      <c r="G1986">
        <v>225372</v>
      </c>
      <c r="H1986" s="1" t="s">
        <v>41</v>
      </c>
      <c r="I1986" s="2"/>
      <c r="K1986">
        <v>1.9</v>
      </c>
      <c r="L1986" s="1" t="s">
        <v>49</v>
      </c>
      <c r="M1986" s="1" t="s">
        <v>42</v>
      </c>
    </row>
    <row r="1987" spans="1:13" x14ac:dyDescent="0.25">
      <c r="A1987" s="1" t="s">
        <v>3151</v>
      </c>
      <c r="B1987" s="1" t="s">
        <v>80</v>
      </c>
      <c r="C1987" s="1" t="s">
        <v>401</v>
      </c>
      <c r="D1987" s="1" t="s">
        <v>90</v>
      </c>
      <c r="E1987" s="1" t="s">
        <v>72</v>
      </c>
      <c r="F1987" s="1" t="s">
        <v>129</v>
      </c>
      <c r="G1987">
        <v>272486</v>
      </c>
      <c r="H1987" s="1" t="s">
        <v>3152</v>
      </c>
      <c r="I1987" s="2"/>
      <c r="K1987">
        <v>2.2000000000000002</v>
      </c>
      <c r="L1987" s="1" t="s">
        <v>49</v>
      </c>
      <c r="M1987" s="1" t="s">
        <v>63</v>
      </c>
    </row>
    <row r="1988" spans="1:13" x14ac:dyDescent="0.25">
      <c r="A1988" s="1" t="s">
        <v>3153</v>
      </c>
      <c r="B1988" s="1" t="s">
        <v>127</v>
      </c>
      <c r="C1988" s="1" t="s">
        <v>859</v>
      </c>
      <c r="D1988" s="1" t="s">
        <v>16</v>
      </c>
      <c r="E1988" s="1" t="s">
        <v>26</v>
      </c>
      <c r="F1988" s="1" t="s">
        <v>40</v>
      </c>
      <c r="G1988">
        <v>434226</v>
      </c>
      <c r="H1988" s="1" t="s">
        <v>3154</v>
      </c>
      <c r="I1988" s="2">
        <v>45336</v>
      </c>
      <c r="J1988">
        <v>128</v>
      </c>
      <c r="K1988">
        <v>21.6</v>
      </c>
      <c r="L1988" s="1" t="s">
        <v>96</v>
      </c>
      <c r="M1988" s="1" t="s">
        <v>21</v>
      </c>
    </row>
    <row r="1989" spans="1:13" x14ac:dyDescent="0.25">
      <c r="A1989" s="1" t="s">
        <v>3155</v>
      </c>
      <c r="B1989" s="1" t="s">
        <v>127</v>
      </c>
      <c r="C1989" s="1" t="s">
        <v>273</v>
      </c>
      <c r="D1989" s="1" t="s">
        <v>90</v>
      </c>
      <c r="E1989" s="1" t="s">
        <v>26</v>
      </c>
      <c r="F1989" s="1" t="s">
        <v>40</v>
      </c>
      <c r="G1989">
        <v>434837</v>
      </c>
      <c r="H1989" s="1" t="s">
        <v>1767</v>
      </c>
      <c r="I1989" s="2">
        <v>45307</v>
      </c>
      <c r="J1989">
        <v>92</v>
      </c>
      <c r="K1989">
        <v>0.4</v>
      </c>
      <c r="L1989" s="1" t="s">
        <v>29</v>
      </c>
      <c r="M1989" s="1" t="s">
        <v>21</v>
      </c>
    </row>
    <row r="1990" spans="1:13" x14ac:dyDescent="0.25">
      <c r="A1990" s="1" t="s">
        <v>3156</v>
      </c>
      <c r="B1990" s="1" t="s">
        <v>98</v>
      </c>
      <c r="C1990" s="1" t="s">
        <v>946</v>
      </c>
      <c r="D1990" s="1" t="s">
        <v>39</v>
      </c>
      <c r="E1990" s="1" t="s">
        <v>72</v>
      </c>
      <c r="F1990" s="1" t="s">
        <v>27</v>
      </c>
      <c r="G1990">
        <v>406460</v>
      </c>
      <c r="H1990" s="1" t="s">
        <v>567</v>
      </c>
      <c r="I1990" s="2"/>
      <c r="L1990" s="1" t="s">
        <v>49</v>
      </c>
      <c r="M1990" s="1" t="s">
        <v>42</v>
      </c>
    </row>
    <row r="1991" spans="1:13" x14ac:dyDescent="0.25">
      <c r="A1991" s="1" t="s">
        <v>3157</v>
      </c>
      <c r="B1991" s="1" t="s">
        <v>104</v>
      </c>
      <c r="C1991" s="1" t="s">
        <v>957</v>
      </c>
      <c r="D1991" s="1" t="s">
        <v>25</v>
      </c>
      <c r="E1991" s="1" t="s">
        <v>47</v>
      </c>
      <c r="F1991" s="1" t="s">
        <v>18</v>
      </c>
      <c r="G1991">
        <v>70286</v>
      </c>
      <c r="H1991" s="1" t="s">
        <v>1230</v>
      </c>
      <c r="I1991" s="2">
        <v>45556</v>
      </c>
      <c r="J1991">
        <v>173</v>
      </c>
      <c r="L1991" s="1" t="s">
        <v>96</v>
      </c>
      <c r="M1991" s="1" t="s">
        <v>107</v>
      </c>
    </row>
    <row r="1992" spans="1:13" x14ac:dyDescent="0.25">
      <c r="A1992" s="1" t="s">
        <v>3158</v>
      </c>
      <c r="B1992" s="1" t="s">
        <v>98</v>
      </c>
      <c r="C1992" s="1" t="s">
        <v>531</v>
      </c>
      <c r="D1992" s="1" t="s">
        <v>16</v>
      </c>
      <c r="E1992" s="1" t="s">
        <v>26</v>
      </c>
      <c r="F1992" s="1" t="s">
        <v>40</v>
      </c>
      <c r="G1992">
        <v>424139</v>
      </c>
      <c r="H1992" s="1" t="s">
        <v>776</v>
      </c>
      <c r="I1992" s="2">
        <v>45261</v>
      </c>
      <c r="J1992">
        <v>123</v>
      </c>
      <c r="K1992">
        <v>21.8</v>
      </c>
      <c r="L1992" s="1" t="s">
        <v>20</v>
      </c>
      <c r="M1992" s="1" t="s">
        <v>102</v>
      </c>
    </row>
    <row r="1993" spans="1:13" x14ac:dyDescent="0.25">
      <c r="A1993" s="1" t="s">
        <v>3159</v>
      </c>
      <c r="B1993" s="1" t="s">
        <v>104</v>
      </c>
      <c r="C1993" s="1" t="s">
        <v>387</v>
      </c>
      <c r="D1993" s="1" t="s">
        <v>67</v>
      </c>
      <c r="E1993" s="1" t="s">
        <v>17</v>
      </c>
      <c r="F1993" s="1" t="s">
        <v>33</v>
      </c>
      <c r="G1993">
        <v>286661</v>
      </c>
      <c r="H1993" s="1" t="s">
        <v>424</v>
      </c>
      <c r="I1993" s="2"/>
      <c r="K1993">
        <v>4.0999999999999996</v>
      </c>
      <c r="L1993" s="1" t="s">
        <v>20</v>
      </c>
      <c r="M1993" s="1" t="s">
        <v>149</v>
      </c>
    </row>
    <row r="1994" spans="1:13" x14ac:dyDescent="0.25">
      <c r="A1994" s="1" t="s">
        <v>3160</v>
      </c>
      <c r="B1994" s="1" t="s">
        <v>127</v>
      </c>
      <c r="C1994" s="1" t="s">
        <v>76</v>
      </c>
      <c r="D1994" s="1" t="s">
        <v>25</v>
      </c>
      <c r="E1994" s="1" t="s">
        <v>77</v>
      </c>
      <c r="F1994" s="1" t="s">
        <v>18</v>
      </c>
      <c r="G1994">
        <v>123036</v>
      </c>
      <c r="H1994" s="1" t="s">
        <v>886</v>
      </c>
      <c r="I1994" s="2">
        <v>45020</v>
      </c>
      <c r="J1994">
        <v>68</v>
      </c>
      <c r="K1994">
        <v>5.2</v>
      </c>
      <c r="L1994" s="1" t="s">
        <v>20</v>
      </c>
      <c r="M1994" s="1" t="s">
        <v>35</v>
      </c>
    </row>
    <row r="1995" spans="1:13" x14ac:dyDescent="0.25">
      <c r="A1995" s="1" t="s">
        <v>3161</v>
      </c>
      <c r="B1995" s="1" t="s">
        <v>23</v>
      </c>
      <c r="C1995" s="1" t="s">
        <v>151</v>
      </c>
      <c r="D1995" s="1" t="s">
        <v>46</v>
      </c>
      <c r="E1995" s="1" t="s">
        <v>77</v>
      </c>
      <c r="F1995" s="1" t="s">
        <v>40</v>
      </c>
      <c r="G1995">
        <v>126317</v>
      </c>
      <c r="H1995" s="1" t="s">
        <v>2882</v>
      </c>
      <c r="I1995" s="2">
        <v>45235</v>
      </c>
      <c r="J1995">
        <v>105</v>
      </c>
      <c r="K1995">
        <v>19.5</v>
      </c>
      <c r="L1995" s="1" t="s">
        <v>96</v>
      </c>
      <c r="M1995" s="1" t="s">
        <v>102</v>
      </c>
    </row>
    <row r="1996" spans="1:13" x14ac:dyDescent="0.25">
      <c r="A1996" s="1" t="s">
        <v>3162</v>
      </c>
      <c r="B1996" s="1" t="s">
        <v>127</v>
      </c>
      <c r="C1996" s="1" t="s">
        <v>980</v>
      </c>
      <c r="D1996" s="1" t="s">
        <v>25</v>
      </c>
      <c r="E1996" s="1" t="s">
        <v>77</v>
      </c>
      <c r="F1996" s="1" t="s">
        <v>129</v>
      </c>
      <c r="G1996">
        <v>57703</v>
      </c>
      <c r="H1996" s="1" t="s">
        <v>1644</v>
      </c>
      <c r="I1996" s="2"/>
      <c r="K1996">
        <v>8</v>
      </c>
      <c r="L1996" s="1" t="s">
        <v>96</v>
      </c>
      <c r="M1996" s="1" t="s">
        <v>21</v>
      </c>
    </row>
    <row r="1997" spans="1:13" x14ac:dyDescent="0.25">
      <c r="A1997" s="1" t="s">
        <v>3163</v>
      </c>
      <c r="B1997" s="1" t="s">
        <v>14</v>
      </c>
      <c r="C1997" s="1" t="s">
        <v>869</v>
      </c>
      <c r="D1997" s="1" t="s">
        <v>39</v>
      </c>
      <c r="E1997" s="1" t="s">
        <v>17</v>
      </c>
      <c r="F1997" s="1" t="s">
        <v>33</v>
      </c>
      <c r="G1997">
        <v>363268</v>
      </c>
      <c r="H1997" s="1" t="s">
        <v>3164</v>
      </c>
      <c r="I1997" s="2"/>
      <c r="K1997">
        <v>7.9</v>
      </c>
      <c r="L1997" s="1" t="s">
        <v>20</v>
      </c>
      <c r="M1997" s="1" t="s">
        <v>42</v>
      </c>
    </row>
    <row r="1998" spans="1:13" x14ac:dyDescent="0.25">
      <c r="A1998" s="1" t="s">
        <v>3165</v>
      </c>
      <c r="B1998" s="1" t="s">
        <v>84</v>
      </c>
      <c r="C1998" s="1" t="s">
        <v>119</v>
      </c>
      <c r="D1998" s="1" t="s">
        <v>46</v>
      </c>
      <c r="E1998" s="1" t="s">
        <v>94</v>
      </c>
      <c r="F1998" s="1" t="s">
        <v>27</v>
      </c>
      <c r="G1998">
        <v>498123</v>
      </c>
      <c r="H1998" s="1" t="s">
        <v>285</v>
      </c>
      <c r="I1998" s="2"/>
      <c r="L1998" s="1" t="s">
        <v>20</v>
      </c>
      <c r="M1998" s="1" t="s">
        <v>35</v>
      </c>
    </row>
    <row r="1999" spans="1:13" x14ac:dyDescent="0.25">
      <c r="A1999" s="1" t="s">
        <v>3166</v>
      </c>
      <c r="B1999" s="1" t="s">
        <v>98</v>
      </c>
      <c r="C1999" s="1" t="s">
        <v>1064</v>
      </c>
      <c r="D1999" s="1" t="s">
        <v>46</v>
      </c>
      <c r="E1999" s="1" t="s">
        <v>77</v>
      </c>
      <c r="F1999" s="1" t="s">
        <v>53</v>
      </c>
      <c r="G1999">
        <v>386847</v>
      </c>
      <c r="H1999" s="1" t="s">
        <v>2815</v>
      </c>
      <c r="I1999" s="2"/>
      <c r="K1999">
        <v>12.9</v>
      </c>
      <c r="L1999" s="1" t="s">
        <v>29</v>
      </c>
      <c r="M1999" s="1" t="s">
        <v>30</v>
      </c>
    </row>
    <row r="2000" spans="1:13" x14ac:dyDescent="0.25">
      <c r="A2000" s="1" t="s">
        <v>3167</v>
      </c>
      <c r="B2000" s="1" t="s">
        <v>98</v>
      </c>
      <c r="C2000" s="1" t="s">
        <v>132</v>
      </c>
      <c r="D2000" s="1" t="s">
        <v>16</v>
      </c>
      <c r="E2000" s="1" t="s">
        <v>72</v>
      </c>
      <c r="F2000" s="1" t="s">
        <v>18</v>
      </c>
      <c r="G2000">
        <v>464348</v>
      </c>
      <c r="H2000" s="1" t="s">
        <v>733</v>
      </c>
      <c r="I2000" s="2">
        <v>45499</v>
      </c>
      <c r="J2000">
        <v>137</v>
      </c>
      <c r="L2000" s="1" t="s">
        <v>96</v>
      </c>
      <c r="M2000" s="1" t="s">
        <v>69</v>
      </c>
    </row>
    <row r="2001" spans="1:13" x14ac:dyDescent="0.25">
      <c r="A2001" s="1" t="s">
        <v>3168</v>
      </c>
      <c r="B2001" s="1" t="s">
        <v>127</v>
      </c>
      <c r="C2001" s="1" t="s">
        <v>778</v>
      </c>
      <c r="D2001" s="1" t="s">
        <v>90</v>
      </c>
      <c r="E2001" s="1" t="s">
        <v>26</v>
      </c>
      <c r="F2001" s="1" t="s">
        <v>40</v>
      </c>
      <c r="G2001">
        <v>204810</v>
      </c>
      <c r="H2001" s="1" t="s">
        <v>1894</v>
      </c>
      <c r="I2001" s="2">
        <v>45410</v>
      </c>
      <c r="J2001">
        <v>143</v>
      </c>
      <c r="K2001">
        <v>17.399999999999999</v>
      </c>
      <c r="L2001" s="1" t="s">
        <v>29</v>
      </c>
      <c r="M2001" s="1" t="s">
        <v>21</v>
      </c>
    </row>
    <row r="2002" spans="1:13" x14ac:dyDescent="0.25">
      <c r="A2002" s="1" t="s">
        <v>3169</v>
      </c>
      <c r="B2002" s="1" t="s">
        <v>23</v>
      </c>
      <c r="C2002" s="1" t="s">
        <v>561</v>
      </c>
      <c r="D2002" s="1" t="s">
        <v>90</v>
      </c>
      <c r="E2002" s="1" t="s">
        <v>51</v>
      </c>
      <c r="F2002" s="1" t="s">
        <v>40</v>
      </c>
      <c r="G2002">
        <v>341518</v>
      </c>
      <c r="H2002" s="1" t="s">
        <v>3170</v>
      </c>
      <c r="I2002" s="2">
        <v>45412</v>
      </c>
      <c r="J2002">
        <v>90</v>
      </c>
      <c r="K2002">
        <v>13.9</v>
      </c>
      <c r="L2002" s="1" t="s">
        <v>49</v>
      </c>
      <c r="M2002" s="1" t="s">
        <v>69</v>
      </c>
    </row>
    <row r="2003" spans="1:13" x14ac:dyDescent="0.25">
      <c r="A2003" s="1" t="s">
        <v>3171</v>
      </c>
      <c r="B2003" s="1" t="s">
        <v>23</v>
      </c>
      <c r="C2003" s="1" t="s">
        <v>1283</v>
      </c>
      <c r="D2003" s="1" t="s">
        <v>25</v>
      </c>
      <c r="E2003" s="1" t="s">
        <v>61</v>
      </c>
      <c r="F2003" s="1" t="s">
        <v>129</v>
      </c>
      <c r="G2003">
        <v>268469</v>
      </c>
      <c r="H2003" s="1" t="s">
        <v>2844</v>
      </c>
      <c r="I2003" s="2"/>
      <c r="K2003">
        <v>14.3</v>
      </c>
      <c r="L2003" s="1" t="s">
        <v>20</v>
      </c>
      <c r="M2003" s="1" t="s">
        <v>149</v>
      </c>
    </row>
    <row r="2004" spans="1:13" x14ac:dyDescent="0.25">
      <c r="A2004" s="1" t="s">
        <v>3172</v>
      </c>
      <c r="B2004" s="1" t="s">
        <v>65</v>
      </c>
      <c r="C2004" s="1" t="s">
        <v>89</v>
      </c>
      <c r="D2004" s="1" t="s">
        <v>16</v>
      </c>
      <c r="E2004" s="1" t="s">
        <v>17</v>
      </c>
      <c r="F2004" s="1" t="s">
        <v>53</v>
      </c>
      <c r="G2004">
        <v>430859</v>
      </c>
      <c r="H2004" s="1" t="s">
        <v>750</v>
      </c>
      <c r="I2004" s="2"/>
      <c r="K2004">
        <v>14.9</v>
      </c>
      <c r="L2004" s="1" t="s">
        <v>96</v>
      </c>
      <c r="M2004" s="1" t="s">
        <v>35</v>
      </c>
    </row>
    <row r="2005" spans="1:13" x14ac:dyDescent="0.25">
      <c r="A2005" s="1" t="s">
        <v>3173</v>
      </c>
      <c r="B2005" s="1" t="s">
        <v>173</v>
      </c>
      <c r="C2005" s="1" t="s">
        <v>732</v>
      </c>
      <c r="D2005" s="1" t="s">
        <v>46</v>
      </c>
      <c r="E2005" s="1" t="s">
        <v>100</v>
      </c>
      <c r="F2005" s="1" t="s">
        <v>40</v>
      </c>
      <c r="G2005">
        <v>16352</v>
      </c>
      <c r="H2005" s="1" t="s">
        <v>271</v>
      </c>
      <c r="I2005" s="2">
        <v>45548</v>
      </c>
      <c r="J2005">
        <v>178</v>
      </c>
      <c r="K2005">
        <v>15.2</v>
      </c>
      <c r="L2005" s="1" t="s">
        <v>20</v>
      </c>
      <c r="M2005" s="1" t="s">
        <v>69</v>
      </c>
    </row>
    <row r="2006" spans="1:13" x14ac:dyDescent="0.25">
      <c r="A2006" s="1" t="s">
        <v>3174</v>
      </c>
      <c r="B2006" s="1" t="s">
        <v>80</v>
      </c>
      <c r="C2006" s="1" t="s">
        <v>85</v>
      </c>
      <c r="D2006" s="1" t="s">
        <v>90</v>
      </c>
      <c r="E2006" s="1" t="s">
        <v>77</v>
      </c>
      <c r="F2006" s="1" t="s">
        <v>53</v>
      </c>
      <c r="G2006">
        <v>41830</v>
      </c>
      <c r="H2006" s="1" t="s">
        <v>978</v>
      </c>
      <c r="I2006" s="2"/>
      <c r="K2006">
        <v>13.9</v>
      </c>
      <c r="L2006" s="1" t="s">
        <v>49</v>
      </c>
      <c r="M2006" s="1" t="s">
        <v>35</v>
      </c>
    </row>
    <row r="2007" spans="1:13" x14ac:dyDescent="0.25">
      <c r="A2007" s="1" t="s">
        <v>3175</v>
      </c>
      <c r="B2007" s="1" t="s">
        <v>65</v>
      </c>
      <c r="C2007" s="1" t="s">
        <v>162</v>
      </c>
      <c r="D2007" s="1" t="s">
        <v>67</v>
      </c>
      <c r="E2007" s="1" t="s">
        <v>100</v>
      </c>
      <c r="F2007" s="1" t="s">
        <v>129</v>
      </c>
      <c r="G2007">
        <v>90110</v>
      </c>
      <c r="H2007" s="1" t="s">
        <v>1929</v>
      </c>
      <c r="I2007" s="2"/>
      <c r="K2007">
        <v>3.9</v>
      </c>
      <c r="L2007" s="1" t="s">
        <v>20</v>
      </c>
      <c r="M2007" s="1" t="s">
        <v>30</v>
      </c>
    </row>
    <row r="2008" spans="1:13" x14ac:dyDescent="0.25">
      <c r="A2008" s="1" t="s">
        <v>3176</v>
      </c>
      <c r="B2008" s="1" t="s">
        <v>84</v>
      </c>
      <c r="C2008" s="1" t="s">
        <v>346</v>
      </c>
      <c r="D2008" s="1" t="s">
        <v>16</v>
      </c>
      <c r="E2008" s="1" t="s">
        <v>61</v>
      </c>
      <c r="F2008" s="1" t="s">
        <v>33</v>
      </c>
      <c r="G2008">
        <v>85303</v>
      </c>
      <c r="H2008" s="1" t="s">
        <v>758</v>
      </c>
      <c r="I2008" s="2"/>
      <c r="K2008">
        <v>2.7</v>
      </c>
      <c r="L2008" s="1" t="s">
        <v>49</v>
      </c>
      <c r="M2008" s="1" t="s">
        <v>30</v>
      </c>
    </row>
    <row r="2009" spans="1:13" x14ac:dyDescent="0.25">
      <c r="A2009" s="1" t="s">
        <v>3177</v>
      </c>
      <c r="B2009" s="1" t="s">
        <v>65</v>
      </c>
      <c r="C2009" s="1" t="s">
        <v>1050</v>
      </c>
      <c r="D2009" s="1" t="s">
        <v>16</v>
      </c>
      <c r="E2009" s="1" t="s">
        <v>26</v>
      </c>
      <c r="F2009" s="1" t="s">
        <v>33</v>
      </c>
      <c r="G2009">
        <v>318856</v>
      </c>
      <c r="H2009" s="1" t="s">
        <v>469</v>
      </c>
      <c r="I2009" s="2"/>
      <c r="L2009" s="1" t="s">
        <v>49</v>
      </c>
      <c r="M2009" s="1" t="s">
        <v>149</v>
      </c>
    </row>
    <row r="2010" spans="1:13" x14ac:dyDescent="0.25">
      <c r="A2010" s="1" t="s">
        <v>3178</v>
      </c>
      <c r="B2010" s="1" t="s">
        <v>98</v>
      </c>
      <c r="C2010" s="1" t="s">
        <v>237</v>
      </c>
      <c r="D2010" s="1" t="s">
        <v>46</v>
      </c>
      <c r="E2010" s="1" t="s">
        <v>26</v>
      </c>
      <c r="F2010" s="1" t="s">
        <v>40</v>
      </c>
      <c r="G2010">
        <v>210605</v>
      </c>
      <c r="H2010" s="1" t="s">
        <v>3179</v>
      </c>
      <c r="I2010" s="2">
        <v>45919</v>
      </c>
      <c r="J2010">
        <v>176</v>
      </c>
      <c r="K2010">
        <v>7.4</v>
      </c>
      <c r="L2010" s="1" t="s">
        <v>29</v>
      </c>
      <c r="M2010" s="1" t="s">
        <v>63</v>
      </c>
    </row>
    <row r="2011" spans="1:13" x14ac:dyDescent="0.25">
      <c r="A2011" s="1" t="s">
        <v>3180</v>
      </c>
      <c r="B2011" s="1" t="s">
        <v>37</v>
      </c>
      <c r="C2011" s="1" t="s">
        <v>539</v>
      </c>
      <c r="D2011" s="1" t="s">
        <v>39</v>
      </c>
      <c r="E2011" s="1" t="s">
        <v>100</v>
      </c>
      <c r="F2011" s="1" t="s">
        <v>53</v>
      </c>
      <c r="G2011">
        <v>42059</v>
      </c>
      <c r="H2011" s="1" t="s">
        <v>2396</v>
      </c>
      <c r="I2011" s="2"/>
      <c r="K2011">
        <v>14.2</v>
      </c>
      <c r="L2011" s="1" t="s">
        <v>29</v>
      </c>
      <c r="M2011" s="1" t="s">
        <v>42</v>
      </c>
    </row>
    <row r="2012" spans="1:13" x14ac:dyDescent="0.25">
      <c r="A2012" s="1" t="s">
        <v>3181</v>
      </c>
      <c r="B2012" s="1" t="s">
        <v>88</v>
      </c>
      <c r="C2012" s="1" t="s">
        <v>775</v>
      </c>
      <c r="D2012" s="1" t="s">
        <v>16</v>
      </c>
      <c r="E2012" s="1" t="s">
        <v>61</v>
      </c>
      <c r="F2012" s="1" t="s">
        <v>18</v>
      </c>
      <c r="G2012">
        <v>197562</v>
      </c>
      <c r="H2012" s="1" t="s">
        <v>158</v>
      </c>
      <c r="I2012" s="2">
        <v>45510</v>
      </c>
      <c r="J2012">
        <v>68</v>
      </c>
      <c r="K2012">
        <v>10.6</v>
      </c>
      <c r="L2012" s="1" t="s">
        <v>96</v>
      </c>
      <c r="M2012" s="1" t="s">
        <v>107</v>
      </c>
    </row>
    <row r="2013" spans="1:13" x14ac:dyDescent="0.25">
      <c r="A2013" s="1" t="s">
        <v>3182</v>
      </c>
      <c r="B2013" s="1" t="s">
        <v>127</v>
      </c>
      <c r="C2013" s="1" t="s">
        <v>423</v>
      </c>
      <c r="D2013" s="1" t="s">
        <v>25</v>
      </c>
      <c r="E2013" s="1" t="s">
        <v>26</v>
      </c>
      <c r="F2013" s="1" t="s">
        <v>53</v>
      </c>
      <c r="G2013">
        <v>31049</v>
      </c>
      <c r="H2013" s="1" t="s">
        <v>214</v>
      </c>
      <c r="I2013" s="2"/>
      <c r="L2013" s="1" t="s">
        <v>29</v>
      </c>
      <c r="M2013" s="1" t="s">
        <v>35</v>
      </c>
    </row>
    <row r="2014" spans="1:13" x14ac:dyDescent="0.25">
      <c r="A2014" s="1" t="s">
        <v>3183</v>
      </c>
      <c r="B2014" s="1" t="s">
        <v>84</v>
      </c>
      <c r="C2014" s="1" t="s">
        <v>247</v>
      </c>
      <c r="D2014" s="1" t="s">
        <v>25</v>
      </c>
      <c r="E2014" s="1" t="s">
        <v>26</v>
      </c>
      <c r="F2014" s="1" t="s">
        <v>18</v>
      </c>
      <c r="G2014">
        <v>199388</v>
      </c>
      <c r="H2014" s="1" t="s">
        <v>1230</v>
      </c>
      <c r="I2014" s="2">
        <v>45452</v>
      </c>
      <c r="J2014">
        <v>69</v>
      </c>
      <c r="K2014">
        <v>7</v>
      </c>
      <c r="L2014" s="1" t="s">
        <v>49</v>
      </c>
      <c r="M2014" s="1" t="s">
        <v>107</v>
      </c>
    </row>
    <row r="2015" spans="1:13" x14ac:dyDescent="0.25">
      <c r="A2015" s="1" t="s">
        <v>3184</v>
      </c>
      <c r="B2015" s="1" t="s">
        <v>65</v>
      </c>
      <c r="C2015" s="1" t="s">
        <v>518</v>
      </c>
      <c r="D2015" s="1" t="s">
        <v>67</v>
      </c>
      <c r="E2015" s="1" t="s">
        <v>26</v>
      </c>
      <c r="F2015" s="1" t="s">
        <v>18</v>
      </c>
      <c r="G2015">
        <v>39968</v>
      </c>
      <c r="H2015" s="1" t="s">
        <v>727</v>
      </c>
      <c r="I2015" s="2">
        <v>45558</v>
      </c>
      <c r="J2015">
        <v>153</v>
      </c>
      <c r="L2015" s="1" t="s">
        <v>49</v>
      </c>
      <c r="M2015" s="1" t="s">
        <v>107</v>
      </c>
    </row>
    <row r="2016" spans="1:13" x14ac:dyDescent="0.25">
      <c r="A2016" s="1" t="s">
        <v>3185</v>
      </c>
      <c r="B2016" s="1" t="s">
        <v>98</v>
      </c>
      <c r="C2016" s="1" t="s">
        <v>1299</v>
      </c>
      <c r="D2016" s="1" t="s">
        <v>39</v>
      </c>
      <c r="E2016" s="1" t="s">
        <v>47</v>
      </c>
      <c r="F2016" s="1" t="s">
        <v>53</v>
      </c>
      <c r="G2016">
        <v>85457</v>
      </c>
      <c r="H2016" s="1" t="s">
        <v>3186</v>
      </c>
      <c r="I2016" s="2"/>
      <c r="K2016">
        <v>5.7</v>
      </c>
      <c r="L2016" s="1" t="s">
        <v>29</v>
      </c>
      <c r="M2016" s="1" t="s">
        <v>42</v>
      </c>
    </row>
    <row r="2017" spans="1:13" x14ac:dyDescent="0.25">
      <c r="A2017" s="1" t="s">
        <v>3187</v>
      </c>
      <c r="B2017" s="1" t="s">
        <v>14</v>
      </c>
      <c r="C2017" s="1" t="s">
        <v>300</v>
      </c>
      <c r="D2017" s="1" t="s">
        <v>46</v>
      </c>
      <c r="E2017" s="1" t="s">
        <v>72</v>
      </c>
      <c r="F2017" s="1" t="s">
        <v>33</v>
      </c>
      <c r="G2017">
        <v>61413</v>
      </c>
      <c r="H2017" s="1" t="s">
        <v>3188</v>
      </c>
      <c r="I2017" s="2"/>
      <c r="K2017">
        <v>13</v>
      </c>
      <c r="L2017" s="1" t="s">
        <v>29</v>
      </c>
      <c r="M2017" s="1" t="s">
        <v>69</v>
      </c>
    </row>
    <row r="2018" spans="1:13" x14ac:dyDescent="0.25">
      <c r="A2018" s="1" t="s">
        <v>3189</v>
      </c>
      <c r="B2018" s="1" t="s">
        <v>65</v>
      </c>
      <c r="C2018" s="1" t="s">
        <v>144</v>
      </c>
      <c r="D2018" s="1" t="s">
        <v>90</v>
      </c>
      <c r="E2018" s="1" t="s">
        <v>17</v>
      </c>
      <c r="F2018" s="1" t="s">
        <v>53</v>
      </c>
      <c r="G2018">
        <v>217805</v>
      </c>
      <c r="H2018" s="1" t="s">
        <v>1730</v>
      </c>
      <c r="I2018" s="2"/>
      <c r="L2018" s="1" t="s">
        <v>20</v>
      </c>
      <c r="M2018" s="1" t="s">
        <v>69</v>
      </c>
    </row>
    <row r="2019" spans="1:13" x14ac:dyDescent="0.25">
      <c r="A2019" s="1" t="s">
        <v>3190</v>
      </c>
      <c r="B2019" s="1" t="s">
        <v>65</v>
      </c>
      <c r="C2019" s="1" t="s">
        <v>247</v>
      </c>
      <c r="D2019" s="1" t="s">
        <v>25</v>
      </c>
      <c r="E2019" s="1" t="s">
        <v>47</v>
      </c>
      <c r="F2019" s="1" t="s">
        <v>53</v>
      </c>
      <c r="G2019">
        <v>170449</v>
      </c>
      <c r="H2019" s="1" t="s">
        <v>3134</v>
      </c>
      <c r="I2019" s="2"/>
      <c r="K2019">
        <v>11.7</v>
      </c>
      <c r="L2019" s="1" t="s">
        <v>49</v>
      </c>
      <c r="M2019" s="1" t="s">
        <v>42</v>
      </c>
    </row>
    <row r="2020" spans="1:13" x14ac:dyDescent="0.25">
      <c r="A2020" s="1" t="s">
        <v>3191</v>
      </c>
      <c r="B2020" s="1" t="s">
        <v>37</v>
      </c>
      <c r="C2020" s="1" t="s">
        <v>264</v>
      </c>
      <c r="D2020" s="1" t="s">
        <v>39</v>
      </c>
      <c r="E2020" s="1" t="s">
        <v>26</v>
      </c>
      <c r="F2020" s="1" t="s">
        <v>40</v>
      </c>
      <c r="G2020">
        <v>291180</v>
      </c>
      <c r="H2020" s="1" t="s">
        <v>3192</v>
      </c>
      <c r="I2020" s="2">
        <v>45651</v>
      </c>
      <c r="J2020">
        <v>63</v>
      </c>
      <c r="K2020">
        <v>14.9</v>
      </c>
      <c r="L2020" s="1" t="s">
        <v>96</v>
      </c>
      <c r="M2020" s="1" t="s">
        <v>42</v>
      </c>
    </row>
    <row r="2021" spans="1:13" x14ac:dyDescent="0.25">
      <c r="A2021" s="1" t="s">
        <v>3193</v>
      </c>
      <c r="B2021" s="1" t="s">
        <v>84</v>
      </c>
      <c r="C2021" s="1" t="s">
        <v>676</v>
      </c>
      <c r="D2021" s="1" t="s">
        <v>25</v>
      </c>
      <c r="E2021" s="1" t="s">
        <v>61</v>
      </c>
      <c r="F2021" s="1" t="s">
        <v>129</v>
      </c>
      <c r="G2021">
        <v>434455</v>
      </c>
      <c r="H2021" s="1" t="s">
        <v>481</v>
      </c>
      <c r="I2021" s="2"/>
      <c r="K2021">
        <v>11.5</v>
      </c>
      <c r="L2021" s="1" t="s">
        <v>96</v>
      </c>
      <c r="M2021" s="1" t="s">
        <v>102</v>
      </c>
    </row>
    <row r="2022" spans="1:13" x14ac:dyDescent="0.25">
      <c r="A2022" s="1" t="s">
        <v>3194</v>
      </c>
      <c r="B2022" s="1" t="s">
        <v>173</v>
      </c>
      <c r="C2022" s="1" t="s">
        <v>89</v>
      </c>
      <c r="D2022" s="1" t="s">
        <v>90</v>
      </c>
      <c r="E2022" s="1" t="s">
        <v>61</v>
      </c>
      <c r="F2022" s="1" t="s">
        <v>40</v>
      </c>
      <c r="G2022">
        <v>314085</v>
      </c>
      <c r="H2022" s="1" t="s">
        <v>133</v>
      </c>
      <c r="I2022" s="2">
        <v>45079</v>
      </c>
      <c r="J2022">
        <v>85</v>
      </c>
      <c r="K2022">
        <v>14</v>
      </c>
      <c r="L2022" s="1" t="s">
        <v>29</v>
      </c>
      <c r="M2022" s="1" t="s">
        <v>35</v>
      </c>
    </row>
    <row r="2023" spans="1:13" x14ac:dyDescent="0.25">
      <c r="A2023" s="1" t="s">
        <v>1562</v>
      </c>
      <c r="B2023" s="1" t="s">
        <v>14</v>
      </c>
      <c r="C2023" s="1" t="s">
        <v>596</v>
      </c>
      <c r="D2023" s="1" t="s">
        <v>25</v>
      </c>
      <c r="E2023" s="1" t="s">
        <v>72</v>
      </c>
      <c r="F2023" s="1" t="s">
        <v>129</v>
      </c>
      <c r="G2023">
        <v>366160</v>
      </c>
      <c r="H2023" s="1" t="s">
        <v>1291</v>
      </c>
      <c r="I2023" s="2"/>
      <c r="K2023">
        <v>3.5</v>
      </c>
      <c r="L2023" s="1" t="s">
        <v>29</v>
      </c>
      <c r="M2023" s="1" t="s">
        <v>63</v>
      </c>
    </row>
    <row r="2024" spans="1:13" x14ac:dyDescent="0.25">
      <c r="A2024" s="1" t="s">
        <v>3195</v>
      </c>
      <c r="B2024" s="1" t="s">
        <v>37</v>
      </c>
      <c r="C2024" s="1" t="s">
        <v>1129</v>
      </c>
      <c r="D2024" s="1" t="s">
        <v>67</v>
      </c>
      <c r="E2024" s="1" t="s">
        <v>26</v>
      </c>
      <c r="F2024" s="1" t="s">
        <v>53</v>
      </c>
      <c r="G2024">
        <v>494085</v>
      </c>
      <c r="H2024" s="1" t="s">
        <v>872</v>
      </c>
      <c r="I2024" s="2"/>
      <c r="K2024">
        <v>13.4</v>
      </c>
      <c r="L2024" s="1" t="s">
        <v>29</v>
      </c>
      <c r="M2024" s="1" t="s">
        <v>35</v>
      </c>
    </row>
    <row r="2025" spans="1:13" x14ac:dyDescent="0.25">
      <c r="A2025" s="1" t="s">
        <v>3196</v>
      </c>
      <c r="B2025" s="1" t="s">
        <v>173</v>
      </c>
      <c r="C2025" s="1" t="s">
        <v>162</v>
      </c>
      <c r="D2025" s="1" t="s">
        <v>16</v>
      </c>
      <c r="E2025" s="1" t="s">
        <v>72</v>
      </c>
      <c r="F2025" s="1" t="s">
        <v>40</v>
      </c>
      <c r="G2025">
        <v>133874</v>
      </c>
      <c r="H2025" s="1" t="s">
        <v>1194</v>
      </c>
      <c r="I2025" s="2">
        <v>45149</v>
      </c>
      <c r="J2025">
        <v>75</v>
      </c>
      <c r="K2025">
        <v>8.1</v>
      </c>
      <c r="L2025" s="1" t="s">
        <v>49</v>
      </c>
      <c r="M2025" s="1" t="s">
        <v>30</v>
      </c>
    </row>
    <row r="2026" spans="1:13" x14ac:dyDescent="0.25">
      <c r="A2026" s="1" t="s">
        <v>3197</v>
      </c>
      <c r="B2026" s="1" t="s">
        <v>14</v>
      </c>
      <c r="C2026" s="1" t="s">
        <v>334</v>
      </c>
      <c r="D2026" s="1" t="s">
        <v>16</v>
      </c>
      <c r="E2026" s="1" t="s">
        <v>94</v>
      </c>
      <c r="F2026" s="1" t="s">
        <v>40</v>
      </c>
      <c r="G2026">
        <v>486879</v>
      </c>
      <c r="H2026" s="1" t="s">
        <v>3198</v>
      </c>
      <c r="I2026" s="2">
        <v>45605</v>
      </c>
      <c r="J2026">
        <v>66</v>
      </c>
      <c r="K2026">
        <v>2.2000000000000002</v>
      </c>
      <c r="L2026" s="1" t="s">
        <v>96</v>
      </c>
      <c r="M2026" s="1" t="s">
        <v>149</v>
      </c>
    </row>
    <row r="2027" spans="1:13" x14ac:dyDescent="0.25">
      <c r="A2027" s="1" t="s">
        <v>3199</v>
      </c>
      <c r="B2027" s="1" t="s">
        <v>75</v>
      </c>
      <c r="C2027" s="1" t="s">
        <v>198</v>
      </c>
      <c r="D2027" s="1" t="s">
        <v>25</v>
      </c>
      <c r="E2027" s="1" t="s">
        <v>77</v>
      </c>
      <c r="F2027" s="1" t="s">
        <v>129</v>
      </c>
      <c r="G2027">
        <v>56909</v>
      </c>
      <c r="H2027" s="1" t="s">
        <v>3200</v>
      </c>
      <c r="I2027" s="2"/>
      <c r="K2027">
        <v>2.4</v>
      </c>
      <c r="L2027" s="1" t="s">
        <v>49</v>
      </c>
      <c r="M2027" s="1" t="s">
        <v>107</v>
      </c>
    </row>
    <row r="2028" spans="1:13" x14ac:dyDescent="0.25">
      <c r="A2028" s="1" t="s">
        <v>3201</v>
      </c>
      <c r="B2028" s="1" t="s">
        <v>75</v>
      </c>
      <c r="C2028" s="1" t="s">
        <v>536</v>
      </c>
      <c r="D2028" s="1" t="s">
        <v>16</v>
      </c>
      <c r="E2028" s="1" t="s">
        <v>26</v>
      </c>
      <c r="F2028" s="1" t="s">
        <v>27</v>
      </c>
      <c r="G2028">
        <v>318041</v>
      </c>
      <c r="H2028" s="1" t="s">
        <v>709</v>
      </c>
      <c r="I2028" s="2"/>
      <c r="L2028" s="1" t="s">
        <v>96</v>
      </c>
      <c r="M2028" s="1" t="s">
        <v>63</v>
      </c>
    </row>
    <row r="2029" spans="1:13" x14ac:dyDescent="0.25">
      <c r="A2029" s="1" t="s">
        <v>3202</v>
      </c>
      <c r="B2029" s="1" t="s">
        <v>88</v>
      </c>
      <c r="C2029" s="1" t="s">
        <v>279</v>
      </c>
      <c r="D2029" s="1" t="s">
        <v>67</v>
      </c>
      <c r="E2029" s="1" t="s">
        <v>77</v>
      </c>
      <c r="F2029" s="1" t="s">
        <v>40</v>
      </c>
      <c r="G2029">
        <v>158371</v>
      </c>
      <c r="H2029" s="1" t="s">
        <v>1735</v>
      </c>
      <c r="I2029" s="2">
        <v>45127</v>
      </c>
      <c r="J2029">
        <v>134</v>
      </c>
      <c r="K2029">
        <v>14.9</v>
      </c>
      <c r="L2029" s="1" t="s">
        <v>49</v>
      </c>
      <c r="M2029" s="1" t="s">
        <v>35</v>
      </c>
    </row>
    <row r="2030" spans="1:13" x14ac:dyDescent="0.25">
      <c r="A2030" s="1" t="s">
        <v>3203</v>
      </c>
      <c r="B2030" s="1" t="s">
        <v>14</v>
      </c>
      <c r="C2030" s="1" t="s">
        <v>1157</v>
      </c>
      <c r="D2030" s="1" t="s">
        <v>46</v>
      </c>
      <c r="E2030" s="1" t="s">
        <v>26</v>
      </c>
      <c r="F2030" s="1" t="s">
        <v>33</v>
      </c>
      <c r="G2030">
        <v>338201</v>
      </c>
      <c r="H2030" s="1" t="s">
        <v>2945</v>
      </c>
      <c r="I2030" s="2"/>
      <c r="K2030">
        <v>7.2</v>
      </c>
      <c r="L2030" s="1" t="s">
        <v>49</v>
      </c>
      <c r="M2030" s="1" t="s">
        <v>35</v>
      </c>
    </row>
    <row r="2031" spans="1:13" x14ac:dyDescent="0.25">
      <c r="A2031" s="1" t="s">
        <v>3204</v>
      </c>
      <c r="B2031" s="1" t="s">
        <v>84</v>
      </c>
      <c r="C2031" s="1" t="s">
        <v>967</v>
      </c>
      <c r="D2031" s="1" t="s">
        <v>16</v>
      </c>
      <c r="E2031" s="1" t="s">
        <v>26</v>
      </c>
      <c r="F2031" s="1" t="s">
        <v>33</v>
      </c>
      <c r="G2031">
        <v>488205</v>
      </c>
      <c r="H2031" s="1" t="s">
        <v>3205</v>
      </c>
      <c r="I2031" s="2"/>
      <c r="K2031">
        <v>4.3</v>
      </c>
      <c r="L2031" s="1" t="s">
        <v>96</v>
      </c>
      <c r="M2031" s="1" t="s">
        <v>35</v>
      </c>
    </row>
    <row r="2032" spans="1:13" x14ac:dyDescent="0.25">
      <c r="A2032" s="1" t="s">
        <v>3206</v>
      </c>
      <c r="B2032" s="1" t="s">
        <v>14</v>
      </c>
      <c r="C2032" s="1" t="s">
        <v>2503</v>
      </c>
      <c r="D2032" s="1" t="s">
        <v>67</v>
      </c>
      <c r="E2032" s="1" t="s">
        <v>100</v>
      </c>
      <c r="F2032" s="1" t="s">
        <v>53</v>
      </c>
      <c r="G2032">
        <v>132275</v>
      </c>
      <c r="H2032" s="1" t="s">
        <v>612</v>
      </c>
      <c r="I2032" s="2"/>
      <c r="K2032">
        <v>10.199999999999999</v>
      </c>
      <c r="L2032" s="1" t="s">
        <v>29</v>
      </c>
      <c r="M2032" s="1" t="s">
        <v>102</v>
      </c>
    </row>
    <row r="2033" spans="1:13" x14ac:dyDescent="0.25">
      <c r="A2033" s="1" t="s">
        <v>3207</v>
      </c>
      <c r="B2033" s="1" t="s">
        <v>104</v>
      </c>
      <c r="C2033" s="1" t="s">
        <v>1057</v>
      </c>
      <c r="D2033" s="1" t="s">
        <v>67</v>
      </c>
      <c r="E2033" s="1" t="s">
        <v>100</v>
      </c>
      <c r="F2033" s="1" t="s">
        <v>129</v>
      </c>
      <c r="G2033">
        <v>232094</v>
      </c>
      <c r="H2033" s="1" t="s">
        <v>844</v>
      </c>
      <c r="I2033" s="2"/>
      <c r="L2033" s="1" t="s">
        <v>29</v>
      </c>
      <c r="M2033" s="1" t="s">
        <v>149</v>
      </c>
    </row>
    <row r="2034" spans="1:13" x14ac:dyDescent="0.25">
      <c r="A2034" s="1" t="s">
        <v>3208</v>
      </c>
      <c r="B2034" s="1" t="s">
        <v>59</v>
      </c>
      <c r="C2034" s="1" t="s">
        <v>398</v>
      </c>
      <c r="D2034" s="1" t="s">
        <v>25</v>
      </c>
      <c r="E2034" s="1" t="s">
        <v>26</v>
      </c>
      <c r="F2034" s="1" t="s">
        <v>53</v>
      </c>
      <c r="G2034">
        <v>176481</v>
      </c>
      <c r="H2034" s="1" t="s">
        <v>3209</v>
      </c>
      <c r="I2034" s="2"/>
      <c r="K2034">
        <v>0.6</v>
      </c>
      <c r="L2034" s="1" t="s">
        <v>20</v>
      </c>
      <c r="M2034" s="1" t="s">
        <v>63</v>
      </c>
    </row>
    <row r="2035" spans="1:13" x14ac:dyDescent="0.25">
      <c r="A2035" s="1" t="s">
        <v>3210</v>
      </c>
      <c r="B2035" s="1" t="s">
        <v>98</v>
      </c>
      <c r="C2035" s="1" t="s">
        <v>213</v>
      </c>
      <c r="D2035" s="1" t="s">
        <v>46</v>
      </c>
      <c r="E2035" s="1" t="s">
        <v>17</v>
      </c>
      <c r="F2035" s="1" t="s">
        <v>129</v>
      </c>
      <c r="G2035">
        <v>322718</v>
      </c>
      <c r="H2035" s="1" t="s">
        <v>839</v>
      </c>
      <c r="I2035" s="2"/>
      <c r="L2035" s="1" t="s">
        <v>20</v>
      </c>
      <c r="M2035" s="1" t="s">
        <v>21</v>
      </c>
    </row>
    <row r="2036" spans="1:13" x14ac:dyDescent="0.25">
      <c r="A2036" s="1" t="s">
        <v>3211</v>
      </c>
      <c r="B2036" s="1" t="s">
        <v>84</v>
      </c>
      <c r="C2036" s="1" t="s">
        <v>1064</v>
      </c>
      <c r="D2036" s="1" t="s">
        <v>39</v>
      </c>
      <c r="E2036" s="1" t="s">
        <v>17</v>
      </c>
      <c r="F2036" s="1" t="s">
        <v>40</v>
      </c>
      <c r="G2036">
        <v>15874</v>
      </c>
      <c r="H2036" s="1" t="s">
        <v>1662</v>
      </c>
      <c r="I2036" s="2">
        <v>45204</v>
      </c>
      <c r="J2036">
        <v>93</v>
      </c>
      <c r="K2036">
        <v>4.3</v>
      </c>
      <c r="L2036" s="1" t="s">
        <v>29</v>
      </c>
      <c r="M2036" s="1" t="s">
        <v>102</v>
      </c>
    </row>
    <row r="2037" spans="1:13" x14ac:dyDescent="0.25">
      <c r="A2037" s="1" t="s">
        <v>3212</v>
      </c>
      <c r="B2037" s="1" t="s">
        <v>37</v>
      </c>
      <c r="C2037" s="1" t="s">
        <v>1558</v>
      </c>
      <c r="D2037" s="1" t="s">
        <v>16</v>
      </c>
      <c r="E2037" s="1" t="s">
        <v>47</v>
      </c>
      <c r="F2037" s="1" t="s">
        <v>129</v>
      </c>
      <c r="G2037">
        <v>342318</v>
      </c>
      <c r="H2037" s="1" t="s">
        <v>773</v>
      </c>
      <c r="I2037" s="2"/>
      <c r="L2037" s="1" t="s">
        <v>96</v>
      </c>
      <c r="M2037" s="1" t="s">
        <v>107</v>
      </c>
    </row>
    <row r="2038" spans="1:13" x14ac:dyDescent="0.25">
      <c r="A2038" s="1" t="s">
        <v>3213</v>
      </c>
      <c r="B2038" s="1" t="s">
        <v>127</v>
      </c>
      <c r="C2038" s="1" t="s">
        <v>276</v>
      </c>
      <c r="D2038" s="1" t="s">
        <v>39</v>
      </c>
      <c r="E2038" s="1" t="s">
        <v>77</v>
      </c>
      <c r="F2038" s="1" t="s">
        <v>53</v>
      </c>
      <c r="G2038">
        <v>403505</v>
      </c>
      <c r="H2038" s="1" t="s">
        <v>886</v>
      </c>
      <c r="I2038" s="2"/>
      <c r="K2038">
        <v>13.1</v>
      </c>
      <c r="L2038" s="1" t="s">
        <v>20</v>
      </c>
      <c r="M2038" s="1" t="s">
        <v>35</v>
      </c>
    </row>
    <row r="2039" spans="1:13" x14ac:dyDescent="0.25">
      <c r="A2039" s="1" t="s">
        <v>3214</v>
      </c>
      <c r="B2039" s="1" t="s">
        <v>44</v>
      </c>
      <c r="C2039" s="1" t="s">
        <v>328</v>
      </c>
      <c r="D2039" s="1" t="s">
        <v>90</v>
      </c>
      <c r="E2039" s="1" t="s">
        <v>61</v>
      </c>
      <c r="F2039" s="1" t="s">
        <v>33</v>
      </c>
      <c r="G2039">
        <v>320554</v>
      </c>
      <c r="H2039" s="1" t="s">
        <v>1589</v>
      </c>
      <c r="I2039" s="2"/>
      <c r="K2039">
        <v>9</v>
      </c>
      <c r="L2039" s="1" t="s">
        <v>96</v>
      </c>
      <c r="M2039" s="1" t="s">
        <v>63</v>
      </c>
    </row>
    <row r="2040" spans="1:13" x14ac:dyDescent="0.25">
      <c r="A2040" s="1" t="s">
        <v>3215</v>
      </c>
      <c r="B2040" s="1" t="s">
        <v>14</v>
      </c>
      <c r="C2040" s="1" t="s">
        <v>696</v>
      </c>
      <c r="D2040" s="1" t="s">
        <v>46</v>
      </c>
      <c r="E2040" s="1" t="s">
        <v>47</v>
      </c>
      <c r="F2040" s="1" t="s">
        <v>18</v>
      </c>
      <c r="G2040">
        <v>202163</v>
      </c>
      <c r="H2040" s="1" t="s">
        <v>3200</v>
      </c>
      <c r="I2040" s="2">
        <v>45446</v>
      </c>
      <c r="J2040">
        <v>60</v>
      </c>
      <c r="L2040" s="1" t="s">
        <v>49</v>
      </c>
      <c r="M2040" s="1" t="s">
        <v>107</v>
      </c>
    </row>
    <row r="2041" spans="1:13" x14ac:dyDescent="0.25">
      <c r="A2041" s="1" t="s">
        <v>3216</v>
      </c>
      <c r="B2041" s="1" t="s">
        <v>65</v>
      </c>
      <c r="C2041" s="1" t="s">
        <v>693</v>
      </c>
      <c r="D2041" s="1" t="s">
        <v>46</v>
      </c>
      <c r="E2041" s="1" t="s">
        <v>47</v>
      </c>
      <c r="F2041" s="1" t="s">
        <v>40</v>
      </c>
      <c r="G2041">
        <v>296198</v>
      </c>
      <c r="H2041" s="1" t="s">
        <v>1534</v>
      </c>
      <c r="I2041" s="2">
        <v>45775</v>
      </c>
      <c r="J2041">
        <v>86</v>
      </c>
      <c r="K2041">
        <v>12.9</v>
      </c>
      <c r="L2041" s="1" t="s">
        <v>49</v>
      </c>
      <c r="M2041" s="1" t="s">
        <v>63</v>
      </c>
    </row>
    <row r="2042" spans="1:13" x14ac:dyDescent="0.25">
      <c r="A2042" s="1" t="s">
        <v>3217</v>
      </c>
      <c r="B2042" s="1" t="s">
        <v>173</v>
      </c>
      <c r="C2042" s="1" t="s">
        <v>439</v>
      </c>
      <c r="D2042" s="1" t="s">
        <v>90</v>
      </c>
      <c r="E2042" s="1" t="s">
        <v>51</v>
      </c>
      <c r="F2042" s="1" t="s">
        <v>33</v>
      </c>
      <c r="G2042">
        <v>184028</v>
      </c>
      <c r="H2042" s="1" t="s">
        <v>350</v>
      </c>
      <c r="I2042" s="2"/>
      <c r="K2042">
        <v>13.7</v>
      </c>
      <c r="L2042" s="1" t="s">
        <v>49</v>
      </c>
      <c r="M2042" s="1" t="s">
        <v>21</v>
      </c>
    </row>
    <row r="2043" spans="1:13" x14ac:dyDescent="0.25">
      <c r="A2043" s="1" t="s">
        <v>3218</v>
      </c>
      <c r="B2043" s="1" t="s">
        <v>37</v>
      </c>
      <c r="C2043" s="1" t="s">
        <v>339</v>
      </c>
      <c r="D2043" s="1" t="s">
        <v>39</v>
      </c>
      <c r="E2043" s="1" t="s">
        <v>47</v>
      </c>
      <c r="F2043" s="1" t="s">
        <v>27</v>
      </c>
      <c r="G2043">
        <v>268321</v>
      </c>
      <c r="H2043" s="1" t="s">
        <v>1137</v>
      </c>
      <c r="I2043" s="2"/>
      <c r="L2043" s="1" t="s">
        <v>29</v>
      </c>
      <c r="M2043" s="1" t="s">
        <v>149</v>
      </c>
    </row>
    <row r="2044" spans="1:13" x14ac:dyDescent="0.25">
      <c r="A2044" s="1" t="s">
        <v>3219</v>
      </c>
      <c r="B2044" s="1" t="s">
        <v>127</v>
      </c>
      <c r="C2044" s="1" t="s">
        <v>790</v>
      </c>
      <c r="D2044" s="1" t="s">
        <v>90</v>
      </c>
      <c r="E2044" s="1" t="s">
        <v>61</v>
      </c>
      <c r="F2044" s="1" t="s">
        <v>27</v>
      </c>
      <c r="G2044">
        <v>113662</v>
      </c>
      <c r="H2044" s="1" t="s">
        <v>1443</v>
      </c>
      <c r="I2044" s="2"/>
      <c r="L2044" s="1" t="s">
        <v>96</v>
      </c>
      <c r="M2044" s="1" t="s">
        <v>149</v>
      </c>
    </row>
    <row r="2045" spans="1:13" x14ac:dyDescent="0.25">
      <c r="A2045" s="1" t="s">
        <v>3220</v>
      </c>
      <c r="B2045" s="1" t="s">
        <v>14</v>
      </c>
      <c r="C2045" s="1" t="s">
        <v>539</v>
      </c>
      <c r="D2045" s="1" t="s">
        <v>46</v>
      </c>
      <c r="E2045" s="1" t="s">
        <v>26</v>
      </c>
      <c r="F2045" s="1" t="s">
        <v>27</v>
      </c>
      <c r="G2045">
        <v>270051</v>
      </c>
      <c r="H2045" s="1" t="s">
        <v>222</v>
      </c>
      <c r="I2045" s="2"/>
      <c r="L2045" s="1" t="s">
        <v>49</v>
      </c>
      <c r="M2045" s="1" t="s">
        <v>63</v>
      </c>
    </row>
    <row r="2046" spans="1:13" x14ac:dyDescent="0.25">
      <c r="A2046" s="1" t="s">
        <v>3221</v>
      </c>
      <c r="B2046" s="1" t="s">
        <v>65</v>
      </c>
      <c r="C2046" s="1" t="s">
        <v>24</v>
      </c>
      <c r="D2046" s="1" t="s">
        <v>90</v>
      </c>
      <c r="E2046" s="1" t="s">
        <v>51</v>
      </c>
      <c r="F2046" s="1" t="s">
        <v>33</v>
      </c>
      <c r="G2046">
        <v>102325</v>
      </c>
      <c r="H2046" s="1" t="s">
        <v>974</v>
      </c>
      <c r="I2046" s="2"/>
      <c r="L2046" s="1" t="s">
        <v>20</v>
      </c>
      <c r="M2046" s="1" t="s">
        <v>35</v>
      </c>
    </row>
    <row r="2047" spans="1:13" x14ac:dyDescent="0.25">
      <c r="A2047" s="1" t="s">
        <v>3222</v>
      </c>
      <c r="B2047" s="1" t="s">
        <v>14</v>
      </c>
      <c r="C2047" s="1" t="s">
        <v>339</v>
      </c>
      <c r="D2047" s="1" t="s">
        <v>25</v>
      </c>
      <c r="E2047" s="1" t="s">
        <v>72</v>
      </c>
      <c r="F2047" s="1" t="s">
        <v>129</v>
      </c>
      <c r="G2047">
        <v>489154</v>
      </c>
      <c r="H2047" s="1" t="s">
        <v>2375</v>
      </c>
      <c r="I2047" s="2"/>
      <c r="L2047" s="1" t="s">
        <v>49</v>
      </c>
      <c r="M2047" s="1" t="s">
        <v>63</v>
      </c>
    </row>
    <row r="2048" spans="1:13" x14ac:dyDescent="0.25">
      <c r="A2048" s="1" t="s">
        <v>3223</v>
      </c>
      <c r="B2048" s="1" t="s">
        <v>44</v>
      </c>
      <c r="C2048" s="1" t="s">
        <v>343</v>
      </c>
      <c r="D2048" s="1" t="s">
        <v>16</v>
      </c>
      <c r="E2048" s="1" t="s">
        <v>47</v>
      </c>
      <c r="F2048" s="1" t="s">
        <v>40</v>
      </c>
      <c r="G2048">
        <v>16614</v>
      </c>
      <c r="H2048" s="1" t="s">
        <v>1194</v>
      </c>
      <c r="I2048" s="2">
        <v>45156</v>
      </c>
      <c r="J2048">
        <v>82</v>
      </c>
      <c r="K2048">
        <v>3.5</v>
      </c>
      <c r="L2048" s="1" t="s">
        <v>49</v>
      </c>
      <c r="M2048" s="1" t="s">
        <v>30</v>
      </c>
    </row>
    <row r="2049" spans="1:13" x14ac:dyDescent="0.25">
      <c r="A2049" s="1" t="s">
        <v>3224</v>
      </c>
      <c r="B2049" s="1" t="s">
        <v>88</v>
      </c>
      <c r="C2049" s="1" t="s">
        <v>261</v>
      </c>
      <c r="D2049" s="1" t="s">
        <v>25</v>
      </c>
      <c r="E2049" s="1" t="s">
        <v>17</v>
      </c>
      <c r="F2049" s="1" t="s">
        <v>40</v>
      </c>
      <c r="G2049">
        <v>229280</v>
      </c>
      <c r="H2049" s="1" t="s">
        <v>2556</v>
      </c>
      <c r="I2049" s="2">
        <v>45241</v>
      </c>
      <c r="J2049">
        <v>127</v>
      </c>
      <c r="K2049">
        <v>20</v>
      </c>
      <c r="L2049" s="1" t="s">
        <v>49</v>
      </c>
      <c r="M2049" s="1" t="s">
        <v>102</v>
      </c>
    </row>
    <row r="2050" spans="1:13" x14ac:dyDescent="0.25">
      <c r="A2050" s="1" t="s">
        <v>3225</v>
      </c>
      <c r="B2050" s="1" t="s">
        <v>84</v>
      </c>
      <c r="C2050" s="1" t="s">
        <v>303</v>
      </c>
      <c r="D2050" s="1" t="s">
        <v>46</v>
      </c>
      <c r="E2050" s="1" t="s">
        <v>100</v>
      </c>
      <c r="F2050" s="1" t="s">
        <v>33</v>
      </c>
      <c r="G2050">
        <v>1013410</v>
      </c>
      <c r="H2050" s="1" t="s">
        <v>373</v>
      </c>
      <c r="I2050" s="2"/>
      <c r="K2050">
        <v>6</v>
      </c>
      <c r="L2050" s="1" t="s">
        <v>20</v>
      </c>
      <c r="M2050" s="1" t="s">
        <v>102</v>
      </c>
    </row>
    <row r="2051" spans="1:13" x14ac:dyDescent="0.25">
      <c r="A2051" s="1" t="s">
        <v>3226</v>
      </c>
      <c r="B2051" s="1" t="s">
        <v>127</v>
      </c>
      <c r="C2051" s="1" t="s">
        <v>3227</v>
      </c>
      <c r="D2051" s="1" t="s">
        <v>16</v>
      </c>
      <c r="E2051" s="1" t="s">
        <v>26</v>
      </c>
      <c r="F2051" s="1" t="s">
        <v>53</v>
      </c>
      <c r="G2051">
        <v>123558</v>
      </c>
      <c r="H2051" s="1" t="s">
        <v>1337</v>
      </c>
      <c r="I2051" s="2"/>
      <c r="L2051" s="1" t="s">
        <v>20</v>
      </c>
      <c r="M2051" s="1" t="s">
        <v>69</v>
      </c>
    </row>
    <row r="2052" spans="1:13" x14ac:dyDescent="0.25">
      <c r="A2052" s="1" t="s">
        <v>3228</v>
      </c>
      <c r="B2052" s="1" t="s">
        <v>37</v>
      </c>
      <c r="C2052" s="1" t="s">
        <v>809</v>
      </c>
      <c r="D2052" s="1" t="s">
        <v>67</v>
      </c>
      <c r="E2052" s="1" t="s">
        <v>61</v>
      </c>
      <c r="F2052" s="1" t="s">
        <v>129</v>
      </c>
      <c r="G2052">
        <v>487127</v>
      </c>
      <c r="H2052" s="1" t="s">
        <v>2620</v>
      </c>
      <c r="I2052" s="2"/>
      <c r="L2052" s="1" t="s">
        <v>20</v>
      </c>
      <c r="M2052" s="1" t="s">
        <v>21</v>
      </c>
    </row>
    <row r="2053" spans="1:13" x14ac:dyDescent="0.25">
      <c r="A2053" s="1" t="s">
        <v>3229</v>
      </c>
      <c r="B2053" s="1" t="s">
        <v>14</v>
      </c>
      <c r="C2053" s="1" t="s">
        <v>944</v>
      </c>
      <c r="D2053" s="1" t="s">
        <v>67</v>
      </c>
      <c r="E2053" s="1" t="s">
        <v>94</v>
      </c>
      <c r="F2053" s="1" t="s">
        <v>40</v>
      </c>
      <c r="G2053">
        <v>173296</v>
      </c>
      <c r="H2053" s="1" t="s">
        <v>875</v>
      </c>
      <c r="I2053" s="2">
        <v>45206</v>
      </c>
      <c r="J2053">
        <v>77</v>
      </c>
      <c r="K2053">
        <v>15.1</v>
      </c>
      <c r="L2053" s="1" t="s">
        <v>49</v>
      </c>
      <c r="M2053" s="1" t="s">
        <v>102</v>
      </c>
    </row>
    <row r="2054" spans="1:13" x14ac:dyDescent="0.25">
      <c r="A2054" s="1" t="s">
        <v>3230</v>
      </c>
      <c r="B2054" s="1" t="s">
        <v>23</v>
      </c>
      <c r="C2054" s="1" t="s">
        <v>300</v>
      </c>
      <c r="D2054" s="1" t="s">
        <v>16</v>
      </c>
      <c r="E2054" s="1" t="s">
        <v>94</v>
      </c>
      <c r="F2054" s="1" t="s">
        <v>40</v>
      </c>
      <c r="G2054">
        <v>252748</v>
      </c>
      <c r="H2054" s="1" t="s">
        <v>431</v>
      </c>
      <c r="I2054" s="2">
        <v>45639</v>
      </c>
      <c r="J2054">
        <v>156</v>
      </c>
      <c r="K2054">
        <v>10</v>
      </c>
      <c r="L2054" s="1" t="s">
        <v>29</v>
      </c>
      <c r="M2054" s="1" t="s">
        <v>149</v>
      </c>
    </row>
    <row r="2055" spans="1:13" x14ac:dyDescent="0.25">
      <c r="A2055" s="1" t="s">
        <v>3231</v>
      </c>
      <c r="B2055" s="1" t="s">
        <v>44</v>
      </c>
      <c r="C2055" s="1" t="s">
        <v>1997</v>
      </c>
      <c r="D2055" s="1" t="s">
        <v>39</v>
      </c>
      <c r="E2055" s="1" t="s">
        <v>17</v>
      </c>
      <c r="F2055" s="1" t="s">
        <v>129</v>
      </c>
      <c r="G2055">
        <v>423024</v>
      </c>
      <c r="H2055" s="1" t="s">
        <v>529</v>
      </c>
      <c r="I2055" s="2"/>
      <c r="K2055">
        <v>11.2</v>
      </c>
      <c r="L2055" s="1" t="s">
        <v>96</v>
      </c>
      <c r="M2055" s="1" t="s">
        <v>63</v>
      </c>
    </row>
    <row r="2056" spans="1:13" x14ac:dyDescent="0.25">
      <c r="A2056" s="1" t="s">
        <v>3232</v>
      </c>
      <c r="B2056" s="1" t="s">
        <v>44</v>
      </c>
      <c r="C2056" s="1" t="s">
        <v>1129</v>
      </c>
      <c r="D2056" s="1" t="s">
        <v>16</v>
      </c>
      <c r="E2056" s="1" t="s">
        <v>17</v>
      </c>
      <c r="F2056" s="1" t="s">
        <v>129</v>
      </c>
      <c r="G2056">
        <v>1842551</v>
      </c>
      <c r="H2056" s="1" t="s">
        <v>184</v>
      </c>
      <c r="I2056" s="2"/>
      <c r="K2056">
        <v>5.0999999999999996</v>
      </c>
      <c r="L2056" s="1" t="s">
        <v>29</v>
      </c>
      <c r="M2056" s="1" t="s">
        <v>107</v>
      </c>
    </row>
    <row r="2057" spans="1:13" x14ac:dyDescent="0.25">
      <c r="A2057" s="1" t="s">
        <v>3233</v>
      </c>
      <c r="B2057" s="1" t="s">
        <v>88</v>
      </c>
      <c r="C2057" s="1" t="s">
        <v>1087</v>
      </c>
      <c r="D2057" s="1" t="s">
        <v>25</v>
      </c>
      <c r="E2057" s="1" t="s">
        <v>94</v>
      </c>
      <c r="F2057" s="1" t="s">
        <v>53</v>
      </c>
      <c r="G2057">
        <v>253064</v>
      </c>
      <c r="H2057" s="1" t="s">
        <v>1421</v>
      </c>
      <c r="I2057" s="2"/>
      <c r="K2057">
        <v>13.6</v>
      </c>
      <c r="L2057" s="1" t="s">
        <v>49</v>
      </c>
      <c r="M2057" s="1" t="s">
        <v>35</v>
      </c>
    </row>
    <row r="2058" spans="1:13" x14ac:dyDescent="0.25">
      <c r="A2058" s="1" t="s">
        <v>3234</v>
      </c>
      <c r="B2058" s="1" t="s">
        <v>88</v>
      </c>
      <c r="C2058" s="1" t="s">
        <v>667</v>
      </c>
      <c r="D2058" s="1" t="s">
        <v>90</v>
      </c>
      <c r="E2058" s="1" t="s">
        <v>72</v>
      </c>
      <c r="F2058" s="1" t="s">
        <v>18</v>
      </c>
      <c r="G2058">
        <v>30674</v>
      </c>
      <c r="H2058" s="1" t="s">
        <v>926</v>
      </c>
      <c r="I2058" s="2">
        <v>45626</v>
      </c>
      <c r="J2058">
        <v>93</v>
      </c>
      <c r="K2058">
        <v>2.4</v>
      </c>
      <c r="L2058" s="1" t="s">
        <v>96</v>
      </c>
      <c r="M2058" s="1" t="s">
        <v>149</v>
      </c>
    </row>
    <row r="2059" spans="1:13" x14ac:dyDescent="0.25">
      <c r="A2059" s="1" t="s">
        <v>3235</v>
      </c>
      <c r="B2059" s="1" t="s">
        <v>84</v>
      </c>
      <c r="C2059" s="1" t="s">
        <v>1165</v>
      </c>
      <c r="D2059" s="1" t="s">
        <v>67</v>
      </c>
      <c r="E2059" s="1" t="s">
        <v>77</v>
      </c>
      <c r="F2059" s="1" t="s">
        <v>53</v>
      </c>
      <c r="G2059">
        <v>232006</v>
      </c>
      <c r="H2059" s="1" t="s">
        <v>3236</v>
      </c>
      <c r="I2059" s="2"/>
      <c r="K2059">
        <v>0.4</v>
      </c>
      <c r="L2059" s="1" t="s">
        <v>20</v>
      </c>
      <c r="M2059" s="1" t="s">
        <v>63</v>
      </c>
    </row>
    <row r="2060" spans="1:13" x14ac:dyDescent="0.25">
      <c r="A2060" s="1" t="s">
        <v>3237</v>
      </c>
      <c r="B2060" s="1" t="s">
        <v>84</v>
      </c>
      <c r="C2060" s="1" t="s">
        <v>168</v>
      </c>
      <c r="D2060" s="1" t="s">
        <v>16</v>
      </c>
      <c r="E2060" s="1" t="s">
        <v>61</v>
      </c>
      <c r="F2060" s="1" t="s">
        <v>40</v>
      </c>
      <c r="G2060">
        <v>133996</v>
      </c>
      <c r="H2060" s="1" t="s">
        <v>1644</v>
      </c>
      <c r="I2060" s="2">
        <v>45401</v>
      </c>
      <c r="J2060">
        <v>124</v>
      </c>
      <c r="K2060">
        <v>18.399999999999999</v>
      </c>
      <c r="L2060" s="1" t="s">
        <v>20</v>
      </c>
      <c r="M2060" s="1" t="s">
        <v>21</v>
      </c>
    </row>
    <row r="2061" spans="1:13" x14ac:dyDescent="0.25">
      <c r="A2061" s="1" t="s">
        <v>3238</v>
      </c>
      <c r="B2061" s="1" t="s">
        <v>84</v>
      </c>
      <c r="C2061" s="1" t="s">
        <v>258</v>
      </c>
      <c r="D2061" s="1" t="s">
        <v>90</v>
      </c>
      <c r="E2061" s="1" t="s">
        <v>61</v>
      </c>
      <c r="F2061" s="1" t="s">
        <v>18</v>
      </c>
      <c r="G2061">
        <v>61216</v>
      </c>
      <c r="H2061" s="1" t="s">
        <v>2255</v>
      </c>
      <c r="I2061" s="2">
        <v>45282</v>
      </c>
      <c r="J2061">
        <v>157</v>
      </c>
      <c r="K2061">
        <v>13.8</v>
      </c>
      <c r="L2061" s="1" t="s">
        <v>49</v>
      </c>
      <c r="M2061" s="1" t="s">
        <v>102</v>
      </c>
    </row>
    <row r="2062" spans="1:13" x14ac:dyDescent="0.25">
      <c r="A2062" s="1" t="s">
        <v>3239</v>
      </c>
      <c r="B2062" s="1" t="s">
        <v>37</v>
      </c>
      <c r="C2062" s="1" t="s">
        <v>157</v>
      </c>
      <c r="D2062" s="1" t="s">
        <v>25</v>
      </c>
      <c r="E2062" s="1" t="s">
        <v>61</v>
      </c>
      <c r="F2062" s="1" t="s">
        <v>27</v>
      </c>
      <c r="G2062">
        <v>98881</v>
      </c>
      <c r="H2062" s="1" t="s">
        <v>1096</v>
      </c>
      <c r="I2062" s="2"/>
      <c r="L2062" s="1" t="s">
        <v>29</v>
      </c>
      <c r="M2062" s="1" t="s">
        <v>102</v>
      </c>
    </row>
    <row r="2063" spans="1:13" x14ac:dyDescent="0.25">
      <c r="A2063" s="1" t="s">
        <v>3240</v>
      </c>
      <c r="B2063" s="1" t="s">
        <v>98</v>
      </c>
      <c r="C2063" s="1" t="s">
        <v>831</v>
      </c>
      <c r="D2063" s="1" t="s">
        <v>46</v>
      </c>
      <c r="E2063" s="1" t="s">
        <v>61</v>
      </c>
      <c r="F2063" s="1" t="s">
        <v>33</v>
      </c>
      <c r="G2063">
        <v>328378</v>
      </c>
      <c r="H2063" s="1" t="s">
        <v>3241</v>
      </c>
      <c r="I2063" s="2"/>
      <c r="K2063">
        <v>3.5</v>
      </c>
      <c r="L2063" s="1" t="s">
        <v>49</v>
      </c>
      <c r="M2063" s="1" t="s">
        <v>21</v>
      </c>
    </row>
    <row r="2064" spans="1:13" x14ac:dyDescent="0.25">
      <c r="A2064" s="1" t="s">
        <v>3242</v>
      </c>
      <c r="B2064" s="1" t="s">
        <v>80</v>
      </c>
      <c r="C2064" s="1" t="s">
        <v>885</v>
      </c>
      <c r="D2064" s="1" t="s">
        <v>46</v>
      </c>
      <c r="E2064" s="1" t="s">
        <v>94</v>
      </c>
      <c r="F2064" s="1" t="s">
        <v>53</v>
      </c>
      <c r="G2064">
        <v>396024</v>
      </c>
      <c r="H2064" s="1" t="s">
        <v>178</v>
      </c>
      <c r="I2064" s="2"/>
      <c r="K2064">
        <v>4.4000000000000004</v>
      </c>
      <c r="L2064" s="1" t="s">
        <v>96</v>
      </c>
      <c r="M2064" s="1" t="s">
        <v>63</v>
      </c>
    </row>
    <row r="2065" spans="1:13" x14ac:dyDescent="0.25">
      <c r="A2065" s="1" t="s">
        <v>3243</v>
      </c>
      <c r="B2065" s="1" t="s">
        <v>14</v>
      </c>
      <c r="C2065" s="1" t="s">
        <v>292</v>
      </c>
      <c r="D2065" s="1" t="s">
        <v>25</v>
      </c>
      <c r="E2065" s="1" t="s">
        <v>77</v>
      </c>
      <c r="F2065" s="1" t="s">
        <v>33</v>
      </c>
      <c r="G2065">
        <v>223252</v>
      </c>
      <c r="H2065" s="1" t="s">
        <v>2324</v>
      </c>
      <c r="I2065" s="2"/>
      <c r="K2065">
        <v>7.5</v>
      </c>
      <c r="L2065" s="1" t="s">
        <v>29</v>
      </c>
      <c r="M2065" s="1" t="s">
        <v>42</v>
      </c>
    </row>
    <row r="2066" spans="1:13" x14ac:dyDescent="0.25">
      <c r="A2066" s="1" t="s">
        <v>3244</v>
      </c>
      <c r="B2066" s="1" t="s">
        <v>80</v>
      </c>
      <c r="C2066" s="1" t="s">
        <v>486</v>
      </c>
      <c r="D2066" s="1" t="s">
        <v>67</v>
      </c>
      <c r="E2066" s="1" t="s">
        <v>100</v>
      </c>
      <c r="F2066" s="1" t="s">
        <v>53</v>
      </c>
      <c r="G2066">
        <v>197110</v>
      </c>
      <c r="H2066" s="1" t="s">
        <v>3245</v>
      </c>
      <c r="I2066" s="2"/>
      <c r="K2066">
        <v>4.9000000000000004</v>
      </c>
      <c r="L2066" s="1" t="s">
        <v>96</v>
      </c>
      <c r="M2066" s="1" t="s">
        <v>107</v>
      </c>
    </row>
    <row r="2067" spans="1:13" x14ac:dyDescent="0.25">
      <c r="A2067" s="1" t="s">
        <v>3246</v>
      </c>
      <c r="B2067" s="1" t="s">
        <v>80</v>
      </c>
      <c r="C2067" s="1" t="s">
        <v>128</v>
      </c>
      <c r="D2067" s="1" t="s">
        <v>67</v>
      </c>
      <c r="E2067" s="1" t="s">
        <v>61</v>
      </c>
      <c r="F2067" s="1" t="s">
        <v>18</v>
      </c>
      <c r="G2067">
        <v>36099</v>
      </c>
      <c r="H2067" s="1" t="s">
        <v>86</v>
      </c>
      <c r="I2067" s="2">
        <v>45406</v>
      </c>
      <c r="J2067">
        <v>71</v>
      </c>
      <c r="K2067">
        <v>13.5</v>
      </c>
      <c r="L2067" s="1" t="s">
        <v>96</v>
      </c>
      <c r="M2067" s="1" t="s">
        <v>69</v>
      </c>
    </row>
    <row r="2068" spans="1:13" x14ac:dyDescent="0.25">
      <c r="A2068" s="1" t="s">
        <v>3247</v>
      </c>
      <c r="B2068" s="1" t="s">
        <v>14</v>
      </c>
      <c r="C2068" s="1" t="s">
        <v>183</v>
      </c>
      <c r="D2068" s="1" t="s">
        <v>67</v>
      </c>
      <c r="E2068" s="1" t="s">
        <v>94</v>
      </c>
      <c r="F2068" s="1" t="s">
        <v>40</v>
      </c>
      <c r="G2068">
        <v>320992</v>
      </c>
      <c r="H2068" s="1" t="s">
        <v>3096</v>
      </c>
      <c r="I2068" s="2">
        <v>45072</v>
      </c>
      <c r="J2068">
        <v>63</v>
      </c>
      <c r="K2068">
        <v>7.8</v>
      </c>
      <c r="L2068" s="1" t="s">
        <v>20</v>
      </c>
      <c r="M2068" s="1" t="s">
        <v>35</v>
      </c>
    </row>
    <row r="2069" spans="1:13" x14ac:dyDescent="0.25">
      <c r="A2069" s="1" t="s">
        <v>3248</v>
      </c>
      <c r="B2069" s="1" t="s">
        <v>51</v>
      </c>
      <c r="C2069" s="1" t="s">
        <v>273</v>
      </c>
      <c r="D2069" s="1" t="s">
        <v>39</v>
      </c>
      <c r="E2069" s="1" t="s">
        <v>100</v>
      </c>
      <c r="F2069" s="1" t="s">
        <v>18</v>
      </c>
      <c r="G2069">
        <v>250689</v>
      </c>
      <c r="H2069" s="1" t="s">
        <v>211</v>
      </c>
      <c r="I2069" s="2">
        <v>45156</v>
      </c>
      <c r="J2069">
        <v>80</v>
      </c>
      <c r="K2069">
        <v>3.8</v>
      </c>
      <c r="L2069" s="1" t="s">
        <v>20</v>
      </c>
      <c r="M2069" s="1" t="s">
        <v>30</v>
      </c>
    </row>
    <row r="2070" spans="1:13" x14ac:dyDescent="0.25">
      <c r="A2070" s="1" t="s">
        <v>3249</v>
      </c>
      <c r="B2070" s="1" t="s">
        <v>44</v>
      </c>
      <c r="C2070" s="1" t="s">
        <v>635</v>
      </c>
      <c r="D2070" s="1" t="s">
        <v>90</v>
      </c>
      <c r="E2070" s="1" t="s">
        <v>94</v>
      </c>
      <c r="F2070" s="1" t="s">
        <v>27</v>
      </c>
      <c r="G2070">
        <v>1488985</v>
      </c>
      <c r="H2070" s="1" t="s">
        <v>3250</v>
      </c>
      <c r="I2070" s="2"/>
      <c r="K2070">
        <v>10.6</v>
      </c>
      <c r="L2070" s="1" t="s">
        <v>20</v>
      </c>
      <c r="M2070" s="1" t="s">
        <v>21</v>
      </c>
    </row>
    <row r="2071" spans="1:13" x14ac:dyDescent="0.25">
      <c r="A2071" s="1" t="s">
        <v>3251</v>
      </c>
      <c r="B2071" s="1" t="s">
        <v>14</v>
      </c>
      <c r="C2071" s="1" t="s">
        <v>393</v>
      </c>
      <c r="D2071" s="1" t="s">
        <v>46</v>
      </c>
      <c r="E2071" s="1" t="s">
        <v>47</v>
      </c>
      <c r="F2071" s="1" t="s">
        <v>33</v>
      </c>
      <c r="G2071">
        <v>204555</v>
      </c>
      <c r="H2071" s="1" t="s">
        <v>3252</v>
      </c>
      <c r="I2071" s="2"/>
      <c r="K2071">
        <v>2.8</v>
      </c>
      <c r="L2071" s="1" t="s">
        <v>96</v>
      </c>
      <c r="M2071" s="1" t="s">
        <v>107</v>
      </c>
    </row>
    <row r="2072" spans="1:13" x14ac:dyDescent="0.25">
      <c r="A2072" s="1" t="s">
        <v>3253</v>
      </c>
      <c r="B2072" s="1" t="s">
        <v>23</v>
      </c>
      <c r="C2072" s="1" t="s">
        <v>1914</v>
      </c>
      <c r="D2072" s="1" t="s">
        <v>16</v>
      </c>
      <c r="E2072" s="1" t="s">
        <v>94</v>
      </c>
      <c r="F2072" s="1" t="s">
        <v>53</v>
      </c>
      <c r="G2072">
        <v>412635</v>
      </c>
      <c r="H2072" s="1" t="s">
        <v>3254</v>
      </c>
      <c r="I2072" s="2"/>
      <c r="K2072">
        <v>1.9</v>
      </c>
      <c r="L2072" s="1" t="s">
        <v>29</v>
      </c>
      <c r="M2072" s="1" t="s">
        <v>35</v>
      </c>
    </row>
    <row r="2073" spans="1:13" x14ac:dyDescent="0.25">
      <c r="A2073" s="1" t="s">
        <v>3255</v>
      </c>
      <c r="B2073" s="1" t="s">
        <v>23</v>
      </c>
      <c r="C2073" s="1" t="s">
        <v>135</v>
      </c>
      <c r="D2073" s="1" t="s">
        <v>25</v>
      </c>
      <c r="E2073" s="1" t="s">
        <v>26</v>
      </c>
      <c r="F2073" s="1" t="s">
        <v>18</v>
      </c>
      <c r="G2073">
        <v>449107</v>
      </c>
      <c r="H2073" s="1" t="s">
        <v>638</v>
      </c>
      <c r="I2073" s="2">
        <v>45227</v>
      </c>
      <c r="J2073">
        <v>94</v>
      </c>
      <c r="K2073">
        <v>3.2</v>
      </c>
      <c r="L2073" s="1" t="s">
        <v>20</v>
      </c>
      <c r="M2073" s="1" t="s">
        <v>102</v>
      </c>
    </row>
    <row r="2074" spans="1:13" x14ac:dyDescent="0.25">
      <c r="A2074" s="1" t="s">
        <v>3256</v>
      </c>
      <c r="B2074" s="1" t="s">
        <v>37</v>
      </c>
      <c r="C2074" s="1" t="s">
        <v>387</v>
      </c>
      <c r="D2074" s="1" t="s">
        <v>16</v>
      </c>
      <c r="E2074" s="1" t="s">
        <v>100</v>
      </c>
      <c r="F2074" s="1" t="s">
        <v>40</v>
      </c>
      <c r="G2074">
        <v>140187</v>
      </c>
      <c r="H2074" s="1" t="s">
        <v>2305</v>
      </c>
      <c r="I2074" s="2">
        <v>45867</v>
      </c>
      <c r="J2074">
        <v>176</v>
      </c>
      <c r="K2074">
        <v>17.600000000000001</v>
      </c>
      <c r="L2074" s="1" t="s">
        <v>20</v>
      </c>
      <c r="M2074" s="1" t="s">
        <v>63</v>
      </c>
    </row>
    <row r="2075" spans="1:13" x14ac:dyDescent="0.25">
      <c r="A2075" s="1" t="s">
        <v>3257</v>
      </c>
      <c r="B2075" s="1" t="s">
        <v>80</v>
      </c>
      <c r="C2075" s="1" t="s">
        <v>1334</v>
      </c>
      <c r="D2075" s="1" t="s">
        <v>90</v>
      </c>
      <c r="E2075" s="1" t="s">
        <v>77</v>
      </c>
      <c r="F2075" s="1" t="s">
        <v>53</v>
      </c>
      <c r="G2075">
        <v>166174</v>
      </c>
      <c r="H2075" s="1" t="s">
        <v>1317</v>
      </c>
      <c r="I2075" s="2"/>
      <c r="K2075">
        <v>1.3</v>
      </c>
      <c r="L2075" s="1" t="s">
        <v>20</v>
      </c>
      <c r="M2075" s="1" t="s">
        <v>30</v>
      </c>
    </row>
    <row r="2076" spans="1:13" x14ac:dyDescent="0.25">
      <c r="A2076" s="1" t="s">
        <v>3258</v>
      </c>
      <c r="B2076" s="1" t="s">
        <v>75</v>
      </c>
      <c r="C2076" s="1" t="s">
        <v>244</v>
      </c>
      <c r="D2076" s="1" t="s">
        <v>46</v>
      </c>
      <c r="E2076" s="1" t="s">
        <v>26</v>
      </c>
      <c r="F2076" s="1" t="s">
        <v>129</v>
      </c>
      <c r="G2076">
        <v>391159</v>
      </c>
      <c r="H2076" s="1" t="s">
        <v>424</v>
      </c>
      <c r="I2076" s="2"/>
      <c r="K2076">
        <v>1.4</v>
      </c>
      <c r="L2076" s="1" t="s">
        <v>49</v>
      </c>
      <c r="M2076" s="1" t="s">
        <v>149</v>
      </c>
    </row>
    <row r="2077" spans="1:13" x14ac:dyDescent="0.25">
      <c r="A2077" s="1" t="s">
        <v>3259</v>
      </c>
      <c r="B2077" s="1" t="s">
        <v>109</v>
      </c>
      <c r="C2077" s="1" t="s">
        <v>877</v>
      </c>
      <c r="D2077" s="1" t="s">
        <v>46</v>
      </c>
      <c r="E2077" s="1" t="s">
        <v>72</v>
      </c>
      <c r="F2077" s="1" t="s">
        <v>33</v>
      </c>
      <c r="G2077">
        <v>211830</v>
      </c>
      <c r="H2077" s="1" t="s">
        <v>577</v>
      </c>
      <c r="I2077" s="2"/>
      <c r="L2077" s="1" t="s">
        <v>49</v>
      </c>
      <c r="M2077" s="1" t="s">
        <v>21</v>
      </c>
    </row>
    <row r="2078" spans="1:13" x14ac:dyDescent="0.25">
      <c r="A2078" s="1" t="s">
        <v>3260</v>
      </c>
      <c r="B2078" s="1" t="s">
        <v>59</v>
      </c>
      <c r="C2078" s="1" t="s">
        <v>71</v>
      </c>
      <c r="D2078" s="1" t="s">
        <v>39</v>
      </c>
      <c r="E2078" s="1" t="s">
        <v>72</v>
      </c>
      <c r="F2078" s="1" t="s">
        <v>53</v>
      </c>
      <c r="G2078">
        <v>85809</v>
      </c>
      <c r="H2078" s="1" t="s">
        <v>3096</v>
      </c>
      <c r="I2078" s="2"/>
      <c r="L2078" s="1" t="s">
        <v>20</v>
      </c>
      <c r="M2078" s="1" t="s">
        <v>35</v>
      </c>
    </row>
    <row r="2079" spans="1:13" x14ac:dyDescent="0.25">
      <c r="A2079" s="1" t="s">
        <v>3261</v>
      </c>
      <c r="B2079" s="1" t="s">
        <v>14</v>
      </c>
      <c r="C2079" s="1" t="s">
        <v>325</v>
      </c>
      <c r="D2079" s="1" t="s">
        <v>25</v>
      </c>
      <c r="E2079" s="1" t="s">
        <v>47</v>
      </c>
      <c r="F2079" s="1" t="s">
        <v>53</v>
      </c>
      <c r="G2079">
        <v>367885</v>
      </c>
      <c r="H2079" s="1" t="s">
        <v>2235</v>
      </c>
      <c r="I2079" s="2"/>
      <c r="K2079">
        <v>15</v>
      </c>
      <c r="L2079" s="1" t="s">
        <v>49</v>
      </c>
      <c r="M2079" s="1" t="s">
        <v>149</v>
      </c>
    </row>
    <row r="2080" spans="1:13" x14ac:dyDescent="0.25">
      <c r="A2080" s="1" t="s">
        <v>3262</v>
      </c>
      <c r="B2080" s="1" t="s">
        <v>109</v>
      </c>
      <c r="C2080" s="1" t="s">
        <v>423</v>
      </c>
      <c r="D2080" s="1" t="s">
        <v>39</v>
      </c>
      <c r="E2080" s="1" t="s">
        <v>72</v>
      </c>
      <c r="F2080" s="1" t="s">
        <v>40</v>
      </c>
      <c r="G2080">
        <v>38738</v>
      </c>
      <c r="H2080" s="1" t="s">
        <v>82</v>
      </c>
      <c r="I2080" s="2">
        <v>45248</v>
      </c>
      <c r="J2080">
        <v>29</v>
      </c>
      <c r="K2080">
        <v>5.6</v>
      </c>
      <c r="L2080" s="1" t="s">
        <v>49</v>
      </c>
      <c r="M2080" s="1" t="s">
        <v>21</v>
      </c>
    </row>
    <row r="2081" spans="1:13" x14ac:dyDescent="0.25">
      <c r="A2081" s="1" t="s">
        <v>3263</v>
      </c>
      <c r="B2081" s="1" t="s">
        <v>127</v>
      </c>
      <c r="C2081" s="1" t="s">
        <v>603</v>
      </c>
      <c r="D2081" s="1" t="s">
        <v>39</v>
      </c>
      <c r="E2081" s="1" t="s">
        <v>100</v>
      </c>
      <c r="F2081" s="1" t="s">
        <v>18</v>
      </c>
      <c r="G2081">
        <v>21153</v>
      </c>
      <c r="H2081" s="1" t="s">
        <v>733</v>
      </c>
      <c r="I2081" s="2">
        <v>45518</v>
      </c>
      <c r="J2081">
        <v>156</v>
      </c>
      <c r="K2081">
        <v>14.8</v>
      </c>
      <c r="L2081" s="1" t="s">
        <v>20</v>
      </c>
      <c r="M2081" s="1" t="s">
        <v>69</v>
      </c>
    </row>
    <row r="2082" spans="1:13" x14ac:dyDescent="0.25">
      <c r="A2082" s="1" t="s">
        <v>3264</v>
      </c>
      <c r="B2082" s="1" t="s">
        <v>88</v>
      </c>
      <c r="C2082" s="1" t="s">
        <v>892</v>
      </c>
      <c r="D2082" s="1" t="s">
        <v>90</v>
      </c>
      <c r="E2082" s="1" t="s">
        <v>47</v>
      </c>
      <c r="F2082" s="1" t="s">
        <v>27</v>
      </c>
      <c r="G2082">
        <v>25200</v>
      </c>
      <c r="H2082" s="1" t="s">
        <v>632</v>
      </c>
      <c r="I2082" s="2"/>
      <c r="K2082">
        <v>0.8</v>
      </c>
      <c r="L2082" s="1" t="s">
        <v>96</v>
      </c>
      <c r="M2082" s="1" t="s">
        <v>42</v>
      </c>
    </row>
    <row r="2083" spans="1:13" x14ac:dyDescent="0.25">
      <c r="A2083" s="1" t="s">
        <v>3265</v>
      </c>
      <c r="B2083" s="1" t="s">
        <v>84</v>
      </c>
      <c r="C2083" s="1" t="s">
        <v>384</v>
      </c>
      <c r="D2083" s="1" t="s">
        <v>16</v>
      </c>
      <c r="E2083" s="1" t="s">
        <v>100</v>
      </c>
      <c r="F2083" s="1" t="s">
        <v>33</v>
      </c>
      <c r="G2083">
        <v>253535</v>
      </c>
      <c r="H2083" s="1" t="s">
        <v>54</v>
      </c>
      <c r="I2083" s="2"/>
      <c r="K2083">
        <v>4.5999999999999996</v>
      </c>
      <c r="L2083" s="1" t="s">
        <v>49</v>
      </c>
      <c r="M2083" s="1" t="s">
        <v>21</v>
      </c>
    </row>
    <row r="2084" spans="1:13" x14ac:dyDescent="0.25">
      <c r="A2084" s="1" t="s">
        <v>3266</v>
      </c>
      <c r="B2084" s="1" t="s">
        <v>59</v>
      </c>
      <c r="C2084" s="1" t="s">
        <v>93</v>
      </c>
      <c r="D2084" s="1" t="s">
        <v>25</v>
      </c>
      <c r="E2084" s="1" t="s">
        <v>100</v>
      </c>
      <c r="F2084" s="1" t="s">
        <v>27</v>
      </c>
      <c r="G2084">
        <v>349746</v>
      </c>
      <c r="H2084" s="1" t="s">
        <v>2324</v>
      </c>
      <c r="I2084" s="2"/>
      <c r="K2084">
        <v>7</v>
      </c>
      <c r="L2084" s="1" t="s">
        <v>49</v>
      </c>
      <c r="M2084" s="1" t="s">
        <v>42</v>
      </c>
    </row>
    <row r="2085" spans="1:13" x14ac:dyDescent="0.25">
      <c r="A2085" s="1" t="s">
        <v>3267</v>
      </c>
      <c r="B2085" s="1" t="s">
        <v>84</v>
      </c>
      <c r="C2085" s="1" t="s">
        <v>237</v>
      </c>
      <c r="D2085" s="1" t="s">
        <v>39</v>
      </c>
      <c r="E2085" s="1" t="s">
        <v>77</v>
      </c>
      <c r="F2085" s="1" t="s">
        <v>33</v>
      </c>
      <c r="G2085">
        <v>127294</v>
      </c>
      <c r="H2085" s="1" t="s">
        <v>1140</v>
      </c>
      <c r="I2085" s="2"/>
      <c r="K2085">
        <v>5.5</v>
      </c>
      <c r="L2085" s="1" t="s">
        <v>20</v>
      </c>
      <c r="M2085" s="1" t="s">
        <v>35</v>
      </c>
    </row>
    <row r="2086" spans="1:13" x14ac:dyDescent="0.25">
      <c r="A2086" s="1" t="s">
        <v>3268</v>
      </c>
      <c r="B2086" s="1" t="s">
        <v>84</v>
      </c>
      <c r="C2086" s="1" t="s">
        <v>939</v>
      </c>
      <c r="D2086" s="1" t="s">
        <v>46</v>
      </c>
      <c r="E2086" s="1" t="s">
        <v>100</v>
      </c>
      <c r="F2086" s="1" t="s">
        <v>18</v>
      </c>
      <c r="G2086">
        <v>399061</v>
      </c>
      <c r="H2086" s="1" t="s">
        <v>577</v>
      </c>
      <c r="I2086" s="2">
        <v>45303</v>
      </c>
      <c r="J2086">
        <v>28</v>
      </c>
      <c r="K2086">
        <v>11.5</v>
      </c>
      <c r="L2086" s="1" t="s">
        <v>20</v>
      </c>
      <c r="M2086" s="1" t="s">
        <v>21</v>
      </c>
    </row>
    <row r="2087" spans="1:13" x14ac:dyDescent="0.25">
      <c r="A2087" s="1" t="s">
        <v>3269</v>
      </c>
      <c r="B2087" s="1" t="s">
        <v>104</v>
      </c>
      <c r="C2087" s="1" t="s">
        <v>1153</v>
      </c>
      <c r="D2087" s="1" t="s">
        <v>25</v>
      </c>
      <c r="E2087" s="1" t="s">
        <v>72</v>
      </c>
      <c r="F2087" s="1" t="s">
        <v>40</v>
      </c>
      <c r="G2087">
        <v>356279</v>
      </c>
      <c r="H2087" s="1" t="s">
        <v>3043</v>
      </c>
      <c r="I2087" s="2">
        <v>45330</v>
      </c>
      <c r="J2087">
        <v>87</v>
      </c>
      <c r="K2087">
        <v>14</v>
      </c>
      <c r="L2087" s="1" t="s">
        <v>96</v>
      </c>
      <c r="M2087" s="1" t="s">
        <v>21</v>
      </c>
    </row>
    <row r="2088" spans="1:13" x14ac:dyDescent="0.25">
      <c r="A2088" s="1" t="s">
        <v>3270</v>
      </c>
      <c r="B2088" s="1" t="s">
        <v>80</v>
      </c>
      <c r="C2088" s="1" t="s">
        <v>1334</v>
      </c>
      <c r="D2088" s="1" t="s">
        <v>39</v>
      </c>
      <c r="E2088" s="1" t="s">
        <v>72</v>
      </c>
      <c r="F2088" s="1" t="s">
        <v>33</v>
      </c>
      <c r="G2088">
        <v>244362</v>
      </c>
      <c r="H2088" s="1" t="s">
        <v>1458</v>
      </c>
      <c r="I2088" s="2"/>
      <c r="L2088" s="1" t="s">
        <v>29</v>
      </c>
      <c r="M2088" s="1" t="s">
        <v>30</v>
      </c>
    </row>
    <row r="2089" spans="1:13" x14ac:dyDescent="0.25">
      <c r="A2089" s="1" t="s">
        <v>3271</v>
      </c>
      <c r="B2089" s="1" t="s">
        <v>44</v>
      </c>
      <c r="C2089" s="1" t="s">
        <v>218</v>
      </c>
      <c r="D2089" s="1" t="s">
        <v>46</v>
      </c>
      <c r="E2089" s="1" t="s">
        <v>72</v>
      </c>
      <c r="F2089" s="1" t="s">
        <v>18</v>
      </c>
      <c r="G2089">
        <v>11744</v>
      </c>
      <c r="H2089" s="1" t="s">
        <v>133</v>
      </c>
      <c r="I2089" s="2">
        <v>45078</v>
      </c>
      <c r="J2089">
        <v>84</v>
      </c>
      <c r="K2089">
        <v>1.7</v>
      </c>
      <c r="L2089" s="1" t="s">
        <v>96</v>
      </c>
      <c r="M2089" s="1" t="s">
        <v>35</v>
      </c>
    </row>
    <row r="2090" spans="1:13" x14ac:dyDescent="0.25">
      <c r="A2090" s="1" t="s">
        <v>3272</v>
      </c>
      <c r="B2090" s="1" t="s">
        <v>80</v>
      </c>
      <c r="C2090" s="1" t="s">
        <v>303</v>
      </c>
      <c r="D2090" s="1" t="s">
        <v>39</v>
      </c>
      <c r="E2090" s="1" t="s">
        <v>100</v>
      </c>
      <c r="F2090" s="1" t="s">
        <v>18</v>
      </c>
      <c r="G2090">
        <v>375578</v>
      </c>
      <c r="H2090" s="1" t="s">
        <v>604</v>
      </c>
      <c r="I2090" s="2">
        <v>45471</v>
      </c>
      <c r="J2090">
        <v>38</v>
      </c>
      <c r="K2090">
        <v>11.4</v>
      </c>
      <c r="L2090" s="1" t="s">
        <v>49</v>
      </c>
      <c r="M2090" s="1" t="s">
        <v>107</v>
      </c>
    </row>
    <row r="2091" spans="1:13" x14ac:dyDescent="0.25">
      <c r="A2091" s="1" t="s">
        <v>3273</v>
      </c>
      <c r="B2091" s="1" t="s">
        <v>59</v>
      </c>
      <c r="C2091" s="1" t="s">
        <v>358</v>
      </c>
      <c r="D2091" s="1" t="s">
        <v>16</v>
      </c>
      <c r="E2091" s="1" t="s">
        <v>72</v>
      </c>
      <c r="F2091" s="1" t="s">
        <v>18</v>
      </c>
      <c r="G2091">
        <v>243868</v>
      </c>
      <c r="H2091" s="1" t="s">
        <v>1990</v>
      </c>
      <c r="I2091" s="2">
        <v>45077</v>
      </c>
      <c r="J2091">
        <v>82</v>
      </c>
      <c r="K2091">
        <v>6.5</v>
      </c>
      <c r="L2091" s="1" t="s">
        <v>29</v>
      </c>
      <c r="M2091" s="1" t="s">
        <v>35</v>
      </c>
    </row>
    <row r="2092" spans="1:13" x14ac:dyDescent="0.25">
      <c r="A2092" s="1" t="s">
        <v>3274</v>
      </c>
      <c r="B2092" s="1" t="s">
        <v>127</v>
      </c>
      <c r="C2092" s="1" t="s">
        <v>1914</v>
      </c>
      <c r="D2092" s="1" t="s">
        <v>25</v>
      </c>
      <c r="E2092" s="1" t="s">
        <v>100</v>
      </c>
      <c r="F2092" s="1" t="s">
        <v>40</v>
      </c>
      <c r="G2092">
        <v>450973</v>
      </c>
      <c r="H2092" s="1" t="s">
        <v>844</v>
      </c>
      <c r="I2092" s="2">
        <v>45613</v>
      </c>
      <c r="J2092">
        <v>119</v>
      </c>
      <c r="K2092">
        <v>21.4</v>
      </c>
      <c r="L2092" s="1" t="s">
        <v>29</v>
      </c>
      <c r="M2092" s="1" t="s">
        <v>149</v>
      </c>
    </row>
    <row r="2093" spans="1:13" x14ac:dyDescent="0.25">
      <c r="A2093" s="1" t="s">
        <v>3275</v>
      </c>
      <c r="B2093" s="1" t="s">
        <v>75</v>
      </c>
      <c r="C2093" s="1" t="s">
        <v>917</v>
      </c>
      <c r="D2093" s="1" t="s">
        <v>67</v>
      </c>
      <c r="E2093" s="1" t="s">
        <v>47</v>
      </c>
      <c r="F2093" s="1" t="s">
        <v>33</v>
      </c>
      <c r="G2093">
        <v>1344122</v>
      </c>
      <c r="H2093" s="1" t="s">
        <v>921</v>
      </c>
      <c r="I2093" s="2"/>
      <c r="K2093">
        <v>4.8</v>
      </c>
      <c r="L2093" s="1" t="s">
        <v>20</v>
      </c>
      <c r="M2093" s="1" t="s">
        <v>107</v>
      </c>
    </row>
    <row r="2094" spans="1:13" x14ac:dyDescent="0.25">
      <c r="A2094" s="1" t="s">
        <v>2974</v>
      </c>
      <c r="B2094" s="1" t="s">
        <v>84</v>
      </c>
      <c r="C2094" s="1" t="s">
        <v>401</v>
      </c>
      <c r="D2094" s="1" t="s">
        <v>90</v>
      </c>
      <c r="E2094" s="1" t="s">
        <v>17</v>
      </c>
      <c r="F2094" s="1" t="s">
        <v>40</v>
      </c>
      <c r="G2094">
        <v>143364</v>
      </c>
      <c r="H2094" s="1" t="s">
        <v>632</v>
      </c>
      <c r="I2094" s="2">
        <v>45715</v>
      </c>
      <c r="J2094">
        <v>97</v>
      </c>
      <c r="K2094">
        <v>13.5</v>
      </c>
      <c r="L2094" s="1" t="s">
        <v>96</v>
      </c>
      <c r="M2094" s="1" t="s">
        <v>42</v>
      </c>
    </row>
    <row r="2095" spans="1:13" x14ac:dyDescent="0.25">
      <c r="A2095" s="1" t="s">
        <v>3276</v>
      </c>
      <c r="B2095" s="1" t="s">
        <v>84</v>
      </c>
      <c r="C2095" s="1" t="s">
        <v>52</v>
      </c>
      <c r="D2095" s="1" t="s">
        <v>39</v>
      </c>
      <c r="E2095" s="1" t="s">
        <v>72</v>
      </c>
      <c r="F2095" s="1" t="s">
        <v>129</v>
      </c>
      <c r="G2095">
        <v>308108</v>
      </c>
      <c r="H2095" s="1" t="s">
        <v>341</v>
      </c>
      <c r="I2095" s="2"/>
      <c r="L2095" s="1" t="s">
        <v>29</v>
      </c>
      <c r="M2095" s="1" t="s">
        <v>149</v>
      </c>
    </row>
    <row r="2096" spans="1:13" x14ac:dyDescent="0.25">
      <c r="A2096" s="1" t="s">
        <v>3277</v>
      </c>
      <c r="B2096" s="1" t="s">
        <v>84</v>
      </c>
      <c r="C2096" s="1" t="s">
        <v>1997</v>
      </c>
      <c r="D2096" s="1" t="s">
        <v>39</v>
      </c>
      <c r="E2096" s="1" t="s">
        <v>47</v>
      </c>
      <c r="F2096" s="1" t="s">
        <v>40</v>
      </c>
      <c r="G2096">
        <v>283554</v>
      </c>
      <c r="H2096" s="1" t="s">
        <v>1335</v>
      </c>
      <c r="I2096" s="2">
        <v>45655</v>
      </c>
      <c r="J2096">
        <v>137</v>
      </c>
      <c r="K2096">
        <v>24.4</v>
      </c>
      <c r="L2096" s="1" t="s">
        <v>49</v>
      </c>
      <c r="M2096" s="1" t="s">
        <v>149</v>
      </c>
    </row>
    <row r="2097" spans="1:13" x14ac:dyDescent="0.25">
      <c r="A2097" s="1" t="s">
        <v>3278</v>
      </c>
      <c r="B2097" s="1" t="s">
        <v>80</v>
      </c>
      <c r="C2097" s="1" t="s">
        <v>89</v>
      </c>
      <c r="D2097" s="1" t="s">
        <v>67</v>
      </c>
      <c r="E2097" s="1" t="s">
        <v>77</v>
      </c>
      <c r="F2097" s="1" t="s">
        <v>18</v>
      </c>
      <c r="G2097">
        <v>499590</v>
      </c>
      <c r="H2097" s="1" t="s">
        <v>823</v>
      </c>
      <c r="I2097" s="2">
        <v>45295</v>
      </c>
      <c r="J2097">
        <v>44</v>
      </c>
      <c r="L2097" s="1" t="s">
        <v>96</v>
      </c>
      <c r="M2097" s="1" t="s">
        <v>21</v>
      </c>
    </row>
    <row r="2098" spans="1:13" x14ac:dyDescent="0.25">
      <c r="A2098" s="1" t="s">
        <v>3279</v>
      </c>
      <c r="B2098" s="1" t="s">
        <v>84</v>
      </c>
      <c r="C2098" s="1" t="s">
        <v>3227</v>
      </c>
      <c r="D2098" s="1" t="s">
        <v>39</v>
      </c>
      <c r="E2098" s="1" t="s">
        <v>77</v>
      </c>
      <c r="F2098" s="1" t="s">
        <v>53</v>
      </c>
      <c r="G2098">
        <v>48504</v>
      </c>
      <c r="H2098" s="1" t="s">
        <v>1894</v>
      </c>
      <c r="I2098" s="2"/>
      <c r="K2098">
        <v>10.3</v>
      </c>
      <c r="L2098" s="1" t="s">
        <v>20</v>
      </c>
      <c r="M2098" s="1" t="s">
        <v>21</v>
      </c>
    </row>
    <row r="2099" spans="1:13" x14ac:dyDescent="0.25">
      <c r="A2099" s="1" t="s">
        <v>3280</v>
      </c>
      <c r="B2099" s="1" t="s">
        <v>75</v>
      </c>
      <c r="C2099" s="1" t="s">
        <v>71</v>
      </c>
      <c r="D2099" s="1" t="s">
        <v>90</v>
      </c>
      <c r="E2099" s="1" t="s">
        <v>47</v>
      </c>
      <c r="F2099" s="1" t="s">
        <v>40</v>
      </c>
      <c r="G2099">
        <v>487064</v>
      </c>
      <c r="H2099" s="1" t="s">
        <v>3281</v>
      </c>
      <c r="I2099" s="2">
        <v>45768</v>
      </c>
      <c r="J2099">
        <v>116</v>
      </c>
      <c r="K2099">
        <v>7.6</v>
      </c>
      <c r="L2099" s="1" t="s">
        <v>20</v>
      </c>
      <c r="M2099" s="1" t="s">
        <v>42</v>
      </c>
    </row>
    <row r="2100" spans="1:13" x14ac:dyDescent="0.25">
      <c r="A2100" s="1" t="s">
        <v>3282</v>
      </c>
      <c r="B2100" s="1" t="s">
        <v>37</v>
      </c>
      <c r="C2100" s="1" t="s">
        <v>775</v>
      </c>
      <c r="D2100" s="1" t="s">
        <v>67</v>
      </c>
      <c r="E2100" s="1" t="s">
        <v>94</v>
      </c>
      <c r="F2100" s="1" t="s">
        <v>27</v>
      </c>
      <c r="G2100">
        <v>168734</v>
      </c>
      <c r="H2100" s="1" t="s">
        <v>1587</v>
      </c>
      <c r="I2100" s="2"/>
      <c r="K2100">
        <v>13.4</v>
      </c>
      <c r="L2100" s="1" t="s">
        <v>96</v>
      </c>
      <c r="M2100" s="1" t="s">
        <v>42</v>
      </c>
    </row>
    <row r="2101" spans="1:13" x14ac:dyDescent="0.25">
      <c r="A2101" s="1" t="s">
        <v>3283</v>
      </c>
      <c r="B2101" s="1" t="s">
        <v>59</v>
      </c>
      <c r="C2101" s="1" t="s">
        <v>869</v>
      </c>
      <c r="D2101" s="1" t="s">
        <v>90</v>
      </c>
      <c r="E2101" s="1" t="s">
        <v>72</v>
      </c>
      <c r="F2101" s="1" t="s">
        <v>129</v>
      </c>
      <c r="G2101">
        <v>287682</v>
      </c>
      <c r="H2101" s="1" t="s">
        <v>2187</v>
      </c>
      <c r="I2101" s="2"/>
      <c r="K2101">
        <v>5.6</v>
      </c>
      <c r="L2101" s="1" t="s">
        <v>29</v>
      </c>
      <c r="M2101" s="1" t="s">
        <v>63</v>
      </c>
    </row>
    <row r="2102" spans="1:13" x14ac:dyDescent="0.25">
      <c r="A2102" s="1" t="s">
        <v>3284</v>
      </c>
      <c r="B2102" s="1" t="s">
        <v>173</v>
      </c>
      <c r="C2102" s="1" t="s">
        <v>2544</v>
      </c>
      <c r="D2102" s="1" t="s">
        <v>39</v>
      </c>
      <c r="E2102" s="1" t="s">
        <v>26</v>
      </c>
      <c r="F2102" s="1" t="s">
        <v>33</v>
      </c>
      <c r="G2102">
        <v>276147</v>
      </c>
      <c r="H2102" s="1" t="s">
        <v>293</v>
      </c>
      <c r="I2102" s="2"/>
      <c r="K2102">
        <v>5.0999999999999996</v>
      </c>
      <c r="L2102" s="1" t="s">
        <v>20</v>
      </c>
      <c r="M2102" s="1" t="s">
        <v>42</v>
      </c>
    </row>
    <row r="2103" spans="1:13" x14ac:dyDescent="0.25">
      <c r="A2103" s="1" t="s">
        <v>3285</v>
      </c>
      <c r="B2103" s="1" t="s">
        <v>75</v>
      </c>
      <c r="C2103" s="1" t="s">
        <v>113</v>
      </c>
      <c r="D2103" s="1" t="s">
        <v>25</v>
      </c>
      <c r="E2103" s="1" t="s">
        <v>100</v>
      </c>
      <c r="F2103" s="1" t="s">
        <v>18</v>
      </c>
      <c r="G2103">
        <v>258836</v>
      </c>
      <c r="H2103" s="1" t="s">
        <v>1589</v>
      </c>
      <c r="I2103" s="2">
        <v>45700</v>
      </c>
      <c r="J2103">
        <v>37</v>
      </c>
      <c r="L2103" s="1" t="s">
        <v>49</v>
      </c>
      <c r="M2103" s="1" t="s">
        <v>63</v>
      </c>
    </row>
    <row r="2104" spans="1:13" x14ac:dyDescent="0.25">
      <c r="A2104" s="1" t="s">
        <v>3286</v>
      </c>
      <c r="B2104" s="1" t="s">
        <v>173</v>
      </c>
      <c r="C2104" s="1" t="s">
        <v>328</v>
      </c>
      <c r="D2104" s="1" t="s">
        <v>67</v>
      </c>
      <c r="E2104" s="1" t="s">
        <v>77</v>
      </c>
      <c r="F2104" s="1" t="s">
        <v>53</v>
      </c>
      <c r="G2104">
        <v>47655</v>
      </c>
      <c r="H2104" s="1" t="s">
        <v>981</v>
      </c>
      <c r="I2104" s="2"/>
      <c r="K2104">
        <v>8.1999999999999993</v>
      </c>
      <c r="L2104" s="1" t="s">
        <v>96</v>
      </c>
      <c r="M2104" s="1" t="s">
        <v>107</v>
      </c>
    </row>
    <row r="2105" spans="1:13" x14ac:dyDescent="0.25">
      <c r="A2105" s="1" t="s">
        <v>3287</v>
      </c>
      <c r="B2105" s="1" t="s">
        <v>75</v>
      </c>
      <c r="C2105" s="1" t="s">
        <v>1997</v>
      </c>
      <c r="D2105" s="1" t="s">
        <v>67</v>
      </c>
      <c r="E2105" s="1" t="s">
        <v>72</v>
      </c>
      <c r="F2105" s="1" t="s">
        <v>129</v>
      </c>
      <c r="G2105">
        <v>347110</v>
      </c>
      <c r="H2105" s="1" t="s">
        <v>421</v>
      </c>
      <c r="I2105" s="2"/>
      <c r="K2105">
        <v>9.3000000000000007</v>
      </c>
      <c r="L2105" s="1" t="s">
        <v>20</v>
      </c>
      <c r="M2105" s="1" t="s">
        <v>69</v>
      </c>
    </row>
    <row r="2106" spans="1:13" x14ac:dyDescent="0.25">
      <c r="A2106" s="1" t="s">
        <v>3288</v>
      </c>
      <c r="B2106" s="1" t="s">
        <v>44</v>
      </c>
      <c r="C2106" s="1" t="s">
        <v>486</v>
      </c>
      <c r="D2106" s="1" t="s">
        <v>46</v>
      </c>
      <c r="E2106" s="1" t="s">
        <v>100</v>
      </c>
      <c r="F2106" s="1" t="s">
        <v>53</v>
      </c>
      <c r="G2106">
        <v>225448</v>
      </c>
      <c r="H2106" s="1" t="s">
        <v>1494</v>
      </c>
      <c r="I2106" s="2"/>
      <c r="K2106">
        <v>5.2</v>
      </c>
      <c r="L2106" s="1" t="s">
        <v>49</v>
      </c>
      <c r="M2106" s="1" t="s">
        <v>63</v>
      </c>
    </row>
    <row r="2107" spans="1:13" x14ac:dyDescent="0.25">
      <c r="A2107" s="1" t="s">
        <v>3289</v>
      </c>
      <c r="B2107" s="1" t="s">
        <v>14</v>
      </c>
      <c r="C2107" s="1" t="s">
        <v>1144</v>
      </c>
      <c r="D2107" s="1" t="s">
        <v>90</v>
      </c>
      <c r="E2107" s="1" t="s">
        <v>77</v>
      </c>
      <c r="F2107" s="1" t="s">
        <v>53</v>
      </c>
      <c r="G2107">
        <v>113479</v>
      </c>
      <c r="H2107" s="1" t="s">
        <v>921</v>
      </c>
      <c r="I2107" s="2"/>
      <c r="L2107" s="1" t="s">
        <v>29</v>
      </c>
      <c r="M2107" s="1" t="s">
        <v>107</v>
      </c>
    </row>
    <row r="2108" spans="1:13" x14ac:dyDescent="0.25">
      <c r="A2108" s="1" t="s">
        <v>3290</v>
      </c>
      <c r="B2108" s="1" t="s">
        <v>127</v>
      </c>
      <c r="C2108" s="1" t="s">
        <v>640</v>
      </c>
      <c r="D2108" s="1" t="s">
        <v>25</v>
      </c>
      <c r="E2108" s="1" t="s">
        <v>51</v>
      </c>
      <c r="F2108" s="1" t="s">
        <v>129</v>
      </c>
      <c r="G2108">
        <v>213386</v>
      </c>
      <c r="H2108" s="1" t="s">
        <v>193</v>
      </c>
      <c r="I2108" s="2"/>
      <c r="L2108" s="1" t="s">
        <v>96</v>
      </c>
      <c r="M2108" s="1" t="s">
        <v>42</v>
      </c>
    </row>
    <row r="2109" spans="1:13" x14ac:dyDescent="0.25">
      <c r="A2109" s="1" t="s">
        <v>3291</v>
      </c>
      <c r="B2109" s="1" t="s">
        <v>173</v>
      </c>
      <c r="C2109" s="1" t="s">
        <v>874</v>
      </c>
      <c r="D2109" s="1" t="s">
        <v>46</v>
      </c>
      <c r="E2109" s="1" t="s">
        <v>61</v>
      </c>
      <c r="F2109" s="1" t="s">
        <v>27</v>
      </c>
      <c r="G2109">
        <v>207879</v>
      </c>
      <c r="H2109" s="1" t="s">
        <v>827</v>
      </c>
      <c r="I2109" s="2"/>
      <c r="K2109">
        <v>6.9</v>
      </c>
      <c r="L2109" s="1" t="s">
        <v>20</v>
      </c>
      <c r="M2109" s="1" t="s">
        <v>21</v>
      </c>
    </row>
    <row r="2110" spans="1:13" x14ac:dyDescent="0.25">
      <c r="A2110" s="1" t="s">
        <v>3292</v>
      </c>
      <c r="B2110" s="1" t="s">
        <v>109</v>
      </c>
      <c r="C2110" s="1" t="s">
        <v>705</v>
      </c>
      <c r="D2110" s="1" t="s">
        <v>67</v>
      </c>
      <c r="E2110" s="1" t="s">
        <v>94</v>
      </c>
      <c r="F2110" s="1" t="s">
        <v>33</v>
      </c>
      <c r="G2110">
        <v>314236</v>
      </c>
      <c r="H2110" s="1" t="s">
        <v>288</v>
      </c>
      <c r="I2110" s="2"/>
      <c r="L2110" s="1" t="s">
        <v>49</v>
      </c>
      <c r="M2110" s="1" t="s">
        <v>35</v>
      </c>
    </row>
    <row r="2111" spans="1:13" x14ac:dyDescent="0.25">
      <c r="A2111" s="1" t="s">
        <v>3293</v>
      </c>
      <c r="B2111" s="1" t="s">
        <v>23</v>
      </c>
      <c r="C2111" s="1" t="s">
        <v>676</v>
      </c>
      <c r="D2111" s="1" t="s">
        <v>39</v>
      </c>
      <c r="E2111" s="1" t="s">
        <v>77</v>
      </c>
      <c r="F2111" s="1" t="s">
        <v>53</v>
      </c>
      <c r="G2111">
        <v>456126</v>
      </c>
      <c r="H2111" s="1" t="s">
        <v>1475</v>
      </c>
      <c r="I2111" s="2"/>
      <c r="L2111" s="1" t="s">
        <v>49</v>
      </c>
      <c r="M2111" s="1" t="s">
        <v>149</v>
      </c>
    </row>
    <row r="2112" spans="1:13" x14ac:dyDescent="0.25">
      <c r="A2112" s="1" t="s">
        <v>3294</v>
      </c>
      <c r="B2112" s="1" t="s">
        <v>37</v>
      </c>
      <c r="C2112" s="1" t="s">
        <v>488</v>
      </c>
      <c r="D2112" s="1" t="s">
        <v>25</v>
      </c>
      <c r="E2112" s="1" t="s">
        <v>61</v>
      </c>
      <c r="F2112" s="1" t="s">
        <v>18</v>
      </c>
      <c r="G2112">
        <v>78702</v>
      </c>
      <c r="H2112" s="1" t="s">
        <v>424</v>
      </c>
      <c r="I2112" s="2">
        <v>45584</v>
      </c>
      <c r="J2112">
        <v>82</v>
      </c>
      <c r="K2112">
        <v>4.4000000000000004</v>
      </c>
      <c r="L2112" s="1" t="s">
        <v>49</v>
      </c>
      <c r="M2112" s="1" t="s">
        <v>149</v>
      </c>
    </row>
    <row r="2113" spans="1:13" x14ac:dyDescent="0.25">
      <c r="A2113" s="1" t="s">
        <v>3295</v>
      </c>
      <c r="B2113" s="1" t="s">
        <v>127</v>
      </c>
      <c r="C2113" s="1" t="s">
        <v>662</v>
      </c>
      <c r="D2113" s="1" t="s">
        <v>67</v>
      </c>
      <c r="E2113" s="1" t="s">
        <v>51</v>
      </c>
      <c r="F2113" s="1" t="s">
        <v>33</v>
      </c>
      <c r="G2113">
        <v>303674</v>
      </c>
      <c r="H2113" s="1" t="s">
        <v>2038</v>
      </c>
      <c r="I2113" s="2"/>
      <c r="L2113" s="1" t="s">
        <v>49</v>
      </c>
      <c r="M2113" s="1" t="s">
        <v>149</v>
      </c>
    </row>
    <row r="2114" spans="1:13" x14ac:dyDescent="0.25">
      <c r="A2114" s="1" t="s">
        <v>3296</v>
      </c>
      <c r="B2114" s="1" t="s">
        <v>104</v>
      </c>
      <c r="C2114" s="1" t="s">
        <v>944</v>
      </c>
      <c r="D2114" s="1" t="s">
        <v>67</v>
      </c>
      <c r="E2114" s="1" t="s">
        <v>94</v>
      </c>
      <c r="F2114" s="1" t="s">
        <v>33</v>
      </c>
      <c r="G2114">
        <v>151222</v>
      </c>
      <c r="H2114" s="1" t="s">
        <v>581</v>
      </c>
      <c r="I2114" s="2"/>
      <c r="L2114" s="1" t="s">
        <v>29</v>
      </c>
      <c r="M2114" s="1" t="s">
        <v>69</v>
      </c>
    </row>
    <row r="2115" spans="1:13" x14ac:dyDescent="0.25">
      <c r="A2115" s="1" t="s">
        <v>3297</v>
      </c>
      <c r="B2115" s="1" t="s">
        <v>14</v>
      </c>
      <c r="C2115" s="1" t="s">
        <v>116</v>
      </c>
      <c r="D2115" s="1" t="s">
        <v>90</v>
      </c>
      <c r="E2115" s="1" t="s">
        <v>26</v>
      </c>
      <c r="F2115" s="1" t="s">
        <v>40</v>
      </c>
      <c r="G2115">
        <v>450183</v>
      </c>
      <c r="H2115" s="1" t="s">
        <v>1259</v>
      </c>
      <c r="I2115" s="2">
        <v>45086</v>
      </c>
      <c r="J2115">
        <v>157</v>
      </c>
      <c r="K2115">
        <v>24.3</v>
      </c>
      <c r="L2115" s="1" t="s">
        <v>96</v>
      </c>
      <c r="M2115" s="1" t="s">
        <v>35</v>
      </c>
    </row>
    <row r="2116" spans="1:13" x14ac:dyDescent="0.25">
      <c r="A2116" s="1" t="s">
        <v>3298</v>
      </c>
      <c r="B2116" s="1" t="s">
        <v>65</v>
      </c>
      <c r="C2116" s="1" t="s">
        <v>1185</v>
      </c>
      <c r="D2116" s="1" t="s">
        <v>25</v>
      </c>
      <c r="E2116" s="1" t="s">
        <v>61</v>
      </c>
      <c r="F2116" s="1" t="s">
        <v>40</v>
      </c>
      <c r="G2116">
        <v>82651</v>
      </c>
      <c r="H2116" s="1" t="s">
        <v>158</v>
      </c>
      <c r="I2116" s="2">
        <v>45477</v>
      </c>
      <c r="J2116">
        <v>35</v>
      </c>
      <c r="K2116">
        <v>18.3</v>
      </c>
      <c r="L2116" s="1" t="s">
        <v>96</v>
      </c>
      <c r="M2116" s="1" t="s">
        <v>107</v>
      </c>
    </row>
    <row r="2117" spans="1:13" x14ac:dyDescent="0.25">
      <c r="A2117" s="1" t="s">
        <v>3299</v>
      </c>
      <c r="B2117" s="1" t="s">
        <v>84</v>
      </c>
      <c r="C2117" s="1" t="s">
        <v>885</v>
      </c>
      <c r="D2117" s="1" t="s">
        <v>25</v>
      </c>
      <c r="E2117" s="1" t="s">
        <v>72</v>
      </c>
      <c r="F2117" s="1" t="s">
        <v>129</v>
      </c>
      <c r="G2117">
        <v>53327</v>
      </c>
      <c r="H2117" s="1" t="s">
        <v>752</v>
      </c>
      <c r="I2117" s="2"/>
      <c r="K2117">
        <v>1.5</v>
      </c>
      <c r="L2117" s="1" t="s">
        <v>96</v>
      </c>
      <c r="M2117" s="1" t="s">
        <v>63</v>
      </c>
    </row>
    <row r="2118" spans="1:13" x14ac:dyDescent="0.25">
      <c r="A2118" s="1" t="s">
        <v>3300</v>
      </c>
      <c r="B2118" s="1" t="s">
        <v>44</v>
      </c>
      <c r="C2118" s="1" t="s">
        <v>433</v>
      </c>
      <c r="D2118" s="1" t="s">
        <v>16</v>
      </c>
      <c r="E2118" s="1" t="s">
        <v>61</v>
      </c>
      <c r="F2118" s="1" t="s">
        <v>40</v>
      </c>
      <c r="G2118">
        <v>426863</v>
      </c>
      <c r="H2118" s="1" t="s">
        <v>3245</v>
      </c>
      <c r="I2118" s="2">
        <v>45549</v>
      </c>
      <c r="J2118">
        <v>165</v>
      </c>
      <c r="K2118">
        <v>11.7</v>
      </c>
      <c r="L2118" s="1" t="s">
        <v>49</v>
      </c>
      <c r="M2118" s="1" t="s">
        <v>107</v>
      </c>
    </row>
    <row r="2119" spans="1:13" x14ac:dyDescent="0.25">
      <c r="A2119" s="1" t="s">
        <v>3301</v>
      </c>
      <c r="B2119" s="1" t="s">
        <v>59</v>
      </c>
      <c r="C2119" s="1" t="s">
        <v>415</v>
      </c>
      <c r="D2119" s="1" t="s">
        <v>16</v>
      </c>
      <c r="E2119" s="1" t="s">
        <v>94</v>
      </c>
      <c r="F2119" s="1" t="s">
        <v>18</v>
      </c>
      <c r="G2119">
        <v>405818</v>
      </c>
      <c r="H2119" s="1" t="s">
        <v>2398</v>
      </c>
      <c r="I2119" s="2">
        <v>45124</v>
      </c>
      <c r="J2119">
        <v>157</v>
      </c>
      <c r="L2119" s="1" t="s">
        <v>20</v>
      </c>
      <c r="M2119" s="1" t="s">
        <v>35</v>
      </c>
    </row>
    <row r="2120" spans="1:13" x14ac:dyDescent="0.25">
      <c r="A2120" s="1" t="s">
        <v>3302</v>
      </c>
      <c r="B2120" s="1" t="s">
        <v>84</v>
      </c>
      <c r="C2120" s="1" t="s">
        <v>1172</v>
      </c>
      <c r="D2120" s="1" t="s">
        <v>90</v>
      </c>
      <c r="E2120" s="1" t="s">
        <v>26</v>
      </c>
      <c r="F2120" s="1" t="s">
        <v>27</v>
      </c>
      <c r="G2120">
        <v>194379</v>
      </c>
      <c r="H2120" s="1" t="s">
        <v>1634</v>
      </c>
      <c r="I2120" s="2"/>
      <c r="K2120">
        <v>0.6</v>
      </c>
      <c r="L2120" s="1" t="s">
        <v>49</v>
      </c>
      <c r="M2120" s="1" t="s">
        <v>102</v>
      </c>
    </row>
    <row r="2121" spans="1:13" x14ac:dyDescent="0.25">
      <c r="A2121" s="1" t="s">
        <v>3303</v>
      </c>
      <c r="B2121" s="1" t="s">
        <v>23</v>
      </c>
      <c r="C2121" s="1" t="s">
        <v>603</v>
      </c>
      <c r="D2121" s="1" t="s">
        <v>67</v>
      </c>
      <c r="E2121" s="1" t="s">
        <v>94</v>
      </c>
      <c r="F2121" s="1" t="s">
        <v>53</v>
      </c>
      <c r="G2121">
        <v>68003</v>
      </c>
      <c r="H2121" s="1" t="s">
        <v>1115</v>
      </c>
      <c r="I2121" s="2"/>
      <c r="K2121">
        <v>13</v>
      </c>
      <c r="L2121" s="1" t="s">
        <v>20</v>
      </c>
      <c r="M2121" s="1" t="s">
        <v>102</v>
      </c>
    </row>
    <row r="2122" spans="1:13" x14ac:dyDescent="0.25">
      <c r="A2122" s="1" t="s">
        <v>3304</v>
      </c>
      <c r="B2122" s="1" t="s">
        <v>109</v>
      </c>
      <c r="C2122" s="1" t="s">
        <v>2503</v>
      </c>
      <c r="D2122" s="1" t="s">
        <v>39</v>
      </c>
      <c r="E2122" s="1" t="s">
        <v>94</v>
      </c>
      <c r="F2122" s="1" t="s">
        <v>53</v>
      </c>
      <c r="G2122">
        <v>414217</v>
      </c>
      <c r="H2122" s="1" t="s">
        <v>344</v>
      </c>
      <c r="I2122" s="2"/>
      <c r="L2122" s="1" t="s">
        <v>96</v>
      </c>
      <c r="M2122" s="1" t="s">
        <v>30</v>
      </c>
    </row>
    <row r="2123" spans="1:13" x14ac:dyDescent="0.25">
      <c r="A2123" s="1" t="s">
        <v>3305</v>
      </c>
      <c r="B2123" s="1" t="s">
        <v>88</v>
      </c>
      <c r="C2123" s="1" t="s">
        <v>85</v>
      </c>
      <c r="D2123" s="1" t="s">
        <v>46</v>
      </c>
      <c r="E2123" s="1" t="s">
        <v>100</v>
      </c>
      <c r="F2123" s="1" t="s">
        <v>27</v>
      </c>
      <c r="G2123">
        <v>437597</v>
      </c>
      <c r="H2123" s="1" t="s">
        <v>396</v>
      </c>
      <c r="I2123" s="2"/>
      <c r="K2123">
        <v>7.5</v>
      </c>
      <c r="L2123" s="1" t="s">
        <v>29</v>
      </c>
      <c r="M2123" s="1" t="s">
        <v>149</v>
      </c>
    </row>
    <row r="2124" spans="1:13" x14ac:dyDescent="0.25">
      <c r="A2124" s="1" t="s">
        <v>3306</v>
      </c>
      <c r="B2124" s="1" t="s">
        <v>88</v>
      </c>
      <c r="C2124" s="1" t="s">
        <v>587</v>
      </c>
      <c r="D2124" s="1" t="s">
        <v>46</v>
      </c>
      <c r="E2124" s="1" t="s">
        <v>51</v>
      </c>
      <c r="F2124" s="1" t="s">
        <v>40</v>
      </c>
      <c r="G2124">
        <v>126863</v>
      </c>
      <c r="H2124" s="1" t="s">
        <v>1532</v>
      </c>
      <c r="I2124" s="2">
        <v>45258</v>
      </c>
      <c r="J2124">
        <v>24</v>
      </c>
      <c r="K2124">
        <v>16.7</v>
      </c>
      <c r="L2124" s="1" t="s">
        <v>49</v>
      </c>
      <c r="M2124" s="1" t="s">
        <v>21</v>
      </c>
    </row>
    <row r="2125" spans="1:13" x14ac:dyDescent="0.25">
      <c r="A2125" s="1" t="s">
        <v>3307</v>
      </c>
      <c r="B2125" s="1" t="s">
        <v>59</v>
      </c>
      <c r="C2125" s="1" t="s">
        <v>2006</v>
      </c>
      <c r="D2125" s="1" t="s">
        <v>67</v>
      </c>
      <c r="E2125" s="1" t="s">
        <v>72</v>
      </c>
      <c r="F2125" s="1" t="s">
        <v>33</v>
      </c>
      <c r="G2125">
        <v>64790</v>
      </c>
      <c r="H2125" s="1" t="s">
        <v>1485</v>
      </c>
      <c r="I2125" s="2"/>
      <c r="K2125">
        <v>0.6</v>
      </c>
      <c r="L2125" s="1" t="s">
        <v>96</v>
      </c>
      <c r="M2125" s="1" t="s">
        <v>102</v>
      </c>
    </row>
    <row r="2126" spans="1:13" x14ac:dyDescent="0.25">
      <c r="A2126" s="1" t="s">
        <v>3308</v>
      </c>
      <c r="B2126" s="1" t="s">
        <v>173</v>
      </c>
      <c r="C2126" s="1" t="s">
        <v>81</v>
      </c>
      <c r="D2126" s="1" t="s">
        <v>46</v>
      </c>
      <c r="E2126" s="1" t="s">
        <v>77</v>
      </c>
      <c r="F2126" s="1" t="s">
        <v>53</v>
      </c>
      <c r="G2126">
        <v>336981</v>
      </c>
      <c r="H2126" s="1" t="s">
        <v>3309</v>
      </c>
      <c r="I2126" s="2"/>
      <c r="K2126">
        <v>2.1</v>
      </c>
      <c r="L2126" s="1" t="s">
        <v>20</v>
      </c>
      <c r="M2126" s="1" t="s">
        <v>69</v>
      </c>
    </row>
    <row r="2127" spans="1:13" x14ac:dyDescent="0.25">
      <c r="A2127" s="1" t="s">
        <v>3310</v>
      </c>
      <c r="B2127" s="1" t="s">
        <v>14</v>
      </c>
      <c r="C2127" s="1" t="s">
        <v>279</v>
      </c>
      <c r="D2127" s="1" t="s">
        <v>39</v>
      </c>
      <c r="E2127" s="1" t="s">
        <v>17</v>
      </c>
      <c r="F2127" s="1" t="s">
        <v>53</v>
      </c>
      <c r="G2127">
        <v>23682</v>
      </c>
      <c r="H2127" s="1" t="s">
        <v>3134</v>
      </c>
      <c r="I2127" s="2"/>
      <c r="K2127">
        <v>7.5</v>
      </c>
      <c r="L2127" s="1" t="s">
        <v>96</v>
      </c>
      <c r="M2127" s="1" t="s">
        <v>42</v>
      </c>
    </row>
    <row r="2128" spans="1:13" x14ac:dyDescent="0.25">
      <c r="A2128" s="1" t="s">
        <v>3311</v>
      </c>
      <c r="B2128" s="1" t="s">
        <v>23</v>
      </c>
      <c r="C2128" s="1" t="s">
        <v>513</v>
      </c>
      <c r="D2128" s="1" t="s">
        <v>39</v>
      </c>
      <c r="E2128" s="1" t="s">
        <v>94</v>
      </c>
      <c r="F2128" s="1" t="s">
        <v>18</v>
      </c>
      <c r="G2128">
        <v>76467</v>
      </c>
      <c r="H2128" s="1" t="s">
        <v>1552</v>
      </c>
      <c r="I2128" s="2">
        <v>45831</v>
      </c>
      <c r="J2128">
        <v>138</v>
      </c>
      <c r="K2128">
        <v>2</v>
      </c>
      <c r="L2128" s="1" t="s">
        <v>49</v>
      </c>
      <c r="M2128" s="1" t="s">
        <v>63</v>
      </c>
    </row>
    <row r="2129" spans="1:13" x14ac:dyDescent="0.25">
      <c r="A2129" s="1" t="s">
        <v>3312</v>
      </c>
      <c r="B2129" s="1" t="s">
        <v>88</v>
      </c>
      <c r="C2129" s="1" t="s">
        <v>110</v>
      </c>
      <c r="D2129" s="1" t="s">
        <v>46</v>
      </c>
      <c r="E2129" s="1" t="s">
        <v>47</v>
      </c>
      <c r="F2129" s="1" t="s">
        <v>129</v>
      </c>
      <c r="G2129">
        <v>327201</v>
      </c>
      <c r="H2129" s="1" t="s">
        <v>2383</v>
      </c>
      <c r="I2129" s="2"/>
      <c r="K2129">
        <v>4.8</v>
      </c>
      <c r="L2129" s="1" t="s">
        <v>29</v>
      </c>
      <c r="M2129" s="1" t="s">
        <v>149</v>
      </c>
    </row>
    <row r="2130" spans="1:13" x14ac:dyDescent="0.25">
      <c r="A2130" s="1" t="s">
        <v>3313</v>
      </c>
      <c r="B2130" s="1" t="s">
        <v>37</v>
      </c>
      <c r="C2130" s="1" t="s">
        <v>1043</v>
      </c>
      <c r="D2130" s="1" t="s">
        <v>90</v>
      </c>
      <c r="E2130" s="1" t="s">
        <v>17</v>
      </c>
      <c r="F2130" s="1" t="s">
        <v>40</v>
      </c>
      <c r="G2130">
        <v>125678</v>
      </c>
      <c r="H2130" s="1" t="s">
        <v>761</v>
      </c>
      <c r="I2130" s="2">
        <v>45298</v>
      </c>
      <c r="J2130">
        <v>163</v>
      </c>
      <c r="K2130">
        <v>21.5</v>
      </c>
      <c r="L2130" s="1" t="s">
        <v>20</v>
      </c>
      <c r="M2130" s="1" t="s">
        <v>102</v>
      </c>
    </row>
    <row r="2131" spans="1:13" x14ac:dyDescent="0.25">
      <c r="A2131" s="1" t="s">
        <v>3314</v>
      </c>
      <c r="B2131" s="1" t="s">
        <v>51</v>
      </c>
      <c r="C2131" s="1" t="s">
        <v>622</v>
      </c>
      <c r="D2131" s="1" t="s">
        <v>67</v>
      </c>
      <c r="E2131" s="1" t="s">
        <v>61</v>
      </c>
      <c r="F2131" s="1" t="s">
        <v>40</v>
      </c>
      <c r="G2131">
        <v>277609</v>
      </c>
      <c r="H2131" s="1" t="s">
        <v>2158</v>
      </c>
      <c r="I2131" s="2">
        <v>45147</v>
      </c>
      <c r="J2131">
        <v>90</v>
      </c>
      <c r="K2131">
        <v>22.5</v>
      </c>
      <c r="L2131" s="1" t="s">
        <v>96</v>
      </c>
      <c r="M2131" s="1" t="s">
        <v>30</v>
      </c>
    </row>
    <row r="2132" spans="1:13" x14ac:dyDescent="0.25">
      <c r="A2132" s="1" t="s">
        <v>3315</v>
      </c>
      <c r="B2132" s="1" t="s">
        <v>59</v>
      </c>
      <c r="C2132" s="1" t="s">
        <v>711</v>
      </c>
      <c r="D2132" s="1" t="s">
        <v>46</v>
      </c>
      <c r="E2132" s="1" t="s">
        <v>77</v>
      </c>
      <c r="F2132" s="1" t="s">
        <v>27</v>
      </c>
      <c r="G2132">
        <v>101488</v>
      </c>
      <c r="H2132" s="1" t="s">
        <v>1574</v>
      </c>
      <c r="I2132" s="2"/>
      <c r="K2132">
        <v>10.7</v>
      </c>
      <c r="L2132" s="1" t="s">
        <v>20</v>
      </c>
      <c r="M2132" s="1" t="s">
        <v>69</v>
      </c>
    </row>
    <row r="2133" spans="1:13" x14ac:dyDescent="0.25">
      <c r="A2133" s="1" t="s">
        <v>3316</v>
      </c>
      <c r="B2133" s="1" t="s">
        <v>44</v>
      </c>
      <c r="C2133" s="1" t="s">
        <v>564</v>
      </c>
      <c r="D2133" s="1" t="s">
        <v>39</v>
      </c>
      <c r="E2133" s="1" t="s">
        <v>26</v>
      </c>
      <c r="F2133" s="1" t="s">
        <v>53</v>
      </c>
      <c r="G2133">
        <v>256037</v>
      </c>
      <c r="H2133" s="1" t="s">
        <v>3317</v>
      </c>
      <c r="I2133" s="2"/>
      <c r="K2133">
        <v>8.3000000000000007</v>
      </c>
      <c r="L2133" s="1" t="s">
        <v>20</v>
      </c>
      <c r="M2133" s="1" t="s">
        <v>21</v>
      </c>
    </row>
    <row r="2134" spans="1:13" x14ac:dyDescent="0.25">
      <c r="A2134" s="1" t="s">
        <v>3318</v>
      </c>
      <c r="B2134" s="1" t="s">
        <v>88</v>
      </c>
      <c r="C2134" s="1" t="s">
        <v>300</v>
      </c>
      <c r="D2134" s="1" t="s">
        <v>90</v>
      </c>
      <c r="E2134" s="1" t="s">
        <v>100</v>
      </c>
      <c r="F2134" s="1" t="s">
        <v>53</v>
      </c>
      <c r="G2134">
        <v>272931</v>
      </c>
      <c r="H2134" s="1" t="s">
        <v>3319</v>
      </c>
      <c r="I2134" s="2"/>
      <c r="K2134">
        <v>12.6</v>
      </c>
      <c r="L2134" s="1" t="s">
        <v>20</v>
      </c>
      <c r="M2134" s="1" t="s">
        <v>42</v>
      </c>
    </row>
    <row r="2135" spans="1:13" x14ac:dyDescent="0.25">
      <c r="A2135" s="1" t="s">
        <v>3320</v>
      </c>
      <c r="B2135" s="1" t="s">
        <v>104</v>
      </c>
      <c r="C2135" s="1" t="s">
        <v>122</v>
      </c>
      <c r="D2135" s="1" t="s">
        <v>16</v>
      </c>
      <c r="E2135" s="1" t="s">
        <v>26</v>
      </c>
      <c r="F2135" s="1" t="s">
        <v>27</v>
      </c>
      <c r="G2135">
        <v>94242</v>
      </c>
      <c r="H2135" s="1" t="s">
        <v>214</v>
      </c>
      <c r="I2135" s="2"/>
      <c r="L2135" s="1" t="s">
        <v>20</v>
      </c>
      <c r="M2135" s="1" t="s">
        <v>35</v>
      </c>
    </row>
    <row r="2136" spans="1:13" x14ac:dyDescent="0.25">
      <c r="A2136" s="1" t="s">
        <v>3321</v>
      </c>
      <c r="B2136" s="1" t="s">
        <v>59</v>
      </c>
      <c r="C2136" s="1" t="s">
        <v>287</v>
      </c>
      <c r="D2136" s="1" t="s">
        <v>46</v>
      </c>
      <c r="E2136" s="1" t="s">
        <v>26</v>
      </c>
      <c r="F2136" s="1" t="s">
        <v>40</v>
      </c>
      <c r="G2136">
        <v>460792</v>
      </c>
      <c r="H2136" s="1" t="s">
        <v>1335</v>
      </c>
      <c r="I2136" s="2">
        <v>45608</v>
      </c>
      <c r="J2136">
        <v>90</v>
      </c>
      <c r="K2136">
        <v>14.4</v>
      </c>
      <c r="L2136" s="1" t="s">
        <v>96</v>
      </c>
      <c r="M2136" s="1" t="s">
        <v>149</v>
      </c>
    </row>
    <row r="2137" spans="1:13" x14ac:dyDescent="0.25">
      <c r="A2137" s="1" t="s">
        <v>3322</v>
      </c>
      <c r="B2137" s="1" t="s">
        <v>65</v>
      </c>
      <c r="C2137" s="1" t="s">
        <v>558</v>
      </c>
      <c r="D2137" s="1" t="s">
        <v>46</v>
      </c>
      <c r="E2137" s="1" t="s">
        <v>47</v>
      </c>
      <c r="F2137" s="1" t="s">
        <v>27</v>
      </c>
      <c r="G2137">
        <v>221543</v>
      </c>
      <c r="H2137" s="1" t="s">
        <v>687</v>
      </c>
      <c r="I2137" s="2"/>
      <c r="K2137">
        <v>5</v>
      </c>
      <c r="L2137" s="1" t="s">
        <v>96</v>
      </c>
      <c r="M2137" s="1" t="s">
        <v>107</v>
      </c>
    </row>
    <row r="2138" spans="1:13" x14ac:dyDescent="0.25">
      <c r="A2138" s="1" t="s">
        <v>3323</v>
      </c>
      <c r="B2138" s="1" t="s">
        <v>44</v>
      </c>
      <c r="C2138" s="1" t="s">
        <v>2987</v>
      </c>
      <c r="D2138" s="1" t="s">
        <v>25</v>
      </c>
      <c r="E2138" s="1" t="s">
        <v>17</v>
      </c>
      <c r="F2138" s="1" t="s">
        <v>33</v>
      </c>
      <c r="G2138">
        <v>406094</v>
      </c>
      <c r="H2138" s="1" t="s">
        <v>1068</v>
      </c>
      <c r="I2138" s="2"/>
      <c r="K2138">
        <v>12.2</v>
      </c>
      <c r="L2138" s="1" t="s">
        <v>29</v>
      </c>
      <c r="M2138" s="1" t="s">
        <v>42</v>
      </c>
    </row>
    <row r="2139" spans="1:13" x14ac:dyDescent="0.25">
      <c r="A2139" s="1" t="s">
        <v>3324</v>
      </c>
      <c r="B2139" s="1" t="s">
        <v>104</v>
      </c>
      <c r="C2139" s="1" t="s">
        <v>321</v>
      </c>
      <c r="D2139" s="1" t="s">
        <v>16</v>
      </c>
      <c r="E2139" s="1" t="s">
        <v>47</v>
      </c>
      <c r="F2139" s="1" t="s">
        <v>40</v>
      </c>
      <c r="G2139">
        <v>26639</v>
      </c>
      <c r="H2139" s="1" t="s">
        <v>3325</v>
      </c>
      <c r="I2139" s="2">
        <v>45747</v>
      </c>
      <c r="J2139">
        <v>52</v>
      </c>
      <c r="K2139">
        <v>19.399999999999999</v>
      </c>
      <c r="L2139" s="1" t="s">
        <v>96</v>
      </c>
      <c r="M2139" s="1" t="s">
        <v>63</v>
      </c>
    </row>
    <row r="2140" spans="1:13" x14ac:dyDescent="0.25">
      <c r="A2140" s="1" t="s">
        <v>3326</v>
      </c>
      <c r="B2140" s="1" t="s">
        <v>127</v>
      </c>
      <c r="C2140" s="1" t="s">
        <v>735</v>
      </c>
      <c r="D2140" s="1" t="s">
        <v>90</v>
      </c>
      <c r="E2140" s="1" t="s">
        <v>47</v>
      </c>
      <c r="F2140" s="1" t="s">
        <v>129</v>
      </c>
      <c r="G2140">
        <v>452661</v>
      </c>
      <c r="H2140" s="1" t="s">
        <v>3029</v>
      </c>
      <c r="I2140" s="2"/>
      <c r="K2140">
        <v>4.4000000000000004</v>
      </c>
      <c r="L2140" s="1" t="s">
        <v>96</v>
      </c>
      <c r="M2140" s="1" t="s">
        <v>149</v>
      </c>
    </row>
    <row r="2141" spans="1:13" x14ac:dyDescent="0.25">
      <c r="A2141" s="1" t="s">
        <v>3327</v>
      </c>
      <c r="B2141" s="1" t="s">
        <v>59</v>
      </c>
      <c r="C2141" s="1" t="s">
        <v>122</v>
      </c>
      <c r="D2141" s="1" t="s">
        <v>16</v>
      </c>
      <c r="E2141" s="1" t="s">
        <v>100</v>
      </c>
      <c r="F2141" s="1" t="s">
        <v>129</v>
      </c>
      <c r="G2141">
        <v>80427</v>
      </c>
      <c r="H2141" s="1" t="s">
        <v>3250</v>
      </c>
      <c r="I2141" s="2"/>
      <c r="K2141">
        <v>6.7</v>
      </c>
      <c r="L2141" s="1" t="s">
        <v>96</v>
      </c>
      <c r="M2141" s="1" t="s">
        <v>21</v>
      </c>
    </row>
    <row r="2142" spans="1:13" x14ac:dyDescent="0.25">
      <c r="A2142" s="1" t="s">
        <v>3328</v>
      </c>
      <c r="B2142" s="1" t="s">
        <v>98</v>
      </c>
      <c r="C2142" s="1" t="s">
        <v>105</v>
      </c>
      <c r="D2142" s="1" t="s">
        <v>46</v>
      </c>
      <c r="E2142" s="1" t="s">
        <v>72</v>
      </c>
      <c r="F2142" s="1" t="s">
        <v>33</v>
      </c>
      <c r="G2142">
        <v>79897</v>
      </c>
      <c r="H2142" s="1" t="s">
        <v>1341</v>
      </c>
      <c r="I2142" s="2"/>
      <c r="K2142">
        <v>6.3</v>
      </c>
      <c r="L2142" s="1" t="s">
        <v>49</v>
      </c>
      <c r="M2142" s="1" t="s">
        <v>35</v>
      </c>
    </row>
    <row r="2143" spans="1:13" x14ac:dyDescent="0.25">
      <c r="A2143" s="1" t="s">
        <v>3329</v>
      </c>
      <c r="B2143" s="1" t="s">
        <v>80</v>
      </c>
      <c r="C2143" s="1" t="s">
        <v>686</v>
      </c>
      <c r="D2143" s="1" t="s">
        <v>39</v>
      </c>
      <c r="E2143" s="1" t="s">
        <v>77</v>
      </c>
      <c r="F2143" s="1" t="s">
        <v>18</v>
      </c>
      <c r="G2143">
        <v>278098</v>
      </c>
      <c r="H2143" s="1" t="s">
        <v>78</v>
      </c>
      <c r="I2143" s="2">
        <v>45436</v>
      </c>
      <c r="J2143">
        <v>90</v>
      </c>
      <c r="K2143">
        <v>13.2</v>
      </c>
      <c r="L2143" s="1" t="s">
        <v>49</v>
      </c>
      <c r="M2143" s="1" t="s">
        <v>69</v>
      </c>
    </row>
    <row r="2144" spans="1:13" x14ac:dyDescent="0.25">
      <c r="A2144" s="1" t="s">
        <v>3330</v>
      </c>
      <c r="B2144" s="1" t="s">
        <v>127</v>
      </c>
      <c r="C2144" s="1" t="s">
        <v>625</v>
      </c>
      <c r="D2144" s="1" t="s">
        <v>46</v>
      </c>
      <c r="E2144" s="1" t="s">
        <v>100</v>
      </c>
      <c r="F2144" s="1" t="s">
        <v>33</v>
      </c>
      <c r="G2144">
        <v>230807</v>
      </c>
      <c r="H2144" s="1" t="s">
        <v>1946</v>
      </c>
      <c r="I2144" s="2"/>
      <c r="L2144" s="1" t="s">
        <v>20</v>
      </c>
      <c r="M2144" s="1" t="s">
        <v>102</v>
      </c>
    </row>
    <row r="2145" spans="1:13" x14ac:dyDescent="0.25">
      <c r="A2145" s="1" t="s">
        <v>3331</v>
      </c>
      <c r="B2145" s="1" t="s">
        <v>75</v>
      </c>
      <c r="C2145" s="1" t="s">
        <v>1151</v>
      </c>
      <c r="D2145" s="1" t="s">
        <v>67</v>
      </c>
      <c r="E2145" s="1" t="s">
        <v>61</v>
      </c>
      <c r="F2145" s="1" t="s">
        <v>18</v>
      </c>
      <c r="G2145">
        <v>78501</v>
      </c>
      <c r="H2145" s="1" t="s">
        <v>2280</v>
      </c>
      <c r="I2145" s="2">
        <v>45444</v>
      </c>
      <c r="J2145">
        <v>164</v>
      </c>
      <c r="K2145">
        <v>7.5</v>
      </c>
      <c r="L2145" s="1" t="s">
        <v>29</v>
      </c>
      <c r="M2145" s="1" t="s">
        <v>21</v>
      </c>
    </row>
    <row r="2146" spans="1:13" x14ac:dyDescent="0.25">
      <c r="A2146" s="1" t="s">
        <v>3332</v>
      </c>
      <c r="B2146" s="1" t="s">
        <v>84</v>
      </c>
      <c r="C2146" s="1" t="s">
        <v>906</v>
      </c>
      <c r="D2146" s="1" t="s">
        <v>90</v>
      </c>
      <c r="E2146" s="1" t="s">
        <v>47</v>
      </c>
      <c r="F2146" s="1" t="s">
        <v>18</v>
      </c>
      <c r="G2146">
        <v>363965</v>
      </c>
      <c r="H2146" s="1" t="s">
        <v>709</v>
      </c>
      <c r="I2146" s="2">
        <v>45903</v>
      </c>
      <c r="J2146">
        <v>167</v>
      </c>
      <c r="K2146">
        <v>14</v>
      </c>
      <c r="L2146" s="1" t="s">
        <v>20</v>
      </c>
      <c r="M2146" s="1" t="s">
        <v>63</v>
      </c>
    </row>
    <row r="2147" spans="1:13" x14ac:dyDescent="0.25">
      <c r="A2147" s="1" t="s">
        <v>3333</v>
      </c>
      <c r="B2147" s="1" t="s">
        <v>75</v>
      </c>
      <c r="C2147" s="1" t="s">
        <v>536</v>
      </c>
      <c r="D2147" s="1" t="s">
        <v>39</v>
      </c>
      <c r="E2147" s="1" t="s">
        <v>17</v>
      </c>
      <c r="F2147" s="1" t="s">
        <v>53</v>
      </c>
      <c r="G2147">
        <v>383122</v>
      </c>
      <c r="H2147" s="1" t="s">
        <v>1718</v>
      </c>
      <c r="I2147" s="2"/>
      <c r="L2147" s="1" t="s">
        <v>49</v>
      </c>
      <c r="M2147" s="1" t="s">
        <v>35</v>
      </c>
    </row>
    <row r="2148" spans="1:13" x14ac:dyDescent="0.25">
      <c r="A2148" s="1" t="s">
        <v>3334</v>
      </c>
      <c r="B2148" s="1" t="s">
        <v>173</v>
      </c>
      <c r="C2148" s="1" t="s">
        <v>1106</v>
      </c>
      <c r="D2148" s="1" t="s">
        <v>16</v>
      </c>
      <c r="E2148" s="1" t="s">
        <v>17</v>
      </c>
      <c r="F2148" s="1" t="s">
        <v>53</v>
      </c>
      <c r="G2148">
        <v>231892</v>
      </c>
      <c r="H2148" s="1" t="s">
        <v>187</v>
      </c>
      <c r="I2148" s="2"/>
      <c r="L2148" s="1" t="s">
        <v>20</v>
      </c>
      <c r="M2148" s="1" t="s">
        <v>107</v>
      </c>
    </row>
    <row r="2149" spans="1:13" x14ac:dyDescent="0.25">
      <c r="A2149" s="1" t="s">
        <v>3335</v>
      </c>
      <c r="B2149" s="1" t="s">
        <v>44</v>
      </c>
      <c r="C2149" s="1" t="s">
        <v>2091</v>
      </c>
      <c r="D2149" s="1" t="s">
        <v>16</v>
      </c>
      <c r="E2149" s="1" t="s">
        <v>47</v>
      </c>
      <c r="F2149" s="1" t="s">
        <v>18</v>
      </c>
      <c r="G2149">
        <v>338171</v>
      </c>
      <c r="H2149" s="1" t="s">
        <v>3336</v>
      </c>
      <c r="I2149" s="2">
        <v>45335</v>
      </c>
      <c r="J2149">
        <v>133</v>
      </c>
      <c r="K2149">
        <v>1.5</v>
      </c>
      <c r="L2149" s="1" t="s">
        <v>49</v>
      </c>
      <c r="M2149" s="1" t="s">
        <v>21</v>
      </c>
    </row>
    <row r="2150" spans="1:13" x14ac:dyDescent="0.25">
      <c r="A2150" s="1" t="s">
        <v>3337</v>
      </c>
      <c r="B2150" s="1" t="s">
        <v>23</v>
      </c>
      <c r="C2150" s="1" t="s">
        <v>983</v>
      </c>
      <c r="D2150" s="1" t="s">
        <v>46</v>
      </c>
      <c r="E2150" s="1" t="s">
        <v>77</v>
      </c>
      <c r="F2150" s="1" t="s">
        <v>33</v>
      </c>
      <c r="G2150">
        <v>395041</v>
      </c>
      <c r="H2150" s="1" t="s">
        <v>106</v>
      </c>
      <c r="I2150" s="2"/>
      <c r="K2150">
        <v>3.7</v>
      </c>
      <c r="L2150" s="1" t="s">
        <v>20</v>
      </c>
      <c r="M2150" s="1" t="s">
        <v>107</v>
      </c>
    </row>
    <row r="2151" spans="1:13" x14ac:dyDescent="0.25">
      <c r="A2151" s="1" t="s">
        <v>3338</v>
      </c>
      <c r="B2151" s="1" t="s">
        <v>84</v>
      </c>
      <c r="C2151" s="1" t="s">
        <v>552</v>
      </c>
      <c r="D2151" s="1" t="s">
        <v>16</v>
      </c>
      <c r="E2151" s="1" t="s">
        <v>17</v>
      </c>
      <c r="F2151" s="1" t="s">
        <v>129</v>
      </c>
      <c r="G2151">
        <v>447593</v>
      </c>
      <c r="H2151" s="1" t="s">
        <v>2538</v>
      </c>
      <c r="I2151" s="2"/>
      <c r="K2151">
        <v>5.7</v>
      </c>
      <c r="L2151" s="1" t="s">
        <v>49</v>
      </c>
      <c r="M2151" s="1" t="s">
        <v>63</v>
      </c>
    </row>
    <row r="2152" spans="1:13" x14ac:dyDescent="0.25">
      <c r="A2152" s="1" t="s">
        <v>3339</v>
      </c>
      <c r="B2152" s="1" t="s">
        <v>84</v>
      </c>
      <c r="C2152" s="1" t="s">
        <v>977</v>
      </c>
      <c r="D2152" s="1" t="s">
        <v>67</v>
      </c>
      <c r="E2152" s="1" t="s">
        <v>94</v>
      </c>
      <c r="F2152" s="1" t="s">
        <v>40</v>
      </c>
      <c r="G2152">
        <v>356122</v>
      </c>
      <c r="H2152" s="1" t="s">
        <v>2438</v>
      </c>
      <c r="I2152" s="2">
        <v>45243</v>
      </c>
      <c r="J2152">
        <v>162</v>
      </c>
      <c r="K2152">
        <v>15.8</v>
      </c>
      <c r="L2152" s="1" t="s">
        <v>49</v>
      </c>
      <c r="M2152" s="1" t="s">
        <v>30</v>
      </c>
    </row>
    <row r="2153" spans="1:13" x14ac:dyDescent="0.25">
      <c r="A2153" s="1" t="s">
        <v>3340</v>
      </c>
      <c r="B2153" s="1" t="s">
        <v>44</v>
      </c>
      <c r="C2153" s="1" t="s">
        <v>426</v>
      </c>
      <c r="D2153" s="1" t="s">
        <v>25</v>
      </c>
      <c r="E2153" s="1" t="s">
        <v>77</v>
      </c>
      <c r="F2153" s="1" t="s">
        <v>40</v>
      </c>
      <c r="G2153">
        <v>293322</v>
      </c>
      <c r="H2153" s="1" t="s">
        <v>3341</v>
      </c>
      <c r="I2153" s="2">
        <v>45436</v>
      </c>
      <c r="J2153">
        <v>38</v>
      </c>
      <c r="K2153">
        <v>18.899999999999999</v>
      </c>
      <c r="L2153" s="1" t="s">
        <v>29</v>
      </c>
      <c r="M2153" s="1" t="s">
        <v>107</v>
      </c>
    </row>
    <row r="2154" spans="1:13" x14ac:dyDescent="0.25">
      <c r="A2154" s="1" t="s">
        <v>3342</v>
      </c>
      <c r="B2154" s="1" t="s">
        <v>98</v>
      </c>
      <c r="C2154" s="1" t="s">
        <v>45</v>
      </c>
      <c r="D2154" s="1" t="s">
        <v>16</v>
      </c>
      <c r="E2154" s="1" t="s">
        <v>17</v>
      </c>
      <c r="F2154" s="1" t="s">
        <v>53</v>
      </c>
      <c r="G2154">
        <v>310346</v>
      </c>
      <c r="H2154" s="1" t="s">
        <v>187</v>
      </c>
      <c r="I2154" s="2"/>
      <c r="L2154" s="1" t="s">
        <v>29</v>
      </c>
      <c r="M2154" s="1" t="s">
        <v>107</v>
      </c>
    </row>
    <row r="2155" spans="1:13" x14ac:dyDescent="0.25">
      <c r="A2155" s="1" t="s">
        <v>3343</v>
      </c>
      <c r="B2155" s="1" t="s">
        <v>44</v>
      </c>
      <c r="C2155" s="1" t="s">
        <v>1165</v>
      </c>
      <c r="D2155" s="1" t="s">
        <v>90</v>
      </c>
      <c r="E2155" s="1" t="s">
        <v>47</v>
      </c>
      <c r="F2155" s="1" t="s">
        <v>129</v>
      </c>
      <c r="G2155">
        <v>389646</v>
      </c>
      <c r="H2155" s="1" t="s">
        <v>285</v>
      </c>
      <c r="I2155" s="2"/>
      <c r="K2155">
        <v>11</v>
      </c>
      <c r="L2155" s="1" t="s">
        <v>49</v>
      </c>
      <c r="M2155" s="1" t="s">
        <v>35</v>
      </c>
    </row>
    <row r="2156" spans="1:13" x14ac:dyDescent="0.25">
      <c r="A2156" s="1" t="s">
        <v>3344</v>
      </c>
      <c r="B2156" s="1" t="s">
        <v>65</v>
      </c>
      <c r="C2156" s="1" t="s">
        <v>116</v>
      </c>
      <c r="D2156" s="1" t="s">
        <v>90</v>
      </c>
      <c r="E2156" s="1" t="s">
        <v>100</v>
      </c>
      <c r="F2156" s="1" t="s">
        <v>18</v>
      </c>
      <c r="G2156">
        <v>396539</v>
      </c>
      <c r="H2156" s="1" t="s">
        <v>447</v>
      </c>
      <c r="I2156" s="2">
        <v>45747</v>
      </c>
      <c r="J2156">
        <v>136</v>
      </c>
      <c r="L2156" s="1" t="s">
        <v>29</v>
      </c>
      <c r="M2156" s="1" t="s">
        <v>42</v>
      </c>
    </row>
    <row r="2157" spans="1:13" x14ac:dyDescent="0.25">
      <c r="A2157" s="1" t="s">
        <v>3345</v>
      </c>
      <c r="B2157" s="1" t="s">
        <v>98</v>
      </c>
      <c r="C2157" s="1" t="s">
        <v>1554</v>
      </c>
      <c r="D2157" s="1" t="s">
        <v>39</v>
      </c>
      <c r="E2157" s="1" t="s">
        <v>100</v>
      </c>
      <c r="F2157" s="1" t="s">
        <v>33</v>
      </c>
      <c r="G2157">
        <v>403779</v>
      </c>
      <c r="H2157" s="1" t="s">
        <v>2262</v>
      </c>
      <c r="I2157" s="2"/>
      <c r="L2157" s="1" t="s">
        <v>49</v>
      </c>
      <c r="M2157" s="1" t="s">
        <v>149</v>
      </c>
    </row>
    <row r="2158" spans="1:13" x14ac:dyDescent="0.25">
      <c r="A2158" s="1" t="s">
        <v>3346</v>
      </c>
      <c r="B2158" s="1" t="s">
        <v>75</v>
      </c>
      <c r="C2158" s="1" t="s">
        <v>1087</v>
      </c>
      <c r="D2158" s="1" t="s">
        <v>67</v>
      </c>
      <c r="E2158" s="1" t="s">
        <v>47</v>
      </c>
      <c r="F2158" s="1" t="s">
        <v>40</v>
      </c>
      <c r="G2158">
        <v>371251</v>
      </c>
      <c r="H2158" s="1" t="s">
        <v>506</v>
      </c>
      <c r="I2158" s="2">
        <v>45430</v>
      </c>
      <c r="J2158">
        <v>101</v>
      </c>
      <c r="K2158">
        <v>17.399999999999999</v>
      </c>
      <c r="L2158" s="1" t="s">
        <v>20</v>
      </c>
      <c r="M2158" s="1" t="s">
        <v>69</v>
      </c>
    </row>
    <row r="2159" spans="1:13" x14ac:dyDescent="0.25">
      <c r="A2159" s="1" t="s">
        <v>3347</v>
      </c>
      <c r="B2159" s="1" t="s">
        <v>59</v>
      </c>
      <c r="C2159" s="1" t="s">
        <v>381</v>
      </c>
      <c r="D2159" s="1" t="s">
        <v>67</v>
      </c>
      <c r="E2159" s="1" t="s">
        <v>17</v>
      </c>
      <c r="F2159" s="1" t="s">
        <v>53</v>
      </c>
      <c r="G2159">
        <v>469995</v>
      </c>
      <c r="H2159" s="1" t="s">
        <v>519</v>
      </c>
      <c r="I2159" s="2"/>
      <c r="K2159">
        <v>12</v>
      </c>
      <c r="L2159" s="1" t="s">
        <v>96</v>
      </c>
      <c r="M2159" s="1" t="s">
        <v>30</v>
      </c>
    </row>
    <row r="2160" spans="1:13" x14ac:dyDescent="0.25">
      <c r="A2160" s="1" t="s">
        <v>3348</v>
      </c>
      <c r="B2160" s="1" t="s">
        <v>59</v>
      </c>
      <c r="C2160" s="1" t="s">
        <v>273</v>
      </c>
      <c r="D2160" s="1" t="s">
        <v>46</v>
      </c>
      <c r="E2160" s="1" t="s">
        <v>100</v>
      </c>
      <c r="F2160" s="1" t="s">
        <v>53</v>
      </c>
      <c r="G2160">
        <v>53824</v>
      </c>
      <c r="H2160" s="1" t="s">
        <v>1230</v>
      </c>
      <c r="I2160" s="2"/>
      <c r="K2160">
        <v>10.199999999999999</v>
      </c>
      <c r="L2160" s="1" t="s">
        <v>20</v>
      </c>
      <c r="M2160" s="1" t="s">
        <v>107</v>
      </c>
    </row>
    <row r="2161" spans="1:13" x14ac:dyDescent="0.25">
      <c r="A2161" s="1" t="s">
        <v>3349</v>
      </c>
      <c r="B2161" s="1" t="s">
        <v>88</v>
      </c>
      <c r="C2161" s="1" t="s">
        <v>928</v>
      </c>
      <c r="D2161" s="1" t="s">
        <v>90</v>
      </c>
      <c r="E2161" s="1" t="s">
        <v>72</v>
      </c>
      <c r="F2161" s="1" t="s">
        <v>40</v>
      </c>
      <c r="G2161">
        <v>207661</v>
      </c>
      <c r="H2161" s="1" t="s">
        <v>937</v>
      </c>
      <c r="I2161" s="2">
        <v>45799</v>
      </c>
      <c r="J2161">
        <v>112</v>
      </c>
      <c r="K2161">
        <v>19.600000000000001</v>
      </c>
      <c r="L2161" s="1" t="s">
        <v>20</v>
      </c>
      <c r="M2161" s="1" t="s">
        <v>63</v>
      </c>
    </row>
    <row r="2162" spans="1:13" x14ac:dyDescent="0.25">
      <c r="A2162" s="1" t="s">
        <v>3350</v>
      </c>
      <c r="B2162" s="1" t="s">
        <v>84</v>
      </c>
      <c r="C2162" s="1" t="s">
        <v>838</v>
      </c>
      <c r="D2162" s="1" t="s">
        <v>25</v>
      </c>
      <c r="E2162" s="1" t="s">
        <v>17</v>
      </c>
      <c r="F2162" s="1" t="s">
        <v>129</v>
      </c>
      <c r="G2162">
        <v>161506</v>
      </c>
      <c r="H2162" s="1" t="s">
        <v>1952</v>
      </c>
      <c r="I2162" s="2"/>
      <c r="K2162">
        <v>14.4</v>
      </c>
      <c r="L2162" s="1" t="s">
        <v>29</v>
      </c>
      <c r="M2162" s="1" t="s">
        <v>42</v>
      </c>
    </row>
    <row r="2163" spans="1:13" x14ac:dyDescent="0.25">
      <c r="A2163" s="1" t="s">
        <v>3351</v>
      </c>
      <c r="B2163" s="1" t="s">
        <v>80</v>
      </c>
      <c r="C2163" s="1" t="s">
        <v>676</v>
      </c>
      <c r="D2163" s="1" t="s">
        <v>67</v>
      </c>
      <c r="E2163" s="1" t="s">
        <v>61</v>
      </c>
      <c r="F2163" s="1" t="s">
        <v>40</v>
      </c>
      <c r="G2163">
        <v>333588</v>
      </c>
      <c r="H2163" s="1" t="s">
        <v>1701</v>
      </c>
      <c r="I2163" s="2">
        <v>45825</v>
      </c>
      <c r="J2163">
        <v>161</v>
      </c>
      <c r="K2163">
        <v>4.2</v>
      </c>
      <c r="L2163" s="1" t="s">
        <v>96</v>
      </c>
      <c r="M2163" s="1" t="s">
        <v>63</v>
      </c>
    </row>
    <row r="2164" spans="1:13" x14ac:dyDescent="0.25">
      <c r="A2164" s="1" t="s">
        <v>3352</v>
      </c>
      <c r="B2164" s="1" t="s">
        <v>84</v>
      </c>
      <c r="C2164" s="1" t="s">
        <v>625</v>
      </c>
      <c r="D2164" s="1" t="s">
        <v>90</v>
      </c>
      <c r="E2164" s="1" t="s">
        <v>72</v>
      </c>
      <c r="F2164" s="1" t="s">
        <v>129</v>
      </c>
      <c r="G2164">
        <v>23259</v>
      </c>
      <c r="H2164" s="1" t="s">
        <v>2728</v>
      </c>
      <c r="I2164" s="2"/>
      <c r="K2164">
        <v>14.8</v>
      </c>
      <c r="L2164" s="1" t="s">
        <v>49</v>
      </c>
      <c r="M2164" s="1" t="s">
        <v>30</v>
      </c>
    </row>
    <row r="2165" spans="1:13" x14ac:dyDescent="0.25">
      <c r="A2165" s="1" t="s">
        <v>3353</v>
      </c>
      <c r="B2165" s="1" t="s">
        <v>14</v>
      </c>
      <c r="C2165" s="1" t="s">
        <v>939</v>
      </c>
      <c r="D2165" s="1" t="s">
        <v>67</v>
      </c>
      <c r="E2165" s="1" t="s">
        <v>17</v>
      </c>
      <c r="F2165" s="1" t="s">
        <v>27</v>
      </c>
      <c r="G2165">
        <v>331871</v>
      </c>
      <c r="H2165" s="1" t="s">
        <v>3354</v>
      </c>
      <c r="I2165" s="2"/>
      <c r="L2165" s="1" t="s">
        <v>96</v>
      </c>
      <c r="M2165" s="1" t="s">
        <v>21</v>
      </c>
    </row>
    <row r="2166" spans="1:13" x14ac:dyDescent="0.25">
      <c r="A2166" s="1" t="s">
        <v>3355</v>
      </c>
      <c r="B2166" s="1" t="s">
        <v>80</v>
      </c>
      <c r="C2166" s="1" t="s">
        <v>1142</v>
      </c>
      <c r="D2166" s="1" t="s">
        <v>90</v>
      </c>
      <c r="E2166" s="1" t="s">
        <v>61</v>
      </c>
      <c r="F2166" s="1" t="s">
        <v>27</v>
      </c>
      <c r="G2166">
        <v>75444</v>
      </c>
      <c r="H2166" s="1" t="s">
        <v>1475</v>
      </c>
      <c r="I2166" s="2"/>
      <c r="K2166">
        <v>2.6</v>
      </c>
      <c r="L2166" s="1" t="s">
        <v>49</v>
      </c>
      <c r="M2166" s="1" t="s">
        <v>149</v>
      </c>
    </row>
    <row r="2167" spans="1:13" x14ac:dyDescent="0.25">
      <c r="A2167" s="1" t="s">
        <v>3356</v>
      </c>
      <c r="B2167" s="1" t="s">
        <v>44</v>
      </c>
      <c r="C2167" s="1" t="s">
        <v>45</v>
      </c>
      <c r="D2167" s="1" t="s">
        <v>46</v>
      </c>
      <c r="E2167" s="1" t="s">
        <v>77</v>
      </c>
      <c r="F2167" s="1" t="s">
        <v>27</v>
      </c>
      <c r="G2167">
        <v>61569</v>
      </c>
      <c r="H2167" s="1" t="s">
        <v>1779</v>
      </c>
      <c r="I2167" s="2"/>
      <c r="K2167">
        <v>13.1</v>
      </c>
      <c r="L2167" s="1" t="s">
        <v>49</v>
      </c>
      <c r="M2167" s="1" t="s">
        <v>42</v>
      </c>
    </row>
    <row r="2168" spans="1:13" x14ac:dyDescent="0.25">
      <c r="A2168" s="1" t="s">
        <v>3357</v>
      </c>
      <c r="B2168" s="1" t="s">
        <v>88</v>
      </c>
      <c r="C2168" s="1" t="s">
        <v>168</v>
      </c>
      <c r="D2168" s="1" t="s">
        <v>67</v>
      </c>
      <c r="E2168" s="1" t="s">
        <v>77</v>
      </c>
      <c r="F2168" s="1" t="s">
        <v>18</v>
      </c>
      <c r="G2168">
        <v>497684</v>
      </c>
      <c r="H2168" s="1" t="s">
        <v>2275</v>
      </c>
      <c r="I2168" s="2">
        <v>45160</v>
      </c>
      <c r="J2168">
        <v>107</v>
      </c>
      <c r="K2168">
        <v>7.2</v>
      </c>
      <c r="L2168" s="1" t="s">
        <v>49</v>
      </c>
      <c r="M2168" s="1" t="s">
        <v>30</v>
      </c>
    </row>
    <row r="2169" spans="1:13" x14ac:dyDescent="0.25">
      <c r="A2169" s="1" t="s">
        <v>3358</v>
      </c>
      <c r="B2169" s="1" t="s">
        <v>75</v>
      </c>
      <c r="C2169" s="1" t="s">
        <v>1057</v>
      </c>
      <c r="D2169" s="1" t="s">
        <v>39</v>
      </c>
      <c r="E2169" s="1" t="s">
        <v>17</v>
      </c>
      <c r="F2169" s="1" t="s">
        <v>129</v>
      </c>
      <c r="G2169">
        <v>159195</v>
      </c>
      <c r="H2169" s="1" t="s">
        <v>588</v>
      </c>
      <c r="I2169" s="2"/>
      <c r="K2169">
        <v>12.7</v>
      </c>
      <c r="L2169" s="1" t="s">
        <v>49</v>
      </c>
      <c r="M2169" s="1" t="s">
        <v>149</v>
      </c>
    </row>
    <row r="2170" spans="1:13" x14ac:dyDescent="0.25">
      <c r="A2170" s="1" t="s">
        <v>3359</v>
      </c>
      <c r="B2170" s="1" t="s">
        <v>109</v>
      </c>
      <c r="C2170" s="1" t="s">
        <v>110</v>
      </c>
      <c r="D2170" s="1" t="s">
        <v>46</v>
      </c>
      <c r="E2170" s="1" t="s">
        <v>17</v>
      </c>
      <c r="F2170" s="1" t="s">
        <v>129</v>
      </c>
      <c r="G2170">
        <v>205104</v>
      </c>
      <c r="H2170" s="1" t="s">
        <v>484</v>
      </c>
      <c r="I2170" s="2"/>
      <c r="L2170" s="1" t="s">
        <v>96</v>
      </c>
      <c r="M2170" s="1" t="s">
        <v>35</v>
      </c>
    </row>
    <row r="2171" spans="1:13" x14ac:dyDescent="0.25">
      <c r="A2171" s="1" t="s">
        <v>3360</v>
      </c>
      <c r="B2171" s="1" t="s">
        <v>14</v>
      </c>
      <c r="C2171" s="1" t="s">
        <v>295</v>
      </c>
      <c r="D2171" s="1" t="s">
        <v>90</v>
      </c>
      <c r="E2171" s="1" t="s">
        <v>61</v>
      </c>
      <c r="F2171" s="1" t="s">
        <v>40</v>
      </c>
      <c r="G2171">
        <v>196698</v>
      </c>
      <c r="H2171" s="1" t="s">
        <v>769</v>
      </c>
      <c r="I2171" s="2">
        <v>45080</v>
      </c>
      <c r="J2171">
        <v>16</v>
      </c>
      <c r="K2171">
        <v>7</v>
      </c>
      <c r="L2171" s="1" t="s">
        <v>96</v>
      </c>
      <c r="M2171" s="1" t="s">
        <v>30</v>
      </c>
    </row>
    <row r="2172" spans="1:13" x14ac:dyDescent="0.25">
      <c r="A2172" s="1" t="s">
        <v>3361</v>
      </c>
      <c r="B2172" s="1" t="s">
        <v>127</v>
      </c>
      <c r="C2172" s="1" t="s">
        <v>390</v>
      </c>
      <c r="D2172" s="1" t="s">
        <v>39</v>
      </c>
      <c r="E2172" s="1" t="s">
        <v>72</v>
      </c>
      <c r="F2172" s="1" t="s">
        <v>33</v>
      </c>
      <c r="G2172">
        <v>151030</v>
      </c>
      <c r="H2172" s="1" t="s">
        <v>2486</v>
      </c>
      <c r="I2172" s="2"/>
      <c r="K2172">
        <v>0.4</v>
      </c>
      <c r="L2172" s="1" t="s">
        <v>49</v>
      </c>
      <c r="M2172" s="1" t="s">
        <v>63</v>
      </c>
    </row>
    <row r="2173" spans="1:13" x14ac:dyDescent="0.25">
      <c r="A2173" s="1" t="s">
        <v>3362</v>
      </c>
      <c r="B2173" s="1" t="s">
        <v>173</v>
      </c>
      <c r="C2173" s="1" t="s">
        <v>877</v>
      </c>
      <c r="D2173" s="1" t="s">
        <v>67</v>
      </c>
      <c r="E2173" s="1" t="s">
        <v>47</v>
      </c>
      <c r="F2173" s="1" t="s">
        <v>33</v>
      </c>
      <c r="G2173">
        <v>33664</v>
      </c>
      <c r="H2173" s="1" t="s">
        <v>682</v>
      </c>
      <c r="I2173" s="2"/>
      <c r="L2173" s="1" t="s">
        <v>20</v>
      </c>
      <c r="M2173" s="1" t="s">
        <v>63</v>
      </c>
    </row>
    <row r="2174" spans="1:13" x14ac:dyDescent="0.25">
      <c r="A2174" s="1" t="s">
        <v>3363</v>
      </c>
      <c r="B2174" s="1" t="s">
        <v>37</v>
      </c>
      <c r="C2174" s="1" t="s">
        <v>614</v>
      </c>
      <c r="D2174" s="1" t="s">
        <v>39</v>
      </c>
      <c r="E2174" s="1" t="s">
        <v>26</v>
      </c>
      <c r="F2174" s="1" t="s">
        <v>53</v>
      </c>
      <c r="G2174">
        <v>484881</v>
      </c>
      <c r="H2174" s="1" t="s">
        <v>3364</v>
      </c>
      <c r="I2174" s="2"/>
      <c r="L2174" s="1" t="s">
        <v>20</v>
      </c>
      <c r="M2174" s="1" t="s">
        <v>30</v>
      </c>
    </row>
    <row r="2175" spans="1:13" x14ac:dyDescent="0.25">
      <c r="A2175" s="1" t="s">
        <v>3365</v>
      </c>
      <c r="B2175" s="1" t="s">
        <v>14</v>
      </c>
      <c r="C2175" s="1" t="s">
        <v>505</v>
      </c>
      <c r="D2175" s="1" t="s">
        <v>39</v>
      </c>
      <c r="E2175" s="1" t="s">
        <v>47</v>
      </c>
      <c r="F2175" s="1" t="s">
        <v>129</v>
      </c>
      <c r="G2175">
        <v>419909</v>
      </c>
      <c r="H2175" s="1" t="s">
        <v>2032</v>
      </c>
      <c r="I2175" s="2"/>
      <c r="K2175">
        <v>4.3</v>
      </c>
      <c r="L2175" s="1" t="s">
        <v>20</v>
      </c>
      <c r="M2175" s="1" t="s">
        <v>35</v>
      </c>
    </row>
    <row r="2176" spans="1:13" x14ac:dyDescent="0.25">
      <c r="A2176" s="1" t="s">
        <v>3366</v>
      </c>
      <c r="B2176" s="1" t="s">
        <v>84</v>
      </c>
      <c r="C2176" s="1" t="s">
        <v>276</v>
      </c>
      <c r="D2176" s="1" t="s">
        <v>46</v>
      </c>
      <c r="E2176" s="1" t="s">
        <v>61</v>
      </c>
      <c r="F2176" s="1" t="s">
        <v>18</v>
      </c>
      <c r="G2176">
        <v>234937</v>
      </c>
      <c r="H2176" s="1" t="s">
        <v>2695</v>
      </c>
      <c r="I2176" s="2">
        <v>45258</v>
      </c>
      <c r="J2176">
        <v>101</v>
      </c>
      <c r="K2176">
        <v>11.8</v>
      </c>
      <c r="L2176" s="1" t="s">
        <v>29</v>
      </c>
      <c r="M2176" s="1" t="s">
        <v>102</v>
      </c>
    </row>
    <row r="2177" spans="1:13" x14ac:dyDescent="0.25">
      <c r="A2177" s="1" t="s">
        <v>3367</v>
      </c>
      <c r="B2177" s="1" t="s">
        <v>75</v>
      </c>
      <c r="C2177" s="1" t="s">
        <v>564</v>
      </c>
      <c r="D2177" s="1" t="s">
        <v>67</v>
      </c>
      <c r="E2177" s="1" t="s">
        <v>47</v>
      </c>
      <c r="F2177" s="1" t="s">
        <v>40</v>
      </c>
      <c r="G2177">
        <v>361375</v>
      </c>
      <c r="H2177" s="1" t="s">
        <v>529</v>
      </c>
      <c r="I2177" s="2">
        <v>45744</v>
      </c>
      <c r="J2177">
        <v>28</v>
      </c>
      <c r="K2177">
        <v>6.5</v>
      </c>
      <c r="L2177" s="1" t="s">
        <v>96</v>
      </c>
      <c r="M2177" s="1" t="s">
        <v>63</v>
      </c>
    </row>
    <row r="2178" spans="1:13" x14ac:dyDescent="0.25">
      <c r="A2178" s="1" t="s">
        <v>3368</v>
      </c>
      <c r="B2178" s="1" t="s">
        <v>37</v>
      </c>
      <c r="C2178" s="1" t="s">
        <v>1554</v>
      </c>
      <c r="D2178" s="1" t="s">
        <v>67</v>
      </c>
      <c r="E2178" s="1" t="s">
        <v>51</v>
      </c>
      <c r="F2178" s="1" t="s">
        <v>18</v>
      </c>
      <c r="G2178">
        <v>138211</v>
      </c>
      <c r="H2178" s="1" t="s">
        <v>902</v>
      </c>
      <c r="I2178" s="2">
        <v>45611</v>
      </c>
      <c r="J2178">
        <v>99</v>
      </c>
      <c r="K2178">
        <v>14.3</v>
      </c>
      <c r="L2178" s="1" t="s">
        <v>20</v>
      </c>
      <c r="M2178" s="1" t="s">
        <v>149</v>
      </c>
    </row>
    <row r="2179" spans="1:13" x14ac:dyDescent="0.25">
      <c r="A2179" s="1" t="s">
        <v>3369</v>
      </c>
      <c r="B2179" s="1" t="s">
        <v>88</v>
      </c>
      <c r="C2179" s="1" t="s">
        <v>71</v>
      </c>
      <c r="D2179" s="1" t="s">
        <v>46</v>
      </c>
      <c r="E2179" s="1" t="s">
        <v>61</v>
      </c>
      <c r="F2179" s="1" t="s">
        <v>33</v>
      </c>
      <c r="G2179">
        <v>33186</v>
      </c>
      <c r="H2179" s="1" t="s">
        <v>687</v>
      </c>
      <c r="I2179" s="2"/>
      <c r="K2179">
        <v>11</v>
      </c>
      <c r="L2179" s="1" t="s">
        <v>20</v>
      </c>
      <c r="M2179" s="1" t="s">
        <v>107</v>
      </c>
    </row>
    <row r="2180" spans="1:13" x14ac:dyDescent="0.25">
      <c r="A2180" s="1" t="s">
        <v>3370</v>
      </c>
      <c r="B2180" s="1" t="s">
        <v>44</v>
      </c>
      <c r="C2180" s="1" t="s">
        <v>165</v>
      </c>
      <c r="D2180" s="1" t="s">
        <v>16</v>
      </c>
      <c r="E2180" s="1" t="s">
        <v>61</v>
      </c>
      <c r="F2180" s="1" t="s">
        <v>53</v>
      </c>
      <c r="G2180">
        <v>230754</v>
      </c>
      <c r="H2180" s="1" t="s">
        <v>1273</v>
      </c>
      <c r="I2180" s="2"/>
      <c r="L2180" s="1" t="s">
        <v>20</v>
      </c>
      <c r="M2180" s="1" t="s">
        <v>35</v>
      </c>
    </row>
    <row r="2181" spans="1:13" x14ac:dyDescent="0.25">
      <c r="A2181" s="1" t="s">
        <v>3371</v>
      </c>
      <c r="B2181" s="1" t="s">
        <v>88</v>
      </c>
      <c r="C2181" s="1" t="s">
        <v>2047</v>
      </c>
      <c r="D2181" s="1" t="s">
        <v>39</v>
      </c>
      <c r="E2181" s="1" t="s">
        <v>77</v>
      </c>
      <c r="F2181" s="1" t="s">
        <v>53</v>
      </c>
      <c r="G2181">
        <v>385808</v>
      </c>
      <c r="H2181" s="1" t="s">
        <v>1101</v>
      </c>
      <c r="I2181" s="2"/>
      <c r="L2181" s="1" t="s">
        <v>29</v>
      </c>
      <c r="M2181" s="1" t="s">
        <v>21</v>
      </c>
    </row>
    <row r="2182" spans="1:13" x14ac:dyDescent="0.25">
      <c r="A2182" s="1" t="s">
        <v>3372</v>
      </c>
      <c r="B2182" s="1" t="s">
        <v>98</v>
      </c>
      <c r="C2182" s="1" t="s">
        <v>1283</v>
      </c>
      <c r="D2182" s="1" t="s">
        <v>39</v>
      </c>
      <c r="E2182" s="1" t="s">
        <v>72</v>
      </c>
      <c r="F2182" s="1" t="s">
        <v>129</v>
      </c>
      <c r="G2182">
        <v>412123</v>
      </c>
      <c r="H2182" s="1" t="s">
        <v>3373</v>
      </c>
      <c r="I2182" s="2"/>
      <c r="K2182">
        <v>14.5</v>
      </c>
      <c r="L2182" s="1" t="s">
        <v>29</v>
      </c>
      <c r="M2182" s="1" t="s">
        <v>102</v>
      </c>
    </row>
    <row r="2183" spans="1:13" x14ac:dyDescent="0.25">
      <c r="A2183" s="1" t="s">
        <v>3374</v>
      </c>
      <c r="B2183" s="1" t="s">
        <v>23</v>
      </c>
      <c r="C2183" s="1" t="s">
        <v>415</v>
      </c>
      <c r="D2183" s="1" t="s">
        <v>16</v>
      </c>
      <c r="E2183" s="1" t="s">
        <v>47</v>
      </c>
      <c r="F2183" s="1" t="s">
        <v>53</v>
      </c>
      <c r="G2183">
        <v>457381</v>
      </c>
      <c r="H2183" s="1" t="s">
        <v>1784</v>
      </c>
      <c r="I2183" s="2"/>
      <c r="K2183">
        <v>3.6</v>
      </c>
      <c r="L2183" s="1" t="s">
        <v>96</v>
      </c>
      <c r="M2183" s="1" t="s">
        <v>69</v>
      </c>
    </row>
    <row r="2184" spans="1:13" x14ac:dyDescent="0.25">
      <c r="A2184" s="1" t="s">
        <v>3375</v>
      </c>
      <c r="B2184" s="1" t="s">
        <v>37</v>
      </c>
      <c r="C2184" s="1" t="s">
        <v>705</v>
      </c>
      <c r="D2184" s="1" t="s">
        <v>90</v>
      </c>
      <c r="E2184" s="1" t="s">
        <v>47</v>
      </c>
      <c r="F2184" s="1" t="s">
        <v>53</v>
      </c>
      <c r="G2184">
        <v>367311</v>
      </c>
      <c r="H2184" s="1" t="s">
        <v>3098</v>
      </c>
      <c r="I2184" s="2"/>
      <c r="K2184">
        <v>8.6</v>
      </c>
      <c r="L2184" s="1" t="s">
        <v>49</v>
      </c>
      <c r="M2184" s="1" t="s">
        <v>21</v>
      </c>
    </row>
    <row r="2185" spans="1:13" x14ac:dyDescent="0.25">
      <c r="A2185" s="1" t="s">
        <v>3376</v>
      </c>
      <c r="B2185" s="1" t="s">
        <v>23</v>
      </c>
      <c r="C2185" s="1" t="s">
        <v>308</v>
      </c>
      <c r="D2185" s="1" t="s">
        <v>90</v>
      </c>
      <c r="E2185" s="1" t="s">
        <v>77</v>
      </c>
      <c r="F2185" s="1" t="s">
        <v>40</v>
      </c>
      <c r="G2185">
        <v>244166</v>
      </c>
      <c r="H2185" s="1" t="s">
        <v>1750</v>
      </c>
      <c r="I2185" s="2">
        <v>45355</v>
      </c>
      <c r="J2185">
        <v>91</v>
      </c>
      <c r="K2185">
        <v>20.9</v>
      </c>
      <c r="L2185" s="1" t="s">
        <v>20</v>
      </c>
      <c r="M2185" s="1" t="s">
        <v>21</v>
      </c>
    </row>
    <row r="2186" spans="1:13" x14ac:dyDescent="0.25">
      <c r="A2186" s="1" t="s">
        <v>3377</v>
      </c>
      <c r="B2186" s="1" t="s">
        <v>127</v>
      </c>
      <c r="C2186" s="1" t="s">
        <v>737</v>
      </c>
      <c r="D2186" s="1" t="s">
        <v>16</v>
      </c>
      <c r="E2186" s="1" t="s">
        <v>61</v>
      </c>
      <c r="F2186" s="1" t="s">
        <v>40</v>
      </c>
      <c r="G2186">
        <v>473214</v>
      </c>
      <c r="H2186" s="1" t="s">
        <v>2785</v>
      </c>
      <c r="I2186" s="2">
        <v>45481</v>
      </c>
      <c r="J2186">
        <v>156</v>
      </c>
      <c r="K2186">
        <v>4.8</v>
      </c>
      <c r="L2186" s="1" t="s">
        <v>29</v>
      </c>
      <c r="M2186" s="1" t="s">
        <v>69</v>
      </c>
    </row>
    <row r="2187" spans="1:13" x14ac:dyDescent="0.25">
      <c r="A2187" s="1" t="s">
        <v>3378</v>
      </c>
      <c r="B2187" s="1" t="s">
        <v>80</v>
      </c>
      <c r="C2187" s="1" t="s">
        <v>295</v>
      </c>
      <c r="D2187" s="1" t="s">
        <v>67</v>
      </c>
      <c r="E2187" s="1" t="s">
        <v>17</v>
      </c>
      <c r="F2187" s="1" t="s">
        <v>40</v>
      </c>
      <c r="G2187">
        <v>147947</v>
      </c>
      <c r="H2187" s="1" t="s">
        <v>3379</v>
      </c>
      <c r="I2187" s="2">
        <v>45471</v>
      </c>
      <c r="J2187">
        <v>101</v>
      </c>
      <c r="K2187">
        <v>18.7</v>
      </c>
      <c r="L2187" s="1" t="s">
        <v>20</v>
      </c>
      <c r="M2187" s="1" t="s">
        <v>69</v>
      </c>
    </row>
    <row r="2188" spans="1:13" x14ac:dyDescent="0.25">
      <c r="A2188" s="1" t="s">
        <v>2239</v>
      </c>
      <c r="B2188" s="1" t="s">
        <v>80</v>
      </c>
      <c r="C2188" s="1" t="s">
        <v>423</v>
      </c>
      <c r="D2188" s="1" t="s">
        <v>39</v>
      </c>
      <c r="E2188" s="1" t="s">
        <v>26</v>
      </c>
      <c r="F2188" s="1" t="s">
        <v>18</v>
      </c>
      <c r="G2188">
        <v>95474</v>
      </c>
      <c r="H2188" s="1" t="s">
        <v>1458</v>
      </c>
      <c r="I2188" s="2">
        <v>45228</v>
      </c>
      <c r="J2188">
        <v>143</v>
      </c>
      <c r="K2188">
        <v>2.8</v>
      </c>
      <c r="L2188" s="1" t="s">
        <v>96</v>
      </c>
      <c r="M2188" s="1" t="s">
        <v>30</v>
      </c>
    </row>
    <row r="2189" spans="1:13" x14ac:dyDescent="0.25">
      <c r="A2189" s="1" t="s">
        <v>3380</v>
      </c>
      <c r="B2189" s="1" t="s">
        <v>23</v>
      </c>
      <c r="C2189" s="1" t="s">
        <v>1151</v>
      </c>
      <c r="D2189" s="1" t="s">
        <v>39</v>
      </c>
      <c r="E2189" s="1" t="s">
        <v>47</v>
      </c>
      <c r="F2189" s="1" t="s">
        <v>53</v>
      </c>
      <c r="G2189">
        <v>214983</v>
      </c>
      <c r="H2189" s="1" t="s">
        <v>142</v>
      </c>
      <c r="I2189" s="2"/>
      <c r="L2189" s="1" t="s">
        <v>49</v>
      </c>
      <c r="M2189" s="1" t="s">
        <v>21</v>
      </c>
    </row>
    <row r="2190" spans="1:13" x14ac:dyDescent="0.25">
      <c r="A2190" s="1" t="s">
        <v>3381</v>
      </c>
      <c r="B2190" s="1" t="s">
        <v>65</v>
      </c>
      <c r="C2190" s="1" t="s">
        <v>852</v>
      </c>
      <c r="D2190" s="1" t="s">
        <v>16</v>
      </c>
      <c r="E2190" s="1" t="s">
        <v>17</v>
      </c>
      <c r="F2190" s="1" t="s">
        <v>27</v>
      </c>
      <c r="G2190">
        <v>242496</v>
      </c>
      <c r="H2190" s="1" t="s">
        <v>1259</v>
      </c>
      <c r="I2190" s="2"/>
      <c r="L2190" s="1" t="s">
        <v>29</v>
      </c>
      <c r="M2190" s="1" t="s">
        <v>35</v>
      </c>
    </row>
    <row r="2191" spans="1:13" x14ac:dyDescent="0.25">
      <c r="A2191" s="1" t="s">
        <v>3382</v>
      </c>
      <c r="B2191" s="1" t="s">
        <v>80</v>
      </c>
      <c r="C2191" s="1" t="s">
        <v>1470</v>
      </c>
      <c r="D2191" s="1" t="s">
        <v>16</v>
      </c>
      <c r="E2191" s="1" t="s">
        <v>100</v>
      </c>
      <c r="F2191" s="1" t="s">
        <v>40</v>
      </c>
      <c r="G2191">
        <v>493172</v>
      </c>
      <c r="H2191" s="1" t="s">
        <v>716</v>
      </c>
      <c r="I2191" s="2">
        <v>45372</v>
      </c>
      <c r="J2191">
        <v>171</v>
      </c>
      <c r="K2191">
        <v>1.6</v>
      </c>
      <c r="L2191" s="1" t="s">
        <v>96</v>
      </c>
      <c r="M2191" s="1" t="s">
        <v>21</v>
      </c>
    </row>
    <row r="2192" spans="1:13" x14ac:dyDescent="0.25">
      <c r="A2192" s="1" t="s">
        <v>3383</v>
      </c>
      <c r="B2192" s="1" t="s">
        <v>75</v>
      </c>
      <c r="C2192" s="1" t="s">
        <v>939</v>
      </c>
      <c r="D2192" s="1" t="s">
        <v>90</v>
      </c>
      <c r="E2192" s="1" t="s">
        <v>94</v>
      </c>
      <c r="F2192" s="1" t="s">
        <v>18</v>
      </c>
      <c r="G2192">
        <v>354337</v>
      </c>
      <c r="H2192" s="1" t="s">
        <v>2609</v>
      </c>
      <c r="I2192" s="2">
        <v>45671</v>
      </c>
      <c r="J2192">
        <v>179</v>
      </c>
      <c r="K2192">
        <v>9</v>
      </c>
      <c r="L2192" s="1" t="s">
        <v>20</v>
      </c>
      <c r="M2192" s="1" t="s">
        <v>149</v>
      </c>
    </row>
    <row r="2193" spans="1:13" x14ac:dyDescent="0.25">
      <c r="A2193" s="1" t="s">
        <v>3384</v>
      </c>
      <c r="B2193" s="1" t="s">
        <v>173</v>
      </c>
      <c r="C2193" s="1" t="s">
        <v>972</v>
      </c>
      <c r="D2193" s="1" t="s">
        <v>46</v>
      </c>
      <c r="E2193" s="1" t="s">
        <v>100</v>
      </c>
      <c r="F2193" s="1" t="s">
        <v>129</v>
      </c>
      <c r="G2193">
        <v>99225</v>
      </c>
      <c r="H2193" s="1" t="s">
        <v>1429</v>
      </c>
      <c r="I2193" s="2"/>
      <c r="K2193">
        <v>12.9</v>
      </c>
      <c r="L2193" s="1" t="s">
        <v>96</v>
      </c>
      <c r="M2193" s="1" t="s">
        <v>149</v>
      </c>
    </row>
    <row r="2194" spans="1:13" x14ac:dyDescent="0.25">
      <c r="A2194" s="1" t="s">
        <v>3385</v>
      </c>
      <c r="B2194" s="1" t="s">
        <v>59</v>
      </c>
      <c r="C2194" s="1" t="s">
        <v>343</v>
      </c>
      <c r="D2194" s="1" t="s">
        <v>90</v>
      </c>
      <c r="E2194" s="1" t="s">
        <v>100</v>
      </c>
      <c r="F2194" s="1" t="s">
        <v>129</v>
      </c>
      <c r="G2194">
        <v>120424</v>
      </c>
      <c r="H2194" s="1" t="s">
        <v>2305</v>
      </c>
      <c r="I2194" s="2"/>
      <c r="K2194">
        <v>10.8</v>
      </c>
      <c r="L2194" s="1" t="s">
        <v>29</v>
      </c>
      <c r="M2194" s="1" t="s">
        <v>63</v>
      </c>
    </row>
    <row r="2195" spans="1:13" x14ac:dyDescent="0.25">
      <c r="A2195" s="1" t="s">
        <v>3386</v>
      </c>
      <c r="B2195" s="1" t="s">
        <v>23</v>
      </c>
      <c r="C2195" s="1" t="s">
        <v>303</v>
      </c>
      <c r="D2195" s="1" t="s">
        <v>67</v>
      </c>
      <c r="E2195" s="1" t="s">
        <v>47</v>
      </c>
      <c r="F2195" s="1" t="s">
        <v>18</v>
      </c>
      <c r="G2195">
        <v>154799</v>
      </c>
      <c r="H2195" s="1" t="s">
        <v>3387</v>
      </c>
      <c r="I2195" s="2">
        <v>45468</v>
      </c>
      <c r="J2195">
        <v>165</v>
      </c>
      <c r="K2195">
        <v>4</v>
      </c>
      <c r="L2195" s="1" t="s">
        <v>49</v>
      </c>
      <c r="M2195" s="1" t="s">
        <v>69</v>
      </c>
    </row>
    <row r="2196" spans="1:13" x14ac:dyDescent="0.25">
      <c r="A2196" s="1" t="s">
        <v>3388</v>
      </c>
      <c r="B2196" s="1" t="s">
        <v>173</v>
      </c>
      <c r="C2196" s="1" t="s">
        <v>1028</v>
      </c>
      <c r="D2196" s="1" t="s">
        <v>67</v>
      </c>
      <c r="E2196" s="1" t="s">
        <v>26</v>
      </c>
      <c r="F2196" s="1" t="s">
        <v>53</v>
      </c>
      <c r="G2196">
        <v>140351</v>
      </c>
      <c r="H2196" s="1" t="s">
        <v>3389</v>
      </c>
      <c r="I2196" s="2"/>
      <c r="K2196">
        <v>4.8</v>
      </c>
      <c r="L2196" s="1" t="s">
        <v>20</v>
      </c>
      <c r="M2196" s="1" t="s">
        <v>102</v>
      </c>
    </row>
    <row r="2197" spans="1:13" x14ac:dyDescent="0.25">
      <c r="A2197" s="1" t="s">
        <v>3390</v>
      </c>
      <c r="B2197" s="1" t="s">
        <v>59</v>
      </c>
      <c r="C2197" s="1" t="s">
        <v>384</v>
      </c>
      <c r="D2197" s="1" t="s">
        <v>39</v>
      </c>
      <c r="E2197" s="1" t="s">
        <v>17</v>
      </c>
      <c r="F2197" s="1" t="s">
        <v>129</v>
      </c>
      <c r="G2197">
        <v>44764</v>
      </c>
      <c r="H2197" s="1" t="s">
        <v>1735</v>
      </c>
      <c r="I2197" s="2"/>
      <c r="K2197">
        <v>4.8</v>
      </c>
      <c r="L2197" s="1" t="s">
        <v>49</v>
      </c>
      <c r="M2197" s="1" t="s">
        <v>35</v>
      </c>
    </row>
    <row r="2198" spans="1:13" x14ac:dyDescent="0.25">
      <c r="A2198" s="1" t="s">
        <v>3391</v>
      </c>
      <c r="B2198" s="1" t="s">
        <v>80</v>
      </c>
      <c r="C2198" s="1" t="s">
        <v>361</v>
      </c>
      <c r="D2198" s="1" t="s">
        <v>39</v>
      </c>
      <c r="E2198" s="1" t="s">
        <v>17</v>
      </c>
      <c r="F2198" s="1" t="s">
        <v>18</v>
      </c>
      <c r="G2198">
        <v>427209</v>
      </c>
      <c r="H2198" s="1" t="s">
        <v>1407</v>
      </c>
      <c r="I2198" s="2">
        <v>45420</v>
      </c>
      <c r="J2198">
        <v>24</v>
      </c>
      <c r="K2198">
        <v>1.6</v>
      </c>
      <c r="L2198" s="1" t="s">
        <v>96</v>
      </c>
      <c r="M2198" s="1" t="s">
        <v>107</v>
      </c>
    </row>
    <row r="2199" spans="1:13" x14ac:dyDescent="0.25">
      <c r="A2199" s="1" t="s">
        <v>3392</v>
      </c>
      <c r="B2199" s="1" t="s">
        <v>84</v>
      </c>
      <c r="C2199" s="1" t="s">
        <v>693</v>
      </c>
      <c r="D2199" s="1" t="s">
        <v>16</v>
      </c>
      <c r="E2199" s="1" t="s">
        <v>77</v>
      </c>
      <c r="F2199" s="1" t="s">
        <v>27</v>
      </c>
      <c r="G2199">
        <v>325160</v>
      </c>
      <c r="H2199" s="1" t="s">
        <v>3393</v>
      </c>
      <c r="I2199" s="2"/>
      <c r="K2199">
        <v>10.3</v>
      </c>
      <c r="L2199" s="1" t="s">
        <v>96</v>
      </c>
      <c r="M2199" s="1" t="s">
        <v>30</v>
      </c>
    </row>
    <row r="2200" spans="1:13" x14ac:dyDescent="0.25">
      <c r="A2200" s="1" t="s">
        <v>3394</v>
      </c>
      <c r="B2200" s="1" t="s">
        <v>84</v>
      </c>
      <c r="C2200" s="1" t="s">
        <v>110</v>
      </c>
      <c r="D2200" s="1" t="s">
        <v>67</v>
      </c>
      <c r="E2200" s="1" t="s">
        <v>61</v>
      </c>
      <c r="F2200" s="1" t="s">
        <v>129</v>
      </c>
      <c r="G2200">
        <v>488243</v>
      </c>
      <c r="H2200" s="1" t="s">
        <v>1304</v>
      </c>
      <c r="I2200" s="2"/>
      <c r="K2200">
        <v>2.9</v>
      </c>
      <c r="L2200" s="1" t="s">
        <v>96</v>
      </c>
      <c r="M2200" s="1" t="s">
        <v>102</v>
      </c>
    </row>
    <row r="2201" spans="1:13" x14ac:dyDescent="0.25">
      <c r="A2201" s="1" t="s">
        <v>3395</v>
      </c>
      <c r="B2201" s="1" t="s">
        <v>44</v>
      </c>
      <c r="C2201" s="1" t="s">
        <v>426</v>
      </c>
      <c r="D2201" s="1" t="s">
        <v>67</v>
      </c>
      <c r="E2201" s="1" t="s">
        <v>72</v>
      </c>
      <c r="F2201" s="1" t="s">
        <v>33</v>
      </c>
      <c r="G2201">
        <v>305698</v>
      </c>
      <c r="H2201" s="1" t="s">
        <v>2226</v>
      </c>
      <c r="I2201" s="2"/>
      <c r="K2201">
        <v>2.5</v>
      </c>
      <c r="L2201" s="1" t="s">
        <v>29</v>
      </c>
      <c r="M2201" s="1" t="s">
        <v>21</v>
      </c>
    </row>
    <row r="2202" spans="1:13" x14ac:dyDescent="0.25">
      <c r="A2202" s="1" t="s">
        <v>3396</v>
      </c>
      <c r="B2202" s="1" t="s">
        <v>127</v>
      </c>
      <c r="C2202" s="1" t="s">
        <v>71</v>
      </c>
      <c r="D2202" s="1" t="s">
        <v>39</v>
      </c>
      <c r="E2202" s="1" t="s">
        <v>17</v>
      </c>
      <c r="F2202" s="1" t="s">
        <v>18</v>
      </c>
      <c r="G2202">
        <v>75266</v>
      </c>
      <c r="H2202" s="1" t="s">
        <v>3397</v>
      </c>
      <c r="I2202" s="2">
        <v>45753</v>
      </c>
      <c r="J2202">
        <v>96</v>
      </c>
      <c r="K2202">
        <v>14.9</v>
      </c>
      <c r="L2202" s="1" t="s">
        <v>29</v>
      </c>
      <c r="M2202" s="1" t="s">
        <v>42</v>
      </c>
    </row>
    <row r="2203" spans="1:13" x14ac:dyDescent="0.25">
      <c r="A2203" s="1" t="s">
        <v>3398</v>
      </c>
      <c r="B2203" s="1" t="s">
        <v>84</v>
      </c>
      <c r="C2203" s="1" t="s">
        <v>141</v>
      </c>
      <c r="D2203" s="1" t="s">
        <v>67</v>
      </c>
      <c r="E2203" s="1" t="s">
        <v>77</v>
      </c>
      <c r="F2203" s="1" t="s">
        <v>33</v>
      </c>
      <c r="G2203">
        <v>377810</v>
      </c>
      <c r="H2203" s="1" t="s">
        <v>1806</v>
      </c>
      <c r="I2203" s="2"/>
      <c r="K2203">
        <v>6.8</v>
      </c>
      <c r="L2203" s="1" t="s">
        <v>29</v>
      </c>
      <c r="M2203" s="1" t="s">
        <v>69</v>
      </c>
    </row>
    <row r="2204" spans="1:13" x14ac:dyDescent="0.25">
      <c r="A2204" s="1" t="s">
        <v>3399</v>
      </c>
      <c r="B2204" s="1" t="s">
        <v>98</v>
      </c>
      <c r="C2204" s="1" t="s">
        <v>590</v>
      </c>
      <c r="D2204" s="1" t="s">
        <v>67</v>
      </c>
      <c r="E2204" s="1" t="s">
        <v>100</v>
      </c>
      <c r="F2204" s="1" t="s">
        <v>18</v>
      </c>
      <c r="G2204">
        <v>120253</v>
      </c>
      <c r="H2204" s="1" t="s">
        <v>1458</v>
      </c>
      <c r="I2204" s="2">
        <v>45182</v>
      </c>
      <c r="J2204">
        <v>97</v>
      </c>
      <c r="K2204">
        <v>11.5</v>
      </c>
      <c r="L2204" s="1" t="s">
        <v>29</v>
      </c>
      <c r="M2204" s="1" t="s">
        <v>30</v>
      </c>
    </row>
    <row r="2205" spans="1:13" x14ac:dyDescent="0.25">
      <c r="A2205" s="1" t="s">
        <v>3400</v>
      </c>
      <c r="B2205" s="1" t="s">
        <v>75</v>
      </c>
      <c r="C2205" s="1" t="s">
        <v>747</v>
      </c>
      <c r="D2205" s="1" t="s">
        <v>16</v>
      </c>
      <c r="E2205" s="1" t="s">
        <v>77</v>
      </c>
      <c r="F2205" s="1" t="s">
        <v>27</v>
      </c>
      <c r="G2205">
        <v>42916</v>
      </c>
      <c r="H2205" s="1" t="s">
        <v>752</v>
      </c>
      <c r="I2205" s="2"/>
      <c r="K2205">
        <v>0.9</v>
      </c>
      <c r="L2205" s="1" t="s">
        <v>20</v>
      </c>
      <c r="M2205" s="1" t="s">
        <v>63</v>
      </c>
    </row>
    <row r="2206" spans="1:13" x14ac:dyDescent="0.25">
      <c r="A2206" s="1" t="s">
        <v>3401</v>
      </c>
      <c r="B2206" s="1" t="s">
        <v>59</v>
      </c>
      <c r="C2206" s="1" t="s">
        <v>767</v>
      </c>
      <c r="D2206" s="1" t="s">
        <v>46</v>
      </c>
      <c r="E2206" s="1" t="s">
        <v>94</v>
      </c>
      <c r="F2206" s="1" t="s">
        <v>129</v>
      </c>
      <c r="G2206">
        <v>51644</v>
      </c>
      <c r="H2206" s="1" t="s">
        <v>3402</v>
      </c>
      <c r="I2206" s="2"/>
      <c r="L2206" s="1" t="s">
        <v>20</v>
      </c>
      <c r="M2206" s="1" t="s">
        <v>107</v>
      </c>
    </row>
    <row r="2207" spans="1:13" x14ac:dyDescent="0.25">
      <c r="A2207" s="1" t="s">
        <v>3403</v>
      </c>
      <c r="B2207" s="1" t="s">
        <v>23</v>
      </c>
      <c r="C2207" s="1" t="s">
        <v>406</v>
      </c>
      <c r="D2207" s="1" t="s">
        <v>39</v>
      </c>
      <c r="E2207" s="1" t="s">
        <v>94</v>
      </c>
      <c r="F2207" s="1" t="s">
        <v>40</v>
      </c>
      <c r="G2207">
        <v>439715</v>
      </c>
      <c r="H2207" s="1" t="s">
        <v>867</v>
      </c>
      <c r="I2207" s="2">
        <v>45520</v>
      </c>
      <c r="J2207">
        <v>159</v>
      </c>
      <c r="K2207">
        <v>23.7</v>
      </c>
      <c r="L2207" s="1" t="s">
        <v>29</v>
      </c>
      <c r="M2207" s="1" t="s">
        <v>69</v>
      </c>
    </row>
    <row r="2208" spans="1:13" x14ac:dyDescent="0.25">
      <c r="A2208" s="1" t="s">
        <v>3404</v>
      </c>
      <c r="B2208" s="1" t="s">
        <v>44</v>
      </c>
      <c r="C2208" s="1" t="s">
        <v>521</v>
      </c>
      <c r="D2208" s="1" t="s">
        <v>90</v>
      </c>
      <c r="E2208" s="1" t="s">
        <v>61</v>
      </c>
      <c r="F2208" s="1" t="s">
        <v>40</v>
      </c>
      <c r="G2208">
        <v>293155</v>
      </c>
      <c r="H2208" s="1" t="s">
        <v>579</v>
      </c>
      <c r="I2208" s="2">
        <v>45095</v>
      </c>
      <c r="J2208">
        <v>98</v>
      </c>
      <c r="K2208">
        <v>23.2</v>
      </c>
      <c r="L2208" s="1" t="s">
        <v>29</v>
      </c>
      <c r="M2208" s="1" t="s">
        <v>35</v>
      </c>
    </row>
    <row r="2209" spans="1:13" x14ac:dyDescent="0.25">
      <c r="A2209" s="1" t="s">
        <v>3405</v>
      </c>
      <c r="B2209" s="1" t="s">
        <v>65</v>
      </c>
      <c r="C2209" s="1" t="s">
        <v>865</v>
      </c>
      <c r="D2209" s="1" t="s">
        <v>67</v>
      </c>
      <c r="E2209" s="1" t="s">
        <v>47</v>
      </c>
      <c r="F2209" s="1" t="s">
        <v>27</v>
      </c>
      <c r="G2209">
        <v>329020</v>
      </c>
      <c r="H2209" s="1" t="s">
        <v>28</v>
      </c>
      <c r="I2209" s="2"/>
      <c r="K2209">
        <v>0.3</v>
      </c>
      <c r="L2209" s="1" t="s">
        <v>96</v>
      </c>
      <c r="M2209" s="1" t="s">
        <v>30</v>
      </c>
    </row>
    <row r="2210" spans="1:13" x14ac:dyDescent="0.25">
      <c r="A2210" s="1" t="s">
        <v>3406</v>
      </c>
      <c r="B2210" s="1" t="s">
        <v>88</v>
      </c>
      <c r="C2210" s="1" t="s">
        <v>635</v>
      </c>
      <c r="D2210" s="1" t="s">
        <v>46</v>
      </c>
      <c r="E2210" s="1" t="s">
        <v>47</v>
      </c>
      <c r="F2210" s="1" t="s">
        <v>40</v>
      </c>
      <c r="G2210">
        <v>235442</v>
      </c>
      <c r="H2210" s="1" t="s">
        <v>1971</v>
      </c>
      <c r="I2210" s="2">
        <v>45660</v>
      </c>
      <c r="J2210">
        <v>71</v>
      </c>
      <c r="K2210">
        <v>1.7</v>
      </c>
      <c r="L2210" s="1" t="s">
        <v>49</v>
      </c>
      <c r="M2210" s="1" t="s">
        <v>42</v>
      </c>
    </row>
    <row r="2211" spans="1:13" x14ac:dyDescent="0.25">
      <c r="A2211" s="1" t="s">
        <v>3407</v>
      </c>
      <c r="B2211" s="1" t="s">
        <v>88</v>
      </c>
      <c r="C2211" s="1" t="s">
        <v>1204</v>
      </c>
      <c r="D2211" s="1" t="s">
        <v>39</v>
      </c>
      <c r="E2211" s="1" t="s">
        <v>100</v>
      </c>
      <c r="F2211" s="1" t="s">
        <v>129</v>
      </c>
      <c r="G2211">
        <v>230459</v>
      </c>
      <c r="H2211" s="1" t="s">
        <v>1341</v>
      </c>
      <c r="I2211" s="2"/>
      <c r="K2211">
        <v>14.7</v>
      </c>
      <c r="L2211" s="1" t="s">
        <v>20</v>
      </c>
      <c r="M2211" s="1" t="s">
        <v>35</v>
      </c>
    </row>
    <row r="2212" spans="1:13" x14ac:dyDescent="0.25">
      <c r="A2212" s="1" t="s">
        <v>3408</v>
      </c>
      <c r="B2212" s="1" t="s">
        <v>127</v>
      </c>
      <c r="C2212" s="1" t="s">
        <v>355</v>
      </c>
      <c r="D2212" s="1" t="s">
        <v>67</v>
      </c>
      <c r="E2212" s="1" t="s">
        <v>26</v>
      </c>
      <c r="F2212" s="1" t="s">
        <v>18</v>
      </c>
      <c r="G2212">
        <v>330745</v>
      </c>
      <c r="H2212" s="1" t="s">
        <v>2574</v>
      </c>
      <c r="I2212" s="2">
        <v>45351</v>
      </c>
      <c r="J2212">
        <v>168</v>
      </c>
      <c r="K2212">
        <v>9.4</v>
      </c>
      <c r="L2212" s="1" t="s">
        <v>96</v>
      </c>
      <c r="M2212" s="1" t="s">
        <v>102</v>
      </c>
    </row>
    <row r="2213" spans="1:13" x14ac:dyDescent="0.25">
      <c r="A2213" s="1" t="s">
        <v>3409</v>
      </c>
      <c r="B2213" s="1" t="s">
        <v>23</v>
      </c>
      <c r="C2213" s="1" t="s">
        <v>192</v>
      </c>
      <c r="D2213" s="1" t="s">
        <v>39</v>
      </c>
      <c r="E2213" s="1" t="s">
        <v>26</v>
      </c>
      <c r="F2213" s="1" t="s">
        <v>53</v>
      </c>
      <c r="G2213">
        <v>428112</v>
      </c>
      <c r="H2213" s="1" t="s">
        <v>3410</v>
      </c>
      <c r="I2213" s="2"/>
      <c r="L2213" s="1" t="s">
        <v>49</v>
      </c>
      <c r="M2213" s="1" t="s">
        <v>30</v>
      </c>
    </row>
    <row r="2214" spans="1:13" x14ac:dyDescent="0.25">
      <c r="A2214" s="1" t="s">
        <v>3411</v>
      </c>
      <c r="B2214" s="1" t="s">
        <v>14</v>
      </c>
      <c r="C2214" s="1" t="s">
        <v>1415</v>
      </c>
      <c r="D2214" s="1" t="s">
        <v>39</v>
      </c>
      <c r="E2214" s="1" t="s">
        <v>26</v>
      </c>
      <c r="F2214" s="1" t="s">
        <v>129</v>
      </c>
      <c r="G2214">
        <v>462731</v>
      </c>
      <c r="H2214" s="1" t="s">
        <v>761</v>
      </c>
      <c r="I2214" s="2"/>
      <c r="L2214" s="1" t="s">
        <v>29</v>
      </c>
      <c r="M2214" s="1" t="s">
        <v>102</v>
      </c>
    </row>
    <row r="2215" spans="1:13" x14ac:dyDescent="0.25">
      <c r="A2215" s="1" t="s">
        <v>3412</v>
      </c>
      <c r="B2215" s="1" t="s">
        <v>75</v>
      </c>
      <c r="C2215" s="1" t="s">
        <v>1364</v>
      </c>
      <c r="D2215" s="1" t="s">
        <v>25</v>
      </c>
      <c r="E2215" s="1" t="s">
        <v>77</v>
      </c>
      <c r="F2215" s="1" t="s">
        <v>27</v>
      </c>
      <c r="G2215">
        <v>203618</v>
      </c>
      <c r="H2215" s="1" t="s">
        <v>807</v>
      </c>
      <c r="I2215" s="2"/>
      <c r="K2215">
        <v>6</v>
      </c>
      <c r="L2215" s="1" t="s">
        <v>29</v>
      </c>
      <c r="M2215" s="1" t="s">
        <v>102</v>
      </c>
    </row>
    <row r="2216" spans="1:13" x14ac:dyDescent="0.25">
      <c r="A2216" s="1" t="s">
        <v>3413</v>
      </c>
      <c r="B2216" s="1" t="s">
        <v>84</v>
      </c>
      <c r="C2216" s="1" t="s">
        <v>1087</v>
      </c>
      <c r="D2216" s="1" t="s">
        <v>25</v>
      </c>
      <c r="E2216" s="1" t="s">
        <v>77</v>
      </c>
      <c r="F2216" s="1" t="s">
        <v>18</v>
      </c>
      <c r="G2216">
        <v>224737</v>
      </c>
      <c r="H2216" s="1" t="s">
        <v>155</v>
      </c>
      <c r="I2216" s="2">
        <v>45854</v>
      </c>
      <c r="J2216">
        <v>125</v>
      </c>
      <c r="K2216">
        <v>6.2</v>
      </c>
      <c r="L2216" s="1" t="s">
        <v>96</v>
      </c>
      <c r="M2216" s="1" t="s">
        <v>63</v>
      </c>
    </row>
    <row r="2217" spans="1:13" x14ac:dyDescent="0.25">
      <c r="A2217" s="1" t="s">
        <v>3414</v>
      </c>
      <c r="B2217" s="1" t="s">
        <v>109</v>
      </c>
      <c r="C2217" s="1" t="s">
        <v>676</v>
      </c>
      <c r="D2217" s="1" t="s">
        <v>16</v>
      </c>
      <c r="E2217" s="1" t="s">
        <v>17</v>
      </c>
      <c r="F2217" s="1" t="s">
        <v>33</v>
      </c>
      <c r="G2217">
        <v>110949</v>
      </c>
      <c r="H2217" s="1" t="s">
        <v>407</v>
      </c>
      <c r="I2217" s="2"/>
      <c r="K2217">
        <v>4.8</v>
      </c>
      <c r="L2217" s="1" t="s">
        <v>96</v>
      </c>
      <c r="M2217" s="1" t="s">
        <v>107</v>
      </c>
    </row>
    <row r="2218" spans="1:13" x14ac:dyDescent="0.25">
      <c r="A2218" s="1" t="s">
        <v>3415</v>
      </c>
      <c r="B2218" s="1" t="s">
        <v>173</v>
      </c>
      <c r="C2218" s="1" t="s">
        <v>1742</v>
      </c>
      <c r="D2218" s="1" t="s">
        <v>25</v>
      </c>
      <c r="E2218" s="1" t="s">
        <v>26</v>
      </c>
      <c r="F2218" s="1" t="s">
        <v>129</v>
      </c>
      <c r="G2218">
        <v>180649</v>
      </c>
      <c r="H2218" s="1" t="s">
        <v>2212</v>
      </c>
      <c r="I2218" s="2"/>
      <c r="K2218">
        <v>5.6</v>
      </c>
      <c r="L2218" s="1" t="s">
        <v>20</v>
      </c>
      <c r="M2218" s="1" t="s">
        <v>63</v>
      </c>
    </row>
    <row r="2219" spans="1:13" x14ac:dyDescent="0.25">
      <c r="A2219" s="1" t="s">
        <v>3416</v>
      </c>
      <c r="B2219" s="1" t="s">
        <v>59</v>
      </c>
      <c r="C2219" s="1" t="s">
        <v>466</v>
      </c>
      <c r="D2219" s="1" t="s">
        <v>16</v>
      </c>
      <c r="E2219" s="1" t="s">
        <v>72</v>
      </c>
      <c r="F2219" s="1" t="s">
        <v>18</v>
      </c>
      <c r="G2219">
        <v>490146</v>
      </c>
      <c r="H2219" s="1" t="s">
        <v>1897</v>
      </c>
      <c r="I2219" s="2">
        <v>45110</v>
      </c>
      <c r="J2219">
        <v>170</v>
      </c>
      <c r="K2219">
        <v>9.6999999999999993</v>
      </c>
      <c r="L2219" s="1" t="s">
        <v>20</v>
      </c>
      <c r="M2219" s="1" t="s">
        <v>35</v>
      </c>
    </row>
    <row r="2220" spans="1:13" x14ac:dyDescent="0.25">
      <c r="A2220" s="1" t="s">
        <v>3417</v>
      </c>
      <c r="B2220" s="1" t="s">
        <v>75</v>
      </c>
      <c r="C2220" s="1" t="s">
        <v>912</v>
      </c>
      <c r="D2220" s="1" t="s">
        <v>90</v>
      </c>
      <c r="E2220" s="1" t="s">
        <v>100</v>
      </c>
      <c r="F2220" s="1" t="s">
        <v>18</v>
      </c>
      <c r="G2220">
        <v>63715</v>
      </c>
      <c r="H2220" s="1" t="s">
        <v>458</v>
      </c>
      <c r="I2220" s="2">
        <v>45217</v>
      </c>
      <c r="J2220">
        <v>78</v>
      </c>
      <c r="K2220">
        <v>14</v>
      </c>
      <c r="L2220" s="1" t="s">
        <v>49</v>
      </c>
      <c r="M2220" s="1" t="s">
        <v>102</v>
      </c>
    </row>
    <row r="2221" spans="1:13" x14ac:dyDescent="0.25">
      <c r="A2221" s="1" t="s">
        <v>3418</v>
      </c>
      <c r="B2221" s="1" t="s">
        <v>98</v>
      </c>
      <c r="C2221" s="1" t="s">
        <v>859</v>
      </c>
      <c r="D2221" s="1" t="s">
        <v>25</v>
      </c>
      <c r="E2221" s="1" t="s">
        <v>72</v>
      </c>
      <c r="F2221" s="1" t="s">
        <v>53</v>
      </c>
      <c r="G2221">
        <v>226851</v>
      </c>
      <c r="H2221" s="1" t="s">
        <v>3419</v>
      </c>
      <c r="I2221" s="2"/>
      <c r="K2221">
        <v>10.8</v>
      </c>
      <c r="L2221" s="1" t="s">
        <v>96</v>
      </c>
      <c r="M2221" s="1" t="s">
        <v>69</v>
      </c>
    </row>
    <row r="2222" spans="1:13" x14ac:dyDescent="0.25">
      <c r="A2222" s="1" t="s">
        <v>3420</v>
      </c>
      <c r="B2222" s="1" t="s">
        <v>98</v>
      </c>
      <c r="C2222" s="1" t="s">
        <v>352</v>
      </c>
      <c r="D2222" s="1" t="s">
        <v>90</v>
      </c>
      <c r="E2222" s="1" t="s">
        <v>72</v>
      </c>
      <c r="F2222" s="1" t="s">
        <v>53</v>
      </c>
      <c r="G2222">
        <v>180367</v>
      </c>
      <c r="H2222" s="1" t="s">
        <v>2990</v>
      </c>
      <c r="I2222" s="2"/>
      <c r="L2222" s="1" t="s">
        <v>49</v>
      </c>
      <c r="M2222" s="1" t="s">
        <v>35</v>
      </c>
    </row>
    <row r="2223" spans="1:13" x14ac:dyDescent="0.25">
      <c r="A2223" s="1" t="s">
        <v>3421</v>
      </c>
      <c r="B2223" s="1" t="s">
        <v>173</v>
      </c>
      <c r="C2223" s="1" t="s">
        <v>521</v>
      </c>
      <c r="D2223" s="1" t="s">
        <v>39</v>
      </c>
      <c r="E2223" s="1" t="s">
        <v>94</v>
      </c>
      <c r="F2223" s="1" t="s">
        <v>53</v>
      </c>
      <c r="G2223">
        <v>243766</v>
      </c>
      <c r="H2223" s="1" t="s">
        <v>1122</v>
      </c>
      <c r="I2223" s="2"/>
      <c r="K2223">
        <v>1.5</v>
      </c>
      <c r="L2223" s="1" t="s">
        <v>96</v>
      </c>
      <c r="M2223" s="1" t="s">
        <v>149</v>
      </c>
    </row>
    <row r="2224" spans="1:13" x14ac:dyDescent="0.25">
      <c r="A2224" s="1" t="s">
        <v>3422</v>
      </c>
      <c r="B2224" s="1" t="s">
        <v>104</v>
      </c>
      <c r="C2224" s="1" t="s">
        <v>1191</v>
      </c>
      <c r="D2224" s="1" t="s">
        <v>46</v>
      </c>
      <c r="E2224" s="1" t="s">
        <v>100</v>
      </c>
      <c r="F2224" s="1" t="s">
        <v>40</v>
      </c>
      <c r="G2224">
        <v>392657</v>
      </c>
      <c r="H2224" s="1" t="s">
        <v>963</v>
      </c>
      <c r="I2224" s="2">
        <v>45338</v>
      </c>
      <c r="J2224">
        <v>143</v>
      </c>
      <c r="K2224">
        <v>11.8</v>
      </c>
      <c r="L2224" s="1" t="s">
        <v>29</v>
      </c>
      <c r="M2224" s="1" t="s">
        <v>102</v>
      </c>
    </row>
    <row r="2225" spans="1:13" x14ac:dyDescent="0.25">
      <c r="A2225" s="1" t="s">
        <v>3423</v>
      </c>
      <c r="B2225" s="1" t="s">
        <v>51</v>
      </c>
      <c r="C2225" s="1" t="s">
        <v>141</v>
      </c>
      <c r="D2225" s="1" t="s">
        <v>46</v>
      </c>
      <c r="E2225" s="1" t="s">
        <v>72</v>
      </c>
      <c r="F2225" s="1" t="s">
        <v>40</v>
      </c>
      <c r="G2225">
        <v>234044</v>
      </c>
      <c r="H2225" s="1" t="s">
        <v>3424</v>
      </c>
      <c r="I2225" s="2">
        <v>45452</v>
      </c>
      <c r="J2225">
        <v>27</v>
      </c>
      <c r="K2225">
        <v>1.5</v>
      </c>
      <c r="L2225" s="1" t="s">
        <v>49</v>
      </c>
      <c r="M2225" s="1" t="s">
        <v>107</v>
      </c>
    </row>
    <row r="2226" spans="1:13" x14ac:dyDescent="0.25">
      <c r="A2226" s="1" t="s">
        <v>3425</v>
      </c>
      <c r="B2226" s="1" t="s">
        <v>23</v>
      </c>
      <c r="C2226" s="1" t="s">
        <v>574</v>
      </c>
      <c r="D2226" s="1" t="s">
        <v>90</v>
      </c>
      <c r="E2226" s="1" t="s">
        <v>77</v>
      </c>
      <c r="F2226" s="1" t="s">
        <v>33</v>
      </c>
      <c r="G2226">
        <v>29626</v>
      </c>
      <c r="H2226" s="1" t="s">
        <v>870</v>
      </c>
      <c r="I2226" s="2"/>
      <c r="L2226" s="1" t="s">
        <v>96</v>
      </c>
      <c r="M2226" s="1" t="s">
        <v>107</v>
      </c>
    </row>
    <row r="2227" spans="1:13" x14ac:dyDescent="0.25">
      <c r="A2227" s="1" t="s">
        <v>3426</v>
      </c>
      <c r="B2227" s="1" t="s">
        <v>88</v>
      </c>
      <c r="C2227" s="1" t="s">
        <v>1308</v>
      </c>
      <c r="D2227" s="1" t="s">
        <v>25</v>
      </c>
      <c r="E2227" s="1" t="s">
        <v>72</v>
      </c>
      <c r="F2227" s="1" t="s">
        <v>27</v>
      </c>
      <c r="G2227">
        <v>462303</v>
      </c>
      <c r="H2227" s="1" t="s">
        <v>2713</v>
      </c>
      <c r="I2227" s="2"/>
      <c r="K2227">
        <v>12.4</v>
      </c>
      <c r="L2227" s="1" t="s">
        <v>49</v>
      </c>
      <c r="M2227" s="1" t="s">
        <v>30</v>
      </c>
    </row>
    <row r="2228" spans="1:13" x14ac:dyDescent="0.25">
      <c r="A2228" s="1" t="s">
        <v>3427</v>
      </c>
      <c r="B2228" s="1" t="s">
        <v>37</v>
      </c>
      <c r="C2228" s="1" t="s">
        <v>255</v>
      </c>
      <c r="D2228" s="1" t="s">
        <v>67</v>
      </c>
      <c r="E2228" s="1" t="s">
        <v>47</v>
      </c>
      <c r="F2228" s="1" t="s">
        <v>40</v>
      </c>
      <c r="G2228">
        <v>246350</v>
      </c>
      <c r="H2228" s="1" t="s">
        <v>3428</v>
      </c>
      <c r="I2228" s="2">
        <v>45001</v>
      </c>
      <c r="J2228">
        <v>38</v>
      </c>
      <c r="K2228">
        <v>15.2</v>
      </c>
      <c r="L2228" s="1" t="s">
        <v>29</v>
      </c>
      <c r="M2228" s="1" t="s">
        <v>35</v>
      </c>
    </row>
    <row r="2229" spans="1:13" x14ac:dyDescent="0.25">
      <c r="A2229" s="1" t="s">
        <v>3429</v>
      </c>
      <c r="B2229" s="1" t="s">
        <v>88</v>
      </c>
      <c r="C2229" s="1" t="s">
        <v>1258</v>
      </c>
      <c r="D2229" s="1" t="s">
        <v>46</v>
      </c>
      <c r="E2229" s="1" t="s">
        <v>26</v>
      </c>
      <c r="F2229" s="1" t="s">
        <v>129</v>
      </c>
      <c r="G2229">
        <v>171512</v>
      </c>
      <c r="H2229" s="1" t="s">
        <v>242</v>
      </c>
      <c r="I2229" s="2"/>
      <c r="K2229">
        <v>7.3</v>
      </c>
      <c r="L2229" s="1" t="s">
        <v>20</v>
      </c>
      <c r="M2229" s="1" t="s">
        <v>30</v>
      </c>
    </row>
    <row r="2230" spans="1:13" x14ac:dyDescent="0.25">
      <c r="A2230" s="1" t="s">
        <v>3430</v>
      </c>
      <c r="B2230" s="1" t="s">
        <v>127</v>
      </c>
      <c r="C2230" s="1" t="s">
        <v>552</v>
      </c>
      <c r="D2230" s="1" t="s">
        <v>16</v>
      </c>
      <c r="E2230" s="1" t="s">
        <v>94</v>
      </c>
      <c r="F2230" s="1" t="s">
        <v>129</v>
      </c>
      <c r="G2230">
        <v>268021</v>
      </c>
      <c r="H2230" s="1" t="s">
        <v>1994</v>
      </c>
      <c r="I2230" s="2"/>
      <c r="K2230">
        <v>8.4</v>
      </c>
      <c r="L2230" s="1" t="s">
        <v>96</v>
      </c>
      <c r="M2230" s="1" t="s">
        <v>35</v>
      </c>
    </row>
    <row r="2231" spans="1:13" x14ac:dyDescent="0.25">
      <c r="A2231" s="1" t="s">
        <v>3431</v>
      </c>
      <c r="B2231" s="1" t="s">
        <v>127</v>
      </c>
      <c r="C2231" s="1" t="s">
        <v>865</v>
      </c>
      <c r="D2231" s="1" t="s">
        <v>67</v>
      </c>
      <c r="E2231" s="1" t="s">
        <v>77</v>
      </c>
      <c r="F2231" s="1" t="s">
        <v>129</v>
      </c>
      <c r="G2231">
        <v>461076</v>
      </c>
      <c r="H2231" s="1" t="s">
        <v>2169</v>
      </c>
      <c r="I2231" s="2"/>
      <c r="K2231">
        <v>2.5</v>
      </c>
      <c r="L2231" s="1" t="s">
        <v>49</v>
      </c>
      <c r="M2231" s="1" t="s">
        <v>42</v>
      </c>
    </row>
    <row r="2232" spans="1:13" x14ac:dyDescent="0.25">
      <c r="A2232" s="1" t="s">
        <v>3432</v>
      </c>
      <c r="B2232" s="1" t="s">
        <v>98</v>
      </c>
      <c r="C2232" s="1" t="s">
        <v>544</v>
      </c>
      <c r="D2232" s="1" t="s">
        <v>39</v>
      </c>
      <c r="E2232" s="1" t="s">
        <v>94</v>
      </c>
      <c r="F2232" s="1" t="s">
        <v>18</v>
      </c>
      <c r="G2232">
        <v>404291</v>
      </c>
      <c r="H2232" s="1" t="s">
        <v>1957</v>
      </c>
      <c r="I2232" s="2">
        <v>45704</v>
      </c>
      <c r="J2232">
        <v>68</v>
      </c>
      <c r="L2232" s="1" t="s">
        <v>96</v>
      </c>
      <c r="M2232" s="1" t="s">
        <v>42</v>
      </c>
    </row>
    <row r="2233" spans="1:13" x14ac:dyDescent="0.25">
      <c r="A2233" s="1" t="s">
        <v>3433</v>
      </c>
      <c r="B2233" s="1" t="s">
        <v>84</v>
      </c>
      <c r="C2233" s="1" t="s">
        <v>276</v>
      </c>
      <c r="D2233" s="1" t="s">
        <v>90</v>
      </c>
      <c r="E2233" s="1" t="s">
        <v>61</v>
      </c>
      <c r="F2233" s="1" t="s">
        <v>18</v>
      </c>
      <c r="G2233">
        <v>381351</v>
      </c>
      <c r="H2233" s="1" t="s">
        <v>763</v>
      </c>
      <c r="I2233" s="2">
        <v>45725</v>
      </c>
      <c r="J2233">
        <v>108</v>
      </c>
      <c r="K2233">
        <v>13.7</v>
      </c>
      <c r="L2233" s="1" t="s">
        <v>96</v>
      </c>
      <c r="M2233" s="1" t="s">
        <v>42</v>
      </c>
    </row>
    <row r="2234" spans="1:13" x14ac:dyDescent="0.25">
      <c r="A2234" s="1" t="s">
        <v>3434</v>
      </c>
      <c r="B2234" s="1" t="s">
        <v>98</v>
      </c>
      <c r="C2234" s="1" t="s">
        <v>1776</v>
      </c>
      <c r="D2234" s="1" t="s">
        <v>90</v>
      </c>
      <c r="E2234" s="1" t="s">
        <v>77</v>
      </c>
      <c r="F2234" s="1" t="s">
        <v>33</v>
      </c>
      <c r="G2234">
        <v>305174</v>
      </c>
      <c r="H2234" s="1" t="s">
        <v>3188</v>
      </c>
      <c r="I2234" s="2"/>
      <c r="L2234" s="1" t="s">
        <v>29</v>
      </c>
      <c r="M2234" s="1" t="s">
        <v>69</v>
      </c>
    </row>
    <row r="2235" spans="1:13" x14ac:dyDescent="0.25">
      <c r="A2235" s="1" t="s">
        <v>3435</v>
      </c>
      <c r="B2235" s="1" t="s">
        <v>98</v>
      </c>
      <c r="C2235" s="1" t="s">
        <v>805</v>
      </c>
      <c r="D2235" s="1" t="s">
        <v>39</v>
      </c>
      <c r="E2235" s="1" t="s">
        <v>100</v>
      </c>
      <c r="F2235" s="1" t="s">
        <v>129</v>
      </c>
      <c r="G2235">
        <v>76010</v>
      </c>
      <c r="H2235" s="1" t="s">
        <v>1012</v>
      </c>
      <c r="I2235" s="2"/>
      <c r="K2235">
        <v>6.9</v>
      </c>
      <c r="L2235" s="1" t="s">
        <v>29</v>
      </c>
      <c r="M2235" s="1" t="s">
        <v>42</v>
      </c>
    </row>
    <row r="2236" spans="1:13" x14ac:dyDescent="0.25">
      <c r="A2236" s="1" t="s">
        <v>3436</v>
      </c>
      <c r="B2236" s="1" t="s">
        <v>173</v>
      </c>
      <c r="C2236" s="1" t="s">
        <v>1455</v>
      </c>
      <c r="D2236" s="1" t="s">
        <v>39</v>
      </c>
      <c r="E2236" s="1" t="s">
        <v>100</v>
      </c>
      <c r="F2236" s="1" t="s">
        <v>18</v>
      </c>
      <c r="G2236">
        <v>241535</v>
      </c>
      <c r="H2236" s="1" t="s">
        <v>1637</v>
      </c>
      <c r="I2236" s="2">
        <v>45780</v>
      </c>
      <c r="J2236">
        <v>158</v>
      </c>
      <c r="K2236">
        <v>10.4</v>
      </c>
      <c r="L2236" s="1" t="s">
        <v>49</v>
      </c>
      <c r="M2236" s="1" t="s">
        <v>42</v>
      </c>
    </row>
    <row r="2237" spans="1:13" x14ac:dyDescent="0.25">
      <c r="A2237" s="1" t="s">
        <v>3437</v>
      </c>
      <c r="B2237" s="1" t="s">
        <v>75</v>
      </c>
      <c r="C2237" s="1" t="s">
        <v>1074</v>
      </c>
      <c r="D2237" s="1" t="s">
        <v>25</v>
      </c>
      <c r="E2237" s="1" t="s">
        <v>17</v>
      </c>
      <c r="F2237" s="1" t="s">
        <v>40</v>
      </c>
      <c r="G2237">
        <v>227386</v>
      </c>
      <c r="H2237" s="1" t="s">
        <v>3438</v>
      </c>
      <c r="I2237" s="2">
        <v>45372</v>
      </c>
      <c r="J2237">
        <v>104</v>
      </c>
      <c r="K2237">
        <v>15.9</v>
      </c>
      <c r="L2237" s="1" t="s">
        <v>96</v>
      </c>
      <c r="M2237" s="1" t="s">
        <v>21</v>
      </c>
    </row>
    <row r="2238" spans="1:13" x14ac:dyDescent="0.25">
      <c r="A2238" s="1" t="s">
        <v>3439</v>
      </c>
      <c r="B2238" s="1" t="s">
        <v>127</v>
      </c>
      <c r="C2238" s="1" t="s">
        <v>220</v>
      </c>
      <c r="D2238" s="1" t="s">
        <v>16</v>
      </c>
      <c r="E2238" s="1" t="s">
        <v>17</v>
      </c>
      <c r="F2238" s="1" t="s">
        <v>33</v>
      </c>
      <c r="G2238">
        <v>303076</v>
      </c>
      <c r="H2238" s="1" t="s">
        <v>608</v>
      </c>
      <c r="I2238" s="2"/>
      <c r="K2238">
        <v>12.5</v>
      </c>
      <c r="L2238" s="1" t="s">
        <v>20</v>
      </c>
      <c r="M2238" s="1" t="s">
        <v>102</v>
      </c>
    </row>
    <row r="2239" spans="1:13" x14ac:dyDescent="0.25">
      <c r="A2239" s="1" t="s">
        <v>3440</v>
      </c>
      <c r="B2239" s="1" t="s">
        <v>98</v>
      </c>
      <c r="C2239" s="1" t="s">
        <v>157</v>
      </c>
      <c r="D2239" s="1" t="s">
        <v>16</v>
      </c>
      <c r="E2239" s="1" t="s">
        <v>17</v>
      </c>
      <c r="F2239" s="1" t="s">
        <v>18</v>
      </c>
      <c r="G2239">
        <v>360211</v>
      </c>
      <c r="H2239" s="1" t="s">
        <v>721</v>
      </c>
      <c r="I2239" s="2">
        <v>45918</v>
      </c>
      <c r="J2239">
        <v>176</v>
      </c>
      <c r="K2239">
        <v>5.4</v>
      </c>
      <c r="L2239" s="1" t="s">
        <v>96</v>
      </c>
      <c r="M2239" s="1" t="s">
        <v>63</v>
      </c>
    </row>
    <row r="2240" spans="1:13" x14ac:dyDescent="0.25">
      <c r="A2240" s="1" t="s">
        <v>3441</v>
      </c>
      <c r="B2240" s="1" t="s">
        <v>109</v>
      </c>
      <c r="C2240" s="1" t="s">
        <v>596</v>
      </c>
      <c r="D2240" s="1" t="s">
        <v>39</v>
      </c>
      <c r="E2240" s="1" t="s">
        <v>47</v>
      </c>
      <c r="F2240" s="1" t="s">
        <v>40</v>
      </c>
      <c r="G2240">
        <v>146713</v>
      </c>
      <c r="H2240" s="1" t="s">
        <v>1208</v>
      </c>
      <c r="I2240" s="2">
        <v>45728</v>
      </c>
      <c r="J2240">
        <v>61</v>
      </c>
      <c r="K2240">
        <v>17.399999999999999</v>
      </c>
      <c r="L2240" s="1" t="s">
        <v>49</v>
      </c>
      <c r="M2240" s="1" t="s">
        <v>63</v>
      </c>
    </row>
    <row r="2241" spans="1:13" x14ac:dyDescent="0.25">
      <c r="A2241" s="1" t="s">
        <v>3442</v>
      </c>
      <c r="B2241" s="1" t="s">
        <v>44</v>
      </c>
      <c r="C2241" s="1" t="s">
        <v>144</v>
      </c>
      <c r="D2241" s="1" t="s">
        <v>67</v>
      </c>
      <c r="E2241" s="1" t="s">
        <v>77</v>
      </c>
      <c r="F2241" s="1" t="s">
        <v>27</v>
      </c>
      <c r="G2241">
        <v>16071</v>
      </c>
      <c r="H2241" s="1" t="s">
        <v>1483</v>
      </c>
      <c r="I2241" s="2"/>
      <c r="K2241">
        <v>11.1</v>
      </c>
      <c r="L2241" s="1" t="s">
        <v>29</v>
      </c>
      <c r="M2241" s="1" t="s">
        <v>102</v>
      </c>
    </row>
    <row r="2242" spans="1:13" x14ac:dyDescent="0.25">
      <c r="A2242" s="1" t="s">
        <v>3443</v>
      </c>
      <c r="B2242" s="1" t="s">
        <v>59</v>
      </c>
      <c r="C2242" s="1" t="s">
        <v>809</v>
      </c>
      <c r="D2242" s="1" t="s">
        <v>39</v>
      </c>
      <c r="E2242" s="1" t="s">
        <v>100</v>
      </c>
      <c r="F2242" s="1" t="s">
        <v>129</v>
      </c>
      <c r="G2242">
        <v>77815</v>
      </c>
      <c r="H2242" s="1" t="s">
        <v>1504</v>
      </c>
      <c r="I2242" s="2"/>
      <c r="K2242">
        <v>8.5</v>
      </c>
      <c r="L2242" s="1" t="s">
        <v>29</v>
      </c>
      <c r="M2242" s="1" t="s">
        <v>21</v>
      </c>
    </row>
    <row r="2243" spans="1:13" x14ac:dyDescent="0.25">
      <c r="A2243" s="1" t="s">
        <v>3444</v>
      </c>
      <c r="B2243" s="1" t="s">
        <v>23</v>
      </c>
      <c r="C2243" s="1" t="s">
        <v>1072</v>
      </c>
      <c r="D2243" s="1" t="s">
        <v>67</v>
      </c>
      <c r="E2243" s="1" t="s">
        <v>94</v>
      </c>
      <c r="F2243" s="1" t="s">
        <v>33</v>
      </c>
      <c r="G2243">
        <v>89081</v>
      </c>
      <c r="H2243" s="1" t="s">
        <v>1559</v>
      </c>
      <c r="I2243" s="2"/>
      <c r="K2243">
        <v>13</v>
      </c>
      <c r="L2243" s="1" t="s">
        <v>20</v>
      </c>
      <c r="M2243" s="1" t="s">
        <v>63</v>
      </c>
    </row>
    <row r="2244" spans="1:13" x14ac:dyDescent="0.25">
      <c r="A2244" s="1" t="s">
        <v>3445</v>
      </c>
      <c r="B2244" s="1" t="s">
        <v>14</v>
      </c>
      <c r="C2244" s="1" t="s">
        <v>877</v>
      </c>
      <c r="D2244" s="1" t="s">
        <v>39</v>
      </c>
      <c r="E2244" s="1" t="s">
        <v>94</v>
      </c>
      <c r="F2244" s="1" t="s">
        <v>18</v>
      </c>
      <c r="G2244">
        <v>447985</v>
      </c>
      <c r="H2244" s="1" t="s">
        <v>3108</v>
      </c>
      <c r="I2244" s="2">
        <v>45501</v>
      </c>
      <c r="J2244">
        <v>69</v>
      </c>
      <c r="K2244">
        <v>14.5</v>
      </c>
      <c r="L2244" s="1" t="s">
        <v>96</v>
      </c>
      <c r="M2244" s="1" t="s">
        <v>107</v>
      </c>
    </row>
    <row r="2245" spans="1:13" x14ac:dyDescent="0.25">
      <c r="A2245" s="1" t="s">
        <v>3446</v>
      </c>
      <c r="B2245" s="1" t="s">
        <v>84</v>
      </c>
      <c r="C2245" s="1" t="s">
        <v>1354</v>
      </c>
      <c r="D2245" s="1" t="s">
        <v>39</v>
      </c>
      <c r="E2245" s="1" t="s">
        <v>51</v>
      </c>
      <c r="F2245" s="1" t="s">
        <v>40</v>
      </c>
      <c r="G2245">
        <v>151461</v>
      </c>
      <c r="H2245" s="1" t="s">
        <v>158</v>
      </c>
      <c r="I2245" s="2">
        <v>45616</v>
      </c>
      <c r="J2245">
        <v>174</v>
      </c>
      <c r="K2245">
        <v>4.5999999999999996</v>
      </c>
      <c r="L2245" s="1" t="s">
        <v>96</v>
      </c>
      <c r="M2245" s="1" t="s">
        <v>107</v>
      </c>
    </row>
    <row r="2246" spans="1:13" x14ac:dyDescent="0.25">
      <c r="A2246" s="1" t="s">
        <v>3447</v>
      </c>
      <c r="B2246" s="1" t="s">
        <v>44</v>
      </c>
      <c r="C2246" s="1" t="s">
        <v>874</v>
      </c>
      <c r="D2246" s="1" t="s">
        <v>16</v>
      </c>
      <c r="E2246" s="1" t="s">
        <v>17</v>
      </c>
      <c r="F2246" s="1" t="s">
        <v>129</v>
      </c>
      <c r="G2246">
        <v>474732</v>
      </c>
      <c r="H2246" s="1" t="s">
        <v>1439</v>
      </c>
      <c r="I2246" s="2"/>
      <c r="K2246">
        <v>12.4</v>
      </c>
      <c r="L2246" s="1" t="s">
        <v>29</v>
      </c>
      <c r="M2246" s="1" t="s">
        <v>149</v>
      </c>
    </row>
    <row r="2247" spans="1:13" x14ac:dyDescent="0.25">
      <c r="A2247" s="1" t="s">
        <v>3448</v>
      </c>
      <c r="B2247" s="1" t="s">
        <v>98</v>
      </c>
      <c r="C2247" s="1" t="s">
        <v>295</v>
      </c>
      <c r="D2247" s="1" t="s">
        <v>16</v>
      </c>
      <c r="E2247" s="1" t="s">
        <v>100</v>
      </c>
      <c r="F2247" s="1" t="s">
        <v>53</v>
      </c>
      <c r="G2247">
        <v>46486</v>
      </c>
      <c r="H2247" s="1" t="s">
        <v>1716</v>
      </c>
      <c r="I2247" s="2"/>
      <c r="K2247">
        <v>10.6</v>
      </c>
      <c r="L2247" s="1" t="s">
        <v>96</v>
      </c>
      <c r="M2247" s="1" t="s">
        <v>30</v>
      </c>
    </row>
    <row r="2248" spans="1:13" x14ac:dyDescent="0.25">
      <c r="A2248" s="1" t="s">
        <v>3449</v>
      </c>
      <c r="B2248" s="1" t="s">
        <v>80</v>
      </c>
      <c r="C2248" s="1" t="s">
        <v>85</v>
      </c>
      <c r="D2248" s="1" t="s">
        <v>67</v>
      </c>
      <c r="E2248" s="1" t="s">
        <v>47</v>
      </c>
      <c r="F2248" s="1" t="s">
        <v>27</v>
      </c>
      <c r="G2248">
        <v>430748</v>
      </c>
      <c r="H2248" s="1" t="s">
        <v>542</v>
      </c>
      <c r="I2248" s="2"/>
      <c r="K2248">
        <v>4.0999999999999996</v>
      </c>
      <c r="L2248" s="1" t="s">
        <v>20</v>
      </c>
      <c r="M2248" s="1" t="s">
        <v>21</v>
      </c>
    </row>
    <row r="2249" spans="1:13" x14ac:dyDescent="0.25">
      <c r="A2249" s="1" t="s">
        <v>3450</v>
      </c>
      <c r="B2249" s="1" t="s">
        <v>44</v>
      </c>
      <c r="C2249" s="1" t="s">
        <v>603</v>
      </c>
      <c r="D2249" s="1" t="s">
        <v>16</v>
      </c>
      <c r="E2249" s="1" t="s">
        <v>100</v>
      </c>
      <c r="F2249" s="1" t="s">
        <v>129</v>
      </c>
      <c r="G2249">
        <v>460262</v>
      </c>
      <c r="H2249" s="1" t="s">
        <v>827</v>
      </c>
      <c r="I2249" s="2"/>
      <c r="L2249" s="1" t="s">
        <v>96</v>
      </c>
      <c r="M2249" s="1" t="s">
        <v>21</v>
      </c>
    </row>
    <row r="2250" spans="1:13" x14ac:dyDescent="0.25">
      <c r="A2250" s="1" t="s">
        <v>3451</v>
      </c>
      <c r="B2250" s="1" t="s">
        <v>173</v>
      </c>
      <c r="C2250" s="1" t="s">
        <v>1165</v>
      </c>
      <c r="D2250" s="1" t="s">
        <v>39</v>
      </c>
      <c r="E2250" s="1" t="s">
        <v>17</v>
      </c>
      <c r="F2250" s="1" t="s">
        <v>40</v>
      </c>
      <c r="G2250">
        <v>454136</v>
      </c>
      <c r="H2250" s="1" t="s">
        <v>816</v>
      </c>
      <c r="I2250" s="2">
        <v>45329</v>
      </c>
      <c r="J2250">
        <v>68</v>
      </c>
      <c r="K2250">
        <v>3.7</v>
      </c>
      <c r="L2250" s="1" t="s">
        <v>29</v>
      </c>
      <c r="M2250" s="1" t="s">
        <v>21</v>
      </c>
    </row>
    <row r="2251" spans="1:13" x14ac:dyDescent="0.25">
      <c r="A2251" s="1" t="s">
        <v>3452</v>
      </c>
      <c r="B2251" s="1" t="s">
        <v>65</v>
      </c>
      <c r="C2251" s="1" t="s">
        <v>316</v>
      </c>
      <c r="D2251" s="1" t="s">
        <v>25</v>
      </c>
      <c r="E2251" s="1" t="s">
        <v>72</v>
      </c>
      <c r="F2251" s="1" t="s">
        <v>18</v>
      </c>
      <c r="G2251">
        <v>432544</v>
      </c>
      <c r="H2251" s="1" t="s">
        <v>489</v>
      </c>
      <c r="I2251" s="2">
        <v>45037</v>
      </c>
      <c r="J2251">
        <v>19</v>
      </c>
      <c r="K2251">
        <v>6.2</v>
      </c>
      <c r="L2251" s="1" t="s">
        <v>96</v>
      </c>
      <c r="M2251" s="1" t="s">
        <v>30</v>
      </c>
    </row>
    <row r="2252" spans="1:13" x14ac:dyDescent="0.25">
      <c r="A2252" s="1" t="s">
        <v>3453</v>
      </c>
      <c r="B2252" s="1" t="s">
        <v>14</v>
      </c>
      <c r="C2252" s="1" t="s">
        <v>775</v>
      </c>
      <c r="D2252" s="1" t="s">
        <v>46</v>
      </c>
      <c r="E2252" s="1" t="s">
        <v>72</v>
      </c>
      <c r="F2252" s="1" t="s">
        <v>18</v>
      </c>
      <c r="G2252">
        <v>366866</v>
      </c>
      <c r="H2252" s="1" t="s">
        <v>1186</v>
      </c>
      <c r="I2252" s="2">
        <v>45108</v>
      </c>
      <c r="J2252">
        <v>151</v>
      </c>
      <c r="K2252">
        <v>11</v>
      </c>
      <c r="L2252" s="1" t="s">
        <v>49</v>
      </c>
      <c r="M2252" s="1" t="s">
        <v>35</v>
      </c>
    </row>
    <row r="2253" spans="1:13" x14ac:dyDescent="0.25">
      <c r="A2253" s="1" t="s">
        <v>3454</v>
      </c>
      <c r="B2253" s="1" t="s">
        <v>59</v>
      </c>
      <c r="C2253" s="1" t="s">
        <v>89</v>
      </c>
      <c r="D2253" s="1" t="s">
        <v>46</v>
      </c>
      <c r="E2253" s="1" t="s">
        <v>47</v>
      </c>
      <c r="F2253" s="1" t="s">
        <v>129</v>
      </c>
      <c r="G2253">
        <v>48000</v>
      </c>
      <c r="H2253" s="1" t="s">
        <v>833</v>
      </c>
      <c r="I2253" s="2"/>
      <c r="K2253">
        <v>8.6</v>
      </c>
      <c r="L2253" s="1" t="s">
        <v>96</v>
      </c>
      <c r="M2253" s="1" t="s">
        <v>21</v>
      </c>
    </row>
    <row r="2254" spans="1:13" x14ac:dyDescent="0.25">
      <c r="A2254" s="1" t="s">
        <v>3455</v>
      </c>
      <c r="B2254" s="1" t="s">
        <v>173</v>
      </c>
      <c r="C2254" s="1" t="s">
        <v>667</v>
      </c>
      <c r="D2254" s="1" t="s">
        <v>16</v>
      </c>
      <c r="E2254" s="1" t="s">
        <v>47</v>
      </c>
      <c r="F2254" s="1" t="s">
        <v>33</v>
      </c>
      <c r="G2254">
        <v>122106</v>
      </c>
      <c r="H2254" s="1" t="s">
        <v>3456</v>
      </c>
      <c r="I2254" s="2"/>
      <c r="K2254">
        <v>6.4</v>
      </c>
      <c r="L2254" s="1" t="s">
        <v>96</v>
      </c>
      <c r="M2254" s="1" t="s">
        <v>35</v>
      </c>
    </row>
    <row r="2255" spans="1:13" x14ac:dyDescent="0.25">
      <c r="A2255" s="1" t="s">
        <v>3457</v>
      </c>
      <c r="B2255" s="1" t="s">
        <v>44</v>
      </c>
      <c r="C2255" s="1" t="s">
        <v>2544</v>
      </c>
      <c r="D2255" s="1" t="s">
        <v>46</v>
      </c>
      <c r="E2255" s="1" t="s">
        <v>61</v>
      </c>
      <c r="F2255" s="1" t="s">
        <v>33</v>
      </c>
      <c r="G2255">
        <v>43535</v>
      </c>
      <c r="H2255" s="1" t="s">
        <v>152</v>
      </c>
      <c r="I2255" s="2"/>
      <c r="K2255">
        <v>9.1999999999999993</v>
      </c>
      <c r="L2255" s="1" t="s">
        <v>96</v>
      </c>
      <c r="M2255" s="1" t="s">
        <v>30</v>
      </c>
    </row>
    <row r="2256" spans="1:13" x14ac:dyDescent="0.25">
      <c r="A2256" s="1" t="s">
        <v>3458</v>
      </c>
      <c r="B2256" s="1" t="s">
        <v>127</v>
      </c>
      <c r="C2256" s="1" t="s">
        <v>162</v>
      </c>
      <c r="D2256" s="1" t="s">
        <v>90</v>
      </c>
      <c r="E2256" s="1" t="s">
        <v>77</v>
      </c>
      <c r="F2256" s="1" t="s">
        <v>18</v>
      </c>
      <c r="G2256">
        <v>372512</v>
      </c>
      <c r="H2256" s="1" t="s">
        <v>2657</v>
      </c>
      <c r="I2256" s="2">
        <v>45514</v>
      </c>
      <c r="J2256">
        <v>89</v>
      </c>
      <c r="K2256">
        <v>1.5</v>
      </c>
      <c r="L2256" s="1" t="s">
        <v>49</v>
      </c>
      <c r="M2256" s="1" t="s">
        <v>107</v>
      </c>
    </row>
    <row r="2257" spans="1:13" x14ac:dyDescent="0.25">
      <c r="A2257" s="1" t="s">
        <v>3459</v>
      </c>
      <c r="B2257" s="1" t="s">
        <v>80</v>
      </c>
      <c r="C2257" s="1" t="s">
        <v>52</v>
      </c>
      <c r="D2257" s="1" t="s">
        <v>16</v>
      </c>
      <c r="E2257" s="1" t="s">
        <v>94</v>
      </c>
      <c r="F2257" s="1" t="s">
        <v>40</v>
      </c>
      <c r="G2257">
        <v>202985</v>
      </c>
      <c r="H2257" s="1" t="s">
        <v>3016</v>
      </c>
      <c r="I2257" s="2">
        <v>45612</v>
      </c>
      <c r="J2257">
        <v>90</v>
      </c>
      <c r="K2257">
        <v>12.4</v>
      </c>
      <c r="L2257" s="1" t="s">
        <v>49</v>
      </c>
      <c r="M2257" s="1" t="s">
        <v>149</v>
      </c>
    </row>
    <row r="2258" spans="1:13" x14ac:dyDescent="0.25">
      <c r="A2258" s="1" t="s">
        <v>3460</v>
      </c>
      <c r="B2258" s="1" t="s">
        <v>65</v>
      </c>
      <c r="C2258" s="1" t="s">
        <v>165</v>
      </c>
      <c r="D2258" s="1" t="s">
        <v>16</v>
      </c>
      <c r="E2258" s="1" t="s">
        <v>94</v>
      </c>
      <c r="F2258" s="1" t="s">
        <v>18</v>
      </c>
      <c r="G2258">
        <v>340624</v>
      </c>
      <c r="H2258" s="1" t="s">
        <v>2657</v>
      </c>
      <c r="I2258" s="2">
        <v>45461</v>
      </c>
      <c r="J2258">
        <v>36</v>
      </c>
      <c r="L2258" s="1" t="s">
        <v>96</v>
      </c>
      <c r="M2258" s="1" t="s">
        <v>107</v>
      </c>
    </row>
    <row r="2259" spans="1:13" x14ac:dyDescent="0.25">
      <c r="A2259" s="1" t="s">
        <v>3461</v>
      </c>
      <c r="B2259" s="1" t="s">
        <v>14</v>
      </c>
      <c r="C2259" s="1" t="s">
        <v>298</v>
      </c>
      <c r="D2259" s="1" t="s">
        <v>90</v>
      </c>
      <c r="E2259" s="1" t="s">
        <v>72</v>
      </c>
      <c r="F2259" s="1" t="s">
        <v>40</v>
      </c>
      <c r="G2259">
        <v>305132</v>
      </c>
      <c r="H2259" s="1" t="s">
        <v>744</v>
      </c>
      <c r="I2259" s="2">
        <v>45827</v>
      </c>
      <c r="J2259">
        <v>176</v>
      </c>
      <c r="K2259">
        <v>14.4</v>
      </c>
      <c r="L2259" s="1" t="s">
        <v>49</v>
      </c>
      <c r="M2259" s="1" t="s">
        <v>42</v>
      </c>
    </row>
    <row r="2260" spans="1:13" x14ac:dyDescent="0.25">
      <c r="A2260" s="1" t="s">
        <v>3462</v>
      </c>
      <c r="B2260" s="1" t="s">
        <v>65</v>
      </c>
      <c r="C2260" s="1" t="s">
        <v>205</v>
      </c>
      <c r="D2260" s="1" t="s">
        <v>25</v>
      </c>
      <c r="E2260" s="1" t="s">
        <v>100</v>
      </c>
      <c r="F2260" s="1" t="s">
        <v>53</v>
      </c>
      <c r="G2260">
        <v>376820</v>
      </c>
      <c r="H2260" s="1" t="s">
        <v>404</v>
      </c>
      <c r="I2260" s="2"/>
      <c r="K2260">
        <v>12.4</v>
      </c>
      <c r="L2260" s="1" t="s">
        <v>96</v>
      </c>
      <c r="M2260" s="1" t="s">
        <v>149</v>
      </c>
    </row>
    <row r="2261" spans="1:13" x14ac:dyDescent="0.25">
      <c r="A2261" s="1" t="s">
        <v>3463</v>
      </c>
      <c r="B2261" s="1" t="s">
        <v>80</v>
      </c>
      <c r="C2261" s="1" t="s">
        <v>528</v>
      </c>
      <c r="D2261" s="1" t="s">
        <v>25</v>
      </c>
      <c r="E2261" s="1" t="s">
        <v>26</v>
      </c>
      <c r="F2261" s="1" t="s">
        <v>40</v>
      </c>
      <c r="G2261">
        <v>201292</v>
      </c>
      <c r="H2261" s="1" t="s">
        <v>1048</v>
      </c>
      <c r="I2261" s="2">
        <v>45233</v>
      </c>
      <c r="J2261">
        <v>123</v>
      </c>
      <c r="K2261">
        <v>9.6</v>
      </c>
      <c r="L2261" s="1" t="s">
        <v>96</v>
      </c>
      <c r="M2261" s="1" t="s">
        <v>102</v>
      </c>
    </row>
    <row r="2262" spans="1:13" x14ac:dyDescent="0.25">
      <c r="A2262" s="1" t="s">
        <v>3464</v>
      </c>
      <c r="B2262" s="1" t="s">
        <v>109</v>
      </c>
      <c r="C2262" s="1" t="s">
        <v>287</v>
      </c>
      <c r="D2262" s="1" t="s">
        <v>25</v>
      </c>
      <c r="E2262" s="1" t="s">
        <v>17</v>
      </c>
      <c r="F2262" s="1" t="s">
        <v>40</v>
      </c>
      <c r="G2262">
        <v>244725</v>
      </c>
      <c r="H2262" s="1" t="s">
        <v>2713</v>
      </c>
      <c r="I2262" s="2">
        <v>45145</v>
      </c>
      <c r="J2262">
        <v>61</v>
      </c>
      <c r="K2262">
        <v>9.9</v>
      </c>
      <c r="L2262" s="1" t="s">
        <v>49</v>
      </c>
      <c r="M2262" s="1" t="s">
        <v>30</v>
      </c>
    </row>
    <row r="2263" spans="1:13" x14ac:dyDescent="0.25">
      <c r="A2263" s="1" t="s">
        <v>551</v>
      </c>
      <c r="B2263" s="1" t="s">
        <v>173</v>
      </c>
      <c r="C2263" s="1" t="s">
        <v>552</v>
      </c>
      <c r="D2263" s="1" t="s">
        <v>39</v>
      </c>
      <c r="E2263" s="1" t="s">
        <v>72</v>
      </c>
      <c r="F2263" s="1" t="s">
        <v>18</v>
      </c>
      <c r="G2263">
        <v>207090</v>
      </c>
      <c r="H2263" s="1" t="s">
        <v>553</v>
      </c>
      <c r="I2263" s="2">
        <v>45234</v>
      </c>
      <c r="J2263">
        <v>78</v>
      </c>
      <c r="L2263" s="1" t="s">
        <v>96</v>
      </c>
      <c r="M2263" s="1" t="s">
        <v>102</v>
      </c>
    </row>
    <row r="2264" spans="1:13" x14ac:dyDescent="0.25">
      <c r="A2264" s="1" t="s">
        <v>3465</v>
      </c>
      <c r="B2264" s="1" t="s">
        <v>65</v>
      </c>
      <c r="C2264" s="1" t="s">
        <v>466</v>
      </c>
      <c r="D2264" s="1" t="s">
        <v>25</v>
      </c>
      <c r="E2264" s="1" t="s">
        <v>17</v>
      </c>
      <c r="F2264" s="1" t="s">
        <v>33</v>
      </c>
      <c r="G2264">
        <v>368761</v>
      </c>
      <c r="H2264" s="1" t="s">
        <v>95</v>
      </c>
      <c r="I2264" s="2"/>
      <c r="K2264">
        <v>14.5</v>
      </c>
      <c r="L2264" s="1" t="s">
        <v>29</v>
      </c>
      <c r="M2264" s="1" t="s">
        <v>42</v>
      </c>
    </row>
    <row r="2265" spans="1:13" x14ac:dyDescent="0.25">
      <c r="A2265" s="1" t="s">
        <v>3466</v>
      </c>
      <c r="B2265" s="1" t="s">
        <v>75</v>
      </c>
      <c r="C2265" s="1" t="s">
        <v>571</v>
      </c>
      <c r="D2265" s="1" t="s">
        <v>39</v>
      </c>
      <c r="E2265" s="1" t="s">
        <v>77</v>
      </c>
      <c r="F2265" s="1" t="s">
        <v>27</v>
      </c>
      <c r="G2265">
        <v>466837</v>
      </c>
      <c r="H2265" s="1" t="s">
        <v>3410</v>
      </c>
      <c r="I2265" s="2"/>
      <c r="L2265" s="1" t="s">
        <v>96</v>
      </c>
      <c r="M2265" s="1" t="s">
        <v>30</v>
      </c>
    </row>
    <row r="2266" spans="1:13" x14ac:dyDescent="0.25">
      <c r="A2266" s="1" t="s">
        <v>3467</v>
      </c>
      <c r="B2266" s="1" t="s">
        <v>65</v>
      </c>
      <c r="C2266" s="1" t="s">
        <v>71</v>
      </c>
      <c r="D2266" s="1" t="s">
        <v>25</v>
      </c>
      <c r="E2266" s="1" t="s">
        <v>17</v>
      </c>
      <c r="F2266" s="1" t="s">
        <v>33</v>
      </c>
      <c r="G2266">
        <v>203142</v>
      </c>
      <c r="H2266" s="1" t="s">
        <v>1832</v>
      </c>
      <c r="I2266" s="2"/>
      <c r="L2266" s="1" t="s">
        <v>29</v>
      </c>
      <c r="M2266" s="1" t="s">
        <v>102</v>
      </c>
    </row>
    <row r="2267" spans="1:13" x14ac:dyDescent="0.25">
      <c r="A2267" s="1" t="s">
        <v>3468</v>
      </c>
      <c r="B2267" s="1" t="s">
        <v>65</v>
      </c>
      <c r="C2267" s="1" t="s">
        <v>415</v>
      </c>
      <c r="D2267" s="1" t="s">
        <v>46</v>
      </c>
      <c r="E2267" s="1" t="s">
        <v>72</v>
      </c>
      <c r="F2267" s="1" t="s">
        <v>129</v>
      </c>
      <c r="G2267">
        <v>272274</v>
      </c>
      <c r="H2267" s="1" t="s">
        <v>1270</v>
      </c>
      <c r="I2267" s="2"/>
      <c r="K2267">
        <v>10</v>
      </c>
      <c r="L2267" s="1" t="s">
        <v>49</v>
      </c>
      <c r="M2267" s="1" t="s">
        <v>107</v>
      </c>
    </row>
    <row r="2268" spans="1:13" x14ac:dyDescent="0.25">
      <c r="A2268" s="1" t="s">
        <v>3469</v>
      </c>
      <c r="B2268" s="1" t="s">
        <v>37</v>
      </c>
      <c r="C2268" s="1" t="s">
        <v>460</v>
      </c>
      <c r="D2268" s="1" t="s">
        <v>39</v>
      </c>
      <c r="E2268" s="1" t="s">
        <v>17</v>
      </c>
      <c r="F2268" s="1" t="s">
        <v>40</v>
      </c>
      <c r="G2268">
        <v>404291</v>
      </c>
      <c r="H2268" s="1" t="s">
        <v>1286</v>
      </c>
      <c r="I2268" s="2">
        <v>45520</v>
      </c>
      <c r="J2268">
        <v>34</v>
      </c>
      <c r="K2268">
        <v>8.9</v>
      </c>
      <c r="L2268" s="1" t="s">
        <v>29</v>
      </c>
      <c r="M2268" s="1" t="s">
        <v>149</v>
      </c>
    </row>
    <row r="2269" spans="1:13" x14ac:dyDescent="0.25">
      <c r="A2269" s="1" t="s">
        <v>3470</v>
      </c>
      <c r="B2269" s="1" t="s">
        <v>65</v>
      </c>
      <c r="C2269" s="1" t="s">
        <v>1018</v>
      </c>
      <c r="D2269" s="1" t="s">
        <v>90</v>
      </c>
      <c r="E2269" s="1" t="s">
        <v>47</v>
      </c>
      <c r="F2269" s="1" t="s">
        <v>33</v>
      </c>
      <c r="G2269">
        <v>284945</v>
      </c>
      <c r="H2269" s="1" t="s">
        <v>201</v>
      </c>
      <c r="I2269" s="2"/>
      <c r="K2269">
        <v>7.8</v>
      </c>
      <c r="L2269" s="1" t="s">
        <v>20</v>
      </c>
      <c r="M2269" s="1" t="s">
        <v>21</v>
      </c>
    </row>
    <row r="2270" spans="1:13" x14ac:dyDescent="0.25">
      <c r="A2270" s="1" t="s">
        <v>3471</v>
      </c>
      <c r="B2270" s="1" t="s">
        <v>44</v>
      </c>
      <c r="C2270" s="1" t="s">
        <v>119</v>
      </c>
      <c r="D2270" s="1" t="s">
        <v>46</v>
      </c>
      <c r="E2270" s="1" t="s">
        <v>100</v>
      </c>
      <c r="F2270" s="1" t="s">
        <v>129</v>
      </c>
      <c r="G2270">
        <v>407798</v>
      </c>
      <c r="H2270" s="1" t="s">
        <v>3472</v>
      </c>
      <c r="I2270" s="2"/>
      <c r="K2270">
        <v>13</v>
      </c>
      <c r="L2270" s="1" t="s">
        <v>29</v>
      </c>
      <c r="M2270" s="1" t="s">
        <v>149</v>
      </c>
    </row>
    <row r="2271" spans="1:13" x14ac:dyDescent="0.25">
      <c r="A2271" s="1" t="s">
        <v>3473</v>
      </c>
      <c r="B2271" s="1" t="s">
        <v>84</v>
      </c>
      <c r="C2271" s="1" t="s">
        <v>552</v>
      </c>
      <c r="D2271" s="1" t="s">
        <v>67</v>
      </c>
      <c r="E2271" s="1" t="s">
        <v>77</v>
      </c>
      <c r="F2271" s="1" t="s">
        <v>53</v>
      </c>
      <c r="G2271">
        <v>200654</v>
      </c>
      <c r="H2271" s="1" t="s">
        <v>2715</v>
      </c>
      <c r="I2271" s="2"/>
      <c r="K2271">
        <v>13</v>
      </c>
      <c r="L2271" s="1" t="s">
        <v>20</v>
      </c>
      <c r="M2271" s="1" t="s">
        <v>107</v>
      </c>
    </row>
    <row r="2272" spans="1:13" x14ac:dyDescent="0.25">
      <c r="A2272" s="1" t="s">
        <v>3474</v>
      </c>
      <c r="B2272" s="1" t="s">
        <v>127</v>
      </c>
      <c r="C2272" s="1" t="s">
        <v>614</v>
      </c>
      <c r="D2272" s="1" t="s">
        <v>16</v>
      </c>
      <c r="E2272" s="1" t="s">
        <v>100</v>
      </c>
      <c r="F2272" s="1" t="s">
        <v>40</v>
      </c>
      <c r="G2272">
        <v>143599</v>
      </c>
      <c r="H2272" s="1" t="s">
        <v>145</v>
      </c>
      <c r="I2272" s="2">
        <v>45776</v>
      </c>
      <c r="J2272">
        <v>77</v>
      </c>
      <c r="K2272">
        <v>19.899999999999999</v>
      </c>
      <c r="L2272" s="1" t="s">
        <v>49</v>
      </c>
      <c r="M2272" s="1" t="s">
        <v>63</v>
      </c>
    </row>
    <row r="2273" spans="1:13" x14ac:dyDescent="0.25">
      <c r="A2273" s="1" t="s">
        <v>3475</v>
      </c>
      <c r="B2273" s="1" t="s">
        <v>51</v>
      </c>
      <c r="C2273" s="1" t="s">
        <v>1165</v>
      </c>
      <c r="D2273" s="1" t="s">
        <v>25</v>
      </c>
      <c r="E2273" s="1" t="s">
        <v>94</v>
      </c>
      <c r="F2273" s="1" t="s">
        <v>129</v>
      </c>
      <c r="G2273">
        <v>237351</v>
      </c>
      <c r="H2273" s="1" t="s">
        <v>1244</v>
      </c>
      <c r="I2273" s="2"/>
      <c r="K2273">
        <v>8.1</v>
      </c>
      <c r="L2273" s="1" t="s">
        <v>20</v>
      </c>
      <c r="M2273" s="1" t="s">
        <v>149</v>
      </c>
    </row>
    <row r="2274" spans="1:13" x14ac:dyDescent="0.25">
      <c r="A2274" s="1" t="s">
        <v>3476</v>
      </c>
      <c r="B2274" s="1" t="s">
        <v>44</v>
      </c>
      <c r="C2274" s="1" t="s">
        <v>939</v>
      </c>
      <c r="D2274" s="1" t="s">
        <v>90</v>
      </c>
      <c r="E2274" s="1" t="s">
        <v>94</v>
      </c>
      <c r="F2274" s="1" t="s">
        <v>27</v>
      </c>
      <c r="G2274">
        <v>382535</v>
      </c>
      <c r="H2274" s="1" t="s">
        <v>2728</v>
      </c>
      <c r="I2274" s="2"/>
      <c r="K2274">
        <v>1.7</v>
      </c>
      <c r="L2274" s="1" t="s">
        <v>29</v>
      </c>
      <c r="M2274" s="1" t="s">
        <v>30</v>
      </c>
    </row>
    <row r="2275" spans="1:13" x14ac:dyDescent="0.25">
      <c r="A2275" s="1" t="s">
        <v>3477</v>
      </c>
      <c r="B2275" s="1" t="s">
        <v>23</v>
      </c>
      <c r="C2275" s="1" t="s">
        <v>1157</v>
      </c>
      <c r="D2275" s="1" t="s">
        <v>67</v>
      </c>
      <c r="E2275" s="1" t="s">
        <v>72</v>
      </c>
      <c r="F2275" s="1" t="s">
        <v>53</v>
      </c>
      <c r="G2275">
        <v>111475</v>
      </c>
      <c r="H2275" s="1" t="s">
        <v>3397</v>
      </c>
      <c r="I2275" s="2"/>
      <c r="L2275" s="1" t="s">
        <v>20</v>
      </c>
      <c r="M2275" s="1" t="s">
        <v>42</v>
      </c>
    </row>
    <row r="2276" spans="1:13" x14ac:dyDescent="0.25">
      <c r="A2276" s="1" t="s">
        <v>3478</v>
      </c>
      <c r="B2276" s="1" t="s">
        <v>173</v>
      </c>
      <c r="C2276" s="1" t="s">
        <v>119</v>
      </c>
      <c r="D2276" s="1" t="s">
        <v>39</v>
      </c>
      <c r="E2276" s="1" t="s">
        <v>47</v>
      </c>
      <c r="F2276" s="1" t="s">
        <v>27</v>
      </c>
      <c r="G2276">
        <v>258349</v>
      </c>
      <c r="H2276" s="1" t="s">
        <v>3001</v>
      </c>
      <c r="I2276" s="2"/>
      <c r="K2276">
        <v>7.5</v>
      </c>
      <c r="L2276" s="1" t="s">
        <v>49</v>
      </c>
      <c r="M2276" s="1" t="s">
        <v>107</v>
      </c>
    </row>
    <row r="2277" spans="1:13" x14ac:dyDescent="0.25">
      <c r="A2277" s="1" t="s">
        <v>3479</v>
      </c>
      <c r="B2277" s="1" t="s">
        <v>65</v>
      </c>
      <c r="C2277" s="1" t="s">
        <v>1582</v>
      </c>
      <c r="D2277" s="1" t="s">
        <v>39</v>
      </c>
      <c r="E2277" s="1" t="s">
        <v>26</v>
      </c>
      <c r="F2277" s="1" t="s">
        <v>27</v>
      </c>
      <c r="G2277">
        <v>112030</v>
      </c>
      <c r="H2277" s="1" t="s">
        <v>902</v>
      </c>
      <c r="I2277" s="2"/>
      <c r="K2277">
        <v>12.1</v>
      </c>
      <c r="L2277" s="1" t="s">
        <v>29</v>
      </c>
      <c r="M2277" s="1" t="s">
        <v>149</v>
      </c>
    </row>
    <row r="2278" spans="1:13" x14ac:dyDescent="0.25">
      <c r="A2278" s="1" t="s">
        <v>3480</v>
      </c>
      <c r="B2278" s="1" t="s">
        <v>14</v>
      </c>
      <c r="C2278" s="1" t="s">
        <v>662</v>
      </c>
      <c r="D2278" s="1" t="s">
        <v>39</v>
      </c>
      <c r="E2278" s="1" t="s">
        <v>47</v>
      </c>
      <c r="F2278" s="1" t="s">
        <v>129</v>
      </c>
      <c r="G2278">
        <v>324459</v>
      </c>
      <c r="H2278" s="1" t="s">
        <v>347</v>
      </c>
      <c r="I2278" s="2"/>
      <c r="K2278">
        <v>6.2</v>
      </c>
      <c r="L2278" s="1" t="s">
        <v>96</v>
      </c>
      <c r="M2278" s="1" t="s">
        <v>69</v>
      </c>
    </row>
    <row r="2279" spans="1:13" x14ac:dyDescent="0.25">
      <c r="A2279" s="1" t="s">
        <v>3481</v>
      </c>
      <c r="B2279" s="1" t="s">
        <v>104</v>
      </c>
      <c r="C2279" s="1" t="s">
        <v>1170</v>
      </c>
      <c r="D2279" s="1" t="s">
        <v>46</v>
      </c>
      <c r="E2279" s="1" t="s">
        <v>100</v>
      </c>
      <c r="F2279" s="1" t="s">
        <v>18</v>
      </c>
      <c r="G2279">
        <v>319669</v>
      </c>
      <c r="H2279" s="1" t="s">
        <v>2283</v>
      </c>
      <c r="I2279" s="2">
        <v>45493</v>
      </c>
      <c r="J2279">
        <v>31</v>
      </c>
      <c r="K2279">
        <v>3.1</v>
      </c>
      <c r="L2279" s="1" t="s">
        <v>49</v>
      </c>
      <c r="M2279" s="1" t="s">
        <v>107</v>
      </c>
    </row>
    <row r="2280" spans="1:13" x14ac:dyDescent="0.25">
      <c r="A2280" s="1" t="s">
        <v>3482</v>
      </c>
      <c r="B2280" s="1" t="s">
        <v>127</v>
      </c>
      <c r="C2280" s="1" t="s">
        <v>1121</v>
      </c>
      <c r="D2280" s="1" t="s">
        <v>39</v>
      </c>
      <c r="E2280" s="1" t="s">
        <v>94</v>
      </c>
      <c r="F2280" s="1" t="s">
        <v>40</v>
      </c>
      <c r="G2280">
        <v>419435</v>
      </c>
      <c r="H2280" s="1" t="s">
        <v>3483</v>
      </c>
      <c r="I2280" s="2">
        <v>45151</v>
      </c>
      <c r="J2280">
        <v>153</v>
      </c>
      <c r="K2280">
        <v>9.6</v>
      </c>
      <c r="L2280" s="1" t="s">
        <v>20</v>
      </c>
      <c r="M2280" s="1" t="s">
        <v>35</v>
      </c>
    </row>
    <row r="2281" spans="1:13" x14ac:dyDescent="0.25">
      <c r="A2281" s="1" t="s">
        <v>3484</v>
      </c>
      <c r="B2281" s="1" t="s">
        <v>59</v>
      </c>
      <c r="C2281" s="1" t="s">
        <v>298</v>
      </c>
      <c r="D2281" s="1" t="s">
        <v>25</v>
      </c>
      <c r="E2281" s="1" t="s">
        <v>94</v>
      </c>
      <c r="F2281" s="1" t="s">
        <v>33</v>
      </c>
      <c r="G2281">
        <v>496070</v>
      </c>
      <c r="H2281" s="1" t="s">
        <v>184</v>
      </c>
      <c r="I2281" s="2"/>
      <c r="L2281" s="1" t="s">
        <v>20</v>
      </c>
      <c r="M2281" s="1" t="s">
        <v>107</v>
      </c>
    </row>
    <row r="2282" spans="1:13" x14ac:dyDescent="0.25">
      <c r="A2282" s="1" t="s">
        <v>3485</v>
      </c>
      <c r="B2282" s="1" t="s">
        <v>59</v>
      </c>
      <c r="C2282" s="1" t="s">
        <v>1914</v>
      </c>
      <c r="D2282" s="1" t="s">
        <v>90</v>
      </c>
      <c r="E2282" s="1" t="s">
        <v>61</v>
      </c>
      <c r="F2282" s="1" t="s">
        <v>53</v>
      </c>
      <c r="G2282">
        <v>398862</v>
      </c>
      <c r="H2282" s="1" t="s">
        <v>569</v>
      </c>
      <c r="I2282" s="2"/>
      <c r="L2282" s="1" t="s">
        <v>96</v>
      </c>
      <c r="M2282" s="1" t="s">
        <v>30</v>
      </c>
    </row>
    <row r="2283" spans="1:13" x14ac:dyDescent="0.25">
      <c r="A2283" s="1" t="s">
        <v>3228</v>
      </c>
      <c r="B2283" s="1" t="s">
        <v>37</v>
      </c>
      <c r="C2283" s="1" t="s">
        <v>809</v>
      </c>
      <c r="D2283" s="1" t="s">
        <v>67</v>
      </c>
      <c r="E2283" s="1" t="s">
        <v>61</v>
      </c>
      <c r="F2283" s="1" t="s">
        <v>129</v>
      </c>
      <c r="G2283">
        <v>487127</v>
      </c>
      <c r="H2283" s="1" t="s">
        <v>2620</v>
      </c>
      <c r="I2283" s="2"/>
      <c r="L2283" s="1" t="s">
        <v>20</v>
      </c>
      <c r="M2283" s="1" t="s">
        <v>21</v>
      </c>
    </row>
    <row r="2284" spans="1:13" x14ac:dyDescent="0.25">
      <c r="A2284" s="1" t="s">
        <v>3486</v>
      </c>
      <c r="B2284" s="1" t="s">
        <v>14</v>
      </c>
      <c r="C2284" s="1" t="s">
        <v>224</v>
      </c>
      <c r="D2284" s="1" t="s">
        <v>16</v>
      </c>
      <c r="E2284" s="1" t="s">
        <v>94</v>
      </c>
      <c r="F2284" s="1" t="s">
        <v>129</v>
      </c>
      <c r="G2284">
        <v>102696</v>
      </c>
      <c r="H2284" s="1" t="s">
        <v>1400</v>
      </c>
      <c r="I2284" s="2"/>
      <c r="K2284">
        <v>12.3</v>
      </c>
      <c r="L2284" s="1" t="s">
        <v>20</v>
      </c>
      <c r="M2284" s="1" t="s">
        <v>102</v>
      </c>
    </row>
    <row r="2285" spans="1:13" x14ac:dyDescent="0.25">
      <c r="A2285" s="1" t="s">
        <v>3487</v>
      </c>
      <c r="B2285" s="1" t="s">
        <v>98</v>
      </c>
      <c r="C2285" s="1" t="s">
        <v>558</v>
      </c>
      <c r="D2285" s="1" t="s">
        <v>25</v>
      </c>
      <c r="E2285" s="1" t="s">
        <v>72</v>
      </c>
      <c r="F2285" s="1" t="s">
        <v>18</v>
      </c>
      <c r="G2285">
        <v>325737</v>
      </c>
      <c r="H2285" s="1" t="s">
        <v>2706</v>
      </c>
      <c r="I2285" s="2">
        <v>45276</v>
      </c>
      <c r="J2285">
        <v>51</v>
      </c>
      <c r="L2285" s="1" t="s">
        <v>49</v>
      </c>
      <c r="M2285" s="1" t="s">
        <v>21</v>
      </c>
    </row>
    <row r="2286" spans="1:13" x14ac:dyDescent="0.25">
      <c r="A2286" s="1" t="s">
        <v>3353</v>
      </c>
      <c r="B2286" s="1" t="s">
        <v>14</v>
      </c>
      <c r="C2286" s="1" t="s">
        <v>939</v>
      </c>
      <c r="D2286" s="1" t="s">
        <v>67</v>
      </c>
      <c r="E2286" s="1" t="s">
        <v>17</v>
      </c>
      <c r="F2286" s="1" t="s">
        <v>27</v>
      </c>
      <c r="G2286">
        <v>331871</v>
      </c>
      <c r="H2286" s="1" t="s">
        <v>3354</v>
      </c>
      <c r="I2286" s="2"/>
      <c r="L2286" s="1" t="s">
        <v>96</v>
      </c>
      <c r="M2286" s="1" t="s">
        <v>21</v>
      </c>
    </row>
    <row r="2287" spans="1:13" x14ac:dyDescent="0.25">
      <c r="A2287" s="1" t="s">
        <v>3488</v>
      </c>
      <c r="B2287" s="1" t="s">
        <v>109</v>
      </c>
      <c r="C2287" s="1" t="s">
        <v>635</v>
      </c>
      <c r="D2287" s="1" t="s">
        <v>16</v>
      </c>
      <c r="E2287" s="1" t="s">
        <v>77</v>
      </c>
      <c r="F2287" s="1" t="s">
        <v>53</v>
      </c>
      <c r="G2287">
        <v>184123</v>
      </c>
      <c r="H2287" s="1" t="s">
        <v>1990</v>
      </c>
      <c r="I2287" s="2"/>
      <c r="K2287">
        <v>9</v>
      </c>
      <c r="L2287" s="1" t="s">
        <v>20</v>
      </c>
      <c r="M2287" s="1" t="s">
        <v>35</v>
      </c>
    </row>
    <row r="2288" spans="1:13" x14ac:dyDescent="0.25">
      <c r="A2288" s="1" t="s">
        <v>3489</v>
      </c>
      <c r="B2288" s="1" t="s">
        <v>65</v>
      </c>
      <c r="C2288" s="1" t="s">
        <v>583</v>
      </c>
      <c r="D2288" s="1" t="s">
        <v>90</v>
      </c>
      <c r="E2288" s="1" t="s">
        <v>51</v>
      </c>
      <c r="F2288" s="1" t="s">
        <v>18</v>
      </c>
      <c r="G2288">
        <v>28913</v>
      </c>
      <c r="H2288" s="1" t="s">
        <v>1036</v>
      </c>
      <c r="I2288" s="2">
        <v>45849</v>
      </c>
      <c r="J2288">
        <v>149</v>
      </c>
      <c r="K2288">
        <v>6</v>
      </c>
      <c r="L2288" s="1" t="s">
        <v>29</v>
      </c>
      <c r="M2288" s="1" t="s">
        <v>63</v>
      </c>
    </row>
    <row r="2289" spans="1:13" x14ac:dyDescent="0.25">
      <c r="A2289" s="1" t="s">
        <v>3490</v>
      </c>
      <c r="B2289" s="1" t="s">
        <v>51</v>
      </c>
      <c r="C2289" s="1" t="s">
        <v>720</v>
      </c>
      <c r="D2289" s="1" t="s">
        <v>46</v>
      </c>
      <c r="E2289" s="1" t="s">
        <v>100</v>
      </c>
      <c r="F2289" s="1" t="s">
        <v>33</v>
      </c>
      <c r="G2289">
        <v>180751</v>
      </c>
      <c r="H2289" s="1" t="s">
        <v>2235</v>
      </c>
      <c r="I2289" s="2"/>
      <c r="L2289" s="1" t="s">
        <v>20</v>
      </c>
      <c r="M2289" s="1" t="s">
        <v>149</v>
      </c>
    </row>
    <row r="2290" spans="1:13" x14ac:dyDescent="0.25">
      <c r="A2290" s="1" t="s">
        <v>3491</v>
      </c>
      <c r="B2290" s="1" t="s">
        <v>127</v>
      </c>
      <c r="C2290" s="1" t="s">
        <v>1914</v>
      </c>
      <c r="D2290" s="1" t="s">
        <v>46</v>
      </c>
      <c r="E2290" s="1" t="s">
        <v>61</v>
      </c>
      <c r="F2290" s="1" t="s">
        <v>27</v>
      </c>
      <c r="G2290">
        <v>141620</v>
      </c>
      <c r="H2290" s="1" t="s">
        <v>1723</v>
      </c>
      <c r="I2290" s="2"/>
      <c r="L2290" s="1" t="s">
        <v>49</v>
      </c>
      <c r="M2290" s="1" t="s">
        <v>30</v>
      </c>
    </row>
    <row r="2291" spans="1:13" x14ac:dyDescent="0.25">
      <c r="A2291" s="1" t="s">
        <v>3492</v>
      </c>
      <c r="B2291" s="1" t="s">
        <v>104</v>
      </c>
      <c r="C2291" s="1" t="s">
        <v>917</v>
      </c>
      <c r="D2291" s="1" t="s">
        <v>67</v>
      </c>
      <c r="E2291" s="1" t="s">
        <v>17</v>
      </c>
      <c r="F2291" s="1" t="s">
        <v>33</v>
      </c>
      <c r="G2291">
        <v>246005</v>
      </c>
      <c r="H2291" s="1" t="s">
        <v>3493</v>
      </c>
      <c r="I2291" s="2"/>
      <c r="L2291" s="1" t="s">
        <v>29</v>
      </c>
      <c r="M2291" s="1" t="s">
        <v>35</v>
      </c>
    </row>
    <row r="2292" spans="1:13" x14ac:dyDescent="0.25">
      <c r="A2292" s="1" t="s">
        <v>3494</v>
      </c>
      <c r="B2292" s="1" t="s">
        <v>44</v>
      </c>
      <c r="C2292" s="1" t="s">
        <v>56</v>
      </c>
      <c r="D2292" s="1" t="s">
        <v>90</v>
      </c>
      <c r="E2292" s="1" t="s">
        <v>47</v>
      </c>
      <c r="F2292" s="1" t="s">
        <v>40</v>
      </c>
      <c r="G2292">
        <v>212050</v>
      </c>
      <c r="H2292" s="1" t="s">
        <v>1220</v>
      </c>
      <c r="I2292" s="2">
        <v>45668</v>
      </c>
      <c r="J2292">
        <v>148</v>
      </c>
      <c r="K2292">
        <v>5</v>
      </c>
      <c r="L2292" s="1" t="s">
        <v>20</v>
      </c>
      <c r="M2292" s="1" t="s">
        <v>149</v>
      </c>
    </row>
    <row r="2293" spans="1:13" x14ac:dyDescent="0.25">
      <c r="A2293" s="1" t="s">
        <v>3495</v>
      </c>
      <c r="B2293" s="1" t="s">
        <v>84</v>
      </c>
      <c r="C2293" s="1" t="s">
        <v>531</v>
      </c>
      <c r="D2293" s="1" t="s">
        <v>16</v>
      </c>
      <c r="E2293" s="1" t="s">
        <v>94</v>
      </c>
      <c r="F2293" s="1" t="s">
        <v>33</v>
      </c>
      <c r="G2293">
        <v>51259</v>
      </c>
      <c r="H2293" s="1" t="s">
        <v>1093</v>
      </c>
      <c r="I2293" s="2"/>
      <c r="K2293">
        <v>5.6</v>
      </c>
      <c r="L2293" s="1" t="s">
        <v>96</v>
      </c>
      <c r="M2293" s="1" t="s">
        <v>30</v>
      </c>
    </row>
    <row r="2294" spans="1:13" x14ac:dyDescent="0.25">
      <c r="A2294" s="1" t="s">
        <v>3496</v>
      </c>
      <c r="B2294" s="1" t="s">
        <v>109</v>
      </c>
      <c r="C2294" s="1" t="s">
        <v>1278</v>
      </c>
      <c r="D2294" s="1" t="s">
        <v>46</v>
      </c>
      <c r="E2294" s="1" t="s">
        <v>94</v>
      </c>
      <c r="F2294" s="1" t="s">
        <v>18</v>
      </c>
      <c r="G2294">
        <v>1840460</v>
      </c>
      <c r="H2294" s="1" t="s">
        <v>1480</v>
      </c>
      <c r="I2294" s="2">
        <v>45074</v>
      </c>
      <c r="J2294">
        <v>49</v>
      </c>
      <c r="K2294">
        <v>1.3</v>
      </c>
      <c r="L2294" s="1" t="s">
        <v>29</v>
      </c>
      <c r="M2294" s="1" t="s">
        <v>30</v>
      </c>
    </row>
    <row r="2295" spans="1:13" x14ac:dyDescent="0.25">
      <c r="A2295" s="1" t="s">
        <v>3497</v>
      </c>
      <c r="B2295" s="1" t="s">
        <v>88</v>
      </c>
      <c r="C2295" s="1" t="s">
        <v>349</v>
      </c>
      <c r="D2295" s="1" t="s">
        <v>67</v>
      </c>
      <c r="E2295" s="1" t="s">
        <v>94</v>
      </c>
      <c r="F2295" s="1" t="s">
        <v>40</v>
      </c>
      <c r="G2295">
        <v>498867</v>
      </c>
      <c r="H2295" s="1" t="s">
        <v>1754</v>
      </c>
      <c r="I2295" s="2">
        <v>45560</v>
      </c>
      <c r="J2295">
        <v>142</v>
      </c>
      <c r="K2295">
        <v>24.9</v>
      </c>
      <c r="L2295" s="1" t="s">
        <v>96</v>
      </c>
      <c r="M2295" s="1" t="s">
        <v>107</v>
      </c>
    </row>
    <row r="2296" spans="1:13" x14ac:dyDescent="0.25">
      <c r="A2296" s="1" t="s">
        <v>3498</v>
      </c>
      <c r="B2296" s="1" t="s">
        <v>65</v>
      </c>
      <c r="C2296" s="1" t="s">
        <v>352</v>
      </c>
      <c r="D2296" s="1" t="s">
        <v>90</v>
      </c>
      <c r="E2296" s="1" t="s">
        <v>72</v>
      </c>
      <c r="F2296" s="1" t="s">
        <v>33</v>
      </c>
      <c r="G2296">
        <v>319394</v>
      </c>
      <c r="H2296" s="1" t="s">
        <v>2179</v>
      </c>
      <c r="I2296" s="2"/>
      <c r="K2296">
        <v>5.6</v>
      </c>
      <c r="L2296" s="1" t="s">
        <v>29</v>
      </c>
      <c r="M2296" s="1" t="s">
        <v>21</v>
      </c>
    </row>
    <row r="2297" spans="1:13" x14ac:dyDescent="0.25">
      <c r="A2297" s="1" t="s">
        <v>3499</v>
      </c>
      <c r="B2297" s="1" t="s">
        <v>109</v>
      </c>
      <c r="C2297" s="1" t="s">
        <v>433</v>
      </c>
      <c r="D2297" s="1" t="s">
        <v>25</v>
      </c>
      <c r="E2297" s="1" t="s">
        <v>26</v>
      </c>
      <c r="F2297" s="1" t="s">
        <v>18</v>
      </c>
      <c r="G2297">
        <v>175217</v>
      </c>
      <c r="H2297" s="1" t="s">
        <v>716</v>
      </c>
      <c r="I2297" s="2">
        <v>45237</v>
      </c>
      <c r="J2297">
        <v>36</v>
      </c>
      <c r="K2297">
        <v>15</v>
      </c>
      <c r="L2297" s="1" t="s">
        <v>29</v>
      </c>
      <c r="M2297" s="1" t="s">
        <v>21</v>
      </c>
    </row>
    <row r="2298" spans="1:13" x14ac:dyDescent="0.25">
      <c r="A2298" s="1" t="s">
        <v>3500</v>
      </c>
      <c r="B2298" s="1" t="s">
        <v>80</v>
      </c>
      <c r="C2298" s="1" t="s">
        <v>852</v>
      </c>
      <c r="D2298" s="1" t="s">
        <v>90</v>
      </c>
      <c r="E2298" s="1" t="s">
        <v>17</v>
      </c>
      <c r="F2298" s="1" t="s">
        <v>40</v>
      </c>
      <c r="G2298">
        <v>241662</v>
      </c>
      <c r="H2298" s="1" t="s">
        <v>3188</v>
      </c>
      <c r="I2298" s="2">
        <v>45430</v>
      </c>
      <c r="J2298">
        <v>81</v>
      </c>
      <c r="K2298">
        <v>0.3</v>
      </c>
      <c r="L2298" s="1" t="s">
        <v>29</v>
      </c>
      <c r="M2298" s="1" t="s">
        <v>69</v>
      </c>
    </row>
    <row r="2299" spans="1:13" x14ac:dyDescent="0.25">
      <c r="A2299" s="1" t="s">
        <v>3501</v>
      </c>
      <c r="B2299" s="1" t="s">
        <v>98</v>
      </c>
      <c r="C2299" s="1" t="s">
        <v>52</v>
      </c>
      <c r="D2299" s="1" t="s">
        <v>67</v>
      </c>
      <c r="E2299" s="1" t="s">
        <v>72</v>
      </c>
      <c r="F2299" s="1" t="s">
        <v>129</v>
      </c>
      <c r="G2299">
        <v>426074</v>
      </c>
      <c r="H2299" s="1" t="s">
        <v>1576</v>
      </c>
      <c r="I2299" s="2"/>
      <c r="L2299" s="1" t="s">
        <v>29</v>
      </c>
      <c r="M2299" s="1" t="s">
        <v>30</v>
      </c>
    </row>
    <row r="2300" spans="1:13" x14ac:dyDescent="0.25">
      <c r="A2300" s="1" t="s">
        <v>3502</v>
      </c>
      <c r="B2300" s="1" t="s">
        <v>44</v>
      </c>
      <c r="C2300" s="1" t="s">
        <v>381</v>
      </c>
      <c r="D2300" s="1" t="s">
        <v>90</v>
      </c>
      <c r="E2300" s="1" t="s">
        <v>94</v>
      </c>
      <c r="F2300" s="1" t="s">
        <v>53</v>
      </c>
      <c r="G2300">
        <v>285876</v>
      </c>
      <c r="H2300" s="1" t="s">
        <v>1148</v>
      </c>
      <c r="I2300" s="2"/>
      <c r="L2300" s="1" t="s">
        <v>20</v>
      </c>
      <c r="M2300" s="1" t="s">
        <v>149</v>
      </c>
    </row>
    <row r="2301" spans="1:13" x14ac:dyDescent="0.25">
      <c r="A2301" s="1" t="s">
        <v>3503</v>
      </c>
      <c r="B2301" s="1" t="s">
        <v>84</v>
      </c>
      <c r="C2301" s="1" t="s">
        <v>983</v>
      </c>
      <c r="D2301" s="1" t="s">
        <v>25</v>
      </c>
      <c r="E2301" s="1" t="s">
        <v>72</v>
      </c>
      <c r="F2301" s="1" t="s">
        <v>40</v>
      </c>
      <c r="G2301">
        <v>97905</v>
      </c>
      <c r="H2301" s="1" t="s">
        <v>2827</v>
      </c>
      <c r="I2301" s="2">
        <v>45099</v>
      </c>
      <c r="J2301">
        <v>113</v>
      </c>
      <c r="K2301">
        <v>5.6</v>
      </c>
      <c r="L2301" s="1" t="s">
        <v>96</v>
      </c>
      <c r="M2301" s="1" t="s">
        <v>35</v>
      </c>
    </row>
    <row r="2302" spans="1:13" x14ac:dyDescent="0.25">
      <c r="A2302" s="1" t="s">
        <v>3504</v>
      </c>
      <c r="B2302" s="1" t="s">
        <v>104</v>
      </c>
      <c r="C2302" s="1" t="s">
        <v>539</v>
      </c>
      <c r="D2302" s="1" t="s">
        <v>46</v>
      </c>
      <c r="E2302" s="1" t="s">
        <v>47</v>
      </c>
      <c r="F2302" s="1" t="s">
        <v>53</v>
      </c>
      <c r="G2302">
        <v>373825</v>
      </c>
      <c r="H2302" s="1" t="s">
        <v>232</v>
      </c>
      <c r="I2302" s="2"/>
      <c r="K2302">
        <v>10.7</v>
      </c>
      <c r="L2302" s="1" t="s">
        <v>96</v>
      </c>
      <c r="M2302" s="1" t="s">
        <v>102</v>
      </c>
    </row>
    <row r="2303" spans="1:13" x14ac:dyDescent="0.25">
      <c r="A2303" s="1" t="s">
        <v>3505</v>
      </c>
      <c r="B2303" s="1" t="s">
        <v>23</v>
      </c>
      <c r="C2303" s="1" t="s">
        <v>967</v>
      </c>
      <c r="D2303" s="1" t="s">
        <v>25</v>
      </c>
      <c r="E2303" s="1" t="s">
        <v>100</v>
      </c>
      <c r="F2303" s="1" t="s">
        <v>129</v>
      </c>
      <c r="G2303">
        <v>95823</v>
      </c>
      <c r="H2303" s="1" t="s">
        <v>516</v>
      </c>
      <c r="I2303" s="2"/>
      <c r="L2303" s="1" t="s">
        <v>29</v>
      </c>
      <c r="M2303" s="1" t="s">
        <v>69</v>
      </c>
    </row>
    <row r="2304" spans="1:13" x14ac:dyDescent="0.25">
      <c r="A2304" s="1" t="s">
        <v>3506</v>
      </c>
      <c r="B2304" s="1" t="s">
        <v>59</v>
      </c>
      <c r="C2304" s="1" t="s">
        <v>1095</v>
      </c>
      <c r="D2304" s="1" t="s">
        <v>39</v>
      </c>
      <c r="E2304" s="1" t="s">
        <v>77</v>
      </c>
      <c r="F2304" s="1" t="s">
        <v>53</v>
      </c>
      <c r="G2304">
        <v>225340</v>
      </c>
      <c r="H2304" s="1" t="s">
        <v>1910</v>
      </c>
      <c r="I2304" s="2"/>
      <c r="K2304">
        <v>0.2</v>
      </c>
      <c r="L2304" s="1" t="s">
        <v>96</v>
      </c>
      <c r="M2304" s="1" t="s">
        <v>30</v>
      </c>
    </row>
    <row r="2305" spans="1:13" x14ac:dyDescent="0.25">
      <c r="A2305" s="1" t="s">
        <v>3507</v>
      </c>
      <c r="B2305" s="1" t="s">
        <v>23</v>
      </c>
      <c r="C2305" s="1" t="s">
        <v>625</v>
      </c>
      <c r="D2305" s="1" t="s">
        <v>46</v>
      </c>
      <c r="E2305" s="1" t="s">
        <v>26</v>
      </c>
      <c r="F2305" s="1" t="s">
        <v>53</v>
      </c>
      <c r="G2305">
        <v>418307</v>
      </c>
      <c r="H2305" s="1" t="s">
        <v>3508</v>
      </c>
      <c r="I2305" s="2"/>
      <c r="K2305">
        <v>13</v>
      </c>
      <c r="L2305" s="1" t="s">
        <v>20</v>
      </c>
      <c r="M2305" s="1" t="s">
        <v>63</v>
      </c>
    </row>
    <row r="2306" spans="1:13" x14ac:dyDescent="0.25">
      <c r="A2306" s="1" t="s">
        <v>3509</v>
      </c>
      <c r="B2306" s="1" t="s">
        <v>14</v>
      </c>
      <c r="C2306" s="1" t="s">
        <v>967</v>
      </c>
      <c r="D2306" s="1" t="s">
        <v>25</v>
      </c>
      <c r="E2306" s="1" t="s">
        <v>47</v>
      </c>
      <c r="F2306" s="1" t="s">
        <v>33</v>
      </c>
      <c r="G2306">
        <v>458332</v>
      </c>
      <c r="H2306" s="1" t="s">
        <v>3510</v>
      </c>
      <c r="I2306" s="2"/>
      <c r="L2306" s="1" t="s">
        <v>49</v>
      </c>
      <c r="M2306" s="1" t="s">
        <v>107</v>
      </c>
    </row>
    <row r="2307" spans="1:13" x14ac:dyDescent="0.25">
      <c r="A2307" s="1" t="s">
        <v>3511</v>
      </c>
      <c r="B2307" s="1" t="s">
        <v>80</v>
      </c>
      <c r="C2307" s="1" t="s">
        <v>2503</v>
      </c>
      <c r="D2307" s="1" t="s">
        <v>25</v>
      </c>
      <c r="E2307" s="1" t="s">
        <v>26</v>
      </c>
      <c r="F2307" s="1" t="s">
        <v>33</v>
      </c>
      <c r="G2307">
        <v>258018</v>
      </c>
      <c r="H2307" s="1" t="s">
        <v>101</v>
      </c>
      <c r="I2307" s="2"/>
      <c r="L2307" s="1" t="s">
        <v>49</v>
      </c>
      <c r="M2307" s="1" t="s">
        <v>102</v>
      </c>
    </row>
    <row r="2308" spans="1:13" x14ac:dyDescent="0.25">
      <c r="A2308" s="1" t="s">
        <v>3512</v>
      </c>
      <c r="B2308" s="1" t="s">
        <v>14</v>
      </c>
      <c r="C2308" s="1" t="s">
        <v>205</v>
      </c>
      <c r="D2308" s="1" t="s">
        <v>25</v>
      </c>
      <c r="E2308" s="1" t="s">
        <v>94</v>
      </c>
      <c r="F2308" s="1" t="s">
        <v>40</v>
      </c>
      <c r="G2308">
        <v>399413</v>
      </c>
      <c r="H2308" s="1" t="s">
        <v>3513</v>
      </c>
      <c r="I2308" s="2">
        <v>45645</v>
      </c>
      <c r="J2308">
        <v>33</v>
      </c>
      <c r="K2308">
        <v>1.2</v>
      </c>
      <c r="L2308" s="1" t="s">
        <v>20</v>
      </c>
      <c r="M2308" s="1" t="s">
        <v>42</v>
      </c>
    </row>
    <row r="2309" spans="1:13" x14ac:dyDescent="0.25">
      <c r="A2309" s="1" t="s">
        <v>3514</v>
      </c>
      <c r="B2309" s="1" t="s">
        <v>44</v>
      </c>
      <c r="C2309" s="1" t="s">
        <v>237</v>
      </c>
      <c r="D2309" s="1" t="s">
        <v>39</v>
      </c>
      <c r="E2309" s="1" t="s">
        <v>100</v>
      </c>
      <c r="F2309" s="1" t="s">
        <v>33</v>
      </c>
      <c r="G2309">
        <v>499342</v>
      </c>
      <c r="H2309" s="1" t="s">
        <v>3041</v>
      </c>
      <c r="I2309" s="2"/>
      <c r="K2309">
        <v>4.0999999999999996</v>
      </c>
      <c r="L2309" s="1" t="s">
        <v>20</v>
      </c>
      <c r="M2309" s="1" t="s">
        <v>149</v>
      </c>
    </row>
    <row r="2310" spans="1:13" x14ac:dyDescent="0.25">
      <c r="A2310" s="1" t="s">
        <v>3515</v>
      </c>
      <c r="B2310" s="1" t="s">
        <v>98</v>
      </c>
      <c r="C2310" s="1" t="s">
        <v>439</v>
      </c>
      <c r="D2310" s="1" t="s">
        <v>90</v>
      </c>
      <c r="E2310" s="1" t="s">
        <v>94</v>
      </c>
      <c r="F2310" s="1" t="s">
        <v>18</v>
      </c>
      <c r="G2310">
        <v>316343</v>
      </c>
      <c r="H2310" s="1" t="s">
        <v>2494</v>
      </c>
      <c r="I2310" s="2">
        <v>45487</v>
      </c>
      <c r="J2310">
        <v>127</v>
      </c>
      <c r="K2310">
        <v>14.2</v>
      </c>
      <c r="L2310" s="1" t="s">
        <v>20</v>
      </c>
      <c r="M2310" s="1" t="s">
        <v>69</v>
      </c>
    </row>
    <row r="2311" spans="1:13" x14ac:dyDescent="0.25">
      <c r="A2311" s="1" t="s">
        <v>3516</v>
      </c>
      <c r="B2311" s="1" t="s">
        <v>127</v>
      </c>
      <c r="C2311" s="1" t="s">
        <v>3227</v>
      </c>
      <c r="D2311" s="1" t="s">
        <v>90</v>
      </c>
      <c r="E2311" s="1" t="s">
        <v>47</v>
      </c>
      <c r="F2311" s="1" t="s">
        <v>33</v>
      </c>
      <c r="G2311">
        <v>446673</v>
      </c>
      <c r="H2311" s="1" t="s">
        <v>3029</v>
      </c>
      <c r="I2311" s="2"/>
      <c r="L2311" s="1" t="s">
        <v>49</v>
      </c>
      <c r="M2311" s="1" t="s">
        <v>149</v>
      </c>
    </row>
    <row r="2312" spans="1:13" x14ac:dyDescent="0.25">
      <c r="A2312" s="1" t="s">
        <v>3517</v>
      </c>
      <c r="B2312" s="1" t="s">
        <v>109</v>
      </c>
      <c r="C2312" s="1" t="s">
        <v>869</v>
      </c>
      <c r="D2312" s="1" t="s">
        <v>25</v>
      </c>
      <c r="E2312" s="1" t="s">
        <v>26</v>
      </c>
      <c r="F2312" s="1" t="s">
        <v>129</v>
      </c>
      <c r="G2312">
        <v>226572</v>
      </c>
      <c r="H2312" s="1" t="s">
        <v>2396</v>
      </c>
      <c r="I2312" s="2"/>
      <c r="K2312">
        <v>1</v>
      </c>
      <c r="L2312" s="1" t="s">
        <v>96</v>
      </c>
      <c r="M2312" s="1" t="s">
        <v>42</v>
      </c>
    </row>
    <row r="2313" spans="1:13" x14ac:dyDescent="0.25">
      <c r="A2313" s="1" t="s">
        <v>3518</v>
      </c>
      <c r="B2313" s="1" t="s">
        <v>104</v>
      </c>
      <c r="C2313" s="1" t="s">
        <v>1457</v>
      </c>
      <c r="D2313" s="1" t="s">
        <v>67</v>
      </c>
      <c r="E2313" s="1" t="s">
        <v>77</v>
      </c>
      <c r="F2313" s="1" t="s">
        <v>53</v>
      </c>
      <c r="G2313">
        <v>94064</v>
      </c>
      <c r="H2313" s="1" t="s">
        <v>3519</v>
      </c>
      <c r="I2313" s="2"/>
      <c r="K2313">
        <v>8</v>
      </c>
      <c r="L2313" s="1" t="s">
        <v>49</v>
      </c>
      <c r="M2313" s="1" t="s">
        <v>42</v>
      </c>
    </row>
    <row r="2314" spans="1:13" x14ac:dyDescent="0.25">
      <c r="A2314" s="1" t="s">
        <v>3520</v>
      </c>
      <c r="B2314" s="1" t="s">
        <v>109</v>
      </c>
      <c r="C2314" s="1" t="s">
        <v>767</v>
      </c>
      <c r="D2314" s="1" t="s">
        <v>90</v>
      </c>
      <c r="E2314" s="1" t="s">
        <v>100</v>
      </c>
      <c r="F2314" s="1" t="s">
        <v>53</v>
      </c>
      <c r="G2314">
        <v>414262</v>
      </c>
      <c r="H2314" s="1" t="s">
        <v>3521</v>
      </c>
      <c r="I2314" s="2"/>
      <c r="K2314">
        <v>6.8</v>
      </c>
      <c r="L2314" s="1" t="s">
        <v>29</v>
      </c>
      <c r="M2314" s="1" t="s">
        <v>102</v>
      </c>
    </row>
    <row r="2315" spans="1:13" x14ac:dyDescent="0.25">
      <c r="A2315" s="1" t="s">
        <v>3522</v>
      </c>
      <c r="B2315" s="1" t="s">
        <v>88</v>
      </c>
      <c r="C2315" s="1" t="s">
        <v>767</v>
      </c>
      <c r="D2315" s="1" t="s">
        <v>16</v>
      </c>
      <c r="E2315" s="1" t="s">
        <v>61</v>
      </c>
      <c r="F2315" s="1" t="s">
        <v>18</v>
      </c>
      <c r="G2315">
        <v>399520</v>
      </c>
      <c r="H2315" s="1" t="s">
        <v>142</v>
      </c>
      <c r="I2315" s="2">
        <v>45309</v>
      </c>
      <c r="J2315">
        <v>31</v>
      </c>
      <c r="K2315">
        <v>14.7</v>
      </c>
      <c r="L2315" s="1" t="s">
        <v>49</v>
      </c>
      <c r="M2315" s="1" t="s">
        <v>21</v>
      </c>
    </row>
    <row r="2316" spans="1:13" x14ac:dyDescent="0.25">
      <c r="A2316" s="1" t="s">
        <v>3523</v>
      </c>
      <c r="B2316" s="1" t="s">
        <v>75</v>
      </c>
      <c r="C2316" s="1" t="s">
        <v>521</v>
      </c>
      <c r="D2316" s="1" t="s">
        <v>46</v>
      </c>
      <c r="E2316" s="1" t="s">
        <v>77</v>
      </c>
      <c r="F2316" s="1" t="s">
        <v>27</v>
      </c>
      <c r="G2316">
        <v>182470</v>
      </c>
      <c r="H2316" s="1" t="s">
        <v>2887</v>
      </c>
      <c r="I2316" s="2"/>
      <c r="K2316">
        <v>12</v>
      </c>
      <c r="L2316" s="1" t="s">
        <v>49</v>
      </c>
      <c r="M2316" s="1" t="s">
        <v>69</v>
      </c>
    </row>
    <row r="2317" spans="1:13" x14ac:dyDescent="0.25">
      <c r="A2317" s="1" t="s">
        <v>3524</v>
      </c>
      <c r="B2317" s="1" t="s">
        <v>44</v>
      </c>
      <c r="C2317" s="1" t="s">
        <v>679</v>
      </c>
      <c r="D2317" s="1" t="s">
        <v>90</v>
      </c>
      <c r="E2317" s="1" t="s">
        <v>72</v>
      </c>
      <c r="F2317" s="1" t="s">
        <v>18</v>
      </c>
      <c r="G2317">
        <v>352533</v>
      </c>
      <c r="H2317" s="1" t="s">
        <v>825</v>
      </c>
      <c r="I2317" s="2">
        <v>45291</v>
      </c>
      <c r="J2317">
        <v>129</v>
      </c>
      <c r="K2317">
        <v>3.4</v>
      </c>
      <c r="L2317" s="1" t="s">
        <v>29</v>
      </c>
      <c r="M2317" s="1" t="s">
        <v>102</v>
      </c>
    </row>
    <row r="2318" spans="1:13" x14ac:dyDescent="0.25">
      <c r="A2318" s="1" t="s">
        <v>3525</v>
      </c>
      <c r="B2318" s="1" t="s">
        <v>51</v>
      </c>
      <c r="C2318" s="1" t="s">
        <v>113</v>
      </c>
      <c r="D2318" s="1" t="s">
        <v>67</v>
      </c>
      <c r="E2318" s="1" t="s">
        <v>26</v>
      </c>
      <c r="F2318" s="1" t="s">
        <v>33</v>
      </c>
      <c r="G2318">
        <v>367577</v>
      </c>
      <c r="H2318" s="1" t="s">
        <v>2579</v>
      </c>
      <c r="I2318" s="2"/>
      <c r="K2318">
        <v>2.4</v>
      </c>
      <c r="L2318" s="1" t="s">
        <v>20</v>
      </c>
      <c r="M2318" s="1" t="s">
        <v>102</v>
      </c>
    </row>
    <row r="2319" spans="1:13" x14ac:dyDescent="0.25">
      <c r="A2319" s="1" t="s">
        <v>3526</v>
      </c>
      <c r="B2319" s="1" t="s">
        <v>44</v>
      </c>
      <c r="C2319" s="1" t="s">
        <v>939</v>
      </c>
      <c r="D2319" s="1" t="s">
        <v>39</v>
      </c>
      <c r="E2319" s="1" t="s">
        <v>94</v>
      </c>
      <c r="F2319" s="1" t="s">
        <v>18</v>
      </c>
      <c r="G2319">
        <v>291399</v>
      </c>
      <c r="H2319" s="1" t="s">
        <v>1524</v>
      </c>
      <c r="I2319" s="2">
        <v>45722</v>
      </c>
      <c r="J2319">
        <v>178</v>
      </c>
      <c r="K2319">
        <v>7.1</v>
      </c>
      <c r="L2319" s="1" t="s">
        <v>49</v>
      </c>
      <c r="M2319" s="1" t="s">
        <v>149</v>
      </c>
    </row>
    <row r="2320" spans="1:13" x14ac:dyDescent="0.25">
      <c r="A2320" s="1" t="s">
        <v>3527</v>
      </c>
      <c r="B2320" s="1" t="s">
        <v>23</v>
      </c>
      <c r="C2320" s="1" t="s">
        <v>790</v>
      </c>
      <c r="D2320" s="1" t="s">
        <v>46</v>
      </c>
      <c r="E2320" s="1" t="s">
        <v>26</v>
      </c>
      <c r="F2320" s="1" t="s">
        <v>33</v>
      </c>
      <c r="G2320">
        <v>207670</v>
      </c>
      <c r="H2320" s="1" t="s">
        <v>1904</v>
      </c>
      <c r="I2320" s="2"/>
      <c r="K2320">
        <v>14.9</v>
      </c>
      <c r="L2320" s="1" t="s">
        <v>49</v>
      </c>
      <c r="M2320" s="1" t="s">
        <v>149</v>
      </c>
    </row>
    <row r="2321" spans="1:13" x14ac:dyDescent="0.25">
      <c r="A2321" s="1" t="s">
        <v>3528</v>
      </c>
      <c r="B2321" s="1" t="s">
        <v>37</v>
      </c>
      <c r="C2321" s="1" t="s">
        <v>45</v>
      </c>
      <c r="D2321" s="1" t="s">
        <v>67</v>
      </c>
      <c r="E2321" s="1" t="s">
        <v>61</v>
      </c>
      <c r="F2321" s="1" t="s">
        <v>33</v>
      </c>
      <c r="G2321">
        <v>157275</v>
      </c>
      <c r="H2321" s="1" t="s">
        <v>1541</v>
      </c>
      <c r="I2321" s="2"/>
      <c r="K2321">
        <v>8.8000000000000007</v>
      </c>
      <c r="L2321" s="1" t="s">
        <v>20</v>
      </c>
      <c r="M2321" s="1" t="s">
        <v>35</v>
      </c>
    </row>
    <row r="2322" spans="1:13" x14ac:dyDescent="0.25">
      <c r="A2322" s="1" t="s">
        <v>3529</v>
      </c>
      <c r="B2322" s="1" t="s">
        <v>44</v>
      </c>
      <c r="C2322" s="1" t="s">
        <v>71</v>
      </c>
      <c r="D2322" s="1" t="s">
        <v>67</v>
      </c>
      <c r="E2322" s="1" t="s">
        <v>77</v>
      </c>
      <c r="F2322" s="1" t="s">
        <v>40</v>
      </c>
      <c r="G2322">
        <v>190722</v>
      </c>
      <c r="H2322" s="1" t="s">
        <v>1244</v>
      </c>
      <c r="I2322" s="2">
        <v>45690</v>
      </c>
      <c r="J2322">
        <v>160</v>
      </c>
      <c r="K2322">
        <v>11.7</v>
      </c>
      <c r="L2322" s="1" t="s">
        <v>29</v>
      </c>
      <c r="M2322" s="1" t="s">
        <v>149</v>
      </c>
    </row>
    <row r="2323" spans="1:13" x14ac:dyDescent="0.25">
      <c r="A2323" s="1" t="s">
        <v>3530</v>
      </c>
      <c r="B2323" s="1" t="s">
        <v>23</v>
      </c>
      <c r="C2323" s="1" t="s">
        <v>972</v>
      </c>
      <c r="D2323" s="1" t="s">
        <v>39</v>
      </c>
      <c r="E2323" s="1" t="s">
        <v>61</v>
      </c>
      <c r="F2323" s="1" t="s">
        <v>18</v>
      </c>
      <c r="G2323">
        <v>342469</v>
      </c>
      <c r="H2323" s="1" t="s">
        <v>1571</v>
      </c>
      <c r="I2323" s="2">
        <v>45246</v>
      </c>
      <c r="J2323">
        <v>47</v>
      </c>
      <c r="L2323" s="1" t="s">
        <v>49</v>
      </c>
      <c r="M2323" s="1" t="s">
        <v>102</v>
      </c>
    </row>
    <row r="2324" spans="1:13" x14ac:dyDescent="0.25">
      <c r="A2324" s="1" t="s">
        <v>3531</v>
      </c>
      <c r="B2324" s="1" t="s">
        <v>109</v>
      </c>
      <c r="C2324" s="1" t="s">
        <v>552</v>
      </c>
      <c r="D2324" s="1" t="s">
        <v>46</v>
      </c>
      <c r="E2324" s="1" t="s">
        <v>72</v>
      </c>
      <c r="F2324" s="1" t="s">
        <v>53</v>
      </c>
      <c r="G2324">
        <v>286710</v>
      </c>
      <c r="H2324" s="1" t="s">
        <v>1062</v>
      </c>
      <c r="I2324" s="2"/>
      <c r="L2324" s="1" t="s">
        <v>96</v>
      </c>
      <c r="M2324" s="1" t="s">
        <v>21</v>
      </c>
    </row>
    <row r="2325" spans="1:13" x14ac:dyDescent="0.25">
      <c r="A2325" s="1" t="s">
        <v>3532</v>
      </c>
      <c r="B2325" s="1" t="s">
        <v>104</v>
      </c>
      <c r="C2325" s="1" t="s">
        <v>505</v>
      </c>
      <c r="D2325" s="1" t="s">
        <v>16</v>
      </c>
      <c r="E2325" s="1" t="s">
        <v>47</v>
      </c>
      <c r="F2325" s="1" t="s">
        <v>27</v>
      </c>
      <c r="G2325">
        <v>477165</v>
      </c>
      <c r="H2325" s="1" t="s">
        <v>3533</v>
      </c>
      <c r="I2325" s="2"/>
      <c r="L2325" s="1" t="s">
        <v>49</v>
      </c>
      <c r="M2325" s="1" t="s">
        <v>30</v>
      </c>
    </row>
    <row r="2326" spans="1:13" x14ac:dyDescent="0.25">
      <c r="A2326" s="1" t="s">
        <v>3534</v>
      </c>
      <c r="B2326" s="1" t="s">
        <v>75</v>
      </c>
      <c r="C2326" s="1" t="s">
        <v>390</v>
      </c>
      <c r="D2326" s="1" t="s">
        <v>16</v>
      </c>
      <c r="E2326" s="1" t="s">
        <v>72</v>
      </c>
      <c r="F2326" s="1" t="s">
        <v>40</v>
      </c>
      <c r="G2326">
        <v>460064</v>
      </c>
      <c r="H2326" s="1" t="s">
        <v>893</v>
      </c>
      <c r="I2326" s="2">
        <v>45422</v>
      </c>
      <c r="J2326">
        <v>58</v>
      </c>
      <c r="K2326">
        <v>2.4</v>
      </c>
      <c r="L2326" s="1" t="s">
        <v>20</v>
      </c>
      <c r="M2326" s="1" t="s">
        <v>69</v>
      </c>
    </row>
    <row r="2327" spans="1:13" x14ac:dyDescent="0.25">
      <c r="A2327" s="1" t="s">
        <v>3535</v>
      </c>
      <c r="B2327" s="1" t="s">
        <v>98</v>
      </c>
      <c r="C2327" s="1" t="s">
        <v>859</v>
      </c>
      <c r="D2327" s="1" t="s">
        <v>67</v>
      </c>
      <c r="E2327" s="1" t="s">
        <v>47</v>
      </c>
      <c r="F2327" s="1" t="s">
        <v>129</v>
      </c>
      <c r="G2327">
        <v>140008</v>
      </c>
      <c r="H2327" s="1" t="s">
        <v>2212</v>
      </c>
      <c r="I2327" s="2"/>
      <c r="K2327">
        <v>11.1</v>
      </c>
      <c r="L2327" s="1" t="s">
        <v>29</v>
      </c>
      <c r="M2327" s="1" t="s">
        <v>63</v>
      </c>
    </row>
    <row r="2328" spans="1:13" x14ac:dyDescent="0.25">
      <c r="A2328" s="1" t="s">
        <v>3536</v>
      </c>
      <c r="B2328" s="1" t="s">
        <v>14</v>
      </c>
      <c r="C2328" s="1" t="s">
        <v>1112</v>
      </c>
      <c r="D2328" s="1" t="s">
        <v>46</v>
      </c>
      <c r="E2328" s="1" t="s">
        <v>47</v>
      </c>
      <c r="F2328" s="1" t="s">
        <v>53</v>
      </c>
      <c r="G2328">
        <v>293446</v>
      </c>
      <c r="H2328" s="1" t="s">
        <v>907</v>
      </c>
      <c r="I2328" s="2"/>
      <c r="L2328" s="1" t="s">
        <v>20</v>
      </c>
      <c r="M2328" s="1" t="s">
        <v>102</v>
      </c>
    </row>
    <row r="2329" spans="1:13" x14ac:dyDescent="0.25">
      <c r="A2329" s="1" t="s">
        <v>3537</v>
      </c>
      <c r="B2329" s="1" t="s">
        <v>65</v>
      </c>
      <c r="C2329" s="1" t="s">
        <v>1691</v>
      </c>
      <c r="D2329" s="1" t="s">
        <v>46</v>
      </c>
      <c r="E2329" s="1" t="s">
        <v>61</v>
      </c>
      <c r="F2329" s="1" t="s">
        <v>129</v>
      </c>
      <c r="G2329">
        <v>470560</v>
      </c>
      <c r="H2329" s="1" t="s">
        <v>2706</v>
      </c>
      <c r="I2329" s="2"/>
      <c r="K2329">
        <v>7</v>
      </c>
      <c r="L2329" s="1" t="s">
        <v>96</v>
      </c>
      <c r="M2329" s="1" t="s">
        <v>21</v>
      </c>
    </row>
    <row r="2330" spans="1:13" x14ac:dyDescent="0.25">
      <c r="A2330" s="1" t="s">
        <v>3538</v>
      </c>
      <c r="B2330" s="1" t="s">
        <v>23</v>
      </c>
      <c r="C2330" s="1" t="s">
        <v>625</v>
      </c>
      <c r="D2330" s="1" t="s">
        <v>46</v>
      </c>
      <c r="E2330" s="1" t="s">
        <v>100</v>
      </c>
      <c r="F2330" s="1" t="s">
        <v>53</v>
      </c>
      <c r="G2330">
        <v>104858</v>
      </c>
      <c r="H2330" s="1" t="s">
        <v>630</v>
      </c>
      <c r="I2330" s="2"/>
      <c r="L2330" s="1" t="s">
        <v>29</v>
      </c>
      <c r="M2330" s="1" t="s">
        <v>69</v>
      </c>
    </row>
    <row r="2331" spans="1:13" x14ac:dyDescent="0.25">
      <c r="A2331" s="1" t="s">
        <v>3539</v>
      </c>
      <c r="B2331" s="1" t="s">
        <v>23</v>
      </c>
      <c r="C2331" s="1" t="s">
        <v>406</v>
      </c>
      <c r="D2331" s="1" t="s">
        <v>67</v>
      </c>
      <c r="E2331" s="1" t="s">
        <v>47</v>
      </c>
      <c r="F2331" s="1" t="s">
        <v>129</v>
      </c>
      <c r="G2331">
        <v>177877</v>
      </c>
      <c r="H2331" s="1" t="s">
        <v>396</v>
      </c>
      <c r="I2331" s="2"/>
      <c r="L2331" s="1" t="s">
        <v>96</v>
      </c>
      <c r="M2331" s="1" t="s">
        <v>149</v>
      </c>
    </row>
    <row r="2332" spans="1:13" x14ac:dyDescent="0.25">
      <c r="A2332" s="1" t="s">
        <v>3540</v>
      </c>
      <c r="B2332" s="1" t="s">
        <v>173</v>
      </c>
      <c r="C2332" s="1" t="s">
        <v>865</v>
      </c>
      <c r="D2332" s="1" t="s">
        <v>39</v>
      </c>
      <c r="E2332" s="1" t="s">
        <v>47</v>
      </c>
      <c r="F2332" s="1" t="s">
        <v>129</v>
      </c>
      <c r="G2332">
        <v>348797</v>
      </c>
      <c r="H2332" s="1" t="s">
        <v>3541</v>
      </c>
      <c r="I2332" s="2"/>
      <c r="K2332">
        <v>7.3</v>
      </c>
      <c r="L2332" s="1" t="s">
        <v>29</v>
      </c>
      <c r="M2332" s="1" t="s">
        <v>35</v>
      </c>
    </row>
    <row r="2333" spans="1:13" x14ac:dyDescent="0.25">
      <c r="A2333" s="1" t="s">
        <v>3542</v>
      </c>
      <c r="B2333" s="1" t="s">
        <v>88</v>
      </c>
      <c r="C2333" s="1" t="s">
        <v>708</v>
      </c>
      <c r="D2333" s="1" t="s">
        <v>39</v>
      </c>
      <c r="E2333" s="1" t="s">
        <v>100</v>
      </c>
      <c r="F2333" s="1" t="s">
        <v>18</v>
      </c>
      <c r="G2333">
        <v>442377</v>
      </c>
      <c r="H2333" s="1" t="s">
        <v>547</v>
      </c>
      <c r="I2333" s="2">
        <v>45625</v>
      </c>
      <c r="J2333">
        <v>50</v>
      </c>
      <c r="K2333">
        <v>0.7</v>
      </c>
      <c r="L2333" s="1" t="s">
        <v>29</v>
      </c>
      <c r="M2333" s="1" t="s">
        <v>42</v>
      </c>
    </row>
    <row r="2334" spans="1:13" x14ac:dyDescent="0.25">
      <c r="A2334" s="1" t="s">
        <v>3543</v>
      </c>
      <c r="B2334" s="1" t="s">
        <v>59</v>
      </c>
      <c r="C2334" s="1" t="s">
        <v>433</v>
      </c>
      <c r="D2334" s="1" t="s">
        <v>46</v>
      </c>
      <c r="E2334" s="1" t="s">
        <v>17</v>
      </c>
      <c r="F2334" s="1" t="s">
        <v>18</v>
      </c>
      <c r="G2334">
        <v>265764</v>
      </c>
      <c r="H2334" s="1" t="s">
        <v>1230</v>
      </c>
      <c r="I2334" s="2">
        <v>45506</v>
      </c>
      <c r="J2334">
        <v>123</v>
      </c>
      <c r="K2334">
        <v>4.0999999999999996</v>
      </c>
      <c r="L2334" s="1" t="s">
        <v>96</v>
      </c>
      <c r="M2334" s="1" t="s">
        <v>107</v>
      </c>
    </row>
    <row r="2335" spans="1:13" x14ac:dyDescent="0.25">
      <c r="A2335" s="1" t="s">
        <v>3544</v>
      </c>
      <c r="B2335" s="1" t="s">
        <v>37</v>
      </c>
      <c r="C2335" s="1" t="s">
        <v>852</v>
      </c>
      <c r="D2335" s="1" t="s">
        <v>67</v>
      </c>
      <c r="E2335" s="1" t="s">
        <v>26</v>
      </c>
      <c r="F2335" s="1" t="s">
        <v>33</v>
      </c>
      <c r="G2335">
        <v>97957</v>
      </c>
      <c r="H2335" s="1" t="s">
        <v>3545</v>
      </c>
      <c r="I2335" s="2"/>
      <c r="K2335">
        <v>7.6</v>
      </c>
      <c r="L2335" s="1" t="s">
        <v>29</v>
      </c>
      <c r="M2335" s="1" t="s">
        <v>69</v>
      </c>
    </row>
    <row r="2336" spans="1:13" x14ac:dyDescent="0.25">
      <c r="A2336" s="1" t="s">
        <v>3546</v>
      </c>
      <c r="B2336" s="1" t="s">
        <v>173</v>
      </c>
      <c r="C2336" s="1" t="s">
        <v>237</v>
      </c>
      <c r="D2336" s="1" t="s">
        <v>67</v>
      </c>
      <c r="E2336" s="1" t="s">
        <v>94</v>
      </c>
      <c r="F2336" s="1" t="s">
        <v>40</v>
      </c>
      <c r="G2336">
        <v>425669</v>
      </c>
      <c r="H2336" s="1" t="s">
        <v>3547</v>
      </c>
      <c r="I2336" s="2">
        <v>45413</v>
      </c>
      <c r="J2336">
        <v>154</v>
      </c>
      <c r="K2336">
        <v>3.6</v>
      </c>
      <c r="L2336" s="1" t="s">
        <v>29</v>
      </c>
      <c r="M2336" s="1" t="s">
        <v>21</v>
      </c>
    </row>
    <row r="2337" spans="1:13" x14ac:dyDescent="0.25">
      <c r="A2337" s="1" t="s">
        <v>3548</v>
      </c>
      <c r="B2337" s="1" t="s">
        <v>127</v>
      </c>
      <c r="C2337" s="1" t="s">
        <v>805</v>
      </c>
      <c r="D2337" s="1" t="s">
        <v>46</v>
      </c>
      <c r="E2337" s="1" t="s">
        <v>51</v>
      </c>
      <c r="F2337" s="1" t="s">
        <v>33</v>
      </c>
      <c r="G2337">
        <v>172996</v>
      </c>
      <c r="H2337" s="1" t="s">
        <v>565</v>
      </c>
      <c r="I2337" s="2"/>
      <c r="K2337">
        <v>12.1</v>
      </c>
      <c r="L2337" s="1" t="s">
        <v>29</v>
      </c>
      <c r="M2337" s="1" t="s">
        <v>35</v>
      </c>
    </row>
    <row r="2338" spans="1:13" x14ac:dyDescent="0.25">
      <c r="A2338" s="1" t="s">
        <v>3549</v>
      </c>
      <c r="B2338" s="1" t="s">
        <v>23</v>
      </c>
      <c r="C2338" s="1" t="s">
        <v>141</v>
      </c>
      <c r="D2338" s="1" t="s">
        <v>39</v>
      </c>
      <c r="E2338" s="1" t="s">
        <v>47</v>
      </c>
      <c r="F2338" s="1" t="s">
        <v>33</v>
      </c>
      <c r="G2338">
        <v>276776</v>
      </c>
      <c r="H2338" s="1" t="s">
        <v>514</v>
      </c>
      <c r="I2338" s="2"/>
      <c r="L2338" s="1" t="s">
        <v>49</v>
      </c>
      <c r="M2338" s="1" t="s">
        <v>63</v>
      </c>
    </row>
    <row r="2339" spans="1:13" x14ac:dyDescent="0.25">
      <c r="A2339" s="1" t="s">
        <v>3550</v>
      </c>
      <c r="B2339" s="1" t="s">
        <v>37</v>
      </c>
      <c r="C2339" s="1" t="s">
        <v>247</v>
      </c>
      <c r="D2339" s="1" t="s">
        <v>90</v>
      </c>
      <c r="E2339" s="1" t="s">
        <v>47</v>
      </c>
      <c r="F2339" s="1" t="s">
        <v>33</v>
      </c>
      <c r="G2339">
        <v>192093</v>
      </c>
      <c r="H2339" s="1" t="s">
        <v>259</v>
      </c>
      <c r="I2339" s="2"/>
      <c r="K2339">
        <v>12.4</v>
      </c>
      <c r="L2339" s="1" t="s">
        <v>49</v>
      </c>
      <c r="M2339" s="1" t="s">
        <v>42</v>
      </c>
    </row>
    <row r="2340" spans="1:13" x14ac:dyDescent="0.25">
      <c r="A2340" s="1" t="s">
        <v>2520</v>
      </c>
      <c r="B2340" s="1" t="s">
        <v>51</v>
      </c>
      <c r="C2340" s="1" t="s">
        <v>119</v>
      </c>
      <c r="D2340" s="1" t="s">
        <v>16</v>
      </c>
      <c r="E2340" s="1" t="s">
        <v>51</v>
      </c>
      <c r="F2340" s="1" t="s">
        <v>129</v>
      </c>
      <c r="G2340">
        <v>324317</v>
      </c>
      <c r="H2340" s="1" t="s">
        <v>1192</v>
      </c>
      <c r="I2340" s="2"/>
      <c r="K2340">
        <v>2</v>
      </c>
      <c r="L2340" s="1" t="s">
        <v>20</v>
      </c>
      <c r="M2340" s="1" t="s">
        <v>42</v>
      </c>
    </row>
    <row r="2341" spans="1:13" x14ac:dyDescent="0.25">
      <c r="A2341" s="1" t="s">
        <v>3551</v>
      </c>
      <c r="B2341" s="1" t="s">
        <v>37</v>
      </c>
      <c r="C2341" s="1" t="s">
        <v>1352</v>
      </c>
      <c r="D2341" s="1" t="s">
        <v>90</v>
      </c>
      <c r="E2341" s="1" t="s">
        <v>17</v>
      </c>
      <c r="F2341" s="1" t="s">
        <v>18</v>
      </c>
      <c r="G2341">
        <v>308339</v>
      </c>
      <c r="H2341" s="1" t="s">
        <v>889</v>
      </c>
      <c r="I2341" s="2">
        <v>45347</v>
      </c>
      <c r="J2341">
        <v>78</v>
      </c>
      <c r="K2341">
        <v>4.9000000000000004</v>
      </c>
      <c r="L2341" s="1" t="s">
        <v>20</v>
      </c>
      <c r="M2341" s="1" t="s">
        <v>21</v>
      </c>
    </row>
    <row r="2342" spans="1:13" x14ac:dyDescent="0.25">
      <c r="A2342" s="1" t="s">
        <v>3552</v>
      </c>
      <c r="B2342" s="1" t="s">
        <v>88</v>
      </c>
      <c r="C2342" s="1" t="s">
        <v>1339</v>
      </c>
      <c r="D2342" s="1" t="s">
        <v>67</v>
      </c>
      <c r="E2342" s="1" t="s">
        <v>51</v>
      </c>
      <c r="F2342" s="1" t="s">
        <v>18</v>
      </c>
      <c r="G2342">
        <v>349235</v>
      </c>
      <c r="H2342" s="1" t="s">
        <v>2283</v>
      </c>
      <c r="I2342" s="2">
        <v>45641</v>
      </c>
      <c r="J2342">
        <v>179</v>
      </c>
      <c r="K2342">
        <v>9.8000000000000007</v>
      </c>
      <c r="L2342" s="1" t="s">
        <v>29</v>
      </c>
      <c r="M2342" s="1" t="s">
        <v>107</v>
      </c>
    </row>
    <row r="2343" spans="1:13" x14ac:dyDescent="0.25">
      <c r="A2343" s="1" t="s">
        <v>3093</v>
      </c>
      <c r="B2343" s="1" t="s">
        <v>173</v>
      </c>
      <c r="C2343" s="1" t="s">
        <v>316</v>
      </c>
      <c r="D2343" s="1" t="s">
        <v>16</v>
      </c>
      <c r="E2343" s="1" t="s">
        <v>17</v>
      </c>
      <c r="F2343" s="1" t="s">
        <v>27</v>
      </c>
      <c r="G2343">
        <v>334742</v>
      </c>
      <c r="H2343" s="1" t="s">
        <v>2844</v>
      </c>
      <c r="I2343" s="2"/>
      <c r="K2343">
        <v>9.8000000000000007</v>
      </c>
      <c r="L2343" s="1" t="s">
        <v>96</v>
      </c>
      <c r="M2343" s="1" t="s">
        <v>149</v>
      </c>
    </row>
    <row r="2344" spans="1:13" x14ac:dyDescent="0.25">
      <c r="A2344" s="1" t="s">
        <v>3553</v>
      </c>
      <c r="B2344" s="1" t="s">
        <v>14</v>
      </c>
      <c r="C2344" s="1" t="s">
        <v>699</v>
      </c>
      <c r="D2344" s="1" t="s">
        <v>16</v>
      </c>
      <c r="E2344" s="1" t="s">
        <v>100</v>
      </c>
      <c r="F2344" s="1" t="s">
        <v>53</v>
      </c>
      <c r="G2344">
        <v>356184</v>
      </c>
      <c r="H2344" s="1" t="s">
        <v>375</v>
      </c>
      <c r="I2344" s="2"/>
      <c r="K2344">
        <v>9.8000000000000007</v>
      </c>
      <c r="L2344" s="1" t="s">
        <v>49</v>
      </c>
      <c r="M2344" s="1" t="s">
        <v>102</v>
      </c>
    </row>
    <row r="2345" spans="1:13" x14ac:dyDescent="0.25">
      <c r="A2345" s="1" t="s">
        <v>3554</v>
      </c>
      <c r="B2345" s="1" t="s">
        <v>59</v>
      </c>
      <c r="C2345" s="1" t="s">
        <v>939</v>
      </c>
      <c r="D2345" s="1" t="s">
        <v>46</v>
      </c>
      <c r="E2345" s="1" t="s">
        <v>17</v>
      </c>
      <c r="F2345" s="1" t="s">
        <v>40</v>
      </c>
      <c r="G2345">
        <v>125229</v>
      </c>
      <c r="H2345" s="1" t="s">
        <v>2711</v>
      </c>
      <c r="I2345" s="2">
        <v>45388</v>
      </c>
      <c r="J2345">
        <v>22</v>
      </c>
      <c r="K2345">
        <v>9</v>
      </c>
      <c r="L2345" s="1" t="s">
        <v>20</v>
      </c>
      <c r="M2345" s="1" t="s">
        <v>69</v>
      </c>
    </row>
    <row r="2346" spans="1:13" x14ac:dyDescent="0.25">
      <c r="A2346" s="1" t="s">
        <v>3555</v>
      </c>
      <c r="B2346" s="1" t="s">
        <v>65</v>
      </c>
      <c r="C2346" s="1" t="s">
        <v>138</v>
      </c>
      <c r="D2346" s="1" t="s">
        <v>39</v>
      </c>
      <c r="E2346" s="1" t="s">
        <v>77</v>
      </c>
      <c r="F2346" s="1" t="s">
        <v>40</v>
      </c>
      <c r="G2346">
        <v>158088</v>
      </c>
      <c r="H2346" s="1" t="s">
        <v>455</v>
      </c>
      <c r="I2346" s="2">
        <v>45153</v>
      </c>
      <c r="J2346">
        <v>138</v>
      </c>
      <c r="K2346">
        <v>5</v>
      </c>
      <c r="L2346" s="1" t="s">
        <v>20</v>
      </c>
      <c r="M2346" s="1" t="s">
        <v>35</v>
      </c>
    </row>
    <row r="2347" spans="1:13" x14ac:dyDescent="0.25">
      <c r="A2347" s="1" t="s">
        <v>3556</v>
      </c>
      <c r="B2347" s="1" t="s">
        <v>109</v>
      </c>
      <c r="C2347" s="1" t="s">
        <v>1566</v>
      </c>
      <c r="D2347" s="1" t="s">
        <v>25</v>
      </c>
      <c r="E2347" s="1" t="s">
        <v>100</v>
      </c>
      <c r="F2347" s="1" t="s">
        <v>27</v>
      </c>
      <c r="G2347">
        <v>141036</v>
      </c>
      <c r="H2347" s="1" t="s">
        <v>3250</v>
      </c>
      <c r="I2347" s="2"/>
      <c r="K2347">
        <v>5.0999999999999996</v>
      </c>
      <c r="L2347" s="1" t="s">
        <v>49</v>
      </c>
      <c r="M2347" s="1" t="s">
        <v>21</v>
      </c>
    </row>
    <row r="2348" spans="1:13" x14ac:dyDescent="0.25">
      <c r="A2348" s="1" t="s">
        <v>3557</v>
      </c>
      <c r="B2348" s="1" t="s">
        <v>59</v>
      </c>
      <c r="C2348" s="1" t="s">
        <v>483</v>
      </c>
      <c r="D2348" s="1" t="s">
        <v>46</v>
      </c>
      <c r="E2348" s="1" t="s">
        <v>100</v>
      </c>
      <c r="F2348" s="1" t="s">
        <v>18</v>
      </c>
      <c r="G2348">
        <v>239921</v>
      </c>
      <c r="H2348" s="1" t="s">
        <v>2554</v>
      </c>
      <c r="I2348" s="2">
        <v>45330</v>
      </c>
      <c r="J2348">
        <v>127</v>
      </c>
      <c r="K2348">
        <v>0.6</v>
      </c>
      <c r="L2348" s="1" t="s">
        <v>29</v>
      </c>
      <c r="M2348" s="1" t="s">
        <v>21</v>
      </c>
    </row>
    <row r="2349" spans="1:13" x14ac:dyDescent="0.25">
      <c r="A2349" s="1" t="s">
        <v>3558</v>
      </c>
      <c r="B2349" s="1" t="s">
        <v>44</v>
      </c>
      <c r="C2349" s="1" t="s">
        <v>1106</v>
      </c>
      <c r="D2349" s="1" t="s">
        <v>46</v>
      </c>
      <c r="E2349" s="1" t="s">
        <v>77</v>
      </c>
      <c r="F2349" s="1" t="s">
        <v>40</v>
      </c>
      <c r="G2349">
        <v>171180</v>
      </c>
      <c r="H2349" s="1" t="s">
        <v>2728</v>
      </c>
      <c r="I2349" s="2">
        <v>45095</v>
      </c>
      <c r="J2349">
        <v>35</v>
      </c>
      <c r="K2349">
        <v>19.100000000000001</v>
      </c>
      <c r="L2349" s="1" t="s">
        <v>96</v>
      </c>
      <c r="M2349" s="1" t="s">
        <v>30</v>
      </c>
    </row>
    <row r="2350" spans="1:13" x14ac:dyDescent="0.25">
      <c r="A2350" s="1" t="s">
        <v>3559</v>
      </c>
      <c r="B2350" s="1" t="s">
        <v>75</v>
      </c>
      <c r="C2350" s="1" t="s">
        <v>1470</v>
      </c>
      <c r="D2350" s="1" t="s">
        <v>67</v>
      </c>
      <c r="E2350" s="1" t="s">
        <v>61</v>
      </c>
      <c r="F2350" s="1" t="s">
        <v>40</v>
      </c>
      <c r="G2350">
        <v>427635</v>
      </c>
      <c r="H2350" s="1" t="s">
        <v>2103</v>
      </c>
      <c r="I2350" s="2">
        <v>45460</v>
      </c>
      <c r="J2350">
        <v>95</v>
      </c>
      <c r="K2350">
        <v>21.8</v>
      </c>
      <c r="L2350" s="1" t="s">
        <v>20</v>
      </c>
      <c r="M2350" s="1" t="s">
        <v>69</v>
      </c>
    </row>
    <row r="2351" spans="1:13" x14ac:dyDescent="0.25">
      <c r="A2351" s="1" t="s">
        <v>3560</v>
      </c>
      <c r="B2351" s="1" t="s">
        <v>109</v>
      </c>
      <c r="C2351" s="1" t="s">
        <v>237</v>
      </c>
      <c r="D2351" s="1" t="s">
        <v>67</v>
      </c>
      <c r="E2351" s="1" t="s">
        <v>77</v>
      </c>
      <c r="F2351" s="1" t="s">
        <v>40</v>
      </c>
      <c r="G2351">
        <v>487880</v>
      </c>
      <c r="H2351" s="1" t="s">
        <v>2150</v>
      </c>
      <c r="I2351" s="2">
        <v>45162</v>
      </c>
      <c r="J2351">
        <v>55</v>
      </c>
      <c r="K2351">
        <v>1.1000000000000001</v>
      </c>
      <c r="L2351" s="1" t="s">
        <v>49</v>
      </c>
      <c r="M2351" s="1" t="s">
        <v>30</v>
      </c>
    </row>
    <row r="2352" spans="1:13" x14ac:dyDescent="0.25">
      <c r="A2352" s="1" t="s">
        <v>3561</v>
      </c>
      <c r="B2352" s="1" t="s">
        <v>14</v>
      </c>
      <c r="C2352" s="1" t="s">
        <v>1582</v>
      </c>
      <c r="D2352" s="1" t="s">
        <v>46</v>
      </c>
      <c r="E2352" s="1" t="s">
        <v>47</v>
      </c>
      <c r="F2352" s="1" t="s">
        <v>33</v>
      </c>
      <c r="G2352">
        <v>348856</v>
      </c>
      <c r="H2352" s="1" t="s">
        <v>3562</v>
      </c>
      <c r="I2352" s="2"/>
      <c r="K2352">
        <v>1.8</v>
      </c>
      <c r="L2352" s="1" t="s">
        <v>96</v>
      </c>
      <c r="M2352" s="1" t="s">
        <v>21</v>
      </c>
    </row>
    <row r="2353" spans="1:13" x14ac:dyDescent="0.25">
      <c r="A2353" s="1" t="s">
        <v>3563</v>
      </c>
      <c r="B2353" s="1" t="s">
        <v>98</v>
      </c>
      <c r="C2353" s="1" t="s">
        <v>2091</v>
      </c>
      <c r="D2353" s="1" t="s">
        <v>16</v>
      </c>
      <c r="E2353" s="1" t="s">
        <v>72</v>
      </c>
      <c r="F2353" s="1" t="s">
        <v>18</v>
      </c>
      <c r="G2353">
        <v>435940</v>
      </c>
      <c r="H2353" s="1" t="s">
        <v>1894</v>
      </c>
      <c r="I2353" s="2">
        <v>45288</v>
      </c>
      <c r="J2353">
        <v>21</v>
      </c>
      <c r="K2353">
        <v>12.8</v>
      </c>
      <c r="L2353" s="1" t="s">
        <v>96</v>
      </c>
      <c r="M2353" s="1" t="s">
        <v>21</v>
      </c>
    </row>
    <row r="2354" spans="1:13" x14ac:dyDescent="0.25">
      <c r="A2354" s="1" t="s">
        <v>3564</v>
      </c>
      <c r="B2354" s="1" t="s">
        <v>75</v>
      </c>
      <c r="C2354" s="1" t="s">
        <v>85</v>
      </c>
      <c r="D2354" s="1" t="s">
        <v>39</v>
      </c>
      <c r="E2354" s="1" t="s">
        <v>17</v>
      </c>
      <c r="F2354" s="1" t="s">
        <v>40</v>
      </c>
      <c r="G2354">
        <v>76407</v>
      </c>
      <c r="H2354" s="1" t="s">
        <v>1168</v>
      </c>
      <c r="I2354" s="2">
        <v>45770</v>
      </c>
      <c r="J2354">
        <v>145</v>
      </c>
      <c r="K2354">
        <v>10.199999999999999</v>
      </c>
      <c r="L2354" s="1" t="s">
        <v>49</v>
      </c>
      <c r="M2354" s="1" t="s">
        <v>42</v>
      </c>
    </row>
    <row r="2355" spans="1:13" x14ac:dyDescent="0.25">
      <c r="A2355" s="1" t="s">
        <v>3565</v>
      </c>
      <c r="B2355" s="1" t="s">
        <v>59</v>
      </c>
      <c r="C2355" s="1" t="s">
        <v>2503</v>
      </c>
      <c r="D2355" s="1" t="s">
        <v>90</v>
      </c>
      <c r="E2355" s="1" t="s">
        <v>26</v>
      </c>
      <c r="F2355" s="1" t="s">
        <v>33</v>
      </c>
      <c r="G2355">
        <v>438575</v>
      </c>
      <c r="H2355" s="1" t="s">
        <v>402</v>
      </c>
      <c r="I2355" s="2"/>
      <c r="K2355">
        <v>10.1</v>
      </c>
      <c r="L2355" s="1" t="s">
        <v>20</v>
      </c>
      <c r="M2355" s="1" t="s">
        <v>63</v>
      </c>
    </row>
    <row r="2356" spans="1:13" x14ac:dyDescent="0.25">
      <c r="A2356" s="1" t="s">
        <v>3566</v>
      </c>
      <c r="B2356" s="1" t="s">
        <v>14</v>
      </c>
      <c r="C2356" s="1" t="s">
        <v>1299</v>
      </c>
      <c r="D2356" s="1" t="s">
        <v>46</v>
      </c>
      <c r="E2356" s="1" t="s">
        <v>26</v>
      </c>
      <c r="F2356" s="1" t="s">
        <v>53</v>
      </c>
      <c r="G2356">
        <v>334757</v>
      </c>
      <c r="H2356" s="1" t="s">
        <v>930</v>
      </c>
      <c r="I2356" s="2"/>
      <c r="K2356">
        <v>5.3</v>
      </c>
      <c r="L2356" s="1" t="s">
        <v>96</v>
      </c>
      <c r="M2356" s="1" t="s">
        <v>42</v>
      </c>
    </row>
    <row r="2357" spans="1:13" x14ac:dyDescent="0.25">
      <c r="A2357" s="1" t="s">
        <v>3567</v>
      </c>
      <c r="B2357" s="1" t="s">
        <v>65</v>
      </c>
      <c r="C2357" s="1" t="s">
        <v>1283</v>
      </c>
      <c r="D2357" s="1" t="s">
        <v>25</v>
      </c>
      <c r="E2357" s="1" t="s">
        <v>61</v>
      </c>
      <c r="F2357" s="1" t="s">
        <v>33</v>
      </c>
      <c r="G2357">
        <v>250598</v>
      </c>
      <c r="H2357" s="1" t="s">
        <v>1515</v>
      </c>
      <c r="I2357" s="2"/>
      <c r="K2357">
        <v>14.5</v>
      </c>
      <c r="L2357" s="1" t="s">
        <v>20</v>
      </c>
      <c r="M2357" s="1" t="s">
        <v>102</v>
      </c>
    </row>
    <row r="2358" spans="1:13" x14ac:dyDescent="0.25">
      <c r="A2358" s="1" t="s">
        <v>3568</v>
      </c>
      <c r="B2358" s="1" t="s">
        <v>104</v>
      </c>
      <c r="C2358" s="1" t="s">
        <v>518</v>
      </c>
      <c r="D2358" s="1" t="s">
        <v>25</v>
      </c>
      <c r="E2358" s="1" t="s">
        <v>17</v>
      </c>
      <c r="F2358" s="1" t="s">
        <v>40</v>
      </c>
      <c r="G2358">
        <v>32818</v>
      </c>
      <c r="H2358" s="1" t="s">
        <v>68</v>
      </c>
      <c r="I2358" s="2">
        <v>45401</v>
      </c>
      <c r="J2358">
        <v>30</v>
      </c>
      <c r="K2358">
        <v>24.8</v>
      </c>
      <c r="L2358" s="1" t="s">
        <v>29</v>
      </c>
      <c r="M2358" s="1" t="s">
        <v>69</v>
      </c>
    </row>
    <row r="2359" spans="1:13" x14ac:dyDescent="0.25">
      <c r="A2359" s="1" t="s">
        <v>3569</v>
      </c>
      <c r="B2359" s="1" t="s">
        <v>65</v>
      </c>
      <c r="C2359" s="1" t="s">
        <v>1914</v>
      </c>
      <c r="D2359" s="1" t="s">
        <v>16</v>
      </c>
      <c r="E2359" s="1" t="s">
        <v>77</v>
      </c>
      <c r="F2359" s="1" t="s">
        <v>27</v>
      </c>
      <c r="G2359">
        <v>202896</v>
      </c>
      <c r="H2359" s="1" t="s">
        <v>2278</v>
      </c>
      <c r="I2359" s="2"/>
      <c r="K2359">
        <v>1.8</v>
      </c>
      <c r="L2359" s="1" t="s">
        <v>20</v>
      </c>
      <c r="M2359" s="1" t="s">
        <v>149</v>
      </c>
    </row>
    <row r="2360" spans="1:13" x14ac:dyDescent="0.25">
      <c r="A2360" s="1" t="s">
        <v>3570</v>
      </c>
      <c r="B2360" s="1" t="s">
        <v>14</v>
      </c>
      <c r="C2360" s="1" t="s">
        <v>160</v>
      </c>
      <c r="D2360" s="1" t="s">
        <v>16</v>
      </c>
      <c r="E2360" s="1" t="s">
        <v>72</v>
      </c>
      <c r="F2360" s="1" t="s">
        <v>33</v>
      </c>
      <c r="G2360">
        <v>388384</v>
      </c>
      <c r="H2360" s="1" t="s">
        <v>2870</v>
      </c>
      <c r="I2360" s="2"/>
      <c r="K2360">
        <v>2.7</v>
      </c>
      <c r="L2360" s="1" t="s">
        <v>49</v>
      </c>
      <c r="M2360" s="1" t="s">
        <v>102</v>
      </c>
    </row>
    <row r="2361" spans="1:13" x14ac:dyDescent="0.25">
      <c r="A2361" s="1" t="s">
        <v>3571</v>
      </c>
      <c r="B2361" s="1" t="s">
        <v>44</v>
      </c>
      <c r="C2361" s="1" t="s">
        <v>650</v>
      </c>
      <c r="D2361" s="1" t="s">
        <v>90</v>
      </c>
      <c r="E2361" s="1" t="s">
        <v>26</v>
      </c>
      <c r="F2361" s="1" t="s">
        <v>27</v>
      </c>
      <c r="G2361">
        <v>206324</v>
      </c>
      <c r="H2361" s="1" t="s">
        <v>445</v>
      </c>
      <c r="I2361" s="2"/>
      <c r="K2361">
        <v>0.1</v>
      </c>
      <c r="L2361" s="1" t="s">
        <v>96</v>
      </c>
      <c r="M2361" s="1" t="s">
        <v>42</v>
      </c>
    </row>
    <row r="2362" spans="1:13" x14ac:dyDescent="0.25">
      <c r="A2362" s="1" t="s">
        <v>3572</v>
      </c>
      <c r="B2362" s="1" t="s">
        <v>109</v>
      </c>
      <c r="C2362" s="1" t="s">
        <v>775</v>
      </c>
      <c r="D2362" s="1" t="s">
        <v>39</v>
      </c>
      <c r="E2362" s="1" t="s">
        <v>47</v>
      </c>
      <c r="F2362" s="1" t="s">
        <v>129</v>
      </c>
      <c r="G2362">
        <v>13014</v>
      </c>
      <c r="H2362" s="1" t="s">
        <v>3108</v>
      </c>
      <c r="I2362" s="2"/>
      <c r="K2362">
        <v>3.6</v>
      </c>
      <c r="L2362" s="1" t="s">
        <v>20</v>
      </c>
      <c r="M2362" s="1" t="s">
        <v>107</v>
      </c>
    </row>
    <row r="2363" spans="1:13" x14ac:dyDescent="0.25">
      <c r="A2363" s="1" t="s">
        <v>3573</v>
      </c>
      <c r="B2363" s="1" t="s">
        <v>104</v>
      </c>
      <c r="C2363" s="1" t="s">
        <v>2334</v>
      </c>
      <c r="D2363" s="1" t="s">
        <v>16</v>
      </c>
      <c r="E2363" s="1" t="s">
        <v>94</v>
      </c>
      <c r="F2363" s="1" t="s">
        <v>53</v>
      </c>
      <c r="G2363">
        <v>242570</v>
      </c>
      <c r="H2363" s="1" t="s">
        <v>1950</v>
      </c>
      <c r="I2363" s="2"/>
      <c r="L2363" s="1" t="s">
        <v>49</v>
      </c>
      <c r="M2363" s="1" t="s">
        <v>107</v>
      </c>
    </row>
    <row r="2364" spans="1:13" x14ac:dyDescent="0.25">
      <c r="A2364" s="1" t="s">
        <v>3574</v>
      </c>
      <c r="B2364" s="1" t="s">
        <v>109</v>
      </c>
      <c r="C2364" s="1" t="s">
        <v>614</v>
      </c>
      <c r="D2364" s="1" t="s">
        <v>39</v>
      </c>
      <c r="E2364" s="1" t="s">
        <v>94</v>
      </c>
      <c r="F2364" s="1" t="s">
        <v>33</v>
      </c>
      <c r="G2364">
        <v>337189</v>
      </c>
      <c r="H2364" s="1" t="s">
        <v>1206</v>
      </c>
      <c r="I2364" s="2"/>
      <c r="L2364" s="1" t="s">
        <v>29</v>
      </c>
      <c r="M2364" s="1" t="s">
        <v>35</v>
      </c>
    </row>
    <row r="2365" spans="1:13" x14ac:dyDescent="0.25">
      <c r="A2365" s="1" t="s">
        <v>3575</v>
      </c>
      <c r="B2365" s="1" t="s">
        <v>14</v>
      </c>
      <c r="C2365" s="1" t="s">
        <v>614</v>
      </c>
      <c r="D2365" s="1" t="s">
        <v>67</v>
      </c>
      <c r="E2365" s="1" t="s">
        <v>47</v>
      </c>
      <c r="F2365" s="1" t="s">
        <v>18</v>
      </c>
      <c r="G2365">
        <v>193297</v>
      </c>
      <c r="H2365" s="1" t="s">
        <v>73</v>
      </c>
      <c r="I2365" s="2">
        <v>45393</v>
      </c>
      <c r="J2365">
        <v>37</v>
      </c>
      <c r="L2365" s="1" t="s">
        <v>96</v>
      </c>
      <c r="M2365" s="1" t="s">
        <v>69</v>
      </c>
    </row>
    <row r="2366" spans="1:13" x14ac:dyDescent="0.25">
      <c r="A2366" s="1" t="s">
        <v>3576</v>
      </c>
      <c r="B2366" s="1" t="s">
        <v>44</v>
      </c>
      <c r="C2366" s="1" t="s">
        <v>32</v>
      </c>
      <c r="D2366" s="1" t="s">
        <v>67</v>
      </c>
      <c r="E2366" s="1" t="s">
        <v>17</v>
      </c>
      <c r="F2366" s="1" t="s">
        <v>33</v>
      </c>
      <c r="G2366">
        <v>319415</v>
      </c>
      <c r="H2366" s="1" t="s">
        <v>1801</v>
      </c>
      <c r="I2366" s="2"/>
      <c r="K2366">
        <v>10.7</v>
      </c>
      <c r="L2366" s="1" t="s">
        <v>20</v>
      </c>
      <c r="M2366" s="1" t="s">
        <v>21</v>
      </c>
    </row>
    <row r="2367" spans="1:13" x14ac:dyDescent="0.25">
      <c r="A2367" s="1" t="s">
        <v>3577</v>
      </c>
      <c r="B2367" s="1" t="s">
        <v>84</v>
      </c>
      <c r="C2367" s="1" t="s">
        <v>528</v>
      </c>
      <c r="D2367" s="1" t="s">
        <v>67</v>
      </c>
      <c r="E2367" s="1" t="s">
        <v>77</v>
      </c>
      <c r="F2367" s="1" t="s">
        <v>33</v>
      </c>
      <c r="G2367">
        <v>335287</v>
      </c>
      <c r="H2367" s="1" t="s">
        <v>3578</v>
      </c>
      <c r="I2367" s="2"/>
      <c r="L2367" s="1" t="s">
        <v>29</v>
      </c>
      <c r="M2367" s="1" t="s">
        <v>30</v>
      </c>
    </row>
    <row r="2368" spans="1:13" x14ac:dyDescent="0.25">
      <c r="A2368" s="1" t="s">
        <v>3579</v>
      </c>
      <c r="B2368" s="1" t="s">
        <v>98</v>
      </c>
      <c r="C2368" s="1" t="s">
        <v>135</v>
      </c>
      <c r="D2368" s="1" t="s">
        <v>90</v>
      </c>
      <c r="E2368" s="1" t="s">
        <v>94</v>
      </c>
      <c r="F2368" s="1" t="s">
        <v>53</v>
      </c>
      <c r="G2368">
        <v>71260</v>
      </c>
      <c r="H2368" s="1" t="s">
        <v>62</v>
      </c>
      <c r="I2368" s="2"/>
      <c r="K2368">
        <v>4.5999999999999996</v>
      </c>
      <c r="L2368" s="1" t="s">
        <v>96</v>
      </c>
      <c r="M2368" s="1" t="s">
        <v>63</v>
      </c>
    </row>
    <row r="2369" spans="1:13" x14ac:dyDescent="0.25">
      <c r="A2369" s="1" t="s">
        <v>3580</v>
      </c>
      <c r="B2369" s="1" t="s">
        <v>44</v>
      </c>
      <c r="C2369" s="1" t="s">
        <v>620</v>
      </c>
      <c r="D2369" s="1" t="s">
        <v>46</v>
      </c>
      <c r="E2369" s="1" t="s">
        <v>47</v>
      </c>
      <c r="F2369" s="1" t="s">
        <v>129</v>
      </c>
      <c r="G2369">
        <v>383539</v>
      </c>
      <c r="H2369" s="1" t="s">
        <v>1483</v>
      </c>
      <c r="I2369" s="2"/>
      <c r="K2369">
        <v>13.8</v>
      </c>
      <c r="L2369" s="1" t="s">
        <v>20</v>
      </c>
      <c r="M2369" s="1" t="s">
        <v>102</v>
      </c>
    </row>
    <row r="2370" spans="1:13" x14ac:dyDescent="0.25">
      <c r="A2370" s="1" t="s">
        <v>3581</v>
      </c>
      <c r="B2370" s="1" t="s">
        <v>37</v>
      </c>
      <c r="C2370" s="1" t="s">
        <v>967</v>
      </c>
      <c r="D2370" s="1" t="s">
        <v>25</v>
      </c>
      <c r="E2370" s="1" t="s">
        <v>72</v>
      </c>
      <c r="F2370" s="1" t="s">
        <v>18</v>
      </c>
      <c r="G2370">
        <v>82405</v>
      </c>
      <c r="H2370" s="1" t="s">
        <v>145</v>
      </c>
      <c r="I2370" s="2">
        <v>45836</v>
      </c>
      <c r="J2370">
        <v>137</v>
      </c>
      <c r="K2370">
        <v>0.8</v>
      </c>
      <c r="L2370" s="1" t="s">
        <v>49</v>
      </c>
      <c r="M2370" s="1" t="s">
        <v>63</v>
      </c>
    </row>
    <row r="2371" spans="1:13" x14ac:dyDescent="0.25">
      <c r="A2371" s="1" t="s">
        <v>3582</v>
      </c>
      <c r="B2371" s="1" t="s">
        <v>127</v>
      </c>
      <c r="C2371" s="1" t="s">
        <v>1558</v>
      </c>
      <c r="D2371" s="1" t="s">
        <v>46</v>
      </c>
      <c r="E2371" s="1" t="s">
        <v>17</v>
      </c>
      <c r="F2371" s="1" t="s">
        <v>27</v>
      </c>
      <c r="G2371">
        <v>205189</v>
      </c>
      <c r="H2371" s="1" t="s">
        <v>3583</v>
      </c>
      <c r="I2371" s="2"/>
      <c r="K2371">
        <v>1.4</v>
      </c>
      <c r="L2371" s="1" t="s">
        <v>20</v>
      </c>
      <c r="M2371" s="1" t="s">
        <v>30</v>
      </c>
    </row>
    <row r="2372" spans="1:13" x14ac:dyDescent="0.25">
      <c r="A2372" s="1" t="s">
        <v>3584</v>
      </c>
      <c r="B2372" s="1" t="s">
        <v>109</v>
      </c>
      <c r="C2372" s="1" t="s">
        <v>160</v>
      </c>
      <c r="D2372" s="1" t="s">
        <v>67</v>
      </c>
      <c r="E2372" s="1" t="s">
        <v>17</v>
      </c>
      <c r="F2372" s="1" t="s">
        <v>129</v>
      </c>
      <c r="G2372">
        <v>461042</v>
      </c>
      <c r="H2372" s="1" t="s">
        <v>2647</v>
      </c>
      <c r="I2372" s="2"/>
      <c r="K2372">
        <v>11.1</v>
      </c>
      <c r="L2372" s="1" t="s">
        <v>96</v>
      </c>
      <c r="M2372" s="1" t="s">
        <v>42</v>
      </c>
    </row>
    <row r="2373" spans="1:13" x14ac:dyDescent="0.25">
      <c r="A2373" s="1" t="s">
        <v>3585</v>
      </c>
      <c r="B2373" s="1" t="s">
        <v>75</v>
      </c>
      <c r="C2373" s="1" t="s">
        <v>186</v>
      </c>
      <c r="D2373" s="1" t="s">
        <v>39</v>
      </c>
      <c r="E2373" s="1" t="s">
        <v>26</v>
      </c>
      <c r="F2373" s="1" t="s">
        <v>53</v>
      </c>
      <c r="G2373">
        <v>42901</v>
      </c>
      <c r="H2373" s="1" t="s">
        <v>3387</v>
      </c>
      <c r="I2373" s="2"/>
      <c r="K2373">
        <v>14.2</v>
      </c>
      <c r="L2373" s="1" t="s">
        <v>29</v>
      </c>
      <c r="M2373" s="1" t="s">
        <v>69</v>
      </c>
    </row>
    <row r="2374" spans="1:13" x14ac:dyDescent="0.25">
      <c r="A2374" s="1" t="s">
        <v>3586</v>
      </c>
      <c r="B2374" s="1" t="s">
        <v>14</v>
      </c>
      <c r="C2374" s="1" t="s">
        <v>767</v>
      </c>
      <c r="D2374" s="1" t="s">
        <v>25</v>
      </c>
      <c r="E2374" s="1" t="s">
        <v>77</v>
      </c>
      <c r="F2374" s="1" t="s">
        <v>129</v>
      </c>
      <c r="G2374">
        <v>107483</v>
      </c>
      <c r="H2374" s="1" t="s">
        <v>82</v>
      </c>
      <c r="I2374" s="2"/>
      <c r="K2374">
        <v>12.8</v>
      </c>
      <c r="L2374" s="1" t="s">
        <v>20</v>
      </c>
      <c r="M2374" s="1" t="s">
        <v>21</v>
      </c>
    </row>
    <row r="2375" spans="1:13" x14ac:dyDescent="0.25">
      <c r="A2375" s="1" t="s">
        <v>3587</v>
      </c>
      <c r="B2375" s="1" t="s">
        <v>37</v>
      </c>
      <c r="C2375" s="1" t="s">
        <v>497</v>
      </c>
      <c r="D2375" s="1" t="s">
        <v>90</v>
      </c>
      <c r="E2375" s="1" t="s">
        <v>100</v>
      </c>
      <c r="F2375" s="1" t="s">
        <v>129</v>
      </c>
      <c r="G2375">
        <v>240614</v>
      </c>
      <c r="H2375" s="1" t="s">
        <v>1458</v>
      </c>
      <c r="I2375" s="2"/>
      <c r="K2375">
        <v>11.2</v>
      </c>
      <c r="L2375" s="1" t="s">
        <v>29</v>
      </c>
      <c r="M2375" s="1" t="s">
        <v>30</v>
      </c>
    </row>
    <row r="2376" spans="1:13" x14ac:dyDescent="0.25">
      <c r="A2376" s="1" t="s">
        <v>3588</v>
      </c>
      <c r="B2376" s="1" t="s">
        <v>84</v>
      </c>
      <c r="C2376" s="1" t="s">
        <v>71</v>
      </c>
      <c r="D2376" s="1" t="s">
        <v>46</v>
      </c>
      <c r="E2376" s="1" t="s">
        <v>72</v>
      </c>
      <c r="F2376" s="1" t="s">
        <v>18</v>
      </c>
      <c r="G2376">
        <v>331547</v>
      </c>
      <c r="H2376" s="1" t="s">
        <v>1383</v>
      </c>
      <c r="I2376" s="2">
        <v>45228</v>
      </c>
      <c r="J2376">
        <v>169</v>
      </c>
      <c r="L2376" s="1" t="s">
        <v>20</v>
      </c>
      <c r="M2376" s="1" t="s">
        <v>30</v>
      </c>
    </row>
    <row r="2377" spans="1:13" x14ac:dyDescent="0.25">
      <c r="A2377" s="1" t="s">
        <v>3589</v>
      </c>
      <c r="B2377" s="1" t="s">
        <v>23</v>
      </c>
      <c r="C2377" s="1" t="s">
        <v>1842</v>
      </c>
      <c r="D2377" s="1" t="s">
        <v>16</v>
      </c>
      <c r="E2377" s="1" t="s">
        <v>47</v>
      </c>
      <c r="F2377" s="1" t="s">
        <v>40</v>
      </c>
      <c r="G2377">
        <v>121598</v>
      </c>
      <c r="H2377" s="1" t="s">
        <v>3590</v>
      </c>
      <c r="I2377" s="2">
        <v>45573</v>
      </c>
      <c r="J2377">
        <v>26</v>
      </c>
      <c r="K2377">
        <v>5.0999999999999996</v>
      </c>
      <c r="L2377" s="1" t="s">
        <v>29</v>
      </c>
      <c r="M2377" s="1" t="s">
        <v>149</v>
      </c>
    </row>
    <row r="2378" spans="1:13" x14ac:dyDescent="0.25">
      <c r="A2378" s="1" t="s">
        <v>3591</v>
      </c>
      <c r="B2378" s="1" t="s">
        <v>127</v>
      </c>
      <c r="C2378" s="1" t="s">
        <v>620</v>
      </c>
      <c r="D2378" s="1" t="s">
        <v>90</v>
      </c>
      <c r="E2378" s="1" t="s">
        <v>100</v>
      </c>
      <c r="F2378" s="1" t="s">
        <v>18</v>
      </c>
      <c r="G2378">
        <v>245245</v>
      </c>
      <c r="H2378" s="1" t="s">
        <v>2574</v>
      </c>
      <c r="I2378" s="2">
        <v>45232</v>
      </c>
      <c r="J2378">
        <v>49</v>
      </c>
      <c r="K2378">
        <v>9.8000000000000007</v>
      </c>
      <c r="L2378" s="1" t="s">
        <v>29</v>
      </c>
      <c r="M2378" s="1" t="s">
        <v>102</v>
      </c>
    </row>
    <row r="2379" spans="1:13" x14ac:dyDescent="0.25">
      <c r="A2379" s="1" t="s">
        <v>3592</v>
      </c>
      <c r="B2379" s="1" t="s">
        <v>44</v>
      </c>
      <c r="C2379" s="1" t="s">
        <v>466</v>
      </c>
      <c r="D2379" s="1" t="s">
        <v>46</v>
      </c>
      <c r="E2379" s="1" t="s">
        <v>17</v>
      </c>
      <c r="F2379" s="1" t="s">
        <v>27</v>
      </c>
      <c r="G2379">
        <v>145006</v>
      </c>
      <c r="H2379" s="1" t="s">
        <v>744</v>
      </c>
      <c r="I2379" s="2"/>
      <c r="K2379">
        <v>7.8</v>
      </c>
      <c r="L2379" s="1" t="s">
        <v>20</v>
      </c>
      <c r="M2379" s="1" t="s">
        <v>42</v>
      </c>
    </row>
    <row r="2380" spans="1:13" x14ac:dyDescent="0.25">
      <c r="A2380" s="1" t="s">
        <v>3593</v>
      </c>
      <c r="B2380" s="1" t="s">
        <v>98</v>
      </c>
      <c r="C2380" s="1" t="s">
        <v>224</v>
      </c>
      <c r="D2380" s="1" t="s">
        <v>16</v>
      </c>
      <c r="E2380" s="1" t="s">
        <v>17</v>
      </c>
      <c r="F2380" s="1" t="s">
        <v>18</v>
      </c>
      <c r="G2380">
        <v>369674</v>
      </c>
      <c r="H2380" s="1" t="s">
        <v>1014</v>
      </c>
      <c r="I2380" s="2">
        <v>45103</v>
      </c>
      <c r="J2380">
        <v>26</v>
      </c>
      <c r="L2380" s="1" t="s">
        <v>20</v>
      </c>
      <c r="M2380" s="1" t="s">
        <v>30</v>
      </c>
    </row>
    <row r="2381" spans="1:13" x14ac:dyDescent="0.25">
      <c r="A2381" s="1" t="s">
        <v>3594</v>
      </c>
      <c r="B2381" s="1" t="s">
        <v>59</v>
      </c>
      <c r="C2381" s="1" t="s">
        <v>162</v>
      </c>
      <c r="D2381" s="1" t="s">
        <v>39</v>
      </c>
      <c r="E2381" s="1" t="s">
        <v>47</v>
      </c>
      <c r="F2381" s="1" t="s">
        <v>33</v>
      </c>
      <c r="G2381">
        <v>125259</v>
      </c>
      <c r="H2381" s="1" t="s">
        <v>427</v>
      </c>
      <c r="I2381" s="2"/>
      <c r="K2381">
        <v>3</v>
      </c>
      <c r="L2381" s="1" t="s">
        <v>49</v>
      </c>
      <c r="M2381" s="1" t="s">
        <v>35</v>
      </c>
    </row>
    <row r="2382" spans="1:13" x14ac:dyDescent="0.25">
      <c r="A2382" s="1" t="s">
        <v>3595</v>
      </c>
      <c r="B2382" s="1" t="s">
        <v>14</v>
      </c>
      <c r="C2382" s="1" t="s">
        <v>676</v>
      </c>
      <c r="D2382" s="1" t="s">
        <v>90</v>
      </c>
      <c r="E2382" s="1" t="s">
        <v>77</v>
      </c>
      <c r="F2382" s="1" t="s">
        <v>53</v>
      </c>
      <c r="G2382">
        <v>305272</v>
      </c>
      <c r="H2382" s="1" t="s">
        <v>484</v>
      </c>
      <c r="I2382" s="2"/>
      <c r="K2382">
        <v>6.9</v>
      </c>
      <c r="L2382" s="1" t="s">
        <v>29</v>
      </c>
      <c r="M2382" s="1" t="s">
        <v>35</v>
      </c>
    </row>
    <row r="2383" spans="1:13" x14ac:dyDescent="0.25">
      <c r="A2383" s="1" t="s">
        <v>3596</v>
      </c>
      <c r="B2383" s="1" t="s">
        <v>173</v>
      </c>
      <c r="C2383" s="1" t="s">
        <v>177</v>
      </c>
      <c r="D2383" s="1" t="s">
        <v>46</v>
      </c>
      <c r="E2383" s="1" t="s">
        <v>47</v>
      </c>
      <c r="F2383" s="1" t="s">
        <v>27</v>
      </c>
      <c r="G2383">
        <v>87920</v>
      </c>
      <c r="H2383" s="1" t="s">
        <v>2556</v>
      </c>
      <c r="I2383" s="2"/>
      <c r="L2383" s="1" t="s">
        <v>20</v>
      </c>
      <c r="M2383" s="1" t="s">
        <v>102</v>
      </c>
    </row>
    <row r="2384" spans="1:13" x14ac:dyDescent="0.25">
      <c r="A2384" s="1" t="s">
        <v>3597</v>
      </c>
      <c r="B2384" s="1" t="s">
        <v>44</v>
      </c>
      <c r="C2384" s="1" t="s">
        <v>552</v>
      </c>
      <c r="D2384" s="1" t="s">
        <v>16</v>
      </c>
      <c r="E2384" s="1" t="s">
        <v>72</v>
      </c>
      <c r="F2384" s="1" t="s">
        <v>18</v>
      </c>
      <c r="G2384">
        <v>294337</v>
      </c>
      <c r="H2384" s="1" t="s">
        <v>3325</v>
      </c>
      <c r="I2384" s="2">
        <v>45813</v>
      </c>
      <c r="J2384">
        <v>118</v>
      </c>
      <c r="L2384" s="1" t="s">
        <v>49</v>
      </c>
      <c r="M2384" s="1" t="s">
        <v>63</v>
      </c>
    </row>
    <row r="2385" spans="1:13" x14ac:dyDescent="0.25">
      <c r="A2385" s="1" t="s">
        <v>3598</v>
      </c>
      <c r="B2385" s="1" t="s">
        <v>59</v>
      </c>
      <c r="C2385" s="1" t="s">
        <v>471</v>
      </c>
      <c r="D2385" s="1" t="s">
        <v>90</v>
      </c>
      <c r="E2385" s="1" t="s">
        <v>77</v>
      </c>
      <c r="F2385" s="1" t="s">
        <v>129</v>
      </c>
      <c r="G2385">
        <v>452500</v>
      </c>
      <c r="H2385" s="1" t="s">
        <v>514</v>
      </c>
      <c r="I2385" s="2"/>
      <c r="K2385">
        <v>14.3</v>
      </c>
      <c r="L2385" s="1" t="s">
        <v>29</v>
      </c>
      <c r="M2385" s="1" t="s">
        <v>63</v>
      </c>
    </row>
    <row r="2386" spans="1:13" x14ac:dyDescent="0.25">
      <c r="A2386" s="1" t="s">
        <v>3599</v>
      </c>
      <c r="B2386" s="1" t="s">
        <v>173</v>
      </c>
      <c r="C2386" s="1" t="s">
        <v>987</v>
      </c>
      <c r="D2386" s="1" t="s">
        <v>90</v>
      </c>
      <c r="E2386" s="1" t="s">
        <v>72</v>
      </c>
      <c r="F2386" s="1" t="s">
        <v>40</v>
      </c>
      <c r="G2386">
        <v>490314</v>
      </c>
      <c r="H2386" s="1" t="s">
        <v>1383</v>
      </c>
      <c r="I2386" s="2">
        <v>45141</v>
      </c>
      <c r="J2386">
        <v>82</v>
      </c>
      <c r="K2386">
        <v>23.4</v>
      </c>
      <c r="L2386" s="1" t="s">
        <v>49</v>
      </c>
      <c r="M2386" s="1" t="s">
        <v>30</v>
      </c>
    </row>
    <row r="2387" spans="1:13" x14ac:dyDescent="0.25">
      <c r="A2387" s="1" t="s">
        <v>3600</v>
      </c>
      <c r="B2387" s="1" t="s">
        <v>173</v>
      </c>
      <c r="C2387" s="1" t="s">
        <v>980</v>
      </c>
      <c r="D2387" s="1" t="s">
        <v>16</v>
      </c>
      <c r="E2387" s="1" t="s">
        <v>17</v>
      </c>
      <c r="F2387" s="1" t="s">
        <v>40</v>
      </c>
      <c r="G2387">
        <v>466056</v>
      </c>
      <c r="H2387" s="1" t="s">
        <v>902</v>
      </c>
      <c r="I2387" s="2">
        <v>45656</v>
      </c>
      <c r="J2387">
        <v>144</v>
      </c>
      <c r="K2387">
        <v>12.4</v>
      </c>
      <c r="L2387" s="1" t="s">
        <v>96</v>
      </c>
      <c r="M2387" s="1" t="s">
        <v>149</v>
      </c>
    </row>
    <row r="2388" spans="1:13" x14ac:dyDescent="0.25">
      <c r="A2388" s="1" t="s">
        <v>3601</v>
      </c>
      <c r="B2388" s="1" t="s">
        <v>88</v>
      </c>
      <c r="C2388" s="1" t="s">
        <v>401</v>
      </c>
      <c r="D2388" s="1" t="s">
        <v>16</v>
      </c>
      <c r="E2388" s="1" t="s">
        <v>100</v>
      </c>
      <c r="F2388" s="1" t="s">
        <v>33</v>
      </c>
      <c r="G2388">
        <v>434753</v>
      </c>
      <c r="H2388" s="1" t="s">
        <v>926</v>
      </c>
      <c r="I2388" s="2"/>
      <c r="L2388" s="1" t="s">
        <v>29</v>
      </c>
      <c r="M2388" s="1" t="s">
        <v>149</v>
      </c>
    </row>
    <row r="2389" spans="1:13" x14ac:dyDescent="0.25">
      <c r="A2389" s="1" t="s">
        <v>3602</v>
      </c>
      <c r="B2389" s="1" t="s">
        <v>59</v>
      </c>
      <c r="C2389" s="1" t="s">
        <v>805</v>
      </c>
      <c r="D2389" s="1" t="s">
        <v>46</v>
      </c>
      <c r="E2389" s="1" t="s">
        <v>17</v>
      </c>
      <c r="F2389" s="1" t="s">
        <v>53</v>
      </c>
      <c r="G2389">
        <v>470732</v>
      </c>
      <c r="H2389" s="1" t="s">
        <v>3603</v>
      </c>
      <c r="I2389" s="2"/>
      <c r="K2389">
        <v>10.199999999999999</v>
      </c>
      <c r="L2389" s="1" t="s">
        <v>49</v>
      </c>
      <c r="M2389" s="1" t="s">
        <v>69</v>
      </c>
    </row>
    <row r="2390" spans="1:13" x14ac:dyDescent="0.25">
      <c r="A2390" s="1" t="s">
        <v>3604</v>
      </c>
      <c r="B2390" s="1" t="s">
        <v>109</v>
      </c>
      <c r="C2390" s="1" t="s">
        <v>93</v>
      </c>
      <c r="D2390" s="1" t="s">
        <v>25</v>
      </c>
      <c r="E2390" s="1" t="s">
        <v>17</v>
      </c>
      <c r="F2390" s="1" t="s">
        <v>129</v>
      </c>
      <c r="G2390">
        <v>32112</v>
      </c>
      <c r="H2390" s="1" t="s">
        <v>3521</v>
      </c>
      <c r="I2390" s="2"/>
      <c r="K2390">
        <v>14.2</v>
      </c>
      <c r="L2390" s="1" t="s">
        <v>29</v>
      </c>
      <c r="M2390" s="1" t="s">
        <v>102</v>
      </c>
    </row>
    <row r="2391" spans="1:13" x14ac:dyDescent="0.25">
      <c r="A2391" s="1" t="s">
        <v>3605</v>
      </c>
      <c r="B2391" s="1" t="s">
        <v>65</v>
      </c>
      <c r="C2391" s="1" t="s">
        <v>898</v>
      </c>
      <c r="D2391" s="1" t="s">
        <v>25</v>
      </c>
      <c r="E2391" s="1" t="s">
        <v>17</v>
      </c>
      <c r="F2391" s="1" t="s">
        <v>53</v>
      </c>
      <c r="G2391">
        <v>267479</v>
      </c>
      <c r="H2391" s="1" t="s">
        <v>82</v>
      </c>
      <c r="I2391" s="2"/>
      <c r="K2391">
        <v>3.4</v>
      </c>
      <c r="L2391" s="1" t="s">
        <v>20</v>
      </c>
      <c r="M2391" s="1" t="s">
        <v>21</v>
      </c>
    </row>
    <row r="2392" spans="1:13" x14ac:dyDescent="0.25">
      <c r="A2392" s="1" t="s">
        <v>3606</v>
      </c>
      <c r="B2392" s="1" t="s">
        <v>104</v>
      </c>
      <c r="C2392" s="1" t="s">
        <v>292</v>
      </c>
      <c r="D2392" s="1" t="s">
        <v>39</v>
      </c>
      <c r="E2392" s="1" t="s">
        <v>17</v>
      </c>
      <c r="F2392" s="1" t="s">
        <v>27</v>
      </c>
      <c r="G2392">
        <v>346275</v>
      </c>
      <c r="H2392" s="1" t="s">
        <v>1029</v>
      </c>
      <c r="I2392" s="2"/>
      <c r="K2392">
        <v>7.7</v>
      </c>
      <c r="L2392" s="1" t="s">
        <v>20</v>
      </c>
      <c r="M2392" s="1" t="s">
        <v>30</v>
      </c>
    </row>
    <row r="2393" spans="1:13" x14ac:dyDescent="0.25">
      <c r="A2393" s="1" t="s">
        <v>3607</v>
      </c>
      <c r="B2393" s="1" t="s">
        <v>75</v>
      </c>
      <c r="C2393" s="1" t="s">
        <v>735</v>
      </c>
      <c r="D2393" s="1" t="s">
        <v>46</v>
      </c>
      <c r="E2393" s="1" t="s">
        <v>100</v>
      </c>
      <c r="F2393" s="1" t="s">
        <v>40</v>
      </c>
      <c r="G2393">
        <v>104311</v>
      </c>
      <c r="H2393" s="1" t="s">
        <v>256</v>
      </c>
      <c r="I2393" s="2">
        <v>45347</v>
      </c>
      <c r="J2393">
        <v>34</v>
      </c>
      <c r="K2393">
        <v>6.5</v>
      </c>
      <c r="L2393" s="1" t="s">
        <v>96</v>
      </c>
      <c r="M2393" s="1" t="s">
        <v>69</v>
      </c>
    </row>
    <row r="2394" spans="1:13" x14ac:dyDescent="0.25">
      <c r="A2394" s="1" t="s">
        <v>3608</v>
      </c>
      <c r="B2394" s="1" t="s">
        <v>59</v>
      </c>
      <c r="C2394" s="1" t="s">
        <v>944</v>
      </c>
      <c r="D2394" s="1" t="s">
        <v>25</v>
      </c>
      <c r="E2394" s="1" t="s">
        <v>51</v>
      </c>
      <c r="F2394" s="1" t="s">
        <v>53</v>
      </c>
      <c r="G2394">
        <v>179909</v>
      </c>
      <c r="H2394" s="1" t="s">
        <v>1763</v>
      </c>
      <c r="I2394" s="2"/>
      <c r="K2394">
        <v>5.2</v>
      </c>
      <c r="L2394" s="1" t="s">
        <v>20</v>
      </c>
      <c r="M2394" s="1" t="s">
        <v>149</v>
      </c>
    </row>
    <row r="2395" spans="1:13" x14ac:dyDescent="0.25">
      <c r="A2395" s="1" t="s">
        <v>3609</v>
      </c>
      <c r="B2395" s="1" t="s">
        <v>14</v>
      </c>
      <c r="C2395" s="1" t="s">
        <v>99</v>
      </c>
      <c r="D2395" s="1" t="s">
        <v>46</v>
      </c>
      <c r="E2395" s="1" t="s">
        <v>94</v>
      </c>
      <c r="F2395" s="1" t="s">
        <v>33</v>
      </c>
      <c r="G2395">
        <v>97745</v>
      </c>
      <c r="H2395" s="1" t="s">
        <v>1429</v>
      </c>
      <c r="I2395" s="2"/>
      <c r="K2395">
        <v>1.8</v>
      </c>
      <c r="L2395" s="1" t="s">
        <v>96</v>
      </c>
      <c r="M2395" s="1" t="s">
        <v>149</v>
      </c>
    </row>
    <row r="2396" spans="1:13" x14ac:dyDescent="0.25">
      <c r="A2396" s="1" t="s">
        <v>3610</v>
      </c>
      <c r="B2396" s="1" t="s">
        <v>109</v>
      </c>
      <c r="C2396" s="1" t="s">
        <v>346</v>
      </c>
      <c r="D2396" s="1" t="s">
        <v>67</v>
      </c>
      <c r="E2396" s="1" t="s">
        <v>77</v>
      </c>
      <c r="F2396" s="1" t="s">
        <v>40</v>
      </c>
      <c r="G2396">
        <v>450805</v>
      </c>
      <c r="H2396" s="1" t="s">
        <v>309</v>
      </c>
      <c r="I2396" s="2">
        <v>45854</v>
      </c>
      <c r="J2396">
        <v>168</v>
      </c>
      <c r="K2396">
        <v>4.3</v>
      </c>
      <c r="L2396" s="1" t="s">
        <v>20</v>
      </c>
      <c r="M2396" s="1" t="s">
        <v>63</v>
      </c>
    </row>
    <row r="2397" spans="1:13" x14ac:dyDescent="0.25">
      <c r="A2397" s="1" t="s">
        <v>3611</v>
      </c>
      <c r="B2397" s="1" t="s">
        <v>127</v>
      </c>
      <c r="C2397" s="1" t="s">
        <v>284</v>
      </c>
      <c r="D2397" s="1" t="s">
        <v>67</v>
      </c>
      <c r="E2397" s="1" t="s">
        <v>61</v>
      </c>
      <c r="F2397" s="1" t="s">
        <v>40</v>
      </c>
      <c r="G2397">
        <v>405226</v>
      </c>
      <c r="H2397" s="1" t="s">
        <v>1240</v>
      </c>
      <c r="I2397" s="2">
        <v>45691</v>
      </c>
      <c r="J2397">
        <v>108</v>
      </c>
      <c r="K2397">
        <v>0.7</v>
      </c>
      <c r="L2397" s="1" t="s">
        <v>20</v>
      </c>
      <c r="M2397" s="1" t="s">
        <v>42</v>
      </c>
    </row>
    <row r="2398" spans="1:13" x14ac:dyDescent="0.25">
      <c r="A2398" s="1" t="s">
        <v>3612</v>
      </c>
      <c r="B2398" s="1" t="s">
        <v>84</v>
      </c>
      <c r="C2398" s="1" t="s">
        <v>287</v>
      </c>
      <c r="D2398" s="1" t="s">
        <v>25</v>
      </c>
      <c r="E2398" s="1" t="s">
        <v>47</v>
      </c>
      <c r="F2398" s="1" t="s">
        <v>40</v>
      </c>
      <c r="G2398">
        <v>39007</v>
      </c>
      <c r="H2398" s="1" t="s">
        <v>2129</v>
      </c>
      <c r="I2398" s="2">
        <v>45107</v>
      </c>
      <c r="J2398">
        <v>95</v>
      </c>
      <c r="K2398">
        <v>21.7</v>
      </c>
      <c r="L2398" s="1" t="s">
        <v>20</v>
      </c>
      <c r="M2398" s="1" t="s">
        <v>35</v>
      </c>
    </row>
    <row r="2399" spans="1:13" x14ac:dyDescent="0.25">
      <c r="A2399" s="1" t="s">
        <v>3613</v>
      </c>
      <c r="B2399" s="1" t="s">
        <v>23</v>
      </c>
      <c r="C2399" s="1" t="s">
        <v>141</v>
      </c>
      <c r="D2399" s="1" t="s">
        <v>90</v>
      </c>
      <c r="E2399" s="1" t="s">
        <v>100</v>
      </c>
      <c r="F2399" s="1" t="s">
        <v>53</v>
      </c>
      <c r="G2399">
        <v>256394</v>
      </c>
      <c r="H2399" s="1" t="s">
        <v>567</v>
      </c>
      <c r="I2399" s="2"/>
      <c r="K2399">
        <v>1</v>
      </c>
      <c r="L2399" s="1" t="s">
        <v>29</v>
      </c>
      <c r="M2399" s="1" t="s">
        <v>42</v>
      </c>
    </row>
    <row r="2400" spans="1:13" x14ac:dyDescent="0.25">
      <c r="A2400" s="1" t="s">
        <v>3614</v>
      </c>
      <c r="B2400" s="1" t="s">
        <v>14</v>
      </c>
      <c r="C2400" s="1" t="s">
        <v>208</v>
      </c>
      <c r="D2400" s="1" t="s">
        <v>25</v>
      </c>
      <c r="E2400" s="1" t="s">
        <v>26</v>
      </c>
      <c r="F2400" s="1" t="s">
        <v>129</v>
      </c>
      <c r="G2400">
        <v>1571766</v>
      </c>
      <c r="H2400" s="1" t="s">
        <v>495</v>
      </c>
      <c r="I2400" s="2"/>
      <c r="K2400">
        <v>1.7</v>
      </c>
      <c r="L2400" s="1" t="s">
        <v>20</v>
      </c>
      <c r="M2400" s="1" t="s">
        <v>21</v>
      </c>
    </row>
    <row r="2401" spans="1:13" x14ac:dyDescent="0.25">
      <c r="A2401" s="1" t="s">
        <v>3615</v>
      </c>
      <c r="B2401" s="1" t="s">
        <v>88</v>
      </c>
      <c r="C2401" s="1" t="s">
        <v>390</v>
      </c>
      <c r="D2401" s="1" t="s">
        <v>46</v>
      </c>
      <c r="E2401" s="1" t="s">
        <v>94</v>
      </c>
      <c r="F2401" s="1" t="s">
        <v>129</v>
      </c>
      <c r="G2401">
        <v>186513</v>
      </c>
      <c r="H2401" s="1" t="s">
        <v>3616</v>
      </c>
      <c r="I2401" s="2"/>
      <c r="K2401">
        <v>2.8</v>
      </c>
      <c r="L2401" s="1" t="s">
        <v>29</v>
      </c>
      <c r="M2401" s="1" t="s">
        <v>30</v>
      </c>
    </row>
    <row r="2402" spans="1:13" x14ac:dyDescent="0.25">
      <c r="A2402" s="1" t="s">
        <v>3617</v>
      </c>
      <c r="B2402" s="1" t="s">
        <v>44</v>
      </c>
      <c r="C2402" s="1" t="s">
        <v>1470</v>
      </c>
      <c r="D2402" s="1" t="s">
        <v>39</v>
      </c>
      <c r="E2402" s="1" t="s">
        <v>17</v>
      </c>
      <c r="F2402" s="1" t="s">
        <v>40</v>
      </c>
      <c r="G2402">
        <v>412189</v>
      </c>
      <c r="H2402" s="1" t="s">
        <v>91</v>
      </c>
      <c r="I2402" s="2">
        <v>45344</v>
      </c>
      <c r="J2402">
        <v>134</v>
      </c>
      <c r="K2402">
        <v>22</v>
      </c>
      <c r="L2402" s="1" t="s">
        <v>29</v>
      </c>
      <c r="M2402" s="1" t="s">
        <v>21</v>
      </c>
    </row>
    <row r="2403" spans="1:13" x14ac:dyDescent="0.25">
      <c r="A2403" s="1" t="s">
        <v>3618</v>
      </c>
      <c r="B2403" s="1" t="s">
        <v>104</v>
      </c>
      <c r="C2403" s="1" t="s">
        <v>1172</v>
      </c>
      <c r="D2403" s="1" t="s">
        <v>90</v>
      </c>
      <c r="E2403" s="1" t="s">
        <v>77</v>
      </c>
      <c r="F2403" s="1" t="s">
        <v>27</v>
      </c>
      <c r="G2403">
        <v>491023</v>
      </c>
      <c r="H2403" s="1" t="s">
        <v>187</v>
      </c>
      <c r="I2403" s="2"/>
      <c r="K2403">
        <v>10.6</v>
      </c>
      <c r="L2403" s="1" t="s">
        <v>96</v>
      </c>
      <c r="M2403" s="1" t="s">
        <v>107</v>
      </c>
    </row>
    <row r="2404" spans="1:13" x14ac:dyDescent="0.25">
      <c r="A2404" s="1" t="s">
        <v>3619</v>
      </c>
      <c r="B2404" s="1" t="s">
        <v>65</v>
      </c>
      <c r="C2404" s="1" t="s">
        <v>433</v>
      </c>
      <c r="D2404" s="1" t="s">
        <v>46</v>
      </c>
      <c r="E2404" s="1" t="s">
        <v>94</v>
      </c>
      <c r="F2404" s="1" t="s">
        <v>27</v>
      </c>
      <c r="G2404">
        <v>452060</v>
      </c>
      <c r="H2404" s="1" t="s">
        <v>1012</v>
      </c>
      <c r="I2404" s="2"/>
      <c r="L2404" s="1" t="s">
        <v>96</v>
      </c>
      <c r="M2404" s="1" t="s">
        <v>42</v>
      </c>
    </row>
    <row r="2405" spans="1:13" x14ac:dyDescent="0.25">
      <c r="A2405" s="1" t="s">
        <v>3620</v>
      </c>
      <c r="B2405" s="1" t="s">
        <v>44</v>
      </c>
      <c r="C2405" s="1" t="s">
        <v>1334</v>
      </c>
      <c r="D2405" s="1" t="s">
        <v>25</v>
      </c>
      <c r="E2405" s="1" t="s">
        <v>100</v>
      </c>
      <c r="F2405" s="1" t="s">
        <v>129</v>
      </c>
      <c r="G2405">
        <v>204027</v>
      </c>
      <c r="H2405" s="1" t="s">
        <v>727</v>
      </c>
      <c r="I2405" s="2"/>
      <c r="K2405">
        <v>11.2</v>
      </c>
      <c r="L2405" s="1" t="s">
        <v>49</v>
      </c>
      <c r="M2405" s="1" t="s">
        <v>107</v>
      </c>
    </row>
    <row r="2406" spans="1:13" x14ac:dyDescent="0.25">
      <c r="A2406" s="1" t="s">
        <v>3621</v>
      </c>
      <c r="B2406" s="1" t="s">
        <v>59</v>
      </c>
      <c r="C2406" s="1" t="s">
        <v>1157</v>
      </c>
      <c r="D2406" s="1" t="s">
        <v>16</v>
      </c>
      <c r="E2406" s="1" t="s">
        <v>17</v>
      </c>
      <c r="F2406" s="1" t="s">
        <v>40</v>
      </c>
      <c r="G2406">
        <v>219843</v>
      </c>
      <c r="H2406" s="1" t="s">
        <v>91</v>
      </c>
      <c r="I2406" s="2">
        <v>45306</v>
      </c>
      <c r="J2406">
        <v>96</v>
      </c>
      <c r="K2406">
        <v>18.5</v>
      </c>
      <c r="L2406" s="1" t="s">
        <v>29</v>
      </c>
      <c r="M2406" s="1" t="s">
        <v>21</v>
      </c>
    </row>
    <row r="2407" spans="1:13" x14ac:dyDescent="0.25">
      <c r="A2407" s="1" t="s">
        <v>3622</v>
      </c>
      <c r="B2407" s="1" t="s">
        <v>65</v>
      </c>
      <c r="C2407" s="1" t="s">
        <v>1112</v>
      </c>
      <c r="D2407" s="1" t="s">
        <v>25</v>
      </c>
      <c r="E2407" s="1" t="s">
        <v>61</v>
      </c>
      <c r="F2407" s="1" t="s">
        <v>33</v>
      </c>
      <c r="G2407">
        <v>423210</v>
      </c>
      <c r="H2407" s="1" t="s">
        <v>742</v>
      </c>
      <c r="I2407" s="2"/>
      <c r="K2407">
        <v>8.6</v>
      </c>
      <c r="L2407" s="1" t="s">
        <v>20</v>
      </c>
      <c r="M2407" s="1" t="s">
        <v>107</v>
      </c>
    </row>
    <row r="2408" spans="1:13" x14ac:dyDescent="0.25">
      <c r="A2408" s="1" t="s">
        <v>3623</v>
      </c>
      <c r="B2408" s="1" t="s">
        <v>65</v>
      </c>
      <c r="C2408" s="1" t="s">
        <v>89</v>
      </c>
      <c r="D2408" s="1" t="s">
        <v>46</v>
      </c>
      <c r="E2408" s="1" t="s">
        <v>100</v>
      </c>
      <c r="F2408" s="1" t="s">
        <v>27</v>
      </c>
      <c r="G2408">
        <v>196048</v>
      </c>
      <c r="H2408" s="1" t="s">
        <v>1941</v>
      </c>
      <c r="I2408" s="2"/>
      <c r="K2408">
        <v>6.4</v>
      </c>
      <c r="L2408" s="1" t="s">
        <v>96</v>
      </c>
      <c r="M2408" s="1" t="s">
        <v>63</v>
      </c>
    </row>
    <row r="2409" spans="1:13" x14ac:dyDescent="0.25">
      <c r="A2409" s="1" t="s">
        <v>3624</v>
      </c>
      <c r="B2409" s="1" t="s">
        <v>98</v>
      </c>
      <c r="C2409" s="1" t="s">
        <v>583</v>
      </c>
      <c r="D2409" s="1" t="s">
        <v>90</v>
      </c>
      <c r="E2409" s="1" t="s">
        <v>26</v>
      </c>
      <c r="F2409" s="1" t="s">
        <v>33</v>
      </c>
      <c r="G2409">
        <v>392260</v>
      </c>
      <c r="H2409" s="1" t="s">
        <v>418</v>
      </c>
      <c r="I2409" s="2"/>
      <c r="L2409" s="1" t="s">
        <v>29</v>
      </c>
      <c r="M2409" s="1" t="s">
        <v>35</v>
      </c>
    </row>
    <row r="2410" spans="1:13" x14ac:dyDescent="0.25">
      <c r="A2410" s="1" t="s">
        <v>3625</v>
      </c>
      <c r="B2410" s="1" t="s">
        <v>75</v>
      </c>
      <c r="C2410" s="1" t="s">
        <v>1172</v>
      </c>
      <c r="D2410" s="1" t="s">
        <v>90</v>
      </c>
      <c r="E2410" s="1" t="s">
        <v>61</v>
      </c>
      <c r="F2410" s="1" t="s">
        <v>129</v>
      </c>
      <c r="G2410">
        <v>314496</v>
      </c>
      <c r="H2410" s="1" t="s">
        <v>1801</v>
      </c>
      <c r="I2410" s="2"/>
      <c r="L2410" s="1" t="s">
        <v>49</v>
      </c>
      <c r="M2410" s="1" t="s">
        <v>21</v>
      </c>
    </row>
    <row r="2411" spans="1:13" x14ac:dyDescent="0.25">
      <c r="A2411" s="1" t="s">
        <v>3626</v>
      </c>
      <c r="B2411" s="1" t="s">
        <v>75</v>
      </c>
      <c r="C2411" s="1" t="s">
        <v>724</v>
      </c>
      <c r="D2411" s="1" t="s">
        <v>39</v>
      </c>
      <c r="E2411" s="1" t="s">
        <v>61</v>
      </c>
      <c r="F2411" s="1" t="s">
        <v>33</v>
      </c>
      <c r="G2411">
        <v>171115</v>
      </c>
      <c r="H2411" s="1" t="s">
        <v>2785</v>
      </c>
      <c r="I2411" s="2"/>
      <c r="L2411" s="1" t="s">
        <v>49</v>
      </c>
      <c r="M2411" s="1" t="s">
        <v>69</v>
      </c>
    </row>
    <row r="2412" spans="1:13" x14ac:dyDescent="0.25">
      <c r="A2412" s="1" t="s">
        <v>3627</v>
      </c>
      <c r="B2412" s="1" t="s">
        <v>173</v>
      </c>
      <c r="C2412" s="1" t="s">
        <v>255</v>
      </c>
      <c r="D2412" s="1" t="s">
        <v>67</v>
      </c>
      <c r="E2412" s="1" t="s">
        <v>26</v>
      </c>
      <c r="F2412" s="1" t="s">
        <v>33</v>
      </c>
      <c r="G2412">
        <v>444775</v>
      </c>
      <c r="H2412" s="1" t="s">
        <v>3628</v>
      </c>
      <c r="I2412" s="2"/>
      <c r="L2412" s="1" t="s">
        <v>49</v>
      </c>
      <c r="M2412" s="1" t="s">
        <v>69</v>
      </c>
    </row>
    <row r="2413" spans="1:13" x14ac:dyDescent="0.25">
      <c r="A2413" s="1" t="s">
        <v>3629</v>
      </c>
      <c r="B2413" s="1" t="s">
        <v>59</v>
      </c>
      <c r="C2413" s="1" t="s">
        <v>160</v>
      </c>
      <c r="D2413" s="1" t="s">
        <v>46</v>
      </c>
      <c r="E2413" s="1" t="s">
        <v>94</v>
      </c>
      <c r="F2413" s="1" t="s">
        <v>53</v>
      </c>
      <c r="G2413">
        <v>401116</v>
      </c>
      <c r="H2413" s="1" t="s">
        <v>1737</v>
      </c>
      <c r="I2413" s="2"/>
      <c r="K2413">
        <v>12.6</v>
      </c>
      <c r="L2413" s="1" t="s">
        <v>20</v>
      </c>
      <c r="M2413" s="1" t="s">
        <v>149</v>
      </c>
    </row>
    <row r="2414" spans="1:13" x14ac:dyDescent="0.25">
      <c r="A2414" s="1" t="s">
        <v>3630</v>
      </c>
      <c r="B2414" s="1" t="s">
        <v>23</v>
      </c>
      <c r="C2414" s="1" t="s">
        <v>497</v>
      </c>
      <c r="D2414" s="1" t="s">
        <v>39</v>
      </c>
      <c r="E2414" s="1" t="s">
        <v>72</v>
      </c>
      <c r="F2414" s="1" t="s">
        <v>18</v>
      </c>
      <c r="G2414">
        <v>317013</v>
      </c>
      <c r="H2414" s="1" t="s">
        <v>1756</v>
      </c>
      <c r="I2414" s="2">
        <v>45738</v>
      </c>
      <c r="J2414">
        <v>154</v>
      </c>
      <c r="K2414">
        <v>14.7</v>
      </c>
      <c r="L2414" s="1" t="s">
        <v>49</v>
      </c>
      <c r="M2414" s="1" t="s">
        <v>42</v>
      </c>
    </row>
    <row r="2415" spans="1:13" x14ac:dyDescent="0.25">
      <c r="A2415" s="1" t="s">
        <v>3631</v>
      </c>
      <c r="B2415" s="1" t="s">
        <v>75</v>
      </c>
      <c r="C2415" s="1" t="s">
        <v>355</v>
      </c>
      <c r="D2415" s="1" t="s">
        <v>46</v>
      </c>
      <c r="E2415" s="1" t="s">
        <v>26</v>
      </c>
      <c r="F2415" s="1" t="s">
        <v>33</v>
      </c>
      <c r="G2415">
        <v>150513</v>
      </c>
      <c r="H2415" s="1" t="s">
        <v>1003</v>
      </c>
      <c r="I2415" s="2"/>
      <c r="K2415">
        <v>7.1</v>
      </c>
      <c r="L2415" s="1" t="s">
        <v>29</v>
      </c>
      <c r="M2415" s="1" t="s">
        <v>107</v>
      </c>
    </row>
    <row r="2416" spans="1:13" x14ac:dyDescent="0.25">
      <c r="A2416" s="1" t="s">
        <v>3632</v>
      </c>
      <c r="B2416" s="1" t="s">
        <v>65</v>
      </c>
      <c r="C2416" s="1" t="s">
        <v>3227</v>
      </c>
      <c r="D2416" s="1" t="s">
        <v>67</v>
      </c>
      <c r="E2416" s="1" t="s">
        <v>77</v>
      </c>
      <c r="F2416" s="1" t="s">
        <v>53</v>
      </c>
      <c r="G2416">
        <v>90603</v>
      </c>
      <c r="H2416" s="1" t="s">
        <v>835</v>
      </c>
      <c r="I2416" s="2"/>
      <c r="K2416">
        <v>3.4</v>
      </c>
      <c r="L2416" s="1" t="s">
        <v>49</v>
      </c>
      <c r="M2416" s="1" t="s">
        <v>69</v>
      </c>
    </row>
    <row r="2417" spans="1:13" x14ac:dyDescent="0.25">
      <c r="A2417" s="1" t="s">
        <v>3633</v>
      </c>
      <c r="B2417" s="1" t="s">
        <v>88</v>
      </c>
      <c r="C2417" s="1" t="s">
        <v>132</v>
      </c>
      <c r="D2417" s="1" t="s">
        <v>16</v>
      </c>
      <c r="E2417" s="1" t="s">
        <v>17</v>
      </c>
      <c r="F2417" s="1" t="s">
        <v>40</v>
      </c>
      <c r="G2417">
        <v>188753</v>
      </c>
      <c r="H2417" s="1" t="s">
        <v>1546</v>
      </c>
      <c r="I2417" s="2">
        <v>45689</v>
      </c>
      <c r="J2417">
        <v>126</v>
      </c>
      <c r="K2417">
        <v>19.600000000000001</v>
      </c>
      <c r="L2417" s="1" t="s">
        <v>96</v>
      </c>
      <c r="M2417" s="1" t="s">
        <v>149</v>
      </c>
    </row>
    <row r="2418" spans="1:13" x14ac:dyDescent="0.25">
      <c r="A2418" s="1" t="s">
        <v>3634</v>
      </c>
      <c r="B2418" s="1" t="s">
        <v>109</v>
      </c>
      <c r="C2418" s="1" t="s">
        <v>967</v>
      </c>
      <c r="D2418" s="1" t="s">
        <v>16</v>
      </c>
      <c r="E2418" s="1" t="s">
        <v>72</v>
      </c>
      <c r="F2418" s="1" t="s">
        <v>33</v>
      </c>
      <c r="G2418">
        <v>482804</v>
      </c>
      <c r="H2418" s="1" t="s">
        <v>3635</v>
      </c>
      <c r="I2418" s="2"/>
      <c r="L2418" s="1" t="s">
        <v>96</v>
      </c>
      <c r="M2418" s="1" t="s">
        <v>63</v>
      </c>
    </row>
    <row r="2419" spans="1:13" x14ac:dyDescent="0.25">
      <c r="A2419" s="1" t="s">
        <v>3636</v>
      </c>
      <c r="B2419" s="1" t="s">
        <v>104</v>
      </c>
      <c r="C2419" s="1" t="s">
        <v>767</v>
      </c>
      <c r="D2419" s="1" t="s">
        <v>39</v>
      </c>
      <c r="E2419" s="1" t="s">
        <v>61</v>
      </c>
      <c r="F2419" s="1" t="s">
        <v>40</v>
      </c>
      <c r="G2419">
        <v>462094</v>
      </c>
      <c r="H2419" s="1" t="s">
        <v>623</v>
      </c>
      <c r="I2419" s="2">
        <v>45509</v>
      </c>
      <c r="J2419">
        <v>131</v>
      </c>
      <c r="K2419">
        <v>9.4</v>
      </c>
      <c r="L2419" s="1" t="s">
        <v>96</v>
      </c>
      <c r="M2419" s="1" t="s">
        <v>69</v>
      </c>
    </row>
    <row r="2420" spans="1:13" x14ac:dyDescent="0.25">
      <c r="A2420" s="1" t="s">
        <v>3637</v>
      </c>
      <c r="B2420" s="1" t="s">
        <v>23</v>
      </c>
      <c r="C2420" s="1" t="s">
        <v>1410</v>
      </c>
      <c r="D2420" s="1" t="s">
        <v>67</v>
      </c>
      <c r="E2420" s="1" t="s">
        <v>72</v>
      </c>
      <c r="F2420" s="1" t="s">
        <v>18</v>
      </c>
      <c r="G2420">
        <v>303043</v>
      </c>
      <c r="H2420" s="1" t="s">
        <v>1679</v>
      </c>
      <c r="I2420" s="2">
        <v>45730</v>
      </c>
      <c r="J2420">
        <v>38</v>
      </c>
      <c r="K2420">
        <v>9.1</v>
      </c>
      <c r="L2420" s="1" t="s">
        <v>96</v>
      </c>
      <c r="M2420" s="1" t="s">
        <v>63</v>
      </c>
    </row>
    <row r="2421" spans="1:13" x14ac:dyDescent="0.25">
      <c r="A2421" s="1" t="s">
        <v>3638</v>
      </c>
      <c r="B2421" s="1" t="s">
        <v>109</v>
      </c>
      <c r="C2421" s="1" t="s">
        <v>132</v>
      </c>
      <c r="D2421" s="1" t="s">
        <v>46</v>
      </c>
      <c r="E2421" s="1" t="s">
        <v>72</v>
      </c>
      <c r="F2421" s="1" t="s">
        <v>53</v>
      </c>
      <c r="G2421">
        <v>472571</v>
      </c>
      <c r="H2421" s="1" t="s">
        <v>1098</v>
      </c>
      <c r="I2421" s="2"/>
      <c r="L2421" s="1" t="s">
        <v>20</v>
      </c>
      <c r="M2421" s="1" t="s">
        <v>42</v>
      </c>
    </row>
    <row r="2422" spans="1:13" x14ac:dyDescent="0.25">
      <c r="A2422" s="1" t="s">
        <v>3639</v>
      </c>
      <c r="B2422" s="1" t="s">
        <v>23</v>
      </c>
      <c r="C2422" s="1" t="s">
        <v>1153</v>
      </c>
      <c r="D2422" s="1" t="s">
        <v>16</v>
      </c>
      <c r="E2422" s="1" t="s">
        <v>77</v>
      </c>
      <c r="F2422" s="1" t="s">
        <v>40</v>
      </c>
      <c r="G2422">
        <v>154293</v>
      </c>
      <c r="H2422" s="1" t="s">
        <v>484</v>
      </c>
      <c r="I2422" s="2">
        <v>44984</v>
      </c>
      <c r="J2422">
        <v>43</v>
      </c>
      <c r="K2422">
        <v>22.8</v>
      </c>
      <c r="L2422" s="1" t="s">
        <v>29</v>
      </c>
      <c r="M2422" s="1" t="s">
        <v>35</v>
      </c>
    </row>
    <row r="2423" spans="1:13" x14ac:dyDescent="0.25">
      <c r="A2423" s="1" t="s">
        <v>3640</v>
      </c>
      <c r="B2423" s="1" t="s">
        <v>44</v>
      </c>
      <c r="C2423" s="1" t="s">
        <v>85</v>
      </c>
      <c r="D2423" s="1" t="s">
        <v>16</v>
      </c>
      <c r="E2423" s="1" t="s">
        <v>77</v>
      </c>
      <c r="F2423" s="1" t="s">
        <v>18</v>
      </c>
      <c r="G2423">
        <v>418693</v>
      </c>
      <c r="H2423" s="1" t="s">
        <v>1998</v>
      </c>
      <c r="I2423" s="2">
        <v>45493</v>
      </c>
      <c r="J2423">
        <v>81</v>
      </c>
      <c r="K2423">
        <v>5.2</v>
      </c>
      <c r="L2423" s="1" t="s">
        <v>29</v>
      </c>
      <c r="M2423" s="1" t="s">
        <v>107</v>
      </c>
    </row>
    <row r="2424" spans="1:13" x14ac:dyDescent="0.25">
      <c r="A2424" s="1" t="s">
        <v>3641</v>
      </c>
      <c r="B2424" s="1" t="s">
        <v>37</v>
      </c>
      <c r="C2424" s="1" t="s">
        <v>583</v>
      </c>
      <c r="D2424" s="1" t="s">
        <v>46</v>
      </c>
      <c r="E2424" s="1" t="s">
        <v>77</v>
      </c>
      <c r="F2424" s="1" t="s">
        <v>40</v>
      </c>
      <c r="G2424">
        <v>319580</v>
      </c>
      <c r="H2424" s="1" t="s">
        <v>240</v>
      </c>
      <c r="I2424" s="2">
        <v>45357</v>
      </c>
      <c r="J2424">
        <v>40</v>
      </c>
      <c r="K2424">
        <v>3.9</v>
      </c>
      <c r="L2424" s="1" t="s">
        <v>96</v>
      </c>
      <c r="M2424" s="1" t="s">
        <v>69</v>
      </c>
    </row>
    <row r="2425" spans="1:13" x14ac:dyDescent="0.25">
      <c r="A2425" s="1" t="s">
        <v>3642</v>
      </c>
      <c r="B2425" s="1" t="s">
        <v>44</v>
      </c>
      <c r="C2425" s="1" t="s">
        <v>113</v>
      </c>
      <c r="D2425" s="1" t="s">
        <v>16</v>
      </c>
      <c r="E2425" s="1" t="s">
        <v>94</v>
      </c>
      <c r="F2425" s="1" t="s">
        <v>18</v>
      </c>
      <c r="G2425">
        <v>31431</v>
      </c>
      <c r="H2425" s="1" t="s">
        <v>440</v>
      </c>
      <c r="I2425" s="2">
        <v>45253</v>
      </c>
      <c r="J2425">
        <v>164</v>
      </c>
      <c r="L2425" s="1" t="s">
        <v>96</v>
      </c>
      <c r="M2425" s="1" t="s">
        <v>30</v>
      </c>
    </row>
    <row r="2426" spans="1:13" x14ac:dyDescent="0.25">
      <c r="A2426" s="1" t="s">
        <v>3643</v>
      </c>
      <c r="B2426" s="1" t="s">
        <v>84</v>
      </c>
      <c r="C2426" s="1" t="s">
        <v>457</v>
      </c>
      <c r="D2426" s="1" t="s">
        <v>39</v>
      </c>
      <c r="E2426" s="1" t="s">
        <v>17</v>
      </c>
      <c r="F2426" s="1" t="s">
        <v>40</v>
      </c>
      <c r="G2426">
        <v>246647</v>
      </c>
      <c r="H2426" s="1" t="s">
        <v>601</v>
      </c>
      <c r="I2426" s="2">
        <v>45067</v>
      </c>
      <c r="J2426">
        <v>62</v>
      </c>
      <c r="K2426">
        <v>2.1</v>
      </c>
      <c r="L2426" s="1" t="s">
        <v>96</v>
      </c>
      <c r="M2426" s="1" t="s">
        <v>35</v>
      </c>
    </row>
    <row r="2427" spans="1:13" x14ac:dyDescent="0.25">
      <c r="A2427" s="1" t="s">
        <v>3644</v>
      </c>
      <c r="B2427" s="1" t="s">
        <v>37</v>
      </c>
      <c r="C2427" s="1" t="s">
        <v>300</v>
      </c>
      <c r="D2427" s="1" t="s">
        <v>46</v>
      </c>
      <c r="E2427" s="1" t="s">
        <v>61</v>
      </c>
      <c r="F2427" s="1" t="s">
        <v>53</v>
      </c>
      <c r="G2427">
        <v>164945</v>
      </c>
      <c r="H2427" s="1" t="s">
        <v>3645</v>
      </c>
      <c r="I2427" s="2"/>
      <c r="L2427" s="1" t="s">
        <v>96</v>
      </c>
      <c r="M2427" s="1" t="s">
        <v>149</v>
      </c>
    </row>
    <row r="2428" spans="1:13" x14ac:dyDescent="0.25">
      <c r="A2428" s="1" t="s">
        <v>3646</v>
      </c>
      <c r="B2428" s="1" t="s">
        <v>173</v>
      </c>
      <c r="C2428" s="1" t="s">
        <v>1112</v>
      </c>
      <c r="D2428" s="1" t="s">
        <v>67</v>
      </c>
      <c r="E2428" s="1" t="s">
        <v>17</v>
      </c>
      <c r="F2428" s="1" t="s">
        <v>53</v>
      </c>
      <c r="G2428">
        <v>364816</v>
      </c>
      <c r="H2428" s="1" t="s">
        <v>1315</v>
      </c>
      <c r="I2428" s="2"/>
      <c r="K2428">
        <v>13.2</v>
      </c>
      <c r="L2428" s="1" t="s">
        <v>29</v>
      </c>
      <c r="M2428" s="1" t="s">
        <v>149</v>
      </c>
    </row>
    <row r="2429" spans="1:13" x14ac:dyDescent="0.25">
      <c r="A2429" s="1" t="s">
        <v>3647</v>
      </c>
      <c r="B2429" s="1" t="s">
        <v>37</v>
      </c>
      <c r="C2429" s="1" t="s">
        <v>693</v>
      </c>
      <c r="D2429" s="1" t="s">
        <v>67</v>
      </c>
      <c r="E2429" s="1" t="s">
        <v>94</v>
      </c>
      <c r="F2429" s="1" t="s">
        <v>18</v>
      </c>
      <c r="G2429">
        <v>356861</v>
      </c>
      <c r="H2429" s="1" t="s">
        <v>754</v>
      </c>
      <c r="I2429" s="2">
        <v>45808</v>
      </c>
      <c r="J2429">
        <v>167</v>
      </c>
      <c r="L2429" s="1" t="s">
        <v>20</v>
      </c>
      <c r="M2429" s="1" t="s">
        <v>42</v>
      </c>
    </row>
    <row r="2430" spans="1:13" x14ac:dyDescent="0.25">
      <c r="A2430" s="1" t="s">
        <v>3648</v>
      </c>
      <c r="B2430" s="1" t="s">
        <v>80</v>
      </c>
      <c r="C2430" s="1" t="s">
        <v>852</v>
      </c>
      <c r="D2430" s="1" t="s">
        <v>67</v>
      </c>
      <c r="E2430" s="1" t="s">
        <v>26</v>
      </c>
      <c r="F2430" s="1" t="s">
        <v>27</v>
      </c>
      <c r="G2430">
        <v>488204</v>
      </c>
      <c r="H2430" s="1" t="s">
        <v>1574</v>
      </c>
      <c r="I2430" s="2"/>
      <c r="K2430">
        <v>7.7</v>
      </c>
      <c r="L2430" s="1" t="s">
        <v>96</v>
      </c>
      <c r="M2430" s="1" t="s">
        <v>69</v>
      </c>
    </row>
    <row r="2431" spans="1:13" x14ac:dyDescent="0.25">
      <c r="A2431" s="1" t="s">
        <v>3649</v>
      </c>
      <c r="B2431" s="1" t="s">
        <v>14</v>
      </c>
      <c r="C2431" s="1" t="s">
        <v>300</v>
      </c>
      <c r="D2431" s="1" t="s">
        <v>46</v>
      </c>
      <c r="E2431" s="1" t="s">
        <v>61</v>
      </c>
      <c r="F2431" s="1" t="s">
        <v>40</v>
      </c>
      <c r="G2431">
        <v>337191</v>
      </c>
      <c r="H2431" s="1" t="s">
        <v>256</v>
      </c>
      <c r="I2431" s="2">
        <v>45330</v>
      </c>
      <c r="J2431">
        <v>17</v>
      </c>
      <c r="K2431">
        <v>13</v>
      </c>
      <c r="L2431" s="1" t="s">
        <v>20</v>
      </c>
      <c r="M2431" s="1" t="s">
        <v>69</v>
      </c>
    </row>
    <row r="2432" spans="1:13" x14ac:dyDescent="0.25">
      <c r="A2432" s="1" t="s">
        <v>3650</v>
      </c>
      <c r="B2432" s="1" t="s">
        <v>37</v>
      </c>
      <c r="C2432" s="1" t="s">
        <v>474</v>
      </c>
      <c r="D2432" s="1" t="s">
        <v>16</v>
      </c>
      <c r="E2432" s="1" t="s">
        <v>17</v>
      </c>
      <c r="F2432" s="1" t="s">
        <v>33</v>
      </c>
      <c r="G2432">
        <v>12141</v>
      </c>
      <c r="H2432" s="1" t="s">
        <v>2287</v>
      </c>
      <c r="I2432" s="2"/>
      <c r="K2432">
        <v>10.3</v>
      </c>
      <c r="L2432" s="1" t="s">
        <v>29</v>
      </c>
      <c r="M2432" s="1" t="s">
        <v>102</v>
      </c>
    </row>
    <row r="2433" spans="1:13" x14ac:dyDescent="0.25">
      <c r="A2433" s="1" t="s">
        <v>3651</v>
      </c>
      <c r="B2433" s="1" t="s">
        <v>44</v>
      </c>
      <c r="C2433" s="1" t="s">
        <v>1842</v>
      </c>
      <c r="D2433" s="1" t="s">
        <v>16</v>
      </c>
      <c r="E2433" s="1" t="s">
        <v>61</v>
      </c>
      <c r="F2433" s="1" t="s">
        <v>40</v>
      </c>
      <c r="G2433">
        <v>382210</v>
      </c>
      <c r="H2433" s="1" t="s">
        <v>1534</v>
      </c>
      <c r="I2433" s="2">
        <v>45744</v>
      </c>
      <c r="J2433">
        <v>55</v>
      </c>
      <c r="K2433">
        <v>0.5</v>
      </c>
      <c r="L2433" s="1" t="s">
        <v>29</v>
      </c>
      <c r="M2433" s="1" t="s">
        <v>63</v>
      </c>
    </row>
    <row r="2434" spans="1:13" x14ac:dyDescent="0.25">
      <c r="A2434" s="1" t="s">
        <v>3652</v>
      </c>
      <c r="B2434" s="1" t="s">
        <v>23</v>
      </c>
      <c r="C2434" s="1" t="s">
        <v>571</v>
      </c>
      <c r="D2434" s="1" t="s">
        <v>46</v>
      </c>
      <c r="E2434" s="1" t="s">
        <v>47</v>
      </c>
      <c r="F2434" s="1" t="s">
        <v>129</v>
      </c>
      <c r="G2434">
        <v>455899</v>
      </c>
      <c r="H2434" s="1" t="s">
        <v>694</v>
      </c>
      <c r="I2434" s="2"/>
      <c r="L2434" s="1" t="s">
        <v>29</v>
      </c>
      <c r="M2434" s="1" t="s">
        <v>42</v>
      </c>
    </row>
    <row r="2435" spans="1:13" x14ac:dyDescent="0.25">
      <c r="A2435" s="1" t="s">
        <v>3653</v>
      </c>
      <c r="B2435" s="1" t="s">
        <v>84</v>
      </c>
      <c r="C2435" s="1" t="s">
        <v>270</v>
      </c>
      <c r="D2435" s="1" t="s">
        <v>90</v>
      </c>
      <c r="E2435" s="1" t="s">
        <v>72</v>
      </c>
      <c r="F2435" s="1" t="s">
        <v>129</v>
      </c>
      <c r="G2435">
        <v>193276</v>
      </c>
      <c r="H2435" s="1" t="s">
        <v>2947</v>
      </c>
      <c r="I2435" s="2"/>
      <c r="K2435">
        <v>11.7</v>
      </c>
      <c r="L2435" s="1" t="s">
        <v>20</v>
      </c>
      <c r="M2435" s="1" t="s">
        <v>42</v>
      </c>
    </row>
    <row r="2436" spans="1:13" x14ac:dyDescent="0.25">
      <c r="A2436" s="1" t="s">
        <v>3654</v>
      </c>
      <c r="B2436" s="1" t="s">
        <v>80</v>
      </c>
      <c r="C2436" s="1" t="s">
        <v>273</v>
      </c>
      <c r="D2436" s="1" t="s">
        <v>90</v>
      </c>
      <c r="E2436" s="1" t="s">
        <v>17</v>
      </c>
      <c r="F2436" s="1" t="s">
        <v>27</v>
      </c>
      <c r="G2436">
        <v>89484</v>
      </c>
      <c r="H2436" s="1" t="s">
        <v>2673</v>
      </c>
      <c r="I2436" s="2"/>
      <c r="K2436">
        <v>13.2</v>
      </c>
      <c r="L2436" s="1" t="s">
        <v>20</v>
      </c>
      <c r="M2436" s="1" t="s">
        <v>69</v>
      </c>
    </row>
    <row r="2437" spans="1:13" x14ac:dyDescent="0.25">
      <c r="A2437" s="1" t="s">
        <v>3655</v>
      </c>
      <c r="B2437" s="1" t="s">
        <v>98</v>
      </c>
      <c r="C2437" s="1" t="s">
        <v>1057</v>
      </c>
      <c r="D2437" s="1" t="s">
        <v>16</v>
      </c>
      <c r="E2437" s="1" t="s">
        <v>100</v>
      </c>
      <c r="F2437" s="1" t="s">
        <v>18</v>
      </c>
      <c r="G2437">
        <v>347524</v>
      </c>
      <c r="H2437" s="1" t="s">
        <v>1998</v>
      </c>
      <c r="I2437" s="2">
        <v>45554</v>
      </c>
      <c r="J2437">
        <v>142</v>
      </c>
      <c r="L2437" s="1" t="s">
        <v>29</v>
      </c>
      <c r="M2437" s="1" t="s">
        <v>107</v>
      </c>
    </row>
    <row r="2438" spans="1:13" x14ac:dyDescent="0.25">
      <c r="A2438" s="1" t="s">
        <v>3656</v>
      </c>
      <c r="B2438" s="1" t="s">
        <v>109</v>
      </c>
      <c r="C2438" s="1" t="s">
        <v>2091</v>
      </c>
      <c r="D2438" s="1" t="s">
        <v>90</v>
      </c>
      <c r="E2438" s="1" t="s">
        <v>61</v>
      </c>
      <c r="F2438" s="1" t="s">
        <v>27</v>
      </c>
      <c r="G2438">
        <v>372383</v>
      </c>
      <c r="H2438" s="1" t="s">
        <v>601</v>
      </c>
      <c r="I2438" s="2"/>
      <c r="K2438">
        <v>6.9</v>
      </c>
      <c r="L2438" s="1" t="s">
        <v>96</v>
      </c>
      <c r="M2438" s="1" t="s">
        <v>35</v>
      </c>
    </row>
    <row r="2439" spans="1:13" x14ac:dyDescent="0.25">
      <c r="A2439" s="1" t="s">
        <v>3657</v>
      </c>
      <c r="B2439" s="1" t="s">
        <v>104</v>
      </c>
      <c r="C2439" s="1" t="s">
        <v>2006</v>
      </c>
      <c r="D2439" s="1" t="s">
        <v>39</v>
      </c>
      <c r="E2439" s="1" t="s">
        <v>94</v>
      </c>
      <c r="F2439" s="1" t="s">
        <v>33</v>
      </c>
      <c r="G2439">
        <v>352462</v>
      </c>
      <c r="H2439" s="1" t="s">
        <v>214</v>
      </c>
      <c r="I2439" s="2"/>
      <c r="L2439" s="1" t="s">
        <v>20</v>
      </c>
      <c r="M2439" s="1" t="s">
        <v>35</v>
      </c>
    </row>
    <row r="2440" spans="1:13" x14ac:dyDescent="0.25">
      <c r="A2440" s="1" t="s">
        <v>3658</v>
      </c>
      <c r="B2440" s="1" t="s">
        <v>104</v>
      </c>
      <c r="C2440" s="1" t="s">
        <v>1074</v>
      </c>
      <c r="D2440" s="1" t="s">
        <v>90</v>
      </c>
      <c r="E2440" s="1" t="s">
        <v>100</v>
      </c>
      <c r="F2440" s="1" t="s">
        <v>18</v>
      </c>
      <c r="G2440">
        <v>194939</v>
      </c>
      <c r="H2440" s="1" t="s">
        <v>1919</v>
      </c>
      <c r="I2440" s="2">
        <v>45597</v>
      </c>
      <c r="J2440">
        <v>41</v>
      </c>
      <c r="K2440">
        <v>10.1</v>
      </c>
      <c r="L2440" s="1" t="s">
        <v>20</v>
      </c>
      <c r="M2440" s="1" t="s">
        <v>149</v>
      </c>
    </row>
    <row r="2441" spans="1:13" x14ac:dyDescent="0.25">
      <c r="A2441" s="1" t="s">
        <v>3659</v>
      </c>
      <c r="B2441" s="1" t="s">
        <v>59</v>
      </c>
      <c r="C2441" s="1" t="s">
        <v>247</v>
      </c>
      <c r="D2441" s="1" t="s">
        <v>25</v>
      </c>
      <c r="E2441" s="1" t="s">
        <v>17</v>
      </c>
      <c r="F2441" s="1" t="s">
        <v>40</v>
      </c>
      <c r="G2441">
        <v>189982</v>
      </c>
      <c r="H2441" s="1" t="s">
        <v>628</v>
      </c>
      <c r="I2441" s="2">
        <v>45526</v>
      </c>
      <c r="J2441">
        <v>53</v>
      </c>
      <c r="K2441">
        <v>15.9</v>
      </c>
      <c r="L2441" s="1" t="s">
        <v>20</v>
      </c>
      <c r="M2441" s="1" t="s">
        <v>107</v>
      </c>
    </row>
    <row r="2442" spans="1:13" x14ac:dyDescent="0.25">
      <c r="A2442" s="1" t="s">
        <v>3660</v>
      </c>
      <c r="B2442" s="1" t="s">
        <v>44</v>
      </c>
      <c r="C2442" s="1" t="s">
        <v>654</v>
      </c>
      <c r="D2442" s="1" t="s">
        <v>16</v>
      </c>
      <c r="E2442" s="1" t="s">
        <v>77</v>
      </c>
      <c r="F2442" s="1" t="s">
        <v>53</v>
      </c>
      <c r="G2442">
        <v>73177</v>
      </c>
      <c r="H2442" s="1" t="s">
        <v>1767</v>
      </c>
      <c r="I2442" s="2"/>
      <c r="K2442">
        <v>6.1</v>
      </c>
      <c r="L2442" s="1" t="s">
        <v>96</v>
      </c>
      <c r="M2442" s="1" t="s">
        <v>21</v>
      </c>
    </row>
    <row r="2443" spans="1:13" x14ac:dyDescent="0.25">
      <c r="A2443" s="1" t="s">
        <v>2462</v>
      </c>
      <c r="B2443" s="1" t="s">
        <v>37</v>
      </c>
      <c r="C2443" s="1" t="s">
        <v>2334</v>
      </c>
      <c r="D2443" s="1" t="s">
        <v>25</v>
      </c>
      <c r="E2443" s="1" t="s">
        <v>100</v>
      </c>
      <c r="F2443" s="1" t="s">
        <v>18</v>
      </c>
      <c r="G2443">
        <v>266624</v>
      </c>
      <c r="H2443" s="1" t="s">
        <v>2463</v>
      </c>
      <c r="I2443" s="2">
        <v>45823</v>
      </c>
      <c r="J2443">
        <v>147</v>
      </c>
      <c r="K2443">
        <v>12.9</v>
      </c>
      <c r="L2443" s="1" t="s">
        <v>29</v>
      </c>
      <c r="M2443" s="1" t="s">
        <v>63</v>
      </c>
    </row>
    <row r="2444" spans="1:13" x14ac:dyDescent="0.25">
      <c r="A2444" s="1" t="s">
        <v>3661</v>
      </c>
      <c r="B2444" s="1" t="s">
        <v>84</v>
      </c>
      <c r="C2444" s="1" t="s">
        <v>737</v>
      </c>
      <c r="D2444" s="1" t="s">
        <v>16</v>
      </c>
      <c r="E2444" s="1" t="s">
        <v>77</v>
      </c>
      <c r="F2444" s="1" t="s">
        <v>53</v>
      </c>
      <c r="G2444">
        <v>211860</v>
      </c>
      <c r="H2444" s="1" t="s">
        <v>604</v>
      </c>
      <c r="I2444" s="2"/>
      <c r="K2444">
        <v>6.4</v>
      </c>
      <c r="L2444" s="1" t="s">
        <v>20</v>
      </c>
      <c r="M2444" s="1" t="s">
        <v>107</v>
      </c>
    </row>
    <row r="2445" spans="1:13" x14ac:dyDescent="0.25">
      <c r="A2445" s="1" t="s">
        <v>3662</v>
      </c>
      <c r="B2445" s="1" t="s">
        <v>44</v>
      </c>
      <c r="C2445" s="1" t="s">
        <v>571</v>
      </c>
      <c r="D2445" s="1" t="s">
        <v>90</v>
      </c>
      <c r="E2445" s="1" t="s">
        <v>72</v>
      </c>
      <c r="F2445" s="1" t="s">
        <v>33</v>
      </c>
      <c r="G2445">
        <v>465436</v>
      </c>
      <c r="H2445" s="1" t="s">
        <v>3663</v>
      </c>
      <c r="I2445" s="2"/>
      <c r="L2445" s="1" t="s">
        <v>29</v>
      </c>
      <c r="M2445" s="1" t="s">
        <v>69</v>
      </c>
    </row>
    <row r="2446" spans="1:13" x14ac:dyDescent="0.25">
      <c r="A2446" s="1" t="s">
        <v>3664</v>
      </c>
      <c r="B2446" s="1" t="s">
        <v>75</v>
      </c>
      <c r="C2446" s="1" t="s">
        <v>518</v>
      </c>
      <c r="D2446" s="1" t="s">
        <v>16</v>
      </c>
      <c r="E2446" s="1" t="s">
        <v>17</v>
      </c>
      <c r="F2446" s="1" t="s">
        <v>33</v>
      </c>
      <c r="G2446">
        <v>369537</v>
      </c>
      <c r="H2446" s="1" t="s">
        <v>3665</v>
      </c>
      <c r="I2446" s="2"/>
      <c r="K2446">
        <v>11.7</v>
      </c>
      <c r="L2446" s="1" t="s">
        <v>49</v>
      </c>
      <c r="M2446" s="1" t="s">
        <v>63</v>
      </c>
    </row>
    <row r="2447" spans="1:13" x14ac:dyDescent="0.25">
      <c r="A2447" s="1" t="s">
        <v>3666</v>
      </c>
      <c r="B2447" s="1" t="s">
        <v>14</v>
      </c>
      <c r="C2447" s="1" t="s">
        <v>831</v>
      </c>
      <c r="D2447" s="1" t="s">
        <v>39</v>
      </c>
      <c r="E2447" s="1" t="s">
        <v>17</v>
      </c>
      <c r="F2447" s="1" t="s">
        <v>18</v>
      </c>
      <c r="G2447">
        <v>265969</v>
      </c>
      <c r="H2447" s="1" t="s">
        <v>684</v>
      </c>
      <c r="I2447" s="2">
        <v>45704</v>
      </c>
      <c r="J2447">
        <v>19</v>
      </c>
      <c r="K2447">
        <v>13</v>
      </c>
      <c r="L2447" s="1" t="s">
        <v>49</v>
      </c>
      <c r="M2447" s="1" t="s">
        <v>63</v>
      </c>
    </row>
    <row r="2448" spans="1:13" x14ac:dyDescent="0.25">
      <c r="A2448" s="1" t="s">
        <v>731</v>
      </c>
      <c r="B2448" s="1" t="s">
        <v>80</v>
      </c>
      <c r="C2448" s="1" t="s">
        <v>732</v>
      </c>
      <c r="D2448" s="1" t="s">
        <v>90</v>
      </c>
      <c r="E2448" s="1" t="s">
        <v>26</v>
      </c>
      <c r="F2448" s="1" t="s">
        <v>40</v>
      </c>
      <c r="G2448">
        <v>478302</v>
      </c>
      <c r="H2448" s="1" t="s">
        <v>733</v>
      </c>
      <c r="I2448" s="2">
        <v>45454</v>
      </c>
      <c r="J2448">
        <v>92</v>
      </c>
      <c r="K2448">
        <v>1.1000000000000001</v>
      </c>
      <c r="L2448" s="1" t="s">
        <v>49</v>
      </c>
      <c r="M2448" s="1" t="s">
        <v>69</v>
      </c>
    </row>
    <row r="2449" spans="1:13" x14ac:dyDescent="0.25">
      <c r="A2449" s="1" t="s">
        <v>3667</v>
      </c>
      <c r="B2449" s="1" t="s">
        <v>84</v>
      </c>
      <c r="C2449" s="1" t="s">
        <v>128</v>
      </c>
      <c r="D2449" s="1" t="s">
        <v>39</v>
      </c>
      <c r="E2449" s="1" t="s">
        <v>94</v>
      </c>
      <c r="F2449" s="1" t="s">
        <v>40</v>
      </c>
      <c r="G2449">
        <v>462237</v>
      </c>
      <c r="H2449" s="1" t="s">
        <v>1154</v>
      </c>
      <c r="I2449" s="2">
        <v>45161</v>
      </c>
      <c r="J2449">
        <v>98</v>
      </c>
      <c r="K2449">
        <v>17.7</v>
      </c>
      <c r="L2449" s="1" t="s">
        <v>49</v>
      </c>
      <c r="M2449" s="1" t="s">
        <v>30</v>
      </c>
    </row>
    <row r="2450" spans="1:13" x14ac:dyDescent="0.25">
      <c r="A2450" s="1" t="s">
        <v>3668</v>
      </c>
      <c r="B2450" s="1" t="s">
        <v>173</v>
      </c>
      <c r="C2450" s="1" t="s">
        <v>328</v>
      </c>
      <c r="D2450" s="1" t="s">
        <v>39</v>
      </c>
      <c r="E2450" s="1" t="s">
        <v>17</v>
      </c>
      <c r="F2450" s="1" t="s">
        <v>40</v>
      </c>
      <c r="G2450">
        <v>62406</v>
      </c>
      <c r="H2450" s="1" t="s">
        <v>1291</v>
      </c>
      <c r="I2450" s="2">
        <v>45775</v>
      </c>
      <c r="J2450">
        <v>70</v>
      </c>
      <c r="K2450">
        <v>5.7</v>
      </c>
      <c r="L2450" s="1" t="s">
        <v>96</v>
      </c>
      <c r="M2450" s="1" t="s">
        <v>63</v>
      </c>
    </row>
    <row r="2451" spans="1:13" x14ac:dyDescent="0.25">
      <c r="A2451" s="1" t="s">
        <v>3669</v>
      </c>
      <c r="B2451" s="1" t="s">
        <v>75</v>
      </c>
      <c r="C2451" s="1" t="s">
        <v>2185</v>
      </c>
      <c r="D2451" s="1" t="s">
        <v>46</v>
      </c>
      <c r="E2451" s="1" t="s">
        <v>61</v>
      </c>
      <c r="F2451" s="1" t="s">
        <v>18</v>
      </c>
      <c r="G2451">
        <v>267765</v>
      </c>
      <c r="H2451" s="1" t="s">
        <v>1088</v>
      </c>
      <c r="I2451" s="2">
        <v>45459</v>
      </c>
      <c r="J2451">
        <v>127</v>
      </c>
      <c r="L2451" s="1" t="s">
        <v>20</v>
      </c>
      <c r="M2451" s="1" t="s">
        <v>69</v>
      </c>
    </row>
    <row r="2452" spans="1:13" x14ac:dyDescent="0.25">
      <c r="A2452" s="1" t="s">
        <v>3670</v>
      </c>
      <c r="B2452" s="1" t="s">
        <v>23</v>
      </c>
      <c r="C2452" s="1" t="s">
        <v>1397</v>
      </c>
      <c r="D2452" s="1" t="s">
        <v>16</v>
      </c>
      <c r="E2452" s="1" t="s">
        <v>94</v>
      </c>
      <c r="F2452" s="1" t="s">
        <v>27</v>
      </c>
      <c r="G2452">
        <v>133542</v>
      </c>
      <c r="H2452" s="1" t="s">
        <v>2245</v>
      </c>
      <c r="I2452" s="2"/>
      <c r="K2452">
        <v>14.7</v>
      </c>
      <c r="L2452" s="1" t="s">
        <v>29</v>
      </c>
      <c r="M2452" s="1" t="s">
        <v>107</v>
      </c>
    </row>
    <row r="2453" spans="1:13" x14ac:dyDescent="0.25">
      <c r="A2453" s="1" t="s">
        <v>3671</v>
      </c>
      <c r="B2453" s="1" t="s">
        <v>109</v>
      </c>
      <c r="C2453" s="1" t="s">
        <v>287</v>
      </c>
      <c r="D2453" s="1" t="s">
        <v>25</v>
      </c>
      <c r="E2453" s="1" t="s">
        <v>17</v>
      </c>
      <c r="F2453" s="1" t="s">
        <v>53</v>
      </c>
      <c r="G2453">
        <v>879556</v>
      </c>
      <c r="H2453" s="1" t="s">
        <v>3164</v>
      </c>
      <c r="I2453" s="2"/>
      <c r="L2453" s="1" t="s">
        <v>49</v>
      </c>
      <c r="M2453" s="1" t="s">
        <v>42</v>
      </c>
    </row>
    <row r="2454" spans="1:13" x14ac:dyDescent="0.25">
      <c r="A2454" s="1" t="s">
        <v>3672</v>
      </c>
      <c r="B2454" s="1" t="s">
        <v>80</v>
      </c>
      <c r="C2454" s="1" t="s">
        <v>1742</v>
      </c>
      <c r="D2454" s="1" t="s">
        <v>90</v>
      </c>
      <c r="E2454" s="1" t="s">
        <v>26</v>
      </c>
      <c r="F2454" s="1" t="s">
        <v>40</v>
      </c>
      <c r="G2454">
        <v>174077</v>
      </c>
      <c r="H2454" s="1" t="s">
        <v>3673</v>
      </c>
      <c r="I2454" s="2">
        <v>45260</v>
      </c>
      <c r="J2454">
        <v>59</v>
      </c>
      <c r="K2454">
        <v>18.2</v>
      </c>
      <c r="L2454" s="1" t="s">
        <v>29</v>
      </c>
      <c r="M2454" s="1" t="s">
        <v>21</v>
      </c>
    </row>
    <row r="2455" spans="1:13" x14ac:dyDescent="0.25">
      <c r="A2455" s="1" t="s">
        <v>3674</v>
      </c>
      <c r="B2455" s="1" t="s">
        <v>65</v>
      </c>
      <c r="C2455" s="1" t="s">
        <v>587</v>
      </c>
      <c r="D2455" s="1" t="s">
        <v>39</v>
      </c>
      <c r="E2455" s="1" t="s">
        <v>61</v>
      </c>
      <c r="F2455" s="1" t="s">
        <v>27</v>
      </c>
      <c r="G2455">
        <v>212824</v>
      </c>
      <c r="H2455" s="1" t="s">
        <v>1055</v>
      </c>
      <c r="I2455" s="2"/>
      <c r="K2455">
        <v>3.9</v>
      </c>
      <c r="L2455" s="1" t="s">
        <v>29</v>
      </c>
      <c r="M2455" s="1" t="s">
        <v>107</v>
      </c>
    </row>
    <row r="2456" spans="1:13" x14ac:dyDescent="0.25">
      <c r="A2456" s="1" t="s">
        <v>3675</v>
      </c>
      <c r="B2456" s="1" t="s">
        <v>37</v>
      </c>
      <c r="C2456" s="1" t="s">
        <v>1566</v>
      </c>
      <c r="D2456" s="1" t="s">
        <v>16</v>
      </c>
      <c r="E2456" s="1" t="s">
        <v>47</v>
      </c>
      <c r="F2456" s="1" t="s">
        <v>129</v>
      </c>
      <c r="G2456">
        <v>234399</v>
      </c>
      <c r="H2456" s="1" t="s">
        <v>3676</v>
      </c>
      <c r="I2456" s="2"/>
      <c r="K2456">
        <v>13.4</v>
      </c>
      <c r="L2456" s="1" t="s">
        <v>20</v>
      </c>
      <c r="M2456" s="1" t="s">
        <v>69</v>
      </c>
    </row>
    <row r="2457" spans="1:13" x14ac:dyDescent="0.25">
      <c r="A2457" s="1" t="s">
        <v>3677</v>
      </c>
      <c r="B2457" s="1" t="s">
        <v>14</v>
      </c>
      <c r="C2457" s="1" t="s">
        <v>767</v>
      </c>
      <c r="D2457" s="1" t="s">
        <v>46</v>
      </c>
      <c r="E2457" s="1" t="s">
        <v>100</v>
      </c>
      <c r="F2457" s="1" t="s">
        <v>27</v>
      </c>
      <c r="G2457">
        <v>127686</v>
      </c>
      <c r="H2457" s="1" t="s">
        <v>2510</v>
      </c>
      <c r="I2457" s="2"/>
      <c r="L2457" s="1" t="s">
        <v>29</v>
      </c>
      <c r="M2457" s="1" t="s">
        <v>102</v>
      </c>
    </row>
    <row r="2458" spans="1:13" x14ac:dyDescent="0.25">
      <c r="A2458" s="1" t="s">
        <v>3678</v>
      </c>
      <c r="B2458" s="1" t="s">
        <v>65</v>
      </c>
      <c r="C2458" s="1" t="s">
        <v>15</v>
      </c>
      <c r="D2458" s="1" t="s">
        <v>25</v>
      </c>
      <c r="E2458" s="1" t="s">
        <v>61</v>
      </c>
      <c r="F2458" s="1" t="s">
        <v>53</v>
      </c>
      <c r="G2458">
        <v>264210</v>
      </c>
      <c r="H2458" s="1" t="s">
        <v>2103</v>
      </c>
      <c r="I2458" s="2"/>
      <c r="K2458">
        <v>0.8</v>
      </c>
      <c r="L2458" s="1" t="s">
        <v>49</v>
      </c>
      <c r="M2458" s="1" t="s">
        <v>69</v>
      </c>
    </row>
    <row r="2459" spans="1:13" x14ac:dyDescent="0.25">
      <c r="A2459" s="1" t="s">
        <v>3679</v>
      </c>
      <c r="B2459" s="1" t="s">
        <v>98</v>
      </c>
      <c r="C2459" s="1" t="s">
        <v>1136</v>
      </c>
      <c r="D2459" s="1" t="s">
        <v>67</v>
      </c>
      <c r="E2459" s="1" t="s">
        <v>100</v>
      </c>
      <c r="F2459" s="1" t="s">
        <v>33</v>
      </c>
      <c r="G2459">
        <v>1502805</v>
      </c>
      <c r="H2459" s="1" t="s">
        <v>1759</v>
      </c>
      <c r="I2459" s="2"/>
      <c r="K2459">
        <v>6.1</v>
      </c>
      <c r="L2459" s="1" t="s">
        <v>29</v>
      </c>
      <c r="M2459" s="1" t="s">
        <v>63</v>
      </c>
    </row>
    <row r="2460" spans="1:13" x14ac:dyDescent="0.25">
      <c r="A2460" s="1" t="s">
        <v>3680</v>
      </c>
      <c r="B2460" s="1" t="s">
        <v>44</v>
      </c>
      <c r="C2460" s="1" t="s">
        <v>205</v>
      </c>
      <c r="D2460" s="1" t="s">
        <v>67</v>
      </c>
      <c r="E2460" s="1" t="s">
        <v>72</v>
      </c>
      <c r="F2460" s="1" t="s">
        <v>53</v>
      </c>
      <c r="G2460">
        <v>143527</v>
      </c>
      <c r="H2460" s="1" t="s">
        <v>2428</v>
      </c>
      <c r="I2460" s="2"/>
      <c r="K2460">
        <v>9.5</v>
      </c>
      <c r="L2460" s="1" t="s">
        <v>20</v>
      </c>
      <c r="M2460" s="1" t="s">
        <v>102</v>
      </c>
    </row>
    <row r="2461" spans="1:13" x14ac:dyDescent="0.25">
      <c r="A2461" s="1" t="s">
        <v>3681</v>
      </c>
      <c r="B2461" s="1" t="s">
        <v>109</v>
      </c>
      <c r="C2461" s="1" t="s">
        <v>1334</v>
      </c>
      <c r="D2461" s="1" t="s">
        <v>39</v>
      </c>
      <c r="E2461" s="1" t="s">
        <v>61</v>
      </c>
      <c r="F2461" s="1" t="s">
        <v>53</v>
      </c>
      <c r="G2461">
        <v>38520</v>
      </c>
      <c r="H2461" s="1" t="s">
        <v>2194</v>
      </c>
      <c r="I2461" s="2"/>
      <c r="L2461" s="1" t="s">
        <v>20</v>
      </c>
      <c r="M2461" s="1" t="s">
        <v>30</v>
      </c>
    </row>
    <row r="2462" spans="1:13" x14ac:dyDescent="0.25">
      <c r="A2462" s="1" t="s">
        <v>3682</v>
      </c>
      <c r="B2462" s="1" t="s">
        <v>75</v>
      </c>
      <c r="C2462" s="1" t="s">
        <v>177</v>
      </c>
      <c r="D2462" s="1" t="s">
        <v>67</v>
      </c>
      <c r="E2462" s="1" t="s">
        <v>94</v>
      </c>
      <c r="F2462" s="1" t="s">
        <v>27</v>
      </c>
      <c r="G2462">
        <v>265563</v>
      </c>
      <c r="H2462" s="1" t="s">
        <v>455</v>
      </c>
      <c r="I2462" s="2"/>
      <c r="K2462">
        <v>7.1</v>
      </c>
      <c r="L2462" s="1" t="s">
        <v>96</v>
      </c>
      <c r="M2462" s="1" t="s">
        <v>35</v>
      </c>
    </row>
    <row r="2463" spans="1:13" x14ac:dyDescent="0.25">
      <c r="A2463" s="1" t="s">
        <v>3683</v>
      </c>
      <c r="B2463" s="1" t="s">
        <v>75</v>
      </c>
      <c r="C2463" s="1" t="s">
        <v>980</v>
      </c>
      <c r="D2463" s="1" t="s">
        <v>90</v>
      </c>
      <c r="E2463" s="1" t="s">
        <v>26</v>
      </c>
      <c r="F2463" s="1" t="s">
        <v>40</v>
      </c>
      <c r="G2463">
        <v>230215</v>
      </c>
      <c r="H2463" s="1" t="s">
        <v>3341</v>
      </c>
      <c r="I2463" s="2">
        <v>45432</v>
      </c>
      <c r="J2463">
        <v>34</v>
      </c>
      <c r="K2463">
        <v>17.100000000000001</v>
      </c>
      <c r="L2463" s="1" t="s">
        <v>20</v>
      </c>
      <c r="M2463" s="1" t="s">
        <v>107</v>
      </c>
    </row>
    <row r="2464" spans="1:13" x14ac:dyDescent="0.25">
      <c r="A2464" s="1" t="s">
        <v>3684</v>
      </c>
      <c r="B2464" s="1" t="s">
        <v>173</v>
      </c>
      <c r="C2464" s="1" t="s">
        <v>2334</v>
      </c>
      <c r="D2464" s="1" t="s">
        <v>25</v>
      </c>
      <c r="E2464" s="1" t="s">
        <v>100</v>
      </c>
      <c r="F2464" s="1" t="s">
        <v>18</v>
      </c>
      <c r="G2464">
        <v>26182</v>
      </c>
      <c r="H2464" s="1" t="s">
        <v>1039</v>
      </c>
      <c r="I2464" s="2">
        <v>45536</v>
      </c>
      <c r="J2464">
        <v>107</v>
      </c>
      <c r="L2464" s="1" t="s">
        <v>96</v>
      </c>
      <c r="M2464" s="1" t="s">
        <v>107</v>
      </c>
    </row>
    <row r="2465" spans="1:13" x14ac:dyDescent="0.25">
      <c r="A2465" s="1" t="s">
        <v>3685</v>
      </c>
      <c r="B2465" s="1" t="s">
        <v>23</v>
      </c>
      <c r="C2465" s="1" t="s">
        <v>474</v>
      </c>
      <c r="D2465" s="1" t="s">
        <v>16</v>
      </c>
      <c r="E2465" s="1" t="s">
        <v>100</v>
      </c>
      <c r="F2465" s="1" t="s">
        <v>40</v>
      </c>
      <c r="G2465">
        <v>209145</v>
      </c>
      <c r="H2465" s="1" t="s">
        <v>28</v>
      </c>
      <c r="I2465" s="2">
        <v>45080</v>
      </c>
      <c r="J2465">
        <v>50</v>
      </c>
      <c r="K2465">
        <v>22.1</v>
      </c>
      <c r="L2465" s="1" t="s">
        <v>49</v>
      </c>
      <c r="M2465" s="1" t="s">
        <v>30</v>
      </c>
    </row>
    <row r="2466" spans="1:13" x14ac:dyDescent="0.25">
      <c r="A2466" s="1" t="s">
        <v>3686</v>
      </c>
      <c r="B2466" s="1" t="s">
        <v>104</v>
      </c>
      <c r="C2466" s="1" t="s">
        <v>747</v>
      </c>
      <c r="D2466" s="1" t="s">
        <v>46</v>
      </c>
      <c r="E2466" s="1" t="s">
        <v>26</v>
      </c>
      <c r="F2466" s="1" t="s">
        <v>40</v>
      </c>
      <c r="G2466">
        <v>388492</v>
      </c>
      <c r="H2466" s="1" t="s">
        <v>3687</v>
      </c>
      <c r="I2466" s="2">
        <v>45028</v>
      </c>
      <c r="J2466">
        <v>50</v>
      </c>
      <c r="K2466">
        <v>5.0999999999999996</v>
      </c>
      <c r="L2466" s="1" t="s">
        <v>49</v>
      </c>
      <c r="M2466" s="1" t="s">
        <v>35</v>
      </c>
    </row>
    <row r="2467" spans="1:13" x14ac:dyDescent="0.25">
      <c r="A2467" s="1" t="s">
        <v>3688</v>
      </c>
      <c r="B2467" s="1" t="s">
        <v>37</v>
      </c>
      <c r="C2467" s="1" t="s">
        <v>24</v>
      </c>
      <c r="D2467" s="1" t="s">
        <v>25</v>
      </c>
      <c r="E2467" s="1" t="s">
        <v>94</v>
      </c>
      <c r="F2467" s="1" t="s">
        <v>129</v>
      </c>
      <c r="G2467">
        <v>300165</v>
      </c>
      <c r="H2467" s="1" t="s">
        <v>1256</v>
      </c>
      <c r="I2467" s="2"/>
      <c r="K2467">
        <v>8.6</v>
      </c>
      <c r="L2467" s="1" t="s">
        <v>20</v>
      </c>
      <c r="M2467" s="1" t="s">
        <v>107</v>
      </c>
    </row>
    <row r="2468" spans="1:13" x14ac:dyDescent="0.25">
      <c r="A2468" s="1" t="s">
        <v>3689</v>
      </c>
      <c r="B2468" s="1" t="s">
        <v>80</v>
      </c>
      <c r="C2468" s="1" t="s">
        <v>693</v>
      </c>
      <c r="D2468" s="1" t="s">
        <v>25</v>
      </c>
      <c r="E2468" s="1" t="s">
        <v>77</v>
      </c>
      <c r="F2468" s="1" t="s">
        <v>40</v>
      </c>
      <c r="G2468">
        <v>378732</v>
      </c>
      <c r="H2468" s="1" t="s">
        <v>3134</v>
      </c>
      <c r="I2468" s="2">
        <v>45732</v>
      </c>
      <c r="J2468">
        <v>127</v>
      </c>
      <c r="K2468">
        <v>12.7</v>
      </c>
      <c r="L2468" s="1" t="s">
        <v>29</v>
      </c>
      <c r="M2468" s="1" t="s">
        <v>42</v>
      </c>
    </row>
    <row r="2469" spans="1:13" x14ac:dyDescent="0.25">
      <c r="A2469" s="1" t="s">
        <v>3690</v>
      </c>
      <c r="B2469" s="1" t="s">
        <v>104</v>
      </c>
      <c r="C2469" s="1" t="s">
        <v>45</v>
      </c>
      <c r="D2469" s="1" t="s">
        <v>67</v>
      </c>
      <c r="E2469" s="1" t="s">
        <v>61</v>
      </c>
      <c r="F2469" s="1" t="s">
        <v>40</v>
      </c>
      <c r="G2469">
        <v>344537</v>
      </c>
      <c r="H2469" s="1" t="s">
        <v>3691</v>
      </c>
      <c r="I2469" s="2">
        <v>45398</v>
      </c>
      <c r="J2469">
        <v>152</v>
      </c>
      <c r="K2469">
        <v>7.3</v>
      </c>
      <c r="L2469" s="1" t="s">
        <v>96</v>
      </c>
      <c r="M2469" s="1" t="s">
        <v>21</v>
      </c>
    </row>
    <row r="2470" spans="1:13" x14ac:dyDescent="0.25">
      <c r="A2470" s="1" t="s">
        <v>3692</v>
      </c>
      <c r="B2470" s="1" t="s">
        <v>65</v>
      </c>
      <c r="C2470" s="1" t="s">
        <v>1151</v>
      </c>
      <c r="D2470" s="1" t="s">
        <v>46</v>
      </c>
      <c r="E2470" s="1" t="s">
        <v>100</v>
      </c>
      <c r="F2470" s="1" t="s">
        <v>53</v>
      </c>
      <c r="G2470">
        <v>175434</v>
      </c>
      <c r="H2470" s="1" t="s">
        <v>232</v>
      </c>
      <c r="I2470" s="2"/>
      <c r="L2470" s="1" t="s">
        <v>49</v>
      </c>
      <c r="M2470" s="1" t="s">
        <v>102</v>
      </c>
    </row>
    <row r="2471" spans="1:13" x14ac:dyDescent="0.25">
      <c r="A2471" s="1" t="s">
        <v>3693</v>
      </c>
      <c r="B2471" s="1" t="s">
        <v>37</v>
      </c>
      <c r="C2471" s="1" t="s">
        <v>693</v>
      </c>
      <c r="D2471" s="1" t="s">
        <v>39</v>
      </c>
      <c r="E2471" s="1" t="s">
        <v>17</v>
      </c>
      <c r="F2471" s="1" t="s">
        <v>40</v>
      </c>
      <c r="G2471">
        <v>146025</v>
      </c>
      <c r="H2471" s="1" t="s">
        <v>1010</v>
      </c>
      <c r="I2471" s="2">
        <v>45020</v>
      </c>
      <c r="J2471">
        <v>38</v>
      </c>
      <c r="K2471">
        <v>10.7</v>
      </c>
      <c r="L2471" s="1" t="s">
        <v>49</v>
      </c>
      <c r="M2471" s="1" t="s">
        <v>35</v>
      </c>
    </row>
    <row r="2472" spans="1:13" x14ac:dyDescent="0.25">
      <c r="A2472" s="1" t="s">
        <v>3694</v>
      </c>
      <c r="B2472" s="1" t="s">
        <v>75</v>
      </c>
      <c r="C2472" s="1" t="s">
        <v>539</v>
      </c>
      <c r="D2472" s="1" t="s">
        <v>39</v>
      </c>
      <c r="E2472" s="1" t="s">
        <v>51</v>
      </c>
      <c r="F2472" s="1" t="s">
        <v>33</v>
      </c>
      <c r="G2472">
        <v>127780</v>
      </c>
      <c r="H2472" s="1" t="s">
        <v>687</v>
      </c>
      <c r="I2472" s="2"/>
      <c r="K2472">
        <v>6.1</v>
      </c>
      <c r="L2472" s="1" t="s">
        <v>49</v>
      </c>
      <c r="M2472" s="1" t="s">
        <v>107</v>
      </c>
    </row>
    <row r="2473" spans="1:13" x14ac:dyDescent="0.25">
      <c r="A2473" s="1" t="s">
        <v>3695</v>
      </c>
      <c r="B2473" s="1" t="s">
        <v>44</v>
      </c>
      <c r="C2473" s="1" t="s">
        <v>157</v>
      </c>
      <c r="D2473" s="1" t="s">
        <v>46</v>
      </c>
      <c r="E2473" s="1" t="s">
        <v>26</v>
      </c>
      <c r="F2473" s="1" t="s">
        <v>129</v>
      </c>
      <c r="G2473">
        <v>430827</v>
      </c>
      <c r="H2473" s="1" t="s">
        <v>1759</v>
      </c>
      <c r="I2473" s="2"/>
      <c r="K2473">
        <v>10.3</v>
      </c>
      <c r="L2473" s="1" t="s">
        <v>49</v>
      </c>
      <c r="M2473" s="1" t="s">
        <v>63</v>
      </c>
    </row>
    <row r="2474" spans="1:13" x14ac:dyDescent="0.25">
      <c r="A2474" s="1" t="s">
        <v>3696</v>
      </c>
      <c r="B2474" s="1" t="s">
        <v>80</v>
      </c>
      <c r="C2474" s="1" t="s">
        <v>865</v>
      </c>
      <c r="D2474" s="1" t="s">
        <v>16</v>
      </c>
      <c r="E2474" s="1" t="s">
        <v>26</v>
      </c>
      <c r="F2474" s="1" t="s">
        <v>53</v>
      </c>
      <c r="G2474">
        <v>59749</v>
      </c>
      <c r="H2474" s="1" t="s">
        <v>1451</v>
      </c>
      <c r="I2474" s="2"/>
      <c r="L2474" s="1" t="s">
        <v>20</v>
      </c>
      <c r="M2474" s="1" t="s">
        <v>63</v>
      </c>
    </row>
    <row r="2475" spans="1:13" x14ac:dyDescent="0.25">
      <c r="A2475" s="1" t="s">
        <v>3697</v>
      </c>
      <c r="B2475" s="1" t="s">
        <v>173</v>
      </c>
      <c r="C2475" s="1" t="s">
        <v>1018</v>
      </c>
      <c r="D2475" s="1" t="s">
        <v>67</v>
      </c>
      <c r="E2475" s="1" t="s">
        <v>77</v>
      </c>
      <c r="F2475" s="1" t="s">
        <v>53</v>
      </c>
      <c r="G2475">
        <v>341930</v>
      </c>
      <c r="H2475" s="1" t="s">
        <v>1915</v>
      </c>
      <c r="I2475" s="2"/>
      <c r="K2475">
        <v>6</v>
      </c>
      <c r="L2475" s="1" t="s">
        <v>96</v>
      </c>
      <c r="M2475" s="1" t="s">
        <v>21</v>
      </c>
    </row>
    <row r="2476" spans="1:13" x14ac:dyDescent="0.25">
      <c r="A2476" s="1" t="s">
        <v>3698</v>
      </c>
      <c r="B2476" s="1" t="s">
        <v>65</v>
      </c>
      <c r="C2476" s="1" t="s">
        <v>583</v>
      </c>
      <c r="D2476" s="1" t="s">
        <v>16</v>
      </c>
      <c r="E2476" s="1" t="s">
        <v>100</v>
      </c>
      <c r="F2476" s="1" t="s">
        <v>40</v>
      </c>
      <c r="G2476">
        <v>120774</v>
      </c>
      <c r="H2476" s="1" t="s">
        <v>209</v>
      </c>
      <c r="I2476" s="2">
        <v>45309</v>
      </c>
      <c r="J2476">
        <v>118</v>
      </c>
      <c r="K2476">
        <v>14.9</v>
      </c>
      <c r="L2476" s="1" t="s">
        <v>29</v>
      </c>
      <c r="M2476" s="1" t="s">
        <v>102</v>
      </c>
    </row>
    <row r="2477" spans="1:13" x14ac:dyDescent="0.25">
      <c r="A2477" s="1" t="s">
        <v>3699</v>
      </c>
      <c r="B2477" s="1" t="s">
        <v>104</v>
      </c>
      <c r="C2477" s="1" t="s">
        <v>157</v>
      </c>
      <c r="D2477" s="1" t="s">
        <v>67</v>
      </c>
      <c r="E2477" s="1" t="s">
        <v>72</v>
      </c>
      <c r="F2477" s="1" t="s">
        <v>33</v>
      </c>
      <c r="G2477">
        <v>363024</v>
      </c>
      <c r="H2477" s="1" t="s">
        <v>481</v>
      </c>
      <c r="I2477" s="2"/>
      <c r="K2477">
        <v>0.5</v>
      </c>
      <c r="L2477" s="1" t="s">
        <v>20</v>
      </c>
      <c r="M2477" s="1" t="s">
        <v>102</v>
      </c>
    </row>
    <row r="2478" spans="1:13" x14ac:dyDescent="0.25">
      <c r="A2478" s="1" t="s">
        <v>3700</v>
      </c>
      <c r="B2478" s="1" t="s">
        <v>127</v>
      </c>
      <c r="C2478" s="1" t="s">
        <v>552</v>
      </c>
      <c r="D2478" s="1" t="s">
        <v>16</v>
      </c>
      <c r="E2478" s="1" t="s">
        <v>26</v>
      </c>
      <c r="F2478" s="1" t="s">
        <v>40</v>
      </c>
      <c r="G2478">
        <v>293392</v>
      </c>
      <c r="H2478" s="1" t="s">
        <v>1941</v>
      </c>
      <c r="I2478" s="2">
        <v>45732</v>
      </c>
      <c r="J2478">
        <v>23</v>
      </c>
      <c r="K2478">
        <v>22</v>
      </c>
      <c r="L2478" s="1" t="s">
        <v>96</v>
      </c>
      <c r="M2478" s="1" t="s">
        <v>63</v>
      </c>
    </row>
    <row r="2479" spans="1:13" x14ac:dyDescent="0.25">
      <c r="A2479" s="1" t="s">
        <v>3701</v>
      </c>
      <c r="B2479" s="1" t="s">
        <v>23</v>
      </c>
      <c r="C2479" s="1" t="s">
        <v>303</v>
      </c>
      <c r="D2479" s="1" t="s">
        <v>46</v>
      </c>
      <c r="E2479" s="1" t="s">
        <v>61</v>
      </c>
      <c r="F2479" s="1" t="s">
        <v>18</v>
      </c>
      <c r="G2479">
        <v>58034</v>
      </c>
      <c r="H2479" s="1" t="s">
        <v>604</v>
      </c>
      <c r="I2479" s="2">
        <v>45483</v>
      </c>
      <c r="J2479">
        <v>50</v>
      </c>
      <c r="K2479">
        <v>6.1</v>
      </c>
      <c r="L2479" s="1" t="s">
        <v>29</v>
      </c>
      <c r="M2479" s="1" t="s">
        <v>107</v>
      </c>
    </row>
    <row r="2480" spans="1:13" x14ac:dyDescent="0.25">
      <c r="A2480" s="1" t="s">
        <v>3702</v>
      </c>
      <c r="B2480" s="1" t="s">
        <v>44</v>
      </c>
      <c r="C2480" s="1" t="s">
        <v>1064</v>
      </c>
      <c r="D2480" s="1" t="s">
        <v>39</v>
      </c>
      <c r="E2480" s="1" t="s">
        <v>17</v>
      </c>
      <c r="F2480" s="1" t="s">
        <v>18</v>
      </c>
      <c r="G2480">
        <v>300848</v>
      </c>
      <c r="H2480" s="1" t="s">
        <v>2080</v>
      </c>
      <c r="I2480" s="2">
        <v>45179</v>
      </c>
      <c r="J2480">
        <v>47</v>
      </c>
      <c r="K2480">
        <v>0.5</v>
      </c>
      <c r="L2480" s="1" t="s">
        <v>96</v>
      </c>
      <c r="M2480" s="1" t="s">
        <v>102</v>
      </c>
    </row>
    <row r="2481" spans="1:13" x14ac:dyDescent="0.25">
      <c r="A2481" s="1" t="s">
        <v>3703</v>
      </c>
      <c r="B2481" s="1" t="s">
        <v>23</v>
      </c>
      <c r="C2481" s="1" t="s">
        <v>957</v>
      </c>
      <c r="D2481" s="1" t="s">
        <v>25</v>
      </c>
      <c r="E2481" s="1" t="s">
        <v>100</v>
      </c>
      <c r="F2481" s="1" t="s">
        <v>40</v>
      </c>
      <c r="G2481">
        <v>202746</v>
      </c>
      <c r="H2481" s="1" t="s">
        <v>2852</v>
      </c>
      <c r="I2481" s="2">
        <v>45472</v>
      </c>
      <c r="J2481">
        <v>36</v>
      </c>
      <c r="K2481">
        <v>21.1</v>
      </c>
      <c r="L2481" s="1" t="s">
        <v>49</v>
      </c>
      <c r="M2481" s="1" t="s">
        <v>107</v>
      </c>
    </row>
    <row r="2482" spans="1:13" x14ac:dyDescent="0.25">
      <c r="A2482" s="1" t="s">
        <v>3704</v>
      </c>
      <c r="B2482" s="1" t="s">
        <v>80</v>
      </c>
      <c r="C2482" s="1" t="s">
        <v>518</v>
      </c>
      <c r="D2482" s="1" t="s">
        <v>25</v>
      </c>
      <c r="E2482" s="1" t="s">
        <v>100</v>
      </c>
      <c r="F2482" s="1" t="s">
        <v>53</v>
      </c>
      <c r="G2482">
        <v>272800</v>
      </c>
      <c r="H2482" s="1" t="s">
        <v>2295</v>
      </c>
      <c r="I2482" s="2"/>
      <c r="K2482">
        <v>9.4</v>
      </c>
      <c r="L2482" s="1" t="s">
        <v>96</v>
      </c>
      <c r="M2482" s="1" t="s">
        <v>35</v>
      </c>
    </row>
    <row r="2483" spans="1:13" x14ac:dyDescent="0.25">
      <c r="A2483" s="1" t="s">
        <v>3705</v>
      </c>
      <c r="B2483" s="1" t="s">
        <v>51</v>
      </c>
      <c r="C2483" s="1" t="s">
        <v>561</v>
      </c>
      <c r="D2483" s="1" t="s">
        <v>67</v>
      </c>
      <c r="E2483" s="1" t="s">
        <v>26</v>
      </c>
      <c r="F2483" s="1" t="s">
        <v>18</v>
      </c>
      <c r="G2483">
        <v>480335</v>
      </c>
      <c r="H2483" s="1" t="s">
        <v>2882</v>
      </c>
      <c r="I2483" s="2">
        <v>45167</v>
      </c>
      <c r="J2483">
        <v>37</v>
      </c>
      <c r="L2483" s="1" t="s">
        <v>20</v>
      </c>
      <c r="M2483" s="1" t="s">
        <v>102</v>
      </c>
    </row>
    <row r="2484" spans="1:13" x14ac:dyDescent="0.25">
      <c r="A2484" s="1" t="s">
        <v>3706</v>
      </c>
      <c r="B2484" s="1" t="s">
        <v>80</v>
      </c>
      <c r="C2484" s="1" t="s">
        <v>980</v>
      </c>
      <c r="D2484" s="1" t="s">
        <v>90</v>
      </c>
      <c r="E2484" s="1" t="s">
        <v>47</v>
      </c>
      <c r="F2484" s="1" t="s">
        <v>18</v>
      </c>
      <c r="G2484">
        <v>146408</v>
      </c>
      <c r="H2484" s="1" t="s">
        <v>3707</v>
      </c>
      <c r="I2484" s="2">
        <v>45540</v>
      </c>
      <c r="J2484">
        <v>90</v>
      </c>
      <c r="L2484" s="1" t="s">
        <v>49</v>
      </c>
      <c r="M2484" s="1" t="s">
        <v>107</v>
      </c>
    </row>
    <row r="2485" spans="1:13" x14ac:dyDescent="0.25">
      <c r="A2485" s="1" t="s">
        <v>3708</v>
      </c>
      <c r="B2485" s="1" t="s">
        <v>98</v>
      </c>
      <c r="C2485" s="1" t="s">
        <v>237</v>
      </c>
      <c r="D2485" s="1" t="s">
        <v>67</v>
      </c>
      <c r="E2485" s="1" t="s">
        <v>26</v>
      </c>
      <c r="F2485" s="1" t="s">
        <v>129</v>
      </c>
      <c r="G2485">
        <v>41339</v>
      </c>
      <c r="H2485" s="1" t="s">
        <v>970</v>
      </c>
      <c r="I2485" s="2"/>
      <c r="K2485">
        <v>8</v>
      </c>
      <c r="L2485" s="1" t="s">
        <v>96</v>
      </c>
      <c r="M2485" s="1" t="s">
        <v>42</v>
      </c>
    </row>
    <row r="2486" spans="1:13" x14ac:dyDescent="0.25">
      <c r="A2486" s="1" t="s">
        <v>3709</v>
      </c>
      <c r="B2486" s="1" t="s">
        <v>173</v>
      </c>
      <c r="C2486" s="1" t="s">
        <v>505</v>
      </c>
      <c r="D2486" s="1" t="s">
        <v>39</v>
      </c>
      <c r="E2486" s="1" t="s">
        <v>72</v>
      </c>
      <c r="F2486" s="1" t="s">
        <v>33</v>
      </c>
      <c r="G2486">
        <v>372659</v>
      </c>
      <c r="H2486" s="1" t="s">
        <v>171</v>
      </c>
      <c r="I2486" s="2"/>
      <c r="K2486">
        <v>11.9</v>
      </c>
      <c r="L2486" s="1" t="s">
        <v>96</v>
      </c>
      <c r="M2486" s="1" t="s">
        <v>42</v>
      </c>
    </row>
    <row r="2487" spans="1:13" x14ac:dyDescent="0.25">
      <c r="A2487" s="1" t="s">
        <v>3710</v>
      </c>
      <c r="B2487" s="1" t="s">
        <v>109</v>
      </c>
      <c r="C2487" s="1" t="s">
        <v>980</v>
      </c>
      <c r="D2487" s="1" t="s">
        <v>39</v>
      </c>
      <c r="E2487" s="1" t="s">
        <v>72</v>
      </c>
      <c r="F2487" s="1" t="s">
        <v>33</v>
      </c>
      <c r="G2487">
        <v>438620</v>
      </c>
      <c r="H2487" s="1" t="s">
        <v>3510</v>
      </c>
      <c r="I2487" s="2"/>
      <c r="L2487" s="1" t="s">
        <v>96</v>
      </c>
      <c r="M2487" s="1" t="s">
        <v>107</v>
      </c>
    </row>
    <row r="2488" spans="1:13" x14ac:dyDescent="0.25">
      <c r="A2488" s="1" t="s">
        <v>3711</v>
      </c>
      <c r="B2488" s="1" t="s">
        <v>98</v>
      </c>
      <c r="C2488" s="1" t="s">
        <v>116</v>
      </c>
      <c r="D2488" s="1" t="s">
        <v>25</v>
      </c>
      <c r="E2488" s="1" t="s">
        <v>100</v>
      </c>
      <c r="F2488" s="1" t="s">
        <v>129</v>
      </c>
      <c r="G2488">
        <v>161952</v>
      </c>
      <c r="H2488" s="1" t="s">
        <v>145</v>
      </c>
      <c r="I2488" s="2"/>
      <c r="K2488">
        <v>14.7</v>
      </c>
      <c r="L2488" s="1" t="s">
        <v>29</v>
      </c>
      <c r="M2488" s="1" t="s">
        <v>63</v>
      </c>
    </row>
    <row r="2489" spans="1:13" x14ac:dyDescent="0.25">
      <c r="A2489" s="1" t="s">
        <v>3712</v>
      </c>
      <c r="B2489" s="1" t="s">
        <v>65</v>
      </c>
      <c r="C2489" s="1" t="s">
        <v>273</v>
      </c>
      <c r="D2489" s="1" t="s">
        <v>39</v>
      </c>
      <c r="E2489" s="1" t="s">
        <v>94</v>
      </c>
      <c r="F2489" s="1" t="s">
        <v>33</v>
      </c>
      <c r="G2489">
        <v>488343</v>
      </c>
      <c r="H2489" s="1" t="s">
        <v>1359</v>
      </c>
      <c r="I2489" s="2"/>
      <c r="K2489">
        <v>10.9</v>
      </c>
      <c r="L2489" s="1" t="s">
        <v>96</v>
      </c>
      <c r="M2489" s="1" t="s">
        <v>107</v>
      </c>
    </row>
    <row r="2490" spans="1:13" x14ac:dyDescent="0.25">
      <c r="A2490" s="1" t="s">
        <v>3713</v>
      </c>
      <c r="B2490" s="1" t="s">
        <v>98</v>
      </c>
      <c r="C2490" s="1" t="s">
        <v>805</v>
      </c>
      <c r="D2490" s="1" t="s">
        <v>46</v>
      </c>
      <c r="E2490" s="1" t="s">
        <v>77</v>
      </c>
      <c r="F2490" s="1" t="s">
        <v>33</v>
      </c>
      <c r="G2490">
        <v>475490</v>
      </c>
      <c r="H2490" s="1" t="s">
        <v>1137</v>
      </c>
      <c r="I2490" s="2"/>
      <c r="K2490">
        <v>9.6</v>
      </c>
      <c r="L2490" s="1" t="s">
        <v>96</v>
      </c>
      <c r="M2490" s="1" t="s">
        <v>149</v>
      </c>
    </row>
    <row r="2491" spans="1:13" x14ac:dyDescent="0.25">
      <c r="A2491" s="1" t="s">
        <v>3714</v>
      </c>
      <c r="B2491" s="1" t="s">
        <v>173</v>
      </c>
      <c r="C2491" s="1" t="s">
        <v>162</v>
      </c>
      <c r="D2491" s="1" t="s">
        <v>90</v>
      </c>
      <c r="E2491" s="1" t="s">
        <v>77</v>
      </c>
      <c r="F2491" s="1" t="s">
        <v>53</v>
      </c>
      <c r="G2491">
        <v>71862</v>
      </c>
      <c r="H2491" s="1" t="s">
        <v>3715</v>
      </c>
      <c r="I2491" s="2"/>
      <c r="K2491">
        <v>5.3</v>
      </c>
      <c r="L2491" s="1" t="s">
        <v>96</v>
      </c>
      <c r="M2491" s="1" t="s">
        <v>69</v>
      </c>
    </row>
    <row r="2492" spans="1:13" x14ac:dyDescent="0.25">
      <c r="A2492" s="1" t="s">
        <v>3716</v>
      </c>
      <c r="B2492" s="1" t="s">
        <v>23</v>
      </c>
      <c r="C2492" s="1" t="s">
        <v>654</v>
      </c>
      <c r="D2492" s="1" t="s">
        <v>39</v>
      </c>
      <c r="E2492" s="1" t="s">
        <v>94</v>
      </c>
      <c r="F2492" s="1" t="s">
        <v>40</v>
      </c>
      <c r="G2492">
        <v>1637232</v>
      </c>
      <c r="H2492" s="1" t="s">
        <v>833</v>
      </c>
      <c r="I2492" s="2">
        <v>45309</v>
      </c>
      <c r="J2492">
        <v>97</v>
      </c>
      <c r="K2492">
        <v>5.5</v>
      </c>
      <c r="L2492" s="1" t="s">
        <v>49</v>
      </c>
      <c r="M2492" s="1" t="s">
        <v>21</v>
      </c>
    </row>
    <row r="2493" spans="1:13" x14ac:dyDescent="0.25">
      <c r="A2493" s="1" t="s">
        <v>3717</v>
      </c>
      <c r="B2493" s="1" t="s">
        <v>88</v>
      </c>
      <c r="C2493" s="1" t="s">
        <v>1299</v>
      </c>
      <c r="D2493" s="1" t="s">
        <v>16</v>
      </c>
      <c r="E2493" s="1" t="s">
        <v>26</v>
      </c>
      <c r="F2493" s="1" t="s">
        <v>40</v>
      </c>
      <c r="G2493">
        <v>340445</v>
      </c>
      <c r="H2493" s="1" t="s">
        <v>2911</v>
      </c>
      <c r="I2493" s="2">
        <v>45807</v>
      </c>
      <c r="J2493">
        <v>177</v>
      </c>
      <c r="K2493">
        <v>7.9</v>
      </c>
      <c r="L2493" s="1" t="s">
        <v>20</v>
      </c>
      <c r="M2493" s="1" t="s">
        <v>42</v>
      </c>
    </row>
    <row r="2494" spans="1:13" x14ac:dyDescent="0.25">
      <c r="A2494" s="1" t="s">
        <v>3718</v>
      </c>
      <c r="B2494" s="1" t="s">
        <v>59</v>
      </c>
      <c r="C2494" s="1" t="s">
        <v>650</v>
      </c>
      <c r="D2494" s="1" t="s">
        <v>46</v>
      </c>
      <c r="E2494" s="1" t="s">
        <v>77</v>
      </c>
      <c r="F2494" s="1" t="s">
        <v>18</v>
      </c>
      <c r="G2494">
        <v>450205</v>
      </c>
      <c r="H2494" s="1" t="s">
        <v>479</v>
      </c>
      <c r="I2494" s="2">
        <v>45180</v>
      </c>
      <c r="J2494">
        <v>112</v>
      </c>
      <c r="K2494">
        <v>5.5</v>
      </c>
      <c r="L2494" s="1" t="s">
        <v>29</v>
      </c>
      <c r="M2494" s="1" t="s">
        <v>30</v>
      </c>
    </row>
    <row r="2495" spans="1:13" x14ac:dyDescent="0.25">
      <c r="A2495" s="1" t="s">
        <v>3719</v>
      </c>
      <c r="B2495" s="1" t="s">
        <v>80</v>
      </c>
      <c r="C2495" s="1" t="s">
        <v>119</v>
      </c>
      <c r="D2495" s="1" t="s">
        <v>67</v>
      </c>
      <c r="E2495" s="1" t="s">
        <v>26</v>
      </c>
      <c r="F2495" s="1" t="s">
        <v>40</v>
      </c>
      <c r="G2495">
        <v>371781</v>
      </c>
      <c r="H2495" s="1" t="s">
        <v>2785</v>
      </c>
      <c r="I2495" s="2">
        <v>45354</v>
      </c>
      <c r="J2495">
        <v>29</v>
      </c>
      <c r="K2495">
        <v>11.1</v>
      </c>
      <c r="L2495" s="1" t="s">
        <v>20</v>
      </c>
      <c r="M2495" s="1" t="s">
        <v>69</v>
      </c>
    </row>
    <row r="2496" spans="1:13" x14ac:dyDescent="0.25">
      <c r="A2496" s="1" t="s">
        <v>3720</v>
      </c>
      <c r="B2496" s="1" t="s">
        <v>127</v>
      </c>
      <c r="C2496" s="1" t="s">
        <v>141</v>
      </c>
      <c r="D2496" s="1" t="s">
        <v>25</v>
      </c>
      <c r="E2496" s="1" t="s">
        <v>61</v>
      </c>
      <c r="F2496" s="1" t="s">
        <v>27</v>
      </c>
      <c r="G2496">
        <v>460374</v>
      </c>
      <c r="H2496" s="1" t="s">
        <v>2750</v>
      </c>
      <c r="I2496" s="2"/>
      <c r="L2496" s="1" t="s">
        <v>20</v>
      </c>
      <c r="M2496" s="1" t="s">
        <v>21</v>
      </c>
    </row>
    <row r="2497" spans="1:13" x14ac:dyDescent="0.25">
      <c r="A2497" s="1" t="s">
        <v>3721</v>
      </c>
      <c r="B2497" s="1" t="s">
        <v>104</v>
      </c>
      <c r="C2497" s="1" t="s">
        <v>328</v>
      </c>
      <c r="D2497" s="1" t="s">
        <v>90</v>
      </c>
      <c r="E2497" s="1" t="s">
        <v>61</v>
      </c>
      <c r="F2497" s="1" t="s">
        <v>18</v>
      </c>
      <c r="G2497">
        <v>222416</v>
      </c>
      <c r="H2497" s="1" t="s">
        <v>682</v>
      </c>
      <c r="I2497" s="2">
        <v>45738</v>
      </c>
      <c r="J2497">
        <v>19</v>
      </c>
      <c r="L2497" s="1" t="s">
        <v>96</v>
      </c>
      <c r="M2497" s="1" t="s">
        <v>63</v>
      </c>
    </row>
    <row r="2498" spans="1:13" x14ac:dyDescent="0.25">
      <c r="A2498" s="1" t="s">
        <v>3722</v>
      </c>
      <c r="B2498" s="1" t="s">
        <v>80</v>
      </c>
      <c r="C2498" s="1" t="s">
        <v>93</v>
      </c>
      <c r="D2498" s="1" t="s">
        <v>67</v>
      </c>
      <c r="E2498" s="1" t="s">
        <v>77</v>
      </c>
      <c r="F2498" s="1" t="s">
        <v>27</v>
      </c>
      <c r="G2498">
        <v>416907</v>
      </c>
      <c r="H2498" s="1" t="s">
        <v>937</v>
      </c>
      <c r="I2498" s="2"/>
      <c r="L2498" s="1" t="s">
        <v>20</v>
      </c>
      <c r="M2498" s="1" t="s">
        <v>63</v>
      </c>
    </row>
    <row r="2499" spans="1:13" x14ac:dyDescent="0.25">
      <c r="A2499" s="1" t="s">
        <v>3723</v>
      </c>
      <c r="B2499" s="1" t="s">
        <v>98</v>
      </c>
      <c r="C2499" s="1" t="s">
        <v>862</v>
      </c>
      <c r="D2499" s="1" t="s">
        <v>46</v>
      </c>
      <c r="E2499" s="1" t="s">
        <v>26</v>
      </c>
      <c r="F2499" s="1" t="s">
        <v>27</v>
      </c>
      <c r="G2499">
        <v>156811</v>
      </c>
      <c r="H2499" s="1" t="s">
        <v>1291</v>
      </c>
      <c r="I2499" s="2"/>
      <c r="K2499">
        <v>14.3</v>
      </c>
      <c r="L2499" s="1" t="s">
        <v>29</v>
      </c>
      <c r="M2499" s="1" t="s">
        <v>63</v>
      </c>
    </row>
    <row r="2500" spans="1:13" x14ac:dyDescent="0.25">
      <c r="A2500" s="1" t="s">
        <v>3724</v>
      </c>
      <c r="B2500" s="1" t="s">
        <v>88</v>
      </c>
      <c r="C2500" s="1" t="s">
        <v>1339</v>
      </c>
      <c r="D2500" s="1" t="s">
        <v>46</v>
      </c>
      <c r="E2500" s="1" t="s">
        <v>47</v>
      </c>
      <c r="F2500" s="1" t="s">
        <v>40</v>
      </c>
      <c r="G2500">
        <v>56657</v>
      </c>
      <c r="H2500" s="1" t="s">
        <v>19</v>
      </c>
      <c r="I2500" s="2">
        <v>45367</v>
      </c>
      <c r="J2500">
        <v>104</v>
      </c>
      <c r="K2500">
        <v>23.9</v>
      </c>
      <c r="L2500" s="1" t="s">
        <v>20</v>
      </c>
      <c r="M2500" s="1" t="s">
        <v>21</v>
      </c>
    </row>
    <row r="2501" spans="1:13" x14ac:dyDescent="0.25">
      <c r="A2501" s="1" t="s">
        <v>3725</v>
      </c>
      <c r="B2501" s="1" t="s">
        <v>127</v>
      </c>
      <c r="C2501" s="1" t="s">
        <v>583</v>
      </c>
      <c r="D2501" s="1" t="s">
        <v>90</v>
      </c>
      <c r="E2501" s="1" t="s">
        <v>100</v>
      </c>
      <c r="F2501" s="1" t="s">
        <v>40</v>
      </c>
      <c r="G2501">
        <v>374102</v>
      </c>
      <c r="H2501" s="1" t="s">
        <v>1357</v>
      </c>
      <c r="I2501" s="2">
        <v>45350</v>
      </c>
      <c r="J2501">
        <v>144</v>
      </c>
      <c r="K2501">
        <v>18.100000000000001</v>
      </c>
      <c r="L2501" s="1" t="s">
        <v>29</v>
      </c>
      <c r="M2501" s="1" t="s">
        <v>21</v>
      </c>
    </row>
    <row r="2502" spans="1:13" x14ac:dyDescent="0.25">
      <c r="A2502" s="1" t="s">
        <v>3726</v>
      </c>
      <c r="B2502" s="1" t="s">
        <v>59</v>
      </c>
      <c r="C2502" s="1" t="s">
        <v>141</v>
      </c>
      <c r="D2502" s="1" t="s">
        <v>39</v>
      </c>
      <c r="E2502" s="1" t="s">
        <v>51</v>
      </c>
      <c r="F2502" s="1" t="s">
        <v>53</v>
      </c>
      <c r="G2502">
        <v>104979</v>
      </c>
      <c r="H2502" s="1" t="s">
        <v>779</v>
      </c>
      <c r="I2502" s="2"/>
      <c r="L2502" s="1" t="s">
        <v>96</v>
      </c>
      <c r="M2502" s="1" t="s">
        <v>102</v>
      </c>
    </row>
    <row r="2503" spans="1:13" x14ac:dyDescent="0.25">
      <c r="A2503" s="1" t="s">
        <v>3727</v>
      </c>
      <c r="B2503" s="1" t="s">
        <v>173</v>
      </c>
      <c r="C2503" s="1" t="s">
        <v>295</v>
      </c>
      <c r="D2503" s="1" t="s">
        <v>39</v>
      </c>
      <c r="E2503" s="1" t="s">
        <v>94</v>
      </c>
      <c r="F2503" s="1" t="s">
        <v>18</v>
      </c>
      <c r="G2503">
        <v>21733</v>
      </c>
      <c r="H2503" s="1" t="s">
        <v>2728</v>
      </c>
      <c r="I2503" s="2">
        <v>45107</v>
      </c>
      <c r="J2503">
        <v>47</v>
      </c>
      <c r="K2503">
        <v>8</v>
      </c>
      <c r="L2503" s="1" t="s">
        <v>96</v>
      </c>
      <c r="M2503" s="1" t="s">
        <v>30</v>
      </c>
    </row>
    <row r="2504" spans="1:13" x14ac:dyDescent="0.25">
      <c r="A2504" s="1" t="s">
        <v>3728</v>
      </c>
      <c r="B2504" s="1" t="s">
        <v>88</v>
      </c>
      <c r="C2504" s="1" t="s">
        <v>132</v>
      </c>
      <c r="D2504" s="1" t="s">
        <v>90</v>
      </c>
      <c r="E2504" s="1" t="s">
        <v>72</v>
      </c>
      <c r="F2504" s="1" t="s">
        <v>18</v>
      </c>
      <c r="G2504">
        <v>33717</v>
      </c>
      <c r="H2504" s="1" t="s">
        <v>1492</v>
      </c>
      <c r="I2504" s="2">
        <v>45419</v>
      </c>
      <c r="J2504">
        <v>129</v>
      </c>
      <c r="K2504">
        <v>9.5</v>
      </c>
      <c r="L2504" s="1" t="s">
        <v>20</v>
      </c>
      <c r="M2504" s="1" t="s">
        <v>21</v>
      </c>
    </row>
    <row r="2505" spans="1:13" x14ac:dyDescent="0.25">
      <c r="A2505" s="1" t="s">
        <v>3729</v>
      </c>
      <c r="B2505" s="1" t="s">
        <v>75</v>
      </c>
      <c r="C2505" s="1" t="s">
        <v>720</v>
      </c>
      <c r="D2505" s="1" t="s">
        <v>25</v>
      </c>
      <c r="E2505" s="1" t="s">
        <v>100</v>
      </c>
      <c r="F2505" s="1" t="s">
        <v>18</v>
      </c>
      <c r="G2505">
        <v>119980</v>
      </c>
      <c r="H2505" s="1" t="s">
        <v>1418</v>
      </c>
      <c r="I2505" s="2">
        <v>45621</v>
      </c>
      <c r="J2505">
        <v>23</v>
      </c>
      <c r="K2505">
        <v>5.9</v>
      </c>
      <c r="L2505" s="1" t="s">
        <v>96</v>
      </c>
      <c r="M2505" s="1" t="s">
        <v>42</v>
      </c>
    </row>
    <row r="2506" spans="1:13" x14ac:dyDescent="0.25">
      <c r="A2506" s="1" t="s">
        <v>3730</v>
      </c>
      <c r="B2506" s="1" t="s">
        <v>84</v>
      </c>
      <c r="C2506" s="1" t="s">
        <v>747</v>
      </c>
      <c r="D2506" s="1" t="s">
        <v>39</v>
      </c>
      <c r="E2506" s="1" t="s">
        <v>51</v>
      </c>
      <c r="F2506" s="1" t="s">
        <v>27</v>
      </c>
      <c r="G2506">
        <v>33133</v>
      </c>
      <c r="H2506" s="1" t="s">
        <v>534</v>
      </c>
      <c r="I2506" s="2"/>
      <c r="K2506">
        <v>1.8</v>
      </c>
      <c r="L2506" s="1" t="s">
        <v>96</v>
      </c>
      <c r="M2506" s="1" t="s">
        <v>63</v>
      </c>
    </row>
    <row r="2507" spans="1:13" x14ac:dyDescent="0.25">
      <c r="A2507" s="1" t="s">
        <v>3731</v>
      </c>
      <c r="B2507" s="1" t="s">
        <v>104</v>
      </c>
      <c r="C2507" s="1" t="s">
        <v>679</v>
      </c>
      <c r="D2507" s="1" t="s">
        <v>90</v>
      </c>
      <c r="E2507" s="1" t="s">
        <v>94</v>
      </c>
      <c r="F2507" s="1" t="s">
        <v>33</v>
      </c>
      <c r="G2507">
        <v>243264</v>
      </c>
      <c r="H2507" s="1" t="s">
        <v>1122</v>
      </c>
      <c r="I2507" s="2"/>
      <c r="L2507" s="1" t="s">
        <v>29</v>
      </c>
      <c r="M2507" s="1" t="s">
        <v>149</v>
      </c>
    </row>
    <row r="2508" spans="1:13" x14ac:dyDescent="0.25">
      <c r="A2508" s="1" t="s">
        <v>3732</v>
      </c>
      <c r="B2508" s="1" t="s">
        <v>127</v>
      </c>
      <c r="C2508" s="1" t="s">
        <v>625</v>
      </c>
      <c r="D2508" s="1" t="s">
        <v>39</v>
      </c>
      <c r="E2508" s="1" t="s">
        <v>61</v>
      </c>
      <c r="F2508" s="1" t="s">
        <v>53</v>
      </c>
      <c r="G2508">
        <v>199533</v>
      </c>
      <c r="H2508" s="1" t="s">
        <v>1885</v>
      </c>
      <c r="I2508" s="2"/>
      <c r="K2508">
        <v>12</v>
      </c>
      <c r="L2508" s="1" t="s">
        <v>49</v>
      </c>
      <c r="M2508" s="1" t="s">
        <v>69</v>
      </c>
    </row>
    <row r="2509" spans="1:13" x14ac:dyDescent="0.25">
      <c r="A2509" s="1" t="s">
        <v>3733</v>
      </c>
      <c r="B2509" s="1" t="s">
        <v>65</v>
      </c>
      <c r="C2509" s="1" t="s">
        <v>387</v>
      </c>
      <c r="D2509" s="1" t="s">
        <v>25</v>
      </c>
      <c r="E2509" s="1" t="s">
        <v>47</v>
      </c>
      <c r="F2509" s="1" t="s">
        <v>18</v>
      </c>
      <c r="G2509">
        <v>439014</v>
      </c>
      <c r="H2509" s="1" t="s">
        <v>791</v>
      </c>
      <c r="I2509" s="2">
        <v>45613</v>
      </c>
      <c r="J2509">
        <v>162</v>
      </c>
      <c r="K2509">
        <v>3.9</v>
      </c>
      <c r="L2509" s="1" t="s">
        <v>29</v>
      </c>
      <c r="M2509" s="1" t="s">
        <v>107</v>
      </c>
    </row>
    <row r="2510" spans="1:13" x14ac:dyDescent="0.25">
      <c r="A2510" s="1" t="s">
        <v>3734</v>
      </c>
      <c r="B2510" s="1" t="s">
        <v>23</v>
      </c>
      <c r="C2510" s="1" t="s">
        <v>343</v>
      </c>
      <c r="D2510" s="1" t="s">
        <v>39</v>
      </c>
      <c r="E2510" s="1" t="s">
        <v>94</v>
      </c>
      <c r="F2510" s="1" t="s">
        <v>129</v>
      </c>
      <c r="G2510">
        <v>11116</v>
      </c>
      <c r="H2510" s="1" t="s">
        <v>841</v>
      </c>
      <c r="I2510" s="2"/>
      <c r="K2510">
        <v>5.0999999999999996</v>
      </c>
      <c r="L2510" s="1" t="s">
        <v>29</v>
      </c>
      <c r="M2510" s="1" t="s">
        <v>21</v>
      </c>
    </row>
    <row r="2511" spans="1:13" x14ac:dyDescent="0.25">
      <c r="A2511" s="1" t="s">
        <v>3735</v>
      </c>
      <c r="B2511" s="1" t="s">
        <v>127</v>
      </c>
      <c r="C2511" s="1" t="s">
        <v>1225</v>
      </c>
      <c r="D2511" s="1" t="s">
        <v>16</v>
      </c>
      <c r="E2511" s="1" t="s">
        <v>51</v>
      </c>
      <c r="F2511" s="1" t="s">
        <v>33</v>
      </c>
      <c r="G2511">
        <v>320043</v>
      </c>
      <c r="H2511" s="1" t="s">
        <v>1127</v>
      </c>
      <c r="I2511" s="2"/>
      <c r="L2511" s="1" t="s">
        <v>20</v>
      </c>
      <c r="M2511" s="1" t="s">
        <v>69</v>
      </c>
    </row>
    <row r="2512" spans="1:13" x14ac:dyDescent="0.25">
      <c r="A2512" s="1" t="s">
        <v>3736</v>
      </c>
      <c r="B2512" s="1" t="s">
        <v>23</v>
      </c>
      <c r="C2512" s="1" t="s">
        <v>116</v>
      </c>
      <c r="D2512" s="1" t="s">
        <v>16</v>
      </c>
      <c r="E2512" s="1" t="s">
        <v>17</v>
      </c>
      <c r="F2512" s="1" t="s">
        <v>53</v>
      </c>
      <c r="G2512">
        <v>38350</v>
      </c>
      <c r="H2512" s="1" t="s">
        <v>1098</v>
      </c>
      <c r="I2512" s="2"/>
      <c r="K2512">
        <v>14.8</v>
      </c>
      <c r="L2512" s="1" t="s">
        <v>29</v>
      </c>
      <c r="M2512" s="1" t="s">
        <v>42</v>
      </c>
    </row>
    <row r="2513" spans="1:13" x14ac:dyDescent="0.25">
      <c r="A2513" s="1" t="s">
        <v>3737</v>
      </c>
      <c r="B2513" s="1" t="s">
        <v>14</v>
      </c>
      <c r="C2513" s="1" t="s">
        <v>433</v>
      </c>
      <c r="D2513" s="1" t="s">
        <v>16</v>
      </c>
      <c r="E2513" s="1" t="s">
        <v>17</v>
      </c>
      <c r="F2513" s="1" t="s">
        <v>53</v>
      </c>
      <c r="G2513">
        <v>280313</v>
      </c>
      <c r="H2513" s="1" t="s">
        <v>2463</v>
      </c>
      <c r="I2513" s="2"/>
      <c r="L2513" s="1" t="s">
        <v>20</v>
      </c>
      <c r="M2513" s="1" t="s">
        <v>63</v>
      </c>
    </row>
    <row r="2514" spans="1:13" x14ac:dyDescent="0.25">
      <c r="A2514" s="1" t="s">
        <v>3738</v>
      </c>
      <c r="B2514" s="1" t="s">
        <v>65</v>
      </c>
      <c r="C2514" s="1" t="s">
        <v>258</v>
      </c>
      <c r="D2514" s="1" t="s">
        <v>16</v>
      </c>
      <c r="E2514" s="1" t="s">
        <v>61</v>
      </c>
      <c r="F2514" s="1" t="s">
        <v>18</v>
      </c>
      <c r="G2514">
        <v>313350</v>
      </c>
      <c r="H2514" s="1" t="s">
        <v>2383</v>
      </c>
      <c r="I2514" s="2">
        <v>45630</v>
      </c>
      <c r="J2514">
        <v>122</v>
      </c>
      <c r="K2514">
        <v>8</v>
      </c>
      <c r="L2514" s="1" t="s">
        <v>96</v>
      </c>
      <c r="M2514" s="1" t="s">
        <v>149</v>
      </c>
    </row>
    <row r="2515" spans="1:13" x14ac:dyDescent="0.25">
      <c r="A2515" s="1" t="s">
        <v>3739</v>
      </c>
      <c r="B2515" s="1" t="s">
        <v>109</v>
      </c>
      <c r="C2515" s="1" t="s">
        <v>406</v>
      </c>
      <c r="D2515" s="1" t="s">
        <v>90</v>
      </c>
      <c r="E2515" s="1" t="s">
        <v>100</v>
      </c>
      <c r="F2515" s="1" t="s">
        <v>40</v>
      </c>
      <c r="G2515">
        <v>302316</v>
      </c>
      <c r="H2515" s="1" t="s">
        <v>458</v>
      </c>
      <c r="I2515" s="2">
        <v>45166</v>
      </c>
      <c r="J2515">
        <v>27</v>
      </c>
      <c r="K2515">
        <v>1.4</v>
      </c>
      <c r="L2515" s="1" t="s">
        <v>49</v>
      </c>
      <c r="M2515" s="1" t="s">
        <v>102</v>
      </c>
    </row>
    <row r="2516" spans="1:13" x14ac:dyDescent="0.25">
      <c r="A2516" s="1" t="s">
        <v>3740</v>
      </c>
      <c r="B2516" s="1" t="s">
        <v>23</v>
      </c>
      <c r="C2516" s="1" t="s">
        <v>521</v>
      </c>
      <c r="D2516" s="1" t="s">
        <v>90</v>
      </c>
      <c r="E2516" s="1" t="s">
        <v>77</v>
      </c>
      <c r="F2516" s="1" t="s">
        <v>33</v>
      </c>
      <c r="G2516">
        <v>923296</v>
      </c>
      <c r="H2516" s="1" t="s">
        <v>1675</v>
      </c>
      <c r="I2516" s="2"/>
      <c r="L2516" s="1" t="s">
        <v>20</v>
      </c>
      <c r="M2516" s="1" t="s">
        <v>107</v>
      </c>
    </row>
    <row r="2517" spans="1:13" x14ac:dyDescent="0.25">
      <c r="A2517" s="1" t="s">
        <v>3741</v>
      </c>
      <c r="B2517" s="1" t="s">
        <v>80</v>
      </c>
      <c r="C2517" s="1" t="s">
        <v>110</v>
      </c>
      <c r="D2517" s="1" t="s">
        <v>39</v>
      </c>
      <c r="E2517" s="1" t="s">
        <v>51</v>
      </c>
      <c r="F2517" s="1" t="s">
        <v>40</v>
      </c>
      <c r="G2517">
        <v>184520</v>
      </c>
      <c r="H2517" s="1" t="s">
        <v>674</v>
      </c>
      <c r="I2517" s="2">
        <v>45155</v>
      </c>
      <c r="J2517">
        <v>163</v>
      </c>
      <c r="K2517">
        <v>9.4</v>
      </c>
      <c r="L2517" s="1" t="s">
        <v>29</v>
      </c>
      <c r="M2517" s="1" t="s">
        <v>35</v>
      </c>
    </row>
    <row r="2518" spans="1:13" x14ac:dyDescent="0.25">
      <c r="A2518" s="1" t="s">
        <v>3742</v>
      </c>
      <c r="B2518" s="1" t="s">
        <v>44</v>
      </c>
      <c r="C2518" s="1" t="s">
        <v>99</v>
      </c>
      <c r="D2518" s="1" t="s">
        <v>67</v>
      </c>
      <c r="E2518" s="1" t="s">
        <v>51</v>
      </c>
      <c r="F2518" s="1" t="s">
        <v>40</v>
      </c>
      <c r="G2518">
        <v>108648</v>
      </c>
      <c r="H2518" s="1" t="s">
        <v>519</v>
      </c>
      <c r="I2518" s="2">
        <v>45206</v>
      </c>
      <c r="J2518">
        <v>161</v>
      </c>
      <c r="K2518">
        <v>21.3</v>
      </c>
      <c r="L2518" s="1" t="s">
        <v>20</v>
      </c>
      <c r="M2518" s="1" t="s">
        <v>30</v>
      </c>
    </row>
    <row r="2519" spans="1:13" x14ac:dyDescent="0.25">
      <c r="A2519" s="1" t="s">
        <v>3743</v>
      </c>
      <c r="B2519" s="1" t="s">
        <v>98</v>
      </c>
      <c r="C2519" s="1" t="s">
        <v>1095</v>
      </c>
      <c r="D2519" s="1" t="s">
        <v>90</v>
      </c>
      <c r="E2519" s="1" t="s">
        <v>72</v>
      </c>
      <c r="F2519" s="1" t="s">
        <v>129</v>
      </c>
      <c r="G2519">
        <v>118592</v>
      </c>
      <c r="H2519" s="1" t="s">
        <v>1862</v>
      </c>
      <c r="I2519" s="2"/>
      <c r="K2519">
        <v>14.6</v>
      </c>
      <c r="L2519" s="1" t="s">
        <v>96</v>
      </c>
      <c r="M2519" s="1" t="s">
        <v>63</v>
      </c>
    </row>
    <row r="2520" spans="1:13" x14ac:dyDescent="0.25">
      <c r="A2520" s="1" t="s">
        <v>3744</v>
      </c>
      <c r="B2520" s="1" t="s">
        <v>59</v>
      </c>
      <c r="C2520" s="1" t="s">
        <v>147</v>
      </c>
      <c r="D2520" s="1" t="s">
        <v>39</v>
      </c>
      <c r="E2520" s="1" t="s">
        <v>100</v>
      </c>
      <c r="F2520" s="1" t="s">
        <v>33</v>
      </c>
      <c r="G2520">
        <v>251885</v>
      </c>
      <c r="H2520" s="1" t="s">
        <v>228</v>
      </c>
      <c r="I2520" s="2"/>
      <c r="K2520">
        <v>3.2</v>
      </c>
      <c r="L2520" s="1" t="s">
        <v>20</v>
      </c>
      <c r="M2520" s="1" t="s">
        <v>102</v>
      </c>
    </row>
    <row r="2521" spans="1:13" x14ac:dyDescent="0.25">
      <c r="A2521" s="1" t="s">
        <v>3745</v>
      </c>
      <c r="B2521" s="1" t="s">
        <v>80</v>
      </c>
      <c r="C2521" s="1" t="s">
        <v>1410</v>
      </c>
      <c r="D2521" s="1" t="s">
        <v>46</v>
      </c>
      <c r="E2521" s="1" t="s">
        <v>47</v>
      </c>
      <c r="F2521" s="1" t="s">
        <v>40</v>
      </c>
      <c r="G2521">
        <v>301118</v>
      </c>
      <c r="H2521" s="1" t="s">
        <v>2771</v>
      </c>
      <c r="I2521" s="2">
        <v>45476</v>
      </c>
      <c r="J2521">
        <v>95</v>
      </c>
      <c r="K2521">
        <v>6.8</v>
      </c>
      <c r="L2521" s="1" t="s">
        <v>49</v>
      </c>
      <c r="M2521" s="1" t="s">
        <v>69</v>
      </c>
    </row>
    <row r="2522" spans="1:13" x14ac:dyDescent="0.25">
      <c r="A2522" s="1" t="s">
        <v>3746</v>
      </c>
      <c r="B2522" s="1" t="s">
        <v>23</v>
      </c>
      <c r="C2522" s="1" t="s">
        <v>1050</v>
      </c>
      <c r="D2522" s="1" t="s">
        <v>46</v>
      </c>
      <c r="E2522" s="1" t="s">
        <v>100</v>
      </c>
      <c r="F2522" s="1" t="s">
        <v>27</v>
      </c>
      <c r="G2522">
        <v>40748</v>
      </c>
      <c r="H2522" s="1" t="s">
        <v>660</v>
      </c>
      <c r="I2522" s="2"/>
      <c r="K2522">
        <v>5.4</v>
      </c>
      <c r="L2522" s="1" t="s">
        <v>20</v>
      </c>
      <c r="M2522" s="1" t="s">
        <v>149</v>
      </c>
    </row>
    <row r="2523" spans="1:13" x14ac:dyDescent="0.25">
      <c r="A2523" s="1" t="s">
        <v>3747</v>
      </c>
      <c r="B2523" s="1" t="s">
        <v>98</v>
      </c>
      <c r="C2523" s="1" t="s">
        <v>237</v>
      </c>
      <c r="D2523" s="1" t="s">
        <v>39</v>
      </c>
      <c r="E2523" s="1" t="s">
        <v>100</v>
      </c>
      <c r="F2523" s="1" t="s">
        <v>53</v>
      </c>
      <c r="G2523">
        <v>476356</v>
      </c>
      <c r="H2523" s="1" t="s">
        <v>904</v>
      </c>
      <c r="I2523" s="2"/>
      <c r="K2523">
        <v>5.0999999999999996</v>
      </c>
      <c r="L2523" s="1" t="s">
        <v>20</v>
      </c>
      <c r="M2523" s="1" t="s">
        <v>30</v>
      </c>
    </row>
    <row r="2524" spans="1:13" x14ac:dyDescent="0.25">
      <c r="A2524" s="1" t="s">
        <v>3748</v>
      </c>
      <c r="B2524" s="1" t="s">
        <v>173</v>
      </c>
      <c r="C2524" s="1" t="s">
        <v>151</v>
      </c>
      <c r="D2524" s="1" t="s">
        <v>46</v>
      </c>
      <c r="E2524" s="1" t="s">
        <v>61</v>
      </c>
      <c r="F2524" s="1" t="s">
        <v>40</v>
      </c>
      <c r="G2524">
        <v>112934</v>
      </c>
      <c r="H2524" s="1" t="s">
        <v>469</v>
      </c>
      <c r="I2524" s="2">
        <v>45638</v>
      </c>
      <c r="J2524">
        <v>121</v>
      </c>
      <c r="K2524">
        <v>2.1</v>
      </c>
      <c r="L2524" s="1" t="s">
        <v>20</v>
      </c>
      <c r="M2524" s="1" t="s">
        <v>149</v>
      </c>
    </row>
    <row r="2525" spans="1:13" x14ac:dyDescent="0.25">
      <c r="A2525" s="1" t="s">
        <v>3749</v>
      </c>
      <c r="B2525" s="1" t="s">
        <v>84</v>
      </c>
      <c r="C2525" s="1" t="s">
        <v>596</v>
      </c>
      <c r="D2525" s="1" t="s">
        <v>46</v>
      </c>
      <c r="E2525" s="1" t="s">
        <v>17</v>
      </c>
      <c r="F2525" s="1" t="s">
        <v>33</v>
      </c>
      <c r="G2525">
        <v>266428</v>
      </c>
      <c r="H2525" s="1" t="s">
        <v>1796</v>
      </c>
      <c r="I2525" s="2"/>
      <c r="K2525">
        <v>4.3</v>
      </c>
      <c r="L2525" s="1" t="s">
        <v>29</v>
      </c>
      <c r="M2525" s="1" t="s">
        <v>30</v>
      </c>
    </row>
    <row r="2526" spans="1:13" x14ac:dyDescent="0.25">
      <c r="A2526" s="1" t="s">
        <v>3750</v>
      </c>
      <c r="B2526" s="1" t="s">
        <v>109</v>
      </c>
      <c r="C2526" s="1" t="s">
        <v>1457</v>
      </c>
      <c r="D2526" s="1" t="s">
        <v>25</v>
      </c>
      <c r="E2526" s="1" t="s">
        <v>100</v>
      </c>
      <c r="F2526" s="1" t="s">
        <v>129</v>
      </c>
      <c r="G2526">
        <v>480689</v>
      </c>
      <c r="H2526" s="1" t="s">
        <v>3751</v>
      </c>
      <c r="I2526" s="2"/>
      <c r="K2526">
        <v>0.4</v>
      </c>
      <c r="L2526" s="1" t="s">
        <v>49</v>
      </c>
      <c r="M2526" s="1" t="s">
        <v>102</v>
      </c>
    </row>
    <row r="2527" spans="1:13" x14ac:dyDescent="0.25">
      <c r="A2527" s="1" t="s">
        <v>3752</v>
      </c>
      <c r="B2527" s="1" t="s">
        <v>104</v>
      </c>
      <c r="C2527" s="1" t="s">
        <v>488</v>
      </c>
      <c r="D2527" s="1" t="s">
        <v>25</v>
      </c>
      <c r="E2527" s="1" t="s">
        <v>72</v>
      </c>
      <c r="F2527" s="1" t="s">
        <v>40</v>
      </c>
      <c r="G2527">
        <v>43907</v>
      </c>
      <c r="H2527" s="1" t="s">
        <v>1362</v>
      </c>
      <c r="I2527" s="2">
        <v>45419</v>
      </c>
      <c r="J2527">
        <v>109</v>
      </c>
      <c r="K2527">
        <v>14.3</v>
      </c>
      <c r="L2527" s="1" t="s">
        <v>49</v>
      </c>
      <c r="M2527" s="1" t="s">
        <v>69</v>
      </c>
    </row>
    <row r="2528" spans="1:13" x14ac:dyDescent="0.25">
      <c r="A2528" s="1" t="s">
        <v>3753</v>
      </c>
      <c r="B2528" s="1" t="s">
        <v>109</v>
      </c>
      <c r="C2528" s="1" t="s">
        <v>1136</v>
      </c>
      <c r="D2528" s="1" t="s">
        <v>90</v>
      </c>
      <c r="E2528" s="1" t="s">
        <v>26</v>
      </c>
      <c r="F2528" s="1" t="s">
        <v>33</v>
      </c>
      <c r="G2528">
        <v>223981</v>
      </c>
      <c r="H2528" s="1" t="s">
        <v>1362</v>
      </c>
      <c r="I2528" s="2"/>
      <c r="K2528">
        <v>7.1</v>
      </c>
      <c r="L2528" s="1" t="s">
        <v>96</v>
      </c>
      <c r="M2528" s="1" t="s">
        <v>69</v>
      </c>
    </row>
    <row r="2529" spans="1:13" x14ac:dyDescent="0.25">
      <c r="A2529" s="1" t="s">
        <v>3754</v>
      </c>
      <c r="B2529" s="1" t="s">
        <v>109</v>
      </c>
      <c r="C2529" s="1" t="s">
        <v>174</v>
      </c>
      <c r="D2529" s="1" t="s">
        <v>16</v>
      </c>
      <c r="E2529" s="1" t="s">
        <v>100</v>
      </c>
      <c r="F2529" s="1" t="s">
        <v>18</v>
      </c>
      <c r="G2529">
        <v>193562</v>
      </c>
      <c r="H2529" s="1" t="s">
        <v>2633</v>
      </c>
      <c r="I2529" s="2">
        <v>45615</v>
      </c>
      <c r="J2529">
        <v>29</v>
      </c>
      <c r="L2529" s="1" t="s">
        <v>96</v>
      </c>
      <c r="M2529" s="1" t="s">
        <v>42</v>
      </c>
    </row>
    <row r="2530" spans="1:13" x14ac:dyDescent="0.25">
      <c r="A2530" s="1" t="s">
        <v>3755</v>
      </c>
      <c r="B2530" s="1" t="s">
        <v>59</v>
      </c>
      <c r="C2530" s="1" t="s">
        <v>160</v>
      </c>
      <c r="D2530" s="1" t="s">
        <v>67</v>
      </c>
      <c r="E2530" s="1" t="s">
        <v>17</v>
      </c>
      <c r="F2530" s="1" t="s">
        <v>33</v>
      </c>
      <c r="G2530">
        <v>355197</v>
      </c>
      <c r="H2530" s="1" t="s">
        <v>1723</v>
      </c>
      <c r="I2530" s="2"/>
      <c r="L2530" s="1" t="s">
        <v>20</v>
      </c>
      <c r="M2530" s="1" t="s">
        <v>30</v>
      </c>
    </row>
    <row r="2531" spans="1:13" x14ac:dyDescent="0.25">
      <c r="A2531" s="1" t="s">
        <v>3756</v>
      </c>
      <c r="B2531" s="1" t="s">
        <v>44</v>
      </c>
      <c r="C2531" s="1" t="s">
        <v>587</v>
      </c>
      <c r="D2531" s="1" t="s">
        <v>25</v>
      </c>
      <c r="E2531" s="1" t="s">
        <v>100</v>
      </c>
      <c r="F2531" s="1" t="s">
        <v>40</v>
      </c>
      <c r="G2531">
        <v>75307</v>
      </c>
      <c r="H2531" s="1" t="s">
        <v>3757</v>
      </c>
      <c r="I2531" s="2">
        <v>45414</v>
      </c>
      <c r="J2531">
        <v>71</v>
      </c>
      <c r="K2531">
        <v>15.2</v>
      </c>
      <c r="L2531" s="1" t="s">
        <v>29</v>
      </c>
      <c r="M2531" s="1" t="s">
        <v>69</v>
      </c>
    </row>
    <row r="2532" spans="1:13" x14ac:dyDescent="0.25">
      <c r="A2532" s="1" t="s">
        <v>3758</v>
      </c>
      <c r="B2532" s="1" t="s">
        <v>23</v>
      </c>
      <c r="C2532" s="1" t="s">
        <v>859</v>
      </c>
      <c r="D2532" s="1" t="s">
        <v>46</v>
      </c>
      <c r="E2532" s="1" t="s">
        <v>26</v>
      </c>
      <c r="F2532" s="1" t="s">
        <v>33</v>
      </c>
      <c r="G2532">
        <v>421877</v>
      </c>
      <c r="H2532" s="1" t="s">
        <v>1357</v>
      </c>
      <c r="I2532" s="2"/>
      <c r="K2532">
        <v>6.7</v>
      </c>
      <c r="L2532" s="1" t="s">
        <v>20</v>
      </c>
      <c r="M2532" s="1" t="s">
        <v>21</v>
      </c>
    </row>
    <row r="2533" spans="1:13" x14ac:dyDescent="0.25">
      <c r="A2533" s="1" t="s">
        <v>3759</v>
      </c>
      <c r="B2533" s="1" t="s">
        <v>109</v>
      </c>
      <c r="C2533" s="1" t="s">
        <v>113</v>
      </c>
      <c r="D2533" s="1" t="s">
        <v>39</v>
      </c>
      <c r="E2533" s="1" t="s">
        <v>26</v>
      </c>
      <c r="F2533" s="1" t="s">
        <v>27</v>
      </c>
      <c r="G2533">
        <v>406915</v>
      </c>
      <c r="H2533" s="1" t="s">
        <v>245</v>
      </c>
      <c r="I2533" s="2"/>
      <c r="L2533" s="1" t="s">
        <v>49</v>
      </c>
      <c r="M2533" s="1" t="s">
        <v>63</v>
      </c>
    </row>
    <row r="2534" spans="1:13" x14ac:dyDescent="0.25">
      <c r="A2534" s="1" t="s">
        <v>3760</v>
      </c>
      <c r="B2534" s="1" t="s">
        <v>75</v>
      </c>
      <c r="C2534" s="1" t="s">
        <v>308</v>
      </c>
      <c r="D2534" s="1" t="s">
        <v>16</v>
      </c>
      <c r="E2534" s="1" t="s">
        <v>94</v>
      </c>
      <c r="F2534" s="1" t="s">
        <v>40</v>
      </c>
      <c r="G2534">
        <v>426415</v>
      </c>
      <c r="H2534" s="1" t="s">
        <v>2688</v>
      </c>
      <c r="I2534" s="2">
        <v>45641</v>
      </c>
      <c r="J2534">
        <v>83</v>
      </c>
      <c r="K2534">
        <v>18.399999999999999</v>
      </c>
      <c r="L2534" s="1" t="s">
        <v>49</v>
      </c>
      <c r="M2534" s="1" t="s">
        <v>149</v>
      </c>
    </row>
    <row r="2535" spans="1:13" x14ac:dyDescent="0.25">
      <c r="A2535" s="1" t="s">
        <v>3761</v>
      </c>
      <c r="B2535" s="1" t="s">
        <v>23</v>
      </c>
      <c r="C2535" s="1" t="s">
        <v>877</v>
      </c>
      <c r="D2535" s="1" t="s">
        <v>67</v>
      </c>
      <c r="E2535" s="1" t="s">
        <v>17</v>
      </c>
      <c r="F2535" s="1" t="s">
        <v>53</v>
      </c>
      <c r="G2535">
        <v>204632</v>
      </c>
      <c r="H2535" s="1" t="s">
        <v>409</v>
      </c>
      <c r="I2535" s="2"/>
      <c r="K2535">
        <v>12.6</v>
      </c>
      <c r="L2535" s="1" t="s">
        <v>96</v>
      </c>
      <c r="M2535" s="1" t="s">
        <v>102</v>
      </c>
    </row>
    <row r="2536" spans="1:13" x14ac:dyDescent="0.25">
      <c r="A2536" s="1" t="s">
        <v>3762</v>
      </c>
      <c r="B2536" s="1" t="s">
        <v>65</v>
      </c>
      <c r="C2536" s="1" t="s">
        <v>270</v>
      </c>
      <c r="D2536" s="1" t="s">
        <v>90</v>
      </c>
      <c r="E2536" s="1" t="s">
        <v>61</v>
      </c>
      <c r="F2536" s="1" t="s">
        <v>40</v>
      </c>
      <c r="G2536">
        <v>459475</v>
      </c>
      <c r="H2536" s="1" t="s">
        <v>628</v>
      </c>
      <c r="I2536" s="2">
        <v>45521</v>
      </c>
      <c r="J2536">
        <v>48</v>
      </c>
      <c r="K2536">
        <v>2.1</v>
      </c>
      <c r="L2536" s="1" t="s">
        <v>49</v>
      </c>
      <c r="M2536" s="1" t="s">
        <v>107</v>
      </c>
    </row>
    <row r="2537" spans="1:13" x14ac:dyDescent="0.25">
      <c r="A2537" s="1" t="s">
        <v>3763</v>
      </c>
      <c r="B2537" s="1" t="s">
        <v>104</v>
      </c>
      <c r="C2537" s="1" t="s">
        <v>679</v>
      </c>
      <c r="D2537" s="1" t="s">
        <v>39</v>
      </c>
      <c r="E2537" s="1" t="s">
        <v>77</v>
      </c>
      <c r="F2537" s="1" t="s">
        <v>40</v>
      </c>
      <c r="G2537">
        <v>299023</v>
      </c>
      <c r="H2537" s="1" t="s">
        <v>1597</v>
      </c>
      <c r="I2537" s="2">
        <v>45043</v>
      </c>
      <c r="J2537">
        <v>66</v>
      </c>
      <c r="K2537">
        <v>0.8</v>
      </c>
      <c r="L2537" s="1" t="s">
        <v>20</v>
      </c>
      <c r="M2537" s="1" t="s">
        <v>35</v>
      </c>
    </row>
    <row r="2538" spans="1:13" x14ac:dyDescent="0.25">
      <c r="A2538" s="1" t="s">
        <v>3764</v>
      </c>
      <c r="B2538" s="1" t="s">
        <v>109</v>
      </c>
      <c r="C2538" s="1" t="s">
        <v>449</v>
      </c>
      <c r="D2538" s="1" t="s">
        <v>46</v>
      </c>
      <c r="E2538" s="1" t="s">
        <v>61</v>
      </c>
      <c r="F2538" s="1" t="s">
        <v>40</v>
      </c>
      <c r="G2538">
        <v>326491</v>
      </c>
      <c r="H2538" s="1" t="s">
        <v>606</v>
      </c>
      <c r="I2538" s="2">
        <v>45627</v>
      </c>
      <c r="J2538">
        <v>168</v>
      </c>
      <c r="K2538">
        <v>24.7</v>
      </c>
      <c r="L2538" s="1" t="s">
        <v>49</v>
      </c>
      <c r="M2538" s="1" t="s">
        <v>107</v>
      </c>
    </row>
    <row r="2539" spans="1:13" x14ac:dyDescent="0.25">
      <c r="A2539" s="1" t="s">
        <v>3765</v>
      </c>
      <c r="B2539" s="1" t="s">
        <v>37</v>
      </c>
      <c r="C2539" s="1" t="s">
        <v>71</v>
      </c>
      <c r="D2539" s="1" t="s">
        <v>90</v>
      </c>
      <c r="E2539" s="1" t="s">
        <v>94</v>
      </c>
      <c r="F2539" s="1" t="s">
        <v>53</v>
      </c>
      <c r="G2539">
        <v>46960</v>
      </c>
      <c r="H2539" s="1" t="s">
        <v>2594</v>
      </c>
      <c r="I2539" s="2"/>
      <c r="L2539" s="1" t="s">
        <v>49</v>
      </c>
      <c r="M2539" s="1" t="s">
        <v>107</v>
      </c>
    </row>
    <row r="2540" spans="1:13" x14ac:dyDescent="0.25">
      <c r="A2540" s="1" t="s">
        <v>1684</v>
      </c>
      <c r="B2540" s="1" t="s">
        <v>75</v>
      </c>
      <c r="C2540" s="1" t="s">
        <v>122</v>
      </c>
      <c r="D2540" s="1" t="s">
        <v>25</v>
      </c>
      <c r="E2540" s="1" t="s">
        <v>47</v>
      </c>
      <c r="F2540" s="1" t="s">
        <v>129</v>
      </c>
      <c r="G2540">
        <v>365574</v>
      </c>
      <c r="H2540" s="1" t="s">
        <v>1606</v>
      </c>
      <c r="I2540" s="2"/>
      <c r="L2540" s="1" t="s">
        <v>96</v>
      </c>
      <c r="M2540" s="1" t="s">
        <v>21</v>
      </c>
    </row>
    <row r="2541" spans="1:13" x14ac:dyDescent="0.25">
      <c r="A2541" s="1" t="s">
        <v>3766</v>
      </c>
      <c r="B2541" s="1" t="s">
        <v>80</v>
      </c>
      <c r="C2541" s="1" t="s">
        <v>874</v>
      </c>
      <c r="D2541" s="1" t="s">
        <v>25</v>
      </c>
      <c r="E2541" s="1" t="s">
        <v>51</v>
      </c>
      <c r="F2541" s="1" t="s">
        <v>27</v>
      </c>
      <c r="G2541">
        <v>130587</v>
      </c>
      <c r="H2541" s="1" t="s">
        <v>28</v>
      </c>
      <c r="I2541" s="2"/>
      <c r="L2541" s="1" t="s">
        <v>20</v>
      </c>
      <c r="M254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25F-2766-4EDC-8DFB-398B913BD5E6}">
  <dimension ref="A1:L1026"/>
  <sheetViews>
    <sheetView workbookViewId="0">
      <selection activeCell="D8" sqref="D8"/>
    </sheetView>
  </sheetViews>
  <sheetFormatPr defaultRowHeight="15" x14ac:dyDescent="0.25"/>
  <cols>
    <col min="1" max="1" width="12.85546875" bestFit="1" customWidth="1"/>
    <col min="2" max="2" width="13.42578125" bestFit="1" customWidth="1"/>
    <col min="3" max="3" width="17.85546875" bestFit="1" customWidth="1"/>
    <col min="4" max="4" width="14.140625" bestFit="1" customWidth="1"/>
    <col min="5" max="5" width="13.85546875" bestFit="1" customWidth="1"/>
    <col min="6" max="6" width="21.85546875" bestFit="1" customWidth="1"/>
    <col min="7" max="7" width="14.28515625" bestFit="1" customWidth="1"/>
    <col min="8" max="8" width="15" bestFit="1" customWidth="1"/>
    <col min="9" max="9" width="17" bestFit="1" customWidth="1"/>
    <col min="10" max="10" width="16.5703125" bestFit="1" customWidth="1"/>
    <col min="11" max="11" width="12.28515625" bestFit="1" customWidth="1"/>
    <col min="12" max="12" width="13.5703125" bestFit="1" customWidth="1"/>
  </cols>
  <sheetData>
    <row r="1" spans="1:12" x14ac:dyDescent="0.25">
      <c r="A1" t="s">
        <v>3767</v>
      </c>
      <c r="B1" t="s">
        <v>3768</v>
      </c>
      <c r="C1" t="s">
        <v>3769</v>
      </c>
      <c r="D1" t="s">
        <v>3770</v>
      </c>
      <c r="E1" t="s">
        <v>3771</v>
      </c>
      <c r="F1" t="s">
        <v>3772</v>
      </c>
      <c r="G1" t="s">
        <v>3773</v>
      </c>
      <c r="H1" t="s">
        <v>3774</v>
      </c>
      <c r="I1" t="s">
        <v>3775</v>
      </c>
      <c r="J1" t="s">
        <v>3776</v>
      </c>
      <c r="K1" t="s">
        <v>3777</v>
      </c>
      <c r="L1" t="s">
        <v>3778</v>
      </c>
    </row>
    <row r="2" spans="1:12" x14ac:dyDescent="0.25">
      <c r="A2" s="1" t="s">
        <v>3779</v>
      </c>
      <c r="B2" s="1" t="s">
        <v>51</v>
      </c>
      <c r="C2" s="1" t="s">
        <v>3780</v>
      </c>
      <c r="D2" s="1" t="s">
        <v>3781</v>
      </c>
      <c r="E2">
        <v>209189</v>
      </c>
      <c r="F2">
        <v>170793.17</v>
      </c>
      <c r="G2">
        <v>38395.83</v>
      </c>
      <c r="H2" s="2">
        <v>45126</v>
      </c>
      <c r="I2" s="1" t="s">
        <v>3782</v>
      </c>
      <c r="J2" s="1" t="s">
        <v>3783</v>
      </c>
      <c r="K2" s="1" t="s">
        <v>3784</v>
      </c>
      <c r="L2" s="1" t="s">
        <v>3785</v>
      </c>
    </row>
    <row r="3" spans="1:12" x14ac:dyDescent="0.25">
      <c r="A3" s="1" t="s">
        <v>3786</v>
      </c>
      <c r="B3" s="1" t="s">
        <v>3787</v>
      </c>
      <c r="C3" s="1" t="s">
        <v>3788</v>
      </c>
      <c r="D3" s="1" t="s">
        <v>3789</v>
      </c>
      <c r="E3">
        <v>6214</v>
      </c>
      <c r="F3">
        <v>7523.05</v>
      </c>
      <c r="G3">
        <v>-1309.05</v>
      </c>
      <c r="H3" s="2">
        <v>45209</v>
      </c>
      <c r="I3" s="1" t="s">
        <v>3790</v>
      </c>
      <c r="J3" s="1" t="s">
        <v>3791</v>
      </c>
      <c r="K3" s="1" t="s">
        <v>3784</v>
      </c>
      <c r="L3" s="1" t="s">
        <v>3792</v>
      </c>
    </row>
    <row r="4" spans="1:12" x14ac:dyDescent="0.25">
      <c r="A4" s="1" t="s">
        <v>3793</v>
      </c>
      <c r="B4" s="1" t="s">
        <v>3794</v>
      </c>
      <c r="C4" s="1" t="s">
        <v>3795</v>
      </c>
      <c r="D4" s="1" t="s">
        <v>3796</v>
      </c>
      <c r="E4">
        <v>499533</v>
      </c>
      <c r="F4">
        <v>550589.56000000006</v>
      </c>
      <c r="G4">
        <v>-51056.56</v>
      </c>
      <c r="H4" s="2">
        <v>45310</v>
      </c>
      <c r="I4" s="1" t="s">
        <v>3790</v>
      </c>
      <c r="J4" s="1" t="s">
        <v>3791</v>
      </c>
      <c r="K4" s="1" t="s">
        <v>3784</v>
      </c>
      <c r="L4" s="1" t="s">
        <v>3792</v>
      </c>
    </row>
    <row r="5" spans="1:12" x14ac:dyDescent="0.25">
      <c r="A5" s="1" t="s">
        <v>3797</v>
      </c>
      <c r="B5" s="1" t="s">
        <v>3798</v>
      </c>
      <c r="C5" s="1" t="s">
        <v>3788</v>
      </c>
      <c r="D5" s="1" t="s">
        <v>3799</v>
      </c>
      <c r="E5">
        <v>403234</v>
      </c>
      <c r="F5">
        <v>426617.54</v>
      </c>
      <c r="G5">
        <v>-23383.54</v>
      </c>
      <c r="H5" s="2">
        <v>45732</v>
      </c>
      <c r="I5" s="1" t="s">
        <v>3790</v>
      </c>
      <c r="J5" s="1" t="s">
        <v>3791</v>
      </c>
      <c r="K5" s="1" t="s">
        <v>3800</v>
      </c>
      <c r="L5" s="1" t="s">
        <v>51</v>
      </c>
    </row>
    <row r="6" spans="1:12" x14ac:dyDescent="0.25">
      <c r="A6" s="1" t="s">
        <v>3801</v>
      </c>
      <c r="B6" s="1" t="s">
        <v>51</v>
      </c>
      <c r="C6" s="1" t="s">
        <v>3780</v>
      </c>
      <c r="D6" s="1" t="s">
        <v>3802</v>
      </c>
      <c r="E6">
        <v>187461</v>
      </c>
      <c r="F6">
        <v>156297.94</v>
      </c>
      <c r="G6">
        <v>31163.06</v>
      </c>
      <c r="H6" s="2">
        <v>44963</v>
      </c>
      <c r="I6" s="1" t="s">
        <v>3790</v>
      </c>
      <c r="J6" s="1" t="s">
        <v>3803</v>
      </c>
      <c r="K6" s="1" t="s">
        <v>3804</v>
      </c>
      <c r="L6" s="1" t="s">
        <v>51</v>
      </c>
    </row>
    <row r="7" spans="1:12" x14ac:dyDescent="0.25">
      <c r="A7" s="1" t="s">
        <v>3805</v>
      </c>
      <c r="B7" s="1" t="s">
        <v>3794</v>
      </c>
      <c r="C7" s="1" t="s">
        <v>3806</v>
      </c>
      <c r="D7" s="1" t="s">
        <v>3802</v>
      </c>
      <c r="E7">
        <v>352393</v>
      </c>
      <c r="F7">
        <v>449410.33</v>
      </c>
      <c r="G7">
        <v>-97017.33</v>
      </c>
      <c r="H7" s="2">
        <v>45365</v>
      </c>
      <c r="I7" s="1" t="s">
        <v>3790</v>
      </c>
      <c r="J7" s="1" t="s">
        <v>3791</v>
      </c>
      <c r="K7" s="1" t="s">
        <v>3784</v>
      </c>
      <c r="L7" s="1" t="s">
        <v>51</v>
      </c>
    </row>
    <row r="8" spans="1:12" x14ac:dyDescent="0.25">
      <c r="A8" s="1" t="s">
        <v>3807</v>
      </c>
      <c r="B8" s="1" t="s">
        <v>3808</v>
      </c>
      <c r="C8" s="1" t="s">
        <v>3806</v>
      </c>
      <c r="D8" s="1" t="s">
        <v>3781</v>
      </c>
      <c r="E8">
        <v>361946</v>
      </c>
      <c r="F8">
        <v>354476.37</v>
      </c>
      <c r="G8">
        <v>7469.63</v>
      </c>
      <c r="H8" s="2">
        <v>45152</v>
      </c>
      <c r="I8" s="1" t="s">
        <v>3782</v>
      </c>
      <c r="J8" s="1" t="s">
        <v>3783</v>
      </c>
      <c r="K8" s="1" t="s">
        <v>3784</v>
      </c>
      <c r="L8" s="1" t="s">
        <v>3809</v>
      </c>
    </row>
    <row r="9" spans="1:12" x14ac:dyDescent="0.25">
      <c r="A9" s="1" t="s">
        <v>3810</v>
      </c>
      <c r="B9" s="1" t="s">
        <v>3811</v>
      </c>
      <c r="C9" s="1" t="s">
        <v>3812</v>
      </c>
      <c r="D9" s="1" t="s">
        <v>3813</v>
      </c>
      <c r="E9">
        <v>398503</v>
      </c>
      <c r="F9">
        <v>438557.67</v>
      </c>
      <c r="G9">
        <v>-40054.67</v>
      </c>
      <c r="H9" s="2">
        <v>45145</v>
      </c>
      <c r="I9" s="1" t="s">
        <v>3790</v>
      </c>
      <c r="J9" s="1" t="s">
        <v>3803</v>
      </c>
      <c r="K9" s="1" t="s">
        <v>3784</v>
      </c>
      <c r="L9" s="1" t="s">
        <v>51</v>
      </c>
    </row>
    <row r="10" spans="1:12" x14ac:dyDescent="0.25">
      <c r="A10" s="1" t="s">
        <v>3814</v>
      </c>
      <c r="B10" s="1" t="s">
        <v>3811</v>
      </c>
      <c r="C10" s="1" t="s">
        <v>3815</v>
      </c>
      <c r="D10" s="1" t="s">
        <v>3816</v>
      </c>
      <c r="E10">
        <v>345565</v>
      </c>
      <c r="F10">
        <v>382355.25</v>
      </c>
      <c r="G10">
        <v>-36790.25</v>
      </c>
      <c r="H10" s="2">
        <v>45437</v>
      </c>
      <c r="I10" s="1" t="s">
        <v>3790</v>
      </c>
      <c r="J10" s="1" t="s">
        <v>3783</v>
      </c>
      <c r="K10" s="1" t="s">
        <v>3800</v>
      </c>
      <c r="L10" s="1" t="s">
        <v>3817</v>
      </c>
    </row>
    <row r="11" spans="1:12" x14ac:dyDescent="0.25">
      <c r="A11" s="1" t="s">
        <v>3818</v>
      </c>
      <c r="B11" s="1" t="s">
        <v>3808</v>
      </c>
      <c r="C11" s="1" t="s">
        <v>3806</v>
      </c>
      <c r="D11" s="1" t="s">
        <v>3789</v>
      </c>
      <c r="E11">
        <v>441930</v>
      </c>
      <c r="F11">
        <v>426169.24</v>
      </c>
      <c r="G11">
        <v>15760.76</v>
      </c>
      <c r="H11" s="2">
        <v>45740</v>
      </c>
      <c r="I11" s="1" t="s">
        <v>3790</v>
      </c>
      <c r="J11" s="1" t="s">
        <v>3803</v>
      </c>
      <c r="K11" s="1" t="s">
        <v>3800</v>
      </c>
      <c r="L11" s="1" t="s">
        <v>3785</v>
      </c>
    </row>
    <row r="12" spans="1:12" x14ac:dyDescent="0.25">
      <c r="A12" s="1" t="s">
        <v>3819</v>
      </c>
      <c r="B12" s="1" t="s">
        <v>51</v>
      </c>
      <c r="C12" s="1" t="s">
        <v>3812</v>
      </c>
      <c r="D12" s="1" t="s">
        <v>3796</v>
      </c>
      <c r="E12">
        <v>304214</v>
      </c>
      <c r="F12">
        <v>345611.18</v>
      </c>
      <c r="G12">
        <v>-41397.18</v>
      </c>
      <c r="H12" s="2">
        <v>45689</v>
      </c>
      <c r="I12" s="1" t="s">
        <v>3790</v>
      </c>
      <c r="J12" s="1" t="s">
        <v>3791</v>
      </c>
      <c r="K12" s="1" t="s">
        <v>3800</v>
      </c>
      <c r="L12" s="1" t="s">
        <v>3792</v>
      </c>
    </row>
    <row r="13" spans="1:12" x14ac:dyDescent="0.25">
      <c r="A13" s="1" t="s">
        <v>3820</v>
      </c>
      <c r="B13" s="1" t="s">
        <v>3811</v>
      </c>
      <c r="C13" s="1" t="s">
        <v>3821</v>
      </c>
      <c r="D13" s="1" t="s">
        <v>3822</v>
      </c>
      <c r="E13">
        <v>65791</v>
      </c>
      <c r="F13">
        <v>59739.7</v>
      </c>
      <c r="G13">
        <v>6051.3</v>
      </c>
      <c r="H13" s="2">
        <v>45346</v>
      </c>
      <c r="I13" s="1" t="s">
        <v>3790</v>
      </c>
      <c r="J13" s="1" t="s">
        <v>3823</v>
      </c>
      <c r="K13" s="1" t="s">
        <v>3784</v>
      </c>
      <c r="L13" s="1" t="s">
        <v>3785</v>
      </c>
    </row>
    <row r="14" spans="1:12" x14ac:dyDescent="0.25">
      <c r="A14" s="1" t="s">
        <v>3824</v>
      </c>
      <c r="B14" s="1" t="s">
        <v>3808</v>
      </c>
      <c r="C14" s="1" t="s">
        <v>3825</v>
      </c>
      <c r="D14" s="1" t="s">
        <v>3826</v>
      </c>
      <c r="E14">
        <v>49237</v>
      </c>
      <c r="G14">
        <v>7036.11</v>
      </c>
      <c r="H14" s="2">
        <v>45457</v>
      </c>
      <c r="I14" s="1" t="s">
        <v>3782</v>
      </c>
      <c r="J14" s="1" t="s">
        <v>3823</v>
      </c>
      <c r="K14" s="1" t="s">
        <v>3800</v>
      </c>
      <c r="L14" s="1" t="s">
        <v>3817</v>
      </c>
    </row>
    <row r="15" spans="1:12" x14ac:dyDescent="0.25">
      <c r="A15" s="1" t="s">
        <v>3827</v>
      </c>
      <c r="B15" s="1" t="s">
        <v>3828</v>
      </c>
      <c r="C15" s="1" t="s">
        <v>3812</v>
      </c>
      <c r="D15" s="1" t="s">
        <v>3802</v>
      </c>
      <c r="E15">
        <v>365283</v>
      </c>
      <c r="F15">
        <v>359381.54</v>
      </c>
      <c r="G15">
        <v>5901.46</v>
      </c>
      <c r="H15" s="2">
        <v>45645</v>
      </c>
      <c r="I15" s="1" t="s">
        <v>3790</v>
      </c>
      <c r="J15" s="1" t="s">
        <v>3803</v>
      </c>
      <c r="K15" s="1" t="s">
        <v>3800</v>
      </c>
      <c r="L15" s="1" t="s">
        <v>51</v>
      </c>
    </row>
    <row r="16" spans="1:12" x14ac:dyDescent="0.25">
      <c r="A16" s="1" t="s">
        <v>3829</v>
      </c>
      <c r="B16" s="1" t="s">
        <v>3828</v>
      </c>
      <c r="C16" s="1" t="s">
        <v>3815</v>
      </c>
      <c r="D16" s="1" t="s">
        <v>3826</v>
      </c>
      <c r="E16">
        <v>201346</v>
      </c>
      <c r="F16">
        <v>197464.53</v>
      </c>
      <c r="H16" s="2">
        <v>45719</v>
      </c>
      <c r="I16" s="1" t="s">
        <v>3782</v>
      </c>
      <c r="J16" s="1" t="s">
        <v>3791</v>
      </c>
      <c r="K16" s="1" t="s">
        <v>3800</v>
      </c>
      <c r="L16" s="1" t="s">
        <v>3785</v>
      </c>
    </row>
    <row r="17" spans="1:12" x14ac:dyDescent="0.25">
      <c r="A17" s="1" t="s">
        <v>3830</v>
      </c>
      <c r="B17" s="1" t="s">
        <v>3794</v>
      </c>
      <c r="C17" s="1" t="s">
        <v>3806</v>
      </c>
      <c r="D17" s="1" t="s">
        <v>3789</v>
      </c>
      <c r="E17">
        <v>375484</v>
      </c>
      <c r="F17">
        <v>303740.88</v>
      </c>
      <c r="G17">
        <v>71743.12</v>
      </c>
      <c r="H17" s="2">
        <v>45454</v>
      </c>
      <c r="I17" s="1" t="s">
        <v>3782</v>
      </c>
      <c r="J17" s="1" t="s">
        <v>3791</v>
      </c>
      <c r="K17" s="1" t="s">
        <v>3800</v>
      </c>
      <c r="L17" s="1" t="s">
        <v>3831</v>
      </c>
    </row>
    <row r="18" spans="1:12" x14ac:dyDescent="0.25">
      <c r="A18" s="1" t="s">
        <v>3832</v>
      </c>
      <c r="B18" s="1" t="s">
        <v>3787</v>
      </c>
      <c r="C18" s="1" t="s">
        <v>3780</v>
      </c>
      <c r="D18" s="1" t="s">
        <v>3813</v>
      </c>
      <c r="E18">
        <v>91274</v>
      </c>
      <c r="F18">
        <v>117271.6</v>
      </c>
      <c r="G18">
        <v>-25997.599999999999</v>
      </c>
      <c r="H18" s="2">
        <v>45367</v>
      </c>
      <c r="I18" s="1" t="s">
        <v>3790</v>
      </c>
      <c r="J18" s="1" t="s">
        <v>3823</v>
      </c>
      <c r="K18" s="1" t="s">
        <v>3784</v>
      </c>
      <c r="L18" s="1" t="s">
        <v>51</v>
      </c>
    </row>
    <row r="19" spans="1:12" x14ac:dyDescent="0.25">
      <c r="A19" s="1" t="s">
        <v>3833</v>
      </c>
      <c r="B19" s="1" t="s">
        <v>3798</v>
      </c>
      <c r="C19" s="1" t="s">
        <v>3806</v>
      </c>
      <c r="D19" s="1" t="s">
        <v>3834</v>
      </c>
      <c r="E19">
        <v>58546</v>
      </c>
      <c r="F19">
        <v>54790.73</v>
      </c>
      <c r="G19">
        <v>3755.27</v>
      </c>
      <c r="H19" s="2">
        <v>45324</v>
      </c>
      <c r="I19" s="1" t="s">
        <v>3790</v>
      </c>
      <c r="J19" s="1" t="s">
        <v>3823</v>
      </c>
      <c r="K19" s="1" t="s">
        <v>3784</v>
      </c>
      <c r="L19" s="1" t="s">
        <v>3785</v>
      </c>
    </row>
    <row r="20" spans="1:12" x14ac:dyDescent="0.25">
      <c r="A20" s="1" t="s">
        <v>3835</v>
      </c>
      <c r="B20" s="1" t="s">
        <v>51</v>
      </c>
      <c r="C20" s="1" t="s">
        <v>3795</v>
      </c>
      <c r="D20" s="1" t="s">
        <v>3796</v>
      </c>
      <c r="E20">
        <v>10904</v>
      </c>
      <c r="F20">
        <v>13676.8</v>
      </c>
      <c r="G20">
        <v>-2772.8</v>
      </c>
      <c r="H20" s="2">
        <v>44973</v>
      </c>
      <c r="I20" s="1" t="s">
        <v>3790</v>
      </c>
      <c r="J20" s="1" t="s">
        <v>3783</v>
      </c>
      <c r="K20" s="1" t="s">
        <v>3804</v>
      </c>
      <c r="L20" s="1" t="s">
        <v>3817</v>
      </c>
    </row>
    <row r="21" spans="1:12" x14ac:dyDescent="0.25">
      <c r="A21" s="1" t="s">
        <v>3836</v>
      </c>
      <c r="B21" s="1" t="s">
        <v>3787</v>
      </c>
      <c r="C21" s="1" t="s">
        <v>3788</v>
      </c>
      <c r="D21" s="1" t="s">
        <v>3837</v>
      </c>
      <c r="E21">
        <v>65481</v>
      </c>
      <c r="F21">
        <v>81303.61</v>
      </c>
      <c r="G21">
        <v>-15822.61</v>
      </c>
      <c r="H21" s="2">
        <v>44962</v>
      </c>
      <c r="I21" s="1" t="s">
        <v>3782</v>
      </c>
      <c r="J21" s="1" t="s">
        <v>3783</v>
      </c>
      <c r="K21" s="1" t="s">
        <v>3804</v>
      </c>
      <c r="L21" s="1" t="s">
        <v>3817</v>
      </c>
    </row>
    <row r="22" spans="1:12" x14ac:dyDescent="0.25">
      <c r="A22" s="1" t="s">
        <v>3838</v>
      </c>
      <c r="B22" s="1" t="s">
        <v>3839</v>
      </c>
      <c r="C22" s="1" t="s">
        <v>3795</v>
      </c>
      <c r="D22" s="1" t="s">
        <v>3789</v>
      </c>
      <c r="E22">
        <v>66000</v>
      </c>
      <c r="F22">
        <v>78840.27</v>
      </c>
      <c r="G22">
        <v>-12840.27</v>
      </c>
      <c r="H22" s="2">
        <v>45341</v>
      </c>
      <c r="I22" s="1" t="s">
        <v>3790</v>
      </c>
      <c r="J22" s="1" t="s">
        <v>3803</v>
      </c>
      <c r="K22" s="1" t="s">
        <v>3784</v>
      </c>
      <c r="L22" s="1" t="s">
        <v>3785</v>
      </c>
    </row>
    <row r="23" spans="1:12" x14ac:dyDescent="0.25">
      <c r="A23" s="1" t="s">
        <v>3840</v>
      </c>
      <c r="B23" s="1" t="s">
        <v>3798</v>
      </c>
      <c r="C23" s="1" t="s">
        <v>3812</v>
      </c>
      <c r="D23" s="1" t="s">
        <v>3781</v>
      </c>
      <c r="E23">
        <v>32147</v>
      </c>
      <c r="F23">
        <v>36235.03</v>
      </c>
      <c r="G23">
        <v>-4088.03</v>
      </c>
      <c r="H23" s="2">
        <v>45247</v>
      </c>
      <c r="I23" s="1" t="s">
        <v>3790</v>
      </c>
      <c r="J23" s="1" t="s">
        <v>3803</v>
      </c>
      <c r="K23" s="1" t="s">
        <v>3784</v>
      </c>
      <c r="L23" s="1" t="s">
        <v>51</v>
      </c>
    </row>
    <row r="24" spans="1:12" x14ac:dyDescent="0.25">
      <c r="A24" s="1" t="s">
        <v>3841</v>
      </c>
      <c r="B24" s="1" t="s">
        <v>51</v>
      </c>
      <c r="C24" s="1" t="s">
        <v>3815</v>
      </c>
      <c r="D24" s="1" t="s">
        <v>3813</v>
      </c>
      <c r="E24">
        <v>312310</v>
      </c>
      <c r="F24">
        <v>339411.41</v>
      </c>
      <c r="G24">
        <v>-27101.41</v>
      </c>
      <c r="H24" s="2">
        <v>45270</v>
      </c>
      <c r="I24" s="1" t="s">
        <v>3782</v>
      </c>
      <c r="J24" s="1" t="s">
        <v>3791</v>
      </c>
      <c r="K24" s="1" t="s">
        <v>3784</v>
      </c>
      <c r="L24" s="1" t="s">
        <v>3817</v>
      </c>
    </row>
    <row r="25" spans="1:12" x14ac:dyDescent="0.25">
      <c r="A25" s="1" t="s">
        <v>3842</v>
      </c>
      <c r="B25" s="1" t="s">
        <v>3828</v>
      </c>
      <c r="C25" s="1" t="s">
        <v>3788</v>
      </c>
      <c r="D25" s="1" t="s">
        <v>3799</v>
      </c>
      <c r="E25">
        <v>145866</v>
      </c>
      <c r="F25">
        <v>176369.11</v>
      </c>
      <c r="G25">
        <v>-30503.11</v>
      </c>
      <c r="H25" s="2">
        <v>45589</v>
      </c>
      <c r="I25" s="1" t="s">
        <v>3790</v>
      </c>
      <c r="J25" s="1" t="s">
        <v>3823</v>
      </c>
      <c r="K25" s="1" t="s">
        <v>3800</v>
      </c>
      <c r="L25" s="1" t="s">
        <v>3792</v>
      </c>
    </row>
    <row r="26" spans="1:12" x14ac:dyDescent="0.25">
      <c r="A26" s="1" t="s">
        <v>3843</v>
      </c>
      <c r="B26" s="1" t="s">
        <v>3798</v>
      </c>
      <c r="C26" s="1" t="s">
        <v>3844</v>
      </c>
      <c r="D26" s="1" t="s">
        <v>3816</v>
      </c>
      <c r="E26">
        <v>-270391</v>
      </c>
      <c r="F26">
        <v>224861.48</v>
      </c>
      <c r="G26">
        <v>45529.52</v>
      </c>
      <c r="H26" s="2">
        <v>44992</v>
      </c>
      <c r="I26" s="1" t="s">
        <v>3790</v>
      </c>
      <c r="J26" s="1" t="s">
        <v>3803</v>
      </c>
      <c r="K26" s="1" t="s">
        <v>3804</v>
      </c>
      <c r="L26" s="1" t="s">
        <v>3817</v>
      </c>
    </row>
    <row r="27" spans="1:12" x14ac:dyDescent="0.25">
      <c r="A27" s="1" t="s">
        <v>3845</v>
      </c>
      <c r="B27" s="1" t="s">
        <v>3828</v>
      </c>
      <c r="C27" s="1" t="s">
        <v>3806</v>
      </c>
      <c r="D27" s="1" t="s">
        <v>3846</v>
      </c>
      <c r="E27">
        <v>410046</v>
      </c>
      <c r="F27">
        <v>483620.72</v>
      </c>
      <c r="G27">
        <v>-73574.720000000001</v>
      </c>
      <c r="H27" s="2">
        <v>45456</v>
      </c>
      <c r="I27" s="1" t="s">
        <v>3790</v>
      </c>
      <c r="J27" s="1" t="s">
        <v>3823</v>
      </c>
      <c r="K27" s="1" t="s">
        <v>3800</v>
      </c>
      <c r="L27" s="1" t="s">
        <v>51</v>
      </c>
    </row>
    <row r="28" spans="1:12" x14ac:dyDescent="0.25">
      <c r="A28" s="1" t="s">
        <v>3847</v>
      </c>
      <c r="B28" s="1" t="s">
        <v>3794</v>
      </c>
      <c r="C28" s="1" t="s">
        <v>3848</v>
      </c>
      <c r="D28" s="1" t="s">
        <v>3816</v>
      </c>
      <c r="E28">
        <v>406494</v>
      </c>
      <c r="G28">
        <v>-13532</v>
      </c>
      <c r="H28" s="2">
        <v>45553</v>
      </c>
      <c r="I28" s="1" t="s">
        <v>3790</v>
      </c>
      <c r="J28" s="1" t="s">
        <v>3803</v>
      </c>
      <c r="K28" s="1" t="s">
        <v>3800</v>
      </c>
      <c r="L28" s="1" t="s">
        <v>3792</v>
      </c>
    </row>
    <row r="29" spans="1:12" x14ac:dyDescent="0.25">
      <c r="A29" s="1" t="s">
        <v>3849</v>
      </c>
      <c r="B29" s="1" t="s">
        <v>3808</v>
      </c>
      <c r="C29" s="1" t="s">
        <v>3821</v>
      </c>
      <c r="D29" s="1" t="s">
        <v>3850</v>
      </c>
      <c r="E29">
        <v>66859</v>
      </c>
      <c r="F29">
        <v>75521.94</v>
      </c>
      <c r="G29">
        <v>-8662.94</v>
      </c>
      <c r="H29" s="2">
        <v>45442</v>
      </c>
      <c r="I29" s="1" t="s">
        <v>3790</v>
      </c>
      <c r="J29" s="1" t="s">
        <v>3823</v>
      </c>
      <c r="K29" s="1" t="s">
        <v>3800</v>
      </c>
      <c r="L29" s="1" t="s">
        <v>51</v>
      </c>
    </row>
    <row r="30" spans="1:12" x14ac:dyDescent="0.25">
      <c r="A30" s="1" t="s">
        <v>3851</v>
      </c>
      <c r="B30" s="1" t="s">
        <v>3811</v>
      </c>
      <c r="C30" s="1" t="s">
        <v>3815</v>
      </c>
      <c r="D30" s="1" t="s">
        <v>3816</v>
      </c>
      <c r="E30">
        <v>389612</v>
      </c>
      <c r="F30">
        <v>356713.15</v>
      </c>
      <c r="G30">
        <v>32898.85</v>
      </c>
      <c r="H30" s="2">
        <v>45486</v>
      </c>
      <c r="I30" s="1" t="s">
        <v>3782</v>
      </c>
      <c r="J30" s="1" t="s">
        <v>3823</v>
      </c>
      <c r="K30" s="1" t="s">
        <v>3800</v>
      </c>
      <c r="L30" s="1" t="s">
        <v>51</v>
      </c>
    </row>
    <row r="31" spans="1:12" x14ac:dyDescent="0.25">
      <c r="A31" s="1" t="s">
        <v>3852</v>
      </c>
      <c r="B31" s="1" t="s">
        <v>3794</v>
      </c>
      <c r="C31" s="1" t="s">
        <v>3848</v>
      </c>
      <c r="D31" s="1" t="s">
        <v>3802</v>
      </c>
      <c r="E31">
        <v>397643</v>
      </c>
      <c r="F31">
        <v>366588.32</v>
      </c>
      <c r="H31" s="2">
        <v>45309</v>
      </c>
      <c r="I31" s="1" t="s">
        <v>3782</v>
      </c>
      <c r="J31" s="1" t="s">
        <v>3823</v>
      </c>
      <c r="K31" s="1" t="s">
        <v>3784</v>
      </c>
      <c r="L31" s="1" t="s">
        <v>51</v>
      </c>
    </row>
    <row r="32" spans="1:12" x14ac:dyDescent="0.25">
      <c r="A32" s="1" t="s">
        <v>3853</v>
      </c>
      <c r="B32" s="1" t="s">
        <v>3794</v>
      </c>
      <c r="C32" s="1" t="s">
        <v>3825</v>
      </c>
      <c r="D32" s="1" t="s">
        <v>3826</v>
      </c>
      <c r="E32">
        <v>367122</v>
      </c>
      <c r="F32">
        <v>465065.53</v>
      </c>
      <c r="G32">
        <v>-97943.53</v>
      </c>
      <c r="H32" s="2">
        <v>45084</v>
      </c>
      <c r="I32" s="1" t="s">
        <v>3782</v>
      </c>
      <c r="J32" s="1" t="s">
        <v>3803</v>
      </c>
      <c r="K32" s="1" t="s">
        <v>3784</v>
      </c>
      <c r="L32" s="1" t="s">
        <v>3831</v>
      </c>
    </row>
    <row r="33" spans="1:12" x14ac:dyDescent="0.25">
      <c r="A33" s="1" t="s">
        <v>3854</v>
      </c>
      <c r="B33" s="1" t="s">
        <v>3839</v>
      </c>
      <c r="C33" s="1" t="s">
        <v>3821</v>
      </c>
      <c r="D33" s="1" t="s">
        <v>3855</v>
      </c>
      <c r="E33">
        <v>65667</v>
      </c>
      <c r="F33">
        <v>72499.12</v>
      </c>
      <c r="G33">
        <v>-6832.12</v>
      </c>
      <c r="H33" s="2">
        <v>45077</v>
      </c>
      <c r="I33" s="1" t="s">
        <v>3790</v>
      </c>
      <c r="J33" s="1" t="s">
        <v>3823</v>
      </c>
      <c r="K33" s="1" t="s">
        <v>3784</v>
      </c>
      <c r="L33" s="1" t="s">
        <v>51</v>
      </c>
    </row>
    <row r="34" spans="1:12" x14ac:dyDescent="0.25">
      <c r="A34" s="1" t="s">
        <v>3856</v>
      </c>
      <c r="B34" s="1" t="s">
        <v>51</v>
      </c>
      <c r="C34" s="1" t="s">
        <v>3848</v>
      </c>
      <c r="D34" s="1" t="s">
        <v>3813</v>
      </c>
      <c r="E34">
        <v>350446</v>
      </c>
      <c r="F34">
        <v>293167.5</v>
      </c>
      <c r="G34">
        <v>57278.5</v>
      </c>
      <c r="H34" s="2">
        <v>45395</v>
      </c>
      <c r="I34" s="1" t="s">
        <v>3790</v>
      </c>
      <c r="J34" s="1" t="s">
        <v>3783</v>
      </c>
      <c r="K34" s="1" t="s">
        <v>3800</v>
      </c>
      <c r="L34" s="1" t="s">
        <v>51</v>
      </c>
    </row>
    <row r="35" spans="1:12" x14ac:dyDescent="0.25">
      <c r="A35" s="1" t="s">
        <v>3857</v>
      </c>
      <c r="B35" s="1" t="s">
        <v>3811</v>
      </c>
      <c r="C35" s="1" t="s">
        <v>3858</v>
      </c>
      <c r="D35" s="1" t="s">
        <v>3813</v>
      </c>
      <c r="E35">
        <v>215496</v>
      </c>
      <c r="F35">
        <v>269360.68</v>
      </c>
      <c r="H35" s="2">
        <v>45427</v>
      </c>
      <c r="I35" s="1" t="s">
        <v>3859</v>
      </c>
      <c r="J35" s="1" t="s">
        <v>3823</v>
      </c>
      <c r="K35" s="1" t="s">
        <v>3800</v>
      </c>
      <c r="L35" s="1" t="s">
        <v>3817</v>
      </c>
    </row>
    <row r="36" spans="1:12" x14ac:dyDescent="0.25">
      <c r="A36" s="1" t="s">
        <v>3860</v>
      </c>
      <c r="B36" s="1" t="s">
        <v>3794</v>
      </c>
      <c r="C36" s="1" t="s">
        <v>3861</v>
      </c>
      <c r="D36" s="1" t="s">
        <v>3822</v>
      </c>
      <c r="E36">
        <v>7227</v>
      </c>
      <c r="F36">
        <v>9023.9</v>
      </c>
      <c r="G36">
        <v>-1796.9</v>
      </c>
      <c r="H36" s="2">
        <v>45131</v>
      </c>
      <c r="I36" s="1" t="s">
        <v>3790</v>
      </c>
      <c r="J36" s="1" t="s">
        <v>3783</v>
      </c>
      <c r="K36" s="1" t="s">
        <v>3784</v>
      </c>
      <c r="L36" s="1" t="s">
        <v>51</v>
      </c>
    </row>
    <row r="37" spans="1:12" x14ac:dyDescent="0.25">
      <c r="A37" s="1" t="s">
        <v>3862</v>
      </c>
      <c r="B37" s="1" t="s">
        <v>3787</v>
      </c>
      <c r="C37" s="1" t="s">
        <v>3821</v>
      </c>
      <c r="D37" s="1" t="s">
        <v>3837</v>
      </c>
      <c r="E37">
        <v>481644</v>
      </c>
      <c r="F37">
        <v>431586.58</v>
      </c>
      <c r="G37">
        <v>50057.42</v>
      </c>
      <c r="H37" s="2">
        <v>45338</v>
      </c>
      <c r="I37" s="1" t="s">
        <v>3790</v>
      </c>
      <c r="J37" s="1" t="s">
        <v>3783</v>
      </c>
      <c r="K37" s="1" t="s">
        <v>3784</v>
      </c>
      <c r="L37" s="1" t="s">
        <v>3809</v>
      </c>
    </row>
    <row r="38" spans="1:12" x14ac:dyDescent="0.25">
      <c r="A38" s="1" t="s">
        <v>3863</v>
      </c>
      <c r="B38" s="1" t="s">
        <v>3794</v>
      </c>
      <c r="C38" s="1" t="s">
        <v>3861</v>
      </c>
      <c r="D38" s="1" t="s">
        <v>3837</v>
      </c>
      <c r="E38">
        <v>-214583</v>
      </c>
      <c r="F38">
        <v>220195.61</v>
      </c>
      <c r="G38">
        <v>-5612.61</v>
      </c>
      <c r="H38" s="2">
        <v>45157</v>
      </c>
      <c r="I38" s="1" t="s">
        <v>3790</v>
      </c>
      <c r="J38" s="1" t="s">
        <v>3823</v>
      </c>
      <c r="K38" s="1" t="s">
        <v>3784</v>
      </c>
      <c r="L38" s="1" t="s">
        <v>51</v>
      </c>
    </row>
    <row r="39" spans="1:12" x14ac:dyDescent="0.25">
      <c r="A39" s="1" t="s">
        <v>3864</v>
      </c>
      <c r="B39" s="1" t="s">
        <v>3794</v>
      </c>
      <c r="C39" s="1" t="s">
        <v>3788</v>
      </c>
      <c r="D39" s="1" t="s">
        <v>3789</v>
      </c>
      <c r="E39">
        <v>71717</v>
      </c>
      <c r="F39">
        <v>89231.77</v>
      </c>
      <c r="G39">
        <v>-17514.77</v>
      </c>
      <c r="H39" s="2">
        <v>45573</v>
      </c>
      <c r="I39" s="1" t="s">
        <v>3790</v>
      </c>
      <c r="J39" s="1" t="s">
        <v>3803</v>
      </c>
      <c r="K39" s="1" t="s">
        <v>3800</v>
      </c>
      <c r="L39" s="1" t="s">
        <v>3809</v>
      </c>
    </row>
    <row r="40" spans="1:12" x14ac:dyDescent="0.25">
      <c r="A40" s="1" t="s">
        <v>3865</v>
      </c>
      <c r="B40" s="1" t="s">
        <v>3808</v>
      </c>
      <c r="C40" s="1" t="s">
        <v>3844</v>
      </c>
      <c r="D40" s="1" t="s">
        <v>3799</v>
      </c>
      <c r="E40">
        <v>352092</v>
      </c>
      <c r="F40">
        <v>424330.22</v>
      </c>
      <c r="G40">
        <v>-72238.22</v>
      </c>
      <c r="H40" s="2">
        <v>45540</v>
      </c>
      <c r="I40" s="1" t="s">
        <v>3790</v>
      </c>
      <c r="J40" s="1" t="s">
        <v>3791</v>
      </c>
      <c r="K40" s="1" t="s">
        <v>3800</v>
      </c>
      <c r="L40" s="1" t="s">
        <v>3831</v>
      </c>
    </row>
    <row r="41" spans="1:12" x14ac:dyDescent="0.25">
      <c r="A41" s="1" t="s">
        <v>3866</v>
      </c>
      <c r="B41" s="1" t="s">
        <v>3828</v>
      </c>
      <c r="C41" s="1" t="s">
        <v>3812</v>
      </c>
      <c r="D41" s="1" t="s">
        <v>3867</v>
      </c>
      <c r="E41">
        <v>3606815</v>
      </c>
      <c r="F41">
        <v>3411626.72</v>
      </c>
      <c r="G41">
        <v>195188.28</v>
      </c>
      <c r="H41" s="2">
        <v>45464</v>
      </c>
      <c r="I41" s="1" t="s">
        <v>3782</v>
      </c>
      <c r="J41" s="1" t="s">
        <v>3791</v>
      </c>
      <c r="K41" s="1" t="s">
        <v>3800</v>
      </c>
      <c r="L41" s="1" t="s">
        <v>3792</v>
      </c>
    </row>
    <row r="42" spans="1:12" x14ac:dyDescent="0.25">
      <c r="A42" s="1" t="s">
        <v>3868</v>
      </c>
      <c r="B42" s="1" t="s">
        <v>3794</v>
      </c>
      <c r="C42" s="1" t="s">
        <v>3780</v>
      </c>
      <c r="D42" s="1" t="s">
        <v>3813</v>
      </c>
      <c r="E42">
        <v>128850</v>
      </c>
      <c r="F42">
        <v>118183.64</v>
      </c>
      <c r="G42">
        <v>10666.36</v>
      </c>
      <c r="H42" s="2">
        <v>45143</v>
      </c>
      <c r="I42" s="1" t="s">
        <v>3790</v>
      </c>
      <c r="J42" s="1" t="s">
        <v>3783</v>
      </c>
      <c r="K42" s="1" t="s">
        <v>3784</v>
      </c>
      <c r="L42" s="1" t="s">
        <v>51</v>
      </c>
    </row>
    <row r="43" spans="1:12" x14ac:dyDescent="0.25">
      <c r="A43" s="1" t="s">
        <v>3869</v>
      </c>
      <c r="B43" s="1" t="s">
        <v>3787</v>
      </c>
      <c r="C43" s="1" t="s">
        <v>3788</v>
      </c>
      <c r="D43" s="1" t="s">
        <v>3796</v>
      </c>
      <c r="E43">
        <v>166769</v>
      </c>
      <c r="F43">
        <v>196065.31</v>
      </c>
      <c r="G43">
        <v>-29296.31</v>
      </c>
      <c r="H43" s="2">
        <v>45175</v>
      </c>
      <c r="I43" s="1" t="s">
        <v>3790</v>
      </c>
      <c r="J43" s="1" t="s">
        <v>3803</v>
      </c>
      <c r="K43" s="1" t="s">
        <v>3784</v>
      </c>
      <c r="L43" s="1" t="s">
        <v>3792</v>
      </c>
    </row>
    <row r="44" spans="1:12" x14ac:dyDescent="0.25">
      <c r="A44" s="1" t="s">
        <v>3870</v>
      </c>
      <c r="B44" s="1" t="s">
        <v>3811</v>
      </c>
      <c r="C44" s="1" t="s">
        <v>3825</v>
      </c>
      <c r="D44" s="1" t="s">
        <v>3855</v>
      </c>
      <c r="E44">
        <v>454117</v>
      </c>
      <c r="G44">
        <v>-112004.76</v>
      </c>
      <c r="H44" s="2">
        <v>45077</v>
      </c>
      <c r="I44" s="1" t="s">
        <v>3790</v>
      </c>
      <c r="J44" s="1" t="s">
        <v>3783</v>
      </c>
      <c r="K44" s="1" t="s">
        <v>3784</v>
      </c>
      <c r="L44" s="1" t="s">
        <v>3785</v>
      </c>
    </row>
    <row r="45" spans="1:12" x14ac:dyDescent="0.25">
      <c r="A45" s="1" t="s">
        <v>3871</v>
      </c>
      <c r="B45" s="1" t="s">
        <v>3794</v>
      </c>
      <c r="C45" s="1" t="s">
        <v>3861</v>
      </c>
      <c r="D45" s="1" t="s">
        <v>3826</v>
      </c>
      <c r="E45">
        <v>225901</v>
      </c>
      <c r="F45">
        <v>254208.33</v>
      </c>
      <c r="G45">
        <v>-28307.33</v>
      </c>
      <c r="H45" s="2">
        <v>45520</v>
      </c>
      <c r="I45" s="1" t="s">
        <v>3790</v>
      </c>
      <c r="J45" s="1" t="s">
        <v>3823</v>
      </c>
      <c r="K45" s="1" t="s">
        <v>3800</v>
      </c>
      <c r="L45" s="1" t="s">
        <v>3792</v>
      </c>
    </row>
    <row r="46" spans="1:12" x14ac:dyDescent="0.25">
      <c r="A46" s="1" t="s">
        <v>3872</v>
      </c>
      <c r="B46" s="1" t="s">
        <v>3808</v>
      </c>
      <c r="C46" s="1" t="s">
        <v>3844</v>
      </c>
      <c r="D46" s="1" t="s">
        <v>3837</v>
      </c>
      <c r="E46">
        <v>173047</v>
      </c>
      <c r="F46">
        <v>149662.31</v>
      </c>
      <c r="H46" s="2">
        <v>45249</v>
      </c>
      <c r="I46" s="1" t="s">
        <v>3790</v>
      </c>
      <c r="J46" s="1" t="s">
        <v>3783</v>
      </c>
      <c r="K46" s="1" t="s">
        <v>3784</v>
      </c>
      <c r="L46" s="1" t="s">
        <v>3785</v>
      </c>
    </row>
    <row r="47" spans="1:12" x14ac:dyDescent="0.25">
      <c r="A47" s="1" t="s">
        <v>3873</v>
      </c>
      <c r="B47" s="1" t="s">
        <v>3798</v>
      </c>
      <c r="C47" s="1" t="s">
        <v>3858</v>
      </c>
      <c r="D47" s="1" t="s">
        <v>3799</v>
      </c>
      <c r="E47">
        <v>247370</v>
      </c>
      <c r="F47">
        <v>268703.57</v>
      </c>
      <c r="G47">
        <v>-21333.57</v>
      </c>
      <c r="H47" s="2">
        <v>45554</v>
      </c>
      <c r="I47" s="1" t="s">
        <v>3790</v>
      </c>
      <c r="J47" s="1" t="s">
        <v>3791</v>
      </c>
      <c r="K47" s="1" t="s">
        <v>3800</v>
      </c>
      <c r="L47" s="1" t="s">
        <v>51</v>
      </c>
    </row>
    <row r="48" spans="1:12" x14ac:dyDescent="0.25">
      <c r="A48" s="1" t="s">
        <v>3874</v>
      </c>
      <c r="B48" s="1" t="s">
        <v>3808</v>
      </c>
      <c r="C48" s="1" t="s">
        <v>3795</v>
      </c>
      <c r="D48" s="1" t="s">
        <v>3813</v>
      </c>
      <c r="E48">
        <v>295595</v>
      </c>
      <c r="F48">
        <v>333028.71000000002</v>
      </c>
      <c r="G48">
        <v>-37433.71</v>
      </c>
      <c r="H48" s="2">
        <v>45555</v>
      </c>
      <c r="I48" s="1" t="s">
        <v>3782</v>
      </c>
      <c r="J48" s="1" t="s">
        <v>3783</v>
      </c>
      <c r="K48" s="1" t="s">
        <v>3800</v>
      </c>
      <c r="L48" s="1" t="s">
        <v>3809</v>
      </c>
    </row>
    <row r="49" spans="1:12" x14ac:dyDescent="0.25">
      <c r="A49" s="1" t="s">
        <v>3875</v>
      </c>
      <c r="B49" s="1" t="s">
        <v>3798</v>
      </c>
      <c r="C49" s="1" t="s">
        <v>3844</v>
      </c>
      <c r="D49" s="1" t="s">
        <v>3789</v>
      </c>
      <c r="E49">
        <v>344780</v>
      </c>
      <c r="F49">
        <v>378391.66</v>
      </c>
      <c r="G49">
        <v>-33611.660000000003</v>
      </c>
      <c r="H49" s="2">
        <v>44976</v>
      </c>
      <c r="I49" s="1" t="s">
        <v>3790</v>
      </c>
      <c r="J49" s="1" t="s">
        <v>3791</v>
      </c>
      <c r="K49" s="1" t="s">
        <v>3804</v>
      </c>
      <c r="L49" s="1" t="s">
        <v>51</v>
      </c>
    </row>
    <row r="50" spans="1:12" x14ac:dyDescent="0.25">
      <c r="A50" s="1" t="s">
        <v>3876</v>
      </c>
      <c r="B50" s="1" t="s">
        <v>3798</v>
      </c>
      <c r="C50" s="1" t="s">
        <v>3844</v>
      </c>
      <c r="D50" s="1" t="s">
        <v>3781</v>
      </c>
      <c r="E50">
        <v>228003</v>
      </c>
      <c r="F50">
        <v>192790.08</v>
      </c>
      <c r="G50">
        <v>35212.92</v>
      </c>
      <c r="H50" s="2">
        <v>45366</v>
      </c>
      <c r="I50" s="1" t="s">
        <v>3790</v>
      </c>
      <c r="J50" s="1" t="s">
        <v>3803</v>
      </c>
      <c r="K50" s="1" t="s">
        <v>3784</v>
      </c>
      <c r="L50" s="1" t="s">
        <v>3785</v>
      </c>
    </row>
    <row r="51" spans="1:12" x14ac:dyDescent="0.25">
      <c r="A51" s="1" t="s">
        <v>3877</v>
      </c>
      <c r="B51" s="1" t="s">
        <v>3811</v>
      </c>
      <c r="C51" s="1" t="s">
        <v>3844</v>
      </c>
      <c r="D51" s="1" t="s">
        <v>3867</v>
      </c>
      <c r="E51">
        <v>205500</v>
      </c>
      <c r="F51">
        <v>166546.9</v>
      </c>
      <c r="G51">
        <v>38953.1</v>
      </c>
      <c r="H51" s="2">
        <v>45180</v>
      </c>
      <c r="I51" s="1" t="s">
        <v>3790</v>
      </c>
      <c r="J51" s="1" t="s">
        <v>3783</v>
      </c>
      <c r="K51" s="1" t="s">
        <v>3784</v>
      </c>
      <c r="L51" s="1" t="s">
        <v>3817</v>
      </c>
    </row>
    <row r="52" spans="1:12" x14ac:dyDescent="0.25">
      <c r="A52" s="1" t="s">
        <v>3878</v>
      </c>
      <c r="B52" s="1" t="s">
        <v>3794</v>
      </c>
      <c r="C52" s="1" t="s">
        <v>3788</v>
      </c>
      <c r="D52" s="1" t="s">
        <v>3855</v>
      </c>
      <c r="E52">
        <v>336583</v>
      </c>
      <c r="F52">
        <v>372109.92</v>
      </c>
      <c r="G52">
        <v>-35526.92</v>
      </c>
      <c r="H52" s="2">
        <v>44983</v>
      </c>
      <c r="I52" s="1" t="s">
        <v>3790</v>
      </c>
      <c r="J52" s="1" t="s">
        <v>3803</v>
      </c>
      <c r="K52" s="1" t="s">
        <v>3804</v>
      </c>
      <c r="L52" s="1" t="s">
        <v>3785</v>
      </c>
    </row>
    <row r="53" spans="1:12" x14ac:dyDescent="0.25">
      <c r="A53" s="1" t="s">
        <v>3879</v>
      </c>
      <c r="B53" s="1" t="s">
        <v>3811</v>
      </c>
      <c r="C53" s="1" t="s">
        <v>3861</v>
      </c>
      <c r="D53" s="1" t="s">
        <v>3834</v>
      </c>
      <c r="E53">
        <v>76037</v>
      </c>
      <c r="F53">
        <v>88996.479999999996</v>
      </c>
      <c r="G53">
        <v>-12959.48</v>
      </c>
      <c r="H53" s="2">
        <v>45229</v>
      </c>
      <c r="I53" s="1" t="s">
        <v>3790</v>
      </c>
      <c r="J53" s="1" t="s">
        <v>3791</v>
      </c>
      <c r="K53" s="1" t="s">
        <v>3784</v>
      </c>
      <c r="L53" s="1" t="s">
        <v>51</v>
      </c>
    </row>
    <row r="54" spans="1:12" x14ac:dyDescent="0.25">
      <c r="A54" s="1" t="s">
        <v>3880</v>
      </c>
      <c r="B54" s="1" t="s">
        <v>3811</v>
      </c>
      <c r="C54" s="1" t="s">
        <v>3806</v>
      </c>
      <c r="D54" s="1" t="s">
        <v>3867</v>
      </c>
      <c r="E54">
        <v>51292</v>
      </c>
      <c r="F54">
        <v>52199.26</v>
      </c>
      <c r="G54">
        <v>-907.26</v>
      </c>
      <c r="H54" s="2">
        <v>45250</v>
      </c>
      <c r="I54" s="1" t="s">
        <v>3790</v>
      </c>
      <c r="J54" s="1" t="s">
        <v>3823</v>
      </c>
      <c r="K54" s="1" t="s">
        <v>3784</v>
      </c>
      <c r="L54" s="1" t="s">
        <v>3809</v>
      </c>
    </row>
    <row r="55" spans="1:12" x14ac:dyDescent="0.25">
      <c r="A55" s="1" t="s">
        <v>3881</v>
      </c>
      <c r="B55" s="1" t="s">
        <v>3811</v>
      </c>
      <c r="C55" s="1" t="s">
        <v>3844</v>
      </c>
      <c r="D55" s="1" t="s">
        <v>3789</v>
      </c>
      <c r="E55">
        <v>-307191</v>
      </c>
      <c r="F55">
        <v>328740.27</v>
      </c>
      <c r="G55">
        <v>-21549.27</v>
      </c>
      <c r="H55" s="2">
        <v>45684</v>
      </c>
      <c r="I55" s="1" t="s">
        <v>3790</v>
      </c>
      <c r="J55" s="1" t="s">
        <v>3791</v>
      </c>
      <c r="K55" s="1" t="s">
        <v>3800</v>
      </c>
      <c r="L55" s="1" t="s">
        <v>3785</v>
      </c>
    </row>
    <row r="56" spans="1:12" x14ac:dyDescent="0.25">
      <c r="A56" s="1" t="s">
        <v>3882</v>
      </c>
      <c r="B56" s="1" t="s">
        <v>3787</v>
      </c>
      <c r="C56" s="1" t="s">
        <v>3795</v>
      </c>
      <c r="D56" s="1" t="s">
        <v>3799</v>
      </c>
      <c r="E56">
        <v>333909</v>
      </c>
      <c r="F56">
        <v>401580.86</v>
      </c>
      <c r="G56">
        <v>-67671.86</v>
      </c>
      <c r="H56" s="2">
        <v>45317</v>
      </c>
      <c r="I56" s="1" t="s">
        <v>3859</v>
      </c>
      <c r="J56" s="1" t="s">
        <v>3791</v>
      </c>
      <c r="K56" s="1" t="s">
        <v>3784</v>
      </c>
      <c r="L56" s="1" t="s">
        <v>3792</v>
      </c>
    </row>
    <row r="57" spans="1:12" x14ac:dyDescent="0.25">
      <c r="A57" s="1" t="s">
        <v>3883</v>
      </c>
      <c r="B57" s="1" t="s">
        <v>3798</v>
      </c>
      <c r="C57" s="1" t="s">
        <v>3844</v>
      </c>
      <c r="D57" s="1" t="s">
        <v>3796</v>
      </c>
      <c r="E57">
        <v>325449</v>
      </c>
      <c r="F57">
        <v>392529.63</v>
      </c>
      <c r="G57">
        <v>-67080.63</v>
      </c>
      <c r="H57" s="2">
        <v>45709</v>
      </c>
      <c r="I57" s="1" t="s">
        <v>3790</v>
      </c>
      <c r="J57" s="1" t="s">
        <v>3791</v>
      </c>
      <c r="K57" s="1" t="s">
        <v>3800</v>
      </c>
      <c r="L57" s="1" t="s">
        <v>3809</v>
      </c>
    </row>
    <row r="58" spans="1:12" x14ac:dyDescent="0.25">
      <c r="A58" s="1" t="s">
        <v>3884</v>
      </c>
      <c r="B58" s="1" t="s">
        <v>3787</v>
      </c>
      <c r="C58" s="1" t="s">
        <v>3815</v>
      </c>
      <c r="D58" s="1" t="s">
        <v>3813</v>
      </c>
      <c r="E58">
        <v>10526</v>
      </c>
      <c r="F58">
        <v>9003.5300000000007</v>
      </c>
      <c r="G58">
        <v>1522.47</v>
      </c>
      <c r="H58" s="2">
        <v>45217</v>
      </c>
      <c r="I58" s="1" t="s">
        <v>3790</v>
      </c>
      <c r="J58" s="1" t="s">
        <v>3791</v>
      </c>
      <c r="K58" s="1" t="s">
        <v>3784</v>
      </c>
      <c r="L58" s="1" t="s">
        <v>3785</v>
      </c>
    </row>
    <row r="59" spans="1:12" x14ac:dyDescent="0.25">
      <c r="A59" s="1" t="s">
        <v>3885</v>
      </c>
      <c r="B59" s="1" t="s">
        <v>3794</v>
      </c>
      <c r="C59" s="1" t="s">
        <v>51</v>
      </c>
      <c r="D59" s="1" t="s">
        <v>3796</v>
      </c>
      <c r="E59">
        <v>464884</v>
      </c>
      <c r="F59">
        <v>581075.86</v>
      </c>
      <c r="G59">
        <v>-116191.86</v>
      </c>
      <c r="H59" s="2">
        <v>45636</v>
      </c>
      <c r="I59" s="1" t="s">
        <v>3859</v>
      </c>
      <c r="J59" s="1" t="s">
        <v>3783</v>
      </c>
      <c r="K59" s="1" t="s">
        <v>3800</v>
      </c>
      <c r="L59" s="1" t="s">
        <v>3817</v>
      </c>
    </row>
    <row r="60" spans="1:12" x14ac:dyDescent="0.25">
      <c r="A60" s="1" t="s">
        <v>3886</v>
      </c>
      <c r="B60" s="1" t="s">
        <v>3794</v>
      </c>
      <c r="C60" s="1" t="s">
        <v>3861</v>
      </c>
      <c r="D60" s="1" t="s">
        <v>3855</v>
      </c>
      <c r="E60">
        <v>265649</v>
      </c>
      <c r="F60">
        <v>235191.89</v>
      </c>
      <c r="G60">
        <v>30457.11</v>
      </c>
      <c r="H60" s="2">
        <v>45298</v>
      </c>
      <c r="I60" s="1" t="s">
        <v>3790</v>
      </c>
      <c r="J60" s="1" t="s">
        <v>3803</v>
      </c>
      <c r="K60" s="1" t="s">
        <v>3784</v>
      </c>
      <c r="L60" s="1" t="s">
        <v>51</v>
      </c>
    </row>
    <row r="61" spans="1:12" x14ac:dyDescent="0.25">
      <c r="A61" s="1" t="s">
        <v>3887</v>
      </c>
      <c r="B61" s="1" t="s">
        <v>3798</v>
      </c>
      <c r="C61" s="1" t="s">
        <v>3821</v>
      </c>
      <c r="D61" s="1" t="s">
        <v>3855</v>
      </c>
      <c r="E61">
        <v>32268</v>
      </c>
      <c r="F61">
        <v>26832.63</v>
      </c>
      <c r="G61">
        <v>5435.37</v>
      </c>
      <c r="H61" s="2">
        <v>45157</v>
      </c>
      <c r="I61" s="1" t="s">
        <v>3790</v>
      </c>
      <c r="J61" s="1" t="s">
        <v>3803</v>
      </c>
      <c r="K61" s="1" t="s">
        <v>3784</v>
      </c>
      <c r="L61" s="1" t="s">
        <v>3785</v>
      </c>
    </row>
    <row r="62" spans="1:12" x14ac:dyDescent="0.25">
      <c r="A62" s="1" t="s">
        <v>3888</v>
      </c>
      <c r="B62" s="1" t="s">
        <v>3798</v>
      </c>
      <c r="C62" s="1" t="s">
        <v>3806</v>
      </c>
      <c r="D62" s="1" t="s">
        <v>3813</v>
      </c>
      <c r="E62">
        <v>79555</v>
      </c>
      <c r="F62">
        <v>101962.75</v>
      </c>
      <c r="G62">
        <v>-22407.75</v>
      </c>
      <c r="H62" s="2">
        <v>44958</v>
      </c>
      <c r="I62" s="1" t="s">
        <v>3790</v>
      </c>
      <c r="J62" s="1" t="s">
        <v>3791</v>
      </c>
      <c r="K62" s="1" t="s">
        <v>3804</v>
      </c>
      <c r="L62" s="1" t="s">
        <v>51</v>
      </c>
    </row>
    <row r="63" spans="1:12" x14ac:dyDescent="0.25">
      <c r="A63" s="1" t="s">
        <v>3889</v>
      </c>
      <c r="B63" s="1" t="s">
        <v>3794</v>
      </c>
      <c r="C63" s="1" t="s">
        <v>3788</v>
      </c>
      <c r="D63" s="1" t="s">
        <v>3850</v>
      </c>
      <c r="E63">
        <v>411030</v>
      </c>
      <c r="F63">
        <v>392369.5</v>
      </c>
      <c r="G63">
        <v>18660.5</v>
      </c>
      <c r="H63" s="2">
        <v>44966</v>
      </c>
      <c r="I63" s="1" t="s">
        <v>3790</v>
      </c>
      <c r="J63" s="1" t="s">
        <v>3783</v>
      </c>
      <c r="K63" s="1" t="s">
        <v>3804</v>
      </c>
      <c r="L63" s="1" t="s">
        <v>51</v>
      </c>
    </row>
    <row r="64" spans="1:12" x14ac:dyDescent="0.25">
      <c r="A64" s="1" t="s">
        <v>3890</v>
      </c>
      <c r="B64" s="1" t="s">
        <v>3798</v>
      </c>
      <c r="C64" s="1" t="s">
        <v>3780</v>
      </c>
      <c r="D64" s="1" t="s">
        <v>3789</v>
      </c>
      <c r="E64">
        <v>2583687</v>
      </c>
      <c r="F64">
        <v>2695007.68</v>
      </c>
      <c r="G64">
        <v>-111320.68</v>
      </c>
      <c r="H64" s="2">
        <v>45655</v>
      </c>
      <c r="I64" s="1" t="s">
        <v>3782</v>
      </c>
      <c r="J64" s="1" t="s">
        <v>3783</v>
      </c>
      <c r="K64" s="1" t="s">
        <v>3800</v>
      </c>
      <c r="L64" s="1" t="s">
        <v>51</v>
      </c>
    </row>
    <row r="65" spans="1:12" x14ac:dyDescent="0.25">
      <c r="A65" s="1" t="s">
        <v>3891</v>
      </c>
      <c r="B65" s="1" t="s">
        <v>3794</v>
      </c>
      <c r="C65" s="1" t="s">
        <v>3821</v>
      </c>
      <c r="D65" s="1" t="s">
        <v>3850</v>
      </c>
      <c r="E65">
        <v>99203</v>
      </c>
      <c r="F65">
        <v>111995.57</v>
      </c>
      <c r="G65">
        <v>-12792.57</v>
      </c>
      <c r="H65" s="2">
        <v>45616</v>
      </c>
      <c r="I65" s="1" t="s">
        <v>3790</v>
      </c>
      <c r="J65" s="1" t="s">
        <v>3791</v>
      </c>
      <c r="K65" s="1" t="s">
        <v>3800</v>
      </c>
      <c r="L65" s="1" t="s">
        <v>51</v>
      </c>
    </row>
    <row r="66" spans="1:12" x14ac:dyDescent="0.25">
      <c r="A66" s="1" t="s">
        <v>3892</v>
      </c>
      <c r="B66" s="1" t="s">
        <v>3811</v>
      </c>
      <c r="C66" s="1" t="s">
        <v>3844</v>
      </c>
      <c r="D66" s="1" t="s">
        <v>3855</v>
      </c>
      <c r="E66">
        <v>413818</v>
      </c>
      <c r="F66">
        <v>475823.4</v>
      </c>
      <c r="G66">
        <v>-62005.4</v>
      </c>
      <c r="H66" s="2">
        <v>45461</v>
      </c>
      <c r="I66" s="1" t="s">
        <v>3782</v>
      </c>
      <c r="J66" s="1" t="s">
        <v>3803</v>
      </c>
      <c r="K66" s="1" t="s">
        <v>3800</v>
      </c>
      <c r="L66" s="1" t="s">
        <v>51</v>
      </c>
    </row>
    <row r="67" spans="1:12" x14ac:dyDescent="0.25">
      <c r="A67" s="1" t="s">
        <v>3893</v>
      </c>
      <c r="B67" s="1" t="s">
        <v>3828</v>
      </c>
      <c r="C67" s="1" t="s">
        <v>3788</v>
      </c>
      <c r="D67" s="1" t="s">
        <v>3867</v>
      </c>
      <c r="E67">
        <v>277583</v>
      </c>
      <c r="F67">
        <v>262488.11</v>
      </c>
      <c r="G67">
        <v>15094.89</v>
      </c>
      <c r="H67" s="2">
        <v>45270</v>
      </c>
      <c r="I67" s="1" t="s">
        <v>3782</v>
      </c>
      <c r="J67" s="1" t="s">
        <v>3803</v>
      </c>
      <c r="K67" s="1" t="s">
        <v>3784</v>
      </c>
      <c r="L67" s="1" t="s">
        <v>3809</v>
      </c>
    </row>
    <row r="68" spans="1:12" x14ac:dyDescent="0.25">
      <c r="A68" s="1" t="s">
        <v>3894</v>
      </c>
      <c r="B68" s="1" t="s">
        <v>3794</v>
      </c>
      <c r="C68" s="1" t="s">
        <v>3844</v>
      </c>
      <c r="D68" s="1" t="s">
        <v>3895</v>
      </c>
      <c r="E68">
        <v>457651</v>
      </c>
      <c r="F68">
        <v>467629.28</v>
      </c>
      <c r="G68">
        <v>-9978.2800000000007</v>
      </c>
      <c r="H68" s="2">
        <v>45307</v>
      </c>
      <c r="I68" s="1" t="s">
        <v>3790</v>
      </c>
      <c r="J68" s="1" t="s">
        <v>3783</v>
      </c>
      <c r="K68" s="1" t="s">
        <v>3784</v>
      </c>
      <c r="L68" s="1" t="s">
        <v>3809</v>
      </c>
    </row>
    <row r="69" spans="1:12" x14ac:dyDescent="0.25">
      <c r="A69" s="1" t="s">
        <v>3896</v>
      </c>
      <c r="B69" s="1" t="s">
        <v>3811</v>
      </c>
      <c r="C69" s="1" t="s">
        <v>3848</v>
      </c>
      <c r="D69" s="1" t="s">
        <v>3826</v>
      </c>
      <c r="E69">
        <v>62205</v>
      </c>
      <c r="F69">
        <v>68491.3</v>
      </c>
      <c r="H69" s="2">
        <v>45306</v>
      </c>
      <c r="I69" s="1" t="s">
        <v>3790</v>
      </c>
      <c r="J69" s="1" t="s">
        <v>3823</v>
      </c>
      <c r="K69" s="1" t="s">
        <v>3784</v>
      </c>
      <c r="L69" s="1" t="s">
        <v>3792</v>
      </c>
    </row>
    <row r="70" spans="1:12" x14ac:dyDescent="0.25">
      <c r="A70" s="1" t="s">
        <v>3897</v>
      </c>
      <c r="B70" s="1" t="s">
        <v>3811</v>
      </c>
      <c r="C70" s="1" t="s">
        <v>3788</v>
      </c>
      <c r="D70" s="1" t="s">
        <v>3789</v>
      </c>
      <c r="E70">
        <v>395114</v>
      </c>
      <c r="F70">
        <v>453184.31</v>
      </c>
      <c r="G70">
        <v>-58070.31</v>
      </c>
      <c r="H70" s="2">
        <v>44998</v>
      </c>
      <c r="I70" s="1" t="s">
        <v>3782</v>
      </c>
      <c r="J70" s="1" t="s">
        <v>3823</v>
      </c>
      <c r="K70" s="1" t="s">
        <v>3804</v>
      </c>
      <c r="L70" s="1" t="s">
        <v>3809</v>
      </c>
    </row>
    <row r="71" spans="1:12" x14ac:dyDescent="0.25">
      <c r="A71" s="1" t="s">
        <v>3898</v>
      </c>
      <c r="B71" s="1" t="s">
        <v>3794</v>
      </c>
      <c r="C71" s="1" t="s">
        <v>3812</v>
      </c>
      <c r="D71" s="1" t="s">
        <v>3846</v>
      </c>
      <c r="E71">
        <v>97690</v>
      </c>
      <c r="F71">
        <v>91260.03</v>
      </c>
      <c r="G71">
        <v>6429.97</v>
      </c>
      <c r="H71" s="2">
        <v>45440</v>
      </c>
      <c r="I71" s="1" t="s">
        <v>3790</v>
      </c>
      <c r="J71" s="1" t="s">
        <v>3823</v>
      </c>
      <c r="K71" s="1" t="s">
        <v>3800</v>
      </c>
      <c r="L71" s="1" t="s">
        <v>51</v>
      </c>
    </row>
    <row r="72" spans="1:12" x14ac:dyDescent="0.25">
      <c r="A72" s="1" t="s">
        <v>3899</v>
      </c>
      <c r="B72" s="1" t="s">
        <v>3787</v>
      </c>
      <c r="C72" s="1" t="s">
        <v>3861</v>
      </c>
      <c r="D72" s="1" t="s">
        <v>3850</v>
      </c>
      <c r="E72">
        <v>491563</v>
      </c>
      <c r="F72">
        <v>637066.96</v>
      </c>
      <c r="G72">
        <v>-145503.96</v>
      </c>
      <c r="H72" s="2">
        <v>44937</v>
      </c>
      <c r="I72" s="1" t="s">
        <v>3790</v>
      </c>
      <c r="J72" s="1" t="s">
        <v>3783</v>
      </c>
      <c r="K72" s="1" t="s">
        <v>3804</v>
      </c>
      <c r="L72" s="1" t="s">
        <v>3792</v>
      </c>
    </row>
    <row r="73" spans="1:12" x14ac:dyDescent="0.25">
      <c r="A73" s="1" t="s">
        <v>3900</v>
      </c>
      <c r="B73" s="1" t="s">
        <v>3811</v>
      </c>
      <c r="C73" s="1" t="s">
        <v>3858</v>
      </c>
      <c r="D73" s="1" t="s">
        <v>3816</v>
      </c>
      <c r="E73">
        <v>417255</v>
      </c>
      <c r="F73">
        <v>398887.4</v>
      </c>
      <c r="G73">
        <v>18367.599999999999</v>
      </c>
      <c r="H73" s="2">
        <v>45228</v>
      </c>
      <c r="I73" s="1" t="s">
        <v>3790</v>
      </c>
      <c r="J73" s="1" t="s">
        <v>3783</v>
      </c>
      <c r="K73" s="1" t="s">
        <v>3784</v>
      </c>
      <c r="L73" s="1" t="s">
        <v>3817</v>
      </c>
    </row>
    <row r="74" spans="1:12" x14ac:dyDescent="0.25">
      <c r="A74" s="1" t="s">
        <v>3901</v>
      </c>
      <c r="B74" s="1" t="s">
        <v>3808</v>
      </c>
      <c r="C74" s="1" t="s">
        <v>3788</v>
      </c>
      <c r="D74" s="1" t="s">
        <v>3789</v>
      </c>
      <c r="E74">
        <v>388564</v>
      </c>
      <c r="F74">
        <v>433099.82</v>
      </c>
      <c r="G74">
        <v>-44535.82</v>
      </c>
      <c r="H74" s="2">
        <v>45302</v>
      </c>
      <c r="I74" s="1" t="s">
        <v>3790</v>
      </c>
      <c r="J74" s="1" t="s">
        <v>3803</v>
      </c>
      <c r="K74" s="1" t="s">
        <v>3784</v>
      </c>
      <c r="L74" s="1" t="s">
        <v>3809</v>
      </c>
    </row>
    <row r="75" spans="1:12" x14ac:dyDescent="0.25">
      <c r="A75" s="1" t="s">
        <v>3902</v>
      </c>
      <c r="B75" s="1" t="s">
        <v>3794</v>
      </c>
      <c r="C75" s="1" t="s">
        <v>51</v>
      </c>
      <c r="D75" s="1" t="s">
        <v>3895</v>
      </c>
      <c r="E75">
        <v>476675</v>
      </c>
      <c r="F75">
        <v>601228.87</v>
      </c>
      <c r="G75">
        <v>-124553.87</v>
      </c>
      <c r="H75" s="2">
        <v>45426</v>
      </c>
      <c r="I75" s="1" t="s">
        <v>3790</v>
      </c>
      <c r="J75" s="1" t="s">
        <v>3783</v>
      </c>
      <c r="K75" s="1" t="s">
        <v>3800</v>
      </c>
      <c r="L75" s="1" t="s">
        <v>3817</v>
      </c>
    </row>
    <row r="76" spans="1:12" x14ac:dyDescent="0.25">
      <c r="A76" s="1" t="s">
        <v>3903</v>
      </c>
      <c r="B76" s="1" t="s">
        <v>3794</v>
      </c>
      <c r="C76" s="1" t="s">
        <v>3825</v>
      </c>
      <c r="D76" s="1" t="s">
        <v>3789</v>
      </c>
      <c r="E76">
        <v>118973</v>
      </c>
      <c r="F76">
        <v>134000.41</v>
      </c>
      <c r="G76">
        <v>-15027.41</v>
      </c>
      <c r="H76" s="2">
        <v>45671</v>
      </c>
      <c r="I76" s="1" t="s">
        <v>3790</v>
      </c>
      <c r="J76" s="1" t="s">
        <v>3783</v>
      </c>
      <c r="K76" s="1" t="s">
        <v>3800</v>
      </c>
      <c r="L76" s="1" t="s">
        <v>51</v>
      </c>
    </row>
    <row r="77" spans="1:12" x14ac:dyDescent="0.25">
      <c r="A77" s="1" t="s">
        <v>3904</v>
      </c>
      <c r="B77" s="1" t="s">
        <v>3811</v>
      </c>
      <c r="C77" s="1" t="s">
        <v>3858</v>
      </c>
      <c r="D77" s="1" t="s">
        <v>3796</v>
      </c>
      <c r="E77">
        <v>22538</v>
      </c>
      <c r="F77">
        <v>19899.53</v>
      </c>
      <c r="G77">
        <v>2638.47</v>
      </c>
      <c r="H77" s="2">
        <v>45425</v>
      </c>
      <c r="I77" s="1" t="s">
        <v>3790</v>
      </c>
      <c r="J77" s="1" t="s">
        <v>3783</v>
      </c>
      <c r="K77" s="1" t="s">
        <v>3800</v>
      </c>
      <c r="L77" s="1" t="s">
        <v>51</v>
      </c>
    </row>
    <row r="78" spans="1:12" x14ac:dyDescent="0.25">
      <c r="A78" s="1" t="s">
        <v>3905</v>
      </c>
      <c r="B78" s="1" t="s">
        <v>3798</v>
      </c>
      <c r="C78" s="1" t="s">
        <v>3812</v>
      </c>
      <c r="D78" s="1" t="s">
        <v>3850</v>
      </c>
      <c r="E78">
        <v>443662</v>
      </c>
      <c r="G78">
        <v>85569.69</v>
      </c>
      <c r="H78" s="2">
        <v>45673</v>
      </c>
      <c r="I78" s="1" t="s">
        <v>3782</v>
      </c>
      <c r="J78" s="1" t="s">
        <v>3783</v>
      </c>
      <c r="K78" s="1" t="s">
        <v>3800</v>
      </c>
      <c r="L78" s="1" t="s">
        <v>3831</v>
      </c>
    </row>
    <row r="79" spans="1:12" x14ac:dyDescent="0.25">
      <c r="A79" s="1" t="s">
        <v>3906</v>
      </c>
      <c r="B79" s="1" t="s">
        <v>3811</v>
      </c>
      <c r="C79" s="1" t="s">
        <v>3821</v>
      </c>
      <c r="D79" s="1" t="s">
        <v>3781</v>
      </c>
      <c r="E79">
        <v>353333</v>
      </c>
      <c r="F79">
        <v>458964.2</v>
      </c>
      <c r="G79">
        <v>-105631.2</v>
      </c>
      <c r="H79" s="2">
        <v>45702</v>
      </c>
      <c r="I79" s="1" t="s">
        <v>3790</v>
      </c>
      <c r="J79" s="1" t="s">
        <v>3803</v>
      </c>
      <c r="K79" s="1" t="s">
        <v>3800</v>
      </c>
      <c r="L79" s="1" t="s">
        <v>3809</v>
      </c>
    </row>
    <row r="80" spans="1:12" x14ac:dyDescent="0.25">
      <c r="A80" s="1" t="s">
        <v>3907</v>
      </c>
      <c r="B80" s="1" t="s">
        <v>3839</v>
      </c>
      <c r="C80" s="1" t="s">
        <v>3861</v>
      </c>
      <c r="D80" s="1" t="s">
        <v>3816</v>
      </c>
      <c r="E80">
        <v>290249</v>
      </c>
      <c r="F80">
        <v>369613.63</v>
      </c>
      <c r="G80">
        <v>-79364.63</v>
      </c>
      <c r="H80" s="2">
        <v>45299</v>
      </c>
      <c r="I80" s="1" t="s">
        <v>3790</v>
      </c>
      <c r="J80" s="1" t="s">
        <v>3823</v>
      </c>
      <c r="K80" s="1" t="s">
        <v>3784</v>
      </c>
      <c r="L80" s="1" t="s">
        <v>3785</v>
      </c>
    </row>
    <row r="81" spans="1:12" x14ac:dyDescent="0.25">
      <c r="A81" s="1" t="s">
        <v>3908</v>
      </c>
      <c r="B81" s="1" t="s">
        <v>3798</v>
      </c>
      <c r="C81" s="1" t="s">
        <v>3821</v>
      </c>
      <c r="D81" s="1" t="s">
        <v>3789</v>
      </c>
      <c r="E81">
        <v>309034</v>
      </c>
      <c r="F81">
        <v>273262.53000000003</v>
      </c>
      <c r="G81">
        <v>35771.47</v>
      </c>
      <c r="H81" s="2">
        <v>45384</v>
      </c>
      <c r="I81" s="1" t="s">
        <v>3782</v>
      </c>
      <c r="J81" s="1" t="s">
        <v>3823</v>
      </c>
      <c r="K81" s="1" t="s">
        <v>3800</v>
      </c>
      <c r="L81" s="1" t="s">
        <v>3792</v>
      </c>
    </row>
    <row r="82" spans="1:12" x14ac:dyDescent="0.25">
      <c r="A82" s="1" t="s">
        <v>3909</v>
      </c>
      <c r="B82" s="1" t="s">
        <v>3808</v>
      </c>
      <c r="C82" s="1" t="s">
        <v>3821</v>
      </c>
      <c r="D82" s="1" t="s">
        <v>3846</v>
      </c>
      <c r="E82">
        <v>106902</v>
      </c>
      <c r="F82">
        <v>123641.31</v>
      </c>
      <c r="G82">
        <v>-16739.310000000001</v>
      </c>
      <c r="H82" s="2">
        <v>45022</v>
      </c>
      <c r="I82" s="1" t="s">
        <v>3782</v>
      </c>
      <c r="J82" s="1" t="s">
        <v>3803</v>
      </c>
      <c r="K82" s="1" t="s">
        <v>3784</v>
      </c>
      <c r="L82" s="1" t="s">
        <v>51</v>
      </c>
    </row>
    <row r="83" spans="1:12" x14ac:dyDescent="0.25">
      <c r="A83" s="1" t="s">
        <v>3910</v>
      </c>
      <c r="B83" s="1" t="s">
        <v>3787</v>
      </c>
      <c r="C83" s="1" t="s">
        <v>3821</v>
      </c>
      <c r="D83" s="1" t="s">
        <v>3822</v>
      </c>
      <c r="E83">
        <v>429973</v>
      </c>
      <c r="F83">
        <v>376365.53</v>
      </c>
      <c r="G83">
        <v>53607.47</v>
      </c>
      <c r="H83" s="2">
        <v>45230</v>
      </c>
      <c r="I83" s="1" t="s">
        <v>3782</v>
      </c>
      <c r="J83" s="1" t="s">
        <v>3783</v>
      </c>
      <c r="K83" s="1" t="s">
        <v>3784</v>
      </c>
      <c r="L83" s="1" t="s">
        <v>51</v>
      </c>
    </row>
    <row r="84" spans="1:12" x14ac:dyDescent="0.25">
      <c r="A84" s="1" t="s">
        <v>3911</v>
      </c>
      <c r="B84" s="1" t="s">
        <v>3787</v>
      </c>
      <c r="C84" s="1" t="s">
        <v>3812</v>
      </c>
      <c r="D84" s="1" t="s">
        <v>3837</v>
      </c>
      <c r="E84">
        <v>206116</v>
      </c>
      <c r="F84">
        <v>229625.18</v>
      </c>
      <c r="G84">
        <v>-23509.18</v>
      </c>
      <c r="H84" s="2">
        <v>45699</v>
      </c>
      <c r="I84" s="1" t="s">
        <v>3782</v>
      </c>
      <c r="J84" s="1" t="s">
        <v>3783</v>
      </c>
      <c r="K84" s="1" t="s">
        <v>3800</v>
      </c>
      <c r="L84" s="1" t="s">
        <v>51</v>
      </c>
    </row>
    <row r="85" spans="1:12" x14ac:dyDescent="0.25">
      <c r="A85" s="1" t="s">
        <v>3912</v>
      </c>
      <c r="B85" s="1" t="s">
        <v>51</v>
      </c>
      <c r="C85" s="1" t="s">
        <v>3821</v>
      </c>
      <c r="D85" s="1" t="s">
        <v>3846</v>
      </c>
      <c r="E85">
        <v>1422304</v>
      </c>
      <c r="F85">
        <v>1675743.07</v>
      </c>
      <c r="G85">
        <v>-253439.07</v>
      </c>
      <c r="H85" s="2">
        <v>45310</v>
      </c>
      <c r="I85" s="1" t="s">
        <v>3790</v>
      </c>
      <c r="J85" s="1" t="s">
        <v>3791</v>
      </c>
      <c r="K85" s="1" t="s">
        <v>3784</v>
      </c>
      <c r="L85" s="1" t="s">
        <v>3792</v>
      </c>
    </row>
    <row r="86" spans="1:12" x14ac:dyDescent="0.25">
      <c r="A86" s="1" t="s">
        <v>3913</v>
      </c>
      <c r="B86" s="1" t="s">
        <v>3787</v>
      </c>
      <c r="C86" s="1" t="s">
        <v>3825</v>
      </c>
      <c r="D86" s="1" t="s">
        <v>3855</v>
      </c>
      <c r="E86">
        <v>495376</v>
      </c>
      <c r="F86">
        <v>532148.51</v>
      </c>
      <c r="G86">
        <v>-36772.51</v>
      </c>
      <c r="H86" s="2">
        <v>45728</v>
      </c>
      <c r="I86" s="1" t="s">
        <v>3782</v>
      </c>
      <c r="J86" s="1" t="s">
        <v>3823</v>
      </c>
      <c r="K86" s="1" t="s">
        <v>3800</v>
      </c>
      <c r="L86" s="1" t="s">
        <v>3792</v>
      </c>
    </row>
    <row r="87" spans="1:12" x14ac:dyDescent="0.25">
      <c r="A87" s="1" t="s">
        <v>3914</v>
      </c>
      <c r="B87" s="1" t="s">
        <v>3828</v>
      </c>
      <c r="C87" s="1" t="s">
        <v>3780</v>
      </c>
      <c r="D87" s="1" t="s">
        <v>3850</v>
      </c>
      <c r="E87">
        <v>374421</v>
      </c>
      <c r="F87">
        <v>472252.91</v>
      </c>
      <c r="G87">
        <v>-97831.91</v>
      </c>
      <c r="H87" s="2">
        <v>45125</v>
      </c>
      <c r="I87" s="1" t="s">
        <v>3790</v>
      </c>
      <c r="J87" s="1" t="s">
        <v>3803</v>
      </c>
      <c r="K87" s="1" t="s">
        <v>3784</v>
      </c>
      <c r="L87" s="1" t="s">
        <v>51</v>
      </c>
    </row>
    <row r="88" spans="1:12" x14ac:dyDescent="0.25">
      <c r="A88" s="1" t="s">
        <v>3915</v>
      </c>
      <c r="B88" s="1" t="s">
        <v>3828</v>
      </c>
      <c r="C88" s="1" t="s">
        <v>3812</v>
      </c>
      <c r="D88" s="1" t="s">
        <v>3781</v>
      </c>
      <c r="E88">
        <v>277952</v>
      </c>
      <c r="F88">
        <v>236373.9</v>
      </c>
      <c r="G88">
        <v>41578.1</v>
      </c>
      <c r="H88" s="2">
        <v>45665</v>
      </c>
      <c r="I88" s="1" t="s">
        <v>3859</v>
      </c>
      <c r="J88" s="1" t="s">
        <v>3803</v>
      </c>
      <c r="K88" s="1" t="s">
        <v>3800</v>
      </c>
      <c r="L88" s="1" t="s">
        <v>51</v>
      </c>
    </row>
    <row r="89" spans="1:12" x14ac:dyDescent="0.25">
      <c r="A89" s="1" t="s">
        <v>3916</v>
      </c>
      <c r="B89" s="1" t="s">
        <v>3798</v>
      </c>
      <c r="C89" s="1" t="s">
        <v>3858</v>
      </c>
      <c r="D89" s="1" t="s">
        <v>3895</v>
      </c>
      <c r="E89">
        <v>314597</v>
      </c>
      <c r="F89">
        <v>405247.51</v>
      </c>
      <c r="G89">
        <v>-90650.51</v>
      </c>
      <c r="H89" s="2">
        <v>45576</v>
      </c>
      <c r="I89" s="1" t="s">
        <v>3782</v>
      </c>
      <c r="J89" s="1" t="s">
        <v>3791</v>
      </c>
      <c r="K89" s="1" t="s">
        <v>3800</v>
      </c>
      <c r="L89" s="1" t="s">
        <v>3792</v>
      </c>
    </row>
    <row r="90" spans="1:12" x14ac:dyDescent="0.25">
      <c r="A90" s="1" t="s">
        <v>3917</v>
      </c>
      <c r="B90" s="1" t="s">
        <v>3811</v>
      </c>
      <c r="C90" s="1" t="s">
        <v>3825</v>
      </c>
      <c r="D90" s="1" t="s">
        <v>3867</v>
      </c>
      <c r="E90">
        <v>109346</v>
      </c>
      <c r="F90">
        <v>139986.84</v>
      </c>
      <c r="G90">
        <v>-30640.84</v>
      </c>
      <c r="H90" s="2">
        <v>45178</v>
      </c>
      <c r="I90" s="1" t="s">
        <v>3782</v>
      </c>
      <c r="J90" s="1" t="s">
        <v>3803</v>
      </c>
      <c r="K90" s="1" t="s">
        <v>3784</v>
      </c>
      <c r="L90" s="1" t="s">
        <v>3792</v>
      </c>
    </row>
    <row r="91" spans="1:12" x14ac:dyDescent="0.25">
      <c r="A91" s="1" t="s">
        <v>3918</v>
      </c>
      <c r="B91" s="1" t="s">
        <v>3794</v>
      </c>
      <c r="C91" s="1" t="s">
        <v>3812</v>
      </c>
      <c r="D91" s="1" t="s">
        <v>3822</v>
      </c>
      <c r="E91">
        <v>-57182</v>
      </c>
      <c r="F91">
        <v>60104.14</v>
      </c>
      <c r="H91" s="2">
        <v>45051</v>
      </c>
      <c r="I91" s="1" t="s">
        <v>3790</v>
      </c>
      <c r="J91" s="1" t="s">
        <v>3791</v>
      </c>
      <c r="K91" s="1" t="s">
        <v>3784</v>
      </c>
      <c r="L91" s="1" t="s">
        <v>51</v>
      </c>
    </row>
    <row r="92" spans="1:12" x14ac:dyDescent="0.25">
      <c r="A92" s="1" t="s">
        <v>3919</v>
      </c>
      <c r="B92" s="1" t="s">
        <v>3828</v>
      </c>
      <c r="C92" s="1" t="s">
        <v>3812</v>
      </c>
      <c r="D92" s="1" t="s">
        <v>3796</v>
      </c>
      <c r="E92">
        <v>429501</v>
      </c>
      <c r="F92">
        <v>466352.17</v>
      </c>
      <c r="G92">
        <v>-36851.17</v>
      </c>
      <c r="H92" s="2">
        <v>45638</v>
      </c>
      <c r="I92" s="1" t="s">
        <v>3782</v>
      </c>
      <c r="J92" s="1" t="s">
        <v>3803</v>
      </c>
      <c r="K92" s="1" t="s">
        <v>3800</v>
      </c>
      <c r="L92" s="1" t="s">
        <v>3792</v>
      </c>
    </row>
    <row r="93" spans="1:12" x14ac:dyDescent="0.25">
      <c r="A93" s="1" t="s">
        <v>3920</v>
      </c>
      <c r="B93" s="1" t="s">
        <v>3794</v>
      </c>
      <c r="C93" s="1" t="s">
        <v>3821</v>
      </c>
      <c r="D93" s="1" t="s">
        <v>3895</v>
      </c>
      <c r="E93">
        <v>478753</v>
      </c>
      <c r="F93">
        <v>566440.71</v>
      </c>
      <c r="G93">
        <v>-87687.71</v>
      </c>
      <c r="H93" s="2">
        <v>45164</v>
      </c>
      <c r="I93" s="1" t="s">
        <v>3782</v>
      </c>
      <c r="J93" s="1" t="s">
        <v>3791</v>
      </c>
      <c r="K93" s="1" t="s">
        <v>3784</v>
      </c>
      <c r="L93" s="1" t="s">
        <v>3792</v>
      </c>
    </row>
    <row r="94" spans="1:12" x14ac:dyDescent="0.25">
      <c r="A94" s="1" t="s">
        <v>3921</v>
      </c>
      <c r="B94" s="1" t="s">
        <v>3794</v>
      </c>
      <c r="C94" s="1" t="s">
        <v>3844</v>
      </c>
      <c r="D94" s="1" t="s">
        <v>3781</v>
      </c>
      <c r="E94">
        <v>62031</v>
      </c>
      <c r="F94">
        <v>62498.04</v>
      </c>
      <c r="G94">
        <v>-467.04</v>
      </c>
      <c r="H94" s="2">
        <v>45178</v>
      </c>
      <c r="I94" s="1" t="s">
        <v>3859</v>
      </c>
      <c r="J94" s="1" t="s">
        <v>3791</v>
      </c>
      <c r="K94" s="1" t="s">
        <v>3784</v>
      </c>
      <c r="L94" s="1" t="s">
        <v>51</v>
      </c>
    </row>
    <row r="95" spans="1:12" x14ac:dyDescent="0.25">
      <c r="A95" s="1" t="s">
        <v>3922</v>
      </c>
      <c r="B95" s="1" t="s">
        <v>3839</v>
      </c>
      <c r="C95" s="1" t="s">
        <v>3795</v>
      </c>
      <c r="D95" s="1" t="s">
        <v>3781</v>
      </c>
      <c r="E95">
        <v>288581</v>
      </c>
      <c r="F95">
        <v>353638.16</v>
      </c>
      <c r="G95">
        <v>-65057.16</v>
      </c>
      <c r="H95" s="2">
        <v>45602</v>
      </c>
      <c r="I95" s="1" t="s">
        <v>3790</v>
      </c>
      <c r="J95" s="1" t="s">
        <v>3791</v>
      </c>
      <c r="K95" s="1" t="s">
        <v>3800</v>
      </c>
      <c r="L95" s="1" t="s">
        <v>3817</v>
      </c>
    </row>
    <row r="96" spans="1:12" x14ac:dyDescent="0.25">
      <c r="A96" s="1" t="s">
        <v>3923</v>
      </c>
      <c r="B96" s="1" t="s">
        <v>3839</v>
      </c>
      <c r="C96" s="1" t="s">
        <v>3788</v>
      </c>
      <c r="D96" s="1" t="s">
        <v>3816</v>
      </c>
      <c r="E96">
        <v>123062</v>
      </c>
      <c r="F96">
        <v>152975.35</v>
      </c>
      <c r="G96">
        <v>-29913.35</v>
      </c>
      <c r="H96" s="2">
        <v>45200</v>
      </c>
      <c r="I96" s="1" t="s">
        <v>3782</v>
      </c>
      <c r="J96" s="1" t="s">
        <v>3783</v>
      </c>
      <c r="K96" s="1" t="s">
        <v>3784</v>
      </c>
      <c r="L96" s="1" t="s">
        <v>3817</v>
      </c>
    </row>
    <row r="97" spans="1:12" x14ac:dyDescent="0.25">
      <c r="A97" s="1" t="s">
        <v>3924</v>
      </c>
      <c r="B97" s="1" t="s">
        <v>3839</v>
      </c>
      <c r="C97" s="1" t="s">
        <v>3815</v>
      </c>
      <c r="D97" s="1" t="s">
        <v>3826</v>
      </c>
      <c r="E97">
        <v>481569</v>
      </c>
      <c r="F97">
        <v>451100.97</v>
      </c>
      <c r="G97">
        <v>30468.03</v>
      </c>
      <c r="H97" s="2">
        <v>45078</v>
      </c>
      <c r="I97" s="1" t="s">
        <v>3790</v>
      </c>
      <c r="J97" s="1" t="s">
        <v>3823</v>
      </c>
      <c r="K97" s="1" t="s">
        <v>3784</v>
      </c>
      <c r="L97" s="1" t="s">
        <v>51</v>
      </c>
    </row>
    <row r="98" spans="1:12" x14ac:dyDescent="0.25">
      <c r="A98" s="1" t="s">
        <v>3925</v>
      </c>
      <c r="B98" s="1" t="s">
        <v>3794</v>
      </c>
      <c r="C98" s="1" t="s">
        <v>3815</v>
      </c>
      <c r="D98" s="1" t="s">
        <v>3895</v>
      </c>
      <c r="E98">
        <v>163410</v>
      </c>
      <c r="F98">
        <v>200577.85</v>
      </c>
      <c r="H98" s="2">
        <v>45458</v>
      </c>
      <c r="I98" s="1" t="s">
        <v>3790</v>
      </c>
      <c r="J98" s="1" t="s">
        <v>3791</v>
      </c>
      <c r="K98" s="1" t="s">
        <v>3800</v>
      </c>
      <c r="L98" s="1" t="s">
        <v>3809</v>
      </c>
    </row>
    <row r="99" spans="1:12" x14ac:dyDescent="0.25">
      <c r="A99" s="1" t="s">
        <v>3926</v>
      </c>
      <c r="B99" s="1" t="s">
        <v>3828</v>
      </c>
      <c r="C99" s="1" t="s">
        <v>3821</v>
      </c>
      <c r="D99" s="1" t="s">
        <v>3802</v>
      </c>
      <c r="E99">
        <v>377326</v>
      </c>
      <c r="F99">
        <v>461081.99</v>
      </c>
      <c r="G99">
        <v>-83755.990000000005</v>
      </c>
      <c r="H99" s="2">
        <v>45255</v>
      </c>
      <c r="I99" s="1" t="s">
        <v>3790</v>
      </c>
      <c r="J99" s="1" t="s">
        <v>3783</v>
      </c>
      <c r="K99" s="1" t="s">
        <v>3784</v>
      </c>
      <c r="L99" s="1" t="s">
        <v>51</v>
      </c>
    </row>
    <row r="100" spans="1:12" x14ac:dyDescent="0.25">
      <c r="A100" s="1" t="s">
        <v>3927</v>
      </c>
      <c r="B100" s="1" t="s">
        <v>3787</v>
      </c>
      <c r="C100" s="1" t="s">
        <v>3795</v>
      </c>
      <c r="D100" s="1" t="s">
        <v>3802</v>
      </c>
      <c r="E100">
        <v>79297</v>
      </c>
      <c r="F100">
        <v>66599.44</v>
      </c>
      <c r="G100">
        <v>12697.56</v>
      </c>
      <c r="H100" s="2">
        <v>45023</v>
      </c>
      <c r="I100" s="1" t="s">
        <v>3790</v>
      </c>
      <c r="J100" s="1" t="s">
        <v>3823</v>
      </c>
      <c r="K100" s="1" t="s">
        <v>3784</v>
      </c>
      <c r="L100" s="1" t="s">
        <v>3785</v>
      </c>
    </row>
    <row r="101" spans="1:12" x14ac:dyDescent="0.25">
      <c r="A101" s="1" t="s">
        <v>3928</v>
      </c>
      <c r="B101" s="1" t="s">
        <v>3798</v>
      </c>
      <c r="C101" s="1" t="s">
        <v>3806</v>
      </c>
      <c r="D101" s="1" t="s">
        <v>3895</v>
      </c>
      <c r="E101">
        <v>487901</v>
      </c>
      <c r="F101">
        <v>465035.01</v>
      </c>
      <c r="G101">
        <v>22865.99</v>
      </c>
      <c r="H101" s="2">
        <v>45391</v>
      </c>
      <c r="I101" s="1" t="s">
        <v>3790</v>
      </c>
      <c r="J101" s="1" t="s">
        <v>3803</v>
      </c>
      <c r="K101" s="1" t="s">
        <v>3800</v>
      </c>
      <c r="L101" s="1" t="s">
        <v>51</v>
      </c>
    </row>
    <row r="102" spans="1:12" x14ac:dyDescent="0.25">
      <c r="A102" s="1" t="s">
        <v>3929</v>
      </c>
      <c r="B102" s="1" t="s">
        <v>3811</v>
      </c>
      <c r="C102" s="1" t="s">
        <v>3795</v>
      </c>
      <c r="D102" s="1" t="s">
        <v>3802</v>
      </c>
      <c r="E102">
        <v>369434</v>
      </c>
      <c r="F102">
        <v>401049.67</v>
      </c>
      <c r="G102">
        <v>-31615.67</v>
      </c>
      <c r="H102" s="2">
        <v>45242</v>
      </c>
      <c r="I102" s="1" t="s">
        <v>3790</v>
      </c>
      <c r="J102" s="1" t="s">
        <v>3783</v>
      </c>
      <c r="K102" s="1" t="s">
        <v>3784</v>
      </c>
      <c r="L102" s="1" t="s">
        <v>51</v>
      </c>
    </row>
    <row r="103" spans="1:12" x14ac:dyDescent="0.25">
      <c r="A103" s="1" t="s">
        <v>3930</v>
      </c>
      <c r="B103" s="1" t="s">
        <v>3798</v>
      </c>
      <c r="C103" s="1" t="s">
        <v>3815</v>
      </c>
      <c r="D103" s="1" t="s">
        <v>3855</v>
      </c>
      <c r="E103">
        <v>132717</v>
      </c>
      <c r="F103">
        <v>125986.01</v>
      </c>
      <c r="G103">
        <v>6730.99</v>
      </c>
      <c r="H103" s="2">
        <v>45229</v>
      </c>
      <c r="I103" s="1" t="s">
        <v>3790</v>
      </c>
      <c r="J103" s="1" t="s">
        <v>3783</v>
      </c>
      <c r="K103" s="1" t="s">
        <v>3784</v>
      </c>
      <c r="L103" s="1" t="s">
        <v>3785</v>
      </c>
    </row>
    <row r="104" spans="1:12" x14ac:dyDescent="0.25">
      <c r="A104" s="1" t="s">
        <v>3931</v>
      </c>
      <c r="B104" s="1" t="s">
        <v>3808</v>
      </c>
      <c r="C104" s="1" t="s">
        <v>3844</v>
      </c>
      <c r="D104" s="1" t="s">
        <v>3789</v>
      </c>
      <c r="E104">
        <v>367110</v>
      </c>
      <c r="F104">
        <v>473125.19</v>
      </c>
      <c r="G104">
        <v>-106015.19</v>
      </c>
      <c r="H104" s="2">
        <v>45022</v>
      </c>
      <c r="I104" s="1" t="s">
        <v>3790</v>
      </c>
      <c r="J104" s="1" t="s">
        <v>3783</v>
      </c>
      <c r="K104" s="1" t="s">
        <v>3784</v>
      </c>
      <c r="L104" s="1" t="s">
        <v>3831</v>
      </c>
    </row>
    <row r="105" spans="1:12" x14ac:dyDescent="0.25">
      <c r="A105" s="1" t="s">
        <v>3932</v>
      </c>
      <c r="B105" s="1" t="s">
        <v>3808</v>
      </c>
      <c r="C105" s="1" t="s">
        <v>3825</v>
      </c>
      <c r="D105" s="1" t="s">
        <v>3855</v>
      </c>
      <c r="E105">
        <v>308360</v>
      </c>
      <c r="F105">
        <v>252679.46</v>
      </c>
      <c r="G105">
        <v>55680.54</v>
      </c>
      <c r="H105" s="2">
        <v>45736</v>
      </c>
      <c r="I105" s="1" t="s">
        <v>3782</v>
      </c>
      <c r="J105" s="1" t="s">
        <v>3803</v>
      </c>
      <c r="K105" s="1" t="s">
        <v>3800</v>
      </c>
      <c r="L105" s="1" t="s">
        <v>3785</v>
      </c>
    </row>
    <row r="106" spans="1:12" x14ac:dyDescent="0.25">
      <c r="A106" s="1" t="s">
        <v>3933</v>
      </c>
      <c r="B106" s="1" t="s">
        <v>3794</v>
      </c>
      <c r="C106" s="1" t="s">
        <v>3806</v>
      </c>
      <c r="D106" s="1" t="s">
        <v>3816</v>
      </c>
      <c r="E106">
        <v>224677</v>
      </c>
      <c r="F106">
        <v>281998.19</v>
      </c>
      <c r="G106">
        <v>-57321.19</v>
      </c>
      <c r="H106" s="2">
        <v>45189</v>
      </c>
      <c r="I106" s="1" t="s">
        <v>3790</v>
      </c>
      <c r="J106" s="1" t="s">
        <v>3803</v>
      </c>
      <c r="K106" s="1" t="s">
        <v>3784</v>
      </c>
      <c r="L106" s="1" t="s">
        <v>3792</v>
      </c>
    </row>
    <row r="107" spans="1:12" x14ac:dyDescent="0.25">
      <c r="A107" s="1" t="s">
        <v>3934</v>
      </c>
      <c r="B107" s="1" t="s">
        <v>3787</v>
      </c>
      <c r="C107" s="1" t="s">
        <v>3788</v>
      </c>
      <c r="D107" s="1" t="s">
        <v>3834</v>
      </c>
      <c r="E107">
        <v>494166</v>
      </c>
      <c r="F107">
        <v>404213.86</v>
      </c>
      <c r="G107">
        <v>89952.14</v>
      </c>
      <c r="H107" s="2">
        <v>45203</v>
      </c>
      <c r="I107" s="1" t="s">
        <v>3790</v>
      </c>
      <c r="J107" s="1" t="s">
        <v>3823</v>
      </c>
      <c r="K107" s="1" t="s">
        <v>3784</v>
      </c>
      <c r="L107" s="1" t="s">
        <v>3785</v>
      </c>
    </row>
    <row r="108" spans="1:12" x14ac:dyDescent="0.25">
      <c r="A108" s="1" t="s">
        <v>3935</v>
      </c>
      <c r="B108" s="1" t="s">
        <v>3828</v>
      </c>
      <c r="C108" s="1" t="s">
        <v>3812</v>
      </c>
      <c r="D108" s="1" t="s">
        <v>3846</v>
      </c>
      <c r="E108">
        <v>195900</v>
      </c>
      <c r="F108">
        <v>190971.73</v>
      </c>
      <c r="G108">
        <v>4928.2700000000004</v>
      </c>
      <c r="H108" s="2">
        <v>45721</v>
      </c>
      <c r="I108" s="1" t="s">
        <v>3790</v>
      </c>
      <c r="J108" s="1" t="s">
        <v>3803</v>
      </c>
      <c r="K108" s="1" t="s">
        <v>3800</v>
      </c>
      <c r="L108" s="1" t="s">
        <v>51</v>
      </c>
    </row>
    <row r="109" spans="1:12" x14ac:dyDescent="0.25">
      <c r="A109" s="1" t="s">
        <v>3936</v>
      </c>
      <c r="B109" s="1" t="s">
        <v>3794</v>
      </c>
      <c r="C109" s="1" t="s">
        <v>3780</v>
      </c>
      <c r="D109" s="1" t="s">
        <v>3855</v>
      </c>
      <c r="E109">
        <v>335390</v>
      </c>
      <c r="F109">
        <v>302933.23</v>
      </c>
      <c r="G109">
        <v>32456.77</v>
      </c>
      <c r="H109" s="2">
        <v>45698</v>
      </c>
      <c r="I109" s="1" t="s">
        <v>3790</v>
      </c>
      <c r="J109" s="1" t="s">
        <v>3823</v>
      </c>
      <c r="K109" s="1" t="s">
        <v>3800</v>
      </c>
      <c r="L109" s="1" t="s">
        <v>3831</v>
      </c>
    </row>
    <row r="110" spans="1:12" x14ac:dyDescent="0.25">
      <c r="A110" s="1" t="s">
        <v>3937</v>
      </c>
      <c r="B110" s="1" t="s">
        <v>3808</v>
      </c>
      <c r="C110" s="1" t="s">
        <v>3848</v>
      </c>
      <c r="D110" s="1" t="s">
        <v>3895</v>
      </c>
      <c r="E110">
        <v>177021</v>
      </c>
      <c r="F110">
        <v>158438.09</v>
      </c>
      <c r="G110">
        <v>18582.91</v>
      </c>
      <c r="H110" s="2">
        <v>45500</v>
      </c>
      <c r="I110" s="1" t="s">
        <v>3782</v>
      </c>
      <c r="J110" s="1" t="s">
        <v>3791</v>
      </c>
      <c r="K110" s="1" t="s">
        <v>3800</v>
      </c>
      <c r="L110" s="1" t="s">
        <v>51</v>
      </c>
    </row>
    <row r="111" spans="1:12" x14ac:dyDescent="0.25">
      <c r="A111" s="1" t="s">
        <v>3938</v>
      </c>
      <c r="B111" s="1" t="s">
        <v>3828</v>
      </c>
      <c r="C111" s="1" t="s">
        <v>3815</v>
      </c>
      <c r="D111" s="1" t="s">
        <v>3846</v>
      </c>
      <c r="E111">
        <v>314105</v>
      </c>
      <c r="F111">
        <v>386778.37</v>
      </c>
      <c r="G111">
        <v>-72673.37</v>
      </c>
      <c r="H111" s="2">
        <v>45137</v>
      </c>
      <c r="I111" s="1" t="s">
        <v>3859</v>
      </c>
      <c r="J111" s="1" t="s">
        <v>3803</v>
      </c>
      <c r="K111" s="1" t="s">
        <v>3784</v>
      </c>
      <c r="L111" s="1" t="s">
        <v>51</v>
      </c>
    </row>
    <row r="112" spans="1:12" x14ac:dyDescent="0.25">
      <c r="A112" s="1" t="s">
        <v>3939</v>
      </c>
      <c r="B112" s="1" t="s">
        <v>3787</v>
      </c>
      <c r="C112" s="1" t="s">
        <v>3861</v>
      </c>
      <c r="D112" s="1" t="s">
        <v>3813</v>
      </c>
      <c r="E112">
        <v>3110100</v>
      </c>
      <c r="F112">
        <v>2633787.69</v>
      </c>
      <c r="G112">
        <v>476312.31</v>
      </c>
      <c r="H112" s="2">
        <v>45154</v>
      </c>
      <c r="I112" s="1" t="s">
        <v>3782</v>
      </c>
      <c r="J112" s="1" t="s">
        <v>3803</v>
      </c>
      <c r="K112" s="1" t="s">
        <v>3784</v>
      </c>
      <c r="L112" s="1" t="s">
        <v>51</v>
      </c>
    </row>
    <row r="113" spans="1:12" x14ac:dyDescent="0.25">
      <c r="A113" s="1" t="s">
        <v>3940</v>
      </c>
      <c r="B113" s="1" t="s">
        <v>3794</v>
      </c>
      <c r="C113" s="1" t="s">
        <v>3815</v>
      </c>
      <c r="D113" s="1" t="s">
        <v>3826</v>
      </c>
      <c r="E113">
        <v>262104</v>
      </c>
      <c r="F113">
        <v>215755.98</v>
      </c>
      <c r="G113">
        <v>46348.02</v>
      </c>
      <c r="H113" s="2">
        <v>44949</v>
      </c>
      <c r="I113" s="1" t="s">
        <v>3790</v>
      </c>
      <c r="J113" s="1" t="s">
        <v>3791</v>
      </c>
      <c r="K113" s="1" t="s">
        <v>3804</v>
      </c>
      <c r="L113" s="1" t="s">
        <v>3792</v>
      </c>
    </row>
    <row r="114" spans="1:12" x14ac:dyDescent="0.25">
      <c r="A114" s="1" t="s">
        <v>3941</v>
      </c>
      <c r="B114" s="1" t="s">
        <v>3839</v>
      </c>
      <c r="C114" s="1" t="s">
        <v>3844</v>
      </c>
      <c r="D114" s="1" t="s">
        <v>3846</v>
      </c>
      <c r="E114">
        <v>298624</v>
      </c>
      <c r="F114">
        <v>355869.66</v>
      </c>
      <c r="G114">
        <v>-57245.66</v>
      </c>
      <c r="H114" s="2">
        <v>45729</v>
      </c>
      <c r="I114" s="1" t="s">
        <v>3790</v>
      </c>
      <c r="J114" s="1" t="s">
        <v>3791</v>
      </c>
      <c r="K114" s="1" t="s">
        <v>3800</v>
      </c>
      <c r="L114" s="1" t="s">
        <v>51</v>
      </c>
    </row>
    <row r="115" spans="1:12" x14ac:dyDescent="0.25">
      <c r="A115" s="1" t="s">
        <v>3942</v>
      </c>
      <c r="B115" s="1" t="s">
        <v>3787</v>
      </c>
      <c r="C115" s="1" t="s">
        <v>3861</v>
      </c>
      <c r="D115" s="1" t="s">
        <v>3822</v>
      </c>
      <c r="E115">
        <v>244479</v>
      </c>
      <c r="F115">
        <v>229972.17</v>
      </c>
      <c r="G115">
        <v>14506.83</v>
      </c>
      <c r="H115" s="2">
        <v>45092</v>
      </c>
      <c r="I115" s="1" t="s">
        <v>3790</v>
      </c>
      <c r="J115" s="1" t="s">
        <v>3823</v>
      </c>
      <c r="K115" s="1" t="s">
        <v>3784</v>
      </c>
      <c r="L115" s="1" t="s">
        <v>3831</v>
      </c>
    </row>
    <row r="116" spans="1:12" x14ac:dyDescent="0.25">
      <c r="A116" s="1" t="s">
        <v>3943</v>
      </c>
      <c r="B116" s="1" t="s">
        <v>3794</v>
      </c>
      <c r="C116" s="1" t="s">
        <v>3821</v>
      </c>
      <c r="D116" s="1" t="s">
        <v>3789</v>
      </c>
      <c r="E116">
        <v>458092</v>
      </c>
      <c r="F116">
        <v>415250.85</v>
      </c>
      <c r="G116">
        <v>42841.15</v>
      </c>
      <c r="H116" s="2">
        <v>45172</v>
      </c>
      <c r="I116" s="1" t="s">
        <v>3790</v>
      </c>
      <c r="J116" s="1" t="s">
        <v>3783</v>
      </c>
      <c r="K116" s="1" t="s">
        <v>3784</v>
      </c>
      <c r="L116" s="1" t="s">
        <v>3809</v>
      </c>
    </row>
    <row r="117" spans="1:12" x14ac:dyDescent="0.25">
      <c r="A117" s="1" t="s">
        <v>3944</v>
      </c>
      <c r="B117" s="1" t="s">
        <v>3828</v>
      </c>
      <c r="C117" s="1" t="s">
        <v>3795</v>
      </c>
      <c r="D117" s="1" t="s">
        <v>3816</v>
      </c>
      <c r="E117">
        <v>216848</v>
      </c>
      <c r="F117">
        <v>187274.9</v>
      </c>
      <c r="H117" s="2">
        <v>45718</v>
      </c>
      <c r="I117" s="1" t="s">
        <v>3790</v>
      </c>
      <c r="J117" s="1" t="s">
        <v>3803</v>
      </c>
      <c r="K117" s="1" t="s">
        <v>3800</v>
      </c>
      <c r="L117" s="1" t="s">
        <v>51</v>
      </c>
    </row>
    <row r="118" spans="1:12" x14ac:dyDescent="0.25">
      <c r="A118" s="1" t="s">
        <v>3945</v>
      </c>
      <c r="B118" s="1" t="s">
        <v>3808</v>
      </c>
      <c r="C118" s="1" t="s">
        <v>3844</v>
      </c>
      <c r="D118" s="1" t="s">
        <v>3802</v>
      </c>
      <c r="E118">
        <v>369273</v>
      </c>
      <c r="F118">
        <v>394727.13</v>
      </c>
      <c r="G118">
        <v>-25454.13</v>
      </c>
      <c r="H118" s="2">
        <v>45064</v>
      </c>
      <c r="I118" s="1" t="s">
        <v>3790</v>
      </c>
      <c r="J118" s="1" t="s">
        <v>3823</v>
      </c>
      <c r="K118" s="1" t="s">
        <v>3784</v>
      </c>
      <c r="L118" s="1" t="s">
        <v>51</v>
      </c>
    </row>
    <row r="119" spans="1:12" x14ac:dyDescent="0.25">
      <c r="A119" s="1" t="s">
        <v>3946</v>
      </c>
      <c r="B119" s="1" t="s">
        <v>3808</v>
      </c>
      <c r="C119" s="1" t="s">
        <v>3844</v>
      </c>
      <c r="D119" s="1" t="s">
        <v>3813</v>
      </c>
      <c r="E119">
        <v>482284</v>
      </c>
      <c r="F119">
        <v>386418.85</v>
      </c>
      <c r="G119">
        <v>95865.15</v>
      </c>
      <c r="H119" s="2">
        <v>45141</v>
      </c>
      <c r="I119" s="1" t="s">
        <v>3790</v>
      </c>
      <c r="J119" s="1" t="s">
        <v>3823</v>
      </c>
      <c r="K119" s="1" t="s">
        <v>3784</v>
      </c>
      <c r="L119" s="1" t="s">
        <v>51</v>
      </c>
    </row>
    <row r="120" spans="1:12" x14ac:dyDescent="0.25">
      <c r="A120" s="1" t="s">
        <v>3947</v>
      </c>
      <c r="B120" s="1" t="s">
        <v>3828</v>
      </c>
      <c r="C120" s="1" t="s">
        <v>3821</v>
      </c>
      <c r="D120" s="1" t="s">
        <v>3850</v>
      </c>
      <c r="E120">
        <v>114547</v>
      </c>
      <c r="F120">
        <v>143027.81</v>
      </c>
      <c r="G120">
        <v>-28480.81</v>
      </c>
      <c r="H120" s="2">
        <v>44948</v>
      </c>
      <c r="I120" s="1" t="s">
        <v>3790</v>
      </c>
      <c r="J120" s="1" t="s">
        <v>3783</v>
      </c>
      <c r="K120" s="1" t="s">
        <v>3804</v>
      </c>
      <c r="L120" s="1" t="s">
        <v>3785</v>
      </c>
    </row>
    <row r="121" spans="1:12" x14ac:dyDescent="0.25">
      <c r="A121" s="1" t="s">
        <v>3948</v>
      </c>
      <c r="B121" s="1" t="s">
        <v>3811</v>
      </c>
      <c r="C121" s="1" t="s">
        <v>3861</v>
      </c>
      <c r="D121" s="1" t="s">
        <v>3799</v>
      </c>
      <c r="E121">
        <v>334243</v>
      </c>
      <c r="F121">
        <v>335560.21</v>
      </c>
      <c r="G121">
        <v>-1317.21</v>
      </c>
      <c r="H121" s="2">
        <v>45487</v>
      </c>
      <c r="I121" s="1" t="s">
        <v>3790</v>
      </c>
      <c r="J121" s="1" t="s">
        <v>3791</v>
      </c>
      <c r="K121" s="1" t="s">
        <v>3800</v>
      </c>
      <c r="L121" s="1" t="s">
        <v>51</v>
      </c>
    </row>
    <row r="122" spans="1:12" x14ac:dyDescent="0.25">
      <c r="A122" s="1" t="s">
        <v>3949</v>
      </c>
      <c r="B122" s="1" t="s">
        <v>3798</v>
      </c>
      <c r="C122" s="1" t="s">
        <v>3848</v>
      </c>
      <c r="D122" s="1" t="s">
        <v>3837</v>
      </c>
      <c r="E122">
        <v>47119</v>
      </c>
      <c r="F122">
        <v>38820.36</v>
      </c>
      <c r="G122">
        <v>8298.64</v>
      </c>
      <c r="H122" s="2">
        <v>45258</v>
      </c>
      <c r="I122" s="1" t="s">
        <v>3859</v>
      </c>
      <c r="J122" s="1" t="s">
        <v>3791</v>
      </c>
      <c r="K122" s="1" t="s">
        <v>3784</v>
      </c>
      <c r="L122" s="1" t="s">
        <v>51</v>
      </c>
    </row>
    <row r="123" spans="1:12" x14ac:dyDescent="0.25">
      <c r="A123" s="1" t="s">
        <v>3950</v>
      </c>
      <c r="B123" s="1" t="s">
        <v>3828</v>
      </c>
      <c r="C123" s="1" t="s">
        <v>3821</v>
      </c>
      <c r="D123" s="1" t="s">
        <v>3846</v>
      </c>
      <c r="E123">
        <v>364029</v>
      </c>
      <c r="F123">
        <v>317442.38</v>
      </c>
      <c r="G123">
        <v>46586.62</v>
      </c>
      <c r="H123" s="2">
        <v>45514</v>
      </c>
      <c r="I123" s="1" t="s">
        <v>3790</v>
      </c>
      <c r="J123" s="1" t="s">
        <v>3823</v>
      </c>
      <c r="K123" s="1" t="s">
        <v>3800</v>
      </c>
      <c r="L123" s="1" t="s">
        <v>3785</v>
      </c>
    </row>
    <row r="124" spans="1:12" x14ac:dyDescent="0.25">
      <c r="A124" s="1" t="s">
        <v>3951</v>
      </c>
      <c r="B124" s="1" t="s">
        <v>3787</v>
      </c>
      <c r="C124" s="1" t="s">
        <v>3821</v>
      </c>
      <c r="D124" s="1" t="s">
        <v>3834</v>
      </c>
      <c r="E124">
        <v>169355</v>
      </c>
      <c r="F124">
        <v>195933.87</v>
      </c>
      <c r="G124">
        <v>-26578.87</v>
      </c>
      <c r="H124" s="2">
        <v>45014</v>
      </c>
      <c r="I124" s="1" t="s">
        <v>3790</v>
      </c>
      <c r="J124" s="1" t="s">
        <v>3791</v>
      </c>
      <c r="K124" s="1" t="s">
        <v>3804</v>
      </c>
      <c r="L124" s="1" t="s">
        <v>3792</v>
      </c>
    </row>
    <row r="125" spans="1:12" x14ac:dyDescent="0.25">
      <c r="A125" s="1" t="s">
        <v>3952</v>
      </c>
      <c r="B125" s="1" t="s">
        <v>3808</v>
      </c>
      <c r="C125" s="1" t="s">
        <v>3788</v>
      </c>
      <c r="D125" s="1" t="s">
        <v>3789</v>
      </c>
      <c r="E125">
        <v>137124</v>
      </c>
      <c r="F125">
        <v>141448.92000000001</v>
      </c>
      <c r="G125">
        <v>-4324.92</v>
      </c>
      <c r="H125" s="2">
        <v>45391</v>
      </c>
      <c r="I125" s="1" t="s">
        <v>3782</v>
      </c>
      <c r="J125" s="1" t="s">
        <v>3791</v>
      </c>
      <c r="K125" s="1" t="s">
        <v>3800</v>
      </c>
      <c r="L125" s="1" t="s">
        <v>51</v>
      </c>
    </row>
    <row r="126" spans="1:12" x14ac:dyDescent="0.25">
      <c r="A126" s="1" t="s">
        <v>3953</v>
      </c>
      <c r="B126" s="1" t="s">
        <v>3839</v>
      </c>
      <c r="C126" s="1" t="s">
        <v>51</v>
      </c>
      <c r="D126" s="1" t="s">
        <v>3837</v>
      </c>
      <c r="E126">
        <v>326044</v>
      </c>
      <c r="F126">
        <v>276349.53999999998</v>
      </c>
      <c r="G126">
        <v>49694.46</v>
      </c>
      <c r="H126" s="2">
        <v>45200</v>
      </c>
      <c r="I126" s="1" t="s">
        <v>3790</v>
      </c>
      <c r="J126" s="1" t="s">
        <v>3783</v>
      </c>
      <c r="K126" s="1" t="s">
        <v>3784</v>
      </c>
      <c r="L126" s="1" t="s">
        <v>51</v>
      </c>
    </row>
    <row r="127" spans="1:12" x14ac:dyDescent="0.25">
      <c r="A127" s="1" t="s">
        <v>3954</v>
      </c>
      <c r="B127" s="1" t="s">
        <v>3798</v>
      </c>
      <c r="C127" s="1" t="s">
        <v>3861</v>
      </c>
      <c r="D127" s="1" t="s">
        <v>3799</v>
      </c>
      <c r="E127">
        <v>488286</v>
      </c>
      <c r="F127">
        <v>445059.53</v>
      </c>
      <c r="G127">
        <v>43226.47</v>
      </c>
      <c r="H127" s="2">
        <v>44979</v>
      </c>
      <c r="I127" s="1" t="s">
        <v>3782</v>
      </c>
      <c r="J127" s="1" t="s">
        <v>3803</v>
      </c>
      <c r="K127" s="1" t="s">
        <v>3804</v>
      </c>
      <c r="L127" s="1" t="s">
        <v>3817</v>
      </c>
    </row>
    <row r="128" spans="1:12" x14ac:dyDescent="0.25">
      <c r="A128" s="1" t="s">
        <v>3955</v>
      </c>
      <c r="B128" s="1" t="s">
        <v>3794</v>
      </c>
      <c r="C128" s="1" t="s">
        <v>3806</v>
      </c>
      <c r="D128" s="1" t="s">
        <v>3781</v>
      </c>
      <c r="E128">
        <v>249928</v>
      </c>
      <c r="F128">
        <v>252956.29</v>
      </c>
      <c r="G128">
        <v>-3028.29</v>
      </c>
      <c r="H128" s="2">
        <v>45577</v>
      </c>
      <c r="I128" s="1" t="s">
        <v>3790</v>
      </c>
      <c r="J128" s="1" t="s">
        <v>3823</v>
      </c>
      <c r="K128" s="1" t="s">
        <v>3800</v>
      </c>
      <c r="L128" s="1" t="s">
        <v>51</v>
      </c>
    </row>
    <row r="129" spans="1:12" x14ac:dyDescent="0.25">
      <c r="A129" s="1" t="s">
        <v>3956</v>
      </c>
      <c r="B129" s="1" t="s">
        <v>3798</v>
      </c>
      <c r="C129" s="1" t="s">
        <v>3815</v>
      </c>
      <c r="D129" s="1" t="s">
        <v>3781</v>
      </c>
      <c r="E129">
        <v>380262</v>
      </c>
      <c r="F129">
        <v>429276.79</v>
      </c>
      <c r="G129">
        <v>-49014.79</v>
      </c>
      <c r="H129" s="2">
        <v>45520</v>
      </c>
      <c r="I129" s="1" t="s">
        <v>3790</v>
      </c>
      <c r="J129" s="1" t="s">
        <v>3803</v>
      </c>
      <c r="K129" s="1" t="s">
        <v>3800</v>
      </c>
      <c r="L129" s="1" t="s">
        <v>51</v>
      </c>
    </row>
    <row r="130" spans="1:12" x14ac:dyDescent="0.25">
      <c r="A130" s="1" t="s">
        <v>3957</v>
      </c>
      <c r="B130" s="1" t="s">
        <v>51</v>
      </c>
      <c r="C130" s="1" t="s">
        <v>3780</v>
      </c>
      <c r="D130" s="1" t="s">
        <v>3789</v>
      </c>
      <c r="E130">
        <v>497608</v>
      </c>
      <c r="F130">
        <v>610444.68999999994</v>
      </c>
      <c r="G130">
        <v>-112836.69</v>
      </c>
      <c r="H130" s="2">
        <v>45541</v>
      </c>
      <c r="I130" s="1" t="s">
        <v>3859</v>
      </c>
      <c r="J130" s="1" t="s">
        <v>3783</v>
      </c>
      <c r="K130" s="1" t="s">
        <v>3800</v>
      </c>
      <c r="L130" s="1" t="s">
        <v>51</v>
      </c>
    </row>
    <row r="131" spans="1:12" x14ac:dyDescent="0.25">
      <c r="A131" s="1" t="s">
        <v>3958</v>
      </c>
      <c r="B131" s="1" t="s">
        <v>3839</v>
      </c>
      <c r="C131" s="1" t="s">
        <v>3821</v>
      </c>
      <c r="D131" s="1" t="s">
        <v>3867</v>
      </c>
      <c r="E131">
        <v>132369</v>
      </c>
      <c r="F131">
        <v>155770.21</v>
      </c>
      <c r="G131">
        <v>-23401.21</v>
      </c>
      <c r="H131" s="2">
        <v>45599</v>
      </c>
      <c r="I131" s="1" t="s">
        <v>3790</v>
      </c>
      <c r="J131" s="1" t="s">
        <v>3783</v>
      </c>
      <c r="K131" s="1" t="s">
        <v>3800</v>
      </c>
      <c r="L131" s="1" t="s">
        <v>3831</v>
      </c>
    </row>
    <row r="132" spans="1:12" x14ac:dyDescent="0.25">
      <c r="A132" s="1" t="s">
        <v>3959</v>
      </c>
      <c r="B132" s="1" t="s">
        <v>3787</v>
      </c>
      <c r="C132" s="1" t="s">
        <v>3780</v>
      </c>
      <c r="D132" s="1" t="s">
        <v>3781</v>
      </c>
      <c r="E132">
        <v>113120</v>
      </c>
      <c r="F132">
        <v>128850.06</v>
      </c>
      <c r="G132">
        <v>-15730.06</v>
      </c>
      <c r="H132" s="2">
        <v>45409</v>
      </c>
      <c r="I132" s="1" t="s">
        <v>3790</v>
      </c>
      <c r="J132" s="1" t="s">
        <v>3803</v>
      </c>
      <c r="K132" s="1" t="s">
        <v>3800</v>
      </c>
      <c r="L132" s="1" t="s">
        <v>51</v>
      </c>
    </row>
    <row r="133" spans="1:12" x14ac:dyDescent="0.25">
      <c r="A133" s="1" t="s">
        <v>3960</v>
      </c>
      <c r="B133" s="1" t="s">
        <v>3798</v>
      </c>
      <c r="C133" s="1" t="s">
        <v>3844</v>
      </c>
      <c r="D133" s="1" t="s">
        <v>3867</v>
      </c>
      <c r="E133">
        <v>339860</v>
      </c>
      <c r="F133">
        <v>388536.49</v>
      </c>
      <c r="G133">
        <v>-48676.49</v>
      </c>
      <c r="H133" s="2">
        <v>45680</v>
      </c>
      <c r="I133" s="1" t="s">
        <v>3790</v>
      </c>
      <c r="J133" s="1" t="s">
        <v>3783</v>
      </c>
      <c r="K133" s="1" t="s">
        <v>3800</v>
      </c>
      <c r="L133" s="1" t="s">
        <v>51</v>
      </c>
    </row>
    <row r="134" spans="1:12" x14ac:dyDescent="0.25">
      <c r="A134" s="1" t="s">
        <v>3961</v>
      </c>
      <c r="B134" s="1" t="s">
        <v>3811</v>
      </c>
      <c r="C134" s="1" t="s">
        <v>3858</v>
      </c>
      <c r="D134" s="1" t="s">
        <v>3895</v>
      </c>
      <c r="E134">
        <v>51429</v>
      </c>
      <c r="F134">
        <v>53477.37</v>
      </c>
      <c r="G134">
        <v>-2048.37</v>
      </c>
      <c r="H134" s="2">
        <v>45657</v>
      </c>
      <c r="I134" s="1" t="s">
        <v>3790</v>
      </c>
      <c r="J134" s="1" t="s">
        <v>3791</v>
      </c>
      <c r="K134" s="1" t="s">
        <v>3800</v>
      </c>
      <c r="L134" s="1" t="s">
        <v>3831</v>
      </c>
    </row>
    <row r="135" spans="1:12" x14ac:dyDescent="0.25">
      <c r="A135" s="1" t="s">
        <v>3962</v>
      </c>
      <c r="B135" s="1" t="s">
        <v>3798</v>
      </c>
      <c r="C135" s="1" t="s">
        <v>3795</v>
      </c>
      <c r="D135" s="1" t="s">
        <v>3850</v>
      </c>
      <c r="E135">
        <v>115872</v>
      </c>
      <c r="F135">
        <v>115147.65</v>
      </c>
      <c r="G135">
        <v>724.35</v>
      </c>
      <c r="H135" s="2">
        <v>45656</v>
      </c>
      <c r="I135" s="1" t="s">
        <v>3790</v>
      </c>
      <c r="J135" s="1" t="s">
        <v>3823</v>
      </c>
      <c r="K135" s="1" t="s">
        <v>3800</v>
      </c>
      <c r="L135" s="1" t="s">
        <v>51</v>
      </c>
    </row>
    <row r="136" spans="1:12" x14ac:dyDescent="0.25">
      <c r="A136" s="1" t="s">
        <v>3963</v>
      </c>
      <c r="B136" s="1" t="s">
        <v>3794</v>
      </c>
      <c r="C136" s="1" t="s">
        <v>3788</v>
      </c>
      <c r="D136" s="1" t="s">
        <v>3895</v>
      </c>
      <c r="E136">
        <v>365187</v>
      </c>
      <c r="F136">
        <v>331945.39</v>
      </c>
      <c r="G136">
        <v>33241.61</v>
      </c>
      <c r="H136" s="2">
        <v>45404</v>
      </c>
      <c r="I136" s="1" t="s">
        <v>3790</v>
      </c>
      <c r="J136" s="1" t="s">
        <v>3791</v>
      </c>
      <c r="K136" s="1" t="s">
        <v>3800</v>
      </c>
      <c r="L136" s="1" t="s">
        <v>3792</v>
      </c>
    </row>
    <row r="137" spans="1:12" x14ac:dyDescent="0.25">
      <c r="A137" s="1" t="s">
        <v>3964</v>
      </c>
      <c r="B137" s="1" t="s">
        <v>3839</v>
      </c>
      <c r="C137" s="1" t="s">
        <v>3821</v>
      </c>
      <c r="D137" s="1" t="s">
        <v>3781</v>
      </c>
      <c r="E137">
        <v>171763</v>
      </c>
      <c r="F137">
        <v>214301.63</v>
      </c>
      <c r="G137">
        <v>-42538.63</v>
      </c>
      <c r="H137" s="2">
        <v>45707</v>
      </c>
      <c r="I137" s="1" t="s">
        <v>3790</v>
      </c>
      <c r="J137" s="1" t="s">
        <v>3823</v>
      </c>
      <c r="K137" s="1" t="s">
        <v>3800</v>
      </c>
      <c r="L137" s="1" t="s">
        <v>3809</v>
      </c>
    </row>
    <row r="138" spans="1:12" x14ac:dyDescent="0.25">
      <c r="A138" s="1" t="s">
        <v>3965</v>
      </c>
      <c r="B138" s="1" t="s">
        <v>3798</v>
      </c>
      <c r="C138" s="1" t="s">
        <v>3821</v>
      </c>
      <c r="D138" s="1" t="s">
        <v>3802</v>
      </c>
      <c r="E138">
        <v>348146</v>
      </c>
      <c r="F138">
        <v>280719.95</v>
      </c>
      <c r="G138">
        <v>67426.05</v>
      </c>
      <c r="H138" s="2">
        <v>45111</v>
      </c>
      <c r="I138" s="1" t="s">
        <v>3790</v>
      </c>
      <c r="J138" s="1" t="s">
        <v>3783</v>
      </c>
      <c r="K138" s="1" t="s">
        <v>3784</v>
      </c>
      <c r="L138" s="1" t="s">
        <v>51</v>
      </c>
    </row>
    <row r="139" spans="1:12" x14ac:dyDescent="0.25">
      <c r="A139" s="1" t="s">
        <v>3966</v>
      </c>
      <c r="B139" s="1" t="s">
        <v>3811</v>
      </c>
      <c r="C139" s="1" t="s">
        <v>3848</v>
      </c>
      <c r="D139" s="1" t="s">
        <v>3802</v>
      </c>
      <c r="E139">
        <v>480801</v>
      </c>
      <c r="F139">
        <v>468031.05</v>
      </c>
      <c r="G139">
        <v>12769.95</v>
      </c>
      <c r="H139" s="2">
        <v>45265</v>
      </c>
      <c r="I139" s="1" t="s">
        <v>3790</v>
      </c>
      <c r="J139" s="1" t="s">
        <v>3803</v>
      </c>
      <c r="K139" s="1" t="s">
        <v>3784</v>
      </c>
      <c r="L139" s="1" t="s">
        <v>51</v>
      </c>
    </row>
    <row r="140" spans="1:12" x14ac:dyDescent="0.25">
      <c r="A140" s="1" t="s">
        <v>3967</v>
      </c>
      <c r="B140" s="1" t="s">
        <v>3839</v>
      </c>
      <c r="C140" s="1" t="s">
        <v>3788</v>
      </c>
      <c r="D140" s="1" t="s">
        <v>3802</v>
      </c>
      <c r="E140">
        <v>428532</v>
      </c>
      <c r="F140">
        <v>371172.94</v>
      </c>
      <c r="G140">
        <v>57359.06</v>
      </c>
      <c r="H140" s="2">
        <v>45626</v>
      </c>
      <c r="I140" s="1" t="s">
        <v>3790</v>
      </c>
      <c r="J140" s="1" t="s">
        <v>3823</v>
      </c>
      <c r="K140" s="1" t="s">
        <v>3800</v>
      </c>
      <c r="L140" s="1" t="s">
        <v>3817</v>
      </c>
    </row>
    <row r="141" spans="1:12" x14ac:dyDescent="0.25">
      <c r="A141" s="1" t="s">
        <v>3968</v>
      </c>
      <c r="B141" s="1" t="s">
        <v>3798</v>
      </c>
      <c r="C141" s="1" t="s">
        <v>3821</v>
      </c>
      <c r="D141" s="1" t="s">
        <v>3802</v>
      </c>
      <c r="E141">
        <v>27222</v>
      </c>
      <c r="F141">
        <v>29959.3</v>
      </c>
      <c r="G141">
        <v>-2737.3</v>
      </c>
      <c r="H141" s="2">
        <v>45694</v>
      </c>
      <c r="I141" s="1" t="s">
        <v>3782</v>
      </c>
      <c r="J141" s="1" t="s">
        <v>3803</v>
      </c>
      <c r="K141" s="1" t="s">
        <v>3800</v>
      </c>
      <c r="L141" s="1" t="s">
        <v>51</v>
      </c>
    </row>
    <row r="142" spans="1:12" x14ac:dyDescent="0.25">
      <c r="A142" s="1" t="s">
        <v>3969</v>
      </c>
      <c r="B142" s="1" t="s">
        <v>51</v>
      </c>
      <c r="C142" s="1" t="s">
        <v>3858</v>
      </c>
      <c r="D142" s="1" t="s">
        <v>3834</v>
      </c>
      <c r="E142">
        <v>242230</v>
      </c>
      <c r="F142">
        <v>281806.86</v>
      </c>
      <c r="G142">
        <v>-39576.86</v>
      </c>
      <c r="H142" s="2">
        <v>45303</v>
      </c>
      <c r="I142" s="1" t="s">
        <v>3790</v>
      </c>
      <c r="J142" s="1" t="s">
        <v>3823</v>
      </c>
      <c r="K142" s="1" t="s">
        <v>3784</v>
      </c>
      <c r="L142" s="1" t="s">
        <v>51</v>
      </c>
    </row>
    <row r="143" spans="1:12" x14ac:dyDescent="0.25">
      <c r="A143" s="1" t="s">
        <v>3970</v>
      </c>
      <c r="B143" s="1" t="s">
        <v>3798</v>
      </c>
      <c r="C143" s="1" t="s">
        <v>3821</v>
      </c>
      <c r="D143" s="1" t="s">
        <v>3802</v>
      </c>
      <c r="E143">
        <v>392038</v>
      </c>
      <c r="F143">
        <v>455114.05</v>
      </c>
      <c r="G143">
        <v>-63076.05</v>
      </c>
      <c r="H143" s="2">
        <v>45282</v>
      </c>
      <c r="I143" s="1" t="s">
        <v>3782</v>
      </c>
      <c r="J143" s="1" t="s">
        <v>3823</v>
      </c>
      <c r="K143" s="1" t="s">
        <v>3784</v>
      </c>
      <c r="L143" s="1" t="s">
        <v>3785</v>
      </c>
    </row>
    <row r="144" spans="1:12" x14ac:dyDescent="0.25">
      <c r="A144" s="1" t="s">
        <v>3971</v>
      </c>
      <c r="B144" s="1" t="s">
        <v>3787</v>
      </c>
      <c r="C144" s="1" t="s">
        <v>3795</v>
      </c>
      <c r="D144" s="1" t="s">
        <v>3837</v>
      </c>
      <c r="E144">
        <v>410556</v>
      </c>
      <c r="F144">
        <v>369988.01</v>
      </c>
      <c r="G144">
        <v>40567.99</v>
      </c>
      <c r="H144" s="2">
        <v>45432</v>
      </c>
      <c r="I144" s="1" t="s">
        <v>3790</v>
      </c>
      <c r="J144" s="1" t="s">
        <v>3823</v>
      </c>
      <c r="K144" s="1" t="s">
        <v>3800</v>
      </c>
      <c r="L144" s="1" t="s">
        <v>51</v>
      </c>
    </row>
    <row r="145" spans="1:12" x14ac:dyDescent="0.25">
      <c r="A145" s="1" t="s">
        <v>3972</v>
      </c>
      <c r="B145" s="1" t="s">
        <v>3828</v>
      </c>
      <c r="C145" s="1" t="s">
        <v>3795</v>
      </c>
      <c r="D145" s="1" t="s">
        <v>3789</v>
      </c>
      <c r="E145">
        <v>316670</v>
      </c>
      <c r="F145">
        <v>330471.40999999997</v>
      </c>
      <c r="G145">
        <v>-13801.41</v>
      </c>
      <c r="H145" s="2">
        <v>45711</v>
      </c>
      <c r="I145" s="1" t="s">
        <v>3790</v>
      </c>
      <c r="J145" s="1" t="s">
        <v>3803</v>
      </c>
      <c r="K145" s="1" t="s">
        <v>3800</v>
      </c>
      <c r="L145" s="1" t="s">
        <v>3792</v>
      </c>
    </row>
    <row r="146" spans="1:12" x14ac:dyDescent="0.25">
      <c r="A146" s="1" t="s">
        <v>3973</v>
      </c>
      <c r="B146" s="1" t="s">
        <v>3839</v>
      </c>
      <c r="C146" s="1" t="s">
        <v>3861</v>
      </c>
      <c r="D146" s="1" t="s">
        <v>3822</v>
      </c>
      <c r="E146">
        <v>160486</v>
      </c>
      <c r="F146">
        <v>139737.38</v>
      </c>
      <c r="G146">
        <v>20748.62</v>
      </c>
      <c r="H146" s="2">
        <v>45327</v>
      </c>
      <c r="I146" s="1" t="s">
        <v>3782</v>
      </c>
      <c r="J146" s="1" t="s">
        <v>3783</v>
      </c>
      <c r="K146" s="1" t="s">
        <v>3784</v>
      </c>
      <c r="L146" s="1" t="s">
        <v>51</v>
      </c>
    </row>
    <row r="147" spans="1:12" x14ac:dyDescent="0.25">
      <c r="A147" s="1" t="s">
        <v>3974</v>
      </c>
      <c r="B147" s="1" t="s">
        <v>3828</v>
      </c>
      <c r="C147" s="1" t="s">
        <v>3795</v>
      </c>
      <c r="D147" s="1" t="s">
        <v>3895</v>
      </c>
      <c r="E147">
        <v>109864</v>
      </c>
      <c r="F147">
        <v>96347.03</v>
      </c>
      <c r="G147">
        <v>13516.97</v>
      </c>
      <c r="H147" s="2">
        <v>45560</v>
      </c>
      <c r="I147" s="1" t="s">
        <v>3790</v>
      </c>
      <c r="J147" s="1" t="s">
        <v>3791</v>
      </c>
      <c r="K147" s="1" t="s">
        <v>3800</v>
      </c>
      <c r="L147" s="1" t="s">
        <v>51</v>
      </c>
    </row>
    <row r="148" spans="1:12" x14ac:dyDescent="0.25">
      <c r="A148" s="1" t="s">
        <v>3975</v>
      </c>
      <c r="B148" s="1" t="s">
        <v>3828</v>
      </c>
      <c r="C148" s="1" t="s">
        <v>3821</v>
      </c>
      <c r="D148" s="1" t="s">
        <v>3781</v>
      </c>
      <c r="E148">
        <v>61031</v>
      </c>
      <c r="F148">
        <v>71993.47</v>
      </c>
      <c r="G148">
        <v>-10962.47</v>
      </c>
      <c r="H148" s="2">
        <v>45339</v>
      </c>
      <c r="I148" s="1" t="s">
        <v>3790</v>
      </c>
      <c r="J148" s="1" t="s">
        <v>3803</v>
      </c>
      <c r="K148" s="1" t="s">
        <v>3784</v>
      </c>
      <c r="L148" s="1" t="s">
        <v>3817</v>
      </c>
    </row>
    <row r="149" spans="1:12" x14ac:dyDescent="0.25">
      <c r="A149" s="1" t="s">
        <v>3976</v>
      </c>
      <c r="B149" s="1" t="s">
        <v>3794</v>
      </c>
      <c r="C149" s="1" t="s">
        <v>3844</v>
      </c>
      <c r="D149" s="1" t="s">
        <v>3799</v>
      </c>
      <c r="E149">
        <v>464497</v>
      </c>
      <c r="F149">
        <v>444903.98</v>
      </c>
      <c r="G149">
        <v>19593.02</v>
      </c>
      <c r="H149" s="2">
        <v>45107</v>
      </c>
      <c r="I149" s="1" t="s">
        <v>3790</v>
      </c>
      <c r="J149" s="1" t="s">
        <v>3783</v>
      </c>
      <c r="K149" s="1" t="s">
        <v>3784</v>
      </c>
      <c r="L149" s="1" t="s">
        <v>51</v>
      </c>
    </row>
    <row r="150" spans="1:12" x14ac:dyDescent="0.25">
      <c r="A150" s="1" t="s">
        <v>3977</v>
      </c>
      <c r="B150" s="1" t="s">
        <v>3808</v>
      </c>
      <c r="C150" s="1" t="s">
        <v>3806</v>
      </c>
      <c r="D150" s="1" t="s">
        <v>3855</v>
      </c>
      <c r="E150">
        <v>422084</v>
      </c>
      <c r="G150">
        <v>-106956.09</v>
      </c>
      <c r="H150" s="2">
        <v>45310</v>
      </c>
      <c r="I150" s="1" t="s">
        <v>3790</v>
      </c>
      <c r="J150" s="1" t="s">
        <v>3823</v>
      </c>
      <c r="K150" s="1" t="s">
        <v>3784</v>
      </c>
      <c r="L150" s="1" t="s">
        <v>51</v>
      </c>
    </row>
    <row r="151" spans="1:12" x14ac:dyDescent="0.25">
      <c r="A151" s="1" t="s">
        <v>3978</v>
      </c>
      <c r="B151" s="1" t="s">
        <v>3811</v>
      </c>
      <c r="C151" s="1" t="s">
        <v>3821</v>
      </c>
      <c r="D151" s="1" t="s">
        <v>3834</v>
      </c>
      <c r="E151">
        <v>477890</v>
      </c>
      <c r="F151">
        <v>544686.32999999996</v>
      </c>
      <c r="G151">
        <v>-66796.33</v>
      </c>
      <c r="H151" s="2">
        <v>45631</v>
      </c>
      <c r="I151" s="1" t="s">
        <v>3790</v>
      </c>
      <c r="J151" s="1" t="s">
        <v>3823</v>
      </c>
      <c r="K151" s="1" t="s">
        <v>3800</v>
      </c>
      <c r="L151" s="1" t="s">
        <v>3831</v>
      </c>
    </row>
    <row r="152" spans="1:12" x14ac:dyDescent="0.25">
      <c r="A152" s="1" t="s">
        <v>3979</v>
      </c>
      <c r="B152" s="1" t="s">
        <v>51</v>
      </c>
      <c r="C152" s="1" t="s">
        <v>3848</v>
      </c>
      <c r="D152" s="1" t="s">
        <v>3895</v>
      </c>
      <c r="E152">
        <v>337982</v>
      </c>
      <c r="F152">
        <v>423284.97</v>
      </c>
      <c r="G152">
        <v>-85302.97</v>
      </c>
      <c r="H152" s="2">
        <v>45734</v>
      </c>
      <c r="I152" s="1" t="s">
        <v>3790</v>
      </c>
      <c r="J152" s="1" t="s">
        <v>3823</v>
      </c>
      <c r="K152" s="1" t="s">
        <v>3800</v>
      </c>
      <c r="L152" s="1" t="s">
        <v>51</v>
      </c>
    </row>
    <row r="153" spans="1:12" x14ac:dyDescent="0.25">
      <c r="A153" s="1" t="s">
        <v>3980</v>
      </c>
      <c r="B153" s="1" t="s">
        <v>3828</v>
      </c>
      <c r="C153" s="1" t="s">
        <v>51</v>
      </c>
      <c r="D153" s="1" t="s">
        <v>3822</v>
      </c>
      <c r="E153">
        <v>454577</v>
      </c>
      <c r="F153">
        <v>580311.71</v>
      </c>
      <c r="G153">
        <v>-125734.71</v>
      </c>
      <c r="H153" s="2">
        <v>45018</v>
      </c>
      <c r="I153" s="1" t="s">
        <v>3790</v>
      </c>
      <c r="J153" s="1" t="s">
        <v>3823</v>
      </c>
      <c r="K153" s="1" t="s">
        <v>3784</v>
      </c>
      <c r="L153" s="1" t="s">
        <v>51</v>
      </c>
    </row>
    <row r="154" spans="1:12" x14ac:dyDescent="0.25">
      <c r="A154" s="1" t="s">
        <v>3981</v>
      </c>
      <c r="B154" s="1" t="s">
        <v>51</v>
      </c>
      <c r="C154" s="1" t="s">
        <v>3821</v>
      </c>
      <c r="D154" s="1" t="s">
        <v>3855</v>
      </c>
      <c r="E154">
        <v>226756</v>
      </c>
      <c r="F154">
        <v>211964.68</v>
      </c>
      <c r="G154">
        <v>14791.32</v>
      </c>
      <c r="H154" s="2">
        <v>45415</v>
      </c>
      <c r="I154" s="1" t="s">
        <v>3790</v>
      </c>
      <c r="J154" s="1" t="s">
        <v>3803</v>
      </c>
      <c r="K154" s="1" t="s">
        <v>3800</v>
      </c>
      <c r="L154" s="1" t="s">
        <v>51</v>
      </c>
    </row>
    <row r="155" spans="1:12" x14ac:dyDescent="0.25">
      <c r="A155" s="1" t="s">
        <v>3982</v>
      </c>
      <c r="B155" s="1" t="s">
        <v>3839</v>
      </c>
      <c r="C155" s="1" t="s">
        <v>3795</v>
      </c>
      <c r="D155" s="1" t="s">
        <v>3826</v>
      </c>
      <c r="E155">
        <v>244563</v>
      </c>
      <c r="F155">
        <v>224303.12</v>
      </c>
      <c r="G155">
        <v>20259.88</v>
      </c>
      <c r="H155" s="2">
        <v>45247</v>
      </c>
      <c r="I155" s="1" t="s">
        <v>3790</v>
      </c>
      <c r="J155" s="1" t="s">
        <v>3823</v>
      </c>
      <c r="K155" s="1" t="s">
        <v>3784</v>
      </c>
      <c r="L155" s="1" t="s">
        <v>3817</v>
      </c>
    </row>
    <row r="156" spans="1:12" x14ac:dyDescent="0.25">
      <c r="A156" s="1" t="s">
        <v>3983</v>
      </c>
      <c r="B156" s="1" t="s">
        <v>3787</v>
      </c>
      <c r="C156" s="1" t="s">
        <v>3825</v>
      </c>
      <c r="D156" s="1" t="s">
        <v>3822</v>
      </c>
      <c r="E156">
        <v>349024</v>
      </c>
      <c r="F156">
        <v>295827.33</v>
      </c>
      <c r="G156">
        <v>53196.67</v>
      </c>
      <c r="H156" s="2">
        <v>45414</v>
      </c>
      <c r="I156" s="1" t="s">
        <v>3790</v>
      </c>
      <c r="J156" s="1" t="s">
        <v>3823</v>
      </c>
      <c r="K156" s="1" t="s">
        <v>3800</v>
      </c>
      <c r="L156" s="1" t="s">
        <v>3817</v>
      </c>
    </row>
    <row r="157" spans="1:12" x14ac:dyDescent="0.25">
      <c r="A157" s="1" t="s">
        <v>3984</v>
      </c>
      <c r="B157" s="1" t="s">
        <v>3808</v>
      </c>
      <c r="C157" s="1" t="s">
        <v>3780</v>
      </c>
      <c r="D157" s="1" t="s">
        <v>3867</v>
      </c>
      <c r="E157">
        <v>39030</v>
      </c>
      <c r="F157">
        <v>46367.88</v>
      </c>
      <c r="G157">
        <v>-7337.88</v>
      </c>
      <c r="H157" s="2">
        <v>45350</v>
      </c>
      <c r="I157" s="1" t="s">
        <v>3790</v>
      </c>
      <c r="J157" s="1" t="s">
        <v>3803</v>
      </c>
      <c r="K157" s="1" t="s">
        <v>3784</v>
      </c>
      <c r="L157" s="1" t="s">
        <v>3831</v>
      </c>
    </row>
    <row r="158" spans="1:12" x14ac:dyDescent="0.25">
      <c r="A158" s="1" t="s">
        <v>3793</v>
      </c>
      <c r="B158" s="1" t="s">
        <v>3794</v>
      </c>
      <c r="C158" s="1" t="s">
        <v>3795</v>
      </c>
      <c r="D158" s="1" t="s">
        <v>3796</v>
      </c>
      <c r="E158">
        <v>499533</v>
      </c>
      <c r="F158">
        <v>550589.56000000006</v>
      </c>
      <c r="G158">
        <v>-51056.56</v>
      </c>
      <c r="H158" s="2">
        <v>45310</v>
      </c>
      <c r="I158" s="1" t="s">
        <v>3790</v>
      </c>
      <c r="J158" s="1" t="s">
        <v>3791</v>
      </c>
      <c r="K158" s="1" t="s">
        <v>3784</v>
      </c>
      <c r="L158" s="1" t="s">
        <v>3792</v>
      </c>
    </row>
    <row r="159" spans="1:12" x14ac:dyDescent="0.25">
      <c r="A159" s="1" t="s">
        <v>3985</v>
      </c>
      <c r="B159" s="1" t="s">
        <v>3808</v>
      </c>
      <c r="C159" s="1" t="s">
        <v>3806</v>
      </c>
      <c r="D159" s="1" t="s">
        <v>3789</v>
      </c>
      <c r="E159">
        <v>42427</v>
      </c>
      <c r="F159">
        <v>43196.66</v>
      </c>
      <c r="G159">
        <v>-769.66</v>
      </c>
      <c r="H159" s="2">
        <v>45135</v>
      </c>
      <c r="I159" s="1" t="s">
        <v>3859</v>
      </c>
      <c r="J159" s="1" t="s">
        <v>3803</v>
      </c>
      <c r="K159" s="1" t="s">
        <v>3784</v>
      </c>
      <c r="L159" s="1" t="s">
        <v>51</v>
      </c>
    </row>
    <row r="160" spans="1:12" x14ac:dyDescent="0.25">
      <c r="A160" s="1" t="s">
        <v>3986</v>
      </c>
      <c r="B160" s="1" t="s">
        <v>3798</v>
      </c>
      <c r="C160" s="1" t="s">
        <v>3844</v>
      </c>
      <c r="D160" s="1" t="s">
        <v>3781</v>
      </c>
      <c r="E160">
        <v>176689</v>
      </c>
      <c r="F160">
        <v>163052.01999999999</v>
      </c>
      <c r="G160">
        <v>13636.98</v>
      </c>
      <c r="H160" s="2">
        <v>45398</v>
      </c>
      <c r="I160" s="1" t="s">
        <v>3790</v>
      </c>
      <c r="J160" s="1" t="s">
        <v>3823</v>
      </c>
      <c r="K160" s="1" t="s">
        <v>3800</v>
      </c>
      <c r="L160" s="1" t="s">
        <v>3792</v>
      </c>
    </row>
    <row r="161" spans="1:12" x14ac:dyDescent="0.25">
      <c r="A161" s="1" t="s">
        <v>3987</v>
      </c>
      <c r="B161" s="1" t="s">
        <v>3828</v>
      </c>
      <c r="C161" s="1" t="s">
        <v>3848</v>
      </c>
      <c r="D161" s="1" t="s">
        <v>3789</v>
      </c>
      <c r="E161">
        <v>83678</v>
      </c>
      <c r="F161">
        <v>69242.31</v>
      </c>
      <c r="G161">
        <v>14435.69</v>
      </c>
      <c r="H161" s="2">
        <v>44939</v>
      </c>
      <c r="I161" s="1" t="s">
        <v>3790</v>
      </c>
      <c r="J161" s="1" t="s">
        <v>3803</v>
      </c>
      <c r="K161" s="1" t="s">
        <v>3804</v>
      </c>
      <c r="L161" s="1" t="s">
        <v>51</v>
      </c>
    </row>
    <row r="162" spans="1:12" x14ac:dyDescent="0.25">
      <c r="A162" s="1" t="s">
        <v>3988</v>
      </c>
      <c r="B162" s="1" t="s">
        <v>3808</v>
      </c>
      <c r="C162" s="1" t="s">
        <v>3844</v>
      </c>
      <c r="D162" s="1" t="s">
        <v>3796</v>
      </c>
      <c r="E162">
        <v>-457910</v>
      </c>
      <c r="F162">
        <v>396108.52</v>
      </c>
      <c r="G162">
        <v>61801.48</v>
      </c>
      <c r="H162" s="2">
        <v>45562</v>
      </c>
      <c r="I162" s="1" t="s">
        <v>3782</v>
      </c>
      <c r="J162" s="1" t="s">
        <v>3823</v>
      </c>
      <c r="K162" s="1" t="s">
        <v>3800</v>
      </c>
      <c r="L162" s="1" t="s">
        <v>51</v>
      </c>
    </row>
    <row r="163" spans="1:12" x14ac:dyDescent="0.25">
      <c r="A163" s="1" t="s">
        <v>3989</v>
      </c>
      <c r="B163" s="1" t="s">
        <v>3839</v>
      </c>
      <c r="C163" s="1" t="s">
        <v>3858</v>
      </c>
      <c r="D163" s="1" t="s">
        <v>3816</v>
      </c>
      <c r="E163">
        <v>153180</v>
      </c>
      <c r="F163">
        <v>192658</v>
      </c>
      <c r="G163">
        <v>-39478</v>
      </c>
      <c r="H163" s="2">
        <v>45084</v>
      </c>
      <c r="I163" s="1" t="s">
        <v>3859</v>
      </c>
      <c r="J163" s="1" t="s">
        <v>3783</v>
      </c>
      <c r="K163" s="1" t="s">
        <v>3784</v>
      </c>
      <c r="L163" s="1" t="s">
        <v>3809</v>
      </c>
    </row>
    <row r="164" spans="1:12" x14ac:dyDescent="0.25">
      <c r="A164" s="1" t="s">
        <v>3990</v>
      </c>
      <c r="B164" s="1" t="s">
        <v>3787</v>
      </c>
      <c r="C164" s="1" t="s">
        <v>3825</v>
      </c>
      <c r="D164" s="1" t="s">
        <v>3781</v>
      </c>
      <c r="E164">
        <v>488021</v>
      </c>
      <c r="F164">
        <v>444651.21</v>
      </c>
      <c r="G164">
        <v>43369.79</v>
      </c>
      <c r="H164" s="2">
        <v>45161</v>
      </c>
      <c r="I164" s="1" t="s">
        <v>3790</v>
      </c>
      <c r="J164" s="1" t="s">
        <v>3791</v>
      </c>
      <c r="K164" s="1" t="s">
        <v>3784</v>
      </c>
      <c r="L164" s="1" t="s">
        <v>3817</v>
      </c>
    </row>
    <row r="165" spans="1:12" x14ac:dyDescent="0.25">
      <c r="A165" s="1" t="s">
        <v>3991</v>
      </c>
      <c r="B165" s="1" t="s">
        <v>3787</v>
      </c>
      <c r="C165" s="1" t="s">
        <v>3780</v>
      </c>
      <c r="D165" s="1" t="s">
        <v>3837</v>
      </c>
      <c r="E165">
        <v>-200949</v>
      </c>
      <c r="F165">
        <v>190209.9</v>
      </c>
      <c r="G165">
        <v>10739.1</v>
      </c>
      <c r="H165" s="2">
        <v>45380</v>
      </c>
      <c r="I165" s="1" t="s">
        <v>3790</v>
      </c>
      <c r="J165" s="1" t="s">
        <v>3791</v>
      </c>
      <c r="K165" s="1" t="s">
        <v>3784</v>
      </c>
      <c r="L165" s="1" t="s">
        <v>3785</v>
      </c>
    </row>
    <row r="166" spans="1:12" x14ac:dyDescent="0.25">
      <c r="A166" s="1" t="s">
        <v>3992</v>
      </c>
      <c r="B166" s="1" t="s">
        <v>3839</v>
      </c>
      <c r="C166" s="1" t="s">
        <v>3825</v>
      </c>
      <c r="D166" s="1" t="s">
        <v>3826</v>
      </c>
      <c r="E166">
        <v>145470</v>
      </c>
      <c r="F166">
        <v>180539.45</v>
      </c>
      <c r="G166">
        <v>-35069.449999999997</v>
      </c>
      <c r="H166" s="2">
        <v>45569</v>
      </c>
      <c r="I166" s="1" t="s">
        <v>3859</v>
      </c>
      <c r="J166" s="1" t="s">
        <v>3791</v>
      </c>
      <c r="K166" s="1" t="s">
        <v>3800</v>
      </c>
      <c r="L166" s="1" t="s">
        <v>51</v>
      </c>
    </row>
    <row r="167" spans="1:12" x14ac:dyDescent="0.25">
      <c r="A167" s="1" t="s">
        <v>3993</v>
      </c>
      <c r="B167" s="1" t="s">
        <v>51</v>
      </c>
      <c r="C167" s="1" t="s">
        <v>3861</v>
      </c>
      <c r="D167" s="1" t="s">
        <v>3822</v>
      </c>
      <c r="E167">
        <v>240723</v>
      </c>
      <c r="F167">
        <v>257329.16</v>
      </c>
      <c r="G167">
        <v>-16606.16</v>
      </c>
      <c r="H167" s="2">
        <v>45573</v>
      </c>
      <c r="I167" s="1" t="s">
        <v>3790</v>
      </c>
      <c r="J167" s="1" t="s">
        <v>3803</v>
      </c>
      <c r="K167" s="1" t="s">
        <v>3800</v>
      </c>
      <c r="L167" s="1" t="s">
        <v>51</v>
      </c>
    </row>
    <row r="168" spans="1:12" x14ac:dyDescent="0.25">
      <c r="A168" s="1" t="s">
        <v>3994</v>
      </c>
      <c r="B168" s="1" t="s">
        <v>3794</v>
      </c>
      <c r="C168" s="1" t="s">
        <v>3861</v>
      </c>
      <c r="D168" s="1" t="s">
        <v>3826</v>
      </c>
      <c r="E168">
        <v>446250</v>
      </c>
      <c r="F168">
        <v>566865.56000000006</v>
      </c>
      <c r="G168">
        <v>-120615.56</v>
      </c>
      <c r="H168" s="2">
        <v>45668</v>
      </c>
      <c r="I168" s="1" t="s">
        <v>3859</v>
      </c>
      <c r="J168" s="1" t="s">
        <v>3791</v>
      </c>
      <c r="K168" s="1" t="s">
        <v>3800</v>
      </c>
      <c r="L168" s="1" t="s">
        <v>51</v>
      </c>
    </row>
    <row r="169" spans="1:12" x14ac:dyDescent="0.25">
      <c r="A169" s="1" t="s">
        <v>3995</v>
      </c>
      <c r="B169" s="1" t="s">
        <v>3794</v>
      </c>
      <c r="C169" s="1" t="s">
        <v>3780</v>
      </c>
      <c r="D169" s="1" t="s">
        <v>3867</v>
      </c>
      <c r="E169">
        <v>166850</v>
      </c>
      <c r="F169">
        <v>169233.68</v>
      </c>
      <c r="G169">
        <v>-2383.6799999999998</v>
      </c>
      <c r="H169" s="2">
        <v>45594</v>
      </c>
      <c r="I169" s="1" t="s">
        <v>3790</v>
      </c>
      <c r="J169" s="1" t="s">
        <v>3803</v>
      </c>
      <c r="K169" s="1" t="s">
        <v>3800</v>
      </c>
      <c r="L169" s="1" t="s">
        <v>3831</v>
      </c>
    </row>
    <row r="170" spans="1:12" x14ac:dyDescent="0.25">
      <c r="A170" s="1" t="s">
        <v>3996</v>
      </c>
      <c r="B170" s="1" t="s">
        <v>3794</v>
      </c>
      <c r="C170" s="1" t="s">
        <v>3812</v>
      </c>
      <c r="D170" s="1" t="s">
        <v>3796</v>
      </c>
      <c r="E170">
        <v>196494</v>
      </c>
      <c r="F170">
        <v>177665.33</v>
      </c>
      <c r="G170">
        <v>18828.669999999998</v>
      </c>
      <c r="H170" s="2">
        <v>45655</v>
      </c>
      <c r="I170" s="1" t="s">
        <v>3782</v>
      </c>
      <c r="J170" s="1" t="s">
        <v>3823</v>
      </c>
      <c r="K170" s="1" t="s">
        <v>3800</v>
      </c>
      <c r="L170" s="1" t="s">
        <v>3817</v>
      </c>
    </row>
    <row r="171" spans="1:12" x14ac:dyDescent="0.25">
      <c r="A171" s="1" t="s">
        <v>3997</v>
      </c>
      <c r="B171" s="1" t="s">
        <v>3839</v>
      </c>
      <c r="C171" s="1" t="s">
        <v>3821</v>
      </c>
      <c r="D171" s="1" t="s">
        <v>3837</v>
      </c>
      <c r="E171">
        <v>408520</v>
      </c>
      <c r="F171">
        <v>396403.55</v>
      </c>
      <c r="G171">
        <v>12116.45</v>
      </c>
      <c r="H171" s="2">
        <v>45083</v>
      </c>
      <c r="I171" s="1" t="s">
        <v>3782</v>
      </c>
      <c r="J171" s="1" t="s">
        <v>3803</v>
      </c>
      <c r="K171" s="1" t="s">
        <v>3784</v>
      </c>
      <c r="L171" s="1" t="s">
        <v>3831</v>
      </c>
    </row>
    <row r="172" spans="1:12" x14ac:dyDescent="0.25">
      <c r="A172" s="1" t="s">
        <v>3998</v>
      </c>
      <c r="B172" s="1" t="s">
        <v>3794</v>
      </c>
      <c r="C172" s="1" t="s">
        <v>3815</v>
      </c>
      <c r="D172" s="1" t="s">
        <v>3837</v>
      </c>
      <c r="E172">
        <v>421940</v>
      </c>
      <c r="F172">
        <v>481074.03</v>
      </c>
      <c r="G172">
        <v>-59134.03</v>
      </c>
      <c r="H172" s="2">
        <v>45255</v>
      </c>
      <c r="I172" s="1" t="s">
        <v>3790</v>
      </c>
      <c r="J172" s="1" t="s">
        <v>3783</v>
      </c>
      <c r="K172" s="1" t="s">
        <v>3784</v>
      </c>
      <c r="L172" s="1" t="s">
        <v>3792</v>
      </c>
    </row>
    <row r="173" spans="1:12" x14ac:dyDescent="0.25">
      <c r="A173" s="1" t="s">
        <v>3999</v>
      </c>
      <c r="B173" s="1" t="s">
        <v>3794</v>
      </c>
      <c r="C173" s="1" t="s">
        <v>3825</v>
      </c>
      <c r="D173" s="1" t="s">
        <v>3781</v>
      </c>
      <c r="E173">
        <v>216958</v>
      </c>
      <c r="F173">
        <v>200250.56</v>
      </c>
      <c r="G173">
        <v>16707.439999999999</v>
      </c>
      <c r="H173" s="2">
        <v>44929</v>
      </c>
      <c r="I173" s="1" t="s">
        <v>3859</v>
      </c>
      <c r="J173" s="1" t="s">
        <v>3791</v>
      </c>
      <c r="K173" s="1" t="s">
        <v>3804</v>
      </c>
      <c r="L173" s="1" t="s">
        <v>51</v>
      </c>
    </row>
    <row r="174" spans="1:12" x14ac:dyDescent="0.25">
      <c r="A174" s="1" t="s">
        <v>4000</v>
      </c>
      <c r="B174" s="1" t="s">
        <v>3839</v>
      </c>
      <c r="C174" s="1" t="s">
        <v>3806</v>
      </c>
      <c r="D174" s="1" t="s">
        <v>3799</v>
      </c>
      <c r="E174">
        <v>-415686</v>
      </c>
      <c r="G174">
        <v>-120435.6</v>
      </c>
      <c r="H174" s="2">
        <v>45065</v>
      </c>
      <c r="I174" s="1" t="s">
        <v>3790</v>
      </c>
      <c r="J174" s="1" t="s">
        <v>3823</v>
      </c>
      <c r="K174" s="1" t="s">
        <v>3784</v>
      </c>
      <c r="L174" s="1" t="s">
        <v>3817</v>
      </c>
    </row>
    <row r="175" spans="1:12" x14ac:dyDescent="0.25">
      <c r="A175" s="1" t="s">
        <v>4001</v>
      </c>
      <c r="B175" s="1" t="s">
        <v>3811</v>
      </c>
      <c r="C175" s="1" t="s">
        <v>3795</v>
      </c>
      <c r="D175" s="1" t="s">
        <v>3850</v>
      </c>
      <c r="E175">
        <v>184393</v>
      </c>
      <c r="F175">
        <v>177852.39</v>
      </c>
      <c r="G175">
        <v>6540.61</v>
      </c>
      <c r="H175" s="2">
        <v>45123</v>
      </c>
      <c r="I175" s="1" t="s">
        <v>3859</v>
      </c>
      <c r="J175" s="1" t="s">
        <v>3823</v>
      </c>
      <c r="K175" s="1" t="s">
        <v>3784</v>
      </c>
      <c r="L175" s="1" t="s">
        <v>3809</v>
      </c>
    </row>
    <row r="176" spans="1:12" x14ac:dyDescent="0.25">
      <c r="A176" s="1" t="s">
        <v>4002</v>
      </c>
      <c r="B176" s="1" t="s">
        <v>3828</v>
      </c>
      <c r="C176" s="1" t="s">
        <v>3858</v>
      </c>
      <c r="D176" s="1" t="s">
        <v>3834</v>
      </c>
      <c r="E176">
        <v>179590</v>
      </c>
      <c r="F176">
        <v>150858.98000000001</v>
      </c>
      <c r="G176">
        <v>28731.02</v>
      </c>
      <c r="H176" s="2">
        <v>45093</v>
      </c>
      <c r="I176" s="1" t="s">
        <v>3790</v>
      </c>
      <c r="J176" s="1" t="s">
        <v>3791</v>
      </c>
      <c r="K176" s="1" t="s">
        <v>3784</v>
      </c>
      <c r="L176" s="1" t="s">
        <v>3785</v>
      </c>
    </row>
    <row r="177" spans="1:12" x14ac:dyDescent="0.25">
      <c r="A177" s="1" t="s">
        <v>4003</v>
      </c>
      <c r="B177" s="1" t="s">
        <v>3794</v>
      </c>
      <c r="C177" s="1" t="s">
        <v>3795</v>
      </c>
      <c r="D177" s="1" t="s">
        <v>3846</v>
      </c>
      <c r="E177">
        <v>273756</v>
      </c>
      <c r="F177">
        <v>346697.43</v>
      </c>
      <c r="G177">
        <v>-72941.429999999993</v>
      </c>
      <c r="H177" s="2">
        <v>44982</v>
      </c>
      <c r="I177" s="1" t="s">
        <v>3790</v>
      </c>
      <c r="J177" s="1" t="s">
        <v>3791</v>
      </c>
      <c r="K177" s="1" t="s">
        <v>3804</v>
      </c>
      <c r="L177" s="1" t="s">
        <v>3817</v>
      </c>
    </row>
    <row r="178" spans="1:12" x14ac:dyDescent="0.25">
      <c r="A178" s="1" t="s">
        <v>4004</v>
      </c>
      <c r="B178" s="1" t="s">
        <v>3787</v>
      </c>
      <c r="C178" s="1" t="s">
        <v>3861</v>
      </c>
      <c r="D178" s="1" t="s">
        <v>3799</v>
      </c>
      <c r="E178">
        <v>198526</v>
      </c>
      <c r="G178">
        <v>-637.71</v>
      </c>
      <c r="H178" s="2">
        <v>45295</v>
      </c>
      <c r="I178" s="1" t="s">
        <v>3790</v>
      </c>
      <c r="J178" s="1" t="s">
        <v>3823</v>
      </c>
      <c r="K178" s="1" t="s">
        <v>3784</v>
      </c>
      <c r="L178" s="1" t="s">
        <v>3817</v>
      </c>
    </row>
    <row r="179" spans="1:12" x14ac:dyDescent="0.25">
      <c r="A179" s="1" t="s">
        <v>4005</v>
      </c>
      <c r="B179" s="1" t="s">
        <v>3808</v>
      </c>
      <c r="C179" s="1" t="s">
        <v>3848</v>
      </c>
      <c r="D179" s="1" t="s">
        <v>3855</v>
      </c>
      <c r="E179">
        <v>122121</v>
      </c>
      <c r="F179">
        <v>133734.62</v>
      </c>
      <c r="G179">
        <v>-11613.62</v>
      </c>
      <c r="H179" s="2">
        <v>45586</v>
      </c>
      <c r="I179" s="1" t="s">
        <v>3790</v>
      </c>
      <c r="J179" s="1" t="s">
        <v>3803</v>
      </c>
      <c r="K179" s="1" t="s">
        <v>3800</v>
      </c>
      <c r="L179" s="1" t="s">
        <v>3831</v>
      </c>
    </row>
    <row r="180" spans="1:12" x14ac:dyDescent="0.25">
      <c r="A180" s="1" t="s">
        <v>4006</v>
      </c>
      <c r="B180" s="1" t="s">
        <v>3828</v>
      </c>
      <c r="C180" s="1" t="s">
        <v>3861</v>
      </c>
      <c r="D180" s="1" t="s">
        <v>3822</v>
      </c>
      <c r="E180">
        <v>269682</v>
      </c>
      <c r="F180">
        <v>285890.94</v>
      </c>
      <c r="G180">
        <v>-16208.94</v>
      </c>
      <c r="H180" s="2">
        <v>45078</v>
      </c>
      <c r="I180" s="1" t="s">
        <v>3790</v>
      </c>
      <c r="J180" s="1" t="s">
        <v>3791</v>
      </c>
      <c r="K180" s="1" t="s">
        <v>3784</v>
      </c>
      <c r="L180" s="1" t="s">
        <v>51</v>
      </c>
    </row>
    <row r="181" spans="1:12" x14ac:dyDescent="0.25">
      <c r="A181" s="1" t="s">
        <v>4007</v>
      </c>
      <c r="B181" s="1" t="s">
        <v>3798</v>
      </c>
      <c r="C181" s="1" t="s">
        <v>3844</v>
      </c>
      <c r="D181" s="1" t="s">
        <v>3802</v>
      </c>
      <c r="E181">
        <v>231321</v>
      </c>
      <c r="F181">
        <v>266216.59000000003</v>
      </c>
      <c r="G181">
        <v>-34895.589999999997</v>
      </c>
      <c r="H181" s="2">
        <v>45034</v>
      </c>
      <c r="I181" s="1" t="s">
        <v>3790</v>
      </c>
      <c r="J181" s="1" t="s">
        <v>3783</v>
      </c>
      <c r="K181" s="1" t="s">
        <v>3784</v>
      </c>
      <c r="L181" s="1" t="s">
        <v>51</v>
      </c>
    </row>
    <row r="182" spans="1:12" x14ac:dyDescent="0.25">
      <c r="A182" s="1" t="s">
        <v>4008</v>
      </c>
      <c r="B182" s="1" t="s">
        <v>3808</v>
      </c>
      <c r="C182" s="1" t="s">
        <v>3815</v>
      </c>
      <c r="D182" s="1" t="s">
        <v>3781</v>
      </c>
      <c r="E182">
        <v>140762</v>
      </c>
      <c r="F182">
        <v>149735.54999999999</v>
      </c>
      <c r="G182">
        <v>-8973.5499999999993</v>
      </c>
      <c r="H182" s="2">
        <v>45638</v>
      </c>
      <c r="I182" s="1" t="s">
        <v>3782</v>
      </c>
      <c r="J182" s="1" t="s">
        <v>3783</v>
      </c>
      <c r="K182" s="1" t="s">
        <v>3800</v>
      </c>
      <c r="L182" s="1" t="s">
        <v>51</v>
      </c>
    </row>
    <row r="183" spans="1:12" x14ac:dyDescent="0.25">
      <c r="A183" s="1" t="s">
        <v>4009</v>
      </c>
      <c r="B183" s="1" t="s">
        <v>3794</v>
      </c>
      <c r="C183" s="1" t="s">
        <v>3812</v>
      </c>
      <c r="D183" s="1" t="s">
        <v>3781</v>
      </c>
      <c r="E183">
        <v>28743</v>
      </c>
      <c r="F183">
        <v>37250.660000000003</v>
      </c>
      <c r="G183">
        <v>-8507.66</v>
      </c>
      <c r="H183" s="2">
        <v>45164</v>
      </c>
      <c r="I183" s="1" t="s">
        <v>3859</v>
      </c>
      <c r="J183" s="1" t="s">
        <v>3823</v>
      </c>
      <c r="K183" s="1" t="s">
        <v>3784</v>
      </c>
      <c r="L183" s="1" t="s">
        <v>3785</v>
      </c>
    </row>
    <row r="184" spans="1:12" x14ac:dyDescent="0.25">
      <c r="A184" s="1" t="s">
        <v>4010</v>
      </c>
      <c r="B184" s="1" t="s">
        <v>3794</v>
      </c>
      <c r="C184" s="1" t="s">
        <v>3825</v>
      </c>
      <c r="D184" s="1" t="s">
        <v>3867</v>
      </c>
      <c r="E184">
        <v>100219</v>
      </c>
      <c r="F184">
        <v>105905.2</v>
      </c>
      <c r="G184">
        <v>-5686.2</v>
      </c>
      <c r="H184" s="2">
        <v>45072</v>
      </c>
      <c r="I184" s="1" t="s">
        <v>3790</v>
      </c>
      <c r="J184" s="1" t="s">
        <v>3803</v>
      </c>
      <c r="K184" s="1" t="s">
        <v>3784</v>
      </c>
      <c r="L184" s="1" t="s">
        <v>3785</v>
      </c>
    </row>
    <row r="185" spans="1:12" x14ac:dyDescent="0.25">
      <c r="A185" s="1" t="s">
        <v>4011</v>
      </c>
      <c r="B185" s="1" t="s">
        <v>3808</v>
      </c>
      <c r="C185" s="1" t="s">
        <v>3806</v>
      </c>
      <c r="D185" s="1" t="s">
        <v>3846</v>
      </c>
      <c r="E185">
        <v>84007</v>
      </c>
      <c r="F185">
        <v>85989.72</v>
      </c>
      <c r="G185">
        <v>-1982.72</v>
      </c>
      <c r="H185" s="2">
        <v>45060</v>
      </c>
      <c r="I185" s="1" t="s">
        <v>3790</v>
      </c>
      <c r="J185" s="1" t="s">
        <v>3783</v>
      </c>
      <c r="K185" s="1" t="s">
        <v>3784</v>
      </c>
      <c r="L185" s="1" t="s">
        <v>51</v>
      </c>
    </row>
    <row r="186" spans="1:12" x14ac:dyDescent="0.25">
      <c r="A186" s="1" t="s">
        <v>4012</v>
      </c>
      <c r="B186" s="1" t="s">
        <v>3787</v>
      </c>
      <c r="C186" s="1" t="s">
        <v>3821</v>
      </c>
      <c r="D186" s="1" t="s">
        <v>3846</v>
      </c>
      <c r="E186">
        <v>154564</v>
      </c>
      <c r="F186">
        <v>152945.44</v>
      </c>
      <c r="G186">
        <v>1618.56</v>
      </c>
      <c r="H186" s="2">
        <v>45295</v>
      </c>
      <c r="I186" s="1" t="s">
        <v>3859</v>
      </c>
      <c r="J186" s="1" t="s">
        <v>3791</v>
      </c>
      <c r="K186" s="1" t="s">
        <v>3784</v>
      </c>
      <c r="L186" s="1" t="s">
        <v>51</v>
      </c>
    </row>
    <row r="187" spans="1:12" x14ac:dyDescent="0.25">
      <c r="A187" s="1" t="s">
        <v>4013</v>
      </c>
      <c r="B187" s="1" t="s">
        <v>3839</v>
      </c>
      <c r="C187" s="1" t="s">
        <v>3861</v>
      </c>
      <c r="D187" s="1" t="s">
        <v>3796</v>
      </c>
      <c r="E187">
        <v>263639</v>
      </c>
      <c r="F187">
        <v>307345.42</v>
      </c>
      <c r="G187">
        <v>-43706.42</v>
      </c>
      <c r="H187" s="2">
        <v>45467</v>
      </c>
      <c r="I187" s="1" t="s">
        <v>3790</v>
      </c>
      <c r="J187" s="1" t="s">
        <v>3803</v>
      </c>
      <c r="K187" s="1" t="s">
        <v>3800</v>
      </c>
      <c r="L187" s="1" t="s">
        <v>51</v>
      </c>
    </row>
    <row r="188" spans="1:12" x14ac:dyDescent="0.25">
      <c r="A188" s="1" t="s">
        <v>4014</v>
      </c>
      <c r="B188" s="1" t="s">
        <v>3798</v>
      </c>
      <c r="C188" s="1" t="s">
        <v>3821</v>
      </c>
      <c r="D188" s="1" t="s">
        <v>3789</v>
      </c>
      <c r="E188">
        <v>179272</v>
      </c>
      <c r="F188">
        <v>163363.64000000001</v>
      </c>
      <c r="G188">
        <v>15908.36</v>
      </c>
      <c r="H188" s="2">
        <v>45685</v>
      </c>
      <c r="I188" s="1" t="s">
        <v>3790</v>
      </c>
      <c r="J188" s="1" t="s">
        <v>3783</v>
      </c>
      <c r="K188" s="1" t="s">
        <v>3800</v>
      </c>
      <c r="L188" s="1" t="s">
        <v>3785</v>
      </c>
    </row>
    <row r="189" spans="1:12" x14ac:dyDescent="0.25">
      <c r="A189" s="1" t="s">
        <v>4015</v>
      </c>
      <c r="B189" s="1" t="s">
        <v>3798</v>
      </c>
      <c r="C189" s="1" t="s">
        <v>3821</v>
      </c>
      <c r="D189" s="1" t="s">
        <v>3846</v>
      </c>
      <c r="E189">
        <v>163804</v>
      </c>
      <c r="F189">
        <v>169256.65</v>
      </c>
      <c r="G189">
        <v>-5452.65</v>
      </c>
      <c r="H189" s="2">
        <v>45340</v>
      </c>
      <c r="I189" s="1" t="s">
        <v>3782</v>
      </c>
      <c r="J189" s="1" t="s">
        <v>3803</v>
      </c>
      <c r="K189" s="1" t="s">
        <v>3784</v>
      </c>
      <c r="L189" s="1" t="s">
        <v>3809</v>
      </c>
    </row>
    <row r="190" spans="1:12" x14ac:dyDescent="0.25">
      <c r="A190" s="1" t="s">
        <v>4016</v>
      </c>
      <c r="B190" s="1" t="s">
        <v>3828</v>
      </c>
      <c r="C190" s="1" t="s">
        <v>3806</v>
      </c>
      <c r="D190" s="1" t="s">
        <v>3850</v>
      </c>
      <c r="E190">
        <v>464663</v>
      </c>
      <c r="F190">
        <v>446327.43</v>
      </c>
      <c r="G190">
        <v>18335.57</v>
      </c>
      <c r="H190" s="2">
        <v>45348</v>
      </c>
      <c r="I190" s="1" t="s">
        <v>3790</v>
      </c>
      <c r="J190" s="1" t="s">
        <v>3823</v>
      </c>
      <c r="K190" s="1" t="s">
        <v>3784</v>
      </c>
      <c r="L190" s="1" t="s">
        <v>51</v>
      </c>
    </row>
    <row r="191" spans="1:12" x14ac:dyDescent="0.25">
      <c r="A191" s="1" t="s">
        <v>4017</v>
      </c>
      <c r="B191" s="1" t="s">
        <v>3787</v>
      </c>
      <c r="C191" s="1" t="s">
        <v>3806</v>
      </c>
      <c r="D191" s="1" t="s">
        <v>3799</v>
      </c>
      <c r="E191">
        <v>108818</v>
      </c>
      <c r="F191">
        <v>96064.58</v>
      </c>
      <c r="G191">
        <v>12753.42</v>
      </c>
      <c r="H191" s="2">
        <v>45130</v>
      </c>
      <c r="I191" s="1" t="s">
        <v>3790</v>
      </c>
      <c r="J191" s="1" t="s">
        <v>3791</v>
      </c>
      <c r="K191" s="1" t="s">
        <v>3784</v>
      </c>
      <c r="L191" s="1" t="s">
        <v>51</v>
      </c>
    </row>
    <row r="192" spans="1:12" x14ac:dyDescent="0.25">
      <c r="A192" s="1" t="s">
        <v>4018</v>
      </c>
      <c r="B192" s="1" t="s">
        <v>3787</v>
      </c>
      <c r="C192" s="1" t="s">
        <v>3795</v>
      </c>
      <c r="D192" s="1" t="s">
        <v>3813</v>
      </c>
      <c r="E192">
        <v>209841</v>
      </c>
      <c r="F192">
        <v>267667.65000000002</v>
      </c>
      <c r="G192">
        <v>-57826.65</v>
      </c>
      <c r="H192" s="2">
        <v>45566</v>
      </c>
      <c r="I192" s="1" t="s">
        <v>3790</v>
      </c>
      <c r="J192" s="1" t="s">
        <v>3803</v>
      </c>
      <c r="K192" s="1" t="s">
        <v>3800</v>
      </c>
      <c r="L192" s="1" t="s">
        <v>3831</v>
      </c>
    </row>
    <row r="193" spans="1:12" x14ac:dyDescent="0.25">
      <c r="A193" s="1" t="s">
        <v>4019</v>
      </c>
      <c r="B193" s="1" t="s">
        <v>3828</v>
      </c>
      <c r="C193" s="1" t="s">
        <v>3858</v>
      </c>
      <c r="D193" s="1" t="s">
        <v>3813</v>
      </c>
      <c r="E193">
        <v>403040</v>
      </c>
      <c r="F193">
        <v>409228.69</v>
      </c>
      <c r="G193">
        <v>-6188.69</v>
      </c>
      <c r="H193" s="2">
        <v>45018</v>
      </c>
      <c r="I193" s="1" t="s">
        <v>3790</v>
      </c>
      <c r="J193" s="1" t="s">
        <v>3783</v>
      </c>
      <c r="K193" s="1" t="s">
        <v>3784</v>
      </c>
      <c r="L193" s="1" t="s">
        <v>51</v>
      </c>
    </row>
    <row r="194" spans="1:12" x14ac:dyDescent="0.25">
      <c r="A194" s="1" t="s">
        <v>4020</v>
      </c>
      <c r="B194" s="1" t="s">
        <v>3794</v>
      </c>
      <c r="C194" s="1" t="s">
        <v>3858</v>
      </c>
      <c r="D194" s="1" t="s">
        <v>3789</v>
      </c>
      <c r="E194">
        <v>391100</v>
      </c>
      <c r="F194">
        <v>435730.43</v>
      </c>
      <c r="G194">
        <v>-44630.43</v>
      </c>
      <c r="H194" s="2">
        <v>45659</v>
      </c>
      <c r="I194" s="1" t="s">
        <v>3782</v>
      </c>
      <c r="J194" s="1" t="s">
        <v>3823</v>
      </c>
      <c r="K194" s="1" t="s">
        <v>3800</v>
      </c>
      <c r="L194" s="1" t="s">
        <v>3809</v>
      </c>
    </row>
    <row r="195" spans="1:12" x14ac:dyDescent="0.25">
      <c r="A195" s="1" t="s">
        <v>4021</v>
      </c>
      <c r="B195" s="1" t="s">
        <v>3798</v>
      </c>
      <c r="C195" s="1" t="s">
        <v>3848</v>
      </c>
      <c r="D195" s="1" t="s">
        <v>3837</v>
      </c>
      <c r="E195">
        <v>218566</v>
      </c>
      <c r="F195">
        <v>184113.08</v>
      </c>
      <c r="G195">
        <v>34452.92</v>
      </c>
      <c r="H195" s="2">
        <v>45441</v>
      </c>
      <c r="I195" s="1" t="s">
        <v>3782</v>
      </c>
      <c r="J195" s="1" t="s">
        <v>3791</v>
      </c>
      <c r="K195" s="1" t="s">
        <v>3800</v>
      </c>
      <c r="L195" s="1" t="s">
        <v>3817</v>
      </c>
    </row>
    <row r="196" spans="1:12" x14ac:dyDescent="0.25">
      <c r="A196" s="1" t="s">
        <v>4022</v>
      </c>
      <c r="B196" s="1" t="s">
        <v>3787</v>
      </c>
      <c r="C196" s="1" t="s">
        <v>3861</v>
      </c>
      <c r="D196" s="1" t="s">
        <v>3781</v>
      </c>
      <c r="E196">
        <v>256504</v>
      </c>
      <c r="F196">
        <v>211732.84</v>
      </c>
      <c r="G196">
        <v>44771.16</v>
      </c>
      <c r="H196" s="2">
        <v>45398</v>
      </c>
      <c r="I196" s="1" t="s">
        <v>3790</v>
      </c>
      <c r="J196" s="1" t="s">
        <v>3803</v>
      </c>
      <c r="K196" s="1" t="s">
        <v>3800</v>
      </c>
      <c r="L196" s="1" t="s">
        <v>3831</v>
      </c>
    </row>
    <row r="197" spans="1:12" x14ac:dyDescent="0.25">
      <c r="A197" s="1" t="s">
        <v>4023</v>
      </c>
      <c r="B197" s="1" t="s">
        <v>3808</v>
      </c>
      <c r="C197" s="1" t="s">
        <v>3806</v>
      </c>
      <c r="D197" s="1" t="s">
        <v>3816</v>
      </c>
      <c r="E197">
        <v>62023</v>
      </c>
      <c r="F197">
        <v>63121.35</v>
      </c>
      <c r="G197">
        <v>-1098.3499999999999</v>
      </c>
      <c r="H197" s="2">
        <v>45616</v>
      </c>
      <c r="I197" s="1" t="s">
        <v>3782</v>
      </c>
      <c r="J197" s="1" t="s">
        <v>3823</v>
      </c>
      <c r="K197" s="1" t="s">
        <v>3800</v>
      </c>
      <c r="L197" s="1" t="s">
        <v>51</v>
      </c>
    </row>
    <row r="198" spans="1:12" x14ac:dyDescent="0.25">
      <c r="A198" s="1" t="s">
        <v>4024</v>
      </c>
      <c r="B198" s="1" t="s">
        <v>3794</v>
      </c>
      <c r="C198" s="1" t="s">
        <v>3795</v>
      </c>
      <c r="D198" s="1" t="s">
        <v>3834</v>
      </c>
      <c r="E198">
        <v>402315</v>
      </c>
      <c r="F198">
        <v>503453.96</v>
      </c>
      <c r="G198">
        <v>-101138.96</v>
      </c>
      <c r="H198" s="2">
        <v>45003</v>
      </c>
      <c r="I198" s="1" t="s">
        <v>3790</v>
      </c>
      <c r="J198" s="1" t="s">
        <v>3783</v>
      </c>
      <c r="K198" s="1" t="s">
        <v>3804</v>
      </c>
      <c r="L198" s="1" t="s">
        <v>51</v>
      </c>
    </row>
    <row r="199" spans="1:12" x14ac:dyDescent="0.25">
      <c r="A199" s="1" t="s">
        <v>4025</v>
      </c>
      <c r="B199" s="1" t="s">
        <v>3808</v>
      </c>
      <c r="C199" s="1" t="s">
        <v>3858</v>
      </c>
      <c r="D199" s="1" t="s">
        <v>3846</v>
      </c>
      <c r="E199">
        <v>190234</v>
      </c>
      <c r="F199">
        <v>195022.49</v>
      </c>
      <c r="G199">
        <v>-4788.49</v>
      </c>
      <c r="H199" s="2">
        <v>45323</v>
      </c>
      <c r="I199" s="1" t="s">
        <v>3790</v>
      </c>
      <c r="J199" s="1" t="s">
        <v>3783</v>
      </c>
      <c r="K199" s="1" t="s">
        <v>3784</v>
      </c>
      <c r="L199" s="1" t="s">
        <v>3831</v>
      </c>
    </row>
    <row r="200" spans="1:12" x14ac:dyDescent="0.25">
      <c r="A200" s="1" t="s">
        <v>4026</v>
      </c>
      <c r="B200" s="1" t="s">
        <v>3811</v>
      </c>
      <c r="C200" s="1" t="s">
        <v>3821</v>
      </c>
      <c r="D200" s="1" t="s">
        <v>3834</v>
      </c>
      <c r="E200">
        <v>430666</v>
      </c>
      <c r="F200">
        <v>491719.94</v>
      </c>
      <c r="G200">
        <v>-61053.94</v>
      </c>
      <c r="H200" s="2">
        <v>45125</v>
      </c>
      <c r="I200" s="1" t="s">
        <v>3790</v>
      </c>
      <c r="J200" s="1" t="s">
        <v>3791</v>
      </c>
      <c r="K200" s="1" t="s">
        <v>3784</v>
      </c>
      <c r="L200" s="1" t="s">
        <v>3792</v>
      </c>
    </row>
    <row r="201" spans="1:12" x14ac:dyDescent="0.25">
      <c r="A201" s="1" t="s">
        <v>4027</v>
      </c>
      <c r="B201" s="1" t="s">
        <v>3798</v>
      </c>
      <c r="C201" s="1" t="s">
        <v>3806</v>
      </c>
      <c r="D201" s="1" t="s">
        <v>3796</v>
      </c>
      <c r="E201">
        <v>426807</v>
      </c>
      <c r="F201">
        <v>517878.65</v>
      </c>
      <c r="G201">
        <v>-91071.65</v>
      </c>
      <c r="H201" s="2">
        <v>45082</v>
      </c>
      <c r="I201" s="1" t="s">
        <v>3790</v>
      </c>
      <c r="J201" s="1" t="s">
        <v>3823</v>
      </c>
      <c r="K201" s="1" t="s">
        <v>3784</v>
      </c>
      <c r="L201" s="1" t="s">
        <v>3792</v>
      </c>
    </row>
    <row r="202" spans="1:12" x14ac:dyDescent="0.25">
      <c r="A202" s="1" t="s">
        <v>4028</v>
      </c>
      <c r="B202" s="1" t="s">
        <v>3808</v>
      </c>
      <c r="C202" s="1" t="s">
        <v>3812</v>
      </c>
      <c r="D202" s="1" t="s">
        <v>3837</v>
      </c>
      <c r="E202">
        <v>81607</v>
      </c>
      <c r="F202">
        <v>88342.07</v>
      </c>
      <c r="G202">
        <v>-6735.07</v>
      </c>
      <c r="H202" s="2">
        <v>45152</v>
      </c>
      <c r="I202" s="1" t="s">
        <v>3790</v>
      </c>
      <c r="J202" s="1" t="s">
        <v>3791</v>
      </c>
      <c r="K202" s="1" t="s">
        <v>3784</v>
      </c>
      <c r="L202" s="1" t="s">
        <v>3792</v>
      </c>
    </row>
    <row r="203" spans="1:12" x14ac:dyDescent="0.25">
      <c r="A203" s="1" t="s">
        <v>4029</v>
      </c>
      <c r="B203" s="1" t="s">
        <v>3808</v>
      </c>
      <c r="C203" s="1" t="s">
        <v>3795</v>
      </c>
      <c r="D203" s="1" t="s">
        <v>3822</v>
      </c>
      <c r="E203">
        <v>-1506386</v>
      </c>
      <c r="F203">
        <v>1551861.49</v>
      </c>
      <c r="G203">
        <v>-45475.49</v>
      </c>
      <c r="H203" s="2">
        <v>45704</v>
      </c>
      <c r="I203" s="1" t="s">
        <v>3782</v>
      </c>
      <c r="J203" s="1" t="s">
        <v>3803</v>
      </c>
      <c r="K203" s="1" t="s">
        <v>3800</v>
      </c>
      <c r="L203" s="1" t="s">
        <v>3831</v>
      </c>
    </row>
    <row r="204" spans="1:12" x14ac:dyDescent="0.25">
      <c r="A204" s="1" t="s">
        <v>4030</v>
      </c>
      <c r="B204" s="1" t="s">
        <v>3839</v>
      </c>
      <c r="C204" s="1" t="s">
        <v>3844</v>
      </c>
      <c r="D204" s="1" t="s">
        <v>3837</v>
      </c>
      <c r="E204">
        <v>163855</v>
      </c>
      <c r="F204">
        <v>132397.54</v>
      </c>
      <c r="G204">
        <v>31457.46</v>
      </c>
      <c r="H204" s="2">
        <v>45487</v>
      </c>
      <c r="I204" s="1" t="s">
        <v>3790</v>
      </c>
      <c r="J204" s="1" t="s">
        <v>3803</v>
      </c>
      <c r="K204" s="1" t="s">
        <v>3800</v>
      </c>
      <c r="L204" s="1" t="s">
        <v>51</v>
      </c>
    </row>
    <row r="205" spans="1:12" x14ac:dyDescent="0.25">
      <c r="A205" s="1" t="s">
        <v>4031</v>
      </c>
      <c r="B205" s="1" t="s">
        <v>3839</v>
      </c>
      <c r="C205" s="1" t="s">
        <v>3780</v>
      </c>
      <c r="D205" s="1" t="s">
        <v>3816</v>
      </c>
      <c r="E205">
        <v>369117</v>
      </c>
      <c r="F205">
        <v>446534.05</v>
      </c>
      <c r="G205">
        <v>-77417.05</v>
      </c>
      <c r="H205" s="2">
        <v>45127</v>
      </c>
      <c r="I205" s="1" t="s">
        <v>3790</v>
      </c>
      <c r="J205" s="1" t="s">
        <v>3823</v>
      </c>
      <c r="K205" s="1" t="s">
        <v>3784</v>
      </c>
      <c r="L205" s="1" t="s">
        <v>3785</v>
      </c>
    </row>
    <row r="206" spans="1:12" x14ac:dyDescent="0.25">
      <c r="A206" s="1" t="s">
        <v>4032</v>
      </c>
      <c r="B206" s="1" t="s">
        <v>3798</v>
      </c>
      <c r="C206" s="1" t="s">
        <v>3825</v>
      </c>
      <c r="D206" s="1" t="s">
        <v>3826</v>
      </c>
      <c r="E206">
        <v>7963</v>
      </c>
      <c r="F206">
        <v>7018.02</v>
      </c>
      <c r="G206">
        <v>944.98</v>
      </c>
      <c r="H206" s="2">
        <v>44949</v>
      </c>
      <c r="I206" s="1" t="s">
        <v>3790</v>
      </c>
      <c r="J206" s="1" t="s">
        <v>3791</v>
      </c>
      <c r="K206" s="1" t="s">
        <v>3804</v>
      </c>
      <c r="L206" s="1" t="s">
        <v>3831</v>
      </c>
    </row>
    <row r="207" spans="1:12" x14ac:dyDescent="0.25">
      <c r="A207" s="1" t="s">
        <v>4033</v>
      </c>
      <c r="B207" s="1" t="s">
        <v>3808</v>
      </c>
      <c r="C207" s="1" t="s">
        <v>3812</v>
      </c>
      <c r="D207" s="1" t="s">
        <v>3855</v>
      </c>
      <c r="E207">
        <v>188886</v>
      </c>
      <c r="F207">
        <v>226410.36</v>
      </c>
      <c r="G207">
        <v>-37524.36</v>
      </c>
      <c r="H207" s="2">
        <v>45024</v>
      </c>
      <c r="I207" s="1" t="s">
        <v>3790</v>
      </c>
      <c r="J207" s="1" t="s">
        <v>3783</v>
      </c>
      <c r="K207" s="1" t="s">
        <v>3784</v>
      </c>
      <c r="L207" s="1" t="s">
        <v>3785</v>
      </c>
    </row>
    <row r="208" spans="1:12" x14ac:dyDescent="0.25">
      <c r="A208" s="1" t="s">
        <v>4034</v>
      </c>
      <c r="B208" s="1" t="s">
        <v>3794</v>
      </c>
      <c r="C208" s="1" t="s">
        <v>3812</v>
      </c>
      <c r="D208" s="1" t="s">
        <v>3799</v>
      </c>
      <c r="E208">
        <v>276595</v>
      </c>
      <c r="F208">
        <v>268972.81</v>
      </c>
      <c r="G208">
        <v>7622.19</v>
      </c>
      <c r="H208" s="2">
        <v>45497</v>
      </c>
      <c r="I208" s="1" t="s">
        <v>3790</v>
      </c>
      <c r="J208" s="1" t="s">
        <v>3783</v>
      </c>
      <c r="K208" s="1" t="s">
        <v>3800</v>
      </c>
      <c r="L208" s="1" t="s">
        <v>51</v>
      </c>
    </row>
    <row r="209" spans="1:12" x14ac:dyDescent="0.25">
      <c r="A209" s="1" t="s">
        <v>4035</v>
      </c>
      <c r="B209" s="1" t="s">
        <v>3794</v>
      </c>
      <c r="C209" s="1" t="s">
        <v>3795</v>
      </c>
      <c r="D209" s="1" t="s">
        <v>3834</v>
      </c>
      <c r="E209">
        <v>44240</v>
      </c>
      <c r="F209">
        <v>52340.94</v>
      </c>
      <c r="G209">
        <v>-8100.94</v>
      </c>
      <c r="H209" s="2">
        <v>45056</v>
      </c>
      <c r="I209" s="1" t="s">
        <v>3790</v>
      </c>
      <c r="J209" s="1" t="s">
        <v>3791</v>
      </c>
      <c r="K209" s="1" t="s">
        <v>3784</v>
      </c>
      <c r="L209" s="1" t="s">
        <v>3809</v>
      </c>
    </row>
    <row r="210" spans="1:12" x14ac:dyDescent="0.25">
      <c r="A210" s="1" t="s">
        <v>4036</v>
      </c>
      <c r="B210" s="1" t="s">
        <v>3828</v>
      </c>
      <c r="C210" s="1" t="s">
        <v>3780</v>
      </c>
      <c r="D210" s="1" t="s">
        <v>3855</v>
      </c>
      <c r="E210">
        <v>143366</v>
      </c>
      <c r="F210">
        <v>181407.49</v>
      </c>
      <c r="G210">
        <v>-38041.49</v>
      </c>
      <c r="H210" s="2">
        <v>45428</v>
      </c>
      <c r="I210" s="1" t="s">
        <v>3790</v>
      </c>
      <c r="J210" s="1" t="s">
        <v>3791</v>
      </c>
      <c r="K210" s="1" t="s">
        <v>3800</v>
      </c>
      <c r="L210" s="1" t="s">
        <v>3817</v>
      </c>
    </row>
    <row r="211" spans="1:12" x14ac:dyDescent="0.25">
      <c r="A211" s="1" t="s">
        <v>4037</v>
      </c>
      <c r="B211" s="1" t="s">
        <v>3828</v>
      </c>
      <c r="C211" s="1" t="s">
        <v>3812</v>
      </c>
      <c r="D211" s="1" t="s">
        <v>3846</v>
      </c>
      <c r="E211">
        <v>258034</v>
      </c>
      <c r="F211">
        <v>224063.19</v>
      </c>
      <c r="G211">
        <v>33970.81</v>
      </c>
      <c r="H211" s="2">
        <v>45242</v>
      </c>
      <c r="I211" s="1" t="s">
        <v>3790</v>
      </c>
      <c r="J211" s="1" t="s">
        <v>3823</v>
      </c>
      <c r="K211" s="1" t="s">
        <v>3784</v>
      </c>
      <c r="L211" s="1" t="s">
        <v>3809</v>
      </c>
    </row>
    <row r="212" spans="1:12" x14ac:dyDescent="0.25">
      <c r="A212" s="1" t="s">
        <v>4038</v>
      </c>
      <c r="B212" s="1" t="s">
        <v>3811</v>
      </c>
      <c r="C212" s="1" t="s">
        <v>3821</v>
      </c>
      <c r="D212" s="1" t="s">
        <v>3781</v>
      </c>
      <c r="E212">
        <v>281507</v>
      </c>
      <c r="F212">
        <v>318929.33</v>
      </c>
      <c r="G212">
        <v>-37422.33</v>
      </c>
      <c r="H212" s="2">
        <v>45588</v>
      </c>
      <c r="I212" s="1" t="s">
        <v>3790</v>
      </c>
      <c r="J212" s="1" t="s">
        <v>3791</v>
      </c>
      <c r="K212" s="1" t="s">
        <v>3800</v>
      </c>
      <c r="L212" s="1" t="s">
        <v>3809</v>
      </c>
    </row>
    <row r="213" spans="1:12" x14ac:dyDescent="0.25">
      <c r="A213" s="1" t="s">
        <v>4039</v>
      </c>
      <c r="B213" s="1" t="s">
        <v>3787</v>
      </c>
      <c r="C213" s="1" t="s">
        <v>3815</v>
      </c>
      <c r="D213" s="1" t="s">
        <v>3799</v>
      </c>
      <c r="E213">
        <v>-39522</v>
      </c>
      <c r="F213">
        <v>49554.94</v>
      </c>
      <c r="G213">
        <v>-10032.94</v>
      </c>
      <c r="H213" s="2">
        <v>45191</v>
      </c>
      <c r="I213" s="1" t="s">
        <v>3790</v>
      </c>
      <c r="J213" s="1" t="s">
        <v>3791</v>
      </c>
      <c r="K213" s="1" t="s">
        <v>3784</v>
      </c>
      <c r="L213" s="1" t="s">
        <v>3785</v>
      </c>
    </row>
    <row r="214" spans="1:12" x14ac:dyDescent="0.25">
      <c r="A214" s="1" t="s">
        <v>4040</v>
      </c>
      <c r="B214" s="1" t="s">
        <v>3787</v>
      </c>
      <c r="C214" s="1" t="s">
        <v>3821</v>
      </c>
      <c r="D214" s="1" t="s">
        <v>3781</v>
      </c>
      <c r="E214">
        <v>331249</v>
      </c>
      <c r="F214">
        <v>422562.5</v>
      </c>
      <c r="H214" s="2">
        <v>45496</v>
      </c>
      <c r="I214" s="1" t="s">
        <v>3790</v>
      </c>
      <c r="J214" s="1" t="s">
        <v>3791</v>
      </c>
      <c r="K214" s="1" t="s">
        <v>3800</v>
      </c>
      <c r="L214" s="1" t="s">
        <v>3831</v>
      </c>
    </row>
    <row r="215" spans="1:12" x14ac:dyDescent="0.25">
      <c r="A215" s="1" t="s">
        <v>4041</v>
      </c>
      <c r="B215" s="1" t="s">
        <v>3828</v>
      </c>
      <c r="C215" s="1" t="s">
        <v>3806</v>
      </c>
      <c r="D215" s="1" t="s">
        <v>3813</v>
      </c>
      <c r="E215">
        <v>393018</v>
      </c>
      <c r="F215">
        <v>315468.99</v>
      </c>
      <c r="G215">
        <v>77549.009999999995</v>
      </c>
      <c r="H215" s="2">
        <v>45652</v>
      </c>
      <c r="I215" s="1" t="s">
        <v>3859</v>
      </c>
      <c r="J215" s="1" t="s">
        <v>3791</v>
      </c>
      <c r="K215" s="1" t="s">
        <v>3800</v>
      </c>
      <c r="L215" s="1" t="s">
        <v>3792</v>
      </c>
    </row>
    <row r="216" spans="1:12" x14ac:dyDescent="0.25">
      <c r="A216" s="1" t="s">
        <v>4042</v>
      </c>
      <c r="B216" s="1" t="s">
        <v>3839</v>
      </c>
      <c r="C216" s="1" t="s">
        <v>3844</v>
      </c>
      <c r="D216" s="1" t="s">
        <v>3867</v>
      </c>
      <c r="E216">
        <v>340412</v>
      </c>
      <c r="F216">
        <v>417538.8</v>
      </c>
      <c r="G216">
        <v>-77126.8</v>
      </c>
      <c r="H216" s="2">
        <v>45212</v>
      </c>
      <c r="I216" s="1" t="s">
        <v>3790</v>
      </c>
      <c r="J216" s="1" t="s">
        <v>3783</v>
      </c>
      <c r="K216" s="1" t="s">
        <v>3784</v>
      </c>
      <c r="L216" s="1" t="s">
        <v>51</v>
      </c>
    </row>
    <row r="217" spans="1:12" x14ac:dyDescent="0.25">
      <c r="A217" s="1" t="s">
        <v>4043</v>
      </c>
      <c r="B217" s="1" t="s">
        <v>3811</v>
      </c>
      <c r="C217" s="1" t="s">
        <v>3780</v>
      </c>
      <c r="D217" s="1" t="s">
        <v>3802</v>
      </c>
      <c r="E217">
        <v>81882</v>
      </c>
      <c r="F217">
        <v>87003.26</v>
      </c>
      <c r="G217">
        <v>-5121.26</v>
      </c>
      <c r="H217" s="2">
        <v>45377</v>
      </c>
      <c r="I217" s="1" t="s">
        <v>3782</v>
      </c>
      <c r="J217" s="1" t="s">
        <v>3791</v>
      </c>
      <c r="K217" s="1" t="s">
        <v>3784</v>
      </c>
      <c r="L217" s="1" t="s">
        <v>3792</v>
      </c>
    </row>
    <row r="218" spans="1:12" x14ac:dyDescent="0.25">
      <c r="A218" s="1" t="s">
        <v>4044</v>
      </c>
      <c r="B218" s="1" t="s">
        <v>3828</v>
      </c>
      <c r="C218" s="1" t="s">
        <v>3825</v>
      </c>
      <c r="D218" s="1" t="s">
        <v>3822</v>
      </c>
      <c r="E218">
        <v>37534</v>
      </c>
      <c r="F218">
        <v>31854.25</v>
      </c>
      <c r="G218">
        <v>5679.75</v>
      </c>
      <c r="H218" s="2">
        <v>45565</v>
      </c>
      <c r="I218" s="1" t="s">
        <v>3790</v>
      </c>
      <c r="J218" s="1" t="s">
        <v>3791</v>
      </c>
      <c r="K218" s="1" t="s">
        <v>3800</v>
      </c>
      <c r="L218" s="1" t="s">
        <v>51</v>
      </c>
    </row>
    <row r="219" spans="1:12" x14ac:dyDescent="0.25">
      <c r="A219" s="1" t="s">
        <v>4045</v>
      </c>
      <c r="B219" s="1" t="s">
        <v>3839</v>
      </c>
      <c r="C219" s="1" t="s">
        <v>3825</v>
      </c>
      <c r="D219" s="1" t="s">
        <v>3796</v>
      </c>
      <c r="E219">
        <v>340834</v>
      </c>
      <c r="F219">
        <v>280310.48</v>
      </c>
      <c r="G219">
        <v>60523.519999999997</v>
      </c>
      <c r="H219" s="2">
        <v>45234</v>
      </c>
      <c r="I219" s="1" t="s">
        <v>3790</v>
      </c>
      <c r="J219" s="1" t="s">
        <v>3823</v>
      </c>
      <c r="K219" s="1" t="s">
        <v>3784</v>
      </c>
      <c r="L219" s="1" t="s">
        <v>3817</v>
      </c>
    </row>
    <row r="220" spans="1:12" x14ac:dyDescent="0.25">
      <c r="A220" s="1" t="s">
        <v>4046</v>
      </c>
      <c r="B220" s="1" t="s">
        <v>3787</v>
      </c>
      <c r="C220" s="1" t="s">
        <v>3858</v>
      </c>
      <c r="D220" s="1" t="s">
        <v>3802</v>
      </c>
      <c r="E220">
        <v>392114</v>
      </c>
      <c r="F220">
        <v>347030.43</v>
      </c>
      <c r="G220">
        <v>45083.57</v>
      </c>
      <c r="H220" s="2">
        <v>45111</v>
      </c>
      <c r="I220" s="1" t="s">
        <v>3790</v>
      </c>
      <c r="J220" s="1" t="s">
        <v>3791</v>
      </c>
      <c r="K220" s="1" t="s">
        <v>3784</v>
      </c>
      <c r="L220" s="1" t="s">
        <v>3785</v>
      </c>
    </row>
    <row r="221" spans="1:12" x14ac:dyDescent="0.25">
      <c r="A221" s="1" t="s">
        <v>4047</v>
      </c>
      <c r="B221" s="1" t="s">
        <v>3787</v>
      </c>
      <c r="C221" s="1" t="s">
        <v>3858</v>
      </c>
      <c r="D221" s="1" t="s">
        <v>3799</v>
      </c>
      <c r="E221">
        <v>386213</v>
      </c>
      <c r="F221">
        <v>442191.91</v>
      </c>
      <c r="G221">
        <v>-55978.91</v>
      </c>
      <c r="H221" s="2">
        <v>45660</v>
      </c>
      <c r="I221" s="1" t="s">
        <v>3790</v>
      </c>
      <c r="J221" s="1" t="s">
        <v>3783</v>
      </c>
      <c r="K221" s="1" t="s">
        <v>3800</v>
      </c>
      <c r="L221" s="1" t="s">
        <v>51</v>
      </c>
    </row>
    <row r="222" spans="1:12" x14ac:dyDescent="0.25">
      <c r="A222" s="1" t="s">
        <v>4048</v>
      </c>
      <c r="B222" s="1" t="s">
        <v>3828</v>
      </c>
      <c r="C222" s="1" t="s">
        <v>3795</v>
      </c>
      <c r="D222" s="1" t="s">
        <v>3834</v>
      </c>
      <c r="E222">
        <v>27258</v>
      </c>
      <c r="F222">
        <v>33695.97</v>
      </c>
      <c r="G222">
        <v>-6437.97</v>
      </c>
      <c r="H222" s="2">
        <v>45662</v>
      </c>
      <c r="I222" s="1" t="s">
        <v>3790</v>
      </c>
      <c r="J222" s="1" t="s">
        <v>3791</v>
      </c>
      <c r="K222" s="1" t="s">
        <v>3800</v>
      </c>
      <c r="L222" s="1" t="s">
        <v>3809</v>
      </c>
    </row>
    <row r="223" spans="1:12" x14ac:dyDescent="0.25">
      <c r="A223" s="1" t="s">
        <v>4049</v>
      </c>
      <c r="B223" s="1" t="s">
        <v>3808</v>
      </c>
      <c r="C223" s="1" t="s">
        <v>3806</v>
      </c>
      <c r="D223" s="1" t="s">
        <v>3834</v>
      </c>
      <c r="E223">
        <v>-248623</v>
      </c>
      <c r="G223">
        <v>16498.91</v>
      </c>
      <c r="H223" s="2">
        <v>45460</v>
      </c>
      <c r="I223" s="1" t="s">
        <v>3782</v>
      </c>
      <c r="J223" s="1" t="s">
        <v>3823</v>
      </c>
      <c r="K223" s="1" t="s">
        <v>3800</v>
      </c>
      <c r="L223" s="1" t="s">
        <v>51</v>
      </c>
    </row>
    <row r="224" spans="1:12" x14ac:dyDescent="0.25">
      <c r="A224" s="1" t="s">
        <v>4050</v>
      </c>
      <c r="B224" s="1" t="s">
        <v>3828</v>
      </c>
      <c r="C224" s="1" t="s">
        <v>3780</v>
      </c>
      <c r="D224" s="1" t="s">
        <v>3816</v>
      </c>
      <c r="E224">
        <v>234765</v>
      </c>
      <c r="F224">
        <v>294259</v>
      </c>
      <c r="G224">
        <v>-59494</v>
      </c>
      <c r="H224" s="2">
        <v>45208</v>
      </c>
      <c r="I224" s="1" t="s">
        <v>3790</v>
      </c>
      <c r="J224" s="1" t="s">
        <v>3791</v>
      </c>
      <c r="K224" s="1" t="s">
        <v>3784</v>
      </c>
      <c r="L224" s="1" t="s">
        <v>51</v>
      </c>
    </row>
    <row r="225" spans="1:12" x14ac:dyDescent="0.25">
      <c r="A225" s="1" t="s">
        <v>4051</v>
      </c>
      <c r="B225" s="1" t="s">
        <v>3811</v>
      </c>
      <c r="C225" s="1" t="s">
        <v>3815</v>
      </c>
      <c r="D225" s="1" t="s">
        <v>3813</v>
      </c>
      <c r="E225">
        <v>5961</v>
      </c>
      <c r="F225">
        <v>7373.15</v>
      </c>
      <c r="G225">
        <v>-1412.15</v>
      </c>
      <c r="H225" s="2">
        <v>45354</v>
      </c>
      <c r="I225" s="1" t="s">
        <v>3790</v>
      </c>
      <c r="J225" s="1" t="s">
        <v>3803</v>
      </c>
      <c r="K225" s="1" t="s">
        <v>3784</v>
      </c>
      <c r="L225" s="1" t="s">
        <v>3809</v>
      </c>
    </row>
    <row r="226" spans="1:12" x14ac:dyDescent="0.25">
      <c r="A226" s="1" t="s">
        <v>4052</v>
      </c>
      <c r="B226" s="1" t="s">
        <v>3787</v>
      </c>
      <c r="C226" s="1" t="s">
        <v>3848</v>
      </c>
      <c r="D226" s="1" t="s">
        <v>3846</v>
      </c>
      <c r="E226">
        <v>18083</v>
      </c>
      <c r="F226">
        <v>22154.68</v>
      </c>
      <c r="G226">
        <v>-4071.68</v>
      </c>
      <c r="H226" s="2">
        <v>44965</v>
      </c>
      <c r="I226" s="1" t="s">
        <v>3790</v>
      </c>
      <c r="J226" s="1" t="s">
        <v>3791</v>
      </c>
      <c r="K226" s="1" t="s">
        <v>3804</v>
      </c>
      <c r="L226" s="1" t="s">
        <v>3785</v>
      </c>
    </row>
    <row r="227" spans="1:12" x14ac:dyDescent="0.25">
      <c r="A227" s="1" t="s">
        <v>4053</v>
      </c>
      <c r="B227" s="1" t="s">
        <v>3808</v>
      </c>
      <c r="C227" s="1" t="s">
        <v>3848</v>
      </c>
      <c r="D227" s="1" t="s">
        <v>3822</v>
      </c>
      <c r="E227">
        <v>4846353</v>
      </c>
      <c r="F227">
        <v>6043271.75</v>
      </c>
      <c r="G227">
        <v>-1196918.75</v>
      </c>
      <c r="H227" s="2">
        <v>45105</v>
      </c>
      <c r="I227" s="1" t="s">
        <v>3782</v>
      </c>
      <c r="J227" s="1" t="s">
        <v>3783</v>
      </c>
      <c r="K227" s="1" t="s">
        <v>3784</v>
      </c>
      <c r="L227" s="1" t="s">
        <v>3785</v>
      </c>
    </row>
    <row r="228" spans="1:12" x14ac:dyDescent="0.25">
      <c r="A228" s="1" t="s">
        <v>4054</v>
      </c>
      <c r="B228" s="1" t="s">
        <v>3798</v>
      </c>
      <c r="C228" s="1" t="s">
        <v>3812</v>
      </c>
      <c r="D228" s="1" t="s">
        <v>3822</v>
      </c>
      <c r="E228">
        <v>223641</v>
      </c>
      <c r="F228">
        <v>216619.3</v>
      </c>
      <c r="G228">
        <v>7021.7</v>
      </c>
      <c r="H228" s="2">
        <v>45397</v>
      </c>
      <c r="I228" s="1" t="s">
        <v>3790</v>
      </c>
      <c r="J228" s="1" t="s">
        <v>3803</v>
      </c>
      <c r="K228" s="1" t="s">
        <v>3800</v>
      </c>
      <c r="L228" s="1" t="s">
        <v>51</v>
      </c>
    </row>
    <row r="229" spans="1:12" x14ac:dyDescent="0.25">
      <c r="A229" s="1" t="s">
        <v>4055</v>
      </c>
      <c r="B229" s="1" t="s">
        <v>3808</v>
      </c>
      <c r="C229" s="1" t="s">
        <v>3821</v>
      </c>
      <c r="D229" s="1" t="s">
        <v>3802</v>
      </c>
      <c r="E229">
        <v>2943906</v>
      </c>
      <c r="F229">
        <v>2847629.21</v>
      </c>
      <c r="H229" s="2">
        <v>45726</v>
      </c>
      <c r="I229" s="1" t="s">
        <v>3790</v>
      </c>
      <c r="J229" s="1" t="s">
        <v>3823</v>
      </c>
      <c r="K229" s="1" t="s">
        <v>3800</v>
      </c>
      <c r="L229" s="1" t="s">
        <v>51</v>
      </c>
    </row>
    <row r="230" spans="1:12" x14ac:dyDescent="0.25">
      <c r="A230" s="1" t="s">
        <v>4056</v>
      </c>
      <c r="B230" s="1" t="s">
        <v>3794</v>
      </c>
      <c r="C230" s="1" t="s">
        <v>3848</v>
      </c>
      <c r="D230" s="1" t="s">
        <v>3813</v>
      </c>
      <c r="E230">
        <v>31886</v>
      </c>
      <c r="F230">
        <v>37984.400000000001</v>
      </c>
      <c r="G230">
        <v>-6098.4</v>
      </c>
      <c r="H230" s="2">
        <v>45456</v>
      </c>
      <c r="I230" s="1" t="s">
        <v>3790</v>
      </c>
      <c r="J230" s="1" t="s">
        <v>3803</v>
      </c>
      <c r="K230" s="1" t="s">
        <v>3800</v>
      </c>
      <c r="L230" s="1" t="s">
        <v>3792</v>
      </c>
    </row>
    <row r="231" spans="1:12" x14ac:dyDescent="0.25">
      <c r="A231" s="1" t="s">
        <v>4057</v>
      </c>
      <c r="B231" s="1" t="s">
        <v>3798</v>
      </c>
      <c r="C231" s="1" t="s">
        <v>3825</v>
      </c>
      <c r="D231" s="1" t="s">
        <v>3802</v>
      </c>
      <c r="E231">
        <v>110565</v>
      </c>
      <c r="F231">
        <v>101797.79</v>
      </c>
      <c r="G231">
        <v>8767.2099999999991</v>
      </c>
      <c r="H231" s="2">
        <v>45192</v>
      </c>
      <c r="I231" s="1" t="s">
        <v>3782</v>
      </c>
      <c r="J231" s="1" t="s">
        <v>3803</v>
      </c>
      <c r="K231" s="1" t="s">
        <v>3784</v>
      </c>
      <c r="L231" s="1" t="s">
        <v>51</v>
      </c>
    </row>
    <row r="232" spans="1:12" x14ac:dyDescent="0.25">
      <c r="A232" s="1" t="s">
        <v>4058</v>
      </c>
      <c r="B232" s="1" t="s">
        <v>3808</v>
      </c>
      <c r="C232" s="1" t="s">
        <v>3858</v>
      </c>
      <c r="D232" s="1" t="s">
        <v>3822</v>
      </c>
      <c r="E232">
        <v>288172</v>
      </c>
      <c r="F232">
        <v>300418.28999999998</v>
      </c>
      <c r="G232">
        <v>-12246.29</v>
      </c>
      <c r="H232" s="2">
        <v>45451</v>
      </c>
      <c r="I232" s="1" t="s">
        <v>3859</v>
      </c>
      <c r="J232" s="1" t="s">
        <v>3783</v>
      </c>
      <c r="K232" s="1" t="s">
        <v>3800</v>
      </c>
      <c r="L232" s="1" t="s">
        <v>51</v>
      </c>
    </row>
    <row r="233" spans="1:12" x14ac:dyDescent="0.25">
      <c r="A233" s="1" t="s">
        <v>4059</v>
      </c>
      <c r="B233" s="1" t="s">
        <v>3798</v>
      </c>
      <c r="C233" s="1" t="s">
        <v>3780</v>
      </c>
      <c r="D233" s="1" t="s">
        <v>3781</v>
      </c>
      <c r="E233">
        <v>223300</v>
      </c>
      <c r="F233">
        <v>227664.62</v>
      </c>
      <c r="G233">
        <v>-4364.62</v>
      </c>
      <c r="H233" s="2">
        <v>45728</v>
      </c>
      <c r="I233" s="1" t="s">
        <v>3782</v>
      </c>
      <c r="J233" s="1" t="s">
        <v>3783</v>
      </c>
      <c r="K233" s="1" t="s">
        <v>3800</v>
      </c>
      <c r="L233" s="1" t="s">
        <v>3831</v>
      </c>
    </row>
    <row r="234" spans="1:12" x14ac:dyDescent="0.25">
      <c r="A234" s="1" t="s">
        <v>4060</v>
      </c>
      <c r="B234" s="1" t="s">
        <v>3794</v>
      </c>
      <c r="C234" s="1" t="s">
        <v>3821</v>
      </c>
      <c r="D234" s="1" t="s">
        <v>3834</v>
      </c>
      <c r="E234">
        <v>275337</v>
      </c>
      <c r="F234">
        <v>306563.01</v>
      </c>
      <c r="G234">
        <v>-31226.01</v>
      </c>
      <c r="H234" s="2">
        <v>45680</v>
      </c>
      <c r="I234" s="1" t="s">
        <v>3782</v>
      </c>
      <c r="J234" s="1" t="s">
        <v>3823</v>
      </c>
      <c r="K234" s="1" t="s">
        <v>3800</v>
      </c>
      <c r="L234" s="1" t="s">
        <v>51</v>
      </c>
    </row>
    <row r="235" spans="1:12" x14ac:dyDescent="0.25">
      <c r="A235" s="1" t="s">
        <v>4061</v>
      </c>
      <c r="B235" s="1" t="s">
        <v>3794</v>
      </c>
      <c r="C235" s="1" t="s">
        <v>3815</v>
      </c>
      <c r="D235" s="1" t="s">
        <v>3796</v>
      </c>
      <c r="E235">
        <v>142075</v>
      </c>
      <c r="F235">
        <v>149959.41</v>
      </c>
      <c r="G235">
        <v>-7884.41</v>
      </c>
      <c r="H235" s="2">
        <v>45165</v>
      </c>
      <c r="I235" s="1" t="s">
        <v>3790</v>
      </c>
      <c r="J235" s="1" t="s">
        <v>3803</v>
      </c>
      <c r="K235" s="1" t="s">
        <v>3784</v>
      </c>
      <c r="L235" s="1" t="s">
        <v>3785</v>
      </c>
    </row>
    <row r="236" spans="1:12" x14ac:dyDescent="0.25">
      <c r="A236" s="1" t="s">
        <v>4062</v>
      </c>
      <c r="B236" s="1" t="s">
        <v>3811</v>
      </c>
      <c r="C236" s="1" t="s">
        <v>3825</v>
      </c>
      <c r="D236" s="1" t="s">
        <v>3846</v>
      </c>
      <c r="E236">
        <v>7472</v>
      </c>
      <c r="F236">
        <v>6179.9</v>
      </c>
      <c r="G236">
        <v>1292.0999999999999</v>
      </c>
      <c r="H236" s="2">
        <v>44985</v>
      </c>
      <c r="I236" s="1" t="s">
        <v>3790</v>
      </c>
      <c r="J236" s="1" t="s">
        <v>3783</v>
      </c>
      <c r="K236" s="1" t="s">
        <v>3804</v>
      </c>
      <c r="L236" s="1" t="s">
        <v>51</v>
      </c>
    </row>
    <row r="237" spans="1:12" x14ac:dyDescent="0.25">
      <c r="A237" s="1" t="s">
        <v>4063</v>
      </c>
      <c r="B237" s="1" t="s">
        <v>3808</v>
      </c>
      <c r="C237" s="1" t="s">
        <v>3795</v>
      </c>
      <c r="D237" s="1" t="s">
        <v>3789</v>
      </c>
      <c r="E237">
        <v>289678</v>
      </c>
      <c r="F237">
        <v>371350.89</v>
      </c>
      <c r="G237">
        <v>-81672.89</v>
      </c>
      <c r="H237" s="2">
        <v>44948</v>
      </c>
      <c r="I237" s="1" t="s">
        <v>3790</v>
      </c>
      <c r="J237" s="1" t="s">
        <v>3823</v>
      </c>
      <c r="K237" s="1" t="s">
        <v>3804</v>
      </c>
      <c r="L237" s="1" t="s">
        <v>3809</v>
      </c>
    </row>
    <row r="238" spans="1:12" x14ac:dyDescent="0.25">
      <c r="A238" s="1" t="s">
        <v>4064</v>
      </c>
      <c r="B238" s="1" t="s">
        <v>3839</v>
      </c>
      <c r="C238" s="1" t="s">
        <v>3795</v>
      </c>
      <c r="D238" s="1" t="s">
        <v>3837</v>
      </c>
      <c r="E238">
        <v>54775</v>
      </c>
      <c r="F238">
        <v>66998.53</v>
      </c>
      <c r="G238">
        <v>-12223.53</v>
      </c>
      <c r="H238" s="2">
        <v>45048</v>
      </c>
      <c r="I238" s="1" t="s">
        <v>3790</v>
      </c>
      <c r="J238" s="1" t="s">
        <v>3783</v>
      </c>
      <c r="K238" s="1" t="s">
        <v>3784</v>
      </c>
      <c r="L238" s="1" t="s">
        <v>3817</v>
      </c>
    </row>
    <row r="239" spans="1:12" x14ac:dyDescent="0.25">
      <c r="A239" s="1" t="s">
        <v>4065</v>
      </c>
      <c r="B239" s="1" t="s">
        <v>3828</v>
      </c>
      <c r="C239" s="1" t="s">
        <v>3806</v>
      </c>
      <c r="D239" s="1" t="s">
        <v>3796</v>
      </c>
      <c r="E239">
        <v>76843</v>
      </c>
      <c r="F239">
        <v>97279.89</v>
      </c>
      <c r="G239">
        <v>-20436.89</v>
      </c>
      <c r="H239" s="2">
        <v>45063</v>
      </c>
      <c r="I239" s="1" t="s">
        <v>3790</v>
      </c>
      <c r="J239" s="1" t="s">
        <v>3783</v>
      </c>
      <c r="K239" s="1" t="s">
        <v>3784</v>
      </c>
      <c r="L239" s="1" t="s">
        <v>51</v>
      </c>
    </row>
    <row r="240" spans="1:12" x14ac:dyDescent="0.25">
      <c r="A240" s="1" t="s">
        <v>4066</v>
      </c>
      <c r="B240" s="1" t="s">
        <v>3811</v>
      </c>
      <c r="C240" s="1" t="s">
        <v>3788</v>
      </c>
      <c r="D240" s="1" t="s">
        <v>3781</v>
      </c>
      <c r="E240">
        <v>357334</v>
      </c>
      <c r="F240">
        <v>307538.07</v>
      </c>
      <c r="G240">
        <v>49795.93</v>
      </c>
      <c r="H240" s="2">
        <v>45291</v>
      </c>
      <c r="I240" s="1" t="s">
        <v>3859</v>
      </c>
      <c r="J240" s="1" t="s">
        <v>3783</v>
      </c>
      <c r="K240" s="1" t="s">
        <v>3784</v>
      </c>
      <c r="L240" s="1" t="s">
        <v>3792</v>
      </c>
    </row>
    <row r="241" spans="1:12" x14ac:dyDescent="0.25">
      <c r="A241" s="1" t="s">
        <v>4067</v>
      </c>
      <c r="B241" s="1" t="s">
        <v>3828</v>
      </c>
      <c r="C241" s="1" t="s">
        <v>3795</v>
      </c>
      <c r="D241" s="1" t="s">
        <v>3813</v>
      </c>
      <c r="E241">
        <v>187885</v>
      </c>
      <c r="F241">
        <v>161463.51999999999</v>
      </c>
      <c r="G241">
        <v>26421.48</v>
      </c>
      <c r="H241" s="2">
        <v>45107</v>
      </c>
      <c r="I241" s="1" t="s">
        <v>3782</v>
      </c>
      <c r="J241" s="1" t="s">
        <v>3791</v>
      </c>
      <c r="K241" s="1" t="s">
        <v>3784</v>
      </c>
      <c r="L241" s="1" t="s">
        <v>3817</v>
      </c>
    </row>
    <row r="242" spans="1:12" x14ac:dyDescent="0.25">
      <c r="A242" s="1" t="s">
        <v>4068</v>
      </c>
      <c r="B242" s="1" t="s">
        <v>3808</v>
      </c>
      <c r="C242" s="1" t="s">
        <v>3806</v>
      </c>
      <c r="D242" s="1" t="s">
        <v>3781</v>
      </c>
      <c r="E242">
        <v>382790</v>
      </c>
      <c r="F242">
        <v>448577.44</v>
      </c>
      <c r="G242">
        <v>-65787.44</v>
      </c>
      <c r="H242" s="2">
        <v>45303</v>
      </c>
      <c r="I242" s="1" t="s">
        <v>3790</v>
      </c>
      <c r="J242" s="1" t="s">
        <v>3803</v>
      </c>
      <c r="K242" s="1" t="s">
        <v>3784</v>
      </c>
      <c r="L242" s="1" t="s">
        <v>3817</v>
      </c>
    </row>
    <row r="243" spans="1:12" x14ac:dyDescent="0.25">
      <c r="A243" s="1" t="s">
        <v>4069</v>
      </c>
      <c r="B243" s="1" t="s">
        <v>3798</v>
      </c>
      <c r="C243" s="1" t="s">
        <v>3821</v>
      </c>
      <c r="D243" s="1" t="s">
        <v>3867</v>
      </c>
      <c r="E243">
        <v>76592</v>
      </c>
      <c r="G243">
        <v>-21705.62</v>
      </c>
      <c r="H243" s="2">
        <v>45315</v>
      </c>
      <c r="I243" s="1" t="s">
        <v>3790</v>
      </c>
      <c r="J243" s="1" t="s">
        <v>3823</v>
      </c>
      <c r="K243" s="1" t="s">
        <v>3784</v>
      </c>
      <c r="L243" s="1" t="s">
        <v>51</v>
      </c>
    </row>
    <row r="244" spans="1:12" x14ac:dyDescent="0.25">
      <c r="A244" s="1" t="s">
        <v>4070</v>
      </c>
      <c r="B244" s="1" t="s">
        <v>3811</v>
      </c>
      <c r="C244" s="1" t="s">
        <v>3780</v>
      </c>
      <c r="D244" s="1" t="s">
        <v>3850</v>
      </c>
      <c r="E244">
        <v>172736</v>
      </c>
      <c r="F244">
        <v>212951.33</v>
      </c>
      <c r="G244">
        <v>-40215.33</v>
      </c>
      <c r="H244" s="2">
        <v>45264</v>
      </c>
      <c r="I244" s="1" t="s">
        <v>3790</v>
      </c>
      <c r="J244" s="1" t="s">
        <v>3803</v>
      </c>
      <c r="K244" s="1" t="s">
        <v>3784</v>
      </c>
      <c r="L244" s="1" t="s">
        <v>51</v>
      </c>
    </row>
    <row r="245" spans="1:12" x14ac:dyDescent="0.25">
      <c r="A245" s="1" t="s">
        <v>4071</v>
      </c>
      <c r="B245" s="1" t="s">
        <v>3839</v>
      </c>
      <c r="C245" s="1" t="s">
        <v>3788</v>
      </c>
      <c r="D245" s="1" t="s">
        <v>3895</v>
      </c>
      <c r="E245">
        <v>66115</v>
      </c>
      <c r="F245">
        <v>70988.100000000006</v>
      </c>
      <c r="G245">
        <v>-4873.1000000000004</v>
      </c>
      <c r="H245" s="2">
        <v>45509</v>
      </c>
      <c r="I245" s="1" t="s">
        <v>3782</v>
      </c>
      <c r="J245" s="1" t="s">
        <v>3823</v>
      </c>
      <c r="K245" s="1" t="s">
        <v>3800</v>
      </c>
      <c r="L245" s="1" t="s">
        <v>3785</v>
      </c>
    </row>
    <row r="246" spans="1:12" x14ac:dyDescent="0.25">
      <c r="A246" s="1" t="s">
        <v>4072</v>
      </c>
      <c r="B246" s="1" t="s">
        <v>3811</v>
      </c>
      <c r="C246" s="1" t="s">
        <v>3815</v>
      </c>
      <c r="D246" s="1" t="s">
        <v>3799</v>
      </c>
      <c r="E246">
        <v>151632</v>
      </c>
      <c r="F246">
        <v>160166.51999999999</v>
      </c>
      <c r="G246">
        <v>-8534.52</v>
      </c>
      <c r="H246" s="2">
        <v>45315</v>
      </c>
      <c r="I246" s="1" t="s">
        <v>3790</v>
      </c>
      <c r="J246" s="1" t="s">
        <v>3791</v>
      </c>
      <c r="K246" s="1" t="s">
        <v>3784</v>
      </c>
      <c r="L246" s="1" t="s">
        <v>51</v>
      </c>
    </row>
    <row r="247" spans="1:12" x14ac:dyDescent="0.25">
      <c r="A247" s="1" t="s">
        <v>4073</v>
      </c>
      <c r="B247" s="1" t="s">
        <v>3808</v>
      </c>
      <c r="C247" s="1" t="s">
        <v>3780</v>
      </c>
      <c r="D247" s="1" t="s">
        <v>3846</v>
      </c>
      <c r="E247">
        <v>412198</v>
      </c>
      <c r="F247">
        <v>508251.82</v>
      </c>
      <c r="G247">
        <v>-96053.82</v>
      </c>
      <c r="H247" s="2">
        <v>44931</v>
      </c>
      <c r="I247" s="1" t="s">
        <v>3790</v>
      </c>
      <c r="J247" s="1" t="s">
        <v>3823</v>
      </c>
      <c r="K247" s="1" t="s">
        <v>3804</v>
      </c>
      <c r="L247" s="1" t="s">
        <v>51</v>
      </c>
    </row>
    <row r="248" spans="1:12" x14ac:dyDescent="0.25">
      <c r="A248" s="1" t="s">
        <v>4074</v>
      </c>
      <c r="B248" s="1" t="s">
        <v>3839</v>
      </c>
      <c r="C248" s="1" t="s">
        <v>3821</v>
      </c>
      <c r="D248" s="1" t="s">
        <v>3850</v>
      </c>
      <c r="E248">
        <v>52195</v>
      </c>
      <c r="F248">
        <v>57318.27</v>
      </c>
      <c r="G248">
        <v>-5123.2700000000004</v>
      </c>
      <c r="H248" s="2">
        <v>45675</v>
      </c>
      <c r="I248" s="1" t="s">
        <v>3790</v>
      </c>
      <c r="J248" s="1" t="s">
        <v>3791</v>
      </c>
      <c r="K248" s="1" t="s">
        <v>3800</v>
      </c>
      <c r="L248" s="1" t="s">
        <v>3785</v>
      </c>
    </row>
    <row r="249" spans="1:12" x14ac:dyDescent="0.25">
      <c r="A249" s="1" t="s">
        <v>4075</v>
      </c>
      <c r="B249" s="1" t="s">
        <v>3798</v>
      </c>
      <c r="C249" s="1" t="s">
        <v>3848</v>
      </c>
      <c r="D249" s="1" t="s">
        <v>3802</v>
      </c>
      <c r="E249">
        <v>48152</v>
      </c>
      <c r="F249">
        <v>48056.14</v>
      </c>
      <c r="G249">
        <v>95.86</v>
      </c>
      <c r="H249" s="2">
        <v>45674</v>
      </c>
      <c r="I249" s="1" t="s">
        <v>3782</v>
      </c>
      <c r="J249" s="1" t="s">
        <v>3783</v>
      </c>
      <c r="K249" s="1" t="s">
        <v>3800</v>
      </c>
      <c r="L249" s="1" t="s">
        <v>3785</v>
      </c>
    </row>
    <row r="250" spans="1:12" x14ac:dyDescent="0.25">
      <c r="A250" s="1" t="s">
        <v>4076</v>
      </c>
      <c r="B250" s="1" t="s">
        <v>3811</v>
      </c>
      <c r="C250" s="1" t="s">
        <v>3806</v>
      </c>
      <c r="D250" s="1" t="s">
        <v>3855</v>
      </c>
      <c r="E250">
        <v>16799</v>
      </c>
      <c r="F250">
        <v>19123.79</v>
      </c>
      <c r="G250">
        <v>-2324.79</v>
      </c>
      <c r="H250" s="2">
        <v>45702</v>
      </c>
      <c r="I250" s="1" t="s">
        <v>3790</v>
      </c>
      <c r="J250" s="1" t="s">
        <v>3783</v>
      </c>
      <c r="K250" s="1" t="s">
        <v>3800</v>
      </c>
      <c r="L250" s="1" t="s">
        <v>51</v>
      </c>
    </row>
    <row r="251" spans="1:12" x14ac:dyDescent="0.25">
      <c r="A251" s="1" t="s">
        <v>4074</v>
      </c>
      <c r="B251" s="1" t="s">
        <v>3839</v>
      </c>
      <c r="C251" s="1" t="s">
        <v>3821</v>
      </c>
      <c r="D251" s="1" t="s">
        <v>3850</v>
      </c>
      <c r="E251">
        <v>52195</v>
      </c>
      <c r="F251">
        <v>57318.27</v>
      </c>
      <c r="G251">
        <v>-5123.2700000000004</v>
      </c>
      <c r="H251" s="2">
        <v>45675</v>
      </c>
      <c r="I251" s="1" t="s">
        <v>3790</v>
      </c>
      <c r="J251" s="1" t="s">
        <v>3791</v>
      </c>
      <c r="K251" s="1" t="s">
        <v>3800</v>
      </c>
      <c r="L251" s="1" t="s">
        <v>3785</v>
      </c>
    </row>
    <row r="252" spans="1:12" x14ac:dyDescent="0.25">
      <c r="A252" s="1" t="s">
        <v>4077</v>
      </c>
      <c r="B252" s="1" t="s">
        <v>3828</v>
      </c>
      <c r="C252" s="1" t="s">
        <v>3806</v>
      </c>
      <c r="D252" s="1" t="s">
        <v>3802</v>
      </c>
      <c r="E252">
        <v>498331</v>
      </c>
      <c r="F252">
        <v>590530.18999999994</v>
      </c>
      <c r="G252">
        <v>-92199.19</v>
      </c>
      <c r="H252" s="2">
        <v>45361</v>
      </c>
      <c r="I252" s="1" t="s">
        <v>3782</v>
      </c>
      <c r="J252" s="1" t="s">
        <v>3783</v>
      </c>
      <c r="K252" s="1" t="s">
        <v>3784</v>
      </c>
      <c r="L252" s="1" t="s">
        <v>3831</v>
      </c>
    </row>
    <row r="253" spans="1:12" x14ac:dyDescent="0.25">
      <c r="A253" s="1" t="s">
        <v>4078</v>
      </c>
      <c r="B253" s="1" t="s">
        <v>3828</v>
      </c>
      <c r="C253" s="1" t="s">
        <v>3844</v>
      </c>
      <c r="D253" s="1" t="s">
        <v>3796</v>
      </c>
      <c r="E253">
        <v>331933</v>
      </c>
      <c r="F253">
        <v>269005.58</v>
      </c>
      <c r="G253">
        <v>62927.42</v>
      </c>
      <c r="H253" s="2">
        <v>45099</v>
      </c>
      <c r="I253" s="1" t="s">
        <v>3859</v>
      </c>
      <c r="J253" s="1" t="s">
        <v>3791</v>
      </c>
      <c r="K253" s="1" t="s">
        <v>3784</v>
      </c>
      <c r="L253" s="1" t="s">
        <v>3817</v>
      </c>
    </row>
    <row r="254" spans="1:12" x14ac:dyDescent="0.25">
      <c r="A254" s="1" t="s">
        <v>4079</v>
      </c>
      <c r="B254" s="1" t="s">
        <v>51</v>
      </c>
      <c r="C254" s="1" t="s">
        <v>3815</v>
      </c>
      <c r="D254" s="1" t="s">
        <v>3895</v>
      </c>
      <c r="E254">
        <v>334513</v>
      </c>
      <c r="F254">
        <v>429654.62</v>
      </c>
      <c r="G254">
        <v>-95141.62</v>
      </c>
      <c r="H254" s="2">
        <v>45016</v>
      </c>
      <c r="I254" s="1" t="s">
        <v>3790</v>
      </c>
      <c r="J254" s="1" t="s">
        <v>3783</v>
      </c>
      <c r="K254" s="1" t="s">
        <v>3804</v>
      </c>
      <c r="L254" s="1" t="s">
        <v>51</v>
      </c>
    </row>
    <row r="255" spans="1:12" x14ac:dyDescent="0.25">
      <c r="A255" s="1" t="s">
        <v>4080</v>
      </c>
      <c r="B255" s="1" t="s">
        <v>3808</v>
      </c>
      <c r="C255" s="1" t="s">
        <v>3788</v>
      </c>
      <c r="D255" s="1" t="s">
        <v>3802</v>
      </c>
      <c r="E255">
        <v>267847</v>
      </c>
      <c r="F255">
        <v>224402.4</v>
      </c>
      <c r="G255">
        <v>43444.6</v>
      </c>
      <c r="H255" s="2">
        <v>45710</v>
      </c>
      <c r="I255" s="1" t="s">
        <v>3782</v>
      </c>
      <c r="J255" s="1" t="s">
        <v>3823</v>
      </c>
      <c r="K255" s="1" t="s">
        <v>3800</v>
      </c>
      <c r="L255" s="1" t="s">
        <v>3792</v>
      </c>
    </row>
    <row r="256" spans="1:12" x14ac:dyDescent="0.25">
      <c r="A256" s="1" t="s">
        <v>4053</v>
      </c>
      <c r="B256" s="1" t="s">
        <v>3808</v>
      </c>
      <c r="C256" s="1" t="s">
        <v>3848</v>
      </c>
      <c r="D256" s="1" t="s">
        <v>3822</v>
      </c>
      <c r="E256">
        <v>4846353</v>
      </c>
      <c r="F256">
        <v>6043271.75</v>
      </c>
      <c r="G256">
        <v>-1196918.75</v>
      </c>
      <c r="H256" s="2">
        <v>45105</v>
      </c>
      <c r="I256" s="1" t="s">
        <v>3782</v>
      </c>
      <c r="J256" s="1" t="s">
        <v>3783</v>
      </c>
      <c r="K256" s="1" t="s">
        <v>3784</v>
      </c>
      <c r="L256" s="1" t="s">
        <v>3785</v>
      </c>
    </row>
    <row r="257" spans="1:12" x14ac:dyDescent="0.25">
      <c r="A257" s="1" t="s">
        <v>4081</v>
      </c>
      <c r="B257" s="1" t="s">
        <v>3828</v>
      </c>
      <c r="C257" s="1" t="s">
        <v>3848</v>
      </c>
      <c r="D257" s="1" t="s">
        <v>3846</v>
      </c>
      <c r="E257">
        <v>60387</v>
      </c>
      <c r="F257">
        <v>77599.47</v>
      </c>
      <c r="G257">
        <v>-17212.47</v>
      </c>
      <c r="H257" s="2">
        <v>44986</v>
      </c>
      <c r="I257" s="1" t="s">
        <v>3790</v>
      </c>
      <c r="J257" s="1" t="s">
        <v>3783</v>
      </c>
      <c r="K257" s="1" t="s">
        <v>3804</v>
      </c>
      <c r="L257" s="1" t="s">
        <v>3809</v>
      </c>
    </row>
    <row r="258" spans="1:12" x14ac:dyDescent="0.25">
      <c r="A258" s="1" t="s">
        <v>4082</v>
      </c>
      <c r="B258" s="1" t="s">
        <v>3808</v>
      </c>
      <c r="C258" s="1" t="s">
        <v>51</v>
      </c>
      <c r="D258" s="1" t="s">
        <v>3789</v>
      </c>
      <c r="E258">
        <v>175225</v>
      </c>
      <c r="F258">
        <v>180530</v>
      </c>
      <c r="G258">
        <v>-5305</v>
      </c>
      <c r="H258" s="2">
        <v>45509</v>
      </c>
      <c r="I258" s="1" t="s">
        <v>3790</v>
      </c>
      <c r="J258" s="1" t="s">
        <v>3783</v>
      </c>
      <c r="K258" s="1" t="s">
        <v>3800</v>
      </c>
      <c r="L258" s="1" t="s">
        <v>3831</v>
      </c>
    </row>
    <row r="259" spans="1:12" x14ac:dyDescent="0.25">
      <c r="A259" s="1" t="s">
        <v>4083</v>
      </c>
      <c r="B259" s="1" t="s">
        <v>3794</v>
      </c>
      <c r="C259" s="1" t="s">
        <v>3848</v>
      </c>
      <c r="D259" s="1" t="s">
        <v>3816</v>
      </c>
      <c r="E259">
        <v>341861</v>
      </c>
      <c r="F259">
        <v>313537.26</v>
      </c>
      <c r="G259">
        <v>28323.74</v>
      </c>
      <c r="H259" s="2">
        <v>45236</v>
      </c>
      <c r="I259" s="1" t="s">
        <v>3782</v>
      </c>
      <c r="J259" s="1" t="s">
        <v>3803</v>
      </c>
      <c r="K259" s="1" t="s">
        <v>3784</v>
      </c>
      <c r="L259" s="1" t="s">
        <v>3792</v>
      </c>
    </row>
    <row r="260" spans="1:12" x14ac:dyDescent="0.25">
      <c r="A260" s="1" t="s">
        <v>4014</v>
      </c>
      <c r="B260" s="1" t="s">
        <v>3798</v>
      </c>
      <c r="C260" s="1" t="s">
        <v>3821</v>
      </c>
      <c r="D260" s="1" t="s">
        <v>3789</v>
      </c>
      <c r="E260">
        <v>179272</v>
      </c>
      <c r="F260">
        <v>163363.64000000001</v>
      </c>
      <c r="G260">
        <v>15908.36</v>
      </c>
      <c r="H260" s="2">
        <v>45685</v>
      </c>
      <c r="I260" s="1" t="s">
        <v>3790</v>
      </c>
      <c r="J260" s="1" t="s">
        <v>3783</v>
      </c>
      <c r="K260" s="1" t="s">
        <v>3800</v>
      </c>
      <c r="L260" s="1" t="s">
        <v>3785</v>
      </c>
    </row>
    <row r="261" spans="1:12" x14ac:dyDescent="0.25">
      <c r="A261" s="1" t="s">
        <v>4084</v>
      </c>
      <c r="B261" s="1" t="s">
        <v>3839</v>
      </c>
      <c r="C261" s="1" t="s">
        <v>3788</v>
      </c>
      <c r="D261" s="1" t="s">
        <v>3799</v>
      </c>
      <c r="E261">
        <v>39407</v>
      </c>
      <c r="F261">
        <v>45445.79</v>
      </c>
      <c r="H261" s="2">
        <v>45016</v>
      </c>
      <c r="I261" s="1" t="s">
        <v>3782</v>
      </c>
      <c r="J261" s="1" t="s">
        <v>3823</v>
      </c>
      <c r="K261" s="1" t="s">
        <v>3804</v>
      </c>
      <c r="L261" s="1" t="s">
        <v>51</v>
      </c>
    </row>
    <row r="262" spans="1:12" x14ac:dyDescent="0.25">
      <c r="A262" s="1" t="s">
        <v>4085</v>
      </c>
      <c r="B262" s="1" t="s">
        <v>3787</v>
      </c>
      <c r="C262" s="1" t="s">
        <v>3821</v>
      </c>
      <c r="D262" s="1" t="s">
        <v>3837</v>
      </c>
      <c r="E262">
        <v>89432</v>
      </c>
      <c r="F262">
        <v>106809.32</v>
      </c>
      <c r="G262">
        <v>-17377.32</v>
      </c>
      <c r="H262" s="2">
        <v>45098</v>
      </c>
      <c r="I262" s="1" t="s">
        <v>3790</v>
      </c>
      <c r="J262" s="1" t="s">
        <v>3823</v>
      </c>
      <c r="K262" s="1" t="s">
        <v>3784</v>
      </c>
      <c r="L262" s="1" t="s">
        <v>51</v>
      </c>
    </row>
    <row r="263" spans="1:12" x14ac:dyDescent="0.25">
      <c r="A263" s="1" t="s">
        <v>4086</v>
      </c>
      <c r="B263" s="1" t="s">
        <v>3798</v>
      </c>
      <c r="C263" s="1" t="s">
        <v>51</v>
      </c>
      <c r="D263" s="1" t="s">
        <v>3826</v>
      </c>
      <c r="E263">
        <v>263512</v>
      </c>
      <c r="F263">
        <v>324627.93</v>
      </c>
      <c r="G263">
        <v>-61115.93</v>
      </c>
      <c r="H263" s="2">
        <v>45300</v>
      </c>
      <c r="I263" s="1" t="s">
        <v>3859</v>
      </c>
      <c r="J263" s="1" t="s">
        <v>3803</v>
      </c>
      <c r="K263" s="1" t="s">
        <v>3784</v>
      </c>
      <c r="L263" s="1" t="s">
        <v>51</v>
      </c>
    </row>
    <row r="264" spans="1:12" x14ac:dyDescent="0.25">
      <c r="A264" s="1" t="s">
        <v>4087</v>
      </c>
      <c r="B264" s="1" t="s">
        <v>3794</v>
      </c>
      <c r="C264" s="1" t="s">
        <v>3815</v>
      </c>
      <c r="D264" s="1" t="s">
        <v>3834</v>
      </c>
      <c r="E264">
        <v>199679</v>
      </c>
      <c r="F264">
        <v>200742.29</v>
      </c>
      <c r="G264">
        <v>-1063.29</v>
      </c>
      <c r="H264" s="2">
        <v>45675</v>
      </c>
      <c r="I264" s="1" t="s">
        <v>3790</v>
      </c>
      <c r="J264" s="1" t="s">
        <v>3823</v>
      </c>
      <c r="K264" s="1" t="s">
        <v>3800</v>
      </c>
      <c r="L264" s="1" t="s">
        <v>51</v>
      </c>
    </row>
    <row r="265" spans="1:12" x14ac:dyDescent="0.25">
      <c r="A265" s="1" t="s">
        <v>4088</v>
      </c>
      <c r="B265" s="1" t="s">
        <v>3794</v>
      </c>
      <c r="C265" s="1" t="s">
        <v>3812</v>
      </c>
      <c r="D265" s="1" t="s">
        <v>3789</v>
      </c>
      <c r="E265">
        <v>375444</v>
      </c>
      <c r="G265">
        <v>42263.75</v>
      </c>
      <c r="H265" s="2">
        <v>45458</v>
      </c>
      <c r="I265" s="1" t="s">
        <v>3859</v>
      </c>
      <c r="J265" s="1" t="s">
        <v>3823</v>
      </c>
      <c r="K265" s="1" t="s">
        <v>3800</v>
      </c>
      <c r="L265" s="1" t="s">
        <v>51</v>
      </c>
    </row>
    <row r="266" spans="1:12" x14ac:dyDescent="0.25">
      <c r="A266" s="1" t="s">
        <v>4089</v>
      </c>
      <c r="B266" s="1" t="s">
        <v>3787</v>
      </c>
      <c r="C266" s="1" t="s">
        <v>3844</v>
      </c>
      <c r="D266" s="1" t="s">
        <v>3867</v>
      </c>
      <c r="E266">
        <v>225874</v>
      </c>
      <c r="F266">
        <v>240659.78</v>
      </c>
      <c r="G266">
        <v>-14785.78</v>
      </c>
      <c r="H266" s="2">
        <v>44946</v>
      </c>
      <c r="I266" s="1" t="s">
        <v>3790</v>
      </c>
      <c r="J266" s="1" t="s">
        <v>3791</v>
      </c>
      <c r="K266" s="1" t="s">
        <v>3804</v>
      </c>
      <c r="L266" s="1" t="s">
        <v>3785</v>
      </c>
    </row>
    <row r="267" spans="1:12" x14ac:dyDescent="0.25">
      <c r="A267" s="1" t="s">
        <v>4090</v>
      </c>
      <c r="B267" s="1" t="s">
        <v>3787</v>
      </c>
      <c r="C267" s="1" t="s">
        <v>3806</v>
      </c>
      <c r="D267" s="1" t="s">
        <v>3837</v>
      </c>
      <c r="E267">
        <v>415441</v>
      </c>
      <c r="F267">
        <v>402243.02</v>
      </c>
      <c r="G267">
        <v>13197.98</v>
      </c>
      <c r="H267" s="2">
        <v>44966</v>
      </c>
      <c r="I267" s="1" t="s">
        <v>3790</v>
      </c>
      <c r="J267" s="1" t="s">
        <v>3823</v>
      </c>
      <c r="K267" s="1" t="s">
        <v>3804</v>
      </c>
      <c r="L267" s="1" t="s">
        <v>3817</v>
      </c>
    </row>
    <row r="268" spans="1:12" x14ac:dyDescent="0.25">
      <c r="A268" s="1" t="s">
        <v>4091</v>
      </c>
      <c r="B268" s="1" t="s">
        <v>3808</v>
      </c>
      <c r="C268" s="1" t="s">
        <v>3844</v>
      </c>
      <c r="D268" s="1" t="s">
        <v>3850</v>
      </c>
      <c r="E268">
        <v>169992</v>
      </c>
      <c r="F268">
        <v>217401.98</v>
      </c>
      <c r="G268">
        <v>-47409.98</v>
      </c>
      <c r="H268" s="2">
        <v>45653</v>
      </c>
      <c r="I268" s="1" t="s">
        <v>3790</v>
      </c>
      <c r="J268" s="1" t="s">
        <v>3791</v>
      </c>
      <c r="K268" s="1" t="s">
        <v>3800</v>
      </c>
      <c r="L268" s="1" t="s">
        <v>3817</v>
      </c>
    </row>
    <row r="269" spans="1:12" x14ac:dyDescent="0.25">
      <c r="A269" s="1" t="s">
        <v>4092</v>
      </c>
      <c r="B269" s="1" t="s">
        <v>3828</v>
      </c>
      <c r="C269" s="1" t="s">
        <v>3844</v>
      </c>
      <c r="D269" s="1" t="s">
        <v>3796</v>
      </c>
      <c r="E269">
        <v>276210</v>
      </c>
      <c r="F269">
        <v>336215.59</v>
      </c>
      <c r="G269">
        <v>-60005.59</v>
      </c>
      <c r="H269" s="2">
        <v>45705</v>
      </c>
      <c r="I269" s="1" t="s">
        <v>3790</v>
      </c>
      <c r="J269" s="1" t="s">
        <v>3803</v>
      </c>
      <c r="K269" s="1" t="s">
        <v>3800</v>
      </c>
      <c r="L269" s="1" t="s">
        <v>3809</v>
      </c>
    </row>
    <row r="270" spans="1:12" x14ac:dyDescent="0.25">
      <c r="A270" s="1" t="s">
        <v>4093</v>
      </c>
      <c r="B270" s="1" t="s">
        <v>3811</v>
      </c>
      <c r="C270" s="1" t="s">
        <v>3806</v>
      </c>
      <c r="D270" s="1" t="s">
        <v>3789</v>
      </c>
      <c r="E270">
        <v>8467</v>
      </c>
      <c r="F270">
        <v>6825.29</v>
      </c>
      <c r="G270">
        <v>1641.71</v>
      </c>
      <c r="H270" s="2">
        <v>45430</v>
      </c>
      <c r="I270" s="1" t="s">
        <v>3790</v>
      </c>
      <c r="J270" s="1" t="s">
        <v>3783</v>
      </c>
      <c r="K270" s="1" t="s">
        <v>3800</v>
      </c>
      <c r="L270" s="1" t="s">
        <v>3809</v>
      </c>
    </row>
    <row r="271" spans="1:12" x14ac:dyDescent="0.25">
      <c r="A271" s="1" t="s">
        <v>4094</v>
      </c>
      <c r="B271" s="1" t="s">
        <v>3808</v>
      </c>
      <c r="C271" s="1" t="s">
        <v>3861</v>
      </c>
      <c r="D271" s="1" t="s">
        <v>3846</v>
      </c>
      <c r="E271">
        <v>433961</v>
      </c>
      <c r="F271">
        <v>489742.12</v>
      </c>
      <c r="G271">
        <v>-55781.120000000003</v>
      </c>
      <c r="H271" s="2">
        <v>45034</v>
      </c>
      <c r="I271" s="1" t="s">
        <v>3790</v>
      </c>
      <c r="J271" s="1" t="s">
        <v>3803</v>
      </c>
      <c r="K271" s="1" t="s">
        <v>3784</v>
      </c>
      <c r="L271" s="1" t="s">
        <v>3809</v>
      </c>
    </row>
    <row r="272" spans="1:12" x14ac:dyDescent="0.25">
      <c r="A272" s="1" t="s">
        <v>4095</v>
      </c>
      <c r="B272" s="1" t="s">
        <v>51</v>
      </c>
      <c r="C272" s="1" t="s">
        <v>3844</v>
      </c>
      <c r="D272" s="1" t="s">
        <v>3826</v>
      </c>
      <c r="E272">
        <v>253473</v>
      </c>
      <c r="F272">
        <v>209229.23</v>
      </c>
      <c r="G272">
        <v>44243.77</v>
      </c>
      <c r="H272" s="2">
        <v>45046</v>
      </c>
      <c r="I272" s="1" t="s">
        <v>3790</v>
      </c>
      <c r="J272" s="1" t="s">
        <v>3823</v>
      </c>
      <c r="K272" s="1" t="s">
        <v>3784</v>
      </c>
      <c r="L272" s="1" t="s">
        <v>51</v>
      </c>
    </row>
    <row r="273" spans="1:12" x14ac:dyDescent="0.25">
      <c r="A273" s="1" t="s">
        <v>4096</v>
      </c>
      <c r="B273" s="1" t="s">
        <v>3808</v>
      </c>
      <c r="C273" s="1" t="s">
        <v>3858</v>
      </c>
      <c r="D273" s="1" t="s">
        <v>3850</v>
      </c>
      <c r="E273">
        <v>283088</v>
      </c>
      <c r="F273">
        <v>273645.90999999997</v>
      </c>
      <c r="G273">
        <v>9442.09</v>
      </c>
      <c r="H273" s="2">
        <v>45245</v>
      </c>
      <c r="I273" s="1" t="s">
        <v>3782</v>
      </c>
      <c r="J273" s="1" t="s">
        <v>3783</v>
      </c>
      <c r="K273" s="1" t="s">
        <v>3784</v>
      </c>
      <c r="L273" s="1" t="s">
        <v>51</v>
      </c>
    </row>
    <row r="274" spans="1:12" x14ac:dyDescent="0.25">
      <c r="A274" s="1" t="s">
        <v>4097</v>
      </c>
      <c r="B274" s="1" t="s">
        <v>3787</v>
      </c>
      <c r="C274" s="1" t="s">
        <v>3780</v>
      </c>
      <c r="D274" s="1" t="s">
        <v>3837</v>
      </c>
      <c r="E274">
        <v>36809</v>
      </c>
      <c r="F274">
        <v>31242.97</v>
      </c>
      <c r="G274">
        <v>5566.03</v>
      </c>
      <c r="H274" s="2">
        <v>45226</v>
      </c>
      <c r="I274" s="1" t="s">
        <v>3859</v>
      </c>
      <c r="J274" s="1" t="s">
        <v>3823</v>
      </c>
      <c r="K274" s="1" t="s">
        <v>3784</v>
      </c>
      <c r="L274" s="1" t="s">
        <v>3817</v>
      </c>
    </row>
    <row r="275" spans="1:12" x14ac:dyDescent="0.25">
      <c r="A275" s="1" t="s">
        <v>4098</v>
      </c>
      <c r="B275" s="1" t="s">
        <v>3808</v>
      </c>
      <c r="C275" s="1" t="s">
        <v>51</v>
      </c>
      <c r="D275" s="1" t="s">
        <v>3781</v>
      </c>
      <c r="E275">
        <v>176240</v>
      </c>
      <c r="F275">
        <v>162052.35</v>
      </c>
      <c r="G275">
        <v>14187.65</v>
      </c>
      <c r="H275" s="2">
        <v>45605</v>
      </c>
      <c r="I275" s="1" t="s">
        <v>3790</v>
      </c>
      <c r="J275" s="1" t="s">
        <v>3791</v>
      </c>
      <c r="K275" s="1" t="s">
        <v>3800</v>
      </c>
      <c r="L275" s="1" t="s">
        <v>3831</v>
      </c>
    </row>
    <row r="276" spans="1:12" x14ac:dyDescent="0.25">
      <c r="A276" s="1" t="s">
        <v>4099</v>
      </c>
      <c r="B276" s="1" t="s">
        <v>3787</v>
      </c>
      <c r="C276" s="1" t="s">
        <v>3844</v>
      </c>
      <c r="D276" s="1" t="s">
        <v>3822</v>
      </c>
      <c r="E276">
        <v>287836</v>
      </c>
      <c r="F276">
        <v>288895.81</v>
      </c>
      <c r="G276">
        <v>-1059.81</v>
      </c>
      <c r="H276" s="2">
        <v>45386</v>
      </c>
      <c r="I276" s="1" t="s">
        <v>3859</v>
      </c>
      <c r="J276" s="1" t="s">
        <v>3823</v>
      </c>
      <c r="K276" s="1" t="s">
        <v>3800</v>
      </c>
      <c r="L276" s="1" t="s">
        <v>51</v>
      </c>
    </row>
    <row r="277" spans="1:12" x14ac:dyDescent="0.25">
      <c r="A277" s="1" t="s">
        <v>4100</v>
      </c>
      <c r="B277" s="1" t="s">
        <v>3839</v>
      </c>
      <c r="C277" s="1" t="s">
        <v>3844</v>
      </c>
      <c r="D277" s="1" t="s">
        <v>3802</v>
      </c>
      <c r="E277">
        <v>62129</v>
      </c>
      <c r="F277">
        <v>69505.89</v>
      </c>
      <c r="G277">
        <v>-7376.89</v>
      </c>
      <c r="H277" s="2">
        <v>45161</v>
      </c>
      <c r="I277" s="1" t="s">
        <v>3790</v>
      </c>
      <c r="J277" s="1" t="s">
        <v>3791</v>
      </c>
      <c r="K277" s="1" t="s">
        <v>3784</v>
      </c>
      <c r="L277" s="1" t="s">
        <v>3785</v>
      </c>
    </row>
    <row r="278" spans="1:12" x14ac:dyDescent="0.25">
      <c r="A278" s="1" t="s">
        <v>4101</v>
      </c>
      <c r="B278" s="1" t="s">
        <v>3808</v>
      </c>
      <c r="C278" s="1" t="s">
        <v>3795</v>
      </c>
      <c r="D278" s="1" t="s">
        <v>3834</v>
      </c>
      <c r="E278">
        <v>39600</v>
      </c>
      <c r="F278">
        <v>49734.57</v>
      </c>
      <c r="G278">
        <v>-10134.57</v>
      </c>
      <c r="H278" s="2">
        <v>45669</v>
      </c>
      <c r="I278" s="1" t="s">
        <v>3782</v>
      </c>
      <c r="J278" s="1" t="s">
        <v>3823</v>
      </c>
      <c r="K278" s="1" t="s">
        <v>3800</v>
      </c>
      <c r="L278" s="1" t="s">
        <v>3785</v>
      </c>
    </row>
    <row r="279" spans="1:12" x14ac:dyDescent="0.25">
      <c r="A279" s="1" t="s">
        <v>4102</v>
      </c>
      <c r="B279" s="1" t="s">
        <v>3839</v>
      </c>
      <c r="C279" s="1" t="s">
        <v>3858</v>
      </c>
      <c r="D279" s="1" t="s">
        <v>3834</v>
      </c>
      <c r="E279">
        <v>233554</v>
      </c>
      <c r="F279">
        <v>252983.66</v>
      </c>
      <c r="G279">
        <v>-19429.66</v>
      </c>
      <c r="H279" s="2">
        <v>45085</v>
      </c>
      <c r="I279" s="1" t="s">
        <v>3790</v>
      </c>
      <c r="J279" s="1" t="s">
        <v>3791</v>
      </c>
      <c r="K279" s="1" t="s">
        <v>3784</v>
      </c>
      <c r="L279" s="1" t="s">
        <v>51</v>
      </c>
    </row>
    <row r="280" spans="1:12" x14ac:dyDescent="0.25">
      <c r="A280" s="1" t="s">
        <v>4103</v>
      </c>
      <c r="B280" s="1" t="s">
        <v>3787</v>
      </c>
      <c r="C280" s="1" t="s">
        <v>3795</v>
      </c>
      <c r="D280" s="1" t="s">
        <v>3816</v>
      </c>
      <c r="E280">
        <v>184967</v>
      </c>
      <c r="G280">
        <v>35452.879999999997</v>
      </c>
      <c r="H280" s="2">
        <v>45119</v>
      </c>
      <c r="I280" s="1" t="s">
        <v>3782</v>
      </c>
      <c r="J280" s="1" t="s">
        <v>3823</v>
      </c>
      <c r="K280" s="1" t="s">
        <v>3784</v>
      </c>
      <c r="L280" s="1" t="s">
        <v>51</v>
      </c>
    </row>
    <row r="281" spans="1:12" x14ac:dyDescent="0.25">
      <c r="A281" s="1" t="s">
        <v>4104</v>
      </c>
      <c r="B281" s="1" t="s">
        <v>3808</v>
      </c>
      <c r="C281" s="1" t="s">
        <v>3795</v>
      </c>
      <c r="D281" s="1" t="s">
        <v>3826</v>
      </c>
      <c r="E281">
        <v>451511</v>
      </c>
      <c r="F281">
        <v>378996.91</v>
      </c>
      <c r="G281">
        <v>72514.09</v>
      </c>
      <c r="H281" s="2">
        <v>45168</v>
      </c>
      <c r="I281" s="1" t="s">
        <v>3782</v>
      </c>
      <c r="J281" s="1" t="s">
        <v>3783</v>
      </c>
      <c r="K281" s="1" t="s">
        <v>3784</v>
      </c>
      <c r="L281" s="1" t="s">
        <v>3792</v>
      </c>
    </row>
    <row r="282" spans="1:12" x14ac:dyDescent="0.25">
      <c r="A282" s="1" t="s">
        <v>4105</v>
      </c>
      <c r="B282" s="1" t="s">
        <v>3839</v>
      </c>
      <c r="C282" s="1" t="s">
        <v>51</v>
      </c>
      <c r="D282" s="1" t="s">
        <v>3813</v>
      </c>
      <c r="E282">
        <v>90672</v>
      </c>
      <c r="F282">
        <v>115291.34</v>
      </c>
      <c r="G282">
        <v>-24619.34</v>
      </c>
      <c r="H282" s="2">
        <v>45531</v>
      </c>
      <c r="I282" s="1" t="s">
        <v>3790</v>
      </c>
      <c r="J282" s="1" t="s">
        <v>3803</v>
      </c>
      <c r="K282" s="1" t="s">
        <v>3800</v>
      </c>
      <c r="L282" s="1" t="s">
        <v>51</v>
      </c>
    </row>
    <row r="283" spans="1:12" x14ac:dyDescent="0.25">
      <c r="A283" s="1" t="s">
        <v>4106</v>
      </c>
      <c r="B283" s="1" t="s">
        <v>3828</v>
      </c>
      <c r="C283" s="1" t="s">
        <v>3844</v>
      </c>
      <c r="D283" s="1" t="s">
        <v>3855</v>
      </c>
      <c r="E283">
        <v>117298</v>
      </c>
      <c r="F283">
        <v>149508.38</v>
      </c>
      <c r="G283">
        <v>-32210.38</v>
      </c>
      <c r="H283" s="2">
        <v>45659</v>
      </c>
      <c r="I283" s="1" t="s">
        <v>3859</v>
      </c>
      <c r="J283" s="1" t="s">
        <v>3783</v>
      </c>
      <c r="K283" s="1" t="s">
        <v>3800</v>
      </c>
      <c r="L283" s="1" t="s">
        <v>3831</v>
      </c>
    </row>
    <row r="284" spans="1:12" x14ac:dyDescent="0.25">
      <c r="A284" s="1" t="s">
        <v>4107</v>
      </c>
      <c r="B284" s="1" t="s">
        <v>3828</v>
      </c>
      <c r="C284" s="1" t="s">
        <v>3780</v>
      </c>
      <c r="D284" s="1" t="s">
        <v>3802</v>
      </c>
      <c r="E284">
        <v>102465</v>
      </c>
      <c r="F284">
        <v>119023.91</v>
      </c>
      <c r="H284" s="2">
        <v>45658</v>
      </c>
      <c r="I284" s="1" t="s">
        <v>3782</v>
      </c>
      <c r="J284" s="1" t="s">
        <v>3823</v>
      </c>
      <c r="K284" s="1" t="s">
        <v>3800</v>
      </c>
      <c r="L284" s="1" t="s">
        <v>51</v>
      </c>
    </row>
    <row r="285" spans="1:12" x14ac:dyDescent="0.25">
      <c r="A285" s="1" t="s">
        <v>4108</v>
      </c>
      <c r="B285" s="1" t="s">
        <v>3839</v>
      </c>
      <c r="C285" s="1" t="s">
        <v>3795</v>
      </c>
      <c r="D285" s="1" t="s">
        <v>3867</v>
      </c>
      <c r="E285">
        <v>161058</v>
      </c>
      <c r="F285">
        <v>169436.08</v>
      </c>
      <c r="G285">
        <v>-8378.08</v>
      </c>
      <c r="H285" s="2">
        <v>45560</v>
      </c>
      <c r="I285" s="1" t="s">
        <v>3790</v>
      </c>
      <c r="J285" s="1" t="s">
        <v>3783</v>
      </c>
      <c r="K285" s="1" t="s">
        <v>3800</v>
      </c>
      <c r="L285" s="1" t="s">
        <v>51</v>
      </c>
    </row>
    <row r="286" spans="1:12" x14ac:dyDescent="0.25">
      <c r="A286" s="1" t="s">
        <v>4109</v>
      </c>
      <c r="B286" s="1" t="s">
        <v>3794</v>
      </c>
      <c r="C286" s="1" t="s">
        <v>3848</v>
      </c>
      <c r="D286" s="1" t="s">
        <v>3816</v>
      </c>
      <c r="E286">
        <v>310200</v>
      </c>
      <c r="F286">
        <v>318474.48</v>
      </c>
      <c r="G286">
        <v>-8274.48</v>
      </c>
      <c r="H286" s="2">
        <v>45375</v>
      </c>
      <c r="I286" s="1" t="s">
        <v>3790</v>
      </c>
      <c r="J286" s="1" t="s">
        <v>3791</v>
      </c>
      <c r="K286" s="1" t="s">
        <v>3784</v>
      </c>
      <c r="L286" s="1" t="s">
        <v>51</v>
      </c>
    </row>
    <row r="287" spans="1:12" x14ac:dyDescent="0.25">
      <c r="A287" s="1" t="s">
        <v>4110</v>
      </c>
      <c r="B287" s="1" t="s">
        <v>3828</v>
      </c>
      <c r="C287" s="1" t="s">
        <v>3848</v>
      </c>
      <c r="D287" s="1" t="s">
        <v>3837</v>
      </c>
      <c r="E287">
        <v>415834</v>
      </c>
      <c r="F287">
        <v>414415.59</v>
      </c>
      <c r="G287">
        <v>1418.41</v>
      </c>
      <c r="H287" s="2">
        <v>45199</v>
      </c>
      <c r="I287" s="1" t="s">
        <v>3782</v>
      </c>
      <c r="J287" s="1" t="s">
        <v>3803</v>
      </c>
      <c r="K287" s="1" t="s">
        <v>3784</v>
      </c>
      <c r="L287" s="1" t="s">
        <v>3809</v>
      </c>
    </row>
    <row r="288" spans="1:12" x14ac:dyDescent="0.25">
      <c r="A288" s="1" t="s">
        <v>4111</v>
      </c>
      <c r="B288" s="1" t="s">
        <v>3787</v>
      </c>
      <c r="C288" s="1" t="s">
        <v>3844</v>
      </c>
      <c r="D288" s="1" t="s">
        <v>3813</v>
      </c>
      <c r="E288">
        <v>106700</v>
      </c>
      <c r="F288">
        <v>135158.73000000001</v>
      </c>
      <c r="G288">
        <v>-28458.73</v>
      </c>
      <c r="H288" s="2">
        <v>45258</v>
      </c>
      <c r="I288" s="1" t="s">
        <v>3790</v>
      </c>
      <c r="J288" s="1" t="s">
        <v>3783</v>
      </c>
      <c r="K288" s="1" t="s">
        <v>3784</v>
      </c>
      <c r="L288" s="1" t="s">
        <v>3809</v>
      </c>
    </row>
    <row r="289" spans="1:12" x14ac:dyDescent="0.25">
      <c r="A289" s="1" t="s">
        <v>4112</v>
      </c>
      <c r="B289" s="1" t="s">
        <v>3787</v>
      </c>
      <c r="C289" s="1" t="s">
        <v>3788</v>
      </c>
      <c r="D289" s="1" t="s">
        <v>3846</v>
      </c>
      <c r="E289">
        <v>372555</v>
      </c>
      <c r="F289">
        <v>361375</v>
      </c>
      <c r="G289">
        <v>11180</v>
      </c>
      <c r="H289" s="2">
        <v>45389</v>
      </c>
      <c r="I289" s="1" t="s">
        <v>3790</v>
      </c>
      <c r="J289" s="1" t="s">
        <v>3823</v>
      </c>
      <c r="K289" s="1" t="s">
        <v>3800</v>
      </c>
      <c r="L289" s="1" t="s">
        <v>3817</v>
      </c>
    </row>
    <row r="290" spans="1:12" x14ac:dyDescent="0.25">
      <c r="A290" s="1" t="s">
        <v>4113</v>
      </c>
      <c r="B290" s="1" t="s">
        <v>3787</v>
      </c>
      <c r="C290" s="1" t="s">
        <v>3825</v>
      </c>
      <c r="D290" s="1" t="s">
        <v>3834</v>
      </c>
      <c r="E290">
        <v>-295644</v>
      </c>
      <c r="F290">
        <v>375294.28</v>
      </c>
      <c r="G290">
        <v>-79650.28</v>
      </c>
      <c r="H290" s="2">
        <v>45474</v>
      </c>
      <c r="I290" s="1" t="s">
        <v>3790</v>
      </c>
      <c r="J290" s="1" t="s">
        <v>3783</v>
      </c>
      <c r="K290" s="1" t="s">
        <v>3800</v>
      </c>
      <c r="L290" s="1" t="s">
        <v>3831</v>
      </c>
    </row>
    <row r="291" spans="1:12" x14ac:dyDescent="0.25">
      <c r="A291" s="1" t="s">
        <v>4114</v>
      </c>
      <c r="B291" s="1" t="s">
        <v>3839</v>
      </c>
      <c r="C291" s="1" t="s">
        <v>3806</v>
      </c>
      <c r="D291" s="1" t="s">
        <v>3822</v>
      </c>
      <c r="E291">
        <v>341728</v>
      </c>
      <c r="F291">
        <v>431392.19</v>
      </c>
      <c r="G291">
        <v>-89664.19</v>
      </c>
      <c r="H291" s="2">
        <v>45456</v>
      </c>
      <c r="I291" s="1" t="s">
        <v>3782</v>
      </c>
      <c r="J291" s="1" t="s">
        <v>3783</v>
      </c>
      <c r="K291" s="1" t="s">
        <v>3800</v>
      </c>
      <c r="L291" s="1" t="s">
        <v>51</v>
      </c>
    </row>
    <row r="292" spans="1:12" x14ac:dyDescent="0.25">
      <c r="A292" s="1" t="s">
        <v>4115</v>
      </c>
      <c r="B292" s="1" t="s">
        <v>51</v>
      </c>
      <c r="C292" s="1" t="s">
        <v>3806</v>
      </c>
      <c r="D292" s="1" t="s">
        <v>3867</v>
      </c>
      <c r="E292">
        <v>346055</v>
      </c>
      <c r="F292">
        <v>292280</v>
      </c>
      <c r="G292">
        <v>53775</v>
      </c>
      <c r="H292" s="2">
        <v>44983</v>
      </c>
      <c r="I292" s="1" t="s">
        <v>3790</v>
      </c>
      <c r="J292" s="1" t="s">
        <v>3791</v>
      </c>
      <c r="K292" s="1" t="s">
        <v>3804</v>
      </c>
      <c r="L292" s="1" t="s">
        <v>3809</v>
      </c>
    </row>
    <row r="293" spans="1:12" x14ac:dyDescent="0.25">
      <c r="A293" s="1" t="s">
        <v>4116</v>
      </c>
      <c r="B293" s="1" t="s">
        <v>3839</v>
      </c>
      <c r="C293" s="1" t="s">
        <v>3848</v>
      </c>
      <c r="D293" s="1" t="s">
        <v>3796</v>
      </c>
      <c r="E293">
        <v>370801</v>
      </c>
      <c r="F293">
        <v>399115.32</v>
      </c>
      <c r="G293">
        <v>-28314.32</v>
      </c>
      <c r="H293" s="2">
        <v>45414</v>
      </c>
      <c r="I293" s="1" t="s">
        <v>3790</v>
      </c>
      <c r="J293" s="1" t="s">
        <v>3803</v>
      </c>
      <c r="K293" s="1" t="s">
        <v>3800</v>
      </c>
      <c r="L293" s="1" t="s">
        <v>3792</v>
      </c>
    </row>
    <row r="294" spans="1:12" x14ac:dyDescent="0.25">
      <c r="A294" s="1" t="s">
        <v>4117</v>
      </c>
      <c r="B294" s="1" t="s">
        <v>3794</v>
      </c>
      <c r="C294" s="1" t="s">
        <v>3844</v>
      </c>
      <c r="D294" s="1" t="s">
        <v>3826</v>
      </c>
      <c r="E294">
        <v>150199</v>
      </c>
      <c r="F294">
        <v>192054.12</v>
      </c>
      <c r="G294">
        <v>-41855.120000000003</v>
      </c>
      <c r="H294" s="2">
        <v>45305</v>
      </c>
      <c r="I294" s="1" t="s">
        <v>3790</v>
      </c>
      <c r="J294" s="1" t="s">
        <v>3783</v>
      </c>
      <c r="K294" s="1" t="s">
        <v>3784</v>
      </c>
      <c r="L294" s="1" t="s">
        <v>3785</v>
      </c>
    </row>
    <row r="295" spans="1:12" x14ac:dyDescent="0.25">
      <c r="A295" s="1" t="s">
        <v>4118</v>
      </c>
      <c r="B295" s="1" t="s">
        <v>3794</v>
      </c>
      <c r="C295" s="1" t="s">
        <v>3812</v>
      </c>
      <c r="D295" s="1" t="s">
        <v>3813</v>
      </c>
      <c r="E295">
        <v>291041</v>
      </c>
      <c r="F295">
        <v>358620.07</v>
      </c>
      <c r="G295">
        <v>-67579.070000000007</v>
      </c>
      <c r="H295" s="2">
        <v>45082</v>
      </c>
      <c r="I295" s="1" t="s">
        <v>3790</v>
      </c>
      <c r="J295" s="1" t="s">
        <v>3803</v>
      </c>
      <c r="K295" s="1" t="s">
        <v>3784</v>
      </c>
      <c r="L295" s="1" t="s">
        <v>3831</v>
      </c>
    </row>
    <row r="296" spans="1:12" x14ac:dyDescent="0.25">
      <c r="A296" s="1" t="s">
        <v>4119</v>
      </c>
      <c r="B296" s="1" t="s">
        <v>3828</v>
      </c>
      <c r="C296" s="1" t="s">
        <v>3861</v>
      </c>
      <c r="D296" s="1" t="s">
        <v>3826</v>
      </c>
      <c r="E296">
        <v>211857</v>
      </c>
      <c r="F296">
        <v>256056.27</v>
      </c>
      <c r="G296">
        <v>-44199.27</v>
      </c>
      <c r="H296" s="2">
        <v>45533</v>
      </c>
      <c r="I296" s="1" t="s">
        <v>3790</v>
      </c>
      <c r="J296" s="1" t="s">
        <v>3783</v>
      </c>
      <c r="K296" s="1" t="s">
        <v>3800</v>
      </c>
      <c r="L296" s="1" t="s">
        <v>3817</v>
      </c>
    </row>
    <row r="297" spans="1:12" x14ac:dyDescent="0.25">
      <c r="A297" s="1" t="s">
        <v>4120</v>
      </c>
      <c r="B297" s="1" t="s">
        <v>3794</v>
      </c>
      <c r="C297" s="1" t="s">
        <v>3844</v>
      </c>
      <c r="D297" s="1" t="s">
        <v>3846</v>
      </c>
      <c r="E297">
        <v>251802</v>
      </c>
      <c r="F297">
        <v>303026.15000000002</v>
      </c>
      <c r="G297">
        <v>-51224.15</v>
      </c>
      <c r="H297" s="2">
        <v>45446</v>
      </c>
      <c r="I297" s="1" t="s">
        <v>3790</v>
      </c>
      <c r="J297" s="1" t="s">
        <v>3803</v>
      </c>
      <c r="K297" s="1" t="s">
        <v>3800</v>
      </c>
      <c r="L297" s="1" t="s">
        <v>3792</v>
      </c>
    </row>
    <row r="298" spans="1:12" x14ac:dyDescent="0.25">
      <c r="A298" s="1" t="s">
        <v>4121</v>
      </c>
      <c r="B298" s="1" t="s">
        <v>3839</v>
      </c>
      <c r="C298" s="1" t="s">
        <v>3844</v>
      </c>
      <c r="D298" s="1" t="s">
        <v>3850</v>
      </c>
      <c r="E298">
        <v>76656</v>
      </c>
      <c r="F298">
        <v>71437.11</v>
      </c>
      <c r="G298">
        <v>5218.8900000000003</v>
      </c>
      <c r="H298" s="2">
        <v>45348</v>
      </c>
      <c r="I298" s="1" t="s">
        <v>3790</v>
      </c>
      <c r="J298" s="1" t="s">
        <v>3783</v>
      </c>
      <c r="K298" s="1" t="s">
        <v>3784</v>
      </c>
      <c r="L298" s="1" t="s">
        <v>51</v>
      </c>
    </row>
    <row r="299" spans="1:12" x14ac:dyDescent="0.25">
      <c r="A299" s="1" t="s">
        <v>4122</v>
      </c>
      <c r="B299" s="1" t="s">
        <v>3798</v>
      </c>
      <c r="C299" s="1" t="s">
        <v>3825</v>
      </c>
      <c r="D299" s="1" t="s">
        <v>3816</v>
      </c>
      <c r="E299">
        <v>362710</v>
      </c>
      <c r="F299">
        <v>366215.27</v>
      </c>
      <c r="G299">
        <v>-3505.27</v>
      </c>
      <c r="H299" s="2">
        <v>45567</v>
      </c>
      <c r="I299" s="1" t="s">
        <v>3790</v>
      </c>
      <c r="J299" s="1" t="s">
        <v>3823</v>
      </c>
      <c r="K299" s="1" t="s">
        <v>3800</v>
      </c>
      <c r="L299" s="1" t="s">
        <v>3817</v>
      </c>
    </row>
    <row r="300" spans="1:12" x14ac:dyDescent="0.25">
      <c r="A300" s="1" t="s">
        <v>4109</v>
      </c>
      <c r="B300" s="1" t="s">
        <v>3794</v>
      </c>
      <c r="C300" s="1" t="s">
        <v>3848</v>
      </c>
      <c r="D300" s="1" t="s">
        <v>3816</v>
      </c>
      <c r="E300">
        <v>310200</v>
      </c>
      <c r="F300">
        <v>318474.48</v>
      </c>
      <c r="G300">
        <v>-8274.48</v>
      </c>
      <c r="H300" s="2">
        <v>45375</v>
      </c>
      <c r="I300" s="1" t="s">
        <v>3790</v>
      </c>
      <c r="J300" s="1" t="s">
        <v>3791</v>
      </c>
      <c r="K300" s="1" t="s">
        <v>3784</v>
      </c>
      <c r="L300" s="1" t="s">
        <v>51</v>
      </c>
    </row>
    <row r="301" spans="1:12" x14ac:dyDescent="0.25">
      <c r="A301" s="1" t="s">
        <v>4123</v>
      </c>
      <c r="B301" s="1" t="s">
        <v>3811</v>
      </c>
      <c r="C301" s="1" t="s">
        <v>3780</v>
      </c>
      <c r="D301" s="1" t="s">
        <v>3802</v>
      </c>
      <c r="E301">
        <v>10572</v>
      </c>
      <c r="F301">
        <v>9878.34</v>
      </c>
      <c r="G301">
        <v>693.66</v>
      </c>
      <c r="H301" s="2">
        <v>45165</v>
      </c>
      <c r="I301" s="1" t="s">
        <v>3790</v>
      </c>
      <c r="J301" s="1" t="s">
        <v>3791</v>
      </c>
      <c r="K301" s="1" t="s">
        <v>3784</v>
      </c>
      <c r="L301" s="1" t="s">
        <v>51</v>
      </c>
    </row>
    <row r="302" spans="1:12" x14ac:dyDescent="0.25">
      <c r="A302" s="1" t="s">
        <v>4124</v>
      </c>
      <c r="B302" s="1" t="s">
        <v>3808</v>
      </c>
      <c r="C302" s="1" t="s">
        <v>3815</v>
      </c>
      <c r="D302" s="1" t="s">
        <v>3855</v>
      </c>
      <c r="E302">
        <v>16215</v>
      </c>
      <c r="F302">
        <v>15546.6</v>
      </c>
      <c r="G302">
        <v>668.4</v>
      </c>
      <c r="H302" s="2">
        <v>45459</v>
      </c>
      <c r="I302" s="1" t="s">
        <v>3859</v>
      </c>
      <c r="J302" s="1" t="s">
        <v>3783</v>
      </c>
      <c r="K302" s="1" t="s">
        <v>3800</v>
      </c>
      <c r="L302" s="1" t="s">
        <v>3831</v>
      </c>
    </row>
    <row r="303" spans="1:12" x14ac:dyDescent="0.25">
      <c r="A303" s="1" t="s">
        <v>4125</v>
      </c>
      <c r="B303" s="1" t="s">
        <v>3798</v>
      </c>
      <c r="C303" s="1" t="s">
        <v>3795</v>
      </c>
      <c r="D303" s="1" t="s">
        <v>3846</v>
      </c>
      <c r="E303">
        <v>415913</v>
      </c>
      <c r="F303">
        <v>384867.42</v>
      </c>
      <c r="G303">
        <v>31045.58</v>
      </c>
      <c r="H303" s="2">
        <v>45712</v>
      </c>
      <c r="I303" s="1" t="s">
        <v>3790</v>
      </c>
      <c r="J303" s="1" t="s">
        <v>3803</v>
      </c>
      <c r="K303" s="1" t="s">
        <v>3800</v>
      </c>
      <c r="L303" s="1" t="s">
        <v>3817</v>
      </c>
    </row>
    <row r="304" spans="1:12" x14ac:dyDescent="0.25">
      <c r="A304" s="1" t="s">
        <v>4126</v>
      </c>
      <c r="B304" s="1" t="s">
        <v>3828</v>
      </c>
      <c r="C304" s="1" t="s">
        <v>3825</v>
      </c>
      <c r="D304" s="1" t="s">
        <v>3867</v>
      </c>
      <c r="E304">
        <v>459471</v>
      </c>
      <c r="F304">
        <v>437328.44</v>
      </c>
      <c r="G304">
        <v>22142.560000000001</v>
      </c>
      <c r="H304" s="2">
        <v>45105</v>
      </c>
      <c r="I304" s="1" t="s">
        <v>3782</v>
      </c>
      <c r="J304" s="1" t="s">
        <v>3803</v>
      </c>
      <c r="K304" s="1" t="s">
        <v>3784</v>
      </c>
      <c r="L304" s="1" t="s">
        <v>3809</v>
      </c>
    </row>
    <row r="305" spans="1:12" x14ac:dyDescent="0.25">
      <c r="A305" s="1" t="s">
        <v>4127</v>
      </c>
      <c r="B305" s="1" t="s">
        <v>3828</v>
      </c>
      <c r="C305" s="1" t="s">
        <v>3861</v>
      </c>
      <c r="D305" s="1" t="s">
        <v>3789</v>
      </c>
      <c r="E305">
        <v>356518</v>
      </c>
      <c r="F305">
        <v>384593.26</v>
      </c>
      <c r="G305">
        <v>-28075.26</v>
      </c>
      <c r="H305" s="2">
        <v>45210</v>
      </c>
      <c r="I305" s="1" t="s">
        <v>3790</v>
      </c>
      <c r="J305" s="1" t="s">
        <v>3803</v>
      </c>
      <c r="K305" s="1" t="s">
        <v>3784</v>
      </c>
      <c r="L305" s="1" t="s">
        <v>3817</v>
      </c>
    </row>
    <row r="306" spans="1:12" x14ac:dyDescent="0.25">
      <c r="A306" s="1" t="s">
        <v>4128</v>
      </c>
      <c r="B306" s="1" t="s">
        <v>3811</v>
      </c>
      <c r="C306" s="1" t="s">
        <v>3780</v>
      </c>
      <c r="D306" s="1" t="s">
        <v>3799</v>
      </c>
      <c r="E306">
        <v>29243</v>
      </c>
      <c r="F306">
        <v>28194.98</v>
      </c>
      <c r="G306">
        <v>1048.02</v>
      </c>
      <c r="H306" s="2">
        <v>45379</v>
      </c>
      <c r="I306" s="1" t="s">
        <v>3790</v>
      </c>
      <c r="J306" s="1" t="s">
        <v>3803</v>
      </c>
      <c r="K306" s="1" t="s">
        <v>3784</v>
      </c>
      <c r="L306" s="1" t="s">
        <v>3817</v>
      </c>
    </row>
    <row r="307" spans="1:12" x14ac:dyDescent="0.25">
      <c r="A307" s="1" t="s">
        <v>4129</v>
      </c>
      <c r="B307" s="1" t="s">
        <v>3808</v>
      </c>
      <c r="C307" s="1" t="s">
        <v>3806</v>
      </c>
      <c r="D307" s="1" t="s">
        <v>3781</v>
      </c>
      <c r="E307">
        <v>141275</v>
      </c>
      <c r="F307">
        <v>149514.95000000001</v>
      </c>
      <c r="G307">
        <v>-8239.9500000000007</v>
      </c>
      <c r="H307" s="2">
        <v>45131</v>
      </c>
      <c r="I307" s="1" t="s">
        <v>3790</v>
      </c>
      <c r="J307" s="1" t="s">
        <v>3823</v>
      </c>
      <c r="K307" s="1" t="s">
        <v>3784</v>
      </c>
      <c r="L307" s="1" t="s">
        <v>3831</v>
      </c>
    </row>
    <row r="308" spans="1:12" x14ac:dyDescent="0.25">
      <c r="A308" s="1" t="s">
        <v>4130</v>
      </c>
      <c r="B308" s="1" t="s">
        <v>3787</v>
      </c>
      <c r="C308" s="1" t="s">
        <v>3821</v>
      </c>
      <c r="D308" s="1" t="s">
        <v>3834</v>
      </c>
      <c r="E308">
        <v>419574</v>
      </c>
      <c r="F308">
        <v>390433.1</v>
      </c>
      <c r="G308">
        <v>29140.9</v>
      </c>
      <c r="H308" s="2">
        <v>44989</v>
      </c>
      <c r="I308" s="1" t="s">
        <v>3790</v>
      </c>
      <c r="J308" s="1" t="s">
        <v>3783</v>
      </c>
      <c r="K308" s="1" t="s">
        <v>3804</v>
      </c>
      <c r="L308" s="1" t="s">
        <v>51</v>
      </c>
    </row>
    <row r="309" spans="1:12" x14ac:dyDescent="0.25">
      <c r="A309" s="1" t="s">
        <v>4131</v>
      </c>
      <c r="B309" s="1" t="s">
        <v>3828</v>
      </c>
      <c r="C309" s="1" t="s">
        <v>3795</v>
      </c>
      <c r="D309" s="1" t="s">
        <v>3822</v>
      </c>
      <c r="E309">
        <v>163344</v>
      </c>
      <c r="F309">
        <v>206602.59</v>
      </c>
      <c r="G309">
        <v>-43258.59</v>
      </c>
      <c r="H309" s="2">
        <v>45159</v>
      </c>
      <c r="I309" s="1" t="s">
        <v>3782</v>
      </c>
      <c r="J309" s="1" t="s">
        <v>3783</v>
      </c>
      <c r="K309" s="1" t="s">
        <v>3784</v>
      </c>
      <c r="L309" s="1" t="s">
        <v>3817</v>
      </c>
    </row>
    <row r="310" spans="1:12" x14ac:dyDescent="0.25">
      <c r="A310" s="1" t="s">
        <v>4132</v>
      </c>
      <c r="B310" s="1" t="s">
        <v>3828</v>
      </c>
      <c r="C310" s="1" t="s">
        <v>3780</v>
      </c>
      <c r="D310" s="1" t="s">
        <v>3895</v>
      </c>
      <c r="E310">
        <v>384800</v>
      </c>
      <c r="F310">
        <v>444252.73</v>
      </c>
      <c r="G310">
        <v>-59452.73</v>
      </c>
      <c r="H310" s="2">
        <v>45231</v>
      </c>
      <c r="I310" s="1" t="s">
        <v>3790</v>
      </c>
      <c r="J310" s="1" t="s">
        <v>3803</v>
      </c>
      <c r="K310" s="1" t="s">
        <v>3784</v>
      </c>
      <c r="L310" s="1" t="s">
        <v>51</v>
      </c>
    </row>
    <row r="311" spans="1:12" x14ac:dyDescent="0.25">
      <c r="A311" s="1" t="s">
        <v>4133</v>
      </c>
      <c r="B311" s="1" t="s">
        <v>51</v>
      </c>
      <c r="C311" s="1" t="s">
        <v>3848</v>
      </c>
      <c r="D311" s="1" t="s">
        <v>3837</v>
      </c>
      <c r="E311">
        <v>363889</v>
      </c>
      <c r="F311">
        <v>336570.16</v>
      </c>
      <c r="G311">
        <v>27318.84</v>
      </c>
      <c r="H311" s="2">
        <v>45506</v>
      </c>
      <c r="I311" s="1" t="s">
        <v>3782</v>
      </c>
      <c r="J311" s="1" t="s">
        <v>3823</v>
      </c>
      <c r="K311" s="1" t="s">
        <v>3800</v>
      </c>
      <c r="L311" s="1" t="s">
        <v>3792</v>
      </c>
    </row>
    <row r="312" spans="1:12" x14ac:dyDescent="0.25">
      <c r="A312" s="1" t="s">
        <v>4134</v>
      </c>
      <c r="B312" s="1" t="s">
        <v>3787</v>
      </c>
      <c r="C312" s="1" t="s">
        <v>3848</v>
      </c>
      <c r="D312" s="1" t="s">
        <v>3867</v>
      </c>
      <c r="E312">
        <v>268970</v>
      </c>
      <c r="F312">
        <v>257710.55</v>
      </c>
      <c r="G312">
        <v>11259.45</v>
      </c>
      <c r="H312" s="2">
        <v>45369</v>
      </c>
      <c r="I312" s="1" t="s">
        <v>3859</v>
      </c>
      <c r="J312" s="1" t="s">
        <v>3823</v>
      </c>
      <c r="K312" s="1" t="s">
        <v>3784</v>
      </c>
      <c r="L312" s="1" t="s">
        <v>51</v>
      </c>
    </row>
    <row r="313" spans="1:12" x14ac:dyDescent="0.25">
      <c r="A313" s="1" t="s">
        <v>4135</v>
      </c>
      <c r="B313" s="1" t="s">
        <v>3839</v>
      </c>
      <c r="C313" s="1" t="s">
        <v>3815</v>
      </c>
      <c r="D313" s="1" t="s">
        <v>3816</v>
      </c>
      <c r="E313">
        <v>346860</v>
      </c>
      <c r="F313">
        <v>288543.01</v>
      </c>
      <c r="G313">
        <v>58316.99</v>
      </c>
      <c r="H313" s="2">
        <v>45421</v>
      </c>
      <c r="I313" s="1" t="s">
        <v>3790</v>
      </c>
      <c r="J313" s="1" t="s">
        <v>3783</v>
      </c>
      <c r="K313" s="1" t="s">
        <v>3800</v>
      </c>
      <c r="L313" s="1" t="s">
        <v>51</v>
      </c>
    </row>
    <row r="314" spans="1:12" x14ac:dyDescent="0.25">
      <c r="A314" s="1" t="s">
        <v>4136</v>
      </c>
      <c r="B314" s="1" t="s">
        <v>3787</v>
      </c>
      <c r="C314" s="1" t="s">
        <v>3825</v>
      </c>
      <c r="D314" s="1" t="s">
        <v>3781</v>
      </c>
      <c r="E314">
        <v>240676</v>
      </c>
      <c r="F314">
        <v>225254.53</v>
      </c>
      <c r="G314">
        <v>15421.47</v>
      </c>
      <c r="H314" s="2">
        <v>45530</v>
      </c>
      <c r="I314" s="1" t="s">
        <v>3790</v>
      </c>
      <c r="J314" s="1" t="s">
        <v>3783</v>
      </c>
      <c r="K314" s="1" t="s">
        <v>3800</v>
      </c>
      <c r="L314" s="1" t="s">
        <v>3831</v>
      </c>
    </row>
    <row r="315" spans="1:12" x14ac:dyDescent="0.25">
      <c r="A315" s="1" t="s">
        <v>4137</v>
      </c>
      <c r="B315" s="1" t="s">
        <v>51</v>
      </c>
      <c r="C315" s="1" t="s">
        <v>3825</v>
      </c>
      <c r="D315" s="1" t="s">
        <v>3837</v>
      </c>
      <c r="E315">
        <v>229898</v>
      </c>
      <c r="F315">
        <v>203605.91</v>
      </c>
      <c r="G315">
        <v>26292.09</v>
      </c>
      <c r="H315" s="2">
        <v>45618</v>
      </c>
      <c r="I315" s="1" t="s">
        <v>3790</v>
      </c>
      <c r="J315" s="1" t="s">
        <v>3803</v>
      </c>
      <c r="K315" s="1" t="s">
        <v>3800</v>
      </c>
      <c r="L315" s="1" t="s">
        <v>51</v>
      </c>
    </row>
    <row r="316" spans="1:12" x14ac:dyDescent="0.25">
      <c r="A316" s="1" t="s">
        <v>4138</v>
      </c>
      <c r="B316" s="1" t="s">
        <v>3808</v>
      </c>
      <c r="C316" s="1" t="s">
        <v>3815</v>
      </c>
      <c r="D316" s="1" t="s">
        <v>3846</v>
      </c>
      <c r="E316">
        <v>132424</v>
      </c>
      <c r="F316">
        <v>109111.86</v>
      </c>
      <c r="G316">
        <v>23312.14</v>
      </c>
      <c r="H316" s="2">
        <v>45028</v>
      </c>
      <c r="I316" s="1" t="s">
        <v>3782</v>
      </c>
      <c r="J316" s="1" t="s">
        <v>3823</v>
      </c>
      <c r="K316" s="1" t="s">
        <v>3784</v>
      </c>
      <c r="L316" s="1" t="s">
        <v>51</v>
      </c>
    </row>
    <row r="317" spans="1:12" x14ac:dyDescent="0.25">
      <c r="A317" s="1" t="s">
        <v>4139</v>
      </c>
      <c r="B317" s="1" t="s">
        <v>3798</v>
      </c>
      <c r="C317" s="1" t="s">
        <v>3861</v>
      </c>
      <c r="D317" s="1" t="s">
        <v>3850</v>
      </c>
      <c r="E317">
        <v>100845</v>
      </c>
      <c r="F317">
        <v>120316.66</v>
      </c>
      <c r="G317">
        <v>-19471.66</v>
      </c>
      <c r="H317" s="2">
        <v>45720</v>
      </c>
      <c r="I317" s="1" t="s">
        <v>3790</v>
      </c>
      <c r="J317" s="1" t="s">
        <v>3791</v>
      </c>
      <c r="K317" s="1" t="s">
        <v>3800</v>
      </c>
      <c r="L317" s="1" t="s">
        <v>51</v>
      </c>
    </row>
    <row r="318" spans="1:12" x14ac:dyDescent="0.25">
      <c r="A318" s="1" t="s">
        <v>4140</v>
      </c>
      <c r="B318" s="1" t="s">
        <v>3828</v>
      </c>
      <c r="C318" s="1" t="s">
        <v>3815</v>
      </c>
      <c r="D318" s="1" t="s">
        <v>3826</v>
      </c>
      <c r="E318">
        <v>3599626</v>
      </c>
      <c r="F318">
        <v>3224517.74</v>
      </c>
      <c r="G318">
        <v>375108.26</v>
      </c>
      <c r="H318" s="2">
        <v>45407</v>
      </c>
      <c r="I318" s="1" t="s">
        <v>3790</v>
      </c>
      <c r="J318" s="1" t="s">
        <v>3791</v>
      </c>
      <c r="K318" s="1" t="s">
        <v>3800</v>
      </c>
      <c r="L318" s="1" t="s">
        <v>3809</v>
      </c>
    </row>
    <row r="319" spans="1:12" x14ac:dyDescent="0.25">
      <c r="A319" s="1" t="s">
        <v>4141</v>
      </c>
      <c r="B319" s="1" t="s">
        <v>3839</v>
      </c>
      <c r="C319" s="1" t="s">
        <v>3858</v>
      </c>
      <c r="D319" s="1" t="s">
        <v>3837</v>
      </c>
      <c r="E319">
        <v>78374</v>
      </c>
      <c r="F319">
        <v>77099.360000000001</v>
      </c>
      <c r="G319">
        <v>1274.6400000000001</v>
      </c>
      <c r="H319" s="2">
        <v>45178</v>
      </c>
      <c r="I319" s="1" t="s">
        <v>3790</v>
      </c>
      <c r="J319" s="1" t="s">
        <v>3803</v>
      </c>
      <c r="K319" s="1" t="s">
        <v>3784</v>
      </c>
      <c r="L319" s="1" t="s">
        <v>51</v>
      </c>
    </row>
    <row r="320" spans="1:12" x14ac:dyDescent="0.25">
      <c r="A320" s="1" t="s">
        <v>4142</v>
      </c>
      <c r="B320" s="1" t="s">
        <v>3798</v>
      </c>
      <c r="C320" s="1" t="s">
        <v>3806</v>
      </c>
      <c r="D320" s="1" t="s">
        <v>3867</v>
      </c>
      <c r="E320">
        <v>476567</v>
      </c>
      <c r="F320">
        <v>513028.09</v>
      </c>
      <c r="G320">
        <v>-36461.089999999997</v>
      </c>
      <c r="H320" s="2">
        <v>45048</v>
      </c>
      <c r="I320" s="1" t="s">
        <v>3790</v>
      </c>
      <c r="J320" s="1" t="s">
        <v>3791</v>
      </c>
      <c r="K320" s="1" t="s">
        <v>3784</v>
      </c>
      <c r="L320" s="1" t="s">
        <v>51</v>
      </c>
    </row>
    <row r="321" spans="1:12" x14ac:dyDescent="0.25">
      <c r="A321" s="1" t="s">
        <v>4143</v>
      </c>
      <c r="B321" s="1" t="s">
        <v>3839</v>
      </c>
      <c r="C321" s="1" t="s">
        <v>3821</v>
      </c>
      <c r="D321" s="1" t="s">
        <v>3816</v>
      </c>
      <c r="E321">
        <v>139446</v>
      </c>
      <c r="F321">
        <v>169737.73</v>
      </c>
      <c r="G321">
        <v>-30291.73</v>
      </c>
      <c r="H321" s="2">
        <v>45516</v>
      </c>
      <c r="I321" s="1" t="s">
        <v>3790</v>
      </c>
      <c r="J321" s="1" t="s">
        <v>3823</v>
      </c>
      <c r="K321" s="1" t="s">
        <v>3800</v>
      </c>
      <c r="L321" s="1" t="s">
        <v>3831</v>
      </c>
    </row>
    <row r="322" spans="1:12" x14ac:dyDescent="0.25">
      <c r="A322" s="1" t="s">
        <v>4144</v>
      </c>
      <c r="B322" s="1" t="s">
        <v>3808</v>
      </c>
      <c r="C322" s="1" t="s">
        <v>3815</v>
      </c>
      <c r="D322" s="1" t="s">
        <v>3826</v>
      </c>
      <c r="E322">
        <v>136563</v>
      </c>
      <c r="F322">
        <v>162916.26</v>
      </c>
      <c r="H322" s="2">
        <v>45207</v>
      </c>
      <c r="I322" s="1" t="s">
        <v>3790</v>
      </c>
      <c r="J322" s="1" t="s">
        <v>3783</v>
      </c>
      <c r="K322" s="1" t="s">
        <v>3784</v>
      </c>
      <c r="L322" s="1" t="s">
        <v>51</v>
      </c>
    </row>
    <row r="323" spans="1:12" x14ac:dyDescent="0.25">
      <c r="A323" s="1" t="s">
        <v>4145</v>
      </c>
      <c r="B323" s="1" t="s">
        <v>51</v>
      </c>
      <c r="C323" s="1" t="s">
        <v>3815</v>
      </c>
      <c r="D323" s="1" t="s">
        <v>3855</v>
      </c>
      <c r="E323">
        <v>22382</v>
      </c>
      <c r="F323">
        <v>18042.599999999999</v>
      </c>
      <c r="G323">
        <v>4339.3999999999996</v>
      </c>
      <c r="H323" s="2">
        <v>45184</v>
      </c>
      <c r="I323" s="1" t="s">
        <v>3782</v>
      </c>
      <c r="J323" s="1" t="s">
        <v>3823</v>
      </c>
      <c r="K323" s="1" t="s">
        <v>3784</v>
      </c>
      <c r="L323" s="1" t="s">
        <v>51</v>
      </c>
    </row>
    <row r="324" spans="1:12" x14ac:dyDescent="0.25">
      <c r="A324" s="1" t="s">
        <v>4146</v>
      </c>
      <c r="B324" s="1" t="s">
        <v>3808</v>
      </c>
      <c r="C324" s="1" t="s">
        <v>3821</v>
      </c>
      <c r="D324" s="1" t="s">
        <v>3822</v>
      </c>
      <c r="E324">
        <v>155451</v>
      </c>
      <c r="F324">
        <v>144377.19</v>
      </c>
      <c r="G324">
        <v>11073.81</v>
      </c>
      <c r="H324" s="2">
        <v>45394</v>
      </c>
      <c r="I324" s="1" t="s">
        <v>3790</v>
      </c>
      <c r="J324" s="1" t="s">
        <v>3803</v>
      </c>
      <c r="K324" s="1" t="s">
        <v>3800</v>
      </c>
      <c r="L324" s="1" t="s">
        <v>51</v>
      </c>
    </row>
    <row r="325" spans="1:12" x14ac:dyDescent="0.25">
      <c r="A325" s="1" t="s">
        <v>4147</v>
      </c>
      <c r="B325" s="1" t="s">
        <v>3808</v>
      </c>
      <c r="C325" s="1" t="s">
        <v>3825</v>
      </c>
      <c r="D325" s="1" t="s">
        <v>3822</v>
      </c>
      <c r="E325">
        <v>269249</v>
      </c>
      <c r="F325">
        <v>308734.33</v>
      </c>
      <c r="H325" s="2">
        <v>45069</v>
      </c>
      <c r="I325" s="1" t="s">
        <v>3790</v>
      </c>
      <c r="J325" s="1" t="s">
        <v>3791</v>
      </c>
      <c r="K325" s="1" t="s">
        <v>3784</v>
      </c>
      <c r="L325" s="1" t="s">
        <v>3809</v>
      </c>
    </row>
    <row r="326" spans="1:12" x14ac:dyDescent="0.25">
      <c r="A326" s="1" t="s">
        <v>4148</v>
      </c>
      <c r="B326" s="1" t="s">
        <v>3794</v>
      </c>
      <c r="C326" s="1" t="s">
        <v>3821</v>
      </c>
      <c r="D326" s="1" t="s">
        <v>3867</v>
      </c>
      <c r="E326">
        <v>435004</v>
      </c>
      <c r="F326">
        <v>504598.66</v>
      </c>
      <c r="G326">
        <v>-69594.66</v>
      </c>
      <c r="H326" s="2">
        <v>44980</v>
      </c>
      <c r="I326" s="1" t="s">
        <v>3782</v>
      </c>
      <c r="J326" s="1" t="s">
        <v>3791</v>
      </c>
      <c r="K326" s="1" t="s">
        <v>3804</v>
      </c>
      <c r="L326" s="1" t="s">
        <v>3817</v>
      </c>
    </row>
    <row r="327" spans="1:12" x14ac:dyDescent="0.25">
      <c r="A327" s="1" t="s">
        <v>4149</v>
      </c>
      <c r="B327" s="1" t="s">
        <v>3787</v>
      </c>
      <c r="C327" s="1" t="s">
        <v>3858</v>
      </c>
      <c r="D327" s="1" t="s">
        <v>3837</v>
      </c>
      <c r="E327">
        <v>424596</v>
      </c>
      <c r="F327">
        <v>339971.4</v>
      </c>
      <c r="G327">
        <v>84624.6</v>
      </c>
      <c r="H327" s="2">
        <v>45569</v>
      </c>
      <c r="I327" s="1" t="s">
        <v>3782</v>
      </c>
      <c r="J327" s="1" t="s">
        <v>3783</v>
      </c>
      <c r="K327" s="1" t="s">
        <v>3800</v>
      </c>
      <c r="L327" s="1" t="s">
        <v>3792</v>
      </c>
    </row>
    <row r="328" spans="1:12" x14ac:dyDescent="0.25">
      <c r="A328" s="1" t="s">
        <v>4150</v>
      </c>
      <c r="B328" s="1" t="s">
        <v>3787</v>
      </c>
      <c r="C328" s="1" t="s">
        <v>3795</v>
      </c>
      <c r="D328" s="1" t="s">
        <v>3846</v>
      </c>
      <c r="E328">
        <v>458771</v>
      </c>
      <c r="F328">
        <v>375638.71</v>
      </c>
      <c r="G328">
        <v>83132.289999999994</v>
      </c>
      <c r="H328" s="2">
        <v>45011</v>
      </c>
      <c r="I328" s="1" t="s">
        <v>3790</v>
      </c>
      <c r="J328" s="1" t="s">
        <v>3783</v>
      </c>
      <c r="K328" s="1" t="s">
        <v>3804</v>
      </c>
      <c r="L328" s="1" t="s">
        <v>3792</v>
      </c>
    </row>
    <row r="329" spans="1:12" x14ac:dyDescent="0.25">
      <c r="A329" s="1" t="s">
        <v>4151</v>
      </c>
      <c r="B329" s="1" t="s">
        <v>3798</v>
      </c>
      <c r="C329" s="1" t="s">
        <v>3821</v>
      </c>
      <c r="D329" s="1" t="s">
        <v>3813</v>
      </c>
      <c r="E329">
        <v>377822</v>
      </c>
      <c r="F329">
        <v>320802.62</v>
      </c>
      <c r="G329">
        <v>57019.38</v>
      </c>
      <c r="H329" s="2">
        <v>45329</v>
      </c>
      <c r="I329" s="1" t="s">
        <v>3790</v>
      </c>
      <c r="J329" s="1" t="s">
        <v>3783</v>
      </c>
      <c r="K329" s="1" t="s">
        <v>3784</v>
      </c>
      <c r="L329" s="1" t="s">
        <v>3792</v>
      </c>
    </row>
    <row r="330" spans="1:12" x14ac:dyDescent="0.25">
      <c r="A330" s="1" t="s">
        <v>4152</v>
      </c>
      <c r="B330" s="1" t="s">
        <v>3828</v>
      </c>
      <c r="C330" s="1" t="s">
        <v>3788</v>
      </c>
      <c r="D330" s="1" t="s">
        <v>3855</v>
      </c>
      <c r="E330">
        <v>26148</v>
      </c>
      <c r="F330">
        <v>25412.61</v>
      </c>
      <c r="G330">
        <v>735.39</v>
      </c>
      <c r="H330" s="2">
        <v>45092</v>
      </c>
      <c r="I330" s="1" t="s">
        <v>3790</v>
      </c>
      <c r="J330" s="1" t="s">
        <v>3823</v>
      </c>
      <c r="K330" s="1" t="s">
        <v>3784</v>
      </c>
      <c r="L330" s="1" t="s">
        <v>3785</v>
      </c>
    </row>
    <row r="331" spans="1:12" x14ac:dyDescent="0.25">
      <c r="A331" s="1" t="s">
        <v>4153</v>
      </c>
      <c r="B331" s="1" t="s">
        <v>3811</v>
      </c>
      <c r="C331" s="1" t="s">
        <v>3858</v>
      </c>
      <c r="D331" s="1" t="s">
        <v>3867</v>
      </c>
      <c r="E331">
        <v>64993</v>
      </c>
      <c r="F331">
        <v>57540.42</v>
      </c>
      <c r="G331">
        <v>7452.58</v>
      </c>
      <c r="H331" s="2">
        <v>45564</v>
      </c>
      <c r="I331" s="1" t="s">
        <v>3790</v>
      </c>
      <c r="J331" s="1" t="s">
        <v>3783</v>
      </c>
      <c r="K331" s="1" t="s">
        <v>3800</v>
      </c>
      <c r="L331" s="1" t="s">
        <v>51</v>
      </c>
    </row>
    <row r="332" spans="1:12" x14ac:dyDescent="0.25">
      <c r="A332" s="1" t="s">
        <v>4154</v>
      </c>
      <c r="B332" s="1" t="s">
        <v>3811</v>
      </c>
      <c r="C332" s="1" t="s">
        <v>3844</v>
      </c>
      <c r="D332" s="1" t="s">
        <v>3802</v>
      </c>
      <c r="E332">
        <v>482501</v>
      </c>
      <c r="F332">
        <v>544564.68999999994</v>
      </c>
      <c r="G332">
        <v>-62063.69</v>
      </c>
      <c r="H332" s="2">
        <v>44980</v>
      </c>
      <c r="I332" s="1" t="s">
        <v>3782</v>
      </c>
      <c r="J332" s="1" t="s">
        <v>3783</v>
      </c>
      <c r="K332" s="1" t="s">
        <v>3804</v>
      </c>
      <c r="L332" s="1" t="s">
        <v>3831</v>
      </c>
    </row>
    <row r="333" spans="1:12" x14ac:dyDescent="0.25">
      <c r="A333" s="1" t="s">
        <v>4155</v>
      </c>
      <c r="B333" s="1" t="s">
        <v>3839</v>
      </c>
      <c r="C333" s="1" t="s">
        <v>3821</v>
      </c>
      <c r="D333" s="1" t="s">
        <v>3822</v>
      </c>
      <c r="E333">
        <v>493276</v>
      </c>
      <c r="F333">
        <v>610985.74</v>
      </c>
      <c r="G333">
        <v>-117709.74</v>
      </c>
      <c r="H333" s="2">
        <v>45234</v>
      </c>
      <c r="I333" s="1" t="s">
        <v>3790</v>
      </c>
      <c r="J333" s="1" t="s">
        <v>3783</v>
      </c>
      <c r="K333" s="1" t="s">
        <v>3784</v>
      </c>
      <c r="L333" s="1" t="s">
        <v>51</v>
      </c>
    </row>
    <row r="334" spans="1:12" x14ac:dyDescent="0.25">
      <c r="A334" s="1" t="s">
        <v>4156</v>
      </c>
      <c r="B334" s="1" t="s">
        <v>3808</v>
      </c>
      <c r="C334" s="1" t="s">
        <v>3825</v>
      </c>
      <c r="D334" s="1" t="s">
        <v>3813</v>
      </c>
      <c r="E334">
        <v>86033</v>
      </c>
      <c r="F334">
        <v>80709.67</v>
      </c>
      <c r="G334">
        <v>5323.33</v>
      </c>
      <c r="H334" s="2">
        <v>44927</v>
      </c>
      <c r="I334" s="1" t="s">
        <v>3782</v>
      </c>
      <c r="J334" s="1" t="s">
        <v>3783</v>
      </c>
      <c r="K334" s="1" t="s">
        <v>3804</v>
      </c>
      <c r="L334" s="1" t="s">
        <v>51</v>
      </c>
    </row>
    <row r="335" spans="1:12" x14ac:dyDescent="0.25">
      <c r="A335" s="1" t="s">
        <v>4157</v>
      </c>
      <c r="B335" s="1" t="s">
        <v>3808</v>
      </c>
      <c r="C335" s="1" t="s">
        <v>3825</v>
      </c>
      <c r="D335" s="1" t="s">
        <v>3799</v>
      </c>
      <c r="E335">
        <v>-279029</v>
      </c>
      <c r="G335">
        <v>-38873.03</v>
      </c>
      <c r="H335" s="2">
        <v>45155</v>
      </c>
      <c r="I335" s="1" t="s">
        <v>3790</v>
      </c>
      <c r="J335" s="1" t="s">
        <v>3783</v>
      </c>
      <c r="K335" s="1" t="s">
        <v>3784</v>
      </c>
      <c r="L335" s="1" t="s">
        <v>3785</v>
      </c>
    </row>
    <row r="336" spans="1:12" x14ac:dyDescent="0.25">
      <c r="A336" s="1" t="s">
        <v>4158</v>
      </c>
      <c r="B336" s="1" t="s">
        <v>3828</v>
      </c>
      <c r="C336" s="1" t="s">
        <v>3825</v>
      </c>
      <c r="D336" s="1" t="s">
        <v>3789</v>
      </c>
      <c r="E336">
        <v>383752</v>
      </c>
      <c r="F336">
        <v>410378.48</v>
      </c>
      <c r="G336">
        <v>-26626.48</v>
      </c>
      <c r="H336" s="2">
        <v>45530</v>
      </c>
      <c r="I336" s="1" t="s">
        <v>3782</v>
      </c>
      <c r="J336" s="1" t="s">
        <v>3803</v>
      </c>
      <c r="K336" s="1" t="s">
        <v>3800</v>
      </c>
      <c r="L336" s="1" t="s">
        <v>51</v>
      </c>
    </row>
    <row r="337" spans="1:12" x14ac:dyDescent="0.25">
      <c r="A337" s="1" t="s">
        <v>4159</v>
      </c>
      <c r="B337" s="1" t="s">
        <v>3839</v>
      </c>
      <c r="C337" s="1" t="s">
        <v>3815</v>
      </c>
      <c r="D337" s="1" t="s">
        <v>3826</v>
      </c>
      <c r="E337">
        <v>59701</v>
      </c>
      <c r="G337">
        <v>-1952.11</v>
      </c>
      <c r="H337" s="2">
        <v>45569</v>
      </c>
      <c r="I337" s="1" t="s">
        <v>3790</v>
      </c>
      <c r="J337" s="1" t="s">
        <v>3823</v>
      </c>
      <c r="K337" s="1" t="s">
        <v>3800</v>
      </c>
      <c r="L337" s="1" t="s">
        <v>3785</v>
      </c>
    </row>
    <row r="338" spans="1:12" x14ac:dyDescent="0.25">
      <c r="A338" s="1" t="s">
        <v>4160</v>
      </c>
      <c r="B338" s="1" t="s">
        <v>3808</v>
      </c>
      <c r="C338" s="1" t="s">
        <v>3844</v>
      </c>
      <c r="D338" s="1" t="s">
        <v>3837</v>
      </c>
      <c r="E338">
        <v>87470</v>
      </c>
      <c r="F338">
        <v>98521.95</v>
      </c>
      <c r="G338">
        <v>-11051.95</v>
      </c>
      <c r="H338" s="2">
        <v>45440</v>
      </c>
      <c r="I338" s="1" t="s">
        <v>3790</v>
      </c>
      <c r="J338" s="1" t="s">
        <v>3823</v>
      </c>
      <c r="K338" s="1" t="s">
        <v>3800</v>
      </c>
      <c r="L338" s="1" t="s">
        <v>3785</v>
      </c>
    </row>
    <row r="339" spans="1:12" x14ac:dyDescent="0.25">
      <c r="A339" s="1" t="s">
        <v>4161</v>
      </c>
      <c r="B339" s="1" t="s">
        <v>3794</v>
      </c>
      <c r="C339" s="1" t="s">
        <v>3858</v>
      </c>
      <c r="D339" s="1" t="s">
        <v>3850</v>
      </c>
      <c r="E339">
        <v>37014</v>
      </c>
      <c r="F339">
        <v>35509.760000000002</v>
      </c>
      <c r="G339">
        <v>1504.24</v>
      </c>
      <c r="H339" s="2">
        <v>45088</v>
      </c>
      <c r="I339" s="1" t="s">
        <v>3782</v>
      </c>
      <c r="J339" s="1" t="s">
        <v>3823</v>
      </c>
      <c r="K339" s="1" t="s">
        <v>3784</v>
      </c>
      <c r="L339" s="1" t="s">
        <v>51</v>
      </c>
    </row>
    <row r="340" spans="1:12" x14ac:dyDescent="0.25">
      <c r="A340" s="1" t="s">
        <v>4162</v>
      </c>
      <c r="B340" s="1" t="s">
        <v>3798</v>
      </c>
      <c r="C340" s="1" t="s">
        <v>3780</v>
      </c>
      <c r="D340" s="1" t="s">
        <v>3813</v>
      </c>
      <c r="E340">
        <v>307446</v>
      </c>
      <c r="F340">
        <v>286117.08</v>
      </c>
      <c r="G340">
        <v>21328.92</v>
      </c>
      <c r="H340" s="2">
        <v>45210</v>
      </c>
      <c r="I340" s="1" t="s">
        <v>3790</v>
      </c>
      <c r="J340" s="1" t="s">
        <v>3803</v>
      </c>
      <c r="K340" s="1" t="s">
        <v>3784</v>
      </c>
      <c r="L340" s="1" t="s">
        <v>51</v>
      </c>
    </row>
    <row r="341" spans="1:12" x14ac:dyDescent="0.25">
      <c r="A341" s="1" t="s">
        <v>4163</v>
      </c>
      <c r="B341" s="1" t="s">
        <v>3839</v>
      </c>
      <c r="C341" s="1" t="s">
        <v>3825</v>
      </c>
      <c r="D341" s="1" t="s">
        <v>3895</v>
      </c>
      <c r="E341">
        <v>-4033752</v>
      </c>
      <c r="F341">
        <v>3329796.67</v>
      </c>
      <c r="G341">
        <v>703955.33</v>
      </c>
      <c r="H341" s="2">
        <v>45408</v>
      </c>
      <c r="I341" s="1" t="s">
        <v>3790</v>
      </c>
      <c r="J341" s="1" t="s">
        <v>3823</v>
      </c>
      <c r="K341" s="1" t="s">
        <v>3800</v>
      </c>
      <c r="L341" s="1" t="s">
        <v>51</v>
      </c>
    </row>
    <row r="342" spans="1:12" x14ac:dyDescent="0.25">
      <c r="A342" s="1" t="s">
        <v>4164</v>
      </c>
      <c r="B342" s="1" t="s">
        <v>3839</v>
      </c>
      <c r="C342" s="1" t="s">
        <v>3806</v>
      </c>
      <c r="D342" s="1" t="s">
        <v>3813</v>
      </c>
      <c r="E342">
        <v>126773</v>
      </c>
      <c r="F342">
        <v>141296.37</v>
      </c>
      <c r="G342">
        <v>-14523.37</v>
      </c>
      <c r="H342" s="2">
        <v>45352</v>
      </c>
      <c r="I342" s="1" t="s">
        <v>3790</v>
      </c>
      <c r="J342" s="1" t="s">
        <v>3823</v>
      </c>
      <c r="K342" s="1" t="s">
        <v>3784</v>
      </c>
      <c r="L342" s="1" t="s">
        <v>3785</v>
      </c>
    </row>
    <row r="343" spans="1:12" x14ac:dyDescent="0.25">
      <c r="A343" s="1" t="s">
        <v>4165</v>
      </c>
      <c r="B343" s="1" t="s">
        <v>3839</v>
      </c>
      <c r="C343" s="1" t="s">
        <v>3825</v>
      </c>
      <c r="D343" s="1" t="s">
        <v>3837</v>
      </c>
      <c r="E343">
        <v>404431</v>
      </c>
      <c r="F343">
        <v>452206.81</v>
      </c>
      <c r="H343" s="2">
        <v>45680</v>
      </c>
      <c r="I343" s="1" t="s">
        <v>3859</v>
      </c>
      <c r="J343" s="1" t="s">
        <v>3803</v>
      </c>
      <c r="K343" s="1" t="s">
        <v>3800</v>
      </c>
      <c r="L343" s="1" t="s">
        <v>3792</v>
      </c>
    </row>
    <row r="344" spans="1:12" x14ac:dyDescent="0.25">
      <c r="A344" s="1" t="s">
        <v>4166</v>
      </c>
      <c r="B344" s="1" t="s">
        <v>3839</v>
      </c>
      <c r="C344" s="1" t="s">
        <v>3858</v>
      </c>
      <c r="D344" s="1" t="s">
        <v>3867</v>
      </c>
      <c r="E344">
        <v>52012</v>
      </c>
      <c r="F344">
        <v>43876.37</v>
      </c>
      <c r="G344">
        <v>8135.63</v>
      </c>
      <c r="H344" s="2">
        <v>45417</v>
      </c>
      <c r="I344" s="1" t="s">
        <v>3790</v>
      </c>
      <c r="J344" s="1" t="s">
        <v>3823</v>
      </c>
      <c r="K344" s="1" t="s">
        <v>3800</v>
      </c>
      <c r="L344" s="1" t="s">
        <v>3831</v>
      </c>
    </row>
    <row r="345" spans="1:12" x14ac:dyDescent="0.25">
      <c r="A345" s="1" t="s">
        <v>4167</v>
      </c>
      <c r="B345" s="1" t="s">
        <v>3794</v>
      </c>
      <c r="C345" s="1" t="s">
        <v>3812</v>
      </c>
      <c r="D345" s="1" t="s">
        <v>3816</v>
      </c>
      <c r="E345">
        <v>-254726</v>
      </c>
      <c r="F345">
        <v>252659.65</v>
      </c>
      <c r="G345">
        <v>2066.35</v>
      </c>
      <c r="H345" s="2">
        <v>45316</v>
      </c>
      <c r="I345" s="1" t="s">
        <v>3790</v>
      </c>
      <c r="J345" s="1" t="s">
        <v>3783</v>
      </c>
      <c r="K345" s="1" t="s">
        <v>3784</v>
      </c>
      <c r="L345" s="1" t="s">
        <v>3785</v>
      </c>
    </row>
    <row r="346" spans="1:12" x14ac:dyDescent="0.25">
      <c r="A346" s="1" t="s">
        <v>4168</v>
      </c>
      <c r="B346" s="1" t="s">
        <v>3787</v>
      </c>
      <c r="C346" s="1" t="s">
        <v>3844</v>
      </c>
      <c r="D346" s="1" t="s">
        <v>3822</v>
      </c>
      <c r="E346">
        <v>336844</v>
      </c>
      <c r="F346">
        <v>367169.25</v>
      </c>
      <c r="G346">
        <v>-30325.25</v>
      </c>
      <c r="H346" s="2">
        <v>45707</v>
      </c>
      <c r="I346" s="1" t="s">
        <v>3790</v>
      </c>
      <c r="J346" s="1" t="s">
        <v>3803</v>
      </c>
      <c r="K346" s="1" t="s">
        <v>3800</v>
      </c>
      <c r="L346" s="1" t="s">
        <v>51</v>
      </c>
    </row>
    <row r="347" spans="1:12" x14ac:dyDescent="0.25">
      <c r="A347" s="1" t="s">
        <v>4169</v>
      </c>
      <c r="B347" s="1" t="s">
        <v>3808</v>
      </c>
      <c r="C347" s="1" t="s">
        <v>51</v>
      </c>
      <c r="D347" s="1" t="s">
        <v>3802</v>
      </c>
      <c r="E347">
        <v>474095</v>
      </c>
      <c r="F347">
        <v>385102.35</v>
      </c>
      <c r="G347">
        <v>88992.65</v>
      </c>
      <c r="H347" s="2">
        <v>45226</v>
      </c>
      <c r="I347" s="1" t="s">
        <v>3859</v>
      </c>
      <c r="J347" s="1" t="s">
        <v>3783</v>
      </c>
      <c r="K347" s="1" t="s">
        <v>3784</v>
      </c>
      <c r="L347" s="1" t="s">
        <v>3792</v>
      </c>
    </row>
    <row r="348" spans="1:12" x14ac:dyDescent="0.25">
      <c r="A348" s="1" t="s">
        <v>4170</v>
      </c>
      <c r="B348" s="1" t="s">
        <v>3787</v>
      </c>
      <c r="C348" s="1" t="s">
        <v>3821</v>
      </c>
      <c r="D348" s="1" t="s">
        <v>3850</v>
      </c>
      <c r="E348">
        <v>251199</v>
      </c>
      <c r="F348">
        <v>290685.15000000002</v>
      </c>
      <c r="G348">
        <v>-39486.15</v>
      </c>
      <c r="H348" s="2">
        <v>45685</v>
      </c>
      <c r="I348" s="1" t="s">
        <v>3782</v>
      </c>
      <c r="J348" s="1" t="s">
        <v>3803</v>
      </c>
      <c r="K348" s="1" t="s">
        <v>3800</v>
      </c>
      <c r="L348" s="1" t="s">
        <v>3831</v>
      </c>
    </row>
    <row r="349" spans="1:12" x14ac:dyDescent="0.25">
      <c r="A349" s="1" t="s">
        <v>4171</v>
      </c>
      <c r="B349" s="1" t="s">
        <v>3787</v>
      </c>
      <c r="C349" s="1" t="s">
        <v>3844</v>
      </c>
      <c r="D349" s="1" t="s">
        <v>3826</v>
      </c>
      <c r="E349">
        <v>428567</v>
      </c>
      <c r="F349">
        <v>471952.98</v>
      </c>
      <c r="G349">
        <v>-43385.98</v>
      </c>
      <c r="H349" s="2">
        <v>45420</v>
      </c>
      <c r="I349" s="1" t="s">
        <v>3790</v>
      </c>
      <c r="J349" s="1" t="s">
        <v>3823</v>
      </c>
      <c r="K349" s="1" t="s">
        <v>3800</v>
      </c>
      <c r="L349" s="1" t="s">
        <v>3817</v>
      </c>
    </row>
    <row r="350" spans="1:12" x14ac:dyDescent="0.25">
      <c r="A350" s="1" t="s">
        <v>4172</v>
      </c>
      <c r="B350" s="1" t="s">
        <v>3794</v>
      </c>
      <c r="C350" s="1" t="s">
        <v>3844</v>
      </c>
      <c r="D350" s="1" t="s">
        <v>3850</v>
      </c>
      <c r="E350">
        <v>483664</v>
      </c>
      <c r="F350">
        <v>529402.16</v>
      </c>
      <c r="G350">
        <v>-45738.16</v>
      </c>
      <c r="H350" s="2">
        <v>45466</v>
      </c>
      <c r="I350" s="1" t="s">
        <v>3790</v>
      </c>
      <c r="J350" s="1" t="s">
        <v>3823</v>
      </c>
      <c r="K350" s="1" t="s">
        <v>3800</v>
      </c>
      <c r="L350" s="1" t="s">
        <v>3792</v>
      </c>
    </row>
    <row r="351" spans="1:12" x14ac:dyDescent="0.25">
      <c r="A351" s="1" t="s">
        <v>4173</v>
      </c>
      <c r="B351" s="1" t="s">
        <v>3811</v>
      </c>
      <c r="C351" s="1" t="s">
        <v>3780</v>
      </c>
      <c r="D351" s="1" t="s">
        <v>3855</v>
      </c>
      <c r="E351">
        <v>391654</v>
      </c>
      <c r="G351">
        <v>65597.63</v>
      </c>
      <c r="H351" s="2">
        <v>45409</v>
      </c>
      <c r="I351" s="1" t="s">
        <v>3790</v>
      </c>
      <c r="J351" s="1" t="s">
        <v>3803</v>
      </c>
      <c r="K351" s="1" t="s">
        <v>3800</v>
      </c>
      <c r="L351" s="1" t="s">
        <v>3831</v>
      </c>
    </row>
    <row r="352" spans="1:12" x14ac:dyDescent="0.25">
      <c r="A352" s="1" t="s">
        <v>4174</v>
      </c>
      <c r="B352" s="1" t="s">
        <v>3828</v>
      </c>
      <c r="C352" s="1" t="s">
        <v>3848</v>
      </c>
      <c r="D352" s="1" t="s">
        <v>3837</v>
      </c>
      <c r="E352">
        <v>295989</v>
      </c>
      <c r="F352">
        <v>314647.3</v>
      </c>
      <c r="G352">
        <v>-18658.3</v>
      </c>
      <c r="H352" s="2">
        <v>45135</v>
      </c>
      <c r="I352" s="1" t="s">
        <v>3782</v>
      </c>
      <c r="J352" s="1" t="s">
        <v>3803</v>
      </c>
      <c r="K352" s="1" t="s">
        <v>3784</v>
      </c>
      <c r="L352" s="1" t="s">
        <v>3792</v>
      </c>
    </row>
    <row r="353" spans="1:12" x14ac:dyDescent="0.25">
      <c r="A353" s="1" t="s">
        <v>4175</v>
      </c>
      <c r="B353" s="1" t="s">
        <v>51</v>
      </c>
      <c r="C353" s="1" t="s">
        <v>3821</v>
      </c>
      <c r="D353" s="1" t="s">
        <v>3813</v>
      </c>
      <c r="E353">
        <v>305798</v>
      </c>
      <c r="F353">
        <v>247167.65</v>
      </c>
      <c r="G353">
        <v>58630.35</v>
      </c>
      <c r="H353" s="2">
        <v>45267</v>
      </c>
      <c r="I353" s="1" t="s">
        <v>3790</v>
      </c>
      <c r="J353" s="1" t="s">
        <v>3783</v>
      </c>
      <c r="K353" s="1" t="s">
        <v>3784</v>
      </c>
      <c r="L353" s="1" t="s">
        <v>3785</v>
      </c>
    </row>
    <row r="354" spans="1:12" x14ac:dyDescent="0.25">
      <c r="A354" s="1" t="s">
        <v>4176</v>
      </c>
      <c r="B354" s="1" t="s">
        <v>3808</v>
      </c>
      <c r="C354" s="1" t="s">
        <v>3780</v>
      </c>
      <c r="D354" s="1" t="s">
        <v>3802</v>
      </c>
      <c r="E354">
        <v>4265591</v>
      </c>
      <c r="F354">
        <v>4106997.2</v>
      </c>
      <c r="G354">
        <v>158593.79999999999</v>
      </c>
      <c r="H354" s="2">
        <v>45320</v>
      </c>
      <c r="I354" s="1" t="s">
        <v>3790</v>
      </c>
      <c r="J354" s="1" t="s">
        <v>3823</v>
      </c>
      <c r="K354" s="1" t="s">
        <v>3784</v>
      </c>
      <c r="L354" s="1" t="s">
        <v>51</v>
      </c>
    </row>
    <row r="355" spans="1:12" x14ac:dyDescent="0.25">
      <c r="A355" s="1" t="s">
        <v>4177</v>
      </c>
      <c r="B355" s="1" t="s">
        <v>3787</v>
      </c>
      <c r="C355" s="1" t="s">
        <v>3815</v>
      </c>
      <c r="D355" s="1" t="s">
        <v>3781</v>
      </c>
      <c r="E355">
        <v>30067</v>
      </c>
      <c r="F355">
        <v>32152.35</v>
      </c>
      <c r="G355">
        <v>-2085.35</v>
      </c>
      <c r="H355" s="2">
        <v>45164</v>
      </c>
      <c r="I355" s="1" t="s">
        <v>3790</v>
      </c>
      <c r="J355" s="1" t="s">
        <v>3823</v>
      </c>
      <c r="K355" s="1" t="s">
        <v>3784</v>
      </c>
      <c r="L355" s="1" t="s">
        <v>3785</v>
      </c>
    </row>
    <row r="356" spans="1:12" x14ac:dyDescent="0.25">
      <c r="A356" s="1" t="s">
        <v>4178</v>
      </c>
      <c r="B356" s="1" t="s">
        <v>3808</v>
      </c>
      <c r="C356" s="1" t="s">
        <v>3844</v>
      </c>
      <c r="D356" s="1" t="s">
        <v>3834</v>
      </c>
      <c r="E356">
        <v>439322</v>
      </c>
      <c r="F356">
        <v>512559.35</v>
      </c>
      <c r="G356">
        <v>-73237.350000000006</v>
      </c>
      <c r="H356" s="2">
        <v>45684</v>
      </c>
      <c r="I356" s="1" t="s">
        <v>3790</v>
      </c>
      <c r="J356" s="1" t="s">
        <v>3791</v>
      </c>
      <c r="K356" s="1" t="s">
        <v>3800</v>
      </c>
      <c r="L356" s="1" t="s">
        <v>51</v>
      </c>
    </row>
    <row r="357" spans="1:12" x14ac:dyDescent="0.25">
      <c r="A357" s="1" t="s">
        <v>4179</v>
      </c>
      <c r="B357" s="1" t="s">
        <v>3828</v>
      </c>
      <c r="C357" s="1" t="s">
        <v>3812</v>
      </c>
      <c r="D357" s="1" t="s">
        <v>3850</v>
      </c>
      <c r="E357">
        <v>276241</v>
      </c>
      <c r="F357">
        <v>260577.09</v>
      </c>
      <c r="G357">
        <v>15663.91</v>
      </c>
      <c r="H357" s="2">
        <v>45034</v>
      </c>
      <c r="I357" s="1" t="s">
        <v>3790</v>
      </c>
      <c r="J357" s="1" t="s">
        <v>3791</v>
      </c>
      <c r="K357" s="1" t="s">
        <v>3784</v>
      </c>
      <c r="L357" s="1" t="s">
        <v>51</v>
      </c>
    </row>
    <row r="358" spans="1:12" x14ac:dyDescent="0.25">
      <c r="A358" s="1" t="s">
        <v>4180</v>
      </c>
      <c r="B358" s="1" t="s">
        <v>3811</v>
      </c>
      <c r="C358" s="1" t="s">
        <v>3815</v>
      </c>
      <c r="D358" s="1" t="s">
        <v>3846</v>
      </c>
      <c r="E358">
        <v>55208</v>
      </c>
      <c r="F358">
        <v>70125.36</v>
      </c>
      <c r="G358">
        <v>-14917.36</v>
      </c>
      <c r="H358" s="2">
        <v>45486</v>
      </c>
      <c r="I358" s="1" t="s">
        <v>3790</v>
      </c>
      <c r="J358" s="1" t="s">
        <v>3783</v>
      </c>
      <c r="K358" s="1" t="s">
        <v>3800</v>
      </c>
      <c r="L358" s="1" t="s">
        <v>51</v>
      </c>
    </row>
    <row r="359" spans="1:12" x14ac:dyDescent="0.25">
      <c r="A359" s="1" t="s">
        <v>4181</v>
      </c>
      <c r="B359" s="1" t="s">
        <v>3811</v>
      </c>
      <c r="C359" s="1" t="s">
        <v>3788</v>
      </c>
      <c r="D359" s="1" t="s">
        <v>3813</v>
      </c>
      <c r="E359">
        <v>239291</v>
      </c>
      <c r="F359">
        <v>294400.19</v>
      </c>
      <c r="G359">
        <v>-55109.19</v>
      </c>
      <c r="H359" s="2">
        <v>45093</v>
      </c>
      <c r="I359" s="1" t="s">
        <v>3790</v>
      </c>
      <c r="J359" s="1" t="s">
        <v>3803</v>
      </c>
      <c r="K359" s="1" t="s">
        <v>3784</v>
      </c>
      <c r="L359" s="1" t="s">
        <v>3817</v>
      </c>
    </row>
    <row r="360" spans="1:12" x14ac:dyDescent="0.25">
      <c r="A360" s="1" t="s">
        <v>4182</v>
      </c>
      <c r="B360" s="1" t="s">
        <v>3839</v>
      </c>
      <c r="C360" s="1" t="s">
        <v>3812</v>
      </c>
      <c r="D360" s="1" t="s">
        <v>3816</v>
      </c>
      <c r="E360">
        <v>156023</v>
      </c>
      <c r="F360">
        <v>144831.13</v>
      </c>
      <c r="G360">
        <v>11191.87</v>
      </c>
      <c r="H360" s="2">
        <v>45329</v>
      </c>
      <c r="I360" s="1" t="s">
        <v>3859</v>
      </c>
      <c r="J360" s="1" t="s">
        <v>3791</v>
      </c>
      <c r="K360" s="1" t="s">
        <v>3784</v>
      </c>
      <c r="L360" s="1" t="s">
        <v>3792</v>
      </c>
    </row>
    <row r="361" spans="1:12" x14ac:dyDescent="0.25">
      <c r="A361" s="1" t="s">
        <v>4183</v>
      </c>
      <c r="B361" s="1" t="s">
        <v>3808</v>
      </c>
      <c r="C361" s="1" t="s">
        <v>3806</v>
      </c>
      <c r="D361" s="1" t="s">
        <v>3867</v>
      </c>
      <c r="E361">
        <v>486643</v>
      </c>
      <c r="F361">
        <v>494228.82</v>
      </c>
      <c r="G361">
        <v>-7585.82</v>
      </c>
      <c r="H361" s="2">
        <v>45151</v>
      </c>
      <c r="I361" s="1" t="s">
        <v>3859</v>
      </c>
      <c r="J361" s="1" t="s">
        <v>3803</v>
      </c>
      <c r="K361" s="1" t="s">
        <v>3784</v>
      </c>
      <c r="L361" s="1" t="s">
        <v>3792</v>
      </c>
    </row>
    <row r="362" spans="1:12" x14ac:dyDescent="0.25">
      <c r="A362" s="1" t="s">
        <v>4184</v>
      </c>
      <c r="B362" s="1" t="s">
        <v>3839</v>
      </c>
      <c r="C362" s="1" t="s">
        <v>3858</v>
      </c>
      <c r="D362" s="1" t="s">
        <v>3867</v>
      </c>
      <c r="E362">
        <v>194539</v>
      </c>
      <c r="F362">
        <v>192336.4</v>
      </c>
      <c r="G362">
        <v>2202.6</v>
      </c>
      <c r="H362" s="2">
        <v>45151</v>
      </c>
      <c r="I362" s="1" t="s">
        <v>3782</v>
      </c>
      <c r="J362" s="1" t="s">
        <v>3783</v>
      </c>
      <c r="K362" s="1" t="s">
        <v>3784</v>
      </c>
      <c r="L362" s="1" t="s">
        <v>3809</v>
      </c>
    </row>
    <row r="363" spans="1:12" x14ac:dyDescent="0.25">
      <c r="A363" s="1" t="s">
        <v>4185</v>
      </c>
      <c r="B363" s="1" t="s">
        <v>3828</v>
      </c>
      <c r="C363" s="1" t="s">
        <v>3788</v>
      </c>
      <c r="D363" s="1" t="s">
        <v>3846</v>
      </c>
      <c r="E363">
        <v>117521</v>
      </c>
      <c r="F363">
        <v>147338.94</v>
      </c>
      <c r="G363">
        <v>-29817.94</v>
      </c>
      <c r="H363" s="2">
        <v>45415</v>
      </c>
      <c r="I363" s="1" t="s">
        <v>3790</v>
      </c>
      <c r="J363" s="1" t="s">
        <v>3823</v>
      </c>
      <c r="K363" s="1" t="s">
        <v>3800</v>
      </c>
      <c r="L363" s="1" t="s">
        <v>3817</v>
      </c>
    </row>
    <row r="364" spans="1:12" x14ac:dyDescent="0.25">
      <c r="A364" s="1" t="s">
        <v>4186</v>
      </c>
      <c r="B364" s="1" t="s">
        <v>3787</v>
      </c>
      <c r="C364" s="1" t="s">
        <v>3788</v>
      </c>
      <c r="D364" s="1" t="s">
        <v>3837</v>
      </c>
      <c r="E364">
        <v>253850</v>
      </c>
      <c r="F364">
        <v>223021.17</v>
      </c>
      <c r="G364">
        <v>30828.83</v>
      </c>
      <c r="H364" s="2">
        <v>45037</v>
      </c>
      <c r="I364" s="1" t="s">
        <v>3790</v>
      </c>
      <c r="J364" s="1" t="s">
        <v>3791</v>
      </c>
      <c r="K364" s="1" t="s">
        <v>3784</v>
      </c>
      <c r="L364" s="1" t="s">
        <v>3817</v>
      </c>
    </row>
    <row r="365" spans="1:12" x14ac:dyDescent="0.25">
      <c r="A365" s="1" t="s">
        <v>4187</v>
      </c>
      <c r="B365" s="1" t="s">
        <v>3839</v>
      </c>
      <c r="C365" s="1" t="s">
        <v>3861</v>
      </c>
      <c r="D365" s="1" t="s">
        <v>3789</v>
      </c>
      <c r="E365">
        <v>221390</v>
      </c>
      <c r="F365">
        <v>203658.51</v>
      </c>
      <c r="G365">
        <v>17731.490000000002</v>
      </c>
      <c r="H365" s="2">
        <v>45432</v>
      </c>
      <c r="I365" s="1" t="s">
        <v>3790</v>
      </c>
      <c r="J365" s="1" t="s">
        <v>3803</v>
      </c>
      <c r="K365" s="1" t="s">
        <v>3800</v>
      </c>
      <c r="L365" s="1" t="s">
        <v>3809</v>
      </c>
    </row>
    <row r="366" spans="1:12" x14ac:dyDescent="0.25">
      <c r="A366" s="1" t="s">
        <v>4188</v>
      </c>
      <c r="B366" s="1" t="s">
        <v>3839</v>
      </c>
      <c r="C366" s="1" t="s">
        <v>3812</v>
      </c>
      <c r="D366" s="1" t="s">
        <v>3813</v>
      </c>
      <c r="E366">
        <v>164975</v>
      </c>
      <c r="F366">
        <v>167893.96</v>
      </c>
      <c r="G366">
        <v>-2918.96</v>
      </c>
      <c r="H366" s="2">
        <v>45693</v>
      </c>
      <c r="I366" s="1" t="s">
        <v>3782</v>
      </c>
      <c r="J366" s="1" t="s">
        <v>3823</v>
      </c>
      <c r="K366" s="1" t="s">
        <v>3800</v>
      </c>
      <c r="L366" s="1" t="s">
        <v>51</v>
      </c>
    </row>
    <row r="367" spans="1:12" x14ac:dyDescent="0.25">
      <c r="A367" s="1" t="s">
        <v>4189</v>
      </c>
      <c r="B367" s="1" t="s">
        <v>3839</v>
      </c>
      <c r="C367" s="1" t="s">
        <v>3858</v>
      </c>
      <c r="D367" s="1" t="s">
        <v>3802</v>
      </c>
      <c r="E367">
        <v>486312</v>
      </c>
      <c r="F367">
        <v>493117.33</v>
      </c>
      <c r="G367">
        <v>-6805.33</v>
      </c>
      <c r="H367" s="2">
        <v>45490</v>
      </c>
      <c r="I367" s="1" t="s">
        <v>3790</v>
      </c>
      <c r="J367" s="1" t="s">
        <v>3783</v>
      </c>
      <c r="K367" s="1" t="s">
        <v>3800</v>
      </c>
      <c r="L367" s="1" t="s">
        <v>3785</v>
      </c>
    </row>
    <row r="368" spans="1:12" x14ac:dyDescent="0.25">
      <c r="A368" s="1" t="s">
        <v>4190</v>
      </c>
      <c r="B368" s="1" t="s">
        <v>3808</v>
      </c>
      <c r="C368" s="1" t="s">
        <v>3806</v>
      </c>
      <c r="D368" s="1" t="s">
        <v>3846</v>
      </c>
      <c r="E368">
        <v>460670</v>
      </c>
      <c r="F368">
        <v>595790.31000000006</v>
      </c>
      <c r="G368">
        <v>-135120.31</v>
      </c>
      <c r="H368" s="2">
        <v>45068</v>
      </c>
      <c r="I368" s="1" t="s">
        <v>3790</v>
      </c>
      <c r="J368" s="1" t="s">
        <v>3823</v>
      </c>
      <c r="K368" s="1" t="s">
        <v>3784</v>
      </c>
      <c r="L368" s="1" t="s">
        <v>51</v>
      </c>
    </row>
    <row r="369" spans="1:12" x14ac:dyDescent="0.25">
      <c r="A369" s="1" t="s">
        <v>4191</v>
      </c>
      <c r="B369" s="1" t="s">
        <v>3828</v>
      </c>
      <c r="C369" s="1" t="s">
        <v>3780</v>
      </c>
      <c r="D369" s="1" t="s">
        <v>3837</v>
      </c>
      <c r="E369">
        <v>239146</v>
      </c>
      <c r="F369">
        <v>238892.64</v>
      </c>
      <c r="G369">
        <v>253.36</v>
      </c>
      <c r="H369" s="2">
        <v>45687</v>
      </c>
      <c r="I369" s="1" t="s">
        <v>3790</v>
      </c>
      <c r="J369" s="1" t="s">
        <v>3791</v>
      </c>
      <c r="K369" s="1" t="s">
        <v>3800</v>
      </c>
      <c r="L369" s="1" t="s">
        <v>51</v>
      </c>
    </row>
    <row r="370" spans="1:12" x14ac:dyDescent="0.25">
      <c r="A370" s="1" t="s">
        <v>4192</v>
      </c>
      <c r="B370" s="1" t="s">
        <v>3811</v>
      </c>
      <c r="C370" s="1" t="s">
        <v>3861</v>
      </c>
      <c r="D370" s="1" t="s">
        <v>3826</v>
      </c>
      <c r="E370">
        <v>403214</v>
      </c>
      <c r="F370">
        <v>419622.61</v>
      </c>
      <c r="H370" s="2">
        <v>45398</v>
      </c>
      <c r="I370" s="1" t="s">
        <v>3782</v>
      </c>
      <c r="J370" s="1" t="s">
        <v>3791</v>
      </c>
      <c r="K370" s="1" t="s">
        <v>3800</v>
      </c>
      <c r="L370" s="1" t="s">
        <v>51</v>
      </c>
    </row>
    <row r="371" spans="1:12" x14ac:dyDescent="0.25">
      <c r="A371" s="1" t="s">
        <v>4193</v>
      </c>
      <c r="B371" s="1" t="s">
        <v>3798</v>
      </c>
      <c r="C371" s="1" t="s">
        <v>3858</v>
      </c>
      <c r="D371" s="1" t="s">
        <v>3855</v>
      </c>
      <c r="E371">
        <v>225603</v>
      </c>
      <c r="F371">
        <v>214916.56</v>
      </c>
      <c r="G371">
        <v>10686.44</v>
      </c>
      <c r="H371" s="2">
        <v>45314</v>
      </c>
      <c r="I371" s="1" t="s">
        <v>3782</v>
      </c>
      <c r="J371" s="1" t="s">
        <v>3791</v>
      </c>
      <c r="K371" s="1" t="s">
        <v>3784</v>
      </c>
      <c r="L371" s="1" t="s">
        <v>51</v>
      </c>
    </row>
    <row r="372" spans="1:12" x14ac:dyDescent="0.25">
      <c r="A372" s="1" t="s">
        <v>4194</v>
      </c>
      <c r="B372" s="1" t="s">
        <v>3798</v>
      </c>
      <c r="C372" s="1" t="s">
        <v>3795</v>
      </c>
      <c r="D372" s="1" t="s">
        <v>3789</v>
      </c>
      <c r="E372">
        <v>429569</v>
      </c>
      <c r="F372">
        <v>352146.36</v>
      </c>
      <c r="G372">
        <v>77422.64</v>
      </c>
      <c r="H372" s="2">
        <v>45727</v>
      </c>
      <c r="I372" s="1" t="s">
        <v>3859</v>
      </c>
      <c r="J372" s="1" t="s">
        <v>3791</v>
      </c>
      <c r="K372" s="1" t="s">
        <v>3800</v>
      </c>
      <c r="L372" s="1" t="s">
        <v>51</v>
      </c>
    </row>
    <row r="373" spans="1:12" x14ac:dyDescent="0.25">
      <c r="A373" s="1" t="s">
        <v>4195</v>
      </c>
      <c r="B373" s="1" t="s">
        <v>51</v>
      </c>
      <c r="C373" s="1" t="s">
        <v>3815</v>
      </c>
      <c r="D373" s="1" t="s">
        <v>3867</v>
      </c>
      <c r="E373">
        <v>-391336</v>
      </c>
      <c r="F373">
        <v>431860.77</v>
      </c>
      <c r="H373" s="2">
        <v>45010</v>
      </c>
      <c r="I373" s="1" t="s">
        <v>3790</v>
      </c>
      <c r="J373" s="1" t="s">
        <v>3783</v>
      </c>
      <c r="K373" s="1" t="s">
        <v>3804</v>
      </c>
      <c r="L373" s="1" t="s">
        <v>51</v>
      </c>
    </row>
    <row r="374" spans="1:12" x14ac:dyDescent="0.25">
      <c r="A374" s="1" t="s">
        <v>4196</v>
      </c>
      <c r="B374" s="1" t="s">
        <v>3811</v>
      </c>
      <c r="C374" s="1" t="s">
        <v>3812</v>
      </c>
      <c r="D374" s="1" t="s">
        <v>3796</v>
      </c>
      <c r="E374">
        <v>242792</v>
      </c>
      <c r="F374">
        <v>266048.5</v>
      </c>
      <c r="H374" s="2">
        <v>45401</v>
      </c>
      <c r="I374" s="1" t="s">
        <v>3790</v>
      </c>
      <c r="J374" s="1" t="s">
        <v>3823</v>
      </c>
      <c r="K374" s="1" t="s">
        <v>3800</v>
      </c>
      <c r="L374" s="1" t="s">
        <v>51</v>
      </c>
    </row>
    <row r="375" spans="1:12" x14ac:dyDescent="0.25">
      <c r="A375" s="1" t="s">
        <v>4197</v>
      </c>
      <c r="B375" s="1" t="s">
        <v>3808</v>
      </c>
      <c r="C375" s="1" t="s">
        <v>3848</v>
      </c>
      <c r="D375" s="1" t="s">
        <v>3822</v>
      </c>
      <c r="E375">
        <v>208403</v>
      </c>
      <c r="F375">
        <v>262175.05</v>
      </c>
      <c r="G375">
        <v>-53772.05</v>
      </c>
      <c r="H375" s="2">
        <v>45511</v>
      </c>
      <c r="I375" s="1" t="s">
        <v>3790</v>
      </c>
      <c r="J375" s="1" t="s">
        <v>3803</v>
      </c>
      <c r="K375" s="1" t="s">
        <v>3800</v>
      </c>
      <c r="L375" s="1" t="s">
        <v>51</v>
      </c>
    </row>
    <row r="376" spans="1:12" x14ac:dyDescent="0.25">
      <c r="A376" s="1" t="s">
        <v>4198</v>
      </c>
      <c r="B376" s="1" t="s">
        <v>3828</v>
      </c>
      <c r="C376" s="1" t="s">
        <v>3812</v>
      </c>
      <c r="D376" s="1" t="s">
        <v>3799</v>
      </c>
      <c r="E376">
        <v>489646</v>
      </c>
      <c r="F376">
        <v>571822.06999999995</v>
      </c>
      <c r="G376">
        <v>-82176.070000000007</v>
      </c>
      <c r="H376" s="2">
        <v>45360</v>
      </c>
      <c r="I376" s="1" t="s">
        <v>3790</v>
      </c>
      <c r="J376" s="1" t="s">
        <v>3791</v>
      </c>
      <c r="K376" s="1" t="s">
        <v>3784</v>
      </c>
      <c r="L376" s="1" t="s">
        <v>3817</v>
      </c>
    </row>
    <row r="377" spans="1:12" x14ac:dyDescent="0.25">
      <c r="A377" s="1" t="s">
        <v>4199</v>
      </c>
      <c r="B377" s="1" t="s">
        <v>3798</v>
      </c>
      <c r="C377" s="1" t="s">
        <v>3812</v>
      </c>
      <c r="D377" s="1" t="s">
        <v>3826</v>
      </c>
      <c r="E377">
        <v>411870</v>
      </c>
      <c r="F377">
        <v>511379.26</v>
      </c>
      <c r="G377">
        <v>-99509.26</v>
      </c>
      <c r="H377" s="2">
        <v>45490</v>
      </c>
      <c r="I377" s="1" t="s">
        <v>3790</v>
      </c>
      <c r="J377" s="1" t="s">
        <v>3783</v>
      </c>
      <c r="K377" s="1" t="s">
        <v>3800</v>
      </c>
      <c r="L377" s="1" t="s">
        <v>3809</v>
      </c>
    </row>
    <row r="378" spans="1:12" x14ac:dyDescent="0.25">
      <c r="A378" s="1" t="s">
        <v>4200</v>
      </c>
      <c r="B378" s="1" t="s">
        <v>3828</v>
      </c>
      <c r="C378" s="1" t="s">
        <v>3821</v>
      </c>
      <c r="D378" s="1" t="s">
        <v>3895</v>
      </c>
      <c r="E378">
        <v>108453</v>
      </c>
      <c r="F378">
        <v>93266.07</v>
      </c>
      <c r="G378">
        <v>15186.93</v>
      </c>
      <c r="H378" s="2">
        <v>45601</v>
      </c>
      <c r="I378" s="1" t="s">
        <v>3790</v>
      </c>
      <c r="J378" s="1" t="s">
        <v>3783</v>
      </c>
      <c r="K378" s="1" t="s">
        <v>3800</v>
      </c>
      <c r="L378" s="1" t="s">
        <v>51</v>
      </c>
    </row>
    <row r="379" spans="1:12" x14ac:dyDescent="0.25">
      <c r="A379" s="1" t="s">
        <v>4201</v>
      </c>
      <c r="B379" s="1" t="s">
        <v>3798</v>
      </c>
      <c r="C379" s="1" t="s">
        <v>3821</v>
      </c>
      <c r="D379" s="1" t="s">
        <v>3867</v>
      </c>
      <c r="E379">
        <v>138343</v>
      </c>
      <c r="F379">
        <v>112386.6</v>
      </c>
      <c r="G379">
        <v>25956.400000000001</v>
      </c>
      <c r="H379" s="2">
        <v>45253</v>
      </c>
      <c r="I379" s="1" t="s">
        <v>3782</v>
      </c>
      <c r="J379" s="1" t="s">
        <v>3783</v>
      </c>
      <c r="K379" s="1" t="s">
        <v>3784</v>
      </c>
      <c r="L379" s="1" t="s">
        <v>51</v>
      </c>
    </row>
    <row r="380" spans="1:12" x14ac:dyDescent="0.25">
      <c r="A380" s="1" t="s">
        <v>4202</v>
      </c>
      <c r="B380" s="1" t="s">
        <v>3839</v>
      </c>
      <c r="C380" s="1" t="s">
        <v>3815</v>
      </c>
      <c r="D380" s="1" t="s">
        <v>3850</v>
      </c>
      <c r="E380">
        <v>253357</v>
      </c>
      <c r="F380">
        <v>237003.61</v>
      </c>
      <c r="G380">
        <v>16353.39</v>
      </c>
      <c r="H380" s="2">
        <v>45391</v>
      </c>
      <c r="I380" s="1" t="s">
        <v>3790</v>
      </c>
      <c r="J380" s="1" t="s">
        <v>3823</v>
      </c>
      <c r="K380" s="1" t="s">
        <v>3800</v>
      </c>
      <c r="L380" s="1" t="s">
        <v>3785</v>
      </c>
    </row>
    <row r="381" spans="1:12" x14ac:dyDescent="0.25">
      <c r="A381" s="1" t="s">
        <v>4203</v>
      </c>
      <c r="B381" s="1" t="s">
        <v>3798</v>
      </c>
      <c r="C381" s="1" t="s">
        <v>3788</v>
      </c>
      <c r="D381" s="1" t="s">
        <v>3822</v>
      </c>
      <c r="E381">
        <v>422348</v>
      </c>
      <c r="F381">
        <v>373973.55</v>
      </c>
      <c r="G381">
        <v>48374.45</v>
      </c>
      <c r="H381" s="2">
        <v>45510</v>
      </c>
      <c r="I381" s="1" t="s">
        <v>3782</v>
      </c>
      <c r="J381" s="1" t="s">
        <v>3791</v>
      </c>
      <c r="K381" s="1" t="s">
        <v>3800</v>
      </c>
      <c r="L381" s="1" t="s">
        <v>51</v>
      </c>
    </row>
    <row r="382" spans="1:12" x14ac:dyDescent="0.25">
      <c r="A382" s="1" t="s">
        <v>4204</v>
      </c>
      <c r="B382" s="1" t="s">
        <v>3808</v>
      </c>
      <c r="C382" s="1" t="s">
        <v>3825</v>
      </c>
      <c r="D382" s="1" t="s">
        <v>3895</v>
      </c>
      <c r="E382">
        <v>420845</v>
      </c>
      <c r="F382">
        <v>401109.66</v>
      </c>
      <c r="G382">
        <v>19735.34</v>
      </c>
      <c r="H382" s="2">
        <v>44952</v>
      </c>
      <c r="I382" s="1" t="s">
        <v>3790</v>
      </c>
      <c r="J382" s="1" t="s">
        <v>3823</v>
      </c>
      <c r="K382" s="1" t="s">
        <v>3804</v>
      </c>
      <c r="L382" s="1" t="s">
        <v>51</v>
      </c>
    </row>
    <row r="383" spans="1:12" x14ac:dyDescent="0.25">
      <c r="A383" s="1" t="s">
        <v>4205</v>
      </c>
      <c r="B383" s="1" t="s">
        <v>3839</v>
      </c>
      <c r="C383" s="1" t="s">
        <v>3858</v>
      </c>
      <c r="D383" s="1" t="s">
        <v>3802</v>
      </c>
      <c r="E383">
        <v>332522</v>
      </c>
      <c r="F383">
        <v>273875.71000000002</v>
      </c>
      <c r="G383">
        <v>58646.29</v>
      </c>
      <c r="H383" s="2">
        <v>45088</v>
      </c>
      <c r="I383" s="1" t="s">
        <v>3790</v>
      </c>
      <c r="J383" s="1" t="s">
        <v>3791</v>
      </c>
      <c r="K383" s="1" t="s">
        <v>3784</v>
      </c>
      <c r="L383" s="1" t="s">
        <v>51</v>
      </c>
    </row>
    <row r="384" spans="1:12" x14ac:dyDescent="0.25">
      <c r="A384" s="1" t="s">
        <v>4206</v>
      </c>
      <c r="B384" s="1" t="s">
        <v>3808</v>
      </c>
      <c r="C384" s="1" t="s">
        <v>3815</v>
      </c>
      <c r="D384" s="1" t="s">
        <v>3855</v>
      </c>
      <c r="E384">
        <v>-268398</v>
      </c>
      <c r="F384">
        <v>235037.82</v>
      </c>
      <c r="G384">
        <v>33360.18</v>
      </c>
      <c r="H384" s="2">
        <v>45413</v>
      </c>
      <c r="I384" s="1" t="s">
        <v>3782</v>
      </c>
      <c r="J384" s="1" t="s">
        <v>3803</v>
      </c>
      <c r="K384" s="1" t="s">
        <v>3800</v>
      </c>
      <c r="L384" s="1" t="s">
        <v>51</v>
      </c>
    </row>
    <row r="385" spans="1:12" x14ac:dyDescent="0.25">
      <c r="A385" s="1" t="s">
        <v>4207</v>
      </c>
      <c r="B385" s="1" t="s">
        <v>3811</v>
      </c>
      <c r="C385" s="1" t="s">
        <v>3825</v>
      </c>
      <c r="D385" s="1" t="s">
        <v>3802</v>
      </c>
      <c r="E385">
        <v>166104</v>
      </c>
      <c r="F385">
        <v>164704.53</v>
      </c>
      <c r="G385">
        <v>1399.47</v>
      </c>
      <c r="H385" s="2">
        <v>45390</v>
      </c>
      <c r="I385" s="1" t="s">
        <v>3790</v>
      </c>
      <c r="J385" s="1" t="s">
        <v>3791</v>
      </c>
      <c r="K385" s="1" t="s">
        <v>3800</v>
      </c>
      <c r="L385" s="1" t="s">
        <v>3792</v>
      </c>
    </row>
    <row r="386" spans="1:12" x14ac:dyDescent="0.25">
      <c r="A386" s="1" t="s">
        <v>4208</v>
      </c>
      <c r="B386" s="1" t="s">
        <v>3787</v>
      </c>
      <c r="C386" s="1" t="s">
        <v>3848</v>
      </c>
      <c r="D386" s="1" t="s">
        <v>3813</v>
      </c>
      <c r="E386">
        <v>12538</v>
      </c>
      <c r="F386">
        <v>10350.469999999999</v>
      </c>
      <c r="H386" s="2">
        <v>45136</v>
      </c>
      <c r="I386" s="1" t="s">
        <v>3790</v>
      </c>
      <c r="J386" s="1" t="s">
        <v>3823</v>
      </c>
      <c r="K386" s="1" t="s">
        <v>3784</v>
      </c>
      <c r="L386" s="1" t="s">
        <v>3831</v>
      </c>
    </row>
    <row r="387" spans="1:12" x14ac:dyDescent="0.25">
      <c r="A387" s="1" t="s">
        <v>4209</v>
      </c>
      <c r="B387" s="1" t="s">
        <v>51</v>
      </c>
      <c r="C387" s="1" t="s">
        <v>3848</v>
      </c>
      <c r="D387" s="1" t="s">
        <v>3867</v>
      </c>
      <c r="E387">
        <v>223136</v>
      </c>
      <c r="F387">
        <v>272052.57</v>
      </c>
      <c r="G387">
        <v>-48916.57</v>
      </c>
      <c r="H387" s="2">
        <v>45720</v>
      </c>
      <c r="I387" s="1" t="s">
        <v>3790</v>
      </c>
      <c r="J387" s="1" t="s">
        <v>3803</v>
      </c>
      <c r="K387" s="1" t="s">
        <v>3800</v>
      </c>
      <c r="L387" s="1" t="s">
        <v>3809</v>
      </c>
    </row>
    <row r="388" spans="1:12" x14ac:dyDescent="0.25">
      <c r="A388" s="1" t="s">
        <v>4210</v>
      </c>
      <c r="B388" s="1" t="s">
        <v>3839</v>
      </c>
      <c r="C388" s="1" t="s">
        <v>3825</v>
      </c>
      <c r="D388" s="1" t="s">
        <v>3781</v>
      </c>
      <c r="E388">
        <v>182620</v>
      </c>
      <c r="F388">
        <v>193942.24</v>
      </c>
      <c r="G388">
        <v>-11322.24</v>
      </c>
      <c r="H388" s="2">
        <v>45574</v>
      </c>
      <c r="I388" s="1" t="s">
        <v>3790</v>
      </c>
      <c r="J388" s="1" t="s">
        <v>3783</v>
      </c>
      <c r="K388" s="1" t="s">
        <v>3800</v>
      </c>
      <c r="L388" s="1" t="s">
        <v>51</v>
      </c>
    </row>
    <row r="389" spans="1:12" x14ac:dyDescent="0.25">
      <c r="A389" s="1" t="s">
        <v>4211</v>
      </c>
      <c r="B389" s="1" t="s">
        <v>3787</v>
      </c>
      <c r="C389" s="1" t="s">
        <v>3848</v>
      </c>
      <c r="D389" s="1" t="s">
        <v>3837</v>
      </c>
      <c r="E389">
        <v>323325</v>
      </c>
      <c r="F389">
        <v>281804.53000000003</v>
      </c>
      <c r="G389">
        <v>41520.47</v>
      </c>
      <c r="H389" s="2">
        <v>45447</v>
      </c>
      <c r="I389" s="1" t="s">
        <v>3790</v>
      </c>
      <c r="J389" s="1" t="s">
        <v>3783</v>
      </c>
      <c r="K389" s="1" t="s">
        <v>3800</v>
      </c>
      <c r="L389" s="1" t="s">
        <v>3817</v>
      </c>
    </row>
    <row r="390" spans="1:12" x14ac:dyDescent="0.25">
      <c r="A390" s="1" t="s">
        <v>4212</v>
      </c>
      <c r="B390" s="1" t="s">
        <v>3828</v>
      </c>
      <c r="C390" s="1" t="s">
        <v>3795</v>
      </c>
      <c r="D390" s="1" t="s">
        <v>3822</v>
      </c>
      <c r="E390">
        <v>327303</v>
      </c>
      <c r="F390">
        <v>396053.98</v>
      </c>
      <c r="G390">
        <v>-68750.98</v>
      </c>
      <c r="H390" s="2">
        <v>45583</v>
      </c>
      <c r="I390" s="1" t="s">
        <v>3859</v>
      </c>
      <c r="J390" s="1" t="s">
        <v>3823</v>
      </c>
      <c r="K390" s="1" t="s">
        <v>3800</v>
      </c>
      <c r="L390" s="1" t="s">
        <v>3792</v>
      </c>
    </row>
    <row r="391" spans="1:12" x14ac:dyDescent="0.25">
      <c r="A391" s="1" t="s">
        <v>4213</v>
      </c>
      <c r="B391" s="1" t="s">
        <v>3811</v>
      </c>
      <c r="C391" s="1" t="s">
        <v>3795</v>
      </c>
      <c r="D391" s="1" t="s">
        <v>3799</v>
      </c>
      <c r="E391">
        <v>111860</v>
      </c>
      <c r="F391">
        <v>100608.75</v>
      </c>
      <c r="G391">
        <v>11251.25</v>
      </c>
      <c r="H391" s="2">
        <v>45028</v>
      </c>
      <c r="I391" s="1" t="s">
        <v>3790</v>
      </c>
      <c r="J391" s="1" t="s">
        <v>3791</v>
      </c>
      <c r="K391" s="1" t="s">
        <v>3784</v>
      </c>
      <c r="L391" s="1" t="s">
        <v>3831</v>
      </c>
    </row>
    <row r="392" spans="1:12" x14ac:dyDescent="0.25">
      <c r="A392" s="1" t="s">
        <v>4214</v>
      </c>
      <c r="B392" s="1" t="s">
        <v>3811</v>
      </c>
      <c r="C392" s="1" t="s">
        <v>3848</v>
      </c>
      <c r="D392" s="1" t="s">
        <v>3867</v>
      </c>
      <c r="E392">
        <v>358246</v>
      </c>
      <c r="F392">
        <v>293348.11</v>
      </c>
      <c r="G392">
        <v>64897.89</v>
      </c>
      <c r="H392" s="2">
        <v>45406</v>
      </c>
      <c r="I392" s="1" t="s">
        <v>3790</v>
      </c>
      <c r="J392" s="1" t="s">
        <v>3791</v>
      </c>
      <c r="K392" s="1" t="s">
        <v>3800</v>
      </c>
      <c r="L392" s="1" t="s">
        <v>51</v>
      </c>
    </row>
    <row r="393" spans="1:12" x14ac:dyDescent="0.25">
      <c r="A393" s="1" t="s">
        <v>4215</v>
      </c>
      <c r="B393" s="1" t="s">
        <v>3828</v>
      </c>
      <c r="C393" s="1" t="s">
        <v>3844</v>
      </c>
      <c r="D393" s="1" t="s">
        <v>3781</v>
      </c>
      <c r="E393">
        <v>12064</v>
      </c>
      <c r="F393">
        <v>10549.18</v>
      </c>
      <c r="G393">
        <v>1514.82</v>
      </c>
      <c r="H393" s="2">
        <v>45090</v>
      </c>
      <c r="I393" s="1" t="s">
        <v>3790</v>
      </c>
      <c r="J393" s="1" t="s">
        <v>3823</v>
      </c>
      <c r="K393" s="1" t="s">
        <v>3784</v>
      </c>
      <c r="L393" s="1" t="s">
        <v>51</v>
      </c>
    </row>
    <row r="394" spans="1:12" x14ac:dyDescent="0.25">
      <c r="A394" s="1" t="s">
        <v>4216</v>
      </c>
      <c r="B394" s="1" t="s">
        <v>3798</v>
      </c>
      <c r="C394" s="1" t="s">
        <v>3858</v>
      </c>
      <c r="D394" s="1" t="s">
        <v>3867</v>
      </c>
      <c r="E394">
        <v>296061</v>
      </c>
      <c r="F394">
        <v>300001.24</v>
      </c>
      <c r="G394">
        <v>-3940.24</v>
      </c>
      <c r="H394" s="2">
        <v>45115</v>
      </c>
      <c r="I394" s="1" t="s">
        <v>3782</v>
      </c>
      <c r="J394" s="1" t="s">
        <v>3803</v>
      </c>
      <c r="K394" s="1" t="s">
        <v>3784</v>
      </c>
      <c r="L394" s="1" t="s">
        <v>3831</v>
      </c>
    </row>
    <row r="395" spans="1:12" x14ac:dyDescent="0.25">
      <c r="A395" s="1" t="s">
        <v>4217</v>
      </c>
      <c r="B395" s="1" t="s">
        <v>3787</v>
      </c>
      <c r="C395" s="1" t="s">
        <v>3780</v>
      </c>
      <c r="D395" s="1" t="s">
        <v>3789</v>
      </c>
      <c r="E395">
        <v>30949</v>
      </c>
      <c r="F395">
        <v>25412.68</v>
      </c>
      <c r="H395" s="2">
        <v>45043</v>
      </c>
      <c r="I395" s="1" t="s">
        <v>3790</v>
      </c>
      <c r="J395" s="1" t="s">
        <v>3783</v>
      </c>
      <c r="K395" s="1" t="s">
        <v>3784</v>
      </c>
      <c r="L395" s="1" t="s">
        <v>51</v>
      </c>
    </row>
    <row r="396" spans="1:12" x14ac:dyDescent="0.25">
      <c r="A396" s="1" t="s">
        <v>4218</v>
      </c>
      <c r="B396" s="1" t="s">
        <v>3787</v>
      </c>
      <c r="C396" s="1" t="s">
        <v>3795</v>
      </c>
      <c r="D396" s="1" t="s">
        <v>3850</v>
      </c>
      <c r="E396">
        <v>372466</v>
      </c>
      <c r="F396">
        <v>447228.52</v>
      </c>
      <c r="G396">
        <v>-74762.52</v>
      </c>
      <c r="H396" s="2">
        <v>45328</v>
      </c>
      <c r="I396" s="1" t="s">
        <v>3782</v>
      </c>
      <c r="J396" s="1" t="s">
        <v>3823</v>
      </c>
      <c r="K396" s="1" t="s">
        <v>3784</v>
      </c>
      <c r="L396" s="1" t="s">
        <v>51</v>
      </c>
    </row>
    <row r="397" spans="1:12" x14ac:dyDescent="0.25">
      <c r="A397" s="1" t="s">
        <v>4219</v>
      </c>
      <c r="B397" s="1" t="s">
        <v>3808</v>
      </c>
      <c r="C397" s="1" t="s">
        <v>3844</v>
      </c>
      <c r="D397" s="1" t="s">
        <v>3895</v>
      </c>
      <c r="E397">
        <v>244642</v>
      </c>
      <c r="F397">
        <v>282609.32</v>
      </c>
      <c r="G397">
        <v>-37967.32</v>
      </c>
      <c r="H397" s="2">
        <v>45602</v>
      </c>
      <c r="I397" s="1" t="s">
        <v>3790</v>
      </c>
      <c r="J397" s="1" t="s">
        <v>3803</v>
      </c>
      <c r="K397" s="1" t="s">
        <v>3800</v>
      </c>
      <c r="L397" s="1" t="s">
        <v>3792</v>
      </c>
    </row>
    <row r="398" spans="1:12" x14ac:dyDescent="0.25">
      <c r="A398" s="1" t="s">
        <v>4220</v>
      </c>
      <c r="B398" s="1" t="s">
        <v>3794</v>
      </c>
      <c r="C398" s="1" t="s">
        <v>3861</v>
      </c>
      <c r="D398" s="1" t="s">
        <v>3850</v>
      </c>
      <c r="E398">
        <v>258459</v>
      </c>
      <c r="F398">
        <v>255111.38</v>
      </c>
      <c r="G398">
        <v>3347.62</v>
      </c>
      <c r="H398" s="2">
        <v>45197</v>
      </c>
      <c r="I398" s="1" t="s">
        <v>3790</v>
      </c>
      <c r="J398" s="1" t="s">
        <v>3823</v>
      </c>
      <c r="K398" s="1" t="s">
        <v>3784</v>
      </c>
      <c r="L398" s="1" t="s">
        <v>3809</v>
      </c>
    </row>
    <row r="399" spans="1:12" x14ac:dyDescent="0.25">
      <c r="A399" s="1" t="s">
        <v>4221</v>
      </c>
      <c r="B399" s="1" t="s">
        <v>3808</v>
      </c>
      <c r="C399" s="1" t="s">
        <v>3780</v>
      </c>
      <c r="D399" s="1" t="s">
        <v>3822</v>
      </c>
      <c r="E399">
        <v>202077</v>
      </c>
      <c r="F399">
        <v>207699.46</v>
      </c>
      <c r="G399">
        <v>-5622.46</v>
      </c>
      <c r="H399" s="2">
        <v>45387</v>
      </c>
      <c r="I399" s="1" t="s">
        <v>3859</v>
      </c>
      <c r="J399" s="1" t="s">
        <v>3803</v>
      </c>
      <c r="K399" s="1" t="s">
        <v>3800</v>
      </c>
      <c r="L399" s="1" t="s">
        <v>51</v>
      </c>
    </row>
    <row r="400" spans="1:12" x14ac:dyDescent="0.25">
      <c r="A400" s="1" t="s">
        <v>4018</v>
      </c>
      <c r="B400" s="1" t="s">
        <v>3787</v>
      </c>
      <c r="C400" s="1" t="s">
        <v>3795</v>
      </c>
      <c r="D400" s="1" t="s">
        <v>3813</v>
      </c>
      <c r="E400">
        <v>209841</v>
      </c>
      <c r="F400">
        <v>267667.65000000002</v>
      </c>
      <c r="G400">
        <v>-57826.65</v>
      </c>
      <c r="H400" s="2">
        <v>45566</v>
      </c>
      <c r="I400" s="1" t="s">
        <v>3790</v>
      </c>
      <c r="J400" s="1" t="s">
        <v>3803</v>
      </c>
      <c r="K400" s="1" t="s">
        <v>3800</v>
      </c>
      <c r="L400" s="1" t="s">
        <v>3831</v>
      </c>
    </row>
    <row r="401" spans="1:12" x14ac:dyDescent="0.25">
      <c r="A401" s="1" t="s">
        <v>4222</v>
      </c>
      <c r="B401" s="1" t="s">
        <v>3787</v>
      </c>
      <c r="C401" s="1" t="s">
        <v>3795</v>
      </c>
      <c r="D401" s="1" t="s">
        <v>3850</v>
      </c>
      <c r="E401">
        <v>451509</v>
      </c>
      <c r="F401">
        <v>530679.26</v>
      </c>
      <c r="G401">
        <v>-79170.259999999995</v>
      </c>
      <c r="H401" s="2">
        <v>45224</v>
      </c>
      <c r="I401" s="1" t="s">
        <v>3790</v>
      </c>
      <c r="J401" s="1" t="s">
        <v>3803</v>
      </c>
      <c r="K401" s="1" t="s">
        <v>3784</v>
      </c>
      <c r="L401" s="1" t="s">
        <v>51</v>
      </c>
    </row>
    <row r="402" spans="1:12" x14ac:dyDescent="0.25">
      <c r="A402" s="1" t="s">
        <v>4223</v>
      </c>
      <c r="B402" s="1" t="s">
        <v>3839</v>
      </c>
      <c r="C402" s="1" t="s">
        <v>51</v>
      </c>
      <c r="D402" s="1" t="s">
        <v>3846</v>
      </c>
      <c r="E402">
        <v>163925</v>
      </c>
      <c r="F402">
        <v>157330.82</v>
      </c>
      <c r="G402">
        <v>6594.18</v>
      </c>
      <c r="H402" s="2">
        <v>45222</v>
      </c>
      <c r="I402" s="1" t="s">
        <v>3790</v>
      </c>
      <c r="J402" s="1" t="s">
        <v>3791</v>
      </c>
      <c r="K402" s="1" t="s">
        <v>3784</v>
      </c>
      <c r="L402" s="1" t="s">
        <v>3792</v>
      </c>
    </row>
    <row r="403" spans="1:12" x14ac:dyDescent="0.25">
      <c r="A403" s="1" t="s">
        <v>4224</v>
      </c>
      <c r="B403" s="1" t="s">
        <v>3798</v>
      </c>
      <c r="C403" s="1" t="s">
        <v>3848</v>
      </c>
      <c r="D403" s="1" t="s">
        <v>3826</v>
      </c>
      <c r="E403">
        <v>355503</v>
      </c>
      <c r="F403">
        <v>400742.71</v>
      </c>
      <c r="G403">
        <v>-45239.71</v>
      </c>
      <c r="H403" s="2">
        <v>45236</v>
      </c>
      <c r="I403" s="1" t="s">
        <v>3790</v>
      </c>
      <c r="J403" s="1" t="s">
        <v>3783</v>
      </c>
      <c r="K403" s="1" t="s">
        <v>3784</v>
      </c>
      <c r="L403" s="1" t="s">
        <v>3817</v>
      </c>
    </row>
    <row r="404" spans="1:12" x14ac:dyDescent="0.25">
      <c r="A404" s="1" t="s">
        <v>4225</v>
      </c>
      <c r="B404" s="1" t="s">
        <v>3794</v>
      </c>
      <c r="C404" s="1" t="s">
        <v>3812</v>
      </c>
      <c r="D404" s="1" t="s">
        <v>3834</v>
      </c>
      <c r="E404">
        <v>317282</v>
      </c>
      <c r="F404">
        <v>354047.57</v>
      </c>
      <c r="G404">
        <v>-36765.57</v>
      </c>
      <c r="H404" s="2">
        <v>44959</v>
      </c>
      <c r="I404" s="1" t="s">
        <v>3790</v>
      </c>
      <c r="J404" s="1" t="s">
        <v>3791</v>
      </c>
      <c r="K404" s="1" t="s">
        <v>3804</v>
      </c>
      <c r="L404" s="1" t="s">
        <v>51</v>
      </c>
    </row>
    <row r="405" spans="1:12" x14ac:dyDescent="0.25">
      <c r="A405" s="1" t="s">
        <v>4226</v>
      </c>
      <c r="B405" s="1" t="s">
        <v>3798</v>
      </c>
      <c r="C405" s="1" t="s">
        <v>3848</v>
      </c>
      <c r="D405" s="1" t="s">
        <v>3813</v>
      </c>
      <c r="E405">
        <v>29791</v>
      </c>
      <c r="F405">
        <v>32121.77</v>
      </c>
      <c r="G405">
        <v>-2330.77</v>
      </c>
      <c r="H405" s="2">
        <v>44997</v>
      </c>
      <c r="I405" s="1" t="s">
        <v>3790</v>
      </c>
      <c r="J405" s="1" t="s">
        <v>3803</v>
      </c>
      <c r="K405" s="1" t="s">
        <v>3804</v>
      </c>
      <c r="L405" s="1" t="s">
        <v>51</v>
      </c>
    </row>
    <row r="406" spans="1:12" x14ac:dyDescent="0.25">
      <c r="A406" s="1" t="s">
        <v>4227</v>
      </c>
      <c r="B406" s="1" t="s">
        <v>3794</v>
      </c>
      <c r="C406" s="1" t="s">
        <v>3795</v>
      </c>
      <c r="D406" s="1" t="s">
        <v>3826</v>
      </c>
      <c r="E406">
        <v>260298</v>
      </c>
      <c r="F406">
        <v>302710.19</v>
      </c>
      <c r="G406">
        <v>-42412.19</v>
      </c>
      <c r="H406" s="2">
        <v>45018</v>
      </c>
      <c r="I406" s="1" t="s">
        <v>3790</v>
      </c>
      <c r="J406" s="1" t="s">
        <v>3823</v>
      </c>
      <c r="K406" s="1" t="s">
        <v>3784</v>
      </c>
      <c r="L406" s="1" t="s">
        <v>51</v>
      </c>
    </row>
    <row r="407" spans="1:12" x14ac:dyDescent="0.25">
      <c r="A407" s="1" t="s">
        <v>4228</v>
      </c>
      <c r="B407" s="1" t="s">
        <v>3794</v>
      </c>
      <c r="C407" s="1" t="s">
        <v>3815</v>
      </c>
      <c r="D407" s="1" t="s">
        <v>3796</v>
      </c>
      <c r="E407">
        <v>170062</v>
      </c>
      <c r="F407">
        <v>201142.77</v>
      </c>
      <c r="G407">
        <v>-31080.77</v>
      </c>
      <c r="H407" s="2">
        <v>45721</v>
      </c>
      <c r="I407" s="1" t="s">
        <v>3790</v>
      </c>
      <c r="J407" s="1" t="s">
        <v>3791</v>
      </c>
      <c r="K407" s="1" t="s">
        <v>3800</v>
      </c>
      <c r="L407" s="1" t="s">
        <v>3792</v>
      </c>
    </row>
    <row r="408" spans="1:12" x14ac:dyDescent="0.25">
      <c r="A408" s="1" t="s">
        <v>4229</v>
      </c>
      <c r="B408" s="1" t="s">
        <v>3794</v>
      </c>
      <c r="C408" s="1" t="s">
        <v>3795</v>
      </c>
      <c r="D408" s="1" t="s">
        <v>3789</v>
      </c>
      <c r="E408">
        <v>493046</v>
      </c>
      <c r="F408">
        <v>516759.34</v>
      </c>
      <c r="G408">
        <v>-23713.34</v>
      </c>
      <c r="H408" s="2">
        <v>45268</v>
      </c>
      <c r="I408" s="1" t="s">
        <v>3790</v>
      </c>
      <c r="J408" s="1" t="s">
        <v>3783</v>
      </c>
      <c r="K408" s="1" t="s">
        <v>3784</v>
      </c>
      <c r="L408" s="1" t="s">
        <v>51</v>
      </c>
    </row>
    <row r="409" spans="1:12" x14ac:dyDescent="0.25">
      <c r="A409" s="1" t="s">
        <v>4230</v>
      </c>
      <c r="B409" s="1" t="s">
        <v>3811</v>
      </c>
      <c r="C409" s="1" t="s">
        <v>3844</v>
      </c>
      <c r="D409" s="1" t="s">
        <v>3855</v>
      </c>
      <c r="E409">
        <v>272783</v>
      </c>
      <c r="F409">
        <v>232960.38</v>
      </c>
      <c r="G409">
        <v>39822.620000000003</v>
      </c>
      <c r="H409" s="2">
        <v>45195</v>
      </c>
      <c r="I409" s="1" t="s">
        <v>3790</v>
      </c>
      <c r="J409" s="1" t="s">
        <v>3791</v>
      </c>
      <c r="K409" s="1" t="s">
        <v>3784</v>
      </c>
      <c r="L409" s="1" t="s">
        <v>3785</v>
      </c>
    </row>
    <row r="410" spans="1:12" x14ac:dyDescent="0.25">
      <c r="A410" s="1" t="s">
        <v>4231</v>
      </c>
      <c r="B410" s="1" t="s">
        <v>51</v>
      </c>
      <c r="C410" s="1" t="s">
        <v>3844</v>
      </c>
      <c r="D410" s="1" t="s">
        <v>3816</v>
      </c>
      <c r="E410">
        <v>4688784</v>
      </c>
      <c r="F410">
        <v>3938191.01</v>
      </c>
      <c r="G410">
        <v>750592.99</v>
      </c>
      <c r="H410" s="2">
        <v>45012</v>
      </c>
      <c r="I410" s="1" t="s">
        <v>3859</v>
      </c>
      <c r="J410" s="1" t="s">
        <v>3803</v>
      </c>
      <c r="K410" s="1" t="s">
        <v>3804</v>
      </c>
      <c r="L410" s="1" t="s">
        <v>51</v>
      </c>
    </row>
    <row r="411" spans="1:12" x14ac:dyDescent="0.25">
      <c r="A411" s="1" t="s">
        <v>4232</v>
      </c>
      <c r="B411" s="1" t="s">
        <v>3839</v>
      </c>
      <c r="C411" s="1" t="s">
        <v>3795</v>
      </c>
      <c r="D411" s="1" t="s">
        <v>3834</v>
      </c>
      <c r="E411">
        <v>160016</v>
      </c>
      <c r="F411">
        <v>189994.81</v>
      </c>
      <c r="G411">
        <v>-29978.81</v>
      </c>
      <c r="H411" s="2">
        <v>45348</v>
      </c>
      <c r="I411" s="1" t="s">
        <v>3790</v>
      </c>
      <c r="J411" s="1" t="s">
        <v>3791</v>
      </c>
      <c r="K411" s="1" t="s">
        <v>3784</v>
      </c>
      <c r="L411" s="1" t="s">
        <v>3809</v>
      </c>
    </row>
    <row r="412" spans="1:12" x14ac:dyDescent="0.25">
      <c r="A412" s="1" t="s">
        <v>4233</v>
      </c>
      <c r="B412" s="1" t="s">
        <v>3808</v>
      </c>
      <c r="C412" s="1" t="s">
        <v>3815</v>
      </c>
      <c r="D412" s="1" t="s">
        <v>3855</v>
      </c>
      <c r="E412">
        <v>-30156</v>
      </c>
      <c r="F412">
        <v>30446.67</v>
      </c>
      <c r="G412">
        <v>-290.67</v>
      </c>
      <c r="H412" s="2">
        <v>45153</v>
      </c>
      <c r="I412" s="1" t="s">
        <v>3790</v>
      </c>
      <c r="J412" s="1" t="s">
        <v>3823</v>
      </c>
      <c r="K412" s="1" t="s">
        <v>3784</v>
      </c>
      <c r="L412" s="1" t="s">
        <v>51</v>
      </c>
    </row>
    <row r="413" spans="1:12" x14ac:dyDescent="0.25">
      <c r="A413" s="1" t="s">
        <v>4234</v>
      </c>
      <c r="B413" s="1" t="s">
        <v>3839</v>
      </c>
      <c r="C413" s="1" t="s">
        <v>3806</v>
      </c>
      <c r="D413" s="1" t="s">
        <v>3796</v>
      </c>
      <c r="E413">
        <v>498758</v>
      </c>
      <c r="F413">
        <v>486607.94</v>
      </c>
      <c r="G413">
        <v>12150.06</v>
      </c>
      <c r="H413" s="2">
        <v>45585</v>
      </c>
      <c r="I413" s="1" t="s">
        <v>3782</v>
      </c>
      <c r="J413" s="1" t="s">
        <v>3783</v>
      </c>
      <c r="K413" s="1" t="s">
        <v>3800</v>
      </c>
      <c r="L413" s="1" t="s">
        <v>51</v>
      </c>
    </row>
    <row r="414" spans="1:12" x14ac:dyDescent="0.25">
      <c r="A414" s="1" t="s">
        <v>4235</v>
      </c>
      <c r="B414" s="1" t="s">
        <v>3794</v>
      </c>
      <c r="C414" s="1" t="s">
        <v>3848</v>
      </c>
      <c r="D414" s="1" t="s">
        <v>3813</v>
      </c>
      <c r="E414">
        <v>390496</v>
      </c>
      <c r="F414">
        <v>406666.97</v>
      </c>
      <c r="G414">
        <v>-16170.97</v>
      </c>
      <c r="H414" s="2">
        <v>45132</v>
      </c>
      <c r="I414" s="1" t="s">
        <v>3859</v>
      </c>
      <c r="J414" s="1" t="s">
        <v>3823</v>
      </c>
      <c r="K414" s="1" t="s">
        <v>3784</v>
      </c>
      <c r="L414" s="1" t="s">
        <v>51</v>
      </c>
    </row>
    <row r="415" spans="1:12" x14ac:dyDescent="0.25">
      <c r="A415" s="1" t="s">
        <v>4037</v>
      </c>
      <c r="B415" s="1" t="s">
        <v>3828</v>
      </c>
      <c r="C415" s="1" t="s">
        <v>3812</v>
      </c>
      <c r="D415" s="1" t="s">
        <v>3846</v>
      </c>
      <c r="E415">
        <v>258034</v>
      </c>
      <c r="F415">
        <v>224063.19</v>
      </c>
      <c r="G415">
        <v>33970.81</v>
      </c>
      <c r="H415" s="2">
        <v>45242</v>
      </c>
      <c r="I415" s="1" t="s">
        <v>3790</v>
      </c>
      <c r="J415" s="1" t="s">
        <v>3823</v>
      </c>
      <c r="K415" s="1" t="s">
        <v>3784</v>
      </c>
      <c r="L415" s="1" t="s">
        <v>3809</v>
      </c>
    </row>
    <row r="416" spans="1:12" x14ac:dyDescent="0.25">
      <c r="A416" s="1" t="s">
        <v>4236</v>
      </c>
      <c r="B416" s="1" t="s">
        <v>3828</v>
      </c>
      <c r="C416" s="1" t="s">
        <v>3821</v>
      </c>
      <c r="D416" s="1" t="s">
        <v>3816</v>
      </c>
      <c r="E416">
        <v>379186</v>
      </c>
      <c r="F416">
        <v>388036.42</v>
      </c>
      <c r="G416">
        <v>-8850.42</v>
      </c>
      <c r="H416" s="2">
        <v>44935</v>
      </c>
      <c r="I416" s="1" t="s">
        <v>3790</v>
      </c>
      <c r="J416" s="1" t="s">
        <v>3783</v>
      </c>
      <c r="K416" s="1" t="s">
        <v>3804</v>
      </c>
      <c r="L416" s="1" t="s">
        <v>51</v>
      </c>
    </row>
    <row r="417" spans="1:12" x14ac:dyDescent="0.25">
      <c r="A417" s="1" t="s">
        <v>4237</v>
      </c>
      <c r="B417" s="1" t="s">
        <v>3828</v>
      </c>
      <c r="C417" s="1" t="s">
        <v>3788</v>
      </c>
      <c r="D417" s="1" t="s">
        <v>3834</v>
      </c>
      <c r="E417">
        <v>474316</v>
      </c>
      <c r="F417">
        <v>519064.02</v>
      </c>
      <c r="G417">
        <v>-44748.02</v>
      </c>
      <c r="H417" s="2">
        <v>45674</v>
      </c>
      <c r="I417" s="1" t="s">
        <v>3859</v>
      </c>
      <c r="J417" s="1" t="s">
        <v>3783</v>
      </c>
      <c r="K417" s="1" t="s">
        <v>3800</v>
      </c>
      <c r="L417" s="1" t="s">
        <v>51</v>
      </c>
    </row>
    <row r="418" spans="1:12" x14ac:dyDescent="0.25">
      <c r="A418" s="1" t="s">
        <v>4238</v>
      </c>
      <c r="B418" s="1" t="s">
        <v>3811</v>
      </c>
      <c r="C418" s="1" t="s">
        <v>3861</v>
      </c>
      <c r="D418" s="1" t="s">
        <v>3846</v>
      </c>
      <c r="E418">
        <v>-118413</v>
      </c>
      <c r="F418">
        <v>108123.08</v>
      </c>
      <c r="G418">
        <v>10289.92</v>
      </c>
      <c r="H418" s="2">
        <v>45395</v>
      </c>
      <c r="I418" s="1" t="s">
        <v>3790</v>
      </c>
      <c r="J418" s="1" t="s">
        <v>3783</v>
      </c>
      <c r="K418" s="1" t="s">
        <v>3800</v>
      </c>
      <c r="L418" s="1" t="s">
        <v>3785</v>
      </c>
    </row>
    <row r="419" spans="1:12" x14ac:dyDescent="0.25">
      <c r="A419" s="1" t="s">
        <v>4239</v>
      </c>
      <c r="B419" s="1" t="s">
        <v>3828</v>
      </c>
      <c r="C419" s="1" t="s">
        <v>3780</v>
      </c>
      <c r="D419" s="1" t="s">
        <v>3837</v>
      </c>
      <c r="E419">
        <v>495983</v>
      </c>
      <c r="F419">
        <v>486156.54</v>
      </c>
      <c r="G419">
        <v>9826.4599999999991</v>
      </c>
      <c r="H419" s="2">
        <v>45194</v>
      </c>
      <c r="I419" s="1" t="s">
        <v>3790</v>
      </c>
      <c r="J419" s="1" t="s">
        <v>3791</v>
      </c>
      <c r="K419" s="1" t="s">
        <v>3784</v>
      </c>
      <c r="L419" s="1" t="s">
        <v>3785</v>
      </c>
    </row>
    <row r="420" spans="1:12" x14ac:dyDescent="0.25">
      <c r="A420" s="1" t="s">
        <v>4240</v>
      </c>
      <c r="B420" s="1" t="s">
        <v>3811</v>
      </c>
      <c r="C420" s="1" t="s">
        <v>3844</v>
      </c>
      <c r="D420" s="1" t="s">
        <v>3796</v>
      </c>
      <c r="E420">
        <v>186645</v>
      </c>
      <c r="G420">
        <v>12334.99</v>
      </c>
      <c r="H420" s="2">
        <v>45140</v>
      </c>
      <c r="I420" s="1" t="s">
        <v>3782</v>
      </c>
      <c r="J420" s="1" t="s">
        <v>3803</v>
      </c>
      <c r="K420" s="1" t="s">
        <v>3784</v>
      </c>
      <c r="L420" s="1" t="s">
        <v>3809</v>
      </c>
    </row>
    <row r="421" spans="1:12" x14ac:dyDescent="0.25">
      <c r="A421" s="1" t="s">
        <v>4241</v>
      </c>
      <c r="B421" s="1" t="s">
        <v>51</v>
      </c>
      <c r="C421" s="1" t="s">
        <v>3815</v>
      </c>
      <c r="D421" s="1" t="s">
        <v>3813</v>
      </c>
      <c r="E421">
        <v>342928</v>
      </c>
      <c r="F421">
        <v>445230.91</v>
      </c>
      <c r="G421">
        <v>-102302.91</v>
      </c>
      <c r="H421" s="2">
        <v>45032</v>
      </c>
      <c r="I421" s="1" t="s">
        <v>3790</v>
      </c>
      <c r="J421" s="1" t="s">
        <v>3791</v>
      </c>
      <c r="K421" s="1" t="s">
        <v>3784</v>
      </c>
      <c r="L421" s="1" t="s">
        <v>3809</v>
      </c>
    </row>
    <row r="422" spans="1:12" x14ac:dyDescent="0.25">
      <c r="A422" s="1" t="s">
        <v>4242</v>
      </c>
      <c r="B422" s="1" t="s">
        <v>3787</v>
      </c>
      <c r="C422" s="1" t="s">
        <v>3812</v>
      </c>
      <c r="D422" s="1" t="s">
        <v>3796</v>
      </c>
      <c r="E422">
        <v>389265</v>
      </c>
      <c r="F422">
        <v>359305.9</v>
      </c>
      <c r="G422">
        <v>29959.1</v>
      </c>
      <c r="H422" s="2">
        <v>45577</v>
      </c>
      <c r="I422" s="1" t="s">
        <v>3790</v>
      </c>
      <c r="J422" s="1" t="s">
        <v>3791</v>
      </c>
      <c r="K422" s="1" t="s">
        <v>3800</v>
      </c>
      <c r="L422" s="1" t="s">
        <v>51</v>
      </c>
    </row>
    <row r="423" spans="1:12" x14ac:dyDescent="0.25">
      <c r="A423" s="1" t="s">
        <v>4197</v>
      </c>
      <c r="B423" s="1" t="s">
        <v>3808</v>
      </c>
      <c r="C423" s="1" t="s">
        <v>3848</v>
      </c>
      <c r="D423" s="1" t="s">
        <v>3822</v>
      </c>
      <c r="E423">
        <v>208403</v>
      </c>
      <c r="F423">
        <v>262175.05</v>
      </c>
      <c r="G423">
        <v>-53772.05</v>
      </c>
      <c r="H423" s="2">
        <v>45511</v>
      </c>
      <c r="I423" s="1" t="s">
        <v>3790</v>
      </c>
      <c r="J423" s="1" t="s">
        <v>3803</v>
      </c>
      <c r="K423" s="1" t="s">
        <v>3800</v>
      </c>
      <c r="L423" s="1" t="s">
        <v>51</v>
      </c>
    </row>
    <row r="424" spans="1:12" x14ac:dyDescent="0.25">
      <c r="A424" s="1" t="s">
        <v>4243</v>
      </c>
      <c r="B424" s="1" t="s">
        <v>3787</v>
      </c>
      <c r="C424" s="1" t="s">
        <v>3848</v>
      </c>
      <c r="D424" s="1" t="s">
        <v>3802</v>
      </c>
      <c r="E424">
        <v>197078</v>
      </c>
      <c r="F424">
        <v>238559.88</v>
      </c>
      <c r="G424">
        <v>-41481.879999999997</v>
      </c>
      <c r="H424" s="2">
        <v>45038</v>
      </c>
      <c r="I424" s="1" t="s">
        <v>3790</v>
      </c>
      <c r="J424" s="1" t="s">
        <v>3783</v>
      </c>
      <c r="K424" s="1" t="s">
        <v>3784</v>
      </c>
      <c r="L424" s="1" t="s">
        <v>3792</v>
      </c>
    </row>
    <row r="425" spans="1:12" x14ac:dyDescent="0.25">
      <c r="A425" s="1" t="s">
        <v>4244</v>
      </c>
      <c r="B425" s="1" t="s">
        <v>3839</v>
      </c>
      <c r="C425" s="1" t="s">
        <v>3806</v>
      </c>
      <c r="D425" s="1" t="s">
        <v>3834</v>
      </c>
      <c r="E425">
        <v>469132</v>
      </c>
      <c r="F425">
        <v>453619.26</v>
      </c>
      <c r="G425">
        <v>15512.74</v>
      </c>
      <c r="H425" s="2">
        <v>45285</v>
      </c>
      <c r="I425" s="1" t="s">
        <v>3790</v>
      </c>
      <c r="J425" s="1" t="s">
        <v>3823</v>
      </c>
      <c r="K425" s="1" t="s">
        <v>3784</v>
      </c>
      <c r="L425" s="1" t="s">
        <v>3792</v>
      </c>
    </row>
    <row r="426" spans="1:12" x14ac:dyDescent="0.25">
      <c r="A426" s="1" t="s">
        <v>4245</v>
      </c>
      <c r="B426" s="1" t="s">
        <v>3787</v>
      </c>
      <c r="C426" s="1" t="s">
        <v>3815</v>
      </c>
      <c r="D426" s="1" t="s">
        <v>3837</v>
      </c>
      <c r="E426">
        <v>3584033</v>
      </c>
      <c r="F426">
        <v>3448909.77</v>
      </c>
      <c r="G426">
        <v>135123.23000000001</v>
      </c>
      <c r="H426" s="2">
        <v>45196</v>
      </c>
      <c r="I426" s="1" t="s">
        <v>3790</v>
      </c>
      <c r="J426" s="1" t="s">
        <v>3791</v>
      </c>
      <c r="K426" s="1" t="s">
        <v>3784</v>
      </c>
      <c r="L426" s="1" t="s">
        <v>3792</v>
      </c>
    </row>
    <row r="427" spans="1:12" x14ac:dyDescent="0.25">
      <c r="A427" s="1" t="s">
        <v>4246</v>
      </c>
      <c r="B427" s="1" t="s">
        <v>3839</v>
      </c>
      <c r="C427" s="1" t="s">
        <v>3844</v>
      </c>
      <c r="D427" s="1" t="s">
        <v>3826</v>
      </c>
      <c r="E427">
        <v>31705</v>
      </c>
      <c r="F427">
        <v>30836.74</v>
      </c>
      <c r="G427">
        <v>868.26</v>
      </c>
      <c r="H427" s="2">
        <v>45424</v>
      </c>
      <c r="I427" s="1" t="s">
        <v>3790</v>
      </c>
      <c r="J427" s="1" t="s">
        <v>3783</v>
      </c>
      <c r="K427" s="1" t="s">
        <v>3800</v>
      </c>
      <c r="L427" s="1" t="s">
        <v>51</v>
      </c>
    </row>
    <row r="428" spans="1:12" x14ac:dyDescent="0.25">
      <c r="A428" s="1" t="s">
        <v>4247</v>
      </c>
      <c r="B428" s="1" t="s">
        <v>3798</v>
      </c>
      <c r="C428" s="1" t="s">
        <v>3825</v>
      </c>
      <c r="D428" s="1" t="s">
        <v>3813</v>
      </c>
      <c r="E428">
        <v>68786</v>
      </c>
      <c r="F428">
        <v>71406.789999999994</v>
      </c>
      <c r="G428">
        <v>-2620.79</v>
      </c>
      <c r="H428" s="2">
        <v>45540</v>
      </c>
      <c r="I428" s="1" t="s">
        <v>3859</v>
      </c>
      <c r="J428" s="1" t="s">
        <v>3783</v>
      </c>
      <c r="K428" s="1" t="s">
        <v>3800</v>
      </c>
      <c r="L428" s="1" t="s">
        <v>3785</v>
      </c>
    </row>
    <row r="429" spans="1:12" x14ac:dyDescent="0.25">
      <c r="A429" s="1" t="s">
        <v>4248</v>
      </c>
      <c r="B429" s="1" t="s">
        <v>3787</v>
      </c>
      <c r="C429" s="1" t="s">
        <v>3861</v>
      </c>
      <c r="D429" s="1" t="s">
        <v>3834</v>
      </c>
      <c r="E429">
        <v>160198</v>
      </c>
      <c r="F429">
        <v>159898.99</v>
      </c>
      <c r="G429">
        <v>299.01</v>
      </c>
      <c r="H429" s="2">
        <v>45480</v>
      </c>
      <c r="I429" s="1" t="s">
        <v>3790</v>
      </c>
      <c r="J429" s="1" t="s">
        <v>3803</v>
      </c>
      <c r="K429" s="1" t="s">
        <v>3800</v>
      </c>
      <c r="L429" s="1" t="s">
        <v>51</v>
      </c>
    </row>
    <row r="430" spans="1:12" x14ac:dyDescent="0.25">
      <c r="A430" s="1" t="s">
        <v>4249</v>
      </c>
      <c r="B430" s="1" t="s">
        <v>3828</v>
      </c>
      <c r="C430" s="1" t="s">
        <v>3812</v>
      </c>
      <c r="D430" s="1" t="s">
        <v>3850</v>
      </c>
      <c r="E430">
        <v>385403</v>
      </c>
      <c r="G430">
        <v>28329.64</v>
      </c>
      <c r="H430" s="2">
        <v>45520</v>
      </c>
      <c r="I430" s="1" t="s">
        <v>3790</v>
      </c>
      <c r="J430" s="1" t="s">
        <v>3823</v>
      </c>
      <c r="K430" s="1" t="s">
        <v>3800</v>
      </c>
      <c r="L430" s="1" t="s">
        <v>3809</v>
      </c>
    </row>
    <row r="431" spans="1:12" x14ac:dyDescent="0.25">
      <c r="A431" s="1" t="s">
        <v>4250</v>
      </c>
      <c r="B431" s="1" t="s">
        <v>3794</v>
      </c>
      <c r="C431" s="1" t="s">
        <v>3825</v>
      </c>
      <c r="D431" s="1" t="s">
        <v>3802</v>
      </c>
      <c r="E431">
        <v>211236</v>
      </c>
      <c r="F431">
        <v>224181.03</v>
      </c>
      <c r="G431">
        <v>-12945.03</v>
      </c>
      <c r="H431" s="2">
        <v>45344</v>
      </c>
      <c r="I431" s="1" t="s">
        <v>3782</v>
      </c>
      <c r="J431" s="1" t="s">
        <v>3783</v>
      </c>
      <c r="K431" s="1" t="s">
        <v>3784</v>
      </c>
      <c r="L431" s="1" t="s">
        <v>51</v>
      </c>
    </row>
    <row r="432" spans="1:12" x14ac:dyDescent="0.25">
      <c r="A432" s="1" t="s">
        <v>4251</v>
      </c>
      <c r="B432" s="1" t="s">
        <v>3828</v>
      </c>
      <c r="C432" s="1" t="s">
        <v>3825</v>
      </c>
      <c r="D432" s="1" t="s">
        <v>3816</v>
      </c>
      <c r="E432">
        <v>177999</v>
      </c>
      <c r="F432">
        <v>164780.06</v>
      </c>
      <c r="G432">
        <v>13218.94</v>
      </c>
      <c r="H432" s="2">
        <v>45673</v>
      </c>
      <c r="I432" s="1" t="s">
        <v>3790</v>
      </c>
      <c r="J432" s="1" t="s">
        <v>3803</v>
      </c>
      <c r="K432" s="1" t="s">
        <v>3800</v>
      </c>
      <c r="L432" s="1" t="s">
        <v>51</v>
      </c>
    </row>
    <row r="433" spans="1:12" x14ac:dyDescent="0.25">
      <c r="A433" s="1" t="s">
        <v>4252</v>
      </c>
      <c r="B433" s="1" t="s">
        <v>3811</v>
      </c>
      <c r="C433" s="1" t="s">
        <v>3861</v>
      </c>
      <c r="D433" s="1" t="s">
        <v>3813</v>
      </c>
      <c r="E433">
        <v>421120</v>
      </c>
      <c r="F433">
        <v>523406.55</v>
      </c>
      <c r="G433">
        <v>-102286.55</v>
      </c>
      <c r="H433" s="2">
        <v>45454</v>
      </c>
      <c r="I433" s="1" t="s">
        <v>3859</v>
      </c>
      <c r="J433" s="1" t="s">
        <v>3803</v>
      </c>
      <c r="K433" s="1" t="s">
        <v>3800</v>
      </c>
      <c r="L433" s="1" t="s">
        <v>51</v>
      </c>
    </row>
    <row r="434" spans="1:12" x14ac:dyDescent="0.25">
      <c r="A434" s="1" t="s">
        <v>4253</v>
      </c>
      <c r="B434" s="1" t="s">
        <v>3828</v>
      </c>
      <c r="C434" s="1" t="s">
        <v>3812</v>
      </c>
      <c r="D434" s="1" t="s">
        <v>3834</v>
      </c>
      <c r="E434">
        <v>457162</v>
      </c>
      <c r="F434">
        <v>493650.62</v>
      </c>
      <c r="G434">
        <v>-36488.620000000003</v>
      </c>
      <c r="H434" s="2">
        <v>45324</v>
      </c>
      <c r="I434" s="1" t="s">
        <v>3790</v>
      </c>
      <c r="J434" s="1" t="s">
        <v>3823</v>
      </c>
      <c r="K434" s="1" t="s">
        <v>3784</v>
      </c>
      <c r="L434" s="1" t="s">
        <v>3831</v>
      </c>
    </row>
    <row r="435" spans="1:12" x14ac:dyDescent="0.25">
      <c r="A435" s="1" t="s">
        <v>4254</v>
      </c>
      <c r="B435" s="1" t="s">
        <v>3828</v>
      </c>
      <c r="C435" s="1" t="s">
        <v>3821</v>
      </c>
      <c r="D435" s="1" t="s">
        <v>3799</v>
      </c>
      <c r="E435">
        <v>70751</v>
      </c>
      <c r="G435">
        <v>-103.65</v>
      </c>
      <c r="H435" s="2">
        <v>45498</v>
      </c>
      <c r="I435" s="1" t="s">
        <v>3790</v>
      </c>
      <c r="J435" s="1" t="s">
        <v>3823</v>
      </c>
      <c r="K435" s="1" t="s">
        <v>3800</v>
      </c>
      <c r="L435" s="1" t="s">
        <v>3831</v>
      </c>
    </row>
    <row r="436" spans="1:12" x14ac:dyDescent="0.25">
      <c r="A436" s="1" t="s">
        <v>4255</v>
      </c>
      <c r="B436" s="1" t="s">
        <v>3839</v>
      </c>
      <c r="C436" s="1" t="s">
        <v>3848</v>
      </c>
      <c r="D436" s="1" t="s">
        <v>3802</v>
      </c>
      <c r="E436">
        <v>360402</v>
      </c>
      <c r="F436">
        <v>439137.03</v>
      </c>
      <c r="G436">
        <v>-78735.03</v>
      </c>
      <c r="H436" s="2">
        <v>45063</v>
      </c>
      <c r="I436" s="1" t="s">
        <v>3782</v>
      </c>
      <c r="J436" s="1" t="s">
        <v>3823</v>
      </c>
      <c r="K436" s="1" t="s">
        <v>3784</v>
      </c>
      <c r="L436" s="1" t="s">
        <v>3831</v>
      </c>
    </row>
    <row r="437" spans="1:12" x14ac:dyDescent="0.25">
      <c r="A437" s="1" t="s">
        <v>4256</v>
      </c>
      <c r="B437" s="1" t="s">
        <v>51</v>
      </c>
      <c r="C437" s="1" t="s">
        <v>3812</v>
      </c>
      <c r="D437" s="1" t="s">
        <v>3826</v>
      </c>
      <c r="E437">
        <v>-364146</v>
      </c>
      <c r="F437">
        <v>312185.55</v>
      </c>
      <c r="G437">
        <v>51960.45</v>
      </c>
      <c r="H437" s="2">
        <v>45245</v>
      </c>
      <c r="I437" s="1" t="s">
        <v>3782</v>
      </c>
      <c r="J437" s="1" t="s">
        <v>3823</v>
      </c>
      <c r="K437" s="1" t="s">
        <v>3784</v>
      </c>
      <c r="L437" s="1" t="s">
        <v>3809</v>
      </c>
    </row>
    <row r="438" spans="1:12" x14ac:dyDescent="0.25">
      <c r="A438" s="1" t="s">
        <v>4257</v>
      </c>
      <c r="B438" s="1" t="s">
        <v>3787</v>
      </c>
      <c r="C438" s="1" t="s">
        <v>3858</v>
      </c>
      <c r="D438" s="1" t="s">
        <v>3799</v>
      </c>
      <c r="E438">
        <v>68610</v>
      </c>
      <c r="F438">
        <v>85073.21</v>
      </c>
      <c r="G438">
        <v>-16463.21</v>
      </c>
      <c r="H438" s="2">
        <v>45727</v>
      </c>
      <c r="I438" s="1" t="s">
        <v>3782</v>
      </c>
      <c r="J438" s="1" t="s">
        <v>3823</v>
      </c>
      <c r="K438" s="1" t="s">
        <v>3800</v>
      </c>
      <c r="L438" s="1" t="s">
        <v>3809</v>
      </c>
    </row>
    <row r="439" spans="1:12" x14ac:dyDescent="0.25">
      <c r="A439" s="1" t="s">
        <v>4258</v>
      </c>
      <c r="B439" s="1" t="s">
        <v>3811</v>
      </c>
      <c r="C439" s="1" t="s">
        <v>3861</v>
      </c>
      <c r="D439" s="1" t="s">
        <v>3802</v>
      </c>
      <c r="E439">
        <v>135822</v>
      </c>
      <c r="F439">
        <v>174308.75</v>
      </c>
      <c r="G439">
        <v>-38486.75</v>
      </c>
      <c r="H439" s="2">
        <v>45098</v>
      </c>
      <c r="I439" s="1" t="s">
        <v>3782</v>
      </c>
      <c r="J439" s="1" t="s">
        <v>3791</v>
      </c>
      <c r="K439" s="1" t="s">
        <v>3784</v>
      </c>
      <c r="L439" s="1" t="s">
        <v>3785</v>
      </c>
    </row>
    <row r="440" spans="1:12" x14ac:dyDescent="0.25">
      <c r="A440" s="1" t="s">
        <v>4259</v>
      </c>
      <c r="B440" s="1" t="s">
        <v>3794</v>
      </c>
      <c r="C440" s="1" t="s">
        <v>3780</v>
      </c>
      <c r="D440" s="1" t="s">
        <v>3850</v>
      </c>
      <c r="E440">
        <v>345563</v>
      </c>
      <c r="F440">
        <v>301764.7</v>
      </c>
      <c r="G440">
        <v>43798.3</v>
      </c>
      <c r="H440" s="2">
        <v>45350</v>
      </c>
      <c r="I440" s="1" t="s">
        <v>3782</v>
      </c>
      <c r="J440" s="1" t="s">
        <v>3823</v>
      </c>
      <c r="K440" s="1" t="s">
        <v>3784</v>
      </c>
      <c r="L440" s="1" t="s">
        <v>51</v>
      </c>
    </row>
    <row r="441" spans="1:12" x14ac:dyDescent="0.25">
      <c r="A441" s="1" t="s">
        <v>4260</v>
      </c>
      <c r="B441" s="1" t="s">
        <v>3808</v>
      </c>
      <c r="C441" s="1" t="s">
        <v>3780</v>
      </c>
      <c r="D441" s="1" t="s">
        <v>3796</v>
      </c>
      <c r="E441">
        <v>156894</v>
      </c>
      <c r="F441">
        <v>163264.04999999999</v>
      </c>
      <c r="H441" s="2">
        <v>45654</v>
      </c>
      <c r="I441" s="1" t="s">
        <v>3790</v>
      </c>
      <c r="J441" s="1" t="s">
        <v>3783</v>
      </c>
      <c r="K441" s="1" t="s">
        <v>3800</v>
      </c>
      <c r="L441" s="1" t="s">
        <v>3831</v>
      </c>
    </row>
    <row r="442" spans="1:12" x14ac:dyDescent="0.25">
      <c r="A442" s="1" t="s">
        <v>4261</v>
      </c>
      <c r="B442" s="1" t="s">
        <v>3787</v>
      </c>
      <c r="C442" s="1" t="s">
        <v>3815</v>
      </c>
      <c r="D442" s="1" t="s">
        <v>3796</v>
      </c>
      <c r="E442">
        <v>61984</v>
      </c>
      <c r="F442">
        <v>49905.3</v>
      </c>
      <c r="G442">
        <v>12078.7</v>
      </c>
      <c r="H442" s="2">
        <v>45090</v>
      </c>
      <c r="I442" s="1" t="s">
        <v>3790</v>
      </c>
      <c r="J442" s="1" t="s">
        <v>3791</v>
      </c>
      <c r="K442" s="1" t="s">
        <v>3784</v>
      </c>
      <c r="L442" s="1" t="s">
        <v>51</v>
      </c>
    </row>
    <row r="443" spans="1:12" x14ac:dyDescent="0.25">
      <c r="A443" s="1" t="s">
        <v>4262</v>
      </c>
      <c r="B443" s="1" t="s">
        <v>3787</v>
      </c>
      <c r="C443" s="1" t="s">
        <v>3780</v>
      </c>
      <c r="D443" s="1" t="s">
        <v>3796</v>
      </c>
      <c r="E443">
        <v>369543</v>
      </c>
      <c r="F443">
        <v>335826.66</v>
      </c>
      <c r="G443">
        <v>33716.339999999997</v>
      </c>
      <c r="H443" s="2">
        <v>45720</v>
      </c>
      <c r="I443" s="1" t="s">
        <v>3790</v>
      </c>
      <c r="J443" s="1" t="s">
        <v>3803</v>
      </c>
      <c r="K443" s="1" t="s">
        <v>3800</v>
      </c>
      <c r="L443" s="1" t="s">
        <v>3792</v>
      </c>
    </row>
    <row r="444" spans="1:12" x14ac:dyDescent="0.25">
      <c r="A444" s="1" t="s">
        <v>4263</v>
      </c>
      <c r="B444" s="1" t="s">
        <v>3798</v>
      </c>
      <c r="C444" s="1" t="s">
        <v>3861</v>
      </c>
      <c r="D444" s="1" t="s">
        <v>3895</v>
      </c>
      <c r="E444">
        <v>22047</v>
      </c>
      <c r="F444">
        <v>18732.650000000001</v>
      </c>
      <c r="G444">
        <v>3314.35</v>
      </c>
      <c r="H444" s="2">
        <v>45166</v>
      </c>
      <c r="I444" s="1" t="s">
        <v>3790</v>
      </c>
      <c r="J444" s="1" t="s">
        <v>3783</v>
      </c>
      <c r="K444" s="1" t="s">
        <v>3784</v>
      </c>
      <c r="L444" s="1" t="s">
        <v>51</v>
      </c>
    </row>
    <row r="445" spans="1:12" x14ac:dyDescent="0.25">
      <c r="A445" s="1" t="s">
        <v>4264</v>
      </c>
      <c r="B445" s="1" t="s">
        <v>3811</v>
      </c>
      <c r="C445" s="1" t="s">
        <v>3780</v>
      </c>
      <c r="D445" s="1" t="s">
        <v>3802</v>
      </c>
      <c r="E445">
        <v>459776</v>
      </c>
      <c r="F445">
        <v>483816.84</v>
      </c>
      <c r="G445">
        <v>-24040.84</v>
      </c>
      <c r="H445" s="2">
        <v>45252</v>
      </c>
      <c r="I445" s="1" t="s">
        <v>3790</v>
      </c>
      <c r="J445" s="1" t="s">
        <v>3803</v>
      </c>
      <c r="K445" s="1" t="s">
        <v>3784</v>
      </c>
      <c r="L445" s="1" t="s">
        <v>3785</v>
      </c>
    </row>
    <row r="446" spans="1:12" x14ac:dyDescent="0.25">
      <c r="A446" s="1" t="s">
        <v>4265</v>
      </c>
      <c r="B446" s="1" t="s">
        <v>51</v>
      </c>
      <c r="C446" s="1" t="s">
        <v>3812</v>
      </c>
      <c r="D446" s="1" t="s">
        <v>3822</v>
      </c>
      <c r="E446">
        <v>7126</v>
      </c>
      <c r="F446">
        <v>6813.12</v>
      </c>
      <c r="G446">
        <v>312.88</v>
      </c>
      <c r="H446" s="2">
        <v>45315</v>
      </c>
      <c r="I446" s="1" t="s">
        <v>3790</v>
      </c>
      <c r="J446" s="1" t="s">
        <v>3803</v>
      </c>
      <c r="K446" s="1" t="s">
        <v>3784</v>
      </c>
      <c r="L446" s="1" t="s">
        <v>3817</v>
      </c>
    </row>
    <row r="447" spans="1:12" x14ac:dyDescent="0.25">
      <c r="A447" s="1" t="s">
        <v>4266</v>
      </c>
      <c r="B447" s="1" t="s">
        <v>3787</v>
      </c>
      <c r="C447" s="1" t="s">
        <v>3848</v>
      </c>
      <c r="D447" s="1" t="s">
        <v>3813</v>
      </c>
      <c r="E447">
        <v>240283</v>
      </c>
      <c r="F447">
        <v>238054.36</v>
      </c>
      <c r="G447">
        <v>2228.64</v>
      </c>
      <c r="H447" s="2">
        <v>45507</v>
      </c>
      <c r="I447" s="1" t="s">
        <v>3790</v>
      </c>
      <c r="J447" s="1" t="s">
        <v>3803</v>
      </c>
      <c r="K447" s="1" t="s">
        <v>3800</v>
      </c>
      <c r="L447" s="1" t="s">
        <v>3817</v>
      </c>
    </row>
    <row r="448" spans="1:12" x14ac:dyDescent="0.25">
      <c r="A448" s="1" t="s">
        <v>4267</v>
      </c>
      <c r="B448" s="1" t="s">
        <v>3839</v>
      </c>
      <c r="C448" s="1" t="s">
        <v>3812</v>
      </c>
      <c r="D448" s="1" t="s">
        <v>3822</v>
      </c>
      <c r="E448">
        <v>390911</v>
      </c>
      <c r="F448">
        <v>466963.63</v>
      </c>
      <c r="G448">
        <v>-76052.63</v>
      </c>
      <c r="H448" s="2">
        <v>45199</v>
      </c>
      <c r="I448" s="1" t="s">
        <v>3790</v>
      </c>
      <c r="J448" s="1" t="s">
        <v>3791</v>
      </c>
      <c r="K448" s="1" t="s">
        <v>3784</v>
      </c>
      <c r="L448" s="1" t="s">
        <v>51</v>
      </c>
    </row>
    <row r="449" spans="1:12" x14ac:dyDescent="0.25">
      <c r="A449" s="1" t="s">
        <v>4268</v>
      </c>
      <c r="B449" s="1" t="s">
        <v>3787</v>
      </c>
      <c r="C449" s="1" t="s">
        <v>3821</v>
      </c>
      <c r="D449" s="1" t="s">
        <v>3822</v>
      </c>
      <c r="E449">
        <v>129860</v>
      </c>
      <c r="F449">
        <v>115706.78</v>
      </c>
      <c r="G449">
        <v>14153.22</v>
      </c>
      <c r="H449" s="2">
        <v>45027</v>
      </c>
      <c r="I449" s="1" t="s">
        <v>3790</v>
      </c>
      <c r="J449" s="1" t="s">
        <v>3823</v>
      </c>
      <c r="K449" s="1" t="s">
        <v>3784</v>
      </c>
      <c r="L449" s="1" t="s">
        <v>3831</v>
      </c>
    </row>
    <row r="450" spans="1:12" x14ac:dyDescent="0.25">
      <c r="A450" s="1" t="s">
        <v>4269</v>
      </c>
      <c r="B450" s="1" t="s">
        <v>3798</v>
      </c>
      <c r="C450" s="1" t="s">
        <v>3780</v>
      </c>
      <c r="D450" s="1" t="s">
        <v>3796</v>
      </c>
      <c r="E450">
        <v>486522</v>
      </c>
      <c r="F450">
        <v>422407.6</v>
      </c>
      <c r="G450">
        <v>64114.400000000001</v>
      </c>
      <c r="H450" s="2">
        <v>45148</v>
      </c>
      <c r="I450" s="1" t="s">
        <v>3859</v>
      </c>
      <c r="J450" s="1" t="s">
        <v>3783</v>
      </c>
      <c r="K450" s="1" t="s">
        <v>3784</v>
      </c>
      <c r="L450" s="1" t="s">
        <v>51</v>
      </c>
    </row>
    <row r="451" spans="1:12" x14ac:dyDescent="0.25">
      <c r="A451" s="1" t="s">
        <v>4270</v>
      </c>
      <c r="B451" s="1" t="s">
        <v>3787</v>
      </c>
      <c r="C451" s="1" t="s">
        <v>3858</v>
      </c>
      <c r="D451" s="1" t="s">
        <v>3867</v>
      </c>
      <c r="E451">
        <v>104377</v>
      </c>
      <c r="F451">
        <v>105713.39</v>
      </c>
      <c r="G451">
        <v>-1336.39</v>
      </c>
      <c r="H451" s="2">
        <v>44943</v>
      </c>
      <c r="I451" s="1" t="s">
        <v>3790</v>
      </c>
      <c r="J451" s="1" t="s">
        <v>3823</v>
      </c>
      <c r="K451" s="1" t="s">
        <v>3804</v>
      </c>
      <c r="L451" s="1" t="s">
        <v>51</v>
      </c>
    </row>
    <row r="452" spans="1:12" x14ac:dyDescent="0.25">
      <c r="A452" s="1" t="s">
        <v>4271</v>
      </c>
      <c r="B452" s="1" t="s">
        <v>3811</v>
      </c>
      <c r="C452" s="1" t="s">
        <v>3815</v>
      </c>
      <c r="D452" s="1" t="s">
        <v>3846</v>
      </c>
      <c r="E452">
        <v>385423</v>
      </c>
      <c r="F452">
        <v>436848.89</v>
      </c>
      <c r="G452">
        <v>-51425.89</v>
      </c>
      <c r="H452" s="2">
        <v>44956</v>
      </c>
      <c r="I452" s="1" t="s">
        <v>3790</v>
      </c>
      <c r="J452" s="1" t="s">
        <v>3823</v>
      </c>
      <c r="K452" s="1" t="s">
        <v>3804</v>
      </c>
      <c r="L452" s="1" t="s">
        <v>51</v>
      </c>
    </row>
    <row r="453" spans="1:12" x14ac:dyDescent="0.25">
      <c r="A453" s="1" t="s">
        <v>4272</v>
      </c>
      <c r="B453" s="1" t="s">
        <v>3811</v>
      </c>
      <c r="C453" s="1" t="s">
        <v>3848</v>
      </c>
      <c r="D453" s="1" t="s">
        <v>3813</v>
      </c>
      <c r="E453">
        <v>39349</v>
      </c>
      <c r="G453">
        <v>-5428.59</v>
      </c>
      <c r="H453" s="2">
        <v>45180</v>
      </c>
      <c r="I453" s="1" t="s">
        <v>3790</v>
      </c>
      <c r="J453" s="1" t="s">
        <v>3783</v>
      </c>
      <c r="K453" s="1" t="s">
        <v>3784</v>
      </c>
      <c r="L453" s="1" t="s">
        <v>3817</v>
      </c>
    </row>
    <row r="454" spans="1:12" x14ac:dyDescent="0.25">
      <c r="A454" s="1" t="s">
        <v>4273</v>
      </c>
      <c r="B454" s="1" t="s">
        <v>3839</v>
      </c>
      <c r="C454" s="1" t="s">
        <v>3858</v>
      </c>
      <c r="D454" s="1" t="s">
        <v>3813</v>
      </c>
      <c r="E454">
        <v>211242</v>
      </c>
      <c r="F454">
        <v>197885.54</v>
      </c>
      <c r="G454">
        <v>13356.46</v>
      </c>
      <c r="H454" s="2">
        <v>45380</v>
      </c>
      <c r="I454" s="1" t="s">
        <v>3782</v>
      </c>
      <c r="J454" s="1" t="s">
        <v>3803</v>
      </c>
      <c r="K454" s="1" t="s">
        <v>3784</v>
      </c>
      <c r="L454" s="1" t="s">
        <v>51</v>
      </c>
    </row>
    <row r="455" spans="1:12" x14ac:dyDescent="0.25">
      <c r="A455" s="1" t="s">
        <v>4274</v>
      </c>
      <c r="B455" s="1" t="s">
        <v>3798</v>
      </c>
      <c r="C455" s="1" t="s">
        <v>3812</v>
      </c>
      <c r="D455" s="1" t="s">
        <v>3799</v>
      </c>
      <c r="E455">
        <v>192510</v>
      </c>
      <c r="F455">
        <v>241497.34</v>
      </c>
      <c r="G455">
        <v>-48987.34</v>
      </c>
      <c r="H455" s="2">
        <v>45683</v>
      </c>
      <c r="I455" s="1" t="s">
        <v>3790</v>
      </c>
      <c r="J455" s="1" t="s">
        <v>3783</v>
      </c>
      <c r="K455" s="1" t="s">
        <v>3800</v>
      </c>
      <c r="L455" s="1" t="s">
        <v>51</v>
      </c>
    </row>
    <row r="456" spans="1:12" x14ac:dyDescent="0.25">
      <c r="A456" s="1" t="s">
        <v>4275</v>
      </c>
      <c r="B456" s="1" t="s">
        <v>3798</v>
      </c>
      <c r="C456" s="1" t="s">
        <v>3844</v>
      </c>
      <c r="D456" s="1" t="s">
        <v>3867</v>
      </c>
      <c r="E456">
        <v>372529</v>
      </c>
      <c r="F456">
        <v>330444.99</v>
      </c>
      <c r="G456">
        <v>42084.01</v>
      </c>
      <c r="H456" s="2">
        <v>45362</v>
      </c>
      <c r="I456" s="1" t="s">
        <v>3790</v>
      </c>
      <c r="J456" s="1" t="s">
        <v>3803</v>
      </c>
      <c r="K456" s="1" t="s">
        <v>3784</v>
      </c>
      <c r="L456" s="1" t="s">
        <v>51</v>
      </c>
    </row>
    <row r="457" spans="1:12" x14ac:dyDescent="0.25">
      <c r="A457" s="1" t="s">
        <v>4276</v>
      </c>
      <c r="B457" s="1" t="s">
        <v>3811</v>
      </c>
      <c r="C457" s="1" t="s">
        <v>3795</v>
      </c>
      <c r="D457" s="1" t="s">
        <v>3855</v>
      </c>
      <c r="E457">
        <v>124174</v>
      </c>
      <c r="F457">
        <v>134999.20000000001</v>
      </c>
      <c r="G457">
        <v>-10825.2</v>
      </c>
      <c r="H457" s="2">
        <v>45677</v>
      </c>
      <c r="I457" s="1" t="s">
        <v>3790</v>
      </c>
      <c r="J457" s="1" t="s">
        <v>3803</v>
      </c>
      <c r="K457" s="1" t="s">
        <v>3800</v>
      </c>
      <c r="L457" s="1" t="s">
        <v>51</v>
      </c>
    </row>
    <row r="458" spans="1:12" x14ac:dyDescent="0.25">
      <c r="A458" s="1" t="s">
        <v>4277</v>
      </c>
      <c r="B458" s="1" t="s">
        <v>3811</v>
      </c>
      <c r="C458" s="1" t="s">
        <v>3848</v>
      </c>
      <c r="D458" s="1" t="s">
        <v>3822</v>
      </c>
      <c r="E458">
        <v>1513418</v>
      </c>
      <c r="F458">
        <v>1861019.9</v>
      </c>
      <c r="G458">
        <v>-347601.9</v>
      </c>
      <c r="H458" s="2">
        <v>45568</v>
      </c>
      <c r="I458" s="1" t="s">
        <v>3790</v>
      </c>
      <c r="J458" s="1" t="s">
        <v>3791</v>
      </c>
      <c r="K458" s="1" t="s">
        <v>3800</v>
      </c>
      <c r="L458" s="1" t="s">
        <v>3785</v>
      </c>
    </row>
    <row r="459" spans="1:12" x14ac:dyDescent="0.25">
      <c r="A459" s="1" t="s">
        <v>4278</v>
      </c>
      <c r="B459" s="1" t="s">
        <v>3798</v>
      </c>
      <c r="C459" s="1" t="s">
        <v>3815</v>
      </c>
      <c r="D459" s="1" t="s">
        <v>3781</v>
      </c>
      <c r="E459">
        <v>88024</v>
      </c>
      <c r="F459">
        <v>75983.5</v>
      </c>
      <c r="G459">
        <v>12040.5</v>
      </c>
      <c r="H459" s="2">
        <v>45315</v>
      </c>
      <c r="I459" s="1" t="s">
        <v>3782</v>
      </c>
      <c r="J459" s="1" t="s">
        <v>3823</v>
      </c>
      <c r="K459" s="1" t="s">
        <v>3784</v>
      </c>
      <c r="L459" s="1" t="s">
        <v>3817</v>
      </c>
    </row>
    <row r="460" spans="1:12" x14ac:dyDescent="0.25">
      <c r="A460" s="1" t="s">
        <v>4279</v>
      </c>
      <c r="B460" s="1" t="s">
        <v>3808</v>
      </c>
      <c r="C460" s="1" t="s">
        <v>3815</v>
      </c>
      <c r="D460" s="1" t="s">
        <v>3867</v>
      </c>
      <c r="E460">
        <v>155428</v>
      </c>
      <c r="F460">
        <v>159304.06</v>
      </c>
      <c r="G460">
        <v>-3876.06</v>
      </c>
      <c r="H460" s="2">
        <v>45041</v>
      </c>
      <c r="I460" s="1" t="s">
        <v>3790</v>
      </c>
      <c r="J460" s="1" t="s">
        <v>3783</v>
      </c>
      <c r="K460" s="1" t="s">
        <v>3784</v>
      </c>
      <c r="L460" s="1" t="s">
        <v>3792</v>
      </c>
    </row>
    <row r="461" spans="1:12" x14ac:dyDescent="0.25">
      <c r="A461" s="1" t="s">
        <v>4280</v>
      </c>
      <c r="B461" s="1" t="s">
        <v>3808</v>
      </c>
      <c r="C461" s="1" t="s">
        <v>3844</v>
      </c>
      <c r="D461" s="1" t="s">
        <v>3802</v>
      </c>
      <c r="E461">
        <v>9342</v>
      </c>
      <c r="F461">
        <v>8812.44</v>
      </c>
      <c r="G461">
        <v>529.55999999999995</v>
      </c>
      <c r="H461" s="2">
        <v>45352</v>
      </c>
      <c r="I461" s="1" t="s">
        <v>3790</v>
      </c>
      <c r="J461" s="1" t="s">
        <v>3823</v>
      </c>
      <c r="K461" s="1" t="s">
        <v>3784</v>
      </c>
      <c r="L461" s="1" t="s">
        <v>51</v>
      </c>
    </row>
    <row r="462" spans="1:12" x14ac:dyDescent="0.25">
      <c r="A462" s="1" t="s">
        <v>4281</v>
      </c>
      <c r="B462" s="1" t="s">
        <v>3794</v>
      </c>
      <c r="C462" s="1" t="s">
        <v>3815</v>
      </c>
      <c r="D462" s="1" t="s">
        <v>3789</v>
      </c>
      <c r="E462">
        <v>459794</v>
      </c>
      <c r="F462">
        <v>495521.89</v>
      </c>
      <c r="G462">
        <v>-35727.89</v>
      </c>
      <c r="H462" s="2">
        <v>45256</v>
      </c>
      <c r="I462" s="1" t="s">
        <v>3790</v>
      </c>
      <c r="J462" s="1" t="s">
        <v>3803</v>
      </c>
      <c r="K462" s="1" t="s">
        <v>3784</v>
      </c>
      <c r="L462" s="1" t="s">
        <v>3809</v>
      </c>
    </row>
    <row r="463" spans="1:12" x14ac:dyDescent="0.25">
      <c r="A463" s="1" t="s">
        <v>4282</v>
      </c>
      <c r="B463" s="1" t="s">
        <v>3808</v>
      </c>
      <c r="C463" s="1" t="s">
        <v>3795</v>
      </c>
      <c r="D463" s="1" t="s">
        <v>3850</v>
      </c>
      <c r="E463">
        <v>1152819</v>
      </c>
      <c r="F463">
        <v>976232.83</v>
      </c>
      <c r="G463">
        <v>176586.17</v>
      </c>
      <c r="H463" s="2">
        <v>45329</v>
      </c>
      <c r="I463" s="1" t="s">
        <v>3790</v>
      </c>
      <c r="J463" s="1" t="s">
        <v>3803</v>
      </c>
      <c r="K463" s="1" t="s">
        <v>3784</v>
      </c>
      <c r="L463" s="1" t="s">
        <v>3785</v>
      </c>
    </row>
    <row r="464" spans="1:12" x14ac:dyDescent="0.25">
      <c r="A464" s="1" t="s">
        <v>4283</v>
      </c>
      <c r="B464" s="1" t="s">
        <v>51</v>
      </c>
      <c r="C464" s="1" t="s">
        <v>3821</v>
      </c>
      <c r="D464" s="1" t="s">
        <v>3850</v>
      </c>
      <c r="E464">
        <v>124434</v>
      </c>
      <c r="F464">
        <v>102991.71</v>
      </c>
      <c r="G464">
        <v>21442.29</v>
      </c>
      <c r="H464" s="2">
        <v>45054</v>
      </c>
      <c r="I464" s="1" t="s">
        <v>3859</v>
      </c>
      <c r="J464" s="1" t="s">
        <v>3791</v>
      </c>
      <c r="K464" s="1" t="s">
        <v>3784</v>
      </c>
      <c r="L464" s="1" t="s">
        <v>3817</v>
      </c>
    </row>
    <row r="465" spans="1:12" x14ac:dyDescent="0.25">
      <c r="A465" s="1" t="s">
        <v>4284</v>
      </c>
      <c r="B465" s="1" t="s">
        <v>3794</v>
      </c>
      <c r="C465" s="1" t="s">
        <v>3861</v>
      </c>
      <c r="D465" s="1" t="s">
        <v>3826</v>
      </c>
      <c r="E465">
        <v>337273</v>
      </c>
      <c r="F465">
        <v>283126.71000000002</v>
      </c>
      <c r="G465">
        <v>54146.29</v>
      </c>
      <c r="H465" s="2">
        <v>45037</v>
      </c>
      <c r="I465" s="1" t="s">
        <v>3790</v>
      </c>
      <c r="J465" s="1" t="s">
        <v>3783</v>
      </c>
      <c r="K465" s="1" t="s">
        <v>3784</v>
      </c>
      <c r="L465" s="1" t="s">
        <v>51</v>
      </c>
    </row>
    <row r="466" spans="1:12" x14ac:dyDescent="0.25">
      <c r="A466" s="1" t="s">
        <v>4285</v>
      </c>
      <c r="B466" s="1" t="s">
        <v>3811</v>
      </c>
      <c r="C466" s="1" t="s">
        <v>3795</v>
      </c>
      <c r="D466" s="1" t="s">
        <v>3789</v>
      </c>
      <c r="E466">
        <v>366383</v>
      </c>
      <c r="G466">
        <v>-3244.17</v>
      </c>
      <c r="H466" s="2">
        <v>45373</v>
      </c>
      <c r="I466" s="1" t="s">
        <v>3782</v>
      </c>
      <c r="J466" s="1" t="s">
        <v>3823</v>
      </c>
      <c r="K466" s="1" t="s">
        <v>3784</v>
      </c>
      <c r="L466" s="1" t="s">
        <v>51</v>
      </c>
    </row>
    <row r="467" spans="1:12" x14ac:dyDescent="0.25">
      <c r="A467" s="1" t="s">
        <v>4286</v>
      </c>
      <c r="B467" s="1" t="s">
        <v>3787</v>
      </c>
      <c r="C467" s="1" t="s">
        <v>3812</v>
      </c>
      <c r="D467" s="1" t="s">
        <v>3799</v>
      </c>
      <c r="E467">
        <v>185302</v>
      </c>
      <c r="G467">
        <v>144.37</v>
      </c>
      <c r="H467" s="2">
        <v>44943</v>
      </c>
      <c r="I467" s="1" t="s">
        <v>3790</v>
      </c>
      <c r="J467" s="1" t="s">
        <v>3803</v>
      </c>
      <c r="K467" s="1" t="s">
        <v>3804</v>
      </c>
      <c r="L467" s="1" t="s">
        <v>51</v>
      </c>
    </row>
    <row r="468" spans="1:12" x14ac:dyDescent="0.25">
      <c r="A468" s="1" t="s">
        <v>4287</v>
      </c>
      <c r="B468" s="1" t="s">
        <v>3808</v>
      </c>
      <c r="C468" s="1" t="s">
        <v>3795</v>
      </c>
      <c r="D468" s="1" t="s">
        <v>3850</v>
      </c>
      <c r="E468">
        <v>1730163</v>
      </c>
      <c r="F468">
        <v>1962863.34</v>
      </c>
      <c r="G468">
        <v>-232700.34</v>
      </c>
      <c r="H468" s="2">
        <v>45569</v>
      </c>
      <c r="I468" s="1" t="s">
        <v>3859</v>
      </c>
      <c r="J468" s="1" t="s">
        <v>3791</v>
      </c>
      <c r="K468" s="1" t="s">
        <v>3800</v>
      </c>
      <c r="L468" s="1" t="s">
        <v>3817</v>
      </c>
    </row>
    <row r="469" spans="1:12" x14ac:dyDescent="0.25">
      <c r="A469" s="1" t="s">
        <v>4288</v>
      </c>
      <c r="B469" s="1" t="s">
        <v>3839</v>
      </c>
      <c r="C469" s="1" t="s">
        <v>3825</v>
      </c>
      <c r="D469" s="1" t="s">
        <v>3855</v>
      </c>
      <c r="E469">
        <v>431195</v>
      </c>
      <c r="F469">
        <v>354014.53</v>
      </c>
      <c r="G469">
        <v>77180.47</v>
      </c>
      <c r="H469" s="2">
        <v>44981</v>
      </c>
      <c r="I469" s="1" t="s">
        <v>3790</v>
      </c>
      <c r="J469" s="1" t="s">
        <v>3791</v>
      </c>
      <c r="K469" s="1" t="s">
        <v>3804</v>
      </c>
      <c r="L469" s="1" t="s">
        <v>3785</v>
      </c>
    </row>
    <row r="470" spans="1:12" x14ac:dyDescent="0.25">
      <c r="A470" s="1" t="s">
        <v>4289</v>
      </c>
      <c r="B470" s="1" t="s">
        <v>3787</v>
      </c>
      <c r="C470" s="1" t="s">
        <v>3806</v>
      </c>
      <c r="D470" s="1" t="s">
        <v>3867</v>
      </c>
      <c r="E470">
        <v>468114</v>
      </c>
      <c r="F470">
        <v>486733.61</v>
      </c>
      <c r="G470">
        <v>-18619.61</v>
      </c>
      <c r="H470" s="2">
        <v>45612</v>
      </c>
      <c r="I470" s="1" t="s">
        <v>3790</v>
      </c>
      <c r="J470" s="1" t="s">
        <v>3803</v>
      </c>
      <c r="K470" s="1" t="s">
        <v>3800</v>
      </c>
      <c r="L470" s="1" t="s">
        <v>3785</v>
      </c>
    </row>
    <row r="471" spans="1:12" x14ac:dyDescent="0.25">
      <c r="A471" s="1" t="s">
        <v>4290</v>
      </c>
      <c r="B471" s="1" t="s">
        <v>3839</v>
      </c>
      <c r="C471" s="1" t="s">
        <v>3861</v>
      </c>
      <c r="D471" s="1" t="s">
        <v>3781</v>
      </c>
      <c r="E471">
        <v>106866</v>
      </c>
      <c r="F471">
        <v>111424.06</v>
      </c>
      <c r="G471">
        <v>-4558.0600000000004</v>
      </c>
      <c r="H471" s="2">
        <v>45078</v>
      </c>
      <c r="I471" s="1" t="s">
        <v>3782</v>
      </c>
      <c r="J471" s="1" t="s">
        <v>3823</v>
      </c>
      <c r="K471" s="1" t="s">
        <v>3784</v>
      </c>
      <c r="L471" s="1" t="s">
        <v>3785</v>
      </c>
    </row>
    <row r="472" spans="1:12" x14ac:dyDescent="0.25">
      <c r="A472" s="1" t="s">
        <v>4291</v>
      </c>
      <c r="B472" s="1" t="s">
        <v>3798</v>
      </c>
      <c r="C472" s="1" t="s">
        <v>3858</v>
      </c>
      <c r="D472" s="1" t="s">
        <v>3834</v>
      </c>
      <c r="E472">
        <v>136390</v>
      </c>
      <c r="F472">
        <v>114143.32</v>
      </c>
      <c r="G472">
        <v>22246.68</v>
      </c>
      <c r="H472" s="2">
        <v>45028</v>
      </c>
      <c r="I472" s="1" t="s">
        <v>3790</v>
      </c>
      <c r="J472" s="1" t="s">
        <v>3803</v>
      </c>
      <c r="K472" s="1" t="s">
        <v>3784</v>
      </c>
      <c r="L472" s="1" t="s">
        <v>51</v>
      </c>
    </row>
    <row r="473" spans="1:12" x14ac:dyDescent="0.25">
      <c r="A473" s="1" t="s">
        <v>4292</v>
      </c>
      <c r="B473" s="1" t="s">
        <v>3828</v>
      </c>
      <c r="C473" s="1" t="s">
        <v>3815</v>
      </c>
      <c r="D473" s="1" t="s">
        <v>3813</v>
      </c>
      <c r="E473">
        <v>184423</v>
      </c>
      <c r="F473">
        <v>189513.63</v>
      </c>
      <c r="G473">
        <v>-5090.63</v>
      </c>
      <c r="H473" s="2">
        <v>45679</v>
      </c>
      <c r="I473" s="1" t="s">
        <v>3790</v>
      </c>
      <c r="J473" s="1" t="s">
        <v>3783</v>
      </c>
      <c r="K473" s="1" t="s">
        <v>3800</v>
      </c>
      <c r="L473" s="1" t="s">
        <v>51</v>
      </c>
    </row>
    <row r="474" spans="1:12" x14ac:dyDescent="0.25">
      <c r="A474" s="1" t="s">
        <v>4293</v>
      </c>
      <c r="B474" s="1" t="s">
        <v>3794</v>
      </c>
      <c r="C474" s="1" t="s">
        <v>3806</v>
      </c>
      <c r="D474" s="1" t="s">
        <v>3802</v>
      </c>
      <c r="E474">
        <v>135949</v>
      </c>
      <c r="F474">
        <v>145617.13</v>
      </c>
      <c r="G474">
        <v>-9668.1299999999992</v>
      </c>
      <c r="H474" s="2">
        <v>45664</v>
      </c>
      <c r="I474" s="1" t="s">
        <v>3790</v>
      </c>
      <c r="J474" s="1" t="s">
        <v>3803</v>
      </c>
      <c r="K474" s="1" t="s">
        <v>3800</v>
      </c>
      <c r="L474" s="1" t="s">
        <v>51</v>
      </c>
    </row>
    <row r="475" spans="1:12" x14ac:dyDescent="0.25">
      <c r="A475" s="1" t="s">
        <v>4294</v>
      </c>
      <c r="B475" s="1" t="s">
        <v>3794</v>
      </c>
      <c r="C475" s="1" t="s">
        <v>3861</v>
      </c>
      <c r="D475" s="1" t="s">
        <v>3895</v>
      </c>
      <c r="E475">
        <v>355013</v>
      </c>
      <c r="F475">
        <v>433873.38</v>
      </c>
      <c r="G475">
        <v>-78860.38</v>
      </c>
      <c r="H475" s="2">
        <v>45532</v>
      </c>
      <c r="I475" s="1" t="s">
        <v>3790</v>
      </c>
      <c r="J475" s="1" t="s">
        <v>3783</v>
      </c>
      <c r="K475" s="1" t="s">
        <v>3800</v>
      </c>
      <c r="L475" s="1" t="s">
        <v>51</v>
      </c>
    </row>
    <row r="476" spans="1:12" x14ac:dyDescent="0.25">
      <c r="A476" s="1" t="s">
        <v>4295</v>
      </c>
      <c r="B476" s="1" t="s">
        <v>3839</v>
      </c>
      <c r="C476" s="1" t="s">
        <v>3825</v>
      </c>
      <c r="D476" s="1" t="s">
        <v>3802</v>
      </c>
      <c r="E476">
        <v>-381127</v>
      </c>
      <c r="F476">
        <v>468418.11</v>
      </c>
      <c r="G476">
        <v>-87291.11</v>
      </c>
      <c r="H476" s="2">
        <v>45006</v>
      </c>
      <c r="I476" s="1" t="s">
        <v>3782</v>
      </c>
      <c r="J476" s="1" t="s">
        <v>3803</v>
      </c>
      <c r="K476" s="1" t="s">
        <v>3804</v>
      </c>
      <c r="L476" s="1" t="s">
        <v>51</v>
      </c>
    </row>
    <row r="477" spans="1:12" x14ac:dyDescent="0.25">
      <c r="A477" s="1" t="s">
        <v>4296</v>
      </c>
      <c r="B477" s="1" t="s">
        <v>3811</v>
      </c>
      <c r="C477" s="1" t="s">
        <v>3815</v>
      </c>
      <c r="D477" s="1" t="s">
        <v>3802</v>
      </c>
      <c r="E477">
        <v>229598</v>
      </c>
      <c r="F477">
        <v>234101.51</v>
      </c>
      <c r="G477">
        <v>-4503.51</v>
      </c>
      <c r="H477" s="2">
        <v>44973</v>
      </c>
      <c r="I477" s="1" t="s">
        <v>3782</v>
      </c>
      <c r="J477" s="1" t="s">
        <v>3783</v>
      </c>
      <c r="K477" s="1" t="s">
        <v>3804</v>
      </c>
      <c r="L477" s="1" t="s">
        <v>3831</v>
      </c>
    </row>
    <row r="478" spans="1:12" x14ac:dyDescent="0.25">
      <c r="A478" s="1" t="s">
        <v>4297</v>
      </c>
      <c r="B478" s="1" t="s">
        <v>3787</v>
      </c>
      <c r="C478" s="1" t="s">
        <v>3806</v>
      </c>
      <c r="D478" s="1" t="s">
        <v>3826</v>
      </c>
      <c r="E478">
        <v>352503</v>
      </c>
      <c r="F478">
        <v>351974.97</v>
      </c>
      <c r="H478" s="2">
        <v>45118</v>
      </c>
      <c r="I478" s="1" t="s">
        <v>3790</v>
      </c>
      <c r="J478" s="1" t="s">
        <v>3791</v>
      </c>
      <c r="K478" s="1" t="s">
        <v>3784</v>
      </c>
      <c r="L478" s="1" t="s">
        <v>3785</v>
      </c>
    </row>
    <row r="479" spans="1:12" x14ac:dyDescent="0.25">
      <c r="A479" s="1" t="s">
        <v>4298</v>
      </c>
      <c r="B479" s="1" t="s">
        <v>3811</v>
      </c>
      <c r="C479" s="1" t="s">
        <v>3844</v>
      </c>
      <c r="D479" s="1" t="s">
        <v>3834</v>
      </c>
      <c r="E479">
        <v>404119</v>
      </c>
      <c r="F479">
        <v>507789.71</v>
      </c>
      <c r="G479">
        <v>-103670.71</v>
      </c>
      <c r="H479" s="2">
        <v>45687</v>
      </c>
      <c r="I479" s="1" t="s">
        <v>3782</v>
      </c>
      <c r="J479" s="1" t="s">
        <v>3803</v>
      </c>
      <c r="K479" s="1" t="s">
        <v>3800</v>
      </c>
      <c r="L479" s="1" t="s">
        <v>51</v>
      </c>
    </row>
    <row r="480" spans="1:12" x14ac:dyDescent="0.25">
      <c r="A480" s="1" t="s">
        <v>4299</v>
      </c>
      <c r="B480" s="1" t="s">
        <v>3811</v>
      </c>
      <c r="C480" s="1" t="s">
        <v>3812</v>
      </c>
      <c r="D480" s="1" t="s">
        <v>3826</v>
      </c>
      <c r="E480">
        <v>237486</v>
      </c>
      <c r="G480">
        <v>-62189.72</v>
      </c>
      <c r="H480" s="2">
        <v>45545</v>
      </c>
      <c r="I480" s="1" t="s">
        <v>3790</v>
      </c>
      <c r="J480" s="1" t="s">
        <v>3803</v>
      </c>
      <c r="K480" s="1" t="s">
        <v>3800</v>
      </c>
      <c r="L480" s="1" t="s">
        <v>3817</v>
      </c>
    </row>
    <row r="481" spans="1:12" x14ac:dyDescent="0.25">
      <c r="A481" s="1" t="s">
        <v>4300</v>
      </c>
      <c r="B481" s="1" t="s">
        <v>3811</v>
      </c>
      <c r="C481" s="1" t="s">
        <v>3858</v>
      </c>
      <c r="D481" s="1" t="s">
        <v>3834</v>
      </c>
      <c r="E481">
        <v>433693</v>
      </c>
      <c r="F481">
        <v>367031.48</v>
      </c>
      <c r="G481">
        <v>66661.52</v>
      </c>
      <c r="H481" s="2">
        <v>45297</v>
      </c>
      <c r="I481" s="1" t="s">
        <v>3790</v>
      </c>
      <c r="J481" s="1" t="s">
        <v>3783</v>
      </c>
      <c r="K481" s="1" t="s">
        <v>3784</v>
      </c>
      <c r="L481" s="1" t="s">
        <v>3809</v>
      </c>
    </row>
    <row r="482" spans="1:12" x14ac:dyDescent="0.25">
      <c r="A482" s="1" t="s">
        <v>4301</v>
      </c>
      <c r="B482" s="1" t="s">
        <v>3808</v>
      </c>
      <c r="C482" s="1" t="s">
        <v>3821</v>
      </c>
      <c r="D482" s="1" t="s">
        <v>3799</v>
      </c>
      <c r="E482">
        <v>96611</v>
      </c>
      <c r="F482">
        <v>108653.68</v>
      </c>
      <c r="G482">
        <v>-12042.68</v>
      </c>
      <c r="H482" s="2">
        <v>45297</v>
      </c>
      <c r="I482" s="1" t="s">
        <v>3859</v>
      </c>
      <c r="J482" s="1" t="s">
        <v>3783</v>
      </c>
      <c r="K482" s="1" t="s">
        <v>3784</v>
      </c>
      <c r="L482" s="1" t="s">
        <v>3809</v>
      </c>
    </row>
    <row r="483" spans="1:12" x14ac:dyDescent="0.25">
      <c r="A483" s="1" t="s">
        <v>4302</v>
      </c>
      <c r="B483" s="1" t="s">
        <v>3808</v>
      </c>
      <c r="C483" s="1" t="s">
        <v>3795</v>
      </c>
      <c r="D483" s="1" t="s">
        <v>3850</v>
      </c>
      <c r="E483">
        <v>183443</v>
      </c>
      <c r="F483">
        <v>197492.61</v>
      </c>
      <c r="G483">
        <v>-14049.61</v>
      </c>
      <c r="H483" s="2">
        <v>45476</v>
      </c>
      <c r="I483" s="1" t="s">
        <v>3782</v>
      </c>
      <c r="J483" s="1" t="s">
        <v>3783</v>
      </c>
      <c r="K483" s="1" t="s">
        <v>3800</v>
      </c>
      <c r="L483" s="1" t="s">
        <v>3792</v>
      </c>
    </row>
    <row r="484" spans="1:12" x14ac:dyDescent="0.25">
      <c r="A484" s="1" t="s">
        <v>4303</v>
      </c>
      <c r="B484" s="1" t="s">
        <v>3808</v>
      </c>
      <c r="C484" s="1" t="s">
        <v>3825</v>
      </c>
      <c r="D484" s="1" t="s">
        <v>3822</v>
      </c>
      <c r="E484">
        <v>174207</v>
      </c>
      <c r="F484">
        <v>212011.61</v>
      </c>
      <c r="G484">
        <v>-37804.61</v>
      </c>
      <c r="H484" s="2">
        <v>45597</v>
      </c>
      <c r="I484" s="1" t="s">
        <v>3790</v>
      </c>
      <c r="J484" s="1" t="s">
        <v>3783</v>
      </c>
      <c r="K484" s="1" t="s">
        <v>3800</v>
      </c>
      <c r="L484" s="1" t="s">
        <v>3792</v>
      </c>
    </row>
    <row r="485" spans="1:12" x14ac:dyDescent="0.25">
      <c r="A485" s="1" t="s">
        <v>4304</v>
      </c>
      <c r="B485" s="1" t="s">
        <v>3839</v>
      </c>
      <c r="C485" s="1" t="s">
        <v>3780</v>
      </c>
      <c r="D485" s="1" t="s">
        <v>3816</v>
      </c>
      <c r="E485">
        <v>396708</v>
      </c>
      <c r="F485">
        <v>357430.06</v>
      </c>
      <c r="G485">
        <v>39277.94</v>
      </c>
      <c r="H485" s="2">
        <v>45410</v>
      </c>
      <c r="I485" s="1" t="s">
        <v>3790</v>
      </c>
      <c r="J485" s="1" t="s">
        <v>3803</v>
      </c>
      <c r="K485" s="1" t="s">
        <v>3800</v>
      </c>
      <c r="L485" s="1" t="s">
        <v>3785</v>
      </c>
    </row>
    <row r="486" spans="1:12" x14ac:dyDescent="0.25">
      <c r="A486" s="1" t="s">
        <v>4305</v>
      </c>
      <c r="B486" s="1" t="s">
        <v>3811</v>
      </c>
      <c r="C486" s="1" t="s">
        <v>3795</v>
      </c>
      <c r="D486" s="1" t="s">
        <v>3846</v>
      </c>
      <c r="E486">
        <v>341837</v>
      </c>
      <c r="F486">
        <v>347284.19</v>
      </c>
      <c r="G486">
        <v>-5447.19</v>
      </c>
      <c r="H486" s="2">
        <v>45249</v>
      </c>
      <c r="I486" s="1" t="s">
        <v>3790</v>
      </c>
      <c r="J486" s="1" t="s">
        <v>3791</v>
      </c>
      <c r="K486" s="1" t="s">
        <v>3784</v>
      </c>
      <c r="L486" s="1" t="s">
        <v>51</v>
      </c>
    </row>
    <row r="487" spans="1:12" x14ac:dyDescent="0.25">
      <c r="A487" s="1" t="s">
        <v>4306</v>
      </c>
      <c r="B487" s="1" t="s">
        <v>3828</v>
      </c>
      <c r="C487" s="1" t="s">
        <v>3815</v>
      </c>
      <c r="D487" s="1" t="s">
        <v>3822</v>
      </c>
      <c r="E487">
        <v>376158</v>
      </c>
      <c r="F487">
        <v>339960.48</v>
      </c>
      <c r="G487">
        <v>36197.519999999997</v>
      </c>
      <c r="H487" s="2">
        <v>45013</v>
      </c>
      <c r="I487" s="1" t="s">
        <v>3790</v>
      </c>
      <c r="J487" s="1" t="s">
        <v>3783</v>
      </c>
      <c r="K487" s="1" t="s">
        <v>3804</v>
      </c>
      <c r="L487" s="1" t="s">
        <v>51</v>
      </c>
    </row>
    <row r="488" spans="1:12" x14ac:dyDescent="0.25">
      <c r="A488" s="1" t="s">
        <v>4307</v>
      </c>
      <c r="B488" s="1" t="s">
        <v>3787</v>
      </c>
      <c r="C488" s="1" t="s">
        <v>3780</v>
      </c>
      <c r="D488" s="1" t="s">
        <v>3850</v>
      </c>
      <c r="E488">
        <v>458826</v>
      </c>
      <c r="F488">
        <v>457487.77</v>
      </c>
      <c r="G488">
        <v>1338.23</v>
      </c>
      <c r="H488" s="2">
        <v>45206</v>
      </c>
      <c r="I488" s="1" t="s">
        <v>3790</v>
      </c>
      <c r="J488" s="1" t="s">
        <v>3791</v>
      </c>
      <c r="K488" s="1" t="s">
        <v>3784</v>
      </c>
      <c r="L488" s="1" t="s">
        <v>3831</v>
      </c>
    </row>
    <row r="489" spans="1:12" x14ac:dyDescent="0.25">
      <c r="A489" s="1" t="s">
        <v>4308</v>
      </c>
      <c r="B489" s="1" t="s">
        <v>3811</v>
      </c>
      <c r="C489" s="1" t="s">
        <v>3858</v>
      </c>
      <c r="D489" s="1" t="s">
        <v>3789</v>
      </c>
      <c r="E489">
        <v>420952</v>
      </c>
      <c r="F489">
        <v>369624.75</v>
      </c>
      <c r="G489">
        <v>51327.25</v>
      </c>
      <c r="H489" s="2">
        <v>45507</v>
      </c>
      <c r="I489" s="1" t="s">
        <v>3790</v>
      </c>
      <c r="J489" s="1" t="s">
        <v>3783</v>
      </c>
      <c r="K489" s="1" t="s">
        <v>3800</v>
      </c>
      <c r="L489" s="1" t="s">
        <v>51</v>
      </c>
    </row>
    <row r="490" spans="1:12" x14ac:dyDescent="0.25">
      <c r="A490" s="1" t="s">
        <v>4309</v>
      </c>
      <c r="B490" s="1" t="s">
        <v>3828</v>
      </c>
      <c r="C490" s="1" t="s">
        <v>3815</v>
      </c>
      <c r="D490" s="1" t="s">
        <v>3799</v>
      </c>
      <c r="E490">
        <v>337906</v>
      </c>
      <c r="F490">
        <v>276385.51</v>
      </c>
      <c r="G490">
        <v>61520.49</v>
      </c>
      <c r="H490" s="2">
        <v>45248</v>
      </c>
      <c r="I490" s="1" t="s">
        <v>3790</v>
      </c>
      <c r="J490" s="1" t="s">
        <v>3791</v>
      </c>
      <c r="K490" s="1" t="s">
        <v>3784</v>
      </c>
      <c r="L490" s="1" t="s">
        <v>3817</v>
      </c>
    </row>
    <row r="491" spans="1:12" x14ac:dyDescent="0.25">
      <c r="A491" s="1" t="s">
        <v>4310</v>
      </c>
      <c r="B491" s="1" t="s">
        <v>3794</v>
      </c>
      <c r="C491" s="1" t="s">
        <v>3812</v>
      </c>
      <c r="D491" s="1" t="s">
        <v>3834</v>
      </c>
      <c r="E491">
        <v>164440</v>
      </c>
      <c r="F491">
        <v>178586.21</v>
      </c>
      <c r="G491">
        <v>-14146.21</v>
      </c>
      <c r="H491" s="2">
        <v>45135</v>
      </c>
      <c r="I491" s="1" t="s">
        <v>3790</v>
      </c>
      <c r="J491" s="1" t="s">
        <v>3783</v>
      </c>
      <c r="K491" s="1" t="s">
        <v>3784</v>
      </c>
      <c r="L491" s="1" t="s">
        <v>51</v>
      </c>
    </row>
    <row r="492" spans="1:12" x14ac:dyDescent="0.25">
      <c r="A492" s="1" t="s">
        <v>4311</v>
      </c>
      <c r="B492" s="1" t="s">
        <v>3808</v>
      </c>
      <c r="C492" s="1" t="s">
        <v>3861</v>
      </c>
      <c r="D492" s="1" t="s">
        <v>3855</v>
      </c>
      <c r="E492">
        <v>32187</v>
      </c>
      <c r="F492">
        <v>34475.03</v>
      </c>
      <c r="G492">
        <v>-2288.0300000000002</v>
      </c>
      <c r="H492" s="2">
        <v>45707</v>
      </c>
      <c r="I492" s="1" t="s">
        <v>3782</v>
      </c>
      <c r="J492" s="1" t="s">
        <v>3803</v>
      </c>
      <c r="K492" s="1" t="s">
        <v>3800</v>
      </c>
      <c r="L492" s="1" t="s">
        <v>3831</v>
      </c>
    </row>
    <row r="493" spans="1:12" x14ac:dyDescent="0.25">
      <c r="A493" s="1" t="s">
        <v>4312</v>
      </c>
      <c r="B493" s="1" t="s">
        <v>3811</v>
      </c>
      <c r="C493" s="1" t="s">
        <v>3861</v>
      </c>
      <c r="D493" s="1" t="s">
        <v>3837</v>
      </c>
      <c r="E493">
        <v>324601</v>
      </c>
      <c r="F493">
        <v>287171.81</v>
      </c>
      <c r="G493">
        <v>37429.19</v>
      </c>
      <c r="H493" s="2">
        <v>45480</v>
      </c>
      <c r="I493" s="1" t="s">
        <v>3790</v>
      </c>
      <c r="J493" s="1" t="s">
        <v>3783</v>
      </c>
      <c r="K493" s="1" t="s">
        <v>3800</v>
      </c>
      <c r="L493" s="1" t="s">
        <v>3817</v>
      </c>
    </row>
    <row r="494" spans="1:12" x14ac:dyDescent="0.25">
      <c r="A494" s="1" t="s">
        <v>4313</v>
      </c>
      <c r="B494" s="1" t="s">
        <v>3787</v>
      </c>
      <c r="C494" s="1" t="s">
        <v>3780</v>
      </c>
      <c r="D494" s="1" t="s">
        <v>3822</v>
      </c>
      <c r="E494">
        <v>331654</v>
      </c>
      <c r="F494">
        <v>268479.61</v>
      </c>
      <c r="G494">
        <v>63174.39</v>
      </c>
      <c r="H494" s="2">
        <v>45516</v>
      </c>
      <c r="I494" s="1" t="s">
        <v>3790</v>
      </c>
      <c r="J494" s="1" t="s">
        <v>3803</v>
      </c>
      <c r="K494" s="1" t="s">
        <v>3800</v>
      </c>
      <c r="L494" s="1" t="s">
        <v>3809</v>
      </c>
    </row>
    <row r="495" spans="1:12" x14ac:dyDescent="0.25">
      <c r="A495" s="1" t="s">
        <v>4314</v>
      </c>
      <c r="B495" s="1" t="s">
        <v>3839</v>
      </c>
      <c r="C495" s="1" t="s">
        <v>3821</v>
      </c>
      <c r="D495" s="1" t="s">
        <v>3816</v>
      </c>
      <c r="E495">
        <v>44661</v>
      </c>
      <c r="F495">
        <v>41481.31</v>
      </c>
      <c r="G495">
        <v>3179.69</v>
      </c>
      <c r="H495" s="2">
        <v>45357</v>
      </c>
      <c r="I495" s="1" t="s">
        <v>3790</v>
      </c>
      <c r="J495" s="1" t="s">
        <v>3823</v>
      </c>
      <c r="K495" s="1" t="s">
        <v>3784</v>
      </c>
      <c r="L495" s="1" t="s">
        <v>51</v>
      </c>
    </row>
    <row r="496" spans="1:12" x14ac:dyDescent="0.25">
      <c r="A496" s="1" t="s">
        <v>4315</v>
      </c>
      <c r="B496" s="1" t="s">
        <v>3811</v>
      </c>
      <c r="C496" s="1" t="s">
        <v>3825</v>
      </c>
      <c r="D496" s="1" t="s">
        <v>3822</v>
      </c>
      <c r="E496">
        <v>453730</v>
      </c>
      <c r="F496">
        <v>510152.61</v>
      </c>
      <c r="G496">
        <v>-56422.61</v>
      </c>
      <c r="H496" s="2">
        <v>45562</v>
      </c>
      <c r="I496" s="1" t="s">
        <v>3782</v>
      </c>
      <c r="J496" s="1" t="s">
        <v>3823</v>
      </c>
      <c r="K496" s="1" t="s">
        <v>3800</v>
      </c>
      <c r="L496" s="1" t="s">
        <v>3792</v>
      </c>
    </row>
    <row r="497" spans="1:12" x14ac:dyDescent="0.25">
      <c r="A497" s="1" t="s">
        <v>4316</v>
      </c>
      <c r="B497" s="1" t="s">
        <v>3794</v>
      </c>
      <c r="C497" s="1" t="s">
        <v>3844</v>
      </c>
      <c r="D497" s="1" t="s">
        <v>3789</v>
      </c>
      <c r="E497">
        <v>423764</v>
      </c>
      <c r="F497">
        <v>405457.04</v>
      </c>
      <c r="G497">
        <v>18306.96</v>
      </c>
      <c r="H497" s="2">
        <v>44933</v>
      </c>
      <c r="I497" s="1" t="s">
        <v>3782</v>
      </c>
      <c r="J497" s="1" t="s">
        <v>3803</v>
      </c>
      <c r="K497" s="1" t="s">
        <v>3804</v>
      </c>
      <c r="L497" s="1" t="s">
        <v>3792</v>
      </c>
    </row>
    <row r="498" spans="1:12" x14ac:dyDescent="0.25">
      <c r="A498" s="1" t="s">
        <v>4317</v>
      </c>
      <c r="B498" s="1" t="s">
        <v>3794</v>
      </c>
      <c r="C498" s="1" t="s">
        <v>3795</v>
      </c>
      <c r="D498" s="1" t="s">
        <v>3816</v>
      </c>
      <c r="E498">
        <v>144259</v>
      </c>
      <c r="F498">
        <v>121518.78</v>
      </c>
      <c r="G498">
        <v>22740.22</v>
      </c>
      <c r="H498" s="2">
        <v>45194</v>
      </c>
      <c r="I498" s="1" t="s">
        <v>3790</v>
      </c>
      <c r="J498" s="1" t="s">
        <v>3791</v>
      </c>
      <c r="K498" s="1" t="s">
        <v>3784</v>
      </c>
      <c r="L498" s="1" t="s">
        <v>3831</v>
      </c>
    </row>
    <row r="499" spans="1:12" x14ac:dyDescent="0.25">
      <c r="A499" s="1" t="s">
        <v>4318</v>
      </c>
      <c r="B499" s="1" t="s">
        <v>3828</v>
      </c>
      <c r="C499" s="1" t="s">
        <v>3795</v>
      </c>
      <c r="D499" s="1" t="s">
        <v>3799</v>
      </c>
      <c r="E499">
        <v>147402</v>
      </c>
      <c r="F499">
        <v>124565.51</v>
      </c>
      <c r="G499">
        <v>22836.49</v>
      </c>
      <c r="H499" s="2">
        <v>45633</v>
      </c>
      <c r="I499" s="1" t="s">
        <v>3782</v>
      </c>
      <c r="J499" s="1" t="s">
        <v>3823</v>
      </c>
      <c r="K499" s="1" t="s">
        <v>3800</v>
      </c>
      <c r="L499" s="1" t="s">
        <v>3792</v>
      </c>
    </row>
    <row r="500" spans="1:12" x14ac:dyDescent="0.25">
      <c r="A500" s="1" t="s">
        <v>4319</v>
      </c>
      <c r="B500" s="1" t="s">
        <v>3839</v>
      </c>
      <c r="C500" s="1" t="s">
        <v>3844</v>
      </c>
      <c r="D500" s="1" t="s">
        <v>3867</v>
      </c>
      <c r="E500">
        <v>225623</v>
      </c>
      <c r="H500" s="2">
        <v>45491</v>
      </c>
      <c r="I500" s="1" t="s">
        <v>3790</v>
      </c>
      <c r="J500" s="1" t="s">
        <v>3823</v>
      </c>
      <c r="K500" s="1" t="s">
        <v>3800</v>
      </c>
      <c r="L500" s="1" t="s">
        <v>51</v>
      </c>
    </row>
    <row r="501" spans="1:12" x14ac:dyDescent="0.25">
      <c r="A501" s="1" t="s">
        <v>4320</v>
      </c>
      <c r="B501" s="1" t="s">
        <v>3808</v>
      </c>
      <c r="C501" s="1" t="s">
        <v>3788</v>
      </c>
      <c r="D501" s="1" t="s">
        <v>3837</v>
      </c>
      <c r="E501">
        <v>166425</v>
      </c>
      <c r="F501">
        <v>135189.43</v>
      </c>
      <c r="G501">
        <v>31235.57</v>
      </c>
      <c r="H501" s="2">
        <v>45229</v>
      </c>
      <c r="I501" s="1" t="s">
        <v>3782</v>
      </c>
      <c r="J501" s="1" t="s">
        <v>3783</v>
      </c>
      <c r="K501" s="1" t="s">
        <v>3784</v>
      </c>
      <c r="L501" s="1" t="s">
        <v>3792</v>
      </c>
    </row>
    <row r="502" spans="1:12" x14ac:dyDescent="0.25">
      <c r="A502" s="1" t="s">
        <v>4321</v>
      </c>
      <c r="B502" s="1" t="s">
        <v>3787</v>
      </c>
      <c r="C502" s="1" t="s">
        <v>3795</v>
      </c>
      <c r="D502" s="1" t="s">
        <v>3867</v>
      </c>
      <c r="E502">
        <v>273290</v>
      </c>
      <c r="F502">
        <v>311758.25</v>
      </c>
      <c r="G502">
        <v>-38468.25</v>
      </c>
      <c r="H502" s="2">
        <v>45480</v>
      </c>
      <c r="I502" s="1" t="s">
        <v>3782</v>
      </c>
      <c r="J502" s="1" t="s">
        <v>3803</v>
      </c>
      <c r="K502" s="1" t="s">
        <v>3800</v>
      </c>
      <c r="L502" s="1" t="s">
        <v>3792</v>
      </c>
    </row>
    <row r="503" spans="1:12" x14ac:dyDescent="0.25">
      <c r="A503" s="1" t="s">
        <v>4322</v>
      </c>
      <c r="B503" s="1" t="s">
        <v>3798</v>
      </c>
      <c r="C503" s="1" t="s">
        <v>3780</v>
      </c>
      <c r="D503" s="1" t="s">
        <v>3796</v>
      </c>
      <c r="E503">
        <v>128602</v>
      </c>
      <c r="F503">
        <v>114727.23</v>
      </c>
      <c r="G503">
        <v>13874.77</v>
      </c>
      <c r="H503" s="2">
        <v>45179</v>
      </c>
      <c r="I503" s="1" t="s">
        <v>3790</v>
      </c>
      <c r="J503" s="1" t="s">
        <v>3783</v>
      </c>
      <c r="K503" s="1" t="s">
        <v>3784</v>
      </c>
      <c r="L503" s="1" t="s">
        <v>51</v>
      </c>
    </row>
    <row r="504" spans="1:12" x14ac:dyDescent="0.25">
      <c r="A504" s="1" t="s">
        <v>4323</v>
      </c>
      <c r="B504" s="1" t="s">
        <v>3811</v>
      </c>
      <c r="C504" s="1" t="s">
        <v>3821</v>
      </c>
      <c r="D504" s="1" t="s">
        <v>3834</v>
      </c>
      <c r="E504">
        <v>4800245</v>
      </c>
      <c r="F504">
        <v>5636583.5300000003</v>
      </c>
      <c r="G504">
        <v>-836338.53</v>
      </c>
      <c r="H504" s="2">
        <v>45467</v>
      </c>
      <c r="I504" s="1" t="s">
        <v>3782</v>
      </c>
      <c r="J504" s="1" t="s">
        <v>3783</v>
      </c>
      <c r="K504" s="1" t="s">
        <v>3800</v>
      </c>
      <c r="L504" s="1" t="s">
        <v>3831</v>
      </c>
    </row>
    <row r="505" spans="1:12" x14ac:dyDescent="0.25">
      <c r="A505" s="1" t="s">
        <v>4324</v>
      </c>
      <c r="B505" s="1" t="s">
        <v>3808</v>
      </c>
      <c r="C505" s="1" t="s">
        <v>3861</v>
      </c>
      <c r="D505" s="1" t="s">
        <v>3846</v>
      </c>
      <c r="E505">
        <v>209161</v>
      </c>
      <c r="F505">
        <v>233184.37</v>
      </c>
      <c r="G505">
        <v>-24023.37</v>
      </c>
      <c r="H505" s="2">
        <v>45422</v>
      </c>
      <c r="I505" s="1" t="s">
        <v>3782</v>
      </c>
      <c r="J505" s="1" t="s">
        <v>3803</v>
      </c>
      <c r="K505" s="1" t="s">
        <v>3800</v>
      </c>
      <c r="L505" s="1" t="s">
        <v>3817</v>
      </c>
    </row>
    <row r="506" spans="1:12" x14ac:dyDescent="0.25">
      <c r="A506" s="1" t="s">
        <v>4325</v>
      </c>
      <c r="B506" s="1" t="s">
        <v>51</v>
      </c>
      <c r="C506" s="1" t="s">
        <v>3806</v>
      </c>
      <c r="D506" s="1" t="s">
        <v>3789</v>
      </c>
      <c r="E506">
        <v>152175</v>
      </c>
      <c r="F506">
        <v>193269.34</v>
      </c>
      <c r="G506">
        <v>-41094.339999999997</v>
      </c>
      <c r="H506" s="2">
        <v>45168</v>
      </c>
      <c r="I506" s="1" t="s">
        <v>3790</v>
      </c>
      <c r="J506" s="1" t="s">
        <v>3803</v>
      </c>
      <c r="K506" s="1" t="s">
        <v>3784</v>
      </c>
      <c r="L506" s="1" t="s">
        <v>51</v>
      </c>
    </row>
    <row r="507" spans="1:12" x14ac:dyDescent="0.25">
      <c r="A507" s="1" t="s">
        <v>4326</v>
      </c>
      <c r="B507" s="1" t="s">
        <v>3839</v>
      </c>
      <c r="C507" s="1" t="s">
        <v>3844</v>
      </c>
      <c r="D507" s="1" t="s">
        <v>3813</v>
      </c>
      <c r="E507">
        <v>57859</v>
      </c>
      <c r="F507">
        <v>64236.01</v>
      </c>
      <c r="G507">
        <v>-6377.01</v>
      </c>
      <c r="H507" s="2">
        <v>45382</v>
      </c>
      <c r="I507" s="1" t="s">
        <v>3790</v>
      </c>
      <c r="J507" s="1" t="s">
        <v>3823</v>
      </c>
      <c r="K507" s="1" t="s">
        <v>3784</v>
      </c>
      <c r="L507" s="1" t="s">
        <v>3792</v>
      </c>
    </row>
    <row r="508" spans="1:12" x14ac:dyDescent="0.25">
      <c r="A508" s="1" t="s">
        <v>4327</v>
      </c>
      <c r="B508" s="1" t="s">
        <v>3798</v>
      </c>
      <c r="C508" s="1" t="s">
        <v>3825</v>
      </c>
      <c r="D508" s="1" t="s">
        <v>3816</v>
      </c>
      <c r="E508">
        <v>472955</v>
      </c>
      <c r="F508">
        <v>469734.61</v>
      </c>
      <c r="G508">
        <v>3220.39</v>
      </c>
      <c r="H508" s="2">
        <v>45524</v>
      </c>
      <c r="I508" s="1" t="s">
        <v>3790</v>
      </c>
      <c r="J508" s="1" t="s">
        <v>3823</v>
      </c>
      <c r="K508" s="1" t="s">
        <v>3800</v>
      </c>
      <c r="L508" s="1" t="s">
        <v>51</v>
      </c>
    </row>
    <row r="509" spans="1:12" x14ac:dyDescent="0.25">
      <c r="A509" s="1" t="s">
        <v>4328</v>
      </c>
      <c r="B509" s="1" t="s">
        <v>3808</v>
      </c>
      <c r="C509" s="1" t="s">
        <v>3780</v>
      </c>
      <c r="D509" s="1" t="s">
        <v>3813</v>
      </c>
      <c r="E509">
        <v>489458</v>
      </c>
      <c r="F509">
        <v>631283.81999999995</v>
      </c>
      <c r="G509">
        <v>-141825.82</v>
      </c>
      <c r="H509" s="2">
        <v>45601</v>
      </c>
      <c r="I509" s="1" t="s">
        <v>3790</v>
      </c>
      <c r="J509" s="1" t="s">
        <v>3803</v>
      </c>
      <c r="K509" s="1" t="s">
        <v>3800</v>
      </c>
      <c r="L509" s="1" t="s">
        <v>51</v>
      </c>
    </row>
    <row r="510" spans="1:12" x14ac:dyDescent="0.25">
      <c r="A510" s="1" t="s">
        <v>4329</v>
      </c>
      <c r="B510" s="1" t="s">
        <v>3787</v>
      </c>
      <c r="C510" s="1" t="s">
        <v>3861</v>
      </c>
      <c r="D510" s="1" t="s">
        <v>3796</v>
      </c>
      <c r="E510">
        <v>477763</v>
      </c>
      <c r="G510">
        <v>-42558.59</v>
      </c>
      <c r="H510" s="2">
        <v>45138</v>
      </c>
      <c r="I510" s="1" t="s">
        <v>3790</v>
      </c>
      <c r="J510" s="1" t="s">
        <v>3791</v>
      </c>
      <c r="K510" s="1" t="s">
        <v>3784</v>
      </c>
      <c r="L510" s="1" t="s">
        <v>3831</v>
      </c>
    </row>
    <row r="511" spans="1:12" x14ac:dyDescent="0.25">
      <c r="A511" s="1" t="s">
        <v>4330</v>
      </c>
      <c r="B511" s="1" t="s">
        <v>3798</v>
      </c>
      <c r="C511" s="1" t="s">
        <v>3848</v>
      </c>
      <c r="D511" s="1" t="s">
        <v>3826</v>
      </c>
      <c r="E511">
        <v>49062</v>
      </c>
      <c r="F511">
        <v>62332.62</v>
      </c>
      <c r="G511">
        <v>-13270.62</v>
      </c>
      <c r="H511" s="2">
        <v>45430</v>
      </c>
      <c r="I511" s="1" t="s">
        <v>3790</v>
      </c>
      <c r="J511" s="1" t="s">
        <v>3783</v>
      </c>
      <c r="K511" s="1" t="s">
        <v>3800</v>
      </c>
      <c r="L511" s="1" t="s">
        <v>3817</v>
      </c>
    </row>
    <row r="512" spans="1:12" x14ac:dyDescent="0.25">
      <c r="A512" s="1" t="s">
        <v>4331</v>
      </c>
      <c r="B512" s="1" t="s">
        <v>3839</v>
      </c>
      <c r="C512" s="1" t="s">
        <v>3848</v>
      </c>
      <c r="D512" s="1" t="s">
        <v>3867</v>
      </c>
      <c r="E512">
        <v>304215</v>
      </c>
      <c r="F512">
        <v>327764.47999999998</v>
      </c>
      <c r="G512">
        <v>-23549.48</v>
      </c>
      <c r="H512" s="2">
        <v>45525</v>
      </c>
      <c r="I512" s="1" t="s">
        <v>3790</v>
      </c>
      <c r="J512" s="1" t="s">
        <v>3823</v>
      </c>
      <c r="K512" s="1" t="s">
        <v>3800</v>
      </c>
      <c r="L512" s="1" t="s">
        <v>3809</v>
      </c>
    </row>
    <row r="513" spans="1:12" x14ac:dyDescent="0.25">
      <c r="A513" s="1" t="s">
        <v>4332</v>
      </c>
      <c r="B513" s="1" t="s">
        <v>3794</v>
      </c>
      <c r="C513" s="1" t="s">
        <v>3788</v>
      </c>
      <c r="D513" s="1" t="s">
        <v>3867</v>
      </c>
      <c r="E513">
        <v>279164</v>
      </c>
      <c r="F513">
        <v>339590.04</v>
      </c>
      <c r="G513">
        <v>-60426.04</v>
      </c>
      <c r="H513" s="2">
        <v>45656</v>
      </c>
      <c r="I513" s="1" t="s">
        <v>3782</v>
      </c>
      <c r="J513" s="1" t="s">
        <v>3823</v>
      </c>
      <c r="K513" s="1" t="s">
        <v>3800</v>
      </c>
      <c r="L513" s="1" t="s">
        <v>51</v>
      </c>
    </row>
    <row r="514" spans="1:12" x14ac:dyDescent="0.25">
      <c r="A514" s="1" t="s">
        <v>4333</v>
      </c>
      <c r="B514" s="1" t="s">
        <v>3808</v>
      </c>
      <c r="C514" s="1" t="s">
        <v>3861</v>
      </c>
      <c r="D514" s="1" t="s">
        <v>3850</v>
      </c>
      <c r="E514">
        <v>239465</v>
      </c>
      <c r="F514">
        <v>273381.19</v>
      </c>
      <c r="G514">
        <v>-33916.19</v>
      </c>
      <c r="H514" s="2">
        <v>45220</v>
      </c>
      <c r="I514" s="1" t="s">
        <v>3859</v>
      </c>
      <c r="J514" s="1" t="s">
        <v>3791</v>
      </c>
      <c r="K514" s="1" t="s">
        <v>3784</v>
      </c>
      <c r="L514" s="1" t="s">
        <v>51</v>
      </c>
    </row>
    <row r="515" spans="1:12" x14ac:dyDescent="0.25">
      <c r="A515" s="1" t="s">
        <v>4334</v>
      </c>
      <c r="B515" s="1" t="s">
        <v>3828</v>
      </c>
      <c r="C515" s="1" t="s">
        <v>3825</v>
      </c>
      <c r="D515" s="1" t="s">
        <v>3855</v>
      </c>
      <c r="E515">
        <v>327656</v>
      </c>
      <c r="F515">
        <v>330558.96000000002</v>
      </c>
      <c r="G515">
        <v>-2902.96</v>
      </c>
      <c r="H515" s="2">
        <v>45546</v>
      </c>
      <c r="I515" s="1" t="s">
        <v>3790</v>
      </c>
      <c r="J515" s="1" t="s">
        <v>3791</v>
      </c>
      <c r="K515" s="1" t="s">
        <v>3800</v>
      </c>
      <c r="L515" s="1" t="s">
        <v>3831</v>
      </c>
    </row>
    <row r="516" spans="1:12" x14ac:dyDescent="0.25">
      <c r="A516" s="1" t="s">
        <v>4335</v>
      </c>
      <c r="B516" s="1" t="s">
        <v>3787</v>
      </c>
      <c r="C516" s="1" t="s">
        <v>3848</v>
      </c>
      <c r="D516" s="1" t="s">
        <v>3867</v>
      </c>
      <c r="E516">
        <v>-481907</v>
      </c>
      <c r="F516">
        <v>574285.49</v>
      </c>
      <c r="G516">
        <v>-92378.49</v>
      </c>
      <c r="H516" s="2">
        <v>45058</v>
      </c>
      <c r="I516" s="1" t="s">
        <v>3790</v>
      </c>
      <c r="J516" s="1" t="s">
        <v>3783</v>
      </c>
      <c r="K516" s="1" t="s">
        <v>3784</v>
      </c>
      <c r="L516" s="1" t="s">
        <v>51</v>
      </c>
    </row>
    <row r="517" spans="1:12" x14ac:dyDescent="0.25">
      <c r="A517" s="1" t="s">
        <v>4336</v>
      </c>
      <c r="B517" s="1" t="s">
        <v>3828</v>
      </c>
      <c r="C517" s="1" t="s">
        <v>3795</v>
      </c>
      <c r="D517" s="1" t="s">
        <v>3799</v>
      </c>
      <c r="E517">
        <v>1608463</v>
      </c>
      <c r="F517">
        <v>1418787.56</v>
      </c>
      <c r="G517">
        <v>189675.44</v>
      </c>
      <c r="H517" s="2">
        <v>44943</v>
      </c>
      <c r="I517" s="1" t="s">
        <v>3790</v>
      </c>
      <c r="J517" s="1" t="s">
        <v>3823</v>
      </c>
      <c r="K517" s="1" t="s">
        <v>3804</v>
      </c>
      <c r="L517" s="1" t="s">
        <v>51</v>
      </c>
    </row>
    <row r="518" spans="1:12" x14ac:dyDescent="0.25">
      <c r="A518" s="1" t="s">
        <v>4337</v>
      </c>
      <c r="B518" s="1" t="s">
        <v>3787</v>
      </c>
      <c r="C518" s="1" t="s">
        <v>3825</v>
      </c>
      <c r="D518" s="1" t="s">
        <v>3796</v>
      </c>
      <c r="E518">
        <v>141903</v>
      </c>
      <c r="F518">
        <v>179555.76</v>
      </c>
      <c r="G518">
        <v>-37652.76</v>
      </c>
      <c r="H518" s="2">
        <v>45394</v>
      </c>
      <c r="I518" s="1" t="s">
        <v>3790</v>
      </c>
      <c r="J518" s="1" t="s">
        <v>3783</v>
      </c>
      <c r="K518" s="1" t="s">
        <v>3800</v>
      </c>
      <c r="L518" s="1" t="s">
        <v>3809</v>
      </c>
    </row>
    <row r="519" spans="1:12" x14ac:dyDescent="0.25">
      <c r="A519" s="1" t="s">
        <v>4338</v>
      </c>
      <c r="B519" s="1" t="s">
        <v>3794</v>
      </c>
      <c r="C519" s="1" t="s">
        <v>3861</v>
      </c>
      <c r="D519" s="1" t="s">
        <v>3813</v>
      </c>
      <c r="E519">
        <v>441309</v>
      </c>
      <c r="F519">
        <v>483917.39</v>
      </c>
      <c r="G519">
        <v>-42608.39</v>
      </c>
      <c r="H519" s="2">
        <v>45324</v>
      </c>
      <c r="I519" s="1" t="s">
        <v>3790</v>
      </c>
      <c r="J519" s="1" t="s">
        <v>3791</v>
      </c>
      <c r="K519" s="1" t="s">
        <v>3784</v>
      </c>
      <c r="L519" s="1" t="s">
        <v>51</v>
      </c>
    </row>
    <row r="520" spans="1:12" x14ac:dyDescent="0.25">
      <c r="A520" s="1" t="s">
        <v>4339</v>
      </c>
      <c r="B520" s="1" t="s">
        <v>3798</v>
      </c>
      <c r="C520" s="1" t="s">
        <v>3821</v>
      </c>
      <c r="D520" s="1" t="s">
        <v>3837</v>
      </c>
      <c r="E520">
        <v>80966</v>
      </c>
      <c r="F520">
        <v>103931.53</v>
      </c>
      <c r="G520">
        <v>-22965.53</v>
      </c>
      <c r="H520" s="2">
        <v>45277</v>
      </c>
      <c r="I520" s="1" t="s">
        <v>3790</v>
      </c>
      <c r="J520" s="1" t="s">
        <v>3803</v>
      </c>
      <c r="K520" s="1" t="s">
        <v>3784</v>
      </c>
      <c r="L520" s="1" t="s">
        <v>3792</v>
      </c>
    </row>
    <row r="521" spans="1:12" x14ac:dyDescent="0.25">
      <c r="A521" s="1" t="s">
        <v>4340</v>
      </c>
      <c r="B521" s="1" t="s">
        <v>3811</v>
      </c>
      <c r="C521" s="1" t="s">
        <v>3788</v>
      </c>
      <c r="D521" s="1" t="s">
        <v>3796</v>
      </c>
      <c r="E521">
        <v>294015</v>
      </c>
      <c r="F521">
        <v>276075.45</v>
      </c>
      <c r="G521">
        <v>17939.55</v>
      </c>
      <c r="H521" s="2">
        <v>45473</v>
      </c>
      <c r="I521" s="1" t="s">
        <v>3790</v>
      </c>
      <c r="J521" s="1" t="s">
        <v>3791</v>
      </c>
      <c r="K521" s="1" t="s">
        <v>3800</v>
      </c>
      <c r="L521" s="1" t="s">
        <v>3792</v>
      </c>
    </row>
    <row r="522" spans="1:12" x14ac:dyDescent="0.25">
      <c r="A522" s="1" t="s">
        <v>4341</v>
      </c>
      <c r="B522" s="1" t="s">
        <v>3811</v>
      </c>
      <c r="C522" s="1" t="s">
        <v>3848</v>
      </c>
      <c r="D522" s="1" t="s">
        <v>3822</v>
      </c>
      <c r="E522">
        <v>153303</v>
      </c>
      <c r="F522">
        <v>177135.38</v>
      </c>
      <c r="G522">
        <v>-23832.38</v>
      </c>
      <c r="H522" s="2">
        <v>45092</v>
      </c>
      <c r="I522" s="1" t="s">
        <v>3790</v>
      </c>
      <c r="J522" s="1" t="s">
        <v>3791</v>
      </c>
      <c r="K522" s="1" t="s">
        <v>3784</v>
      </c>
      <c r="L522" s="1" t="s">
        <v>51</v>
      </c>
    </row>
    <row r="523" spans="1:12" x14ac:dyDescent="0.25">
      <c r="A523" s="1" t="s">
        <v>4342</v>
      </c>
      <c r="B523" s="1" t="s">
        <v>3798</v>
      </c>
      <c r="C523" s="1" t="s">
        <v>3861</v>
      </c>
      <c r="D523" s="1" t="s">
        <v>3826</v>
      </c>
      <c r="E523">
        <v>211411</v>
      </c>
      <c r="F523">
        <v>252479.02</v>
      </c>
      <c r="G523">
        <v>-41068.019999999997</v>
      </c>
      <c r="H523" s="2">
        <v>45732</v>
      </c>
      <c r="I523" s="1" t="s">
        <v>3782</v>
      </c>
      <c r="J523" s="1" t="s">
        <v>3791</v>
      </c>
      <c r="K523" s="1" t="s">
        <v>3800</v>
      </c>
      <c r="L523" s="1" t="s">
        <v>3831</v>
      </c>
    </row>
    <row r="524" spans="1:12" x14ac:dyDescent="0.25">
      <c r="A524" s="1" t="s">
        <v>4343</v>
      </c>
      <c r="B524" s="1" t="s">
        <v>3811</v>
      </c>
      <c r="C524" s="1" t="s">
        <v>3858</v>
      </c>
      <c r="D524" s="1" t="s">
        <v>3789</v>
      </c>
      <c r="E524">
        <v>373244</v>
      </c>
      <c r="F524">
        <v>480332.25</v>
      </c>
      <c r="G524">
        <v>-107088.25</v>
      </c>
      <c r="H524" s="2">
        <v>45255</v>
      </c>
      <c r="I524" s="1" t="s">
        <v>3790</v>
      </c>
      <c r="J524" s="1" t="s">
        <v>3803</v>
      </c>
      <c r="K524" s="1" t="s">
        <v>3784</v>
      </c>
      <c r="L524" s="1" t="s">
        <v>3792</v>
      </c>
    </row>
    <row r="525" spans="1:12" x14ac:dyDescent="0.25">
      <c r="A525" s="1" t="s">
        <v>4344</v>
      </c>
      <c r="B525" s="1" t="s">
        <v>3794</v>
      </c>
      <c r="C525" s="1" t="s">
        <v>3821</v>
      </c>
      <c r="D525" s="1" t="s">
        <v>3834</v>
      </c>
      <c r="E525">
        <v>267652</v>
      </c>
      <c r="G525">
        <v>-13213.99</v>
      </c>
      <c r="H525" s="2">
        <v>45478</v>
      </c>
      <c r="I525" s="1" t="s">
        <v>3782</v>
      </c>
      <c r="J525" s="1" t="s">
        <v>3823</v>
      </c>
      <c r="K525" s="1" t="s">
        <v>3800</v>
      </c>
      <c r="L525" s="1" t="s">
        <v>3831</v>
      </c>
    </row>
    <row r="526" spans="1:12" x14ac:dyDescent="0.25">
      <c r="A526" s="1" t="s">
        <v>4345</v>
      </c>
      <c r="B526" s="1" t="s">
        <v>3787</v>
      </c>
      <c r="C526" s="1" t="s">
        <v>3815</v>
      </c>
      <c r="D526" s="1" t="s">
        <v>3813</v>
      </c>
      <c r="E526">
        <v>220365</v>
      </c>
      <c r="F526">
        <v>282212.24</v>
      </c>
      <c r="G526">
        <v>-61847.24</v>
      </c>
      <c r="H526" s="2">
        <v>45711</v>
      </c>
      <c r="I526" s="1" t="s">
        <v>3790</v>
      </c>
      <c r="J526" s="1" t="s">
        <v>3823</v>
      </c>
      <c r="K526" s="1" t="s">
        <v>3800</v>
      </c>
      <c r="L526" s="1" t="s">
        <v>51</v>
      </c>
    </row>
    <row r="527" spans="1:12" x14ac:dyDescent="0.25">
      <c r="A527" s="1" t="s">
        <v>4346</v>
      </c>
      <c r="B527" s="1" t="s">
        <v>51</v>
      </c>
      <c r="C527" s="1" t="s">
        <v>3844</v>
      </c>
      <c r="D527" s="1" t="s">
        <v>3846</v>
      </c>
      <c r="E527">
        <v>311812</v>
      </c>
      <c r="F527">
        <v>335222.12</v>
      </c>
      <c r="G527">
        <v>-23410.12</v>
      </c>
      <c r="H527" s="2">
        <v>45683</v>
      </c>
      <c r="I527" s="1" t="s">
        <v>3782</v>
      </c>
      <c r="J527" s="1" t="s">
        <v>3783</v>
      </c>
      <c r="K527" s="1" t="s">
        <v>3800</v>
      </c>
      <c r="L527" s="1" t="s">
        <v>3809</v>
      </c>
    </row>
    <row r="528" spans="1:12" x14ac:dyDescent="0.25">
      <c r="A528" s="1" t="s">
        <v>4347</v>
      </c>
      <c r="B528" s="1" t="s">
        <v>3794</v>
      </c>
      <c r="C528" s="1" t="s">
        <v>3848</v>
      </c>
      <c r="D528" s="1" t="s">
        <v>3855</v>
      </c>
      <c r="E528">
        <v>54662</v>
      </c>
      <c r="F528">
        <v>46375.08</v>
      </c>
      <c r="G528">
        <v>8286.92</v>
      </c>
      <c r="H528" s="2">
        <v>45396</v>
      </c>
      <c r="I528" s="1" t="s">
        <v>3790</v>
      </c>
      <c r="J528" s="1" t="s">
        <v>3783</v>
      </c>
      <c r="K528" s="1" t="s">
        <v>3800</v>
      </c>
      <c r="L528" s="1" t="s">
        <v>51</v>
      </c>
    </row>
    <row r="529" spans="1:12" x14ac:dyDescent="0.25">
      <c r="A529" s="1" t="s">
        <v>4348</v>
      </c>
      <c r="B529" s="1" t="s">
        <v>3828</v>
      </c>
      <c r="C529" s="1" t="s">
        <v>3788</v>
      </c>
      <c r="D529" s="1" t="s">
        <v>3789</v>
      </c>
      <c r="E529">
        <v>173148</v>
      </c>
      <c r="F529">
        <v>159275.15</v>
      </c>
      <c r="G529">
        <v>13872.85</v>
      </c>
      <c r="H529" s="2">
        <v>45581</v>
      </c>
      <c r="I529" s="1" t="s">
        <v>3790</v>
      </c>
      <c r="J529" s="1" t="s">
        <v>3783</v>
      </c>
      <c r="K529" s="1" t="s">
        <v>3800</v>
      </c>
      <c r="L529" s="1" t="s">
        <v>3792</v>
      </c>
    </row>
    <row r="530" spans="1:12" x14ac:dyDescent="0.25">
      <c r="A530" s="1" t="s">
        <v>4349</v>
      </c>
      <c r="B530" s="1" t="s">
        <v>3787</v>
      </c>
      <c r="C530" s="1" t="s">
        <v>3795</v>
      </c>
      <c r="D530" s="1" t="s">
        <v>3789</v>
      </c>
      <c r="E530">
        <v>467487</v>
      </c>
      <c r="F530">
        <v>504063.51</v>
      </c>
      <c r="G530">
        <v>-36576.51</v>
      </c>
      <c r="H530" s="2">
        <v>45180</v>
      </c>
      <c r="I530" s="1" t="s">
        <v>3790</v>
      </c>
      <c r="J530" s="1" t="s">
        <v>3803</v>
      </c>
      <c r="K530" s="1" t="s">
        <v>3784</v>
      </c>
      <c r="L530" s="1" t="s">
        <v>3809</v>
      </c>
    </row>
    <row r="531" spans="1:12" x14ac:dyDescent="0.25">
      <c r="A531" s="1" t="s">
        <v>4350</v>
      </c>
      <c r="B531" s="1" t="s">
        <v>3808</v>
      </c>
      <c r="C531" s="1" t="s">
        <v>3788</v>
      </c>
      <c r="D531" s="1" t="s">
        <v>3789</v>
      </c>
      <c r="E531">
        <v>-320442</v>
      </c>
      <c r="F531">
        <v>347695.35999999999</v>
      </c>
      <c r="G531">
        <v>-27253.360000000001</v>
      </c>
      <c r="H531" s="2">
        <v>45691</v>
      </c>
      <c r="I531" s="1" t="s">
        <v>3782</v>
      </c>
      <c r="J531" s="1" t="s">
        <v>3803</v>
      </c>
      <c r="K531" s="1" t="s">
        <v>3800</v>
      </c>
      <c r="L531" s="1" t="s">
        <v>3792</v>
      </c>
    </row>
    <row r="532" spans="1:12" x14ac:dyDescent="0.25">
      <c r="A532" s="1" t="s">
        <v>4351</v>
      </c>
      <c r="B532" s="1" t="s">
        <v>3798</v>
      </c>
      <c r="C532" s="1" t="s">
        <v>3821</v>
      </c>
      <c r="D532" s="1" t="s">
        <v>3826</v>
      </c>
      <c r="E532">
        <v>452049</v>
      </c>
      <c r="F532">
        <v>552989.04</v>
      </c>
      <c r="G532">
        <v>-100940.04</v>
      </c>
      <c r="H532" s="2">
        <v>45051</v>
      </c>
      <c r="I532" s="1" t="s">
        <v>3790</v>
      </c>
      <c r="J532" s="1" t="s">
        <v>3783</v>
      </c>
      <c r="K532" s="1" t="s">
        <v>3784</v>
      </c>
      <c r="L532" s="1" t="s">
        <v>3792</v>
      </c>
    </row>
    <row r="533" spans="1:12" x14ac:dyDescent="0.25">
      <c r="A533" s="1" t="s">
        <v>4352</v>
      </c>
      <c r="B533" s="1" t="s">
        <v>3811</v>
      </c>
      <c r="C533" s="1" t="s">
        <v>3780</v>
      </c>
      <c r="D533" s="1" t="s">
        <v>3799</v>
      </c>
      <c r="E533">
        <v>478495</v>
      </c>
      <c r="F533">
        <v>412509.84</v>
      </c>
      <c r="G533">
        <v>65985.16</v>
      </c>
      <c r="H533" s="2">
        <v>45007</v>
      </c>
      <c r="I533" s="1" t="s">
        <v>3790</v>
      </c>
      <c r="J533" s="1" t="s">
        <v>3783</v>
      </c>
      <c r="K533" s="1" t="s">
        <v>3804</v>
      </c>
      <c r="L533" s="1" t="s">
        <v>51</v>
      </c>
    </row>
    <row r="534" spans="1:12" x14ac:dyDescent="0.25">
      <c r="A534" s="1" t="s">
        <v>4353</v>
      </c>
      <c r="B534" s="1" t="s">
        <v>3808</v>
      </c>
      <c r="C534" s="1" t="s">
        <v>3812</v>
      </c>
      <c r="D534" s="1" t="s">
        <v>3796</v>
      </c>
      <c r="E534">
        <v>20639</v>
      </c>
      <c r="F534">
        <v>18677.73</v>
      </c>
      <c r="G534">
        <v>1961.27</v>
      </c>
      <c r="H534" s="2">
        <v>45020</v>
      </c>
      <c r="I534" s="1" t="s">
        <v>3790</v>
      </c>
      <c r="J534" s="1" t="s">
        <v>3803</v>
      </c>
      <c r="K534" s="1" t="s">
        <v>3784</v>
      </c>
      <c r="L534" s="1" t="s">
        <v>3792</v>
      </c>
    </row>
    <row r="535" spans="1:12" x14ac:dyDescent="0.25">
      <c r="A535" s="1" t="s">
        <v>4354</v>
      </c>
      <c r="B535" s="1" t="s">
        <v>3798</v>
      </c>
      <c r="C535" s="1" t="s">
        <v>3861</v>
      </c>
      <c r="D535" s="1" t="s">
        <v>3781</v>
      </c>
      <c r="E535">
        <v>434916</v>
      </c>
      <c r="F535">
        <v>402840.15</v>
      </c>
      <c r="G535">
        <v>32075.85</v>
      </c>
      <c r="H535" s="2">
        <v>45741</v>
      </c>
      <c r="I535" s="1" t="s">
        <v>3790</v>
      </c>
      <c r="J535" s="1" t="s">
        <v>3783</v>
      </c>
      <c r="K535" s="1" t="s">
        <v>3800</v>
      </c>
      <c r="L535" s="1" t="s">
        <v>3809</v>
      </c>
    </row>
    <row r="536" spans="1:12" x14ac:dyDescent="0.25">
      <c r="A536" s="1" t="s">
        <v>4355</v>
      </c>
      <c r="B536" s="1" t="s">
        <v>3828</v>
      </c>
      <c r="C536" s="1" t="s">
        <v>3815</v>
      </c>
      <c r="D536" s="1" t="s">
        <v>3895</v>
      </c>
      <c r="E536">
        <v>187040</v>
      </c>
      <c r="G536">
        <v>-9687.6299999999992</v>
      </c>
      <c r="H536" s="2">
        <v>45380</v>
      </c>
      <c r="I536" s="1" t="s">
        <v>3790</v>
      </c>
      <c r="J536" s="1" t="s">
        <v>3783</v>
      </c>
      <c r="K536" s="1" t="s">
        <v>3784</v>
      </c>
      <c r="L536" s="1" t="s">
        <v>3785</v>
      </c>
    </row>
    <row r="537" spans="1:12" x14ac:dyDescent="0.25">
      <c r="A537" s="1" t="s">
        <v>4356</v>
      </c>
      <c r="B537" s="1" t="s">
        <v>3839</v>
      </c>
      <c r="C537" s="1" t="s">
        <v>3821</v>
      </c>
      <c r="D537" s="1" t="s">
        <v>3796</v>
      </c>
      <c r="E537">
        <v>108129</v>
      </c>
      <c r="F537">
        <v>97670.78</v>
      </c>
      <c r="G537">
        <v>10458.219999999999</v>
      </c>
      <c r="H537" s="2">
        <v>45688</v>
      </c>
      <c r="I537" s="1" t="s">
        <v>3782</v>
      </c>
      <c r="J537" s="1" t="s">
        <v>3823</v>
      </c>
      <c r="K537" s="1" t="s">
        <v>3800</v>
      </c>
      <c r="L537" s="1" t="s">
        <v>3809</v>
      </c>
    </row>
    <row r="538" spans="1:12" x14ac:dyDescent="0.25">
      <c r="A538" s="1" t="s">
        <v>4357</v>
      </c>
      <c r="B538" s="1" t="s">
        <v>3811</v>
      </c>
      <c r="C538" s="1" t="s">
        <v>3825</v>
      </c>
      <c r="D538" s="1" t="s">
        <v>3867</v>
      </c>
      <c r="E538">
        <v>496893</v>
      </c>
      <c r="F538">
        <v>539724.06000000006</v>
      </c>
      <c r="G538">
        <v>-42831.06</v>
      </c>
      <c r="H538" s="2">
        <v>45426</v>
      </c>
      <c r="I538" s="1" t="s">
        <v>3790</v>
      </c>
      <c r="J538" s="1" t="s">
        <v>3823</v>
      </c>
      <c r="K538" s="1" t="s">
        <v>3800</v>
      </c>
      <c r="L538" s="1" t="s">
        <v>51</v>
      </c>
    </row>
    <row r="539" spans="1:12" x14ac:dyDescent="0.25">
      <c r="A539" s="1" t="s">
        <v>4358</v>
      </c>
      <c r="B539" s="1" t="s">
        <v>3811</v>
      </c>
      <c r="C539" s="1" t="s">
        <v>3825</v>
      </c>
      <c r="D539" s="1" t="s">
        <v>3822</v>
      </c>
      <c r="E539">
        <v>315242</v>
      </c>
      <c r="F539">
        <v>353921.75</v>
      </c>
      <c r="G539">
        <v>-38679.75</v>
      </c>
      <c r="H539" s="2">
        <v>45167</v>
      </c>
      <c r="I539" s="1" t="s">
        <v>3859</v>
      </c>
      <c r="J539" s="1" t="s">
        <v>3823</v>
      </c>
      <c r="K539" s="1" t="s">
        <v>3784</v>
      </c>
      <c r="L539" s="1" t="s">
        <v>3809</v>
      </c>
    </row>
    <row r="540" spans="1:12" x14ac:dyDescent="0.25">
      <c r="A540" s="1" t="s">
        <v>4359</v>
      </c>
      <c r="B540" s="1" t="s">
        <v>3794</v>
      </c>
      <c r="C540" s="1" t="s">
        <v>3815</v>
      </c>
      <c r="D540" s="1" t="s">
        <v>3813</v>
      </c>
      <c r="E540">
        <v>223813</v>
      </c>
      <c r="F540">
        <v>205492.11</v>
      </c>
      <c r="G540">
        <v>18320.89</v>
      </c>
      <c r="H540" s="2">
        <v>45272</v>
      </c>
      <c r="I540" s="1" t="s">
        <v>3790</v>
      </c>
      <c r="J540" s="1" t="s">
        <v>3803</v>
      </c>
      <c r="K540" s="1" t="s">
        <v>3784</v>
      </c>
      <c r="L540" s="1" t="s">
        <v>51</v>
      </c>
    </row>
    <row r="541" spans="1:12" x14ac:dyDescent="0.25">
      <c r="A541" s="1" t="s">
        <v>4360</v>
      </c>
      <c r="B541" s="1" t="s">
        <v>3839</v>
      </c>
      <c r="C541" s="1" t="s">
        <v>3795</v>
      </c>
      <c r="D541" s="1" t="s">
        <v>3867</v>
      </c>
      <c r="E541">
        <v>366449</v>
      </c>
      <c r="F541">
        <v>378351.62</v>
      </c>
      <c r="G541">
        <v>-11902.62</v>
      </c>
      <c r="H541" s="2">
        <v>44957</v>
      </c>
      <c r="I541" s="1" t="s">
        <v>3782</v>
      </c>
      <c r="J541" s="1" t="s">
        <v>3803</v>
      </c>
      <c r="K541" s="1" t="s">
        <v>3804</v>
      </c>
      <c r="L541" s="1" t="s">
        <v>51</v>
      </c>
    </row>
    <row r="542" spans="1:12" x14ac:dyDescent="0.25">
      <c r="A542" s="1" t="s">
        <v>4361</v>
      </c>
      <c r="B542" s="1" t="s">
        <v>51</v>
      </c>
      <c r="C542" s="1" t="s">
        <v>3780</v>
      </c>
      <c r="D542" s="1" t="s">
        <v>3816</v>
      </c>
      <c r="E542">
        <v>25682</v>
      </c>
      <c r="F542">
        <v>30711.55</v>
      </c>
      <c r="G542">
        <v>-5029.55</v>
      </c>
      <c r="H542" s="2">
        <v>45700</v>
      </c>
      <c r="I542" s="1" t="s">
        <v>3790</v>
      </c>
      <c r="J542" s="1" t="s">
        <v>3823</v>
      </c>
      <c r="K542" s="1" t="s">
        <v>3800</v>
      </c>
      <c r="L542" s="1" t="s">
        <v>51</v>
      </c>
    </row>
    <row r="543" spans="1:12" x14ac:dyDescent="0.25">
      <c r="A543" s="1" t="s">
        <v>4362</v>
      </c>
      <c r="B543" s="1" t="s">
        <v>3808</v>
      </c>
      <c r="C543" s="1" t="s">
        <v>3844</v>
      </c>
      <c r="D543" s="1" t="s">
        <v>3834</v>
      </c>
      <c r="E543">
        <v>45078</v>
      </c>
      <c r="F543">
        <v>46626.720000000001</v>
      </c>
      <c r="G543">
        <v>-1548.72</v>
      </c>
      <c r="H543" s="2">
        <v>45062</v>
      </c>
      <c r="I543" s="1" t="s">
        <v>3790</v>
      </c>
      <c r="J543" s="1" t="s">
        <v>3783</v>
      </c>
      <c r="K543" s="1" t="s">
        <v>3784</v>
      </c>
      <c r="L543" s="1" t="s">
        <v>51</v>
      </c>
    </row>
    <row r="544" spans="1:12" x14ac:dyDescent="0.25">
      <c r="A544" s="1" t="s">
        <v>4363</v>
      </c>
      <c r="B544" s="1" t="s">
        <v>3839</v>
      </c>
      <c r="C544" s="1" t="s">
        <v>3788</v>
      </c>
      <c r="D544" s="1" t="s">
        <v>3834</v>
      </c>
      <c r="E544">
        <v>359864</v>
      </c>
      <c r="F544">
        <v>417616.71</v>
      </c>
      <c r="G544">
        <v>-57752.71</v>
      </c>
      <c r="H544" s="2">
        <v>45745</v>
      </c>
      <c r="I544" s="1" t="s">
        <v>3859</v>
      </c>
      <c r="J544" s="1" t="s">
        <v>3803</v>
      </c>
      <c r="K544" s="1" t="s">
        <v>3800</v>
      </c>
      <c r="L544" s="1" t="s">
        <v>51</v>
      </c>
    </row>
    <row r="545" spans="1:12" x14ac:dyDescent="0.25">
      <c r="A545" s="1" t="s">
        <v>4364</v>
      </c>
      <c r="B545" s="1" t="s">
        <v>3811</v>
      </c>
      <c r="C545" s="1" t="s">
        <v>3821</v>
      </c>
      <c r="D545" s="1" t="s">
        <v>3834</v>
      </c>
      <c r="E545">
        <v>378394</v>
      </c>
      <c r="F545">
        <v>417751.85</v>
      </c>
      <c r="G545">
        <v>-39357.85</v>
      </c>
      <c r="H545" s="2">
        <v>45430</v>
      </c>
      <c r="I545" s="1" t="s">
        <v>3790</v>
      </c>
      <c r="J545" s="1" t="s">
        <v>3791</v>
      </c>
      <c r="K545" s="1" t="s">
        <v>3800</v>
      </c>
      <c r="L545" s="1" t="s">
        <v>51</v>
      </c>
    </row>
    <row r="546" spans="1:12" x14ac:dyDescent="0.25">
      <c r="A546" s="1" t="s">
        <v>4365</v>
      </c>
      <c r="B546" s="1" t="s">
        <v>3794</v>
      </c>
      <c r="C546" s="1" t="s">
        <v>3815</v>
      </c>
      <c r="D546" s="1" t="s">
        <v>3781</v>
      </c>
      <c r="E546">
        <v>244293</v>
      </c>
      <c r="F546">
        <v>308057.15000000002</v>
      </c>
      <c r="G546">
        <v>-63764.15</v>
      </c>
      <c r="H546" s="2">
        <v>45193</v>
      </c>
      <c r="I546" s="1" t="s">
        <v>3790</v>
      </c>
      <c r="J546" s="1" t="s">
        <v>3783</v>
      </c>
      <c r="K546" s="1" t="s">
        <v>3784</v>
      </c>
      <c r="L546" s="1" t="s">
        <v>3809</v>
      </c>
    </row>
    <row r="547" spans="1:12" x14ac:dyDescent="0.25">
      <c r="A547" s="1" t="s">
        <v>4366</v>
      </c>
      <c r="B547" s="1" t="s">
        <v>3808</v>
      </c>
      <c r="C547" s="1" t="s">
        <v>3806</v>
      </c>
      <c r="D547" s="1" t="s">
        <v>3850</v>
      </c>
      <c r="E547">
        <v>438697</v>
      </c>
      <c r="F547">
        <v>394827.65</v>
      </c>
      <c r="G547">
        <v>43869.35</v>
      </c>
      <c r="H547" s="2">
        <v>45098</v>
      </c>
      <c r="I547" s="1" t="s">
        <v>3790</v>
      </c>
      <c r="J547" s="1" t="s">
        <v>3783</v>
      </c>
      <c r="K547" s="1" t="s">
        <v>3784</v>
      </c>
      <c r="L547" s="1" t="s">
        <v>3785</v>
      </c>
    </row>
    <row r="548" spans="1:12" x14ac:dyDescent="0.25">
      <c r="A548" s="1" t="s">
        <v>4367</v>
      </c>
      <c r="B548" s="1" t="s">
        <v>3828</v>
      </c>
      <c r="C548" s="1" t="s">
        <v>3861</v>
      </c>
      <c r="D548" s="1" t="s">
        <v>3822</v>
      </c>
      <c r="E548">
        <v>494478</v>
      </c>
      <c r="F548">
        <v>425644.3</v>
      </c>
      <c r="G548">
        <v>68833.7</v>
      </c>
      <c r="H548" s="2">
        <v>45484</v>
      </c>
      <c r="I548" s="1" t="s">
        <v>3790</v>
      </c>
      <c r="J548" s="1" t="s">
        <v>3823</v>
      </c>
      <c r="K548" s="1" t="s">
        <v>3800</v>
      </c>
      <c r="L548" s="1" t="s">
        <v>3792</v>
      </c>
    </row>
    <row r="549" spans="1:12" x14ac:dyDescent="0.25">
      <c r="A549" s="1" t="s">
        <v>4368</v>
      </c>
      <c r="B549" s="1" t="s">
        <v>3828</v>
      </c>
      <c r="C549" s="1" t="s">
        <v>3844</v>
      </c>
      <c r="D549" s="1" t="s">
        <v>3816</v>
      </c>
      <c r="E549">
        <v>90424</v>
      </c>
      <c r="F549">
        <v>98893.58</v>
      </c>
      <c r="G549">
        <v>-8469.58</v>
      </c>
      <c r="H549" s="2">
        <v>45483</v>
      </c>
      <c r="I549" s="1" t="s">
        <v>3790</v>
      </c>
      <c r="J549" s="1" t="s">
        <v>3791</v>
      </c>
      <c r="K549" s="1" t="s">
        <v>3800</v>
      </c>
      <c r="L549" s="1" t="s">
        <v>51</v>
      </c>
    </row>
    <row r="550" spans="1:12" x14ac:dyDescent="0.25">
      <c r="A550" s="1" t="s">
        <v>4369</v>
      </c>
      <c r="B550" s="1" t="s">
        <v>3811</v>
      </c>
      <c r="C550" s="1" t="s">
        <v>3844</v>
      </c>
      <c r="D550" s="1" t="s">
        <v>3813</v>
      </c>
      <c r="E550">
        <v>391262</v>
      </c>
      <c r="F550">
        <v>331538.21000000002</v>
      </c>
      <c r="G550">
        <v>59723.79</v>
      </c>
      <c r="H550" s="2">
        <v>45506</v>
      </c>
      <c r="I550" s="1" t="s">
        <v>3790</v>
      </c>
      <c r="J550" s="1" t="s">
        <v>3803</v>
      </c>
      <c r="K550" s="1" t="s">
        <v>3800</v>
      </c>
      <c r="L550" s="1" t="s">
        <v>51</v>
      </c>
    </row>
    <row r="551" spans="1:12" x14ac:dyDescent="0.25">
      <c r="A551" s="1" t="s">
        <v>4370</v>
      </c>
      <c r="B551" s="1" t="s">
        <v>3828</v>
      </c>
      <c r="C551" s="1" t="s">
        <v>3815</v>
      </c>
      <c r="D551" s="1" t="s">
        <v>3822</v>
      </c>
      <c r="E551">
        <v>97915</v>
      </c>
      <c r="G551">
        <v>12794.13</v>
      </c>
      <c r="H551" s="2">
        <v>45482</v>
      </c>
      <c r="I551" s="1" t="s">
        <v>3782</v>
      </c>
      <c r="J551" s="1" t="s">
        <v>3803</v>
      </c>
      <c r="K551" s="1" t="s">
        <v>3800</v>
      </c>
      <c r="L551" s="1" t="s">
        <v>3809</v>
      </c>
    </row>
    <row r="552" spans="1:12" x14ac:dyDescent="0.25">
      <c r="A552" s="1" t="s">
        <v>4371</v>
      </c>
      <c r="B552" s="1" t="s">
        <v>3811</v>
      </c>
      <c r="C552" s="1" t="s">
        <v>3815</v>
      </c>
      <c r="D552" s="1" t="s">
        <v>3816</v>
      </c>
      <c r="E552">
        <v>360413</v>
      </c>
      <c r="F552">
        <v>394450.86</v>
      </c>
      <c r="G552">
        <v>-34037.86</v>
      </c>
      <c r="H552" s="2">
        <v>45349</v>
      </c>
      <c r="I552" s="1" t="s">
        <v>3790</v>
      </c>
      <c r="J552" s="1" t="s">
        <v>3823</v>
      </c>
      <c r="K552" s="1" t="s">
        <v>3784</v>
      </c>
      <c r="L552" s="1" t="s">
        <v>3817</v>
      </c>
    </row>
    <row r="553" spans="1:12" x14ac:dyDescent="0.25">
      <c r="A553" s="1" t="s">
        <v>4372</v>
      </c>
      <c r="B553" s="1" t="s">
        <v>3839</v>
      </c>
      <c r="C553" s="1" t="s">
        <v>3788</v>
      </c>
      <c r="D553" s="1" t="s">
        <v>3834</v>
      </c>
      <c r="E553">
        <v>211741</v>
      </c>
      <c r="F553">
        <v>259695.42</v>
      </c>
      <c r="G553">
        <v>-47954.42</v>
      </c>
      <c r="H553" s="2">
        <v>45201</v>
      </c>
      <c r="I553" s="1" t="s">
        <v>3790</v>
      </c>
      <c r="J553" s="1" t="s">
        <v>3791</v>
      </c>
      <c r="K553" s="1" t="s">
        <v>3784</v>
      </c>
      <c r="L553" s="1" t="s">
        <v>3785</v>
      </c>
    </row>
    <row r="554" spans="1:12" x14ac:dyDescent="0.25">
      <c r="A554" s="1" t="s">
        <v>4373</v>
      </c>
      <c r="B554" s="1" t="s">
        <v>3839</v>
      </c>
      <c r="C554" s="1" t="s">
        <v>3825</v>
      </c>
      <c r="D554" s="1" t="s">
        <v>3826</v>
      </c>
      <c r="E554">
        <v>252414</v>
      </c>
      <c r="F554">
        <v>300603.15000000002</v>
      </c>
      <c r="G554">
        <v>-48189.15</v>
      </c>
      <c r="H554" s="2">
        <v>45418</v>
      </c>
      <c r="I554" s="1" t="s">
        <v>3782</v>
      </c>
      <c r="J554" s="1" t="s">
        <v>3791</v>
      </c>
      <c r="K554" s="1" t="s">
        <v>3800</v>
      </c>
      <c r="L554" s="1" t="s">
        <v>51</v>
      </c>
    </row>
    <row r="555" spans="1:12" x14ac:dyDescent="0.25">
      <c r="A555" s="1" t="s">
        <v>4374</v>
      </c>
      <c r="B555" s="1" t="s">
        <v>3839</v>
      </c>
      <c r="C555" s="1" t="s">
        <v>3858</v>
      </c>
      <c r="D555" s="1" t="s">
        <v>3802</v>
      </c>
      <c r="E555">
        <v>182510</v>
      </c>
      <c r="F555">
        <v>171655.83</v>
      </c>
      <c r="G555">
        <v>10854.17</v>
      </c>
      <c r="H555" s="2">
        <v>45374</v>
      </c>
      <c r="I555" s="1" t="s">
        <v>3790</v>
      </c>
      <c r="J555" s="1" t="s">
        <v>3803</v>
      </c>
      <c r="K555" s="1" t="s">
        <v>3784</v>
      </c>
      <c r="L555" s="1" t="s">
        <v>51</v>
      </c>
    </row>
    <row r="556" spans="1:12" x14ac:dyDescent="0.25">
      <c r="A556" s="1" t="s">
        <v>4375</v>
      </c>
      <c r="B556" s="1" t="s">
        <v>3811</v>
      </c>
      <c r="C556" s="1" t="s">
        <v>3812</v>
      </c>
      <c r="D556" s="1" t="s">
        <v>3802</v>
      </c>
      <c r="E556">
        <v>269988</v>
      </c>
      <c r="F556">
        <v>246791.93</v>
      </c>
      <c r="G556">
        <v>23196.07</v>
      </c>
      <c r="H556" s="2">
        <v>45644</v>
      </c>
      <c r="I556" s="1" t="s">
        <v>3790</v>
      </c>
      <c r="J556" s="1" t="s">
        <v>3803</v>
      </c>
      <c r="K556" s="1" t="s">
        <v>3800</v>
      </c>
      <c r="L556" s="1" t="s">
        <v>3785</v>
      </c>
    </row>
    <row r="557" spans="1:12" x14ac:dyDescent="0.25">
      <c r="A557" s="1" t="s">
        <v>4376</v>
      </c>
      <c r="B557" s="1" t="s">
        <v>3811</v>
      </c>
      <c r="C557" s="1" t="s">
        <v>3858</v>
      </c>
      <c r="D557" s="1" t="s">
        <v>3850</v>
      </c>
      <c r="E557">
        <v>3713747</v>
      </c>
      <c r="F557">
        <v>3704060.42</v>
      </c>
      <c r="G557">
        <v>9686.58</v>
      </c>
      <c r="H557" s="2">
        <v>45553</v>
      </c>
      <c r="I557" s="1" t="s">
        <v>3790</v>
      </c>
      <c r="J557" s="1" t="s">
        <v>3791</v>
      </c>
      <c r="K557" s="1" t="s">
        <v>3800</v>
      </c>
      <c r="L557" s="1" t="s">
        <v>51</v>
      </c>
    </row>
    <row r="558" spans="1:12" x14ac:dyDescent="0.25">
      <c r="A558" s="1" t="s">
        <v>4377</v>
      </c>
      <c r="B558" s="1" t="s">
        <v>3794</v>
      </c>
      <c r="C558" s="1" t="s">
        <v>3821</v>
      </c>
      <c r="D558" s="1" t="s">
        <v>3834</v>
      </c>
      <c r="E558">
        <v>172544</v>
      </c>
      <c r="F558">
        <v>204995.71</v>
      </c>
      <c r="G558">
        <v>-32451.71</v>
      </c>
      <c r="H558" s="2">
        <v>45248</v>
      </c>
      <c r="I558" s="1" t="s">
        <v>3790</v>
      </c>
      <c r="J558" s="1" t="s">
        <v>3823</v>
      </c>
      <c r="K558" s="1" t="s">
        <v>3784</v>
      </c>
      <c r="L558" s="1" t="s">
        <v>3809</v>
      </c>
    </row>
    <row r="559" spans="1:12" x14ac:dyDescent="0.25">
      <c r="A559" s="1" t="s">
        <v>4378</v>
      </c>
      <c r="B559" s="1" t="s">
        <v>3828</v>
      </c>
      <c r="C559" s="1" t="s">
        <v>3812</v>
      </c>
      <c r="D559" s="1" t="s">
        <v>3867</v>
      </c>
      <c r="E559">
        <v>-127359</v>
      </c>
      <c r="F559">
        <v>114724.18</v>
      </c>
      <c r="G559">
        <v>12634.82</v>
      </c>
      <c r="H559" s="2">
        <v>45707</v>
      </c>
      <c r="I559" s="1" t="s">
        <v>3790</v>
      </c>
      <c r="J559" s="1" t="s">
        <v>3823</v>
      </c>
      <c r="K559" s="1" t="s">
        <v>3800</v>
      </c>
      <c r="L559" s="1" t="s">
        <v>51</v>
      </c>
    </row>
    <row r="560" spans="1:12" x14ac:dyDescent="0.25">
      <c r="A560" s="1" t="s">
        <v>4379</v>
      </c>
      <c r="B560" s="1" t="s">
        <v>3811</v>
      </c>
      <c r="C560" s="1" t="s">
        <v>3848</v>
      </c>
      <c r="D560" s="1" t="s">
        <v>3813</v>
      </c>
      <c r="E560">
        <v>372228</v>
      </c>
      <c r="F560">
        <v>403678.43</v>
      </c>
      <c r="H560" s="2">
        <v>45087</v>
      </c>
      <c r="I560" s="1" t="s">
        <v>3859</v>
      </c>
      <c r="J560" s="1" t="s">
        <v>3803</v>
      </c>
      <c r="K560" s="1" t="s">
        <v>3784</v>
      </c>
      <c r="L560" s="1" t="s">
        <v>3785</v>
      </c>
    </row>
    <row r="561" spans="1:12" x14ac:dyDescent="0.25">
      <c r="A561" s="1" t="s">
        <v>4380</v>
      </c>
      <c r="B561" s="1" t="s">
        <v>3787</v>
      </c>
      <c r="C561" s="1" t="s">
        <v>3861</v>
      </c>
      <c r="D561" s="1" t="s">
        <v>3813</v>
      </c>
      <c r="E561">
        <v>168643</v>
      </c>
      <c r="F561">
        <v>164538.23999999999</v>
      </c>
      <c r="G561">
        <v>4104.76</v>
      </c>
      <c r="H561" s="2">
        <v>45108</v>
      </c>
      <c r="I561" s="1" t="s">
        <v>3790</v>
      </c>
      <c r="J561" s="1" t="s">
        <v>3803</v>
      </c>
      <c r="K561" s="1" t="s">
        <v>3784</v>
      </c>
      <c r="L561" s="1" t="s">
        <v>3792</v>
      </c>
    </row>
    <row r="562" spans="1:12" x14ac:dyDescent="0.25">
      <c r="A562" s="1" t="s">
        <v>4381</v>
      </c>
      <c r="B562" s="1" t="s">
        <v>3839</v>
      </c>
      <c r="C562" s="1" t="s">
        <v>3795</v>
      </c>
      <c r="D562" s="1" t="s">
        <v>3816</v>
      </c>
      <c r="E562">
        <v>462507</v>
      </c>
      <c r="F562">
        <v>382064.83</v>
      </c>
      <c r="G562">
        <v>80442.17</v>
      </c>
      <c r="H562" s="2">
        <v>45720</v>
      </c>
      <c r="I562" s="1" t="s">
        <v>3790</v>
      </c>
      <c r="J562" s="1" t="s">
        <v>3783</v>
      </c>
      <c r="K562" s="1" t="s">
        <v>3800</v>
      </c>
      <c r="L562" s="1" t="s">
        <v>51</v>
      </c>
    </row>
    <row r="563" spans="1:12" x14ac:dyDescent="0.25">
      <c r="A563" s="1" t="s">
        <v>4382</v>
      </c>
      <c r="B563" s="1" t="s">
        <v>3794</v>
      </c>
      <c r="C563" s="1" t="s">
        <v>3788</v>
      </c>
      <c r="D563" s="1" t="s">
        <v>3837</v>
      </c>
      <c r="E563">
        <v>267508</v>
      </c>
      <c r="F563">
        <v>263079.67999999999</v>
      </c>
      <c r="G563">
        <v>4428.32</v>
      </c>
      <c r="H563" s="2">
        <v>45193</v>
      </c>
      <c r="I563" s="1" t="s">
        <v>3859</v>
      </c>
      <c r="J563" s="1" t="s">
        <v>3803</v>
      </c>
      <c r="K563" s="1" t="s">
        <v>3784</v>
      </c>
      <c r="L563" s="1" t="s">
        <v>51</v>
      </c>
    </row>
    <row r="564" spans="1:12" x14ac:dyDescent="0.25">
      <c r="A564" s="1" t="s">
        <v>4383</v>
      </c>
      <c r="B564" s="1" t="s">
        <v>3787</v>
      </c>
      <c r="C564" s="1" t="s">
        <v>3812</v>
      </c>
      <c r="D564" s="1" t="s">
        <v>3895</v>
      </c>
      <c r="E564">
        <v>390884</v>
      </c>
      <c r="F564">
        <v>374286.3</v>
      </c>
      <c r="G564">
        <v>16597.7</v>
      </c>
      <c r="H564" s="2">
        <v>45490</v>
      </c>
      <c r="I564" s="1" t="s">
        <v>3790</v>
      </c>
      <c r="J564" s="1" t="s">
        <v>3783</v>
      </c>
      <c r="K564" s="1" t="s">
        <v>3800</v>
      </c>
      <c r="L564" s="1" t="s">
        <v>3831</v>
      </c>
    </row>
    <row r="565" spans="1:12" x14ac:dyDescent="0.25">
      <c r="A565" s="1" t="s">
        <v>4384</v>
      </c>
      <c r="B565" s="1" t="s">
        <v>3798</v>
      </c>
      <c r="C565" s="1" t="s">
        <v>3858</v>
      </c>
      <c r="D565" s="1" t="s">
        <v>3781</v>
      </c>
      <c r="E565">
        <v>459680</v>
      </c>
      <c r="F565">
        <v>442515.12</v>
      </c>
      <c r="G565">
        <v>17164.88</v>
      </c>
      <c r="H565" s="2">
        <v>44978</v>
      </c>
      <c r="I565" s="1" t="s">
        <v>3790</v>
      </c>
      <c r="J565" s="1" t="s">
        <v>3791</v>
      </c>
      <c r="K565" s="1" t="s">
        <v>3804</v>
      </c>
      <c r="L565" s="1" t="s">
        <v>3809</v>
      </c>
    </row>
    <row r="566" spans="1:12" x14ac:dyDescent="0.25">
      <c r="A566" s="1" t="s">
        <v>4385</v>
      </c>
      <c r="B566" s="1" t="s">
        <v>3794</v>
      </c>
      <c r="C566" s="1" t="s">
        <v>3848</v>
      </c>
      <c r="D566" s="1" t="s">
        <v>3846</v>
      </c>
      <c r="E566">
        <v>-300675</v>
      </c>
      <c r="F566">
        <v>324757.98</v>
      </c>
      <c r="G566">
        <v>-24082.98</v>
      </c>
      <c r="H566" s="2">
        <v>45143</v>
      </c>
      <c r="I566" s="1" t="s">
        <v>3790</v>
      </c>
      <c r="J566" s="1" t="s">
        <v>3791</v>
      </c>
      <c r="K566" s="1" t="s">
        <v>3784</v>
      </c>
      <c r="L566" s="1" t="s">
        <v>3831</v>
      </c>
    </row>
    <row r="567" spans="1:12" x14ac:dyDescent="0.25">
      <c r="A567" s="1" t="s">
        <v>4386</v>
      </c>
      <c r="B567" s="1" t="s">
        <v>3798</v>
      </c>
      <c r="C567" s="1" t="s">
        <v>3788</v>
      </c>
      <c r="D567" s="1" t="s">
        <v>3855</v>
      </c>
      <c r="E567">
        <v>465199</v>
      </c>
      <c r="F567">
        <v>577067.32999999996</v>
      </c>
      <c r="G567">
        <v>-111868.33</v>
      </c>
      <c r="H567" s="2">
        <v>45166</v>
      </c>
      <c r="I567" s="1" t="s">
        <v>3790</v>
      </c>
      <c r="J567" s="1" t="s">
        <v>3791</v>
      </c>
      <c r="K567" s="1" t="s">
        <v>3784</v>
      </c>
      <c r="L567" s="1" t="s">
        <v>51</v>
      </c>
    </row>
    <row r="568" spans="1:12" x14ac:dyDescent="0.25">
      <c r="A568" s="1" t="s">
        <v>4387</v>
      </c>
      <c r="B568" s="1" t="s">
        <v>3839</v>
      </c>
      <c r="C568" s="1" t="s">
        <v>3844</v>
      </c>
      <c r="D568" s="1" t="s">
        <v>3855</v>
      </c>
      <c r="E568">
        <v>166289</v>
      </c>
      <c r="F568">
        <v>178135.73</v>
      </c>
      <c r="G568">
        <v>-11846.73</v>
      </c>
      <c r="H568" s="2">
        <v>45704</v>
      </c>
      <c r="I568" s="1" t="s">
        <v>3790</v>
      </c>
      <c r="J568" s="1" t="s">
        <v>3783</v>
      </c>
      <c r="K568" s="1" t="s">
        <v>3800</v>
      </c>
      <c r="L568" s="1" t="s">
        <v>3785</v>
      </c>
    </row>
    <row r="569" spans="1:12" x14ac:dyDescent="0.25">
      <c r="A569" s="1" t="s">
        <v>4388</v>
      </c>
      <c r="B569" s="1" t="s">
        <v>3798</v>
      </c>
      <c r="C569" s="1" t="s">
        <v>3825</v>
      </c>
      <c r="D569" s="1" t="s">
        <v>3789</v>
      </c>
      <c r="E569">
        <v>246882</v>
      </c>
      <c r="F569">
        <v>237164.36</v>
      </c>
      <c r="G569">
        <v>9717.64</v>
      </c>
      <c r="H569" s="2">
        <v>45433</v>
      </c>
      <c r="I569" s="1" t="s">
        <v>3790</v>
      </c>
      <c r="J569" s="1" t="s">
        <v>3783</v>
      </c>
      <c r="K569" s="1" t="s">
        <v>3800</v>
      </c>
      <c r="L569" s="1" t="s">
        <v>51</v>
      </c>
    </row>
    <row r="570" spans="1:12" x14ac:dyDescent="0.25">
      <c r="A570" s="1" t="s">
        <v>4389</v>
      </c>
      <c r="B570" s="1" t="s">
        <v>3808</v>
      </c>
      <c r="C570" s="1" t="s">
        <v>3780</v>
      </c>
      <c r="D570" s="1" t="s">
        <v>3789</v>
      </c>
      <c r="E570">
        <v>51577</v>
      </c>
      <c r="F570">
        <v>56897.67</v>
      </c>
      <c r="G570">
        <v>-5320.67</v>
      </c>
      <c r="H570" s="2">
        <v>45290</v>
      </c>
      <c r="I570" s="1" t="s">
        <v>3859</v>
      </c>
      <c r="J570" s="1" t="s">
        <v>3823</v>
      </c>
      <c r="K570" s="1" t="s">
        <v>3784</v>
      </c>
      <c r="L570" s="1" t="s">
        <v>51</v>
      </c>
    </row>
    <row r="571" spans="1:12" x14ac:dyDescent="0.25">
      <c r="A571" s="1" t="s">
        <v>4390</v>
      </c>
      <c r="B571" s="1" t="s">
        <v>3798</v>
      </c>
      <c r="C571" s="1" t="s">
        <v>3848</v>
      </c>
      <c r="D571" s="1" t="s">
        <v>3850</v>
      </c>
      <c r="E571">
        <v>297578</v>
      </c>
      <c r="F571">
        <v>298238.42</v>
      </c>
      <c r="G571">
        <v>-660.42</v>
      </c>
      <c r="H571" s="2">
        <v>44946</v>
      </c>
      <c r="I571" s="1" t="s">
        <v>3790</v>
      </c>
      <c r="J571" s="1" t="s">
        <v>3791</v>
      </c>
      <c r="K571" s="1" t="s">
        <v>3804</v>
      </c>
      <c r="L571" s="1" t="s">
        <v>51</v>
      </c>
    </row>
    <row r="572" spans="1:12" x14ac:dyDescent="0.25">
      <c r="A572" s="1" t="s">
        <v>4391</v>
      </c>
      <c r="B572" s="1" t="s">
        <v>3811</v>
      </c>
      <c r="C572" s="1" t="s">
        <v>3795</v>
      </c>
      <c r="D572" s="1" t="s">
        <v>3895</v>
      </c>
      <c r="E572">
        <v>95596</v>
      </c>
      <c r="F572">
        <v>78741.84</v>
      </c>
      <c r="G572">
        <v>16854.16</v>
      </c>
      <c r="H572" s="2">
        <v>45085</v>
      </c>
      <c r="I572" s="1" t="s">
        <v>3790</v>
      </c>
      <c r="J572" s="1" t="s">
        <v>3823</v>
      </c>
      <c r="K572" s="1" t="s">
        <v>3784</v>
      </c>
      <c r="L572" s="1" t="s">
        <v>51</v>
      </c>
    </row>
    <row r="573" spans="1:12" x14ac:dyDescent="0.25">
      <c r="A573" s="1" t="s">
        <v>4392</v>
      </c>
      <c r="B573" s="1" t="s">
        <v>3794</v>
      </c>
      <c r="C573" s="1" t="s">
        <v>3861</v>
      </c>
      <c r="D573" s="1" t="s">
        <v>3837</v>
      </c>
      <c r="E573">
        <v>56472</v>
      </c>
      <c r="F573">
        <v>62808.17</v>
      </c>
      <c r="G573">
        <v>-6336.17</v>
      </c>
      <c r="H573" s="2">
        <v>45190</v>
      </c>
      <c r="I573" s="1" t="s">
        <v>3790</v>
      </c>
      <c r="J573" s="1" t="s">
        <v>3783</v>
      </c>
      <c r="K573" s="1" t="s">
        <v>3784</v>
      </c>
      <c r="L573" s="1" t="s">
        <v>51</v>
      </c>
    </row>
    <row r="574" spans="1:12" x14ac:dyDescent="0.25">
      <c r="A574" s="1" t="s">
        <v>4393</v>
      </c>
      <c r="B574" s="1" t="s">
        <v>3798</v>
      </c>
      <c r="C574" s="1" t="s">
        <v>3812</v>
      </c>
      <c r="D574" s="1" t="s">
        <v>3837</v>
      </c>
      <c r="E574">
        <v>473688</v>
      </c>
      <c r="F574">
        <v>570098.88</v>
      </c>
      <c r="G574">
        <v>-96410.880000000005</v>
      </c>
      <c r="H574" s="2">
        <v>45456</v>
      </c>
      <c r="I574" s="1" t="s">
        <v>3782</v>
      </c>
      <c r="J574" s="1" t="s">
        <v>3791</v>
      </c>
      <c r="K574" s="1" t="s">
        <v>3800</v>
      </c>
      <c r="L574" s="1" t="s">
        <v>3831</v>
      </c>
    </row>
    <row r="575" spans="1:12" x14ac:dyDescent="0.25">
      <c r="A575" s="1" t="s">
        <v>4394</v>
      </c>
      <c r="B575" s="1" t="s">
        <v>3808</v>
      </c>
      <c r="C575" s="1" t="s">
        <v>3821</v>
      </c>
      <c r="D575" s="1" t="s">
        <v>3850</v>
      </c>
      <c r="E575">
        <v>143902</v>
      </c>
      <c r="F575">
        <v>164879.64000000001</v>
      </c>
      <c r="G575">
        <v>-20977.64</v>
      </c>
      <c r="H575" s="2">
        <v>45262</v>
      </c>
      <c r="I575" s="1" t="s">
        <v>3790</v>
      </c>
      <c r="J575" s="1" t="s">
        <v>3803</v>
      </c>
      <c r="K575" s="1" t="s">
        <v>3784</v>
      </c>
      <c r="L575" s="1" t="s">
        <v>3817</v>
      </c>
    </row>
    <row r="576" spans="1:12" x14ac:dyDescent="0.25">
      <c r="A576" s="1" t="s">
        <v>4395</v>
      </c>
      <c r="B576" s="1" t="s">
        <v>3828</v>
      </c>
      <c r="C576" s="1" t="s">
        <v>3858</v>
      </c>
      <c r="D576" s="1" t="s">
        <v>3802</v>
      </c>
      <c r="E576">
        <v>345077</v>
      </c>
      <c r="F576">
        <v>406184.97</v>
      </c>
      <c r="G576">
        <v>-61107.97</v>
      </c>
      <c r="H576" s="2">
        <v>45612</v>
      </c>
      <c r="I576" s="1" t="s">
        <v>3790</v>
      </c>
      <c r="J576" s="1" t="s">
        <v>3803</v>
      </c>
      <c r="K576" s="1" t="s">
        <v>3800</v>
      </c>
      <c r="L576" s="1" t="s">
        <v>51</v>
      </c>
    </row>
    <row r="577" spans="1:12" x14ac:dyDescent="0.25">
      <c r="A577" s="1" t="s">
        <v>4396</v>
      </c>
      <c r="B577" s="1" t="s">
        <v>3828</v>
      </c>
      <c r="C577" s="1" t="s">
        <v>3780</v>
      </c>
      <c r="D577" s="1" t="s">
        <v>3895</v>
      </c>
      <c r="E577">
        <v>494859</v>
      </c>
      <c r="F577">
        <v>567526.82999999996</v>
      </c>
      <c r="H577" s="2">
        <v>45648</v>
      </c>
      <c r="I577" s="1" t="s">
        <v>3790</v>
      </c>
      <c r="J577" s="1" t="s">
        <v>3823</v>
      </c>
      <c r="K577" s="1" t="s">
        <v>3800</v>
      </c>
      <c r="L577" s="1" t="s">
        <v>51</v>
      </c>
    </row>
    <row r="578" spans="1:12" x14ac:dyDescent="0.25">
      <c r="A578" s="1" t="s">
        <v>4397</v>
      </c>
      <c r="B578" s="1" t="s">
        <v>3798</v>
      </c>
      <c r="C578" s="1" t="s">
        <v>3806</v>
      </c>
      <c r="D578" s="1" t="s">
        <v>3796</v>
      </c>
      <c r="E578">
        <v>443452</v>
      </c>
      <c r="F578">
        <v>575687.89</v>
      </c>
      <c r="G578">
        <v>-132235.89000000001</v>
      </c>
      <c r="H578" s="2">
        <v>45604</v>
      </c>
      <c r="I578" s="1" t="s">
        <v>3790</v>
      </c>
      <c r="J578" s="1" t="s">
        <v>3823</v>
      </c>
      <c r="K578" s="1" t="s">
        <v>3800</v>
      </c>
      <c r="L578" s="1" t="s">
        <v>51</v>
      </c>
    </row>
    <row r="579" spans="1:12" x14ac:dyDescent="0.25">
      <c r="A579" s="1" t="s">
        <v>4398</v>
      </c>
      <c r="B579" s="1" t="s">
        <v>51</v>
      </c>
      <c r="C579" s="1" t="s">
        <v>3861</v>
      </c>
      <c r="D579" s="1" t="s">
        <v>3850</v>
      </c>
      <c r="E579">
        <v>40368</v>
      </c>
      <c r="F579">
        <v>44470.92</v>
      </c>
      <c r="G579">
        <v>-4102.92</v>
      </c>
      <c r="H579" s="2">
        <v>44943</v>
      </c>
      <c r="I579" s="1" t="s">
        <v>3790</v>
      </c>
      <c r="J579" s="1" t="s">
        <v>3783</v>
      </c>
      <c r="K579" s="1" t="s">
        <v>3804</v>
      </c>
      <c r="L579" s="1" t="s">
        <v>51</v>
      </c>
    </row>
    <row r="580" spans="1:12" x14ac:dyDescent="0.25">
      <c r="A580" s="1" t="s">
        <v>4399</v>
      </c>
      <c r="B580" s="1" t="s">
        <v>3839</v>
      </c>
      <c r="C580" s="1" t="s">
        <v>3806</v>
      </c>
      <c r="D580" s="1" t="s">
        <v>3867</v>
      </c>
      <c r="E580">
        <v>471872</v>
      </c>
      <c r="F580">
        <v>566563.03</v>
      </c>
      <c r="G580">
        <v>-94691.03</v>
      </c>
      <c r="H580" s="2">
        <v>45312</v>
      </c>
      <c r="I580" s="1" t="s">
        <v>3790</v>
      </c>
      <c r="J580" s="1" t="s">
        <v>3783</v>
      </c>
      <c r="K580" s="1" t="s">
        <v>3784</v>
      </c>
      <c r="L580" s="1" t="s">
        <v>51</v>
      </c>
    </row>
    <row r="581" spans="1:12" x14ac:dyDescent="0.25">
      <c r="A581" s="1" t="s">
        <v>4400</v>
      </c>
      <c r="B581" s="1" t="s">
        <v>3839</v>
      </c>
      <c r="C581" s="1" t="s">
        <v>3848</v>
      </c>
      <c r="D581" s="1" t="s">
        <v>3846</v>
      </c>
      <c r="E581">
        <v>99051</v>
      </c>
      <c r="F581">
        <v>91537.26</v>
      </c>
      <c r="G581">
        <v>7513.74</v>
      </c>
      <c r="H581" s="2">
        <v>45525</v>
      </c>
      <c r="I581" s="1" t="s">
        <v>3790</v>
      </c>
      <c r="J581" s="1" t="s">
        <v>3823</v>
      </c>
      <c r="K581" s="1" t="s">
        <v>3800</v>
      </c>
      <c r="L581" s="1" t="s">
        <v>3785</v>
      </c>
    </row>
    <row r="582" spans="1:12" x14ac:dyDescent="0.25">
      <c r="A582" s="1" t="s">
        <v>4401</v>
      </c>
      <c r="B582" s="1" t="s">
        <v>3811</v>
      </c>
      <c r="C582" s="1" t="s">
        <v>3861</v>
      </c>
      <c r="D582" s="1" t="s">
        <v>3816</v>
      </c>
      <c r="E582">
        <v>308813</v>
      </c>
      <c r="F582">
        <v>393590.64</v>
      </c>
      <c r="G582">
        <v>-84777.64</v>
      </c>
      <c r="H582" s="2">
        <v>44969</v>
      </c>
      <c r="I582" s="1" t="s">
        <v>3790</v>
      </c>
      <c r="J582" s="1" t="s">
        <v>3823</v>
      </c>
      <c r="K582" s="1" t="s">
        <v>3804</v>
      </c>
      <c r="L582" s="1" t="s">
        <v>51</v>
      </c>
    </row>
    <row r="583" spans="1:12" x14ac:dyDescent="0.25">
      <c r="A583" s="1" t="s">
        <v>4402</v>
      </c>
      <c r="B583" s="1" t="s">
        <v>3808</v>
      </c>
      <c r="C583" s="1" t="s">
        <v>3788</v>
      </c>
      <c r="D583" s="1" t="s">
        <v>3802</v>
      </c>
      <c r="E583">
        <v>279525</v>
      </c>
      <c r="G583">
        <v>-62165.66</v>
      </c>
      <c r="H583" s="2">
        <v>45306</v>
      </c>
      <c r="I583" s="1" t="s">
        <v>3790</v>
      </c>
      <c r="J583" s="1" t="s">
        <v>3791</v>
      </c>
      <c r="K583" s="1" t="s">
        <v>3784</v>
      </c>
      <c r="L583" s="1" t="s">
        <v>51</v>
      </c>
    </row>
    <row r="584" spans="1:12" x14ac:dyDescent="0.25">
      <c r="A584" s="1" t="s">
        <v>4403</v>
      </c>
      <c r="B584" s="1" t="s">
        <v>3798</v>
      </c>
      <c r="C584" s="1" t="s">
        <v>3821</v>
      </c>
      <c r="D584" s="1" t="s">
        <v>3796</v>
      </c>
      <c r="E584">
        <v>176344</v>
      </c>
      <c r="F584">
        <v>147089.59</v>
      </c>
      <c r="G584">
        <v>29254.41</v>
      </c>
      <c r="H584" s="2">
        <v>45009</v>
      </c>
      <c r="I584" s="1" t="s">
        <v>3782</v>
      </c>
      <c r="J584" s="1" t="s">
        <v>3783</v>
      </c>
      <c r="K584" s="1" t="s">
        <v>3804</v>
      </c>
      <c r="L584" s="1" t="s">
        <v>51</v>
      </c>
    </row>
    <row r="585" spans="1:12" x14ac:dyDescent="0.25">
      <c r="A585" s="1" t="s">
        <v>4404</v>
      </c>
      <c r="B585" s="1" t="s">
        <v>3794</v>
      </c>
      <c r="C585" s="1" t="s">
        <v>3858</v>
      </c>
      <c r="D585" s="1" t="s">
        <v>3867</v>
      </c>
      <c r="E585">
        <v>202059</v>
      </c>
      <c r="F585">
        <v>214400.08</v>
      </c>
      <c r="G585">
        <v>-12341.08</v>
      </c>
      <c r="H585" s="2">
        <v>45606</v>
      </c>
      <c r="I585" s="1" t="s">
        <v>3790</v>
      </c>
      <c r="J585" s="1" t="s">
        <v>3791</v>
      </c>
      <c r="K585" s="1" t="s">
        <v>3800</v>
      </c>
      <c r="L585" s="1" t="s">
        <v>3792</v>
      </c>
    </row>
    <row r="586" spans="1:12" x14ac:dyDescent="0.25">
      <c r="A586" s="1" t="s">
        <v>4405</v>
      </c>
      <c r="B586" s="1" t="s">
        <v>3828</v>
      </c>
      <c r="C586" s="1" t="s">
        <v>3780</v>
      </c>
      <c r="D586" s="1" t="s">
        <v>3799</v>
      </c>
      <c r="E586">
        <v>204347</v>
      </c>
      <c r="F586">
        <v>265256.24</v>
      </c>
      <c r="G586">
        <v>-60909.24</v>
      </c>
      <c r="H586" s="2">
        <v>45041</v>
      </c>
      <c r="I586" s="1" t="s">
        <v>3790</v>
      </c>
      <c r="J586" s="1" t="s">
        <v>3823</v>
      </c>
      <c r="K586" s="1" t="s">
        <v>3784</v>
      </c>
      <c r="L586" s="1" t="s">
        <v>51</v>
      </c>
    </row>
    <row r="587" spans="1:12" x14ac:dyDescent="0.25">
      <c r="A587" s="1" t="s">
        <v>4406</v>
      </c>
      <c r="B587" s="1" t="s">
        <v>3839</v>
      </c>
      <c r="C587" s="1" t="s">
        <v>3812</v>
      </c>
      <c r="D587" s="1" t="s">
        <v>3789</v>
      </c>
      <c r="E587">
        <v>371913</v>
      </c>
      <c r="F587">
        <v>475768.76</v>
      </c>
      <c r="G587">
        <v>-103855.76</v>
      </c>
      <c r="H587" s="2">
        <v>45296</v>
      </c>
      <c r="I587" s="1" t="s">
        <v>3859</v>
      </c>
      <c r="J587" s="1" t="s">
        <v>3803</v>
      </c>
      <c r="K587" s="1" t="s">
        <v>3784</v>
      </c>
      <c r="L587" s="1" t="s">
        <v>3792</v>
      </c>
    </row>
    <row r="588" spans="1:12" x14ac:dyDescent="0.25">
      <c r="A588" s="1" t="s">
        <v>4407</v>
      </c>
      <c r="B588" s="1" t="s">
        <v>3811</v>
      </c>
      <c r="C588" s="1" t="s">
        <v>3812</v>
      </c>
      <c r="D588" s="1" t="s">
        <v>3837</v>
      </c>
      <c r="E588">
        <v>-108504</v>
      </c>
      <c r="F588">
        <v>96552.71</v>
      </c>
      <c r="G588">
        <v>11951.29</v>
      </c>
      <c r="H588" s="2">
        <v>44956</v>
      </c>
      <c r="I588" s="1" t="s">
        <v>3790</v>
      </c>
      <c r="J588" s="1" t="s">
        <v>3791</v>
      </c>
      <c r="K588" s="1" t="s">
        <v>3804</v>
      </c>
      <c r="L588" s="1" t="s">
        <v>3817</v>
      </c>
    </row>
    <row r="589" spans="1:12" x14ac:dyDescent="0.25">
      <c r="A589" s="1" t="s">
        <v>4408</v>
      </c>
      <c r="B589" s="1" t="s">
        <v>3794</v>
      </c>
      <c r="C589" s="1" t="s">
        <v>3861</v>
      </c>
      <c r="D589" s="1" t="s">
        <v>3816</v>
      </c>
      <c r="E589">
        <v>151657</v>
      </c>
      <c r="F589">
        <v>124726.85</v>
      </c>
      <c r="G589">
        <v>26930.15</v>
      </c>
      <c r="H589" s="2">
        <v>45721</v>
      </c>
      <c r="I589" s="1" t="s">
        <v>3790</v>
      </c>
      <c r="J589" s="1" t="s">
        <v>3803</v>
      </c>
      <c r="K589" s="1" t="s">
        <v>3800</v>
      </c>
      <c r="L589" s="1" t="s">
        <v>3792</v>
      </c>
    </row>
    <row r="590" spans="1:12" x14ac:dyDescent="0.25">
      <c r="A590" s="1" t="s">
        <v>4409</v>
      </c>
      <c r="B590" s="1" t="s">
        <v>3828</v>
      </c>
      <c r="C590" s="1" t="s">
        <v>3821</v>
      </c>
      <c r="D590" s="1" t="s">
        <v>3867</v>
      </c>
      <c r="E590">
        <v>340393</v>
      </c>
      <c r="F590">
        <v>291407.78000000003</v>
      </c>
      <c r="G590">
        <v>48985.22</v>
      </c>
      <c r="H590" s="2">
        <v>44984</v>
      </c>
      <c r="I590" s="1" t="s">
        <v>3790</v>
      </c>
      <c r="J590" s="1" t="s">
        <v>3823</v>
      </c>
      <c r="K590" s="1" t="s">
        <v>3804</v>
      </c>
      <c r="L590" s="1" t="s">
        <v>51</v>
      </c>
    </row>
    <row r="591" spans="1:12" x14ac:dyDescent="0.25">
      <c r="A591" s="1" t="s">
        <v>3937</v>
      </c>
      <c r="B591" s="1" t="s">
        <v>3808</v>
      </c>
      <c r="C591" s="1" t="s">
        <v>3848</v>
      </c>
      <c r="D591" s="1" t="s">
        <v>3895</v>
      </c>
      <c r="E591">
        <v>177021</v>
      </c>
      <c r="F591">
        <v>158438.09</v>
      </c>
      <c r="G591">
        <v>18582.91</v>
      </c>
      <c r="H591" s="2">
        <v>45500</v>
      </c>
      <c r="I591" s="1" t="s">
        <v>3782</v>
      </c>
      <c r="J591" s="1" t="s">
        <v>3791</v>
      </c>
      <c r="K591" s="1" t="s">
        <v>3800</v>
      </c>
      <c r="L591" s="1" t="s">
        <v>51</v>
      </c>
    </row>
    <row r="592" spans="1:12" x14ac:dyDescent="0.25">
      <c r="A592" s="1" t="s">
        <v>4410</v>
      </c>
      <c r="B592" s="1" t="s">
        <v>3794</v>
      </c>
      <c r="C592" s="1" t="s">
        <v>3795</v>
      </c>
      <c r="D592" s="1" t="s">
        <v>3813</v>
      </c>
      <c r="E592">
        <v>200091</v>
      </c>
      <c r="F592">
        <v>186754.24</v>
      </c>
      <c r="G592">
        <v>13336.76</v>
      </c>
      <c r="H592" s="2">
        <v>45712</v>
      </c>
      <c r="I592" s="1" t="s">
        <v>3790</v>
      </c>
      <c r="J592" s="1" t="s">
        <v>3791</v>
      </c>
      <c r="K592" s="1" t="s">
        <v>3800</v>
      </c>
      <c r="L592" s="1" t="s">
        <v>3831</v>
      </c>
    </row>
    <row r="593" spans="1:12" x14ac:dyDescent="0.25">
      <c r="A593" s="1" t="s">
        <v>4411</v>
      </c>
      <c r="B593" s="1" t="s">
        <v>51</v>
      </c>
      <c r="C593" s="1" t="s">
        <v>3812</v>
      </c>
      <c r="D593" s="1" t="s">
        <v>3855</v>
      </c>
      <c r="E593">
        <v>358325</v>
      </c>
      <c r="F593">
        <v>461258.94</v>
      </c>
      <c r="H593" s="2">
        <v>44959</v>
      </c>
      <c r="I593" s="1" t="s">
        <v>3790</v>
      </c>
      <c r="J593" s="1" t="s">
        <v>3791</v>
      </c>
      <c r="K593" s="1" t="s">
        <v>3804</v>
      </c>
      <c r="L593" s="1" t="s">
        <v>51</v>
      </c>
    </row>
    <row r="594" spans="1:12" x14ac:dyDescent="0.25">
      <c r="A594" s="1" t="s">
        <v>4412</v>
      </c>
      <c r="B594" s="1" t="s">
        <v>3787</v>
      </c>
      <c r="C594" s="1" t="s">
        <v>3780</v>
      </c>
      <c r="D594" s="1" t="s">
        <v>3816</v>
      </c>
      <c r="E594">
        <v>-35128</v>
      </c>
      <c r="F594">
        <v>29966.82</v>
      </c>
      <c r="H594" s="2">
        <v>45150</v>
      </c>
      <c r="I594" s="1" t="s">
        <v>3782</v>
      </c>
      <c r="J594" s="1" t="s">
        <v>3803</v>
      </c>
      <c r="K594" s="1" t="s">
        <v>3784</v>
      </c>
      <c r="L594" s="1" t="s">
        <v>3785</v>
      </c>
    </row>
    <row r="595" spans="1:12" x14ac:dyDescent="0.25">
      <c r="A595" s="1" t="s">
        <v>4413</v>
      </c>
      <c r="B595" s="1" t="s">
        <v>3798</v>
      </c>
      <c r="C595" s="1" t="s">
        <v>3806</v>
      </c>
      <c r="D595" s="1" t="s">
        <v>3813</v>
      </c>
      <c r="E595">
        <v>4358293</v>
      </c>
      <c r="F595">
        <v>5166695</v>
      </c>
      <c r="G595">
        <v>-808402</v>
      </c>
      <c r="H595" s="2">
        <v>45313</v>
      </c>
      <c r="I595" s="1" t="s">
        <v>3790</v>
      </c>
      <c r="J595" s="1" t="s">
        <v>3803</v>
      </c>
      <c r="K595" s="1" t="s">
        <v>3784</v>
      </c>
      <c r="L595" s="1" t="s">
        <v>3785</v>
      </c>
    </row>
    <row r="596" spans="1:12" x14ac:dyDescent="0.25">
      <c r="A596" s="1" t="s">
        <v>4414</v>
      </c>
      <c r="B596" s="1" t="s">
        <v>3798</v>
      </c>
      <c r="C596" s="1" t="s">
        <v>3806</v>
      </c>
      <c r="D596" s="1" t="s">
        <v>3834</v>
      </c>
      <c r="E596">
        <v>132876</v>
      </c>
      <c r="F596">
        <v>147462.63</v>
      </c>
      <c r="G596">
        <v>-14586.63</v>
      </c>
      <c r="H596" s="2">
        <v>45395</v>
      </c>
      <c r="I596" s="1" t="s">
        <v>3790</v>
      </c>
      <c r="J596" s="1" t="s">
        <v>3803</v>
      </c>
      <c r="K596" s="1" t="s">
        <v>3800</v>
      </c>
      <c r="L596" s="1" t="s">
        <v>51</v>
      </c>
    </row>
    <row r="597" spans="1:12" x14ac:dyDescent="0.25">
      <c r="A597" s="1" t="s">
        <v>4415</v>
      </c>
      <c r="B597" s="1" t="s">
        <v>3808</v>
      </c>
      <c r="C597" s="1" t="s">
        <v>3812</v>
      </c>
      <c r="D597" s="1" t="s">
        <v>3822</v>
      </c>
      <c r="E597">
        <v>54614</v>
      </c>
      <c r="F597">
        <v>70308.759999999995</v>
      </c>
      <c r="G597">
        <v>-15694.76</v>
      </c>
      <c r="H597" s="2">
        <v>45294</v>
      </c>
      <c r="I597" s="1" t="s">
        <v>3790</v>
      </c>
      <c r="J597" s="1" t="s">
        <v>3783</v>
      </c>
      <c r="K597" s="1" t="s">
        <v>3784</v>
      </c>
      <c r="L597" s="1" t="s">
        <v>3809</v>
      </c>
    </row>
    <row r="598" spans="1:12" x14ac:dyDescent="0.25">
      <c r="A598" s="1" t="s">
        <v>4416</v>
      </c>
      <c r="B598" s="1" t="s">
        <v>3811</v>
      </c>
      <c r="C598" s="1" t="s">
        <v>3806</v>
      </c>
      <c r="D598" s="1" t="s">
        <v>3799</v>
      </c>
      <c r="E598">
        <v>414463</v>
      </c>
      <c r="G598">
        <v>54184.76</v>
      </c>
      <c r="H598" s="2">
        <v>45288</v>
      </c>
      <c r="I598" s="1" t="s">
        <v>3790</v>
      </c>
      <c r="J598" s="1" t="s">
        <v>3783</v>
      </c>
      <c r="K598" s="1" t="s">
        <v>3784</v>
      </c>
      <c r="L598" s="1" t="s">
        <v>3817</v>
      </c>
    </row>
    <row r="599" spans="1:12" x14ac:dyDescent="0.25">
      <c r="A599" s="1" t="s">
        <v>4417</v>
      </c>
      <c r="B599" s="1" t="s">
        <v>3839</v>
      </c>
      <c r="C599" s="1" t="s">
        <v>3806</v>
      </c>
      <c r="D599" s="1" t="s">
        <v>3802</v>
      </c>
      <c r="E599">
        <v>443121</v>
      </c>
      <c r="F599">
        <v>551963.4</v>
      </c>
      <c r="G599">
        <v>-108842.4</v>
      </c>
      <c r="H599" s="2">
        <v>45618</v>
      </c>
      <c r="I599" s="1" t="s">
        <v>3782</v>
      </c>
      <c r="J599" s="1" t="s">
        <v>3783</v>
      </c>
      <c r="K599" s="1" t="s">
        <v>3800</v>
      </c>
      <c r="L599" s="1" t="s">
        <v>3792</v>
      </c>
    </row>
    <row r="600" spans="1:12" x14ac:dyDescent="0.25">
      <c r="A600" s="1" t="s">
        <v>4418</v>
      </c>
      <c r="B600" s="1" t="s">
        <v>3839</v>
      </c>
      <c r="C600" s="1" t="s">
        <v>3780</v>
      </c>
      <c r="D600" s="1" t="s">
        <v>3802</v>
      </c>
      <c r="E600">
        <v>234541</v>
      </c>
      <c r="F600">
        <v>225716.25</v>
      </c>
      <c r="G600">
        <v>8824.75</v>
      </c>
      <c r="H600" s="2">
        <v>45622</v>
      </c>
      <c r="I600" s="1" t="s">
        <v>3790</v>
      </c>
      <c r="J600" s="1" t="s">
        <v>3783</v>
      </c>
      <c r="K600" s="1" t="s">
        <v>3800</v>
      </c>
      <c r="L600" s="1" t="s">
        <v>3817</v>
      </c>
    </row>
    <row r="601" spans="1:12" x14ac:dyDescent="0.25">
      <c r="A601" s="1" t="s">
        <v>4419</v>
      </c>
      <c r="B601" s="1" t="s">
        <v>3798</v>
      </c>
      <c r="C601" s="1" t="s">
        <v>51</v>
      </c>
      <c r="D601" s="1" t="s">
        <v>3867</v>
      </c>
      <c r="E601">
        <v>-240438</v>
      </c>
      <c r="F601">
        <v>254793.43</v>
      </c>
      <c r="G601">
        <v>-14355.43</v>
      </c>
      <c r="H601" s="2">
        <v>45532</v>
      </c>
      <c r="I601" s="1" t="s">
        <v>3782</v>
      </c>
      <c r="J601" s="1" t="s">
        <v>3823</v>
      </c>
      <c r="K601" s="1" t="s">
        <v>3800</v>
      </c>
      <c r="L601" s="1" t="s">
        <v>51</v>
      </c>
    </row>
    <row r="602" spans="1:12" x14ac:dyDescent="0.25">
      <c r="A602" s="1" t="s">
        <v>4420</v>
      </c>
      <c r="B602" s="1" t="s">
        <v>3798</v>
      </c>
      <c r="C602" s="1" t="s">
        <v>3844</v>
      </c>
      <c r="D602" s="1" t="s">
        <v>3895</v>
      </c>
      <c r="E602">
        <v>93904</v>
      </c>
      <c r="F602">
        <v>111592.85</v>
      </c>
      <c r="G602">
        <v>-17688.849999999999</v>
      </c>
      <c r="H602" s="2">
        <v>45418</v>
      </c>
      <c r="I602" s="1" t="s">
        <v>3790</v>
      </c>
      <c r="J602" s="1" t="s">
        <v>3803</v>
      </c>
      <c r="K602" s="1" t="s">
        <v>3800</v>
      </c>
      <c r="L602" s="1" t="s">
        <v>51</v>
      </c>
    </row>
    <row r="603" spans="1:12" x14ac:dyDescent="0.25">
      <c r="A603" s="1" t="s">
        <v>4421</v>
      </c>
      <c r="B603" s="1" t="s">
        <v>3787</v>
      </c>
      <c r="C603" s="1" t="s">
        <v>3861</v>
      </c>
      <c r="D603" s="1" t="s">
        <v>3822</v>
      </c>
      <c r="E603">
        <v>169006</v>
      </c>
      <c r="F603">
        <v>183369.65</v>
      </c>
      <c r="G603">
        <v>-14363.65</v>
      </c>
      <c r="H603" s="2">
        <v>45650</v>
      </c>
      <c r="I603" s="1" t="s">
        <v>3790</v>
      </c>
      <c r="J603" s="1" t="s">
        <v>3823</v>
      </c>
      <c r="K603" s="1" t="s">
        <v>3800</v>
      </c>
      <c r="L603" s="1" t="s">
        <v>51</v>
      </c>
    </row>
    <row r="604" spans="1:12" x14ac:dyDescent="0.25">
      <c r="A604" s="1" t="s">
        <v>4422</v>
      </c>
      <c r="B604" s="1" t="s">
        <v>3839</v>
      </c>
      <c r="C604" s="1" t="s">
        <v>3780</v>
      </c>
      <c r="D604" s="1" t="s">
        <v>3834</v>
      </c>
      <c r="E604">
        <v>155157</v>
      </c>
      <c r="F604">
        <v>166937.54999999999</v>
      </c>
      <c r="G604">
        <v>-11780.55</v>
      </c>
      <c r="H604" s="2">
        <v>45471</v>
      </c>
      <c r="I604" s="1" t="s">
        <v>3790</v>
      </c>
      <c r="J604" s="1" t="s">
        <v>3783</v>
      </c>
      <c r="K604" s="1" t="s">
        <v>3800</v>
      </c>
      <c r="L604" s="1" t="s">
        <v>51</v>
      </c>
    </row>
    <row r="605" spans="1:12" x14ac:dyDescent="0.25">
      <c r="A605" s="1" t="s">
        <v>4423</v>
      </c>
      <c r="B605" s="1" t="s">
        <v>3798</v>
      </c>
      <c r="C605" s="1" t="s">
        <v>3861</v>
      </c>
      <c r="D605" s="1" t="s">
        <v>3781</v>
      </c>
      <c r="E605">
        <v>234555</v>
      </c>
      <c r="F605">
        <v>295708.01</v>
      </c>
      <c r="G605">
        <v>-61153.01</v>
      </c>
      <c r="H605" s="2">
        <v>45089</v>
      </c>
      <c r="I605" s="1" t="s">
        <v>3790</v>
      </c>
      <c r="J605" s="1" t="s">
        <v>3791</v>
      </c>
      <c r="K605" s="1" t="s">
        <v>3784</v>
      </c>
      <c r="L605" s="1" t="s">
        <v>51</v>
      </c>
    </row>
    <row r="606" spans="1:12" x14ac:dyDescent="0.25">
      <c r="A606" s="1" t="s">
        <v>4424</v>
      </c>
      <c r="B606" s="1" t="s">
        <v>3828</v>
      </c>
      <c r="C606" s="1" t="s">
        <v>3788</v>
      </c>
      <c r="D606" s="1" t="s">
        <v>3789</v>
      </c>
      <c r="E606">
        <v>285882</v>
      </c>
      <c r="F606">
        <v>241023.35999999999</v>
      </c>
      <c r="G606">
        <v>44858.64</v>
      </c>
      <c r="H606" s="2">
        <v>45010</v>
      </c>
      <c r="I606" s="1" t="s">
        <v>3790</v>
      </c>
      <c r="J606" s="1" t="s">
        <v>3803</v>
      </c>
      <c r="K606" s="1" t="s">
        <v>3804</v>
      </c>
      <c r="L606" s="1" t="s">
        <v>51</v>
      </c>
    </row>
    <row r="607" spans="1:12" x14ac:dyDescent="0.25">
      <c r="A607" s="1" t="s">
        <v>4425</v>
      </c>
      <c r="B607" s="1" t="s">
        <v>3808</v>
      </c>
      <c r="C607" s="1" t="s">
        <v>3780</v>
      </c>
      <c r="D607" s="1" t="s">
        <v>3781</v>
      </c>
      <c r="E607">
        <v>170840</v>
      </c>
      <c r="F607">
        <v>195983.39</v>
      </c>
      <c r="G607">
        <v>-25143.39</v>
      </c>
      <c r="H607" s="2">
        <v>45090</v>
      </c>
      <c r="I607" s="1" t="s">
        <v>3790</v>
      </c>
      <c r="J607" s="1" t="s">
        <v>3791</v>
      </c>
      <c r="K607" s="1" t="s">
        <v>3784</v>
      </c>
      <c r="L607" s="1" t="s">
        <v>51</v>
      </c>
    </row>
    <row r="608" spans="1:12" x14ac:dyDescent="0.25">
      <c r="A608" s="1" t="s">
        <v>4426</v>
      </c>
      <c r="B608" s="1" t="s">
        <v>3798</v>
      </c>
      <c r="C608" s="1" t="s">
        <v>3795</v>
      </c>
      <c r="D608" s="1" t="s">
        <v>3796</v>
      </c>
      <c r="E608">
        <v>463398</v>
      </c>
      <c r="F608">
        <v>404538.19</v>
      </c>
      <c r="G608">
        <v>58859.81</v>
      </c>
      <c r="H608" s="2">
        <v>45008</v>
      </c>
      <c r="I608" s="1" t="s">
        <v>3790</v>
      </c>
      <c r="J608" s="1" t="s">
        <v>3823</v>
      </c>
      <c r="K608" s="1" t="s">
        <v>3804</v>
      </c>
      <c r="L608" s="1" t="s">
        <v>51</v>
      </c>
    </row>
    <row r="609" spans="1:12" x14ac:dyDescent="0.25">
      <c r="A609" s="1" t="s">
        <v>4427</v>
      </c>
      <c r="B609" s="1" t="s">
        <v>3798</v>
      </c>
      <c r="C609" s="1" t="s">
        <v>3848</v>
      </c>
      <c r="D609" s="1" t="s">
        <v>3822</v>
      </c>
      <c r="E609">
        <v>268218</v>
      </c>
      <c r="F609">
        <v>259866.86</v>
      </c>
      <c r="G609">
        <v>8351.14</v>
      </c>
      <c r="H609" s="2">
        <v>45138</v>
      </c>
      <c r="I609" s="1" t="s">
        <v>3782</v>
      </c>
      <c r="J609" s="1" t="s">
        <v>3783</v>
      </c>
      <c r="K609" s="1" t="s">
        <v>3784</v>
      </c>
      <c r="L609" s="1" t="s">
        <v>51</v>
      </c>
    </row>
    <row r="610" spans="1:12" x14ac:dyDescent="0.25">
      <c r="A610" s="1" t="s">
        <v>4428</v>
      </c>
      <c r="B610" s="1" t="s">
        <v>3811</v>
      </c>
      <c r="C610" s="1" t="s">
        <v>3806</v>
      </c>
      <c r="D610" s="1" t="s">
        <v>3799</v>
      </c>
      <c r="E610">
        <v>11967</v>
      </c>
      <c r="F610">
        <v>12554.29</v>
      </c>
      <c r="G610">
        <v>-587.29</v>
      </c>
      <c r="H610" s="2">
        <v>45134</v>
      </c>
      <c r="I610" s="1" t="s">
        <v>3782</v>
      </c>
      <c r="J610" s="1" t="s">
        <v>3783</v>
      </c>
      <c r="K610" s="1" t="s">
        <v>3784</v>
      </c>
      <c r="L610" s="1" t="s">
        <v>3785</v>
      </c>
    </row>
    <row r="611" spans="1:12" x14ac:dyDescent="0.25">
      <c r="A611" s="1" t="s">
        <v>4429</v>
      </c>
      <c r="B611" s="1" t="s">
        <v>3787</v>
      </c>
      <c r="C611" s="1" t="s">
        <v>3858</v>
      </c>
      <c r="D611" s="1" t="s">
        <v>3822</v>
      </c>
      <c r="E611">
        <v>366725</v>
      </c>
      <c r="F611">
        <v>418050.52</v>
      </c>
      <c r="G611">
        <v>-51325.52</v>
      </c>
      <c r="H611" s="2">
        <v>45621</v>
      </c>
      <c r="I611" s="1" t="s">
        <v>3790</v>
      </c>
      <c r="J611" s="1" t="s">
        <v>3791</v>
      </c>
      <c r="K611" s="1" t="s">
        <v>3800</v>
      </c>
      <c r="L611" s="1" t="s">
        <v>3831</v>
      </c>
    </row>
    <row r="612" spans="1:12" x14ac:dyDescent="0.25">
      <c r="A612" s="1" t="s">
        <v>4430</v>
      </c>
      <c r="B612" s="1" t="s">
        <v>3839</v>
      </c>
      <c r="C612" s="1" t="s">
        <v>3780</v>
      </c>
      <c r="D612" s="1" t="s">
        <v>3796</v>
      </c>
      <c r="E612">
        <v>313933</v>
      </c>
      <c r="F612">
        <v>404263.33</v>
      </c>
      <c r="G612">
        <v>-90330.33</v>
      </c>
      <c r="H612" s="2">
        <v>45529</v>
      </c>
      <c r="I612" s="1" t="s">
        <v>3782</v>
      </c>
      <c r="J612" s="1" t="s">
        <v>3783</v>
      </c>
      <c r="K612" s="1" t="s">
        <v>3800</v>
      </c>
      <c r="L612" s="1" t="s">
        <v>3785</v>
      </c>
    </row>
    <row r="613" spans="1:12" x14ac:dyDescent="0.25">
      <c r="A613" s="1" t="s">
        <v>4431</v>
      </c>
      <c r="B613" s="1" t="s">
        <v>3839</v>
      </c>
      <c r="C613" s="1" t="s">
        <v>3780</v>
      </c>
      <c r="D613" s="1" t="s">
        <v>3799</v>
      </c>
      <c r="E613">
        <v>369633</v>
      </c>
      <c r="G613">
        <v>-91374.27</v>
      </c>
      <c r="H613" s="2">
        <v>45579</v>
      </c>
      <c r="I613" s="1" t="s">
        <v>3790</v>
      </c>
      <c r="J613" s="1" t="s">
        <v>3791</v>
      </c>
      <c r="K613" s="1" t="s">
        <v>3800</v>
      </c>
      <c r="L613" s="1" t="s">
        <v>51</v>
      </c>
    </row>
    <row r="614" spans="1:12" x14ac:dyDescent="0.25">
      <c r="A614" s="1" t="s">
        <v>4432</v>
      </c>
      <c r="B614" s="1" t="s">
        <v>3839</v>
      </c>
      <c r="C614" s="1" t="s">
        <v>3861</v>
      </c>
      <c r="D614" s="1" t="s">
        <v>3816</v>
      </c>
      <c r="E614">
        <v>225458</v>
      </c>
      <c r="F614">
        <v>282950.07</v>
      </c>
      <c r="G614">
        <v>-57492.07</v>
      </c>
      <c r="H614" s="2">
        <v>45615</v>
      </c>
      <c r="I614" s="1" t="s">
        <v>3790</v>
      </c>
      <c r="J614" s="1" t="s">
        <v>3791</v>
      </c>
      <c r="K614" s="1" t="s">
        <v>3800</v>
      </c>
      <c r="L614" s="1" t="s">
        <v>51</v>
      </c>
    </row>
    <row r="615" spans="1:12" x14ac:dyDescent="0.25">
      <c r="A615" s="1" t="s">
        <v>4433</v>
      </c>
      <c r="B615" s="1" t="s">
        <v>3811</v>
      </c>
      <c r="C615" s="1" t="s">
        <v>3780</v>
      </c>
      <c r="D615" s="1" t="s">
        <v>3789</v>
      </c>
      <c r="E615">
        <v>355880</v>
      </c>
      <c r="F615">
        <v>416455.43</v>
      </c>
      <c r="H615" s="2">
        <v>45439</v>
      </c>
      <c r="I615" s="1" t="s">
        <v>3790</v>
      </c>
      <c r="J615" s="1" t="s">
        <v>3783</v>
      </c>
      <c r="K615" s="1" t="s">
        <v>3800</v>
      </c>
      <c r="L615" s="1" t="s">
        <v>3831</v>
      </c>
    </row>
    <row r="616" spans="1:12" x14ac:dyDescent="0.25">
      <c r="A616" s="1" t="s">
        <v>4434</v>
      </c>
      <c r="B616" s="1" t="s">
        <v>3787</v>
      </c>
      <c r="C616" s="1" t="s">
        <v>51</v>
      </c>
      <c r="D616" s="1" t="s">
        <v>3822</v>
      </c>
      <c r="E616">
        <v>256522</v>
      </c>
      <c r="F616">
        <v>314177.12</v>
      </c>
      <c r="G616">
        <v>-57655.12</v>
      </c>
      <c r="H616" s="2">
        <v>45076</v>
      </c>
      <c r="I616" s="1" t="s">
        <v>3790</v>
      </c>
      <c r="J616" s="1" t="s">
        <v>3791</v>
      </c>
      <c r="K616" s="1" t="s">
        <v>3784</v>
      </c>
      <c r="L616" s="1" t="s">
        <v>3831</v>
      </c>
    </row>
    <row r="617" spans="1:12" x14ac:dyDescent="0.25">
      <c r="A617" s="1" t="s">
        <v>4435</v>
      </c>
      <c r="B617" s="1" t="s">
        <v>3839</v>
      </c>
      <c r="C617" s="1" t="s">
        <v>3821</v>
      </c>
      <c r="D617" s="1" t="s">
        <v>3802</v>
      </c>
      <c r="E617">
        <v>341743</v>
      </c>
      <c r="G617">
        <v>53888.7</v>
      </c>
      <c r="H617" s="2">
        <v>45210</v>
      </c>
      <c r="I617" s="1" t="s">
        <v>3790</v>
      </c>
      <c r="J617" s="1" t="s">
        <v>3823</v>
      </c>
      <c r="K617" s="1" t="s">
        <v>3784</v>
      </c>
      <c r="L617" s="1" t="s">
        <v>3792</v>
      </c>
    </row>
    <row r="618" spans="1:12" x14ac:dyDescent="0.25">
      <c r="A618" s="1" t="s">
        <v>4436</v>
      </c>
      <c r="B618" s="1" t="s">
        <v>3808</v>
      </c>
      <c r="C618" s="1" t="s">
        <v>3815</v>
      </c>
      <c r="D618" s="1" t="s">
        <v>3781</v>
      </c>
      <c r="E618">
        <v>433989</v>
      </c>
      <c r="F618">
        <v>560209.31000000006</v>
      </c>
      <c r="H618" s="2">
        <v>45104</v>
      </c>
      <c r="I618" s="1" t="s">
        <v>3790</v>
      </c>
      <c r="J618" s="1" t="s">
        <v>3791</v>
      </c>
      <c r="K618" s="1" t="s">
        <v>3784</v>
      </c>
      <c r="L618" s="1" t="s">
        <v>3817</v>
      </c>
    </row>
    <row r="619" spans="1:12" x14ac:dyDescent="0.25">
      <c r="A619" s="1" t="s">
        <v>4437</v>
      </c>
      <c r="B619" s="1" t="s">
        <v>3839</v>
      </c>
      <c r="C619" s="1" t="s">
        <v>3795</v>
      </c>
      <c r="D619" s="1" t="s">
        <v>3895</v>
      </c>
      <c r="E619">
        <v>353541</v>
      </c>
      <c r="F619">
        <v>437206.53</v>
      </c>
      <c r="G619">
        <v>-83665.53</v>
      </c>
      <c r="H619" s="2">
        <v>45380</v>
      </c>
      <c r="I619" s="1" t="s">
        <v>3790</v>
      </c>
      <c r="J619" s="1" t="s">
        <v>3803</v>
      </c>
      <c r="K619" s="1" t="s">
        <v>3784</v>
      </c>
      <c r="L619" s="1" t="s">
        <v>51</v>
      </c>
    </row>
    <row r="620" spans="1:12" x14ac:dyDescent="0.25">
      <c r="A620" s="1" t="s">
        <v>4438</v>
      </c>
      <c r="B620" s="1" t="s">
        <v>3839</v>
      </c>
      <c r="C620" s="1" t="s">
        <v>3848</v>
      </c>
      <c r="D620" s="1" t="s">
        <v>3781</v>
      </c>
      <c r="E620">
        <v>373087</v>
      </c>
      <c r="G620">
        <v>27056.95</v>
      </c>
      <c r="H620" s="2">
        <v>45561</v>
      </c>
      <c r="I620" s="1" t="s">
        <v>3782</v>
      </c>
      <c r="J620" s="1" t="s">
        <v>3823</v>
      </c>
      <c r="K620" s="1" t="s">
        <v>3800</v>
      </c>
      <c r="L620" s="1" t="s">
        <v>3785</v>
      </c>
    </row>
    <row r="621" spans="1:12" x14ac:dyDescent="0.25">
      <c r="A621" s="1" t="s">
        <v>4439</v>
      </c>
      <c r="B621" s="1" t="s">
        <v>3798</v>
      </c>
      <c r="C621" s="1" t="s">
        <v>3858</v>
      </c>
      <c r="D621" s="1" t="s">
        <v>3816</v>
      </c>
      <c r="E621">
        <v>279563</v>
      </c>
      <c r="F621">
        <v>234612.89</v>
      </c>
      <c r="G621">
        <v>44950.11</v>
      </c>
      <c r="H621" s="2">
        <v>45622</v>
      </c>
      <c r="I621" s="1" t="s">
        <v>3790</v>
      </c>
      <c r="J621" s="1" t="s">
        <v>3803</v>
      </c>
      <c r="K621" s="1" t="s">
        <v>3800</v>
      </c>
      <c r="L621" s="1" t="s">
        <v>51</v>
      </c>
    </row>
    <row r="622" spans="1:12" x14ac:dyDescent="0.25">
      <c r="A622" s="1" t="s">
        <v>4440</v>
      </c>
      <c r="B622" s="1" t="s">
        <v>3798</v>
      </c>
      <c r="C622" s="1" t="s">
        <v>3788</v>
      </c>
      <c r="D622" s="1" t="s">
        <v>3813</v>
      </c>
      <c r="E622">
        <v>487139</v>
      </c>
      <c r="F622">
        <v>421965.28</v>
      </c>
      <c r="G622">
        <v>65173.72</v>
      </c>
      <c r="H622" s="2">
        <v>45047</v>
      </c>
      <c r="I622" s="1" t="s">
        <v>3782</v>
      </c>
      <c r="J622" s="1" t="s">
        <v>3803</v>
      </c>
      <c r="K622" s="1" t="s">
        <v>3784</v>
      </c>
      <c r="L622" s="1" t="s">
        <v>3785</v>
      </c>
    </row>
    <row r="623" spans="1:12" x14ac:dyDescent="0.25">
      <c r="A623" s="1" t="s">
        <v>4441</v>
      </c>
      <c r="B623" s="1" t="s">
        <v>3787</v>
      </c>
      <c r="C623" s="1" t="s">
        <v>3812</v>
      </c>
      <c r="D623" s="1" t="s">
        <v>3834</v>
      </c>
      <c r="E623">
        <v>101020</v>
      </c>
      <c r="F623">
        <v>107948.77</v>
      </c>
      <c r="G623">
        <v>-6928.77</v>
      </c>
      <c r="H623" s="2">
        <v>45730</v>
      </c>
      <c r="I623" s="1" t="s">
        <v>3790</v>
      </c>
      <c r="J623" s="1" t="s">
        <v>3791</v>
      </c>
      <c r="K623" s="1" t="s">
        <v>3800</v>
      </c>
      <c r="L623" s="1" t="s">
        <v>3817</v>
      </c>
    </row>
    <row r="624" spans="1:12" x14ac:dyDescent="0.25">
      <c r="A624" s="1" t="s">
        <v>4442</v>
      </c>
      <c r="B624" s="1" t="s">
        <v>3787</v>
      </c>
      <c r="C624" s="1" t="s">
        <v>3795</v>
      </c>
      <c r="D624" s="1" t="s">
        <v>3837</v>
      </c>
      <c r="E624">
        <v>3871580</v>
      </c>
      <c r="F624">
        <v>4477180.8600000003</v>
      </c>
      <c r="G624">
        <v>-605600.86</v>
      </c>
      <c r="H624" s="2">
        <v>45508</v>
      </c>
      <c r="I624" s="1" t="s">
        <v>3790</v>
      </c>
      <c r="J624" s="1" t="s">
        <v>3791</v>
      </c>
      <c r="K624" s="1" t="s">
        <v>3800</v>
      </c>
      <c r="L624" s="1" t="s">
        <v>3785</v>
      </c>
    </row>
    <row r="625" spans="1:12" x14ac:dyDescent="0.25">
      <c r="A625" s="1" t="s">
        <v>4443</v>
      </c>
      <c r="B625" s="1" t="s">
        <v>3808</v>
      </c>
      <c r="C625" s="1" t="s">
        <v>3848</v>
      </c>
      <c r="D625" s="1" t="s">
        <v>3802</v>
      </c>
      <c r="E625">
        <v>206855</v>
      </c>
      <c r="F625">
        <v>241953.53</v>
      </c>
      <c r="G625">
        <v>-35098.53</v>
      </c>
      <c r="H625" s="2">
        <v>45475</v>
      </c>
      <c r="I625" s="1" t="s">
        <v>3790</v>
      </c>
      <c r="J625" s="1" t="s">
        <v>3823</v>
      </c>
      <c r="K625" s="1" t="s">
        <v>3800</v>
      </c>
      <c r="L625" s="1" t="s">
        <v>51</v>
      </c>
    </row>
    <row r="626" spans="1:12" x14ac:dyDescent="0.25">
      <c r="A626" s="1" t="s">
        <v>4444</v>
      </c>
      <c r="B626" s="1" t="s">
        <v>3828</v>
      </c>
      <c r="C626" s="1" t="s">
        <v>3825</v>
      </c>
      <c r="D626" s="1" t="s">
        <v>3850</v>
      </c>
      <c r="E626">
        <v>110290</v>
      </c>
      <c r="F626">
        <v>120734.21</v>
      </c>
      <c r="G626">
        <v>-10444.209999999999</v>
      </c>
      <c r="H626" s="2">
        <v>45567</v>
      </c>
      <c r="I626" s="1" t="s">
        <v>3790</v>
      </c>
      <c r="J626" s="1" t="s">
        <v>3803</v>
      </c>
      <c r="K626" s="1" t="s">
        <v>3800</v>
      </c>
      <c r="L626" s="1" t="s">
        <v>51</v>
      </c>
    </row>
    <row r="627" spans="1:12" x14ac:dyDescent="0.25">
      <c r="A627" s="1" t="s">
        <v>4445</v>
      </c>
      <c r="B627" s="1" t="s">
        <v>3839</v>
      </c>
      <c r="C627" s="1" t="s">
        <v>3812</v>
      </c>
      <c r="D627" s="1" t="s">
        <v>3846</v>
      </c>
      <c r="E627">
        <v>192063</v>
      </c>
      <c r="F627">
        <v>226771.37</v>
      </c>
      <c r="G627">
        <v>-34708.370000000003</v>
      </c>
      <c r="H627" s="2">
        <v>45377</v>
      </c>
      <c r="I627" s="1" t="s">
        <v>3790</v>
      </c>
      <c r="J627" s="1" t="s">
        <v>3823</v>
      </c>
      <c r="K627" s="1" t="s">
        <v>3784</v>
      </c>
      <c r="L627" s="1" t="s">
        <v>3817</v>
      </c>
    </row>
    <row r="628" spans="1:12" x14ac:dyDescent="0.25">
      <c r="A628" s="1" t="s">
        <v>4446</v>
      </c>
      <c r="B628" s="1" t="s">
        <v>3808</v>
      </c>
      <c r="C628" s="1" t="s">
        <v>3806</v>
      </c>
      <c r="D628" s="1" t="s">
        <v>3850</v>
      </c>
      <c r="E628">
        <v>224252</v>
      </c>
      <c r="F628">
        <v>185020.29</v>
      </c>
      <c r="G628">
        <v>39231.71</v>
      </c>
      <c r="H628" s="2">
        <v>45444</v>
      </c>
      <c r="I628" s="1" t="s">
        <v>3782</v>
      </c>
      <c r="J628" s="1" t="s">
        <v>3803</v>
      </c>
      <c r="K628" s="1" t="s">
        <v>3800</v>
      </c>
      <c r="L628" s="1" t="s">
        <v>3831</v>
      </c>
    </row>
    <row r="629" spans="1:12" x14ac:dyDescent="0.25">
      <c r="A629" s="1" t="s">
        <v>4447</v>
      </c>
      <c r="B629" s="1" t="s">
        <v>3808</v>
      </c>
      <c r="C629" s="1" t="s">
        <v>3861</v>
      </c>
      <c r="D629" s="1" t="s">
        <v>3855</v>
      </c>
      <c r="E629">
        <v>32855</v>
      </c>
      <c r="F629">
        <v>38176.58</v>
      </c>
      <c r="G629">
        <v>-5321.58</v>
      </c>
      <c r="H629" s="2">
        <v>45636</v>
      </c>
      <c r="I629" s="1" t="s">
        <v>3782</v>
      </c>
      <c r="J629" s="1" t="s">
        <v>3783</v>
      </c>
      <c r="K629" s="1" t="s">
        <v>3800</v>
      </c>
      <c r="L629" s="1" t="s">
        <v>3785</v>
      </c>
    </row>
    <row r="630" spans="1:12" x14ac:dyDescent="0.25">
      <c r="A630" s="1" t="s">
        <v>4448</v>
      </c>
      <c r="B630" s="1" t="s">
        <v>3828</v>
      </c>
      <c r="C630" s="1" t="s">
        <v>3821</v>
      </c>
      <c r="D630" s="1" t="s">
        <v>3781</v>
      </c>
      <c r="E630">
        <v>136601</v>
      </c>
      <c r="F630">
        <v>159694.84</v>
      </c>
      <c r="G630">
        <v>-23093.84</v>
      </c>
      <c r="H630" s="2">
        <v>45161</v>
      </c>
      <c r="I630" s="1" t="s">
        <v>3790</v>
      </c>
      <c r="J630" s="1" t="s">
        <v>3803</v>
      </c>
      <c r="K630" s="1" t="s">
        <v>3784</v>
      </c>
      <c r="L630" s="1" t="s">
        <v>51</v>
      </c>
    </row>
    <row r="631" spans="1:12" x14ac:dyDescent="0.25">
      <c r="A631" s="1" t="s">
        <v>4449</v>
      </c>
      <c r="B631" s="1" t="s">
        <v>3798</v>
      </c>
      <c r="C631" s="1" t="s">
        <v>3812</v>
      </c>
      <c r="D631" s="1" t="s">
        <v>3789</v>
      </c>
      <c r="E631">
        <v>360122</v>
      </c>
      <c r="F631">
        <v>401001.23</v>
      </c>
      <c r="G631">
        <v>-40879.230000000003</v>
      </c>
      <c r="H631" s="2">
        <v>45563</v>
      </c>
      <c r="I631" s="1" t="s">
        <v>3790</v>
      </c>
      <c r="J631" s="1" t="s">
        <v>3783</v>
      </c>
      <c r="K631" s="1" t="s">
        <v>3800</v>
      </c>
      <c r="L631" s="1" t="s">
        <v>3809</v>
      </c>
    </row>
    <row r="632" spans="1:12" x14ac:dyDescent="0.25">
      <c r="A632" s="1" t="s">
        <v>4450</v>
      </c>
      <c r="B632" s="1" t="s">
        <v>3808</v>
      </c>
      <c r="C632" s="1" t="s">
        <v>3815</v>
      </c>
      <c r="D632" s="1" t="s">
        <v>3826</v>
      </c>
      <c r="E632">
        <v>126970</v>
      </c>
      <c r="F632">
        <v>120592.95</v>
      </c>
      <c r="G632">
        <v>6377.05</v>
      </c>
      <c r="H632" s="2">
        <v>44994</v>
      </c>
      <c r="I632" s="1" t="s">
        <v>3790</v>
      </c>
      <c r="J632" s="1" t="s">
        <v>3783</v>
      </c>
      <c r="K632" s="1" t="s">
        <v>3804</v>
      </c>
      <c r="L632" s="1" t="s">
        <v>51</v>
      </c>
    </row>
    <row r="633" spans="1:12" x14ac:dyDescent="0.25">
      <c r="A633" s="1" t="s">
        <v>4451</v>
      </c>
      <c r="B633" s="1" t="s">
        <v>3808</v>
      </c>
      <c r="C633" s="1" t="s">
        <v>3861</v>
      </c>
      <c r="D633" s="1" t="s">
        <v>3867</v>
      </c>
      <c r="E633">
        <v>441904</v>
      </c>
      <c r="F633">
        <v>499211.03</v>
      </c>
      <c r="G633">
        <v>-57307.03</v>
      </c>
      <c r="H633" s="2">
        <v>45571</v>
      </c>
      <c r="I633" s="1" t="s">
        <v>3790</v>
      </c>
      <c r="J633" s="1" t="s">
        <v>3791</v>
      </c>
      <c r="K633" s="1" t="s">
        <v>3800</v>
      </c>
      <c r="L633" s="1" t="s">
        <v>3831</v>
      </c>
    </row>
    <row r="634" spans="1:12" x14ac:dyDescent="0.25">
      <c r="A634" s="1" t="s">
        <v>4452</v>
      </c>
      <c r="B634" s="1" t="s">
        <v>3787</v>
      </c>
      <c r="C634" s="1" t="s">
        <v>3858</v>
      </c>
      <c r="D634" s="1" t="s">
        <v>3816</v>
      </c>
      <c r="E634">
        <v>309027</v>
      </c>
      <c r="F634">
        <v>360549.36</v>
      </c>
      <c r="G634">
        <v>-51522.36</v>
      </c>
      <c r="H634" s="2">
        <v>45728</v>
      </c>
      <c r="I634" s="1" t="s">
        <v>3790</v>
      </c>
      <c r="J634" s="1" t="s">
        <v>3783</v>
      </c>
      <c r="K634" s="1" t="s">
        <v>3800</v>
      </c>
      <c r="L634" s="1" t="s">
        <v>51</v>
      </c>
    </row>
    <row r="635" spans="1:12" x14ac:dyDescent="0.25">
      <c r="A635" s="1" t="s">
        <v>4453</v>
      </c>
      <c r="B635" s="1" t="s">
        <v>3787</v>
      </c>
      <c r="C635" s="1" t="s">
        <v>3815</v>
      </c>
      <c r="D635" s="1" t="s">
        <v>3816</v>
      </c>
      <c r="E635">
        <v>413361</v>
      </c>
      <c r="F635">
        <v>485666.79</v>
      </c>
      <c r="G635">
        <v>-72305.789999999994</v>
      </c>
      <c r="H635" s="2">
        <v>45449</v>
      </c>
      <c r="I635" s="1" t="s">
        <v>3859</v>
      </c>
      <c r="J635" s="1" t="s">
        <v>3783</v>
      </c>
      <c r="K635" s="1" t="s">
        <v>3800</v>
      </c>
      <c r="L635" s="1" t="s">
        <v>51</v>
      </c>
    </row>
    <row r="636" spans="1:12" x14ac:dyDescent="0.25">
      <c r="A636" s="1" t="s">
        <v>4454</v>
      </c>
      <c r="B636" s="1" t="s">
        <v>3839</v>
      </c>
      <c r="C636" s="1" t="s">
        <v>3825</v>
      </c>
      <c r="D636" s="1" t="s">
        <v>3837</v>
      </c>
      <c r="E636">
        <v>189952</v>
      </c>
      <c r="F636">
        <v>208997.94</v>
      </c>
      <c r="G636">
        <v>-19045.939999999999</v>
      </c>
      <c r="H636" s="2">
        <v>45258</v>
      </c>
      <c r="I636" s="1" t="s">
        <v>3790</v>
      </c>
      <c r="J636" s="1" t="s">
        <v>3823</v>
      </c>
      <c r="K636" s="1" t="s">
        <v>3784</v>
      </c>
      <c r="L636" s="1" t="s">
        <v>51</v>
      </c>
    </row>
    <row r="637" spans="1:12" x14ac:dyDescent="0.25">
      <c r="A637" s="1" t="s">
        <v>4455</v>
      </c>
      <c r="B637" s="1" t="s">
        <v>3839</v>
      </c>
      <c r="C637" s="1" t="s">
        <v>3848</v>
      </c>
      <c r="D637" s="1" t="s">
        <v>3837</v>
      </c>
      <c r="E637">
        <v>78379</v>
      </c>
      <c r="F637">
        <v>88467.55</v>
      </c>
      <c r="G637">
        <v>-10088.549999999999</v>
      </c>
      <c r="H637" s="2">
        <v>45744</v>
      </c>
      <c r="I637" s="1" t="s">
        <v>3859</v>
      </c>
      <c r="J637" s="1" t="s">
        <v>3791</v>
      </c>
      <c r="K637" s="1" t="s">
        <v>3800</v>
      </c>
      <c r="L637" s="1" t="s">
        <v>3817</v>
      </c>
    </row>
    <row r="638" spans="1:12" x14ac:dyDescent="0.25">
      <c r="A638" s="1" t="s">
        <v>4456</v>
      </c>
      <c r="B638" s="1" t="s">
        <v>3808</v>
      </c>
      <c r="C638" s="1" t="s">
        <v>3848</v>
      </c>
      <c r="D638" s="1" t="s">
        <v>3850</v>
      </c>
      <c r="E638">
        <v>-60952</v>
      </c>
      <c r="F638">
        <v>72912.62</v>
      </c>
      <c r="G638">
        <v>-11960.62</v>
      </c>
      <c r="H638" s="2">
        <v>45339</v>
      </c>
      <c r="I638" s="1" t="s">
        <v>3790</v>
      </c>
      <c r="J638" s="1" t="s">
        <v>3783</v>
      </c>
      <c r="K638" s="1" t="s">
        <v>3784</v>
      </c>
      <c r="L638" s="1" t="s">
        <v>3831</v>
      </c>
    </row>
    <row r="639" spans="1:12" x14ac:dyDescent="0.25">
      <c r="A639" s="1" t="s">
        <v>4457</v>
      </c>
      <c r="B639" s="1" t="s">
        <v>3798</v>
      </c>
      <c r="C639" s="1" t="s">
        <v>3821</v>
      </c>
      <c r="D639" s="1" t="s">
        <v>3867</v>
      </c>
      <c r="E639">
        <v>269339</v>
      </c>
      <c r="F639">
        <v>288948.13</v>
      </c>
      <c r="G639">
        <v>-19609.13</v>
      </c>
      <c r="H639" s="2">
        <v>45155</v>
      </c>
      <c r="I639" s="1" t="s">
        <v>3790</v>
      </c>
      <c r="J639" s="1" t="s">
        <v>3783</v>
      </c>
      <c r="K639" s="1" t="s">
        <v>3784</v>
      </c>
      <c r="L639" s="1" t="s">
        <v>51</v>
      </c>
    </row>
    <row r="640" spans="1:12" x14ac:dyDescent="0.25">
      <c r="A640" s="1" t="s">
        <v>4458</v>
      </c>
      <c r="B640" s="1" t="s">
        <v>3811</v>
      </c>
      <c r="C640" s="1" t="s">
        <v>3788</v>
      </c>
      <c r="D640" s="1" t="s">
        <v>3837</v>
      </c>
      <c r="E640">
        <v>274282</v>
      </c>
      <c r="F640">
        <v>229786.46</v>
      </c>
      <c r="G640">
        <v>44495.54</v>
      </c>
      <c r="H640" s="2">
        <v>45350</v>
      </c>
      <c r="I640" s="1" t="s">
        <v>3859</v>
      </c>
      <c r="J640" s="1" t="s">
        <v>3823</v>
      </c>
      <c r="K640" s="1" t="s">
        <v>3784</v>
      </c>
      <c r="L640" s="1" t="s">
        <v>3831</v>
      </c>
    </row>
    <row r="641" spans="1:12" x14ac:dyDescent="0.25">
      <c r="A641" s="1" t="s">
        <v>4459</v>
      </c>
      <c r="B641" s="1" t="s">
        <v>3839</v>
      </c>
      <c r="C641" s="1" t="s">
        <v>3806</v>
      </c>
      <c r="D641" s="1" t="s">
        <v>3855</v>
      </c>
      <c r="E641">
        <v>2978304</v>
      </c>
      <c r="F641">
        <v>3616084.01</v>
      </c>
      <c r="G641">
        <v>-637780.01</v>
      </c>
      <c r="H641" s="2">
        <v>45484</v>
      </c>
      <c r="I641" s="1" t="s">
        <v>3859</v>
      </c>
      <c r="J641" s="1" t="s">
        <v>3803</v>
      </c>
      <c r="K641" s="1" t="s">
        <v>3800</v>
      </c>
      <c r="L641" s="1" t="s">
        <v>51</v>
      </c>
    </row>
    <row r="642" spans="1:12" x14ac:dyDescent="0.25">
      <c r="A642" s="1" t="s">
        <v>4460</v>
      </c>
      <c r="B642" s="1" t="s">
        <v>3798</v>
      </c>
      <c r="C642" s="1" t="s">
        <v>3844</v>
      </c>
      <c r="D642" s="1" t="s">
        <v>3855</v>
      </c>
      <c r="E642">
        <v>455959</v>
      </c>
      <c r="F642">
        <v>368542.6</v>
      </c>
      <c r="G642">
        <v>87416.4</v>
      </c>
      <c r="H642" s="2">
        <v>45167</v>
      </c>
      <c r="I642" s="1" t="s">
        <v>3790</v>
      </c>
      <c r="J642" s="1" t="s">
        <v>3803</v>
      </c>
      <c r="K642" s="1" t="s">
        <v>3784</v>
      </c>
      <c r="L642" s="1" t="s">
        <v>3817</v>
      </c>
    </row>
    <row r="643" spans="1:12" x14ac:dyDescent="0.25">
      <c r="A643" s="1" t="s">
        <v>4461</v>
      </c>
      <c r="B643" s="1" t="s">
        <v>3839</v>
      </c>
      <c r="C643" s="1" t="s">
        <v>3848</v>
      </c>
      <c r="D643" s="1" t="s">
        <v>3867</v>
      </c>
      <c r="E643">
        <v>385655</v>
      </c>
      <c r="F643">
        <v>420574.97</v>
      </c>
      <c r="G643">
        <v>-34919.97</v>
      </c>
      <c r="H643" s="2">
        <v>45425</v>
      </c>
      <c r="I643" s="1" t="s">
        <v>3790</v>
      </c>
      <c r="J643" s="1" t="s">
        <v>3791</v>
      </c>
      <c r="K643" s="1" t="s">
        <v>3800</v>
      </c>
      <c r="L643" s="1" t="s">
        <v>51</v>
      </c>
    </row>
    <row r="644" spans="1:12" x14ac:dyDescent="0.25">
      <c r="A644" s="1" t="s">
        <v>4462</v>
      </c>
      <c r="B644" s="1" t="s">
        <v>51</v>
      </c>
      <c r="C644" s="1" t="s">
        <v>3848</v>
      </c>
      <c r="D644" s="1" t="s">
        <v>3846</v>
      </c>
      <c r="E644">
        <v>154946</v>
      </c>
      <c r="F644">
        <v>196174.27</v>
      </c>
      <c r="G644">
        <v>-41228.269999999997</v>
      </c>
      <c r="H644" s="2">
        <v>45058</v>
      </c>
      <c r="I644" s="1" t="s">
        <v>3790</v>
      </c>
      <c r="J644" s="1" t="s">
        <v>3783</v>
      </c>
      <c r="K644" s="1" t="s">
        <v>3784</v>
      </c>
      <c r="L644" s="1" t="s">
        <v>51</v>
      </c>
    </row>
    <row r="645" spans="1:12" x14ac:dyDescent="0.25">
      <c r="A645" s="1" t="s">
        <v>4463</v>
      </c>
      <c r="B645" s="1" t="s">
        <v>3808</v>
      </c>
      <c r="C645" s="1" t="s">
        <v>3806</v>
      </c>
      <c r="D645" s="1" t="s">
        <v>3796</v>
      </c>
      <c r="E645">
        <v>177724</v>
      </c>
      <c r="F645">
        <v>225967.83</v>
      </c>
      <c r="G645">
        <v>-48243.83</v>
      </c>
      <c r="H645" s="2">
        <v>45470</v>
      </c>
      <c r="I645" s="1" t="s">
        <v>3790</v>
      </c>
      <c r="J645" s="1" t="s">
        <v>3803</v>
      </c>
      <c r="K645" s="1" t="s">
        <v>3800</v>
      </c>
      <c r="L645" s="1" t="s">
        <v>51</v>
      </c>
    </row>
    <row r="646" spans="1:12" x14ac:dyDescent="0.25">
      <c r="A646" s="1" t="s">
        <v>4464</v>
      </c>
      <c r="B646" s="1" t="s">
        <v>3808</v>
      </c>
      <c r="C646" s="1" t="s">
        <v>3858</v>
      </c>
      <c r="D646" s="1" t="s">
        <v>3822</v>
      </c>
      <c r="E646">
        <v>163856</v>
      </c>
      <c r="F646">
        <v>149335.29</v>
      </c>
      <c r="G646">
        <v>14520.71</v>
      </c>
      <c r="H646" s="2">
        <v>45109</v>
      </c>
      <c r="I646" s="1" t="s">
        <v>3790</v>
      </c>
      <c r="J646" s="1" t="s">
        <v>3791</v>
      </c>
      <c r="K646" s="1" t="s">
        <v>3784</v>
      </c>
      <c r="L646" s="1" t="s">
        <v>51</v>
      </c>
    </row>
    <row r="647" spans="1:12" x14ac:dyDescent="0.25">
      <c r="A647" s="1" t="s">
        <v>4465</v>
      </c>
      <c r="B647" s="1" t="s">
        <v>3794</v>
      </c>
      <c r="C647" s="1" t="s">
        <v>3806</v>
      </c>
      <c r="D647" s="1" t="s">
        <v>3867</v>
      </c>
      <c r="E647">
        <v>196085</v>
      </c>
      <c r="F647">
        <v>235636.22</v>
      </c>
      <c r="H647" s="2">
        <v>44981</v>
      </c>
      <c r="I647" s="1" t="s">
        <v>3782</v>
      </c>
      <c r="J647" s="1" t="s">
        <v>3791</v>
      </c>
      <c r="K647" s="1" t="s">
        <v>3804</v>
      </c>
      <c r="L647" s="1" t="s">
        <v>3809</v>
      </c>
    </row>
    <row r="648" spans="1:12" x14ac:dyDescent="0.25">
      <c r="A648" s="1" t="s">
        <v>4466</v>
      </c>
      <c r="B648" s="1" t="s">
        <v>3811</v>
      </c>
      <c r="C648" s="1" t="s">
        <v>3848</v>
      </c>
      <c r="D648" s="1" t="s">
        <v>3850</v>
      </c>
      <c r="E648">
        <v>188428</v>
      </c>
      <c r="F648">
        <v>202347.11</v>
      </c>
      <c r="G648">
        <v>-13919.11</v>
      </c>
      <c r="H648" s="2">
        <v>45698</v>
      </c>
      <c r="I648" s="1" t="s">
        <v>3790</v>
      </c>
      <c r="J648" s="1" t="s">
        <v>3823</v>
      </c>
      <c r="K648" s="1" t="s">
        <v>3800</v>
      </c>
      <c r="L648" s="1" t="s">
        <v>3831</v>
      </c>
    </row>
    <row r="649" spans="1:12" x14ac:dyDescent="0.25">
      <c r="A649" s="1" t="s">
        <v>4467</v>
      </c>
      <c r="B649" s="1" t="s">
        <v>3811</v>
      </c>
      <c r="C649" s="1" t="s">
        <v>3844</v>
      </c>
      <c r="D649" s="1" t="s">
        <v>3781</v>
      </c>
      <c r="E649">
        <v>23493</v>
      </c>
      <c r="F649">
        <v>22343.54</v>
      </c>
      <c r="G649">
        <v>1149.46</v>
      </c>
      <c r="H649" s="2">
        <v>45706</v>
      </c>
      <c r="I649" s="1" t="s">
        <v>3790</v>
      </c>
      <c r="J649" s="1" t="s">
        <v>3803</v>
      </c>
      <c r="K649" s="1" t="s">
        <v>3800</v>
      </c>
      <c r="L649" s="1" t="s">
        <v>3817</v>
      </c>
    </row>
    <row r="650" spans="1:12" x14ac:dyDescent="0.25">
      <c r="A650" s="1" t="s">
        <v>4468</v>
      </c>
      <c r="B650" s="1" t="s">
        <v>3811</v>
      </c>
      <c r="C650" s="1" t="s">
        <v>3806</v>
      </c>
      <c r="D650" s="1" t="s">
        <v>3867</v>
      </c>
      <c r="E650">
        <v>482592</v>
      </c>
      <c r="F650">
        <v>497325.81</v>
      </c>
      <c r="G650">
        <v>-14733.81</v>
      </c>
      <c r="H650" s="2">
        <v>45065</v>
      </c>
      <c r="I650" s="1" t="s">
        <v>3782</v>
      </c>
      <c r="J650" s="1" t="s">
        <v>3823</v>
      </c>
      <c r="K650" s="1" t="s">
        <v>3784</v>
      </c>
      <c r="L650" s="1" t="s">
        <v>3831</v>
      </c>
    </row>
    <row r="651" spans="1:12" x14ac:dyDescent="0.25">
      <c r="A651" s="1" t="s">
        <v>4469</v>
      </c>
      <c r="B651" s="1" t="s">
        <v>3811</v>
      </c>
      <c r="C651" s="1" t="s">
        <v>3815</v>
      </c>
      <c r="D651" s="1" t="s">
        <v>3813</v>
      </c>
      <c r="E651">
        <v>273900</v>
      </c>
      <c r="F651">
        <v>255513.07</v>
      </c>
      <c r="G651">
        <v>18386.93</v>
      </c>
      <c r="H651" s="2">
        <v>45087</v>
      </c>
      <c r="I651" s="1" t="s">
        <v>3790</v>
      </c>
      <c r="J651" s="1" t="s">
        <v>3791</v>
      </c>
      <c r="K651" s="1" t="s">
        <v>3784</v>
      </c>
      <c r="L651" s="1" t="s">
        <v>51</v>
      </c>
    </row>
    <row r="652" spans="1:12" x14ac:dyDescent="0.25">
      <c r="A652" s="1" t="s">
        <v>4470</v>
      </c>
      <c r="B652" s="1" t="s">
        <v>3828</v>
      </c>
      <c r="C652" s="1" t="s">
        <v>3812</v>
      </c>
      <c r="D652" s="1" t="s">
        <v>3799</v>
      </c>
      <c r="E652">
        <v>59074</v>
      </c>
      <c r="F652">
        <v>60585.23</v>
      </c>
      <c r="G652">
        <v>-1511.23</v>
      </c>
      <c r="H652" s="2">
        <v>44972</v>
      </c>
      <c r="I652" s="1" t="s">
        <v>3790</v>
      </c>
      <c r="J652" s="1" t="s">
        <v>3803</v>
      </c>
      <c r="K652" s="1" t="s">
        <v>3804</v>
      </c>
      <c r="L652" s="1" t="s">
        <v>3831</v>
      </c>
    </row>
    <row r="653" spans="1:12" x14ac:dyDescent="0.25">
      <c r="A653" s="1" t="s">
        <v>4471</v>
      </c>
      <c r="B653" s="1" t="s">
        <v>3828</v>
      </c>
      <c r="C653" s="1" t="s">
        <v>3788</v>
      </c>
      <c r="D653" s="1" t="s">
        <v>3846</v>
      </c>
      <c r="E653">
        <v>69757</v>
      </c>
      <c r="F653">
        <v>86250.27</v>
      </c>
      <c r="G653">
        <v>-16493.27</v>
      </c>
      <c r="H653" s="2">
        <v>45477</v>
      </c>
      <c r="I653" s="1" t="s">
        <v>3782</v>
      </c>
      <c r="J653" s="1" t="s">
        <v>3791</v>
      </c>
      <c r="K653" s="1" t="s">
        <v>3800</v>
      </c>
      <c r="L653" s="1" t="s">
        <v>3817</v>
      </c>
    </row>
    <row r="654" spans="1:12" x14ac:dyDescent="0.25">
      <c r="A654" s="1" t="s">
        <v>4472</v>
      </c>
      <c r="B654" s="1" t="s">
        <v>3808</v>
      </c>
      <c r="C654" s="1" t="s">
        <v>3795</v>
      </c>
      <c r="D654" s="1" t="s">
        <v>3781</v>
      </c>
      <c r="E654">
        <v>251254</v>
      </c>
      <c r="F654">
        <v>218808.44</v>
      </c>
      <c r="G654">
        <v>32445.56</v>
      </c>
      <c r="H654" s="2">
        <v>45576</v>
      </c>
      <c r="I654" s="1" t="s">
        <v>3790</v>
      </c>
      <c r="J654" s="1" t="s">
        <v>3783</v>
      </c>
      <c r="K654" s="1" t="s">
        <v>3800</v>
      </c>
      <c r="L654" s="1" t="s">
        <v>3831</v>
      </c>
    </row>
    <row r="655" spans="1:12" x14ac:dyDescent="0.25">
      <c r="A655" s="1" t="s">
        <v>4473</v>
      </c>
      <c r="B655" s="1" t="s">
        <v>3811</v>
      </c>
      <c r="C655" s="1" t="s">
        <v>3821</v>
      </c>
      <c r="D655" s="1" t="s">
        <v>3834</v>
      </c>
      <c r="E655">
        <v>440497</v>
      </c>
      <c r="F655">
        <v>413309.43</v>
      </c>
      <c r="G655">
        <v>27187.57</v>
      </c>
      <c r="H655" s="2">
        <v>45081</v>
      </c>
      <c r="I655" s="1" t="s">
        <v>3790</v>
      </c>
      <c r="J655" s="1" t="s">
        <v>3823</v>
      </c>
      <c r="K655" s="1" t="s">
        <v>3784</v>
      </c>
      <c r="L655" s="1" t="s">
        <v>51</v>
      </c>
    </row>
    <row r="656" spans="1:12" x14ac:dyDescent="0.25">
      <c r="A656" s="1" t="s">
        <v>4474</v>
      </c>
      <c r="B656" s="1" t="s">
        <v>3787</v>
      </c>
      <c r="C656" s="1" t="s">
        <v>3821</v>
      </c>
      <c r="D656" s="1" t="s">
        <v>3895</v>
      </c>
      <c r="E656">
        <v>72960</v>
      </c>
      <c r="F656">
        <v>63624.22</v>
      </c>
      <c r="G656">
        <v>9335.7800000000007</v>
      </c>
      <c r="H656" s="2">
        <v>45718</v>
      </c>
      <c r="I656" s="1" t="s">
        <v>3790</v>
      </c>
      <c r="J656" s="1" t="s">
        <v>3823</v>
      </c>
      <c r="K656" s="1" t="s">
        <v>3800</v>
      </c>
      <c r="L656" s="1" t="s">
        <v>51</v>
      </c>
    </row>
    <row r="657" spans="1:12" x14ac:dyDescent="0.25">
      <c r="A657" s="1" t="s">
        <v>4475</v>
      </c>
      <c r="B657" s="1" t="s">
        <v>3794</v>
      </c>
      <c r="C657" s="1" t="s">
        <v>3844</v>
      </c>
      <c r="D657" s="1" t="s">
        <v>3781</v>
      </c>
      <c r="E657">
        <v>223349</v>
      </c>
      <c r="F657">
        <v>214786.72</v>
      </c>
      <c r="G657">
        <v>8562.2800000000007</v>
      </c>
      <c r="H657" s="2">
        <v>45473</v>
      </c>
      <c r="I657" s="1" t="s">
        <v>3790</v>
      </c>
      <c r="J657" s="1" t="s">
        <v>3783</v>
      </c>
      <c r="K657" s="1" t="s">
        <v>3800</v>
      </c>
      <c r="L657" s="1" t="s">
        <v>51</v>
      </c>
    </row>
    <row r="658" spans="1:12" x14ac:dyDescent="0.25">
      <c r="A658" s="1" t="s">
        <v>4476</v>
      </c>
      <c r="B658" s="1" t="s">
        <v>3811</v>
      </c>
      <c r="C658" s="1" t="s">
        <v>3861</v>
      </c>
      <c r="D658" s="1" t="s">
        <v>3846</v>
      </c>
      <c r="E658">
        <v>426324</v>
      </c>
      <c r="F658">
        <v>511837.01</v>
      </c>
      <c r="G658">
        <v>-85513.01</v>
      </c>
      <c r="H658" s="2">
        <v>45099</v>
      </c>
      <c r="I658" s="1" t="s">
        <v>3782</v>
      </c>
      <c r="J658" s="1" t="s">
        <v>3803</v>
      </c>
      <c r="K658" s="1" t="s">
        <v>3784</v>
      </c>
      <c r="L658" s="1" t="s">
        <v>51</v>
      </c>
    </row>
    <row r="659" spans="1:12" x14ac:dyDescent="0.25">
      <c r="A659" s="1" t="s">
        <v>4477</v>
      </c>
      <c r="B659" s="1" t="s">
        <v>3828</v>
      </c>
      <c r="C659" s="1" t="s">
        <v>3795</v>
      </c>
      <c r="D659" s="1" t="s">
        <v>3834</v>
      </c>
      <c r="E659">
        <v>52829</v>
      </c>
      <c r="F659">
        <v>46790.34</v>
      </c>
      <c r="G659">
        <v>6038.66</v>
      </c>
      <c r="H659" s="2">
        <v>45591</v>
      </c>
      <c r="I659" s="1" t="s">
        <v>3790</v>
      </c>
      <c r="J659" s="1" t="s">
        <v>3791</v>
      </c>
      <c r="K659" s="1" t="s">
        <v>3800</v>
      </c>
      <c r="L659" s="1" t="s">
        <v>51</v>
      </c>
    </row>
    <row r="660" spans="1:12" x14ac:dyDescent="0.25">
      <c r="A660" s="1" t="s">
        <v>4478</v>
      </c>
      <c r="B660" s="1" t="s">
        <v>3839</v>
      </c>
      <c r="C660" s="1" t="s">
        <v>51</v>
      </c>
      <c r="D660" s="1" t="s">
        <v>3789</v>
      </c>
      <c r="E660">
        <v>277874</v>
      </c>
      <c r="F660">
        <v>297760.69</v>
      </c>
      <c r="G660">
        <v>-19886.689999999999</v>
      </c>
      <c r="H660" s="2">
        <v>45091</v>
      </c>
      <c r="I660" s="1" t="s">
        <v>3790</v>
      </c>
      <c r="J660" s="1" t="s">
        <v>3783</v>
      </c>
      <c r="K660" s="1" t="s">
        <v>3784</v>
      </c>
      <c r="L660" s="1" t="s">
        <v>51</v>
      </c>
    </row>
    <row r="661" spans="1:12" x14ac:dyDescent="0.25">
      <c r="A661" s="1" t="s">
        <v>4479</v>
      </c>
      <c r="B661" s="1" t="s">
        <v>3808</v>
      </c>
      <c r="C661" s="1" t="s">
        <v>3844</v>
      </c>
      <c r="D661" s="1" t="s">
        <v>3813</v>
      </c>
      <c r="E661">
        <v>484354</v>
      </c>
      <c r="F661">
        <v>601393.41</v>
      </c>
      <c r="G661">
        <v>-117039.41</v>
      </c>
      <c r="H661" s="2">
        <v>45275</v>
      </c>
      <c r="I661" s="1" t="s">
        <v>3782</v>
      </c>
      <c r="J661" s="1" t="s">
        <v>3791</v>
      </c>
      <c r="K661" s="1" t="s">
        <v>3784</v>
      </c>
      <c r="L661" s="1" t="s">
        <v>51</v>
      </c>
    </row>
    <row r="662" spans="1:12" x14ac:dyDescent="0.25">
      <c r="A662" s="1" t="s">
        <v>4480</v>
      </c>
      <c r="B662" s="1" t="s">
        <v>3787</v>
      </c>
      <c r="C662" s="1" t="s">
        <v>3780</v>
      </c>
      <c r="D662" s="1" t="s">
        <v>3796</v>
      </c>
      <c r="E662">
        <v>267336</v>
      </c>
      <c r="G662">
        <v>-66738.820000000007</v>
      </c>
      <c r="H662" s="2">
        <v>45350</v>
      </c>
      <c r="I662" s="1" t="s">
        <v>3790</v>
      </c>
      <c r="J662" s="1" t="s">
        <v>3803</v>
      </c>
      <c r="K662" s="1" t="s">
        <v>3784</v>
      </c>
      <c r="L662" s="1" t="s">
        <v>51</v>
      </c>
    </row>
    <row r="663" spans="1:12" x14ac:dyDescent="0.25">
      <c r="A663" s="1" t="s">
        <v>4481</v>
      </c>
      <c r="B663" s="1" t="s">
        <v>3798</v>
      </c>
      <c r="C663" s="1" t="s">
        <v>3844</v>
      </c>
      <c r="D663" s="1" t="s">
        <v>3781</v>
      </c>
      <c r="E663">
        <v>234724</v>
      </c>
      <c r="F663">
        <v>228850.97</v>
      </c>
      <c r="G663">
        <v>5873.03</v>
      </c>
      <c r="H663" s="2">
        <v>45377</v>
      </c>
      <c r="I663" s="1" t="s">
        <v>3790</v>
      </c>
      <c r="J663" s="1" t="s">
        <v>3823</v>
      </c>
      <c r="K663" s="1" t="s">
        <v>3784</v>
      </c>
      <c r="L663" s="1" t="s">
        <v>51</v>
      </c>
    </row>
    <row r="664" spans="1:12" x14ac:dyDescent="0.25">
      <c r="A664" s="1" t="s">
        <v>4482</v>
      </c>
      <c r="B664" s="1" t="s">
        <v>3811</v>
      </c>
      <c r="C664" s="1" t="s">
        <v>3821</v>
      </c>
      <c r="D664" s="1" t="s">
        <v>3834</v>
      </c>
      <c r="E664">
        <v>57908</v>
      </c>
      <c r="F664">
        <v>52714.69</v>
      </c>
      <c r="G664">
        <v>5193.3100000000004</v>
      </c>
      <c r="H664" s="2">
        <v>45431</v>
      </c>
      <c r="I664" s="1" t="s">
        <v>3782</v>
      </c>
      <c r="J664" s="1" t="s">
        <v>3791</v>
      </c>
      <c r="K664" s="1" t="s">
        <v>3800</v>
      </c>
      <c r="L664" s="1" t="s">
        <v>51</v>
      </c>
    </row>
    <row r="665" spans="1:12" x14ac:dyDescent="0.25">
      <c r="A665" s="1" t="s">
        <v>4483</v>
      </c>
      <c r="B665" s="1" t="s">
        <v>3808</v>
      </c>
      <c r="C665" s="1" t="s">
        <v>3844</v>
      </c>
      <c r="D665" s="1" t="s">
        <v>3826</v>
      </c>
      <c r="E665">
        <v>170596</v>
      </c>
      <c r="F665">
        <v>198553.44</v>
      </c>
      <c r="G665">
        <v>-27957.439999999999</v>
      </c>
      <c r="H665" s="2">
        <v>45154</v>
      </c>
      <c r="I665" s="1" t="s">
        <v>3782</v>
      </c>
      <c r="J665" s="1" t="s">
        <v>3803</v>
      </c>
      <c r="K665" s="1" t="s">
        <v>3784</v>
      </c>
      <c r="L665" s="1" t="s">
        <v>51</v>
      </c>
    </row>
    <row r="666" spans="1:12" x14ac:dyDescent="0.25">
      <c r="A666" s="1" t="s">
        <v>4175</v>
      </c>
      <c r="B666" s="1" t="s">
        <v>51</v>
      </c>
      <c r="C666" s="1" t="s">
        <v>3821</v>
      </c>
      <c r="D666" s="1" t="s">
        <v>3813</v>
      </c>
      <c r="E666">
        <v>305798</v>
      </c>
      <c r="F666">
        <v>247167.65</v>
      </c>
      <c r="G666">
        <v>58630.35</v>
      </c>
      <c r="H666" s="2">
        <v>45267</v>
      </c>
      <c r="I666" s="1" t="s">
        <v>3790</v>
      </c>
      <c r="J666" s="1" t="s">
        <v>3783</v>
      </c>
      <c r="K666" s="1" t="s">
        <v>3784</v>
      </c>
      <c r="L666" s="1" t="s">
        <v>3785</v>
      </c>
    </row>
    <row r="667" spans="1:12" x14ac:dyDescent="0.25">
      <c r="A667" s="1" t="s">
        <v>4484</v>
      </c>
      <c r="B667" s="1" t="s">
        <v>3839</v>
      </c>
      <c r="C667" s="1" t="s">
        <v>3861</v>
      </c>
      <c r="D667" s="1" t="s">
        <v>3813</v>
      </c>
      <c r="E667">
        <v>406142</v>
      </c>
      <c r="F667">
        <v>459946.66</v>
      </c>
      <c r="G667">
        <v>-53804.66</v>
      </c>
      <c r="H667" s="2">
        <v>45255</v>
      </c>
      <c r="I667" s="1" t="s">
        <v>3790</v>
      </c>
      <c r="J667" s="1" t="s">
        <v>3791</v>
      </c>
      <c r="K667" s="1" t="s">
        <v>3784</v>
      </c>
      <c r="L667" s="1" t="s">
        <v>51</v>
      </c>
    </row>
    <row r="668" spans="1:12" x14ac:dyDescent="0.25">
      <c r="A668" s="1" t="s">
        <v>4485</v>
      </c>
      <c r="B668" s="1" t="s">
        <v>3808</v>
      </c>
      <c r="C668" s="1" t="s">
        <v>3844</v>
      </c>
      <c r="D668" s="1" t="s">
        <v>3895</v>
      </c>
      <c r="E668">
        <v>213389</v>
      </c>
      <c r="F668">
        <v>269457.19</v>
      </c>
      <c r="G668">
        <v>-56068.19</v>
      </c>
      <c r="H668" s="2">
        <v>45172</v>
      </c>
      <c r="I668" s="1" t="s">
        <v>3782</v>
      </c>
      <c r="J668" s="1" t="s">
        <v>3783</v>
      </c>
      <c r="K668" s="1" t="s">
        <v>3784</v>
      </c>
      <c r="L668" s="1" t="s">
        <v>51</v>
      </c>
    </row>
    <row r="669" spans="1:12" x14ac:dyDescent="0.25">
      <c r="A669" s="1" t="s">
        <v>4486</v>
      </c>
      <c r="B669" s="1" t="s">
        <v>3798</v>
      </c>
      <c r="C669" s="1" t="s">
        <v>3815</v>
      </c>
      <c r="D669" s="1" t="s">
        <v>3895</v>
      </c>
      <c r="E669">
        <v>453323</v>
      </c>
      <c r="F669">
        <v>367797.88</v>
      </c>
      <c r="G669">
        <v>85525.119999999995</v>
      </c>
      <c r="H669" s="2">
        <v>45049</v>
      </c>
      <c r="I669" s="1" t="s">
        <v>3782</v>
      </c>
      <c r="J669" s="1" t="s">
        <v>3823</v>
      </c>
      <c r="K669" s="1" t="s">
        <v>3784</v>
      </c>
      <c r="L669" s="1" t="s">
        <v>51</v>
      </c>
    </row>
    <row r="670" spans="1:12" x14ac:dyDescent="0.25">
      <c r="A670" s="1" t="s">
        <v>4487</v>
      </c>
      <c r="B670" s="1" t="s">
        <v>3808</v>
      </c>
      <c r="C670" s="1" t="s">
        <v>3848</v>
      </c>
      <c r="D670" s="1" t="s">
        <v>3895</v>
      </c>
      <c r="E670">
        <v>269050</v>
      </c>
      <c r="F670">
        <v>333174.65000000002</v>
      </c>
      <c r="G670">
        <v>-64124.65</v>
      </c>
      <c r="H670" s="2">
        <v>45362</v>
      </c>
      <c r="I670" s="1" t="s">
        <v>3790</v>
      </c>
      <c r="J670" s="1" t="s">
        <v>3803</v>
      </c>
      <c r="K670" s="1" t="s">
        <v>3784</v>
      </c>
      <c r="L670" s="1" t="s">
        <v>51</v>
      </c>
    </row>
    <row r="671" spans="1:12" x14ac:dyDescent="0.25">
      <c r="A671" s="1" t="s">
        <v>4488</v>
      </c>
      <c r="B671" s="1" t="s">
        <v>3839</v>
      </c>
      <c r="C671" s="1" t="s">
        <v>3858</v>
      </c>
      <c r="D671" s="1" t="s">
        <v>3822</v>
      </c>
      <c r="E671">
        <v>51108</v>
      </c>
      <c r="F671">
        <v>46369.98</v>
      </c>
      <c r="G671">
        <v>4738.0200000000004</v>
      </c>
      <c r="H671" s="2">
        <v>45077</v>
      </c>
      <c r="I671" s="1" t="s">
        <v>3790</v>
      </c>
      <c r="J671" s="1" t="s">
        <v>3823</v>
      </c>
      <c r="K671" s="1" t="s">
        <v>3784</v>
      </c>
      <c r="L671" s="1" t="s">
        <v>3792</v>
      </c>
    </row>
    <row r="672" spans="1:12" x14ac:dyDescent="0.25">
      <c r="A672" s="1" t="s">
        <v>4489</v>
      </c>
      <c r="B672" s="1" t="s">
        <v>3787</v>
      </c>
      <c r="C672" s="1" t="s">
        <v>51</v>
      </c>
      <c r="D672" s="1" t="s">
        <v>3781</v>
      </c>
      <c r="E672">
        <v>371069</v>
      </c>
      <c r="F672">
        <v>418595.72</v>
      </c>
      <c r="G672">
        <v>-47526.720000000001</v>
      </c>
      <c r="H672" s="2">
        <v>45075</v>
      </c>
      <c r="I672" s="1" t="s">
        <v>3782</v>
      </c>
      <c r="J672" s="1" t="s">
        <v>3823</v>
      </c>
      <c r="K672" s="1" t="s">
        <v>3784</v>
      </c>
      <c r="L672" s="1" t="s">
        <v>51</v>
      </c>
    </row>
    <row r="673" spans="1:12" x14ac:dyDescent="0.25">
      <c r="A673" s="1" t="s">
        <v>4490</v>
      </c>
      <c r="B673" s="1" t="s">
        <v>3787</v>
      </c>
      <c r="C673" s="1" t="s">
        <v>3795</v>
      </c>
      <c r="D673" s="1" t="s">
        <v>3867</v>
      </c>
      <c r="E673">
        <v>372842</v>
      </c>
      <c r="F673">
        <v>397469.52</v>
      </c>
      <c r="G673">
        <v>-24627.52</v>
      </c>
      <c r="H673" s="2">
        <v>45522</v>
      </c>
      <c r="I673" s="1" t="s">
        <v>3790</v>
      </c>
      <c r="J673" s="1" t="s">
        <v>3783</v>
      </c>
      <c r="K673" s="1" t="s">
        <v>3800</v>
      </c>
      <c r="L673" s="1" t="s">
        <v>3831</v>
      </c>
    </row>
    <row r="674" spans="1:12" x14ac:dyDescent="0.25">
      <c r="A674" s="1" t="s">
        <v>4491</v>
      </c>
      <c r="B674" s="1" t="s">
        <v>3794</v>
      </c>
      <c r="C674" s="1" t="s">
        <v>3848</v>
      </c>
      <c r="D674" s="1" t="s">
        <v>3837</v>
      </c>
      <c r="E674">
        <v>1811621</v>
      </c>
      <c r="F674">
        <v>1654255.19</v>
      </c>
      <c r="G674">
        <v>157365.81</v>
      </c>
      <c r="H674" s="2">
        <v>45148</v>
      </c>
      <c r="I674" s="1" t="s">
        <v>3790</v>
      </c>
      <c r="J674" s="1" t="s">
        <v>3803</v>
      </c>
      <c r="K674" s="1" t="s">
        <v>3784</v>
      </c>
      <c r="L674" s="1" t="s">
        <v>3792</v>
      </c>
    </row>
    <row r="675" spans="1:12" x14ac:dyDescent="0.25">
      <c r="A675" s="1" t="s">
        <v>4492</v>
      </c>
      <c r="B675" s="1" t="s">
        <v>3839</v>
      </c>
      <c r="C675" s="1" t="s">
        <v>3825</v>
      </c>
      <c r="D675" s="1" t="s">
        <v>3855</v>
      </c>
      <c r="E675">
        <v>175404</v>
      </c>
      <c r="F675">
        <v>214676.76</v>
      </c>
      <c r="G675">
        <v>-39272.76</v>
      </c>
      <c r="H675" s="2">
        <v>45006</v>
      </c>
      <c r="I675" s="1" t="s">
        <v>3859</v>
      </c>
      <c r="J675" s="1" t="s">
        <v>3803</v>
      </c>
      <c r="K675" s="1" t="s">
        <v>3804</v>
      </c>
      <c r="L675" s="1" t="s">
        <v>51</v>
      </c>
    </row>
    <row r="676" spans="1:12" x14ac:dyDescent="0.25">
      <c r="A676" s="1" t="s">
        <v>4493</v>
      </c>
      <c r="B676" s="1" t="s">
        <v>3787</v>
      </c>
      <c r="C676" s="1" t="s">
        <v>3821</v>
      </c>
      <c r="D676" s="1" t="s">
        <v>3826</v>
      </c>
      <c r="E676">
        <v>208150</v>
      </c>
      <c r="F676">
        <v>249693.88</v>
      </c>
      <c r="G676">
        <v>-41543.879999999997</v>
      </c>
      <c r="H676" s="2">
        <v>45518</v>
      </c>
      <c r="I676" s="1" t="s">
        <v>3790</v>
      </c>
      <c r="J676" s="1" t="s">
        <v>3823</v>
      </c>
      <c r="K676" s="1" t="s">
        <v>3800</v>
      </c>
      <c r="L676" s="1" t="s">
        <v>51</v>
      </c>
    </row>
    <row r="677" spans="1:12" x14ac:dyDescent="0.25">
      <c r="A677" s="1" t="s">
        <v>4494</v>
      </c>
      <c r="B677" s="1" t="s">
        <v>3787</v>
      </c>
      <c r="C677" s="1" t="s">
        <v>3844</v>
      </c>
      <c r="D677" s="1" t="s">
        <v>3867</v>
      </c>
      <c r="E677">
        <v>-465791</v>
      </c>
      <c r="F677">
        <v>405659.2</v>
      </c>
      <c r="G677">
        <v>60131.8</v>
      </c>
      <c r="H677" s="2">
        <v>45123</v>
      </c>
      <c r="I677" s="1" t="s">
        <v>3790</v>
      </c>
      <c r="J677" s="1" t="s">
        <v>3783</v>
      </c>
      <c r="K677" s="1" t="s">
        <v>3784</v>
      </c>
      <c r="L677" s="1" t="s">
        <v>51</v>
      </c>
    </row>
    <row r="678" spans="1:12" x14ac:dyDescent="0.25">
      <c r="A678" s="1" t="s">
        <v>4495</v>
      </c>
      <c r="B678" s="1" t="s">
        <v>3828</v>
      </c>
      <c r="C678" s="1" t="s">
        <v>3848</v>
      </c>
      <c r="D678" s="1" t="s">
        <v>3846</v>
      </c>
      <c r="E678">
        <v>432960</v>
      </c>
      <c r="F678">
        <v>437124.63</v>
      </c>
      <c r="H678" s="2">
        <v>45225</v>
      </c>
      <c r="I678" s="1" t="s">
        <v>3790</v>
      </c>
      <c r="J678" s="1" t="s">
        <v>3803</v>
      </c>
      <c r="K678" s="1" t="s">
        <v>3784</v>
      </c>
      <c r="L678" s="1" t="s">
        <v>3831</v>
      </c>
    </row>
    <row r="679" spans="1:12" x14ac:dyDescent="0.25">
      <c r="A679" s="1" t="s">
        <v>4496</v>
      </c>
      <c r="B679" s="1" t="s">
        <v>3798</v>
      </c>
      <c r="C679" s="1" t="s">
        <v>3812</v>
      </c>
      <c r="D679" s="1" t="s">
        <v>3781</v>
      </c>
      <c r="E679">
        <v>20956</v>
      </c>
      <c r="F679">
        <v>17326.400000000001</v>
      </c>
      <c r="G679">
        <v>3629.6</v>
      </c>
      <c r="H679" s="2">
        <v>44973</v>
      </c>
      <c r="I679" s="1" t="s">
        <v>3859</v>
      </c>
      <c r="J679" s="1" t="s">
        <v>3791</v>
      </c>
      <c r="K679" s="1" t="s">
        <v>3804</v>
      </c>
      <c r="L679" s="1" t="s">
        <v>51</v>
      </c>
    </row>
    <row r="680" spans="1:12" x14ac:dyDescent="0.25">
      <c r="A680" s="1" t="s">
        <v>4497</v>
      </c>
      <c r="B680" s="1" t="s">
        <v>3839</v>
      </c>
      <c r="C680" s="1" t="s">
        <v>3861</v>
      </c>
      <c r="D680" s="1" t="s">
        <v>3834</v>
      </c>
      <c r="E680">
        <v>227030</v>
      </c>
      <c r="F680">
        <v>287338.31</v>
      </c>
      <c r="G680">
        <v>-60308.31</v>
      </c>
      <c r="H680" s="2">
        <v>45369</v>
      </c>
      <c r="I680" s="1" t="s">
        <v>3790</v>
      </c>
      <c r="J680" s="1" t="s">
        <v>3783</v>
      </c>
      <c r="K680" s="1" t="s">
        <v>3784</v>
      </c>
      <c r="L680" s="1" t="s">
        <v>3792</v>
      </c>
    </row>
    <row r="681" spans="1:12" x14ac:dyDescent="0.25">
      <c r="A681" s="1" t="s">
        <v>4498</v>
      </c>
      <c r="B681" s="1" t="s">
        <v>3794</v>
      </c>
      <c r="C681" s="1" t="s">
        <v>51</v>
      </c>
      <c r="D681" s="1" t="s">
        <v>3822</v>
      </c>
      <c r="E681">
        <v>497199</v>
      </c>
      <c r="F681">
        <v>587241.94999999995</v>
      </c>
      <c r="G681">
        <v>-90042.95</v>
      </c>
      <c r="H681" s="2">
        <v>45226</v>
      </c>
      <c r="I681" s="1" t="s">
        <v>3790</v>
      </c>
      <c r="J681" s="1" t="s">
        <v>3791</v>
      </c>
      <c r="K681" s="1" t="s">
        <v>3784</v>
      </c>
      <c r="L681" s="1" t="s">
        <v>51</v>
      </c>
    </row>
    <row r="682" spans="1:12" x14ac:dyDescent="0.25">
      <c r="A682" s="1" t="s">
        <v>4499</v>
      </c>
      <c r="B682" s="1" t="s">
        <v>3808</v>
      </c>
      <c r="C682" s="1" t="s">
        <v>3788</v>
      </c>
      <c r="D682" s="1" t="s">
        <v>3850</v>
      </c>
      <c r="E682">
        <v>17494</v>
      </c>
      <c r="F682">
        <v>21819.33</v>
      </c>
      <c r="G682">
        <v>-4325.33</v>
      </c>
      <c r="H682" s="2">
        <v>45229</v>
      </c>
      <c r="I682" s="1" t="s">
        <v>3782</v>
      </c>
      <c r="J682" s="1" t="s">
        <v>3783</v>
      </c>
      <c r="K682" s="1" t="s">
        <v>3784</v>
      </c>
      <c r="L682" s="1" t="s">
        <v>51</v>
      </c>
    </row>
    <row r="683" spans="1:12" x14ac:dyDescent="0.25">
      <c r="A683" s="1" t="s">
        <v>4500</v>
      </c>
      <c r="B683" s="1" t="s">
        <v>3811</v>
      </c>
      <c r="C683" s="1" t="s">
        <v>3815</v>
      </c>
      <c r="D683" s="1" t="s">
        <v>3799</v>
      </c>
      <c r="E683">
        <v>310160</v>
      </c>
      <c r="F683">
        <v>351074.26</v>
      </c>
      <c r="G683">
        <v>-40914.26</v>
      </c>
      <c r="H683" s="2">
        <v>45337</v>
      </c>
      <c r="I683" s="1" t="s">
        <v>3790</v>
      </c>
      <c r="J683" s="1" t="s">
        <v>3823</v>
      </c>
      <c r="K683" s="1" t="s">
        <v>3784</v>
      </c>
      <c r="L683" s="1" t="s">
        <v>3792</v>
      </c>
    </row>
    <row r="684" spans="1:12" x14ac:dyDescent="0.25">
      <c r="A684" s="1" t="s">
        <v>4501</v>
      </c>
      <c r="B684" s="1" t="s">
        <v>3794</v>
      </c>
      <c r="C684" s="1" t="s">
        <v>3795</v>
      </c>
      <c r="D684" s="1" t="s">
        <v>3781</v>
      </c>
      <c r="E684">
        <v>215143</v>
      </c>
      <c r="F684">
        <v>173090.34</v>
      </c>
      <c r="G684">
        <v>42052.66</v>
      </c>
      <c r="H684" s="2">
        <v>44981</v>
      </c>
      <c r="I684" s="1" t="s">
        <v>3790</v>
      </c>
      <c r="J684" s="1" t="s">
        <v>3823</v>
      </c>
      <c r="K684" s="1" t="s">
        <v>3804</v>
      </c>
      <c r="L684" s="1" t="s">
        <v>51</v>
      </c>
    </row>
    <row r="685" spans="1:12" x14ac:dyDescent="0.25">
      <c r="A685" s="1" t="s">
        <v>4502</v>
      </c>
      <c r="B685" s="1" t="s">
        <v>3828</v>
      </c>
      <c r="C685" s="1" t="s">
        <v>3788</v>
      </c>
      <c r="D685" s="1" t="s">
        <v>3850</v>
      </c>
      <c r="E685">
        <v>144022</v>
      </c>
      <c r="F685">
        <v>151176.37</v>
      </c>
      <c r="G685">
        <v>-7154.37</v>
      </c>
      <c r="H685" s="2">
        <v>45264</v>
      </c>
      <c r="I685" s="1" t="s">
        <v>3790</v>
      </c>
      <c r="J685" s="1" t="s">
        <v>3823</v>
      </c>
      <c r="K685" s="1" t="s">
        <v>3784</v>
      </c>
      <c r="L685" s="1" t="s">
        <v>51</v>
      </c>
    </row>
    <row r="686" spans="1:12" x14ac:dyDescent="0.25">
      <c r="A686" s="1" t="s">
        <v>4503</v>
      </c>
      <c r="B686" s="1" t="s">
        <v>3787</v>
      </c>
      <c r="C686" s="1" t="s">
        <v>3844</v>
      </c>
      <c r="D686" s="1" t="s">
        <v>3813</v>
      </c>
      <c r="E686">
        <v>299426</v>
      </c>
      <c r="F686">
        <v>281637.83</v>
      </c>
      <c r="G686">
        <v>17788.169999999998</v>
      </c>
      <c r="H686" s="2">
        <v>45516</v>
      </c>
      <c r="I686" s="1" t="s">
        <v>3790</v>
      </c>
      <c r="J686" s="1" t="s">
        <v>3823</v>
      </c>
      <c r="K686" s="1" t="s">
        <v>3800</v>
      </c>
      <c r="L686" s="1" t="s">
        <v>3792</v>
      </c>
    </row>
    <row r="687" spans="1:12" x14ac:dyDescent="0.25">
      <c r="A687" s="1" t="s">
        <v>4504</v>
      </c>
      <c r="B687" s="1" t="s">
        <v>3811</v>
      </c>
      <c r="C687" s="1" t="s">
        <v>3844</v>
      </c>
      <c r="D687" s="1" t="s">
        <v>3895</v>
      </c>
      <c r="E687">
        <v>371377</v>
      </c>
      <c r="G687">
        <v>27780.1</v>
      </c>
      <c r="H687" s="2">
        <v>45638</v>
      </c>
      <c r="I687" s="1" t="s">
        <v>3790</v>
      </c>
      <c r="J687" s="1" t="s">
        <v>3791</v>
      </c>
      <c r="K687" s="1" t="s">
        <v>3800</v>
      </c>
      <c r="L687" s="1" t="s">
        <v>3817</v>
      </c>
    </row>
    <row r="688" spans="1:12" x14ac:dyDescent="0.25">
      <c r="A688" s="1" t="s">
        <v>4505</v>
      </c>
      <c r="B688" s="1" t="s">
        <v>3811</v>
      </c>
      <c r="C688" s="1" t="s">
        <v>3795</v>
      </c>
      <c r="D688" s="1" t="s">
        <v>3846</v>
      </c>
      <c r="E688">
        <v>175604</v>
      </c>
      <c r="F688">
        <v>212918.44</v>
      </c>
      <c r="G688">
        <v>-37314.44</v>
      </c>
      <c r="H688" s="2">
        <v>45111</v>
      </c>
      <c r="I688" s="1" t="s">
        <v>3790</v>
      </c>
      <c r="J688" s="1" t="s">
        <v>3791</v>
      </c>
      <c r="K688" s="1" t="s">
        <v>3784</v>
      </c>
      <c r="L688" s="1" t="s">
        <v>51</v>
      </c>
    </row>
    <row r="689" spans="1:12" x14ac:dyDescent="0.25">
      <c r="A689" s="1" t="s">
        <v>4506</v>
      </c>
      <c r="B689" s="1" t="s">
        <v>3839</v>
      </c>
      <c r="C689" s="1" t="s">
        <v>3821</v>
      </c>
      <c r="D689" s="1" t="s">
        <v>3789</v>
      </c>
      <c r="E689">
        <v>281456</v>
      </c>
      <c r="F689">
        <v>247438.74</v>
      </c>
      <c r="G689">
        <v>34017.26</v>
      </c>
      <c r="H689" s="2">
        <v>45668</v>
      </c>
      <c r="I689" s="1" t="s">
        <v>3790</v>
      </c>
      <c r="J689" s="1" t="s">
        <v>3803</v>
      </c>
      <c r="K689" s="1" t="s">
        <v>3800</v>
      </c>
      <c r="L689" s="1" t="s">
        <v>3831</v>
      </c>
    </row>
    <row r="690" spans="1:12" x14ac:dyDescent="0.25">
      <c r="A690" s="1" t="s">
        <v>3982</v>
      </c>
      <c r="B690" s="1" t="s">
        <v>3839</v>
      </c>
      <c r="C690" s="1" t="s">
        <v>3795</v>
      </c>
      <c r="D690" s="1" t="s">
        <v>3826</v>
      </c>
      <c r="E690">
        <v>244563</v>
      </c>
      <c r="F690">
        <v>224303.12</v>
      </c>
      <c r="G690">
        <v>20259.88</v>
      </c>
      <c r="H690" s="2">
        <v>45247</v>
      </c>
      <c r="I690" s="1" t="s">
        <v>3790</v>
      </c>
      <c r="J690" s="1" t="s">
        <v>3823</v>
      </c>
      <c r="K690" s="1" t="s">
        <v>3784</v>
      </c>
      <c r="L690" s="1" t="s">
        <v>3817</v>
      </c>
    </row>
    <row r="691" spans="1:12" x14ac:dyDescent="0.25">
      <c r="A691" s="1" t="s">
        <v>4507</v>
      </c>
      <c r="B691" s="1" t="s">
        <v>51</v>
      </c>
      <c r="C691" s="1" t="s">
        <v>3848</v>
      </c>
      <c r="D691" s="1" t="s">
        <v>3813</v>
      </c>
      <c r="E691">
        <v>346906</v>
      </c>
      <c r="F691">
        <v>299819.77</v>
      </c>
      <c r="G691">
        <v>47086.23</v>
      </c>
      <c r="H691" s="2">
        <v>45077</v>
      </c>
      <c r="I691" s="1" t="s">
        <v>3859</v>
      </c>
      <c r="J691" s="1" t="s">
        <v>3791</v>
      </c>
      <c r="K691" s="1" t="s">
        <v>3784</v>
      </c>
      <c r="L691" s="1" t="s">
        <v>51</v>
      </c>
    </row>
    <row r="692" spans="1:12" x14ac:dyDescent="0.25">
      <c r="A692" s="1" t="s">
        <v>4508</v>
      </c>
      <c r="B692" s="1" t="s">
        <v>3787</v>
      </c>
      <c r="C692" s="1" t="s">
        <v>3795</v>
      </c>
      <c r="D692" s="1" t="s">
        <v>3781</v>
      </c>
      <c r="E692">
        <v>69004</v>
      </c>
      <c r="F692">
        <v>66399.42</v>
      </c>
      <c r="G692">
        <v>2604.58</v>
      </c>
      <c r="H692" s="2">
        <v>45450</v>
      </c>
      <c r="I692" s="1" t="s">
        <v>3790</v>
      </c>
      <c r="J692" s="1" t="s">
        <v>3783</v>
      </c>
      <c r="K692" s="1" t="s">
        <v>3800</v>
      </c>
      <c r="L692" s="1" t="s">
        <v>3817</v>
      </c>
    </row>
    <row r="693" spans="1:12" x14ac:dyDescent="0.25">
      <c r="A693" s="1" t="s">
        <v>4509</v>
      </c>
      <c r="B693" s="1" t="s">
        <v>3839</v>
      </c>
      <c r="C693" s="1" t="s">
        <v>3815</v>
      </c>
      <c r="D693" s="1" t="s">
        <v>3822</v>
      </c>
      <c r="E693">
        <v>245775</v>
      </c>
      <c r="F693">
        <v>198192.49</v>
      </c>
      <c r="G693">
        <v>47582.51</v>
      </c>
      <c r="H693" s="2">
        <v>45173</v>
      </c>
      <c r="I693" s="1" t="s">
        <v>3782</v>
      </c>
      <c r="J693" s="1" t="s">
        <v>3783</v>
      </c>
      <c r="K693" s="1" t="s">
        <v>3784</v>
      </c>
      <c r="L693" s="1" t="s">
        <v>3792</v>
      </c>
    </row>
    <row r="694" spans="1:12" x14ac:dyDescent="0.25">
      <c r="A694" s="1" t="s">
        <v>4510</v>
      </c>
      <c r="B694" s="1" t="s">
        <v>3808</v>
      </c>
      <c r="C694" s="1" t="s">
        <v>3848</v>
      </c>
      <c r="D694" s="1" t="s">
        <v>3837</v>
      </c>
      <c r="E694">
        <v>79739</v>
      </c>
      <c r="G694">
        <v>2716.18</v>
      </c>
      <c r="H694" s="2">
        <v>45148</v>
      </c>
      <c r="I694" s="1" t="s">
        <v>3859</v>
      </c>
      <c r="J694" s="1" t="s">
        <v>3791</v>
      </c>
      <c r="K694" s="1" t="s">
        <v>3784</v>
      </c>
      <c r="L694" s="1" t="s">
        <v>51</v>
      </c>
    </row>
    <row r="695" spans="1:12" x14ac:dyDescent="0.25">
      <c r="A695" s="1" t="s">
        <v>4511</v>
      </c>
      <c r="B695" s="1" t="s">
        <v>51</v>
      </c>
      <c r="C695" s="1" t="s">
        <v>3821</v>
      </c>
      <c r="D695" s="1" t="s">
        <v>3796</v>
      </c>
      <c r="E695">
        <v>475254</v>
      </c>
      <c r="F695">
        <v>614613.85</v>
      </c>
      <c r="G695">
        <v>-139359.85</v>
      </c>
      <c r="H695" s="2">
        <v>45153</v>
      </c>
      <c r="I695" s="1" t="s">
        <v>3790</v>
      </c>
      <c r="J695" s="1" t="s">
        <v>3803</v>
      </c>
      <c r="K695" s="1" t="s">
        <v>3784</v>
      </c>
      <c r="L695" s="1" t="s">
        <v>51</v>
      </c>
    </row>
    <row r="696" spans="1:12" x14ac:dyDescent="0.25">
      <c r="A696" s="1" t="s">
        <v>4512</v>
      </c>
      <c r="B696" s="1" t="s">
        <v>3794</v>
      </c>
      <c r="C696" s="1" t="s">
        <v>3806</v>
      </c>
      <c r="D696" s="1" t="s">
        <v>3846</v>
      </c>
      <c r="E696">
        <v>398103</v>
      </c>
      <c r="F696">
        <v>495766.71</v>
      </c>
      <c r="G696">
        <v>-97663.71</v>
      </c>
      <c r="H696" s="2">
        <v>45588</v>
      </c>
      <c r="I696" s="1" t="s">
        <v>3859</v>
      </c>
      <c r="J696" s="1" t="s">
        <v>3803</v>
      </c>
      <c r="K696" s="1" t="s">
        <v>3800</v>
      </c>
      <c r="L696" s="1" t="s">
        <v>51</v>
      </c>
    </row>
    <row r="697" spans="1:12" x14ac:dyDescent="0.25">
      <c r="A697" s="1" t="s">
        <v>4513</v>
      </c>
      <c r="B697" s="1" t="s">
        <v>3811</v>
      </c>
      <c r="C697" s="1" t="s">
        <v>3815</v>
      </c>
      <c r="D697" s="1" t="s">
        <v>3826</v>
      </c>
      <c r="E697">
        <v>260242</v>
      </c>
      <c r="F697">
        <v>323419.07</v>
      </c>
      <c r="G697">
        <v>-63177.07</v>
      </c>
      <c r="H697" s="2">
        <v>45403</v>
      </c>
      <c r="I697" s="1" t="s">
        <v>3790</v>
      </c>
      <c r="J697" s="1" t="s">
        <v>3783</v>
      </c>
      <c r="K697" s="1" t="s">
        <v>3800</v>
      </c>
      <c r="L697" s="1" t="s">
        <v>3809</v>
      </c>
    </row>
    <row r="698" spans="1:12" x14ac:dyDescent="0.25">
      <c r="A698" s="1" t="s">
        <v>4514</v>
      </c>
      <c r="B698" s="1" t="s">
        <v>3808</v>
      </c>
      <c r="C698" s="1" t="s">
        <v>3861</v>
      </c>
      <c r="D698" s="1" t="s">
        <v>3802</v>
      </c>
      <c r="E698">
        <v>158593</v>
      </c>
      <c r="F698">
        <v>189811.45</v>
      </c>
      <c r="G698">
        <v>-31218.45</v>
      </c>
      <c r="H698" s="2">
        <v>45219</v>
      </c>
      <c r="I698" s="1" t="s">
        <v>3790</v>
      </c>
      <c r="J698" s="1" t="s">
        <v>3823</v>
      </c>
      <c r="K698" s="1" t="s">
        <v>3784</v>
      </c>
      <c r="L698" s="1" t="s">
        <v>51</v>
      </c>
    </row>
    <row r="699" spans="1:12" x14ac:dyDescent="0.25">
      <c r="A699" s="1" t="s">
        <v>3870</v>
      </c>
      <c r="B699" s="1" t="s">
        <v>3811</v>
      </c>
      <c r="C699" s="1" t="s">
        <v>3825</v>
      </c>
      <c r="D699" s="1" t="s">
        <v>3855</v>
      </c>
      <c r="E699">
        <v>454117</v>
      </c>
      <c r="G699">
        <v>-112004.76</v>
      </c>
      <c r="H699" s="2">
        <v>45077</v>
      </c>
      <c r="I699" s="1" t="s">
        <v>3790</v>
      </c>
      <c r="J699" s="1" t="s">
        <v>3783</v>
      </c>
      <c r="K699" s="1" t="s">
        <v>3784</v>
      </c>
      <c r="L699" s="1" t="s">
        <v>3785</v>
      </c>
    </row>
    <row r="700" spans="1:12" x14ac:dyDescent="0.25">
      <c r="A700" s="1" t="s">
        <v>3961</v>
      </c>
      <c r="B700" s="1" t="s">
        <v>3811</v>
      </c>
      <c r="C700" s="1" t="s">
        <v>3858</v>
      </c>
      <c r="D700" s="1" t="s">
        <v>3895</v>
      </c>
      <c r="E700">
        <v>51429</v>
      </c>
      <c r="F700">
        <v>53477.37</v>
      </c>
      <c r="G700">
        <v>-2048.37</v>
      </c>
      <c r="H700" s="2">
        <v>45657</v>
      </c>
      <c r="I700" s="1" t="s">
        <v>3790</v>
      </c>
      <c r="J700" s="1" t="s">
        <v>3791</v>
      </c>
      <c r="K700" s="1" t="s">
        <v>3800</v>
      </c>
      <c r="L700" s="1" t="s">
        <v>3831</v>
      </c>
    </row>
    <row r="701" spans="1:12" x14ac:dyDescent="0.25">
      <c r="A701" s="1" t="s">
        <v>4515</v>
      </c>
      <c r="B701" s="1" t="s">
        <v>3839</v>
      </c>
      <c r="C701" s="1" t="s">
        <v>3848</v>
      </c>
      <c r="D701" s="1" t="s">
        <v>3822</v>
      </c>
      <c r="E701">
        <v>22033</v>
      </c>
      <c r="F701">
        <v>26884.92</v>
      </c>
      <c r="G701">
        <v>-4851.92</v>
      </c>
      <c r="H701" s="2">
        <v>45200</v>
      </c>
      <c r="I701" s="1" t="s">
        <v>3790</v>
      </c>
      <c r="J701" s="1" t="s">
        <v>3823</v>
      </c>
      <c r="K701" s="1" t="s">
        <v>3784</v>
      </c>
      <c r="L701" s="1" t="s">
        <v>51</v>
      </c>
    </row>
    <row r="702" spans="1:12" x14ac:dyDescent="0.25">
      <c r="A702" s="1" t="s">
        <v>4516</v>
      </c>
      <c r="B702" s="1" t="s">
        <v>3839</v>
      </c>
      <c r="C702" s="1" t="s">
        <v>51</v>
      </c>
      <c r="D702" s="1" t="s">
        <v>3796</v>
      </c>
      <c r="E702">
        <v>122344</v>
      </c>
      <c r="F702">
        <v>98440.35</v>
      </c>
      <c r="G702">
        <v>23903.65</v>
      </c>
      <c r="H702" s="2">
        <v>45404</v>
      </c>
      <c r="I702" s="1" t="s">
        <v>3782</v>
      </c>
      <c r="J702" s="1" t="s">
        <v>3823</v>
      </c>
      <c r="K702" s="1" t="s">
        <v>3800</v>
      </c>
      <c r="L702" s="1" t="s">
        <v>51</v>
      </c>
    </row>
    <row r="703" spans="1:12" x14ac:dyDescent="0.25">
      <c r="A703" s="1" t="s">
        <v>4517</v>
      </c>
      <c r="B703" s="1" t="s">
        <v>3808</v>
      </c>
      <c r="C703" s="1" t="s">
        <v>3825</v>
      </c>
      <c r="D703" s="1" t="s">
        <v>3816</v>
      </c>
      <c r="E703">
        <v>214170</v>
      </c>
      <c r="F703">
        <v>193322.14</v>
      </c>
      <c r="G703">
        <v>20847.86</v>
      </c>
      <c r="H703" s="2">
        <v>45066</v>
      </c>
      <c r="I703" s="1" t="s">
        <v>3790</v>
      </c>
      <c r="J703" s="1" t="s">
        <v>3783</v>
      </c>
      <c r="K703" s="1" t="s">
        <v>3784</v>
      </c>
      <c r="L703" s="1" t="s">
        <v>51</v>
      </c>
    </row>
    <row r="704" spans="1:12" x14ac:dyDescent="0.25">
      <c r="A704" s="1" t="s">
        <v>4518</v>
      </c>
      <c r="B704" s="1" t="s">
        <v>3839</v>
      </c>
      <c r="C704" s="1" t="s">
        <v>3806</v>
      </c>
      <c r="D704" s="1" t="s">
        <v>3846</v>
      </c>
      <c r="E704">
        <v>3822383</v>
      </c>
      <c r="F704">
        <v>3168723.63</v>
      </c>
      <c r="G704">
        <v>653659.37</v>
      </c>
      <c r="H704" s="2">
        <v>45348</v>
      </c>
      <c r="I704" s="1" t="s">
        <v>3790</v>
      </c>
      <c r="J704" s="1" t="s">
        <v>3803</v>
      </c>
      <c r="K704" s="1" t="s">
        <v>3784</v>
      </c>
      <c r="L704" s="1" t="s">
        <v>51</v>
      </c>
    </row>
    <row r="705" spans="1:12" x14ac:dyDescent="0.25">
      <c r="A705" s="1" t="s">
        <v>4519</v>
      </c>
      <c r="B705" s="1" t="s">
        <v>3828</v>
      </c>
      <c r="C705" s="1" t="s">
        <v>3815</v>
      </c>
      <c r="D705" s="1" t="s">
        <v>3813</v>
      </c>
      <c r="E705">
        <v>89658</v>
      </c>
      <c r="F705">
        <v>75892.789999999994</v>
      </c>
      <c r="G705">
        <v>13765.21</v>
      </c>
      <c r="H705" s="2">
        <v>45594</v>
      </c>
      <c r="I705" s="1" t="s">
        <v>3790</v>
      </c>
      <c r="J705" s="1" t="s">
        <v>3791</v>
      </c>
      <c r="K705" s="1" t="s">
        <v>3800</v>
      </c>
      <c r="L705" s="1" t="s">
        <v>51</v>
      </c>
    </row>
    <row r="706" spans="1:12" x14ac:dyDescent="0.25">
      <c r="A706" s="1" t="s">
        <v>4520</v>
      </c>
      <c r="B706" s="1" t="s">
        <v>3794</v>
      </c>
      <c r="C706" s="1" t="s">
        <v>51</v>
      </c>
      <c r="D706" s="1" t="s">
        <v>3813</v>
      </c>
      <c r="E706">
        <v>35480</v>
      </c>
      <c r="F706">
        <v>46114.75</v>
      </c>
      <c r="G706">
        <v>-10634.75</v>
      </c>
      <c r="H706" s="2">
        <v>45701</v>
      </c>
      <c r="I706" s="1" t="s">
        <v>3782</v>
      </c>
      <c r="J706" s="1" t="s">
        <v>3783</v>
      </c>
      <c r="K706" s="1" t="s">
        <v>3800</v>
      </c>
      <c r="L706" s="1" t="s">
        <v>51</v>
      </c>
    </row>
    <row r="707" spans="1:12" x14ac:dyDescent="0.25">
      <c r="A707" s="1" t="s">
        <v>4521</v>
      </c>
      <c r="B707" s="1" t="s">
        <v>3798</v>
      </c>
      <c r="C707" s="1" t="s">
        <v>3812</v>
      </c>
      <c r="D707" s="1" t="s">
        <v>3781</v>
      </c>
      <c r="E707">
        <v>310632</v>
      </c>
      <c r="F707">
        <v>250617.47</v>
      </c>
      <c r="G707">
        <v>60014.53</v>
      </c>
      <c r="H707" s="2">
        <v>45128</v>
      </c>
      <c r="I707" s="1" t="s">
        <v>3790</v>
      </c>
      <c r="J707" s="1" t="s">
        <v>3823</v>
      </c>
      <c r="K707" s="1" t="s">
        <v>3784</v>
      </c>
      <c r="L707" s="1" t="s">
        <v>3831</v>
      </c>
    </row>
    <row r="708" spans="1:12" x14ac:dyDescent="0.25">
      <c r="A708" s="1" t="s">
        <v>4522</v>
      </c>
      <c r="B708" s="1" t="s">
        <v>3787</v>
      </c>
      <c r="C708" s="1" t="s">
        <v>3788</v>
      </c>
      <c r="D708" s="1" t="s">
        <v>3834</v>
      </c>
      <c r="E708">
        <v>424438</v>
      </c>
      <c r="F708">
        <v>494028.26</v>
      </c>
      <c r="G708">
        <v>-69590.259999999995</v>
      </c>
      <c r="H708" s="2">
        <v>45172</v>
      </c>
      <c r="I708" s="1" t="s">
        <v>3790</v>
      </c>
      <c r="J708" s="1" t="s">
        <v>3783</v>
      </c>
      <c r="K708" s="1" t="s">
        <v>3784</v>
      </c>
      <c r="L708" s="1" t="s">
        <v>51</v>
      </c>
    </row>
    <row r="709" spans="1:12" x14ac:dyDescent="0.25">
      <c r="A709" s="1" t="s">
        <v>4523</v>
      </c>
      <c r="B709" s="1" t="s">
        <v>3798</v>
      </c>
      <c r="C709" s="1" t="s">
        <v>3788</v>
      </c>
      <c r="D709" s="1" t="s">
        <v>3834</v>
      </c>
      <c r="E709">
        <v>22535</v>
      </c>
      <c r="G709">
        <v>4387.13</v>
      </c>
      <c r="H709" s="2">
        <v>45444</v>
      </c>
      <c r="I709" s="1" t="s">
        <v>3790</v>
      </c>
      <c r="J709" s="1" t="s">
        <v>3823</v>
      </c>
      <c r="K709" s="1" t="s">
        <v>3800</v>
      </c>
      <c r="L709" s="1" t="s">
        <v>3785</v>
      </c>
    </row>
    <row r="710" spans="1:12" x14ac:dyDescent="0.25">
      <c r="A710" s="1" t="s">
        <v>4524</v>
      </c>
      <c r="B710" s="1" t="s">
        <v>3811</v>
      </c>
      <c r="C710" s="1" t="s">
        <v>3795</v>
      </c>
      <c r="D710" s="1" t="s">
        <v>3813</v>
      </c>
      <c r="E710">
        <v>3850812</v>
      </c>
      <c r="F710">
        <v>3234335.68</v>
      </c>
      <c r="G710">
        <v>616476.31999999995</v>
      </c>
      <c r="H710" s="2">
        <v>45674</v>
      </c>
      <c r="I710" s="1" t="s">
        <v>3790</v>
      </c>
      <c r="J710" s="1" t="s">
        <v>3803</v>
      </c>
      <c r="K710" s="1" t="s">
        <v>3800</v>
      </c>
      <c r="L710" s="1" t="s">
        <v>51</v>
      </c>
    </row>
    <row r="711" spans="1:12" x14ac:dyDescent="0.25">
      <c r="A711" s="1" t="s">
        <v>4525</v>
      </c>
      <c r="B711" s="1" t="s">
        <v>3798</v>
      </c>
      <c r="C711" s="1" t="s">
        <v>3812</v>
      </c>
      <c r="D711" s="1" t="s">
        <v>3867</v>
      </c>
      <c r="E711">
        <v>185774</v>
      </c>
      <c r="F711">
        <v>195983.52</v>
      </c>
      <c r="G711">
        <v>-10209.52</v>
      </c>
      <c r="H711" s="2">
        <v>45642</v>
      </c>
      <c r="I711" s="1" t="s">
        <v>3790</v>
      </c>
      <c r="J711" s="1" t="s">
        <v>3791</v>
      </c>
      <c r="K711" s="1" t="s">
        <v>3800</v>
      </c>
      <c r="L711" s="1" t="s">
        <v>3817</v>
      </c>
    </row>
    <row r="712" spans="1:12" x14ac:dyDescent="0.25">
      <c r="A712" s="1" t="s">
        <v>4526</v>
      </c>
      <c r="B712" s="1" t="s">
        <v>3828</v>
      </c>
      <c r="C712" s="1" t="s">
        <v>3821</v>
      </c>
      <c r="D712" s="1" t="s">
        <v>3895</v>
      </c>
      <c r="E712">
        <v>198986</v>
      </c>
      <c r="F712">
        <v>239082.26</v>
      </c>
      <c r="G712">
        <v>-40096.26</v>
      </c>
      <c r="H712" s="2">
        <v>45659</v>
      </c>
      <c r="I712" s="1" t="s">
        <v>3790</v>
      </c>
      <c r="J712" s="1" t="s">
        <v>3783</v>
      </c>
      <c r="K712" s="1" t="s">
        <v>3800</v>
      </c>
      <c r="L712" s="1" t="s">
        <v>3817</v>
      </c>
    </row>
    <row r="713" spans="1:12" x14ac:dyDescent="0.25">
      <c r="A713" s="1" t="s">
        <v>4527</v>
      </c>
      <c r="B713" s="1" t="s">
        <v>3811</v>
      </c>
      <c r="C713" s="1" t="s">
        <v>3848</v>
      </c>
      <c r="D713" s="1" t="s">
        <v>3846</v>
      </c>
      <c r="E713">
        <v>219434</v>
      </c>
      <c r="G713">
        <v>-44566.7</v>
      </c>
      <c r="H713" s="2">
        <v>45337</v>
      </c>
      <c r="I713" s="1" t="s">
        <v>3790</v>
      </c>
      <c r="J713" s="1" t="s">
        <v>3791</v>
      </c>
      <c r="K713" s="1" t="s">
        <v>3784</v>
      </c>
      <c r="L713" s="1" t="s">
        <v>51</v>
      </c>
    </row>
    <row r="714" spans="1:12" x14ac:dyDescent="0.25">
      <c r="A714" s="1" t="s">
        <v>4231</v>
      </c>
      <c r="B714" s="1" t="s">
        <v>51</v>
      </c>
      <c r="C714" s="1" t="s">
        <v>3844</v>
      </c>
      <c r="D714" s="1" t="s">
        <v>3816</v>
      </c>
      <c r="E714">
        <v>4688784</v>
      </c>
      <c r="F714">
        <v>3938191.01</v>
      </c>
      <c r="G714">
        <v>750592.99</v>
      </c>
      <c r="H714" s="2">
        <v>45012</v>
      </c>
      <c r="I714" s="1" t="s">
        <v>3859</v>
      </c>
      <c r="J714" s="1" t="s">
        <v>3803</v>
      </c>
      <c r="K714" s="1" t="s">
        <v>3804</v>
      </c>
      <c r="L714" s="1" t="s">
        <v>51</v>
      </c>
    </row>
    <row r="715" spans="1:12" x14ac:dyDescent="0.25">
      <c r="A715" s="1" t="s">
        <v>4528</v>
      </c>
      <c r="B715" s="1" t="s">
        <v>3828</v>
      </c>
      <c r="C715" s="1" t="s">
        <v>3844</v>
      </c>
      <c r="D715" s="1" t="s">
        <v>3802</v>
      </c>
      <c r="E715">
        <v>459002</v>
      </c>
      <c r="F715">
        <v>515040.04</v>
      </c>
      <c r="G715">
        <v>-56038.04</v>
      </c>
      <c r="H715" s="2">
        <v>45293</v>
      </c>
      <c r="I715" s="1" t="s">
        <v>3790</v>
      </c>
      <c r="J715" s="1" t="s">
        <v>3783</v>
      </c>
      <c r="K715" s="1" t="s">
        <v>3784</v>
      </c>
      <c r="L715" s="1" t="s">
        <v>51</v>
      </c>
    </row>
    <row r="716" spans="1:12" x14ac:dyDescent="0.25">
      <c r="A716" s="1" t="s">
        <v>4529</v>
      </c>
      <c r="B716" s="1" t="s">
        <v>3811</v>
      </c>
      <c r="C716" s="1" t="s">
        <v>3812</v>
      </c>
      <c r="D716" s="1" t="s">
        <v>3855</v>
      </c>
      <c r="E716">
        <v>279796</v>
      </c>
      <c r="F716">
        <v>340405.24</v>
      </c>
      <c r="G716">
        <v>-60609.24</v>
      </c>
      <c r="H716" s="2">
        <v>45436</v>
      </c>
      <c r="I716" s="1" t="s">
        <v>3790</v>
      </c>
      <c r="J716" s="1" t="s">
        <v>3803</v>
      </c>
      <c r="K716" s="1" t="s">
        <v>3800</v>
      </c>
      <c r="L716" s="1" t="s">
        <v>3831</v>
      </c>
    </row>
    <row r="717" spans="1:12" x14ac:dyDescent="0.25">
      <c r="A717" s="1" t="s">
        <v>4530</v>
      </c>
      <c r="B717" s="1" t="s">
        <v>3811</v>
      </c>
      <c r="C717" s="1" t="s">
        <v>3812</v>
      </c>
      <c r="D717" s="1" t="s">
        <v>3789</v>
      </c>
      <c r="E717">
        <v>130966</v>
      </c>
      <c r="F717">
        <v>160856.99</v>
      </c>
      <c r="G717">
        <v>-29890.99</v>
      </c>
      <c r="H717" s="2">
        <v>45641</v>
      </c>
      <c r="I717" s="1" t="s">
        <v>3790</v>
      </c>
      <c r="J717" s="1" t="s">
        <v>3803</v>
      </c>
      <c r="K717" s="1" t="s">
        <v>3800</v>
      </c>
      <c r="L717" s="1" t="s">
        <v>51</v>
      </c>
    </row>
    <row r="718" spans="1:12" x14ac:dyDescent="0.25">
      <c r="A718" s="1" t="s">
        <v>4531</v>
      </c>
      <c r="B718" s="1" t="s">
        <v>3787</v>
      </c>
      <c r="C718" s="1" t="s">
        <v>3815</v>
      </c>
      <c r="D718" s="1" t="s">
        <v>3846</v>
      </c>
      <c r="E718">
        <v>436714</v>
      </c>
      <c r="F718">
        <v>541586.1</v>
      </c>
      <c r="G718">
        <v>-104872.1</v>
      </c>
      <c r="H718" s="2">
        <v>45029</v>
      </c>
      <c r="I718" s="1" t="s">
        <v>3782</v>
      </c>
      <c r="J718" s="1" t="s">
        <v>3783</v>
      </c>
      <c r="K718" s="1" t="s">
        <v>3784</v>
      </c>
      <c r="L718" s="1" t="s">
        <v>51</v>
      </c>
    </row>
    <row r="719" spans="1:12" x14ac:dyDescent="0.25">
      <c r="A719" s="1" t="s">
        <v>4532</v>
      </c>
      <c r="B719" s="1" t="s">
        <v>3839</v>
      </c>
      <c r="C719" s="1" t="s">
        <v>3780</v>
      </c>
      <c r="D719" s="1" t="s">
        <v>3789</v>
      </c>
      <c r="E719">
        <v>470117</v>
      </c>
      <c r="F719">
        <v>426638.91</v>
      </c>
      <c r="G719">
        <v>43478.09</v>
      </c>
      <c r="H719" s="2">
        <v>45466</v>
      </c>
      <c r="I719" s="1" t="s">
        <v>3790</v>
      </c>
      <c r="J719" s="1" t="s">
        <v>3791</v>
      </c>
      <c r="K719" s="1" t="s">
        <v>3800</v>
      </c>
      <c r="L719" s="1" t="s">
        <v>51</v>
      </c>
    </row>
    <row r="720" spans="1:12" x14ac:dyDescent="0.25">
      <c r="A720" s="1" t="s">
        <v>4533</v>
      </c>
      <c r="B720" s="1" t="s">
        <v>3787</v>
      </c>
      <c r="C720" s="1" t="s">
        <v>3806</v>
      </c>
      <c r="D720" s="1" t="s">
        <v>3799</v>
      </c>
      <c r="E720">
        <v>421801</v>
      </c>
      <c r="F720">
        <v>542788.9</v>
      </c>
      <c r="H720" s="2">
        <v>45598</v>
      </c>
      <c r="I720" s="1" t="s">
        <v>3790</v>
      </c>
      <c r="J720" s="1" t="s">
        <v>3791</v>
      </c>
      <c r="K720" s="1" t="s">
        <v>3800</v>
      </c>
      <c r="L720" s="1" t="s">
        <v>51</v>
      </c>
    </row>
    <row r="721" spans="1:12" x14ac:dyDescent="0.25">
      <c r="A721" s="1" t="s">
        <v>4534</v>
      </c>
      <c r="B721" s="1" t="s">
        <v>3808</v>
      </c>
      <c r="C721" s="1" t="s">
        <v>3848</v>
      </c>
      <c r="D721" s="1" t="s">
        <v>3796</v>
      </c>
      <c r="E721">
        <v>45851</v>
      </c>
      <c r="F721">
        <v>38583.03</v>
      </c>
      <c r="G721">
        <v>7267.97</v>
      </c>
      <c r="H721" s="2">
        <v>45018</v>
      </c>
      <c r="I721" s="1" t="s">
        <v>3790</v>
      </c>
      <c r="J721" s="1" t="s">
        <v>3791</v>
      </c>
      <c r="K721" s="1" t="s">
        <v>3784</v>
      </c>
      <c r="L721" s="1" t="s">
        <v>3809</v>
      </c>
    </row>
    <row r="722" spans="1:12" x14ac:dyDescent="0.25">
      <c r="A722" s="1" t="s">
        <v>4535</v>
      </c>
      <c r="B722" s="1" t="s">
        <v>3808</v>
      </c>
      <c r="C722" s="1" t="s">
        <v>3821</v>
      </c>
      <c r="D722" s="1" t="s">
        <v>3834</v>
      </c>
      <c r="E722">
        <v>53313</v>
      </c>
      <c r="F722">
        <v>50666.5</v>
      </c>
      <c r="G722">
        <v>2646.5</v>
      </c>
      <c r="H722" s="2">
        <v>44996</v>
      </c>
      <c r="I722" s="1" t="s">
        <v>3790</v>
      </c>
      <c r="J722" s="1" t="s">
        <v>3823</v>
      </c>
      <c r="K722" s="1" t="s">
        <v>3804</v>
      </c>
      <c r="L722" s="1" t="s">
        <v>51</v>
      </c>
    </row>
    <row r="723" spans="1:12" x14ac:dyDescent="0.25">
      <c r="A723" s="1" t="s">
        <v>4536</v>
      </c>
      <c r="B723" s="1" t="s">
        <v>3811</v>
      </c>
      <c r="C723" s="1" t="s">
        <v>3858</v>
      </c>
      <c r="D723" s="1" t="s">
        <v>3826</v>
      </c>
      <c r="E723">
        <v>452489</v>
      </c>
      <c r="F723">
        <v>461452.81</v>
      </c>
      <c r="G723">
        <v>-8963.81</v>
      </c>
      <c r="H723" s="2">
        <v>45636</v>
      </c>
      <c r="I723" s="1" t="s">
        <v>3790</v>
      </c>
      <c r="J723" s="1" t="s">
        <v>3823</v>
      </c>
      <c r="K723" s="1" t="s">
        <v>3800</v>
      </c>
      <c r="L723" s="1" t="s">
        <v>3831</v>
      </c>
    </row>
    <row r="724" spans="1:12" x14ac:dyDescent="0.25">
      <c r="A724" s="1" t="s">
        <v>4537</v>
      </c>
      <c r="B724" s="1" t="s">
        <v>3808</v>
      </c>
      <c r="C724" s="1" t="s">
        <v>3795</v>
      </c>
      <c r="D724" s="1" t="s">
        <v>3826</v>
      </c>
      <c r="E724">
        <v>36246</v>
      </c>
      <c r="F724">
        <v>38737.800000000003</v>
      </c>
      <c r="G724">
        <v>-2491.8000000000002</v>
      </c>
      <c r="H724" s="2">
        <v>45132</v>
      </c>
      <c r="I724" s="1" t="s">
        <v>3790</v>
      </c>
      <c r="J724" s="1" t="s">
        <v>3783</v>
      </c>
      <c r="K724" s="1" t="s">
        <v>3784</v>
      </c>
      <c r="L724" s="1" t="s">
        <v>51</v>
      </c>
    </row>
    <row r="725" spans="1:12" x14ac:dyDescent="0.25">
      <c r="A725" s="1" t="s">
        <v>4538</v>
      </c>
      <c r="B725" s="1" t="s">
        <v>3828</v>
      </c>
      <c r="C725" s="1" t="s">
        <v>3848</v>
      </c>
      <c r="D725" s="1" t="s">
        <v>3855</v>
      </c>
      <c r="E725">
        <v>209996</v>
      </c>
      <c r="F725">
        <v>243691</v>
      </c>
      <c r="G725">
        <v>-33695</v>
      </c>
      <c r="H725" s="2">
        <v>45409</v>
      </c>
      <c r="I725" s="1" t="s">
        <v>3790</v>
      </c>
      <c r="J725" s="1" t="s">
        <v>3783</v>
      </c>
      <c r="K725" s="1" t="s">
        <v>3800</v>
      </c>
      <c r="L725" s="1" t="s">
        <v>3817</v>
      </c>
    </row>
    <row r="726" spans="1:12" x14ac:dyDescent="0.25">
      <c r="A726" s="1" t="s">
        <v>4539</v>
      </c>
      <c r="B726" s="1" t="s">
        <v>3794</v>
      </c>
      <c r="C726" s="1" t="s">
        <v>3821</v>
      </c>
      <c r="D726" s="1" t="s">
        <v>3846</v>
      </c>
      <c r="E726">
        <v>113531</v>
      </c>
      <c r="F726">
        <v>133028.99</v>
      </c>
      <c r="G726">
        <v>-19497.990000000002</v>
      </c>
      <c r="H726" s="2">
        <v>45144</v>
      </c>
      <c r="I726" s="1" t="s">
        <v>3859</v>
      </c>
      <c r="J726" s="1" t="s">
        <v>3803</v>
      </c>
      <c r="K726" s="1" t="s">
        <v>3784</v>
      </c>
      <c r="L726" s="1" t="s">
        <v>51</v>
      </c>
    </row>
    <row r="727" spans="1:12" x14ac:dyDescent="0.25">
      <c r="A727" s="1" t="s">
        <v>4540</v>
      </c>
      <c r="B727" s="1" t="s">
        <v>3798</v>
      </c>
      <c r="C727" s="1" t="s">
        <v>3812</v>
      </c>
      <c r="D727" s="1" t="s">
        <v>3867</v>
      </c>
      <c r="E727">
        <v>379506</v>
      </c>
      <c r="F727">
        <v>347157.14</v>
      </c>
      <c r="G727">
        <v>32348.86</v>
      </c>
      <c r="H727" s="2">
        <v>45644</v>
      </c>
      <c r="I727" s="1" t="s">
        <v>3790</v>
      </c>
      <c r="J727" s="1" t="s">
        <v>3791</v>
      </c>
      <c r="K727" s="1" t="s">
        <v>3800</v>
      </c>
      <c r="L727" s="1" t="s">
        <v>3792</v>
      </c>
    </row>
    <row r="728" spans="1:12" x14ac:dyDescent="0.25">
      <c r="A728" s="1" t="s">
        <v>4541</v>
      </c>
      <c r="B728" s="1" t="s">
        <v>3787</v>
      </c>
      <c r="C728" s="1" t="s">
        <v>3806</v>
      </c>
      <c r="D728" s="1" t="s">
        <v>3837</v>
      </c>
      <c r="E728">
        <v>339420</v>
      </c>
      <c r="F728">
        <v>365658.17</v>
      </c>
      <c r="G728">
        <v>-26238.17</v>
      </c>
      <c r="H728" s="2">
        <v>45701</v>
      </c>
      <c r="I728" s="1" t="s">
        <v>3859</v>
      </c>
      <c r="J728" s="1" t="s">
        <v>3791</v>
      </c>
      <c r="K728" s="1" t="s">
        <v>3800</v>
      </c>
      <c r="L728" s="1" t="s">
        <v>51</v>
      </c>
    </row>
    <row r="729" spans="1:12" x14ac:dyDescent="0.25">
      <c r="A729" s="1" t="s">
        <v>4542</v>
      </c>
      <c r="B729" s="1" t="s">
        <v>3828</v>
      </c>
      <c r="C729" s="1" t="s">
        <v>3858</v>
      </c>
      <c r="D729" s="1" t="s">
        <v>3781</v>
      </c>
      <c r="E729">
        <v>241358</v>
      </c>
      <c r="F729">
        <v>279603.75</v>
      </c>
      <c r="G729">
        <v>-38245.75</v>
      </c>
      <c r="H729" s="2">
        <v>45417</v>
      </c>
      <c r="I729" s="1" t="s">
        <v>3790</v>
      </c>
      <c r="J729" s="1" t="s">
        <v>3803</v>
      </c>
      <c r="K729" s="1" t="s">
        <v>3800</v>
      </c>
      <c r="L729" s="1" t="s">
        <v>3792</v>
      </c>
    </row>
    <row r="730" spans="1:12" x14ac:dyDescent="0.25">
      <c r="A730" s="1" t="s">
        <v>4543</v>
      </c>
      <c r="B730" s="1" t="s">
        <v>3828</v>
      </c>
      <c r="C730" s="1" t="s">
        <v>3806</v>
      </c>
      <c r="D730" s="1" t="s">
        <v>3826</v>
      </c>
      <c r="E730">
        <v>4553011</v>
      </c>
      <c r="F730">
        <v>5566948.4299999997</v>
      </c>
      <c r="G730">
        <v>-1013937.43</v>
      </c>
      <c r="H730" s="2">
        <v>45294</v>
      </c>
      <c r="I730" s="1" t="s">
        <v>3790</v>
      </c>
      <c r="J730" s="1" t="s">
        <v>3803</v>
      </c>
      <c r="K730" s="1" t="s">
        <v>3784</v>
      </c>
      <c r="L730" s="1" t="s">
        <v>51</v>
      </c>
    </row>
    <row r="731" spans="1:12" x14ac:dyDescent="0.25">
      <c r="A731" s="1" t="s">
        <v>4544</v>
      </c>
      <c r="B731" s="1" t="s">
        <v>3808</v>
      </c>
      <c r="C731" s="1" t="s">
        <v>3812</v>
      </c>
      <c r="D731" s="1" t="s">
        <v>3846</v>
      </c>
      <c r="E731">
        <v>475898</v>
      </c>
      <c r="F731">
        <v>548590.42000000004</v>
      </c>
      <c r="G731">
        <v>-72692.42</v>
      </c>
      <c r="H731" s="2">
        <v>44982</v>
      </c>
      <c r="I731" s="1" t="s">
        <v>3790</v>
      </c>
      <c r="J731" s="1" t="s">
        <v>3803</v>
      </c>
      <c r="K731" s="1" t="s">
        <v>3804</v>
      </c>
      <c r="L731" s="1" t="s">
        <v>51</v>
      </c>
    </row>
    <row r="732" spans="1:12" x14ac:dyDescent="0.25">
      <c r="A732" s="1" t="s">
        <v>4545</v>
      </c>
      <c r="B732" s="1" t="s">
        <v>3808</v>
      </c>
      <c r="C732" s="1" t="s">
        <v>3788</v>
      </c>
      <c r="D732" s="1" t="s">
        <v>3822</v>
      </c>
      <c r="E732">
        <v>49983</v>
      </c>
      <c r="G732">
        <v>-7108.96</v>
      </c>
      <c r="H732" s="2">
        <v>45277</v>
      </c>
      <c r="I732" s="1" t="s">
        <v>3790</v>
      </c>
      <c r="J732" s="1" t="s">
        <v>3783</v>
      </c>
      <c r="K732" s="1" t="s">
        <v>3784</v>
      </c>
      <c r="L732" s="1" t="s">
        <v>3809</v>
      </c>
    </row>
    <row r="733" spans="1:12" x14ac:dyDescent="0.25">
      <c r="A733" s="1" t="s">
        <v>4546</v>
      </c>
      <c r="B733" s="1" t="s">
        <v>3798</v>
      </c>
      <c r="C733" s="1" t="s">
        <v>3812</v>
      </c>
      <c r="D733" s="1" t="s">
        <v>3850</v>
      </c>
      <c r="E733">
        <v>306684</v>
      </c>
      <c r="F733">
        <v>366786.93</v>
      </c>
      <c r="G733">
        <v>-60102.93</v>
      </c>
      <c r="H733" s="2">
        <v>44947</v>
      </c>
      <c r="I733" s="1" t="s">
        <v>3790</v>
      </c>
      <c r="J733" s="1" t="s">
        <v>3803</v>
      </c>
      <c r="K733" s="1" t="s">
        <v>3804</v>
      </c>
      <c r="L733" s="1" t="s">
        <v>3809</v>
      </c>
    </row>
    <row r="734" spans="1:12" x14ac:dyDescent="0.25">
      <c r="A734" s="1" t="s">
        <v>4547</v>
      </c>
      <c r="B734" s="1" t="s">
        <v>3787</v>
      </c>
      <c r="C734" s="1" t="s">
        <v>3806</v>
      </c>
      <c r="D734" s="1" t="s">
        <v>3816</v>
      </c>
      <c r="E734">
        <v>357162</v>
      </c>
      <c r="F734">
        <v>401350.71</v>
      </c>
      <c r="G734">
        <v>-44188.71</v>
      </c>
      <c r="H734" s="2">
        <v>45628</v>
      </c>
      <c r="I734" s="1" t="s">
        <v>3859</v>
      </c>
      <c r="J734" s="1" t="s">
        <v>3791</v>
      </c>
      <c r="K734" s="1" t="s">
        <v>3800</v>
      </c>
      <c r="L734" s="1" t="s">
        <v>3831</v>
      </c>
    </row>
    <row r="735" spans="1:12" x14ac:dyDescent="0.25">
      <c r="A735" s="1" t="s">
        <v>4548</v>
      </c>
      <c r="B735" s="1" t="s">
        <v>3808</v>
      </c>
      <c r="C735" s="1" t="s">
        <v>3844</v>
      </c>
      <c r="D735" s="1" t="s">
        <v>3826</v>
      </c>
      <c r="E735">
        <v>135756</v>
      </c>
      <c r="F735">
        <v>171145.25</v>
      </c>
      <c r="G735">
        <v>-35389.25</v>
      </c>
      <c r="H735" s="2">
        <v>44960</v>
      </c>
      <c r="I735" s="1" t="s">
        <v>3790</v>
      </c>
      <c r="J735" s="1" t="s">
        <v>3803</v>
      </c>
      <c r="K735" s="1" t="s">
        <v>3804</v>
      </c>
      <c r="L735" s="1" t="s">
        <v>51</v>
      </c>
    </row>
    <row r="736" spans="1:12" x14ac:dyDescent="0.25">
      <c r="A736" s="1" t="s">
        <v>4549</v>
      </c>
      <c r="B736" s="1" t="s">
        <v>3808</v>
      </c>
      <c r="C736" s="1" t="s">
        <v>3844</v>
      </c>
      <c r="D736" s="1" t="s">
        <v>3799</v>
      </c>
      <c r="E736">
        <v>-454060</v>
      </c>
      <c r="F736">
        <v>541468.72</v>
      </c>
      <c r="G736">
        <v>-87408.72</v>
      </c>
      <c r="H736" s="2">
        <v>45090</v>
      </c>
      <c r="I736" s="1" t="s">
        <v>3790</v>
      </c>
      <c r="J736" s="1" t="s">
        <v>3791</v>
      </c>
      <c r="K736" s="1" t="s">
        <v>3784</v>
      </c>
      <c r="L736" s="1" t="s">
        <v>51</v>
      </c>
    </row>
    <row r="737" spans="1:12" x14ac:dyDescent="0.25">
      <c r="A737" s="1" t="s">
        <v>4550</v>
      </c>
      <c r="B737" s="1" t="s">
        <v>3787</v>
      </c>
      <c r="C737" s="1" t="s">
        <v>3812</v>
      </c>
      <c r="D737" s="1" t="s">
        <v>3834</v>
      </c>
      <c r="E737">
        <v>180981</v>
      </c>
      <c r="F737">
        <v>202962.35</v>
      </c>
      <c r="G737">
        <v>-21981.35</v>
      </c>
      <c r="H737" s="2">
        <v>45295</v>
      </c>
      <c r="I737" s="1" t="s">
        <v>3782</v>
      </c>
      <c r="J737" s="1" t="s">
        <v>3823</v>
      </c>
      <c r="K737" s="1" t="s">
        <v>3784</v>
      </c>
      <c r="L737" s="1" t="s">
        <v>3817</v>
      </c>
    </row>
    <row r="738" spans="1:12" x14ac:dyDescent="0.25">
      <c r="A738" s="1" t="s">
        <v>4551</v>
      </c>
      <c r="B738" s="1" t="s">
        <v>3808</v>
      </c>
      <c r="C738" s="1" t="s">
        <v>3861</v>
      </c>
      <c r="D738" s="1" t="s">
        <v>3850</v>
      </c>
      <c r="E738">
        <v>217431</v>
      </c>
      <c r="F738">
        <v>192943.18</v>
      </c>
      <c r="G738">
        <v>24487.82</v>
      </c>
      <c r="H738" s="2">
        <v>45552</v>
      </c>
      <c r="I738" s="1" t="s">
        <v>3790</v>
      </c>
      <c r="J738" s="1" t="s">
        <v>3783</v>
      </c>
      <c r="K738" s="1" t="s">
        <v>3800</v>
      </c>
      <c r="L738" s="1" t="s">
        <v>3817</v>
      </c>
    </row>
    <row r="739" spans="1:12" x14ac:dyDescent="0.25">
      <c r="A739" s="1" t="s">
        <v>4552</v>
      </c>
      <c r="B739" s="1" t="s">
        <v>3811</v>
      </c>
      <c r="C739" s="1" t="s">
        <v>3858</v>
      </c>
      <c r="D739" s="1" t="s">
        <v>3855</v>
      </c>
      <c r="E739">
        <v>456859</v>
      </c>
      <c r="F739">
        <v>418180.83</v>
      </c>
      <c r="G739">
        <v>38678.17</v>
      </c>
      <c r="H739" s="2">
        <v>45520</v>
      </c>
      <c r="I739" s="1" t="s">
        <v>3790</v>
      </c>
      <c r="J739" s="1" t="s">
        <v>3803</v>
      </c>
      <c r="K739" s="1" t="s">
        <v>3800</v>
      </c>
      <c r="L739" s="1" t="s">
        <v>51</v>
      </c>
    </row>
    <row r="740" spans="1:12" x14ac:dyDescent="0.25">
      <c r="A740" s="1" t="s">
        <v>4553</v>
      </c>
      <c r="B740" s="1" t="s">
        <v>3794</v>
      </c>
      <c r="C740" s="1" t="s">
        <v>3795</v>
      </c>
      <c r="D740" s="1" t="s">
        <v>3846</v>
      </c>
      <c r="E740">
        <v>138304</v>
      </c>
      <c r="F740">
        <v>121588.97</v>
      </c>
      <c r="H740" s="2">
        <v>45181</v>
      </c>
      <c r="I740" s="1" t="s">
        <v>3790</v>
      </c>
      <c r="J740" s="1" t="s">
        <v>3783</v>
      </c>
      <c r="K740" s="1" t="s">
        <v>3784</v>
      </c>
      <c r="L740" s="1" t="s">
        <v>51</v>
      </c>
    </row>
    <row r="741" spans="1:12" x14ac:dyDescent="0.25">
      <c r="A741" s="1" t="s">
        <v>4554</v>
      </c>
      <c r="B741" s="1" t="s">
        <v>3808</v>
      </c>
      <c r="C741" s="1" t="s">
        <v>3812</v>
      </c>
      <c r="D741" s="1" t="s">
        <v>3799</v>
      </c>
      <c r="E741">
        <v>257469</v>
      </c>
      <c r="F741">
        <v>258131.14</v>
      </c>
      <c r="H741" s="2">
        <v>45499</v>
      </c>
      <c r="I741" s="1" t="s">
        <v>3790</v>
      </c>
      <c r="J741" s="1" t="s">
        <v>3823</v>
      </c>
      <c r="K741" s="1" t="s">
        <v>3800</v>
      </c>
      <c r="L741" s="1" t="s">
        <v>3792</v>
      </c>
    </row>
    <row r="742" spans="1:12" x14ac:dyDescent="0.25">
      <c r="A742" s="1" t="s">
        <v>4555</v>
      </c>
      <c r="B742" s="1" t="s">
        <v>3798</v>
      </c>
      <c r="C742" s="1" t="s">
        <v>3815</v>
      </c>
      <c r="D742" s="1" t="s">
        <v>3781</v>
      </c>
      <c r="E742">
        <v>492950</v>
      </c>
      <c r="F742">
        <v>504226</v>
      </c>
      <c r="G742">
        <v>-11276</v>
      </c>
      <c r="H742" s="2">
        <v>45692</v>
      </c>
      <c r="I742" s="1" t="s">
        <v>3790</v>
      </c>
      <c r="J742" s="1" t="s">
        <v>3783</v>
      </c>
      <c r="K742" s="1" t="s">
        <v>3800</v>
      </c>
      <c r="L742" s="1" t="s">
        <v>51</v>
      </c>
    </row>
    <row r="743" spans="1:12" x14ac:dyDescent="0.25">
      <c r="A743" s="1" t="s">
        <v>4556</v>
      </c>
      <c r="B743" s="1" t="s">
        <v>3839</v>
      </c>
      <c r="C743" s="1" t="s">
        <v>3780</v>
      </c>
      <c r="D743" s="1" t="s">
        <v>3813</v>
      </c>
      <c r="E743">
        <v>495963</v>
      </c>
      <c r="F743">
        <v>486284.39</v>
      </c>
      <c r="G743">
        <v>9678.61</v>
      </c>
      <c r="H743" s="2">
        <v>45448</v>
      </c>
      <c r="I743" s="1" t="s">
        <v>3790</v>
      </c>
      <c r="J743" s="1" t="s">
        <v>3783</v>
      </c>
      <c r="K743" s="1" t="s">
        <v>3800</v>
      </c>
      <c r="L743" s="1" t="s">
        <v>51</v>
      </c>
    </row>
    <row r="744" spans="1:12" x14ac:dyDescent="0.25">
      <c r="A744" s="1" t="s">
        <v>4557</v>
      </c>
      <c r="B744" s="1" t="s">
        <v>3787</v>
      </c>
      <c r="C744" s="1" t="s">
        <v>3858</v>
      </c>
      <c r="D744" s="1" t="s">
        <v>3850</v>
      </c>
      <c r="E744">
        <v>215775</v>
      </c>
      <c r="F744">
        <v>205206.27</v>
      </c>
      <c r="G744">
        <v>10568.73</v>
      </c>
      <c r="H744" s="2">
        <v>45498</v>
      </c>
      <c r="I744" s="1" t="s">
        <v>3782</v>
      </c>
      <c r="J744" s="1" t="s">
        <v>3803</v>
      </c>
      <c r="K744" s="1" t="s">
        <v>3800</v>
      </c>
      <c r="L744" s="1" t="s">
        <v>3785</v>
      </c>
    </row>
    <row r="745" spans="1:12" x14ac:dyDescent="0.25">
      <c r="A745" s="1" t="s">
        <v>4558</v>
      </c>
      <c r="B745" s="1" t="s">
        <v>3828</v>
      </c>
      <c r="C745" s="1" t="s">
        <v>3844</v>
      </c>
      <c r="D745" s="1" t="s">
        <v>3796</v>
      </c>
      <c r="E745">
        <v>3987139</v>
      </c>
      <c r="F745">
        <v>3613274.29</v>
      </c>
      <c r="G745">
        <v>373864.71</v>
      </c>
      <c r="H745" s="2">
        <v>45108</v>
      </c>
      <c r="I745" s="1" t="s">
        <v>3790</v>
      </c>
      <c r="J745" s="1" t="s">
        <v>3803</v>
      </c>
      <c r="K745" s="1" t="s">
        <v>3784</v>
      </c>
      <c r="L745" s="1" t="s">
        <v>3831</v>
      </c>
    </row>
    <row r="746" spans="1:12" x14ac:dyDescent="0.25">
      <c r="A746" s="1" t="s">
        <v>4559</v>
      </c>
      <c r="B746" s="1" t="s">
        <v>3798</v>
      </c>
      <c r="C746" s="1" t="s">
        <v>3825</v>
      </c>
      <c r="D746" s="1" t="s">
        <v>3796</v>
      </c>
      <c r="E746">
        <v>31262</v>
      </c>
      <c r="F746">
        <v>30459.49</v>
      </c>
      <c r="G746">
        <v>802.51</v>
      </c>
      <c r="H746" s="2">
        <v>45686</v>
      </c>
      <c r="I746" s="1" t="s">
        <v>3790</v>
      </c>
      <c r="J746" s="1" t="s">
        <v>3791</v>
      </c>
      <c r="K746" s="1" t="s">
        <v>3800</v>
      </c>
      <c r="L746" s="1" t="s">
        <v>51</v>
      </c>
    </row>
    <row r="747" spans="1:12" x14ac:dyDescent="0.25">
      <c r="A747" s="1" t="s">
        <v>4560</v>
      </c>
      <c r="B747" s="1" t="s">
        <v>3828</v>
      </c>
      <c r="C747" s="1" t="s">
        <v>3806</v>
      </c>
      <c r="D747" s="1" t="s">
        <v>3816</v>
      </c>
      <c r="E747">
        <v>21608</v>
      </c>
      <c r="F747">
        <v>21731.88</v>
      </c>
      <c r="G747">
        <v>-123.88</v>
      </c>
      <c r="H747" s="2">
        <v>44976</v>
      </c>
      <c r="I747" s="1" t="s">
        <v>3782</v>
      </c>
      <c r="J747" s="1" t="s">
        <v>3791</v>
      </c>
      <c r="K747" s="1" t="s">
        <v>3804</v>
      </c>
      <c r="L747" s="1" t="s">
        <v>3809</v>
      </c>
    </row>
    <row r="748" spans="1:12" x14ac:dyDescent="0.25">
      <c r="A748" s="1" t="s">
        <v>4561</v>
      </c>
      <c r="B748" s="1" t="s">
        <v>3828</v>
      </c>
      <c r="C748" s="1" t="s">
        <v>3858</v>
      </c>
      <c r="D748" s="1" t="s">
        <v>3816</v>
      </c>
      <c r="E748">
        <v>152980</v>
      </c>
      <c r="F748">
        <v>166179.15</v>
      </c>
      <c r="G748">
        <v>-13199.15</v>
      </c>
      <c r="H748" s="2">
        <v>45431</v>
      </c>
      <c r="I748" s="1" t="s">
        <v>3790</v>
      </c>
      <c r="J748" s="1" t="s">
        <v>3823</v>
      </c>
      <c r="K748" s="1" t="s">
        <v>3800</v>
      </c>
      <c r="L748" s="1" t="s">
        <v>51</v>
      </c>
    </row>
    <row r="749" spans="1:12" x14ac:dyDescent="0.25">
      <c r="A749" s="1" t="s">
        <v>4562</v>
      </c>
      <c r="B749" s="1" t="s">
        <v>3808</v>
      </c>
      <c r="C749" s="1" t="s">
        <v>3848</v>
      </c>
      <c r="D749" s="1" t="s">
        <v>3816</v>
      </c>
      <c r="E749">
        <v>32515</v>
      </c>
      <c r="F749">
        <v>33972.97</v>
      </c>
      <c r="G749">
        <v>-1457.97</v>
      </c>
      <c r="H749" s="2">
        <v>45545</v>
      </c>
      <c r="I749" s="1" t="s">
        <v>3782</v>
      </c>
      <c r="J749" s="1" t="s">
        <v>3823</v>
      </c>
      <c r="K749" s="1" t="s">
        <v>3800</v>
      </c>
      <c r="L749" s="1" t="s">
        <v>3809</v>
      </c>
    </row>
    <row r="750" spans="1:12" x14ac:dyDescent="0.25">
      <c r="A750" s="1" t="s">
        <v>4563</v>
      </c>
      <c r="B750" s="1" t="s">
        <v>3808</v>
      </c>
      <c r="C750" s="1" t="s">
        <v>3788</v>
      </c>
      <c r="D750" s="1" t="s">
        <v>3816</v>
      </c>
      <c r="E750">
        <v>195589</v>
      </c>
      <c r="F750">
        <v>191747.64</v>
      </c>
      <c r="G750">
        <v>3841.36</v>
      </c>
      <c r="H750" s="2">
        <v>45717</v>
      </c>
      <c r="I750" s="1" t="s">
        <v>3782</v>
      </c>
      <c r="J750" s="1" t="s">
        <v>3803</v>
      </c>
      <c r="K750" s="1" t="s">
        <v>3800</v>
      </c>
      <c r="L750" s="1" t="s">
        <v>3831</v>
      </c>
    </row>
    <row r="751" spans="1:12" x14ac:dyDescent="0.25">
      <c r="A751" s="1" t="s">
        <v>4564</v>
      </c>
      <c r="B751" s="1" t="s">
        <v>3794</v>
      </c>
      <c r="C751" s="1" t="s">
        <v>3844</v>
      </c>
      <c r="D751" s="1" t="s">
        <v>3837</v>
      </c>
      <c r="E751">
        <v>207083</v>
      </c>
      <c r="F751">
        <v>190317.26</v>
      </c>
      <c r="H751" s="2">
        <v>44980</v>
      </c>
      <c r="I751" s="1" t="s">
        <v>3782</v>
      </c>
      <c r="J751" s="1" t="s">
        <v>3791</v>
      </c>
      <c r="K751" s="1" t="s">
        <v>3804</v>
      </c>
      <c r="L751" s="1" t="s">
        <v>3817</v>
      </c>
    </row>
    <row r="752" spans="1:12" x14ac:dyDescent="0.25">
      <c r="A752" s="1" t="s">
        <v>4565</v>
      </c>
      <c r="B752" s="1" t="s">
        <v>3808</v>
      </c>
      <c r="C752" s="1" t="s">
        <v>3858</v>
      </c>
      <c r="D752" s="1" t="s">
        <v>3837</v>
      </c>
      <c r="E752">
        <v>408903</v>
      </c>
      <c r="F752">
        <v>385116.53</v>
      </c>
      <c r="G752">
        <v>23786.47</v>
      </c>
      <c r="H752" s="2">
        <v>45272</v>
      </c>
      <c r="I752" s="1" t="s">
        <v>3782</v>
      </c>
      <c r="J752" s="1" t="s">
        <v>3791</v>
      </c>
      <c r="K752" s="1" t="s">
        <v>3784</v>
      </c>
      <c r="L752" s="1" t="s">
        <v>51</v>
      </c>
    </row>
    <row r="753" spans="1:12" x14ac:dyDescent="0.25">
      <c r="A753" s="1" t="s">
        <v>4566</v>
      </c>
      <c r="B753" s="1" t="s">
        <v>3787</v>
      </c>
      <c r="C753" s="1" t="s">
        <v>3788</v>
      </c>
      <c r="D753" s="1" t="s">
        <v>3826</v>
      </c>
      <c r="E753">
        <v>90070</v>
      </c>
      <c r="F753">
        <v>106873.96</v>
      </c>
      <c r="G753">
        <v>-16803.96</v>
      </c>
      <c r="H753" s="2">
        <v>45421</v>
      </c>
      <c r="I753" s="1" t="s">
        <v>3790</v>
      </c>
      <c r="J753" s="1" t="s">
        <v>3791</v>
      </c>
      <c r="K753" s="1" t="s">
        <v>3800</v>
      </c>
      <c r="L753" s="1" t="s">
        <v>3817</v>
      </c>
    </row>
    <row r="754" spans="1:12" x14ac:dyDescent="0.25">
      <c r="A754" s="1" t="s">
        <v>4567</v>
      </c>
      <c r="B754" s="1" t="s">
        <v>51</v>
      </c>
      <c r="C754" s="1" t="s">
        <v>3806</v>
      </c>
      <c r="D754" s="1" t="s">
        <v>3895</v>
      </c>
      <c r="E754">
        <v>70355</v>
      </c>
      <c r="F754">
        <v>81689.77</v>
      </c>
      <c r="G754">
        <v>-11334.77</v>
      </c>
      <c r="H754" s="2">
        <v>45171</v>
      </c>
      <c r="I754" s="1" t="s">
        <v>3790</v>
      </c>
      <c r="J754" s="1" t="s">
        <v>3783</v>
      </c>
      <c r="K754" s="1" t="s">
        <v>3784</v>
      </c>
      <c r="L754" s="1" t="s">
        <v>51</v>
      </c>
    </row>
    <row r="755" spans="1:12" x14ac:dyDescent="0.25">
      <c r="A755" s="1" t="s">
        <v>4568</v>
      </c>
      <c r="B755" s="1" t="s">
        <v>3787</v>
      </c>
      <c r="C755" s="1" t="s">
        <v>3780</v>
      </c>
      <c r="D755" s="1" t="s">
        <v>3850</v>
      </c>
      <c r="E755">
        <v>-75828</v>
      </c>
      <c r="F755">
        <v>81600.58</v>
      </c>
      <c r="G755">
        <v>-5772.58</v>
      </c>
      <c r="H755" s="2">
        <v>45203</v>
      </c>
      <c r="I755" s="1" t="s">
        <v>3782</v>
      </c>
      <c r="J755" s="1" t="s">
        <v>3823</v>
      </c>
      <c r="K755" s="1" t="s">
        <v>3784</v>
      </c>
      <c r="L755" s="1" t="s">
        <v>51</v>
      </c>
    </row>
    <row r="756" spans="1:12" x14ac:dyDescent="0.25">
      <c r="A756" s="1" t="s">
        <v>4569</v>
      </c>
      <c r="B756" s="1" t="s">
        <v>3828</v>
      </c>
      <c r="C756" s="1" t="s">
        <v>3821</v>
      </c>
      <c r="D756" s="1" t="s">
        <v>3855</v>
      </c>
      <c r="E756">
        <v>1149403</v>
      </c>
      <c r="F756">
        <v>1033128.69</v>
      </c>
      <c r="G756">
        <v>116274.31</v>
      </c>
      <c r="H756" s="2">
        <v>45325</v>
      </c>
      <c r="I756" s="1" t="s">
        <v>3790</v>
      </c>
      <c r="J756" s="1" t="s">
        <v>3783</v>
      </c>
      <c r="K756" s="1" t="s">
        <v>3784</v>
      </c>
      <c r="L756" s="1" t="s">
        <v>51</v>
      </c>
    </row>
    <row r="757" spans="1:12" x14ac:dyDescent="0.25">
      <c r="A757" s="1" t="s">
        <v>4570</v>
      </c>
      <c r="B757" s="1" t="s">
        <v>3798</v>
      </c>
      <c r="C757" s="1" t="s">
        <v>3780</v>
      </c>
      <c r="D757" s="1" t="s">
        <v>3895</v>
      </c>
      <c r="E757">
        <v>-459741</v>
      </c>
      <c r="G757">
        <v>-106154.25</v>
      </c>
      <c r="H757" s="2">
        <v>45601</v>
      </c>
      <c r="I757" s="1" t="s">
        <v>3790</v>
      </c>
      <c r="J757" s="1" t="s">
        <v>3791</v>
      </c>
      <c r="K757" s="1" t="s">
        <v>3800</v>
      </c>
      <c r="L757" s="1" t="s">
        <v>3817</v>
      </c>
    </row>
    <row r="758" spans="1:12" x14ac:dyDescent="0.25">
      <c r="A758" s="1" t="s">
        <v>4571</v>
      </c>
      <c r="B758" s="1" t="s">
        <v>3828</v>
      </c>
      <c r="C758" s="1" t="s">
        <v>3848</v>
      </c>
      <c r="D758" s="1" t="s">
        <v>3799</v>
      </c>
      <c r="E758">
        <v>120321</v>
      </c>
      <c r="F758">
        <v>96259.98</v>
      </c>
      <c r="G758">
        <v>24061.02</v>
      </c>
      <c r="H758" s="2">
        <v>45617</v>
      </c>
      <c r="I758" s="1" t="s">
        <v>3790</v>
      </c>
      <c r="J758" s="1" t="s">
        <v>3791</v>
      </c>
      <c r="K758" s="1" t="s">
        <v>3800</v>
      </c>
      <c r="L758" s="1" t="s">
        <v>3817</v>
      </c>
    </row>
    <row r="759" spans="1:12" x14ac:dyDescent="0.25">
      <c r="A759" s="1" t="s">
        <v>4572</v>
      </c>
      <c r="B759" s="1" t="s">
        <v>3839</v>
      </c>
      <c r="C759" s="1" t="s">
        <v>3844</v>
      </c>
      <c r="D759" s="1" t="s">
        <v>3822</v>
      </c>
      <c r="E759">
        <v>318895</v>
      </c>
      <c r="F759">
        <v>263063.44</v>
      </c>
      <c r="G759">
        <v>55831.56</v>
      </c>
      <c r="H759" s="2">
        <v>45461</v>
      </c>
      <c r="I759" s="1" t="s">
        <v>3782</v>
      </c>
      <c r="J759" s="1" t="s">
        <v>3783</v>
      </c>
      <c r="K759" s="1" t="s">
        <v>3800</v>
      </c>
      <c r="L759" s="1" t="s">
        <v>3785</v>
      </c>
    </row>
    <row r="760" spans="1:12" x14ac:dyDescent="0.25">
      <c r="A760" s="1" t="s">
        <v>4573</v>
      </c>
      <c r="B760" s="1" t="s">
        <v>3794</v>
      </c>
      <c r="C760" s="1" t="s">
        <v>3858</v>
      </c>
      <c r="D760" s="1" t="s">
        <v>3867</v>
      </c>
      <c r="E760">
        <v>490856</v>
      </c>
      <c r="F760">
        <v>485440.31</v>
      </c>
      <c r="G760">
        <v>5415.69</v>
      </c>
      <c r="H760" s="2">
        <v>45506</v>
      </c>
      <c r="I760" s="1" t="s">
        <v>3782</v>
      </c>
      <c r="J760" s="1" t="s">
        <v>3783</v>
      </c>
      <c r="K760" s="1" t="s">
        <v>3800</v>
      </c>
      <c r="L760" s="1" t="s">
        <v>51</v>
      </c>
    </row>
    <row r="761" spans="1:12" x14ac:dyDescent="0.25">
      <c r="A761" s="1" t="s">
        <v>4574</v>
      </c>
      <c r="B761" s="1" t="s">
        <v>3798</v>
      </c>
      <c r="C761" s="1" t="s">
        <v>3788</v>
      </c>
      <c r="D761" s="1" t="s">
        <v>3781</v>
      </c>
      <c r="E761">
        <v>457290</v>
      </c>
      <c r="F761">
        <v>477968.21</v>
      </c>
      <c r="G761">
        <v>-20678.21</v>
      </c>
      <c r="H761" s="2">
        <v>45018</v>
      </c>
      <c r="I761" s="1" t="s">
        <v>3782</v>
      </c>
      <c r="J761" s="1" t="s">
        <v>3783</v>
      </c>
      <c r="K761" s="1" t="s">
        <v>3784</v>
      </c>
      <c r="L761" s="1" t="s">
        <v>51</v>
      </c>
    </row>
    <row r="762" spans="1:12" x14ac:dyDescent="0.25">
      <c r="A762" s="1" t="s">
        <v>4575</v>
      </c>
      <c r="B762" s="1" t="s">
        <v>3798</v>
      </c>
      <c r="C762" s="1" t="s">
        <v>3815</v>
      </c>
      <c r="D762" s="1" t="s">
        <v>3802</v>
      </c>
      <c r="E762">
        <v>232010</v>
      </c>
      <c r="F762">
        <v>250718.99</v>
      </c>
      <c r="G762">
        <v>-18708.990000000002</v>
      </c>
      <c r="H762" s="2">
        <v>45204</v>
      </c>
      <c r="I762" s="1" t="s">
        <v>3790</v>
      </c>
      <c r="J762" s="1" t="s">
        <v>3823</v>
      </c>
      <c r="K762" s="1" t="s">
        <v>3784</v>
      </c>
      <c r="L762" s="1" t="s">
        <v>51</v>
      </c>
    </row>
    <row r="763" spans="1:12" x14ac:dyDescent="0.25">
      <c r="A763" s="1" t="s">
        <v>4576</v>
      </c>
      <c r="B763" s="1" t="s">
        <v>3839</v>
      </c>
      <c r="C763" s="1" t="s">
        <v>3815</v>
      </c>
      <c r="D763" s="1" t="s">
        <v>3822</v>
      </c>
      <c r="E763">
        <v>34888</v>
      </c>
      <c r="F763">
        <v>43551.95</v>
      </c>
      <c r="G763">
        <v>-8663.9500000000007</v>
      </c>
      <c r="H763" s="2">
        <v>45105</v>
      </c>
      <c r="I763" s="1" t="s">
        <v>3790</v>
      </c>
      <c r="J763" s="1" t="s">
        <v>3791</v>
      </c>
      <c r="K763" s="1" t="s">
        <v>3784</v>
      </c>
      <c r="L763" s="1" t="s">
        <v>3792</v>
      </c>
    </row>
    <row r="764" spans="1:12" x14ac:dyDescent="0.25">
      <c r="A764" s="1" t="s">
        <v>4577</v>
      </c>
      <c r="B764" s="1" t="s">
        <v>3808</v>
      </c>
      <c r="C764" s="1" t="s">
        <v>3825</v>
      </c>
      <c r="D764" s="1" t="s">
        <v>3846</v>
      </c>
      <c r="E764">
        <v>442821</v>
      </c>
      <c r="F764">
        <v>492553.85</v>
      </c>
      <c r="G764">
        <v>-49732.85</v>
      </c>
      <c r="H764" s="2">
        <v>45076</v>
      </c>
      <c r="I764" s="1" t="s">
        <v>3782</v>
      </c>
      <c r="J764" s="1" t="s">
        <v>3791</v>
      </c>
      <c r="K764" s="1" t="s">
        <v>3784</v>
      </c>
      <c r="L764" s="1" t="s">
        <v>51</v>
      </c>
    </row>
    <row r="765" spans="1:12" x14ac:dyDescent="0.25">
      <c r="A765" s="1" t="s">
        <v>4578</v>
      </c>
      <c r="B765" s="1" t="s">
        <v>3828</v>
      </c>
      <c r="C765" s="1" t="s">
        <v>3848</v>
      </c>
      <c r="D765" s="1" t="s">
        <v>3834</v>
      </c>
      <c r="E765">
        <v>24861</v>
      </c>
      <c r="F765">
        <v>29993.25</v>
      </c>
      <c r="G765">
        <v>-5132.25</v>
      </c>
      <c r="H765" s="2">
        <v>45306</v>
      </c>
      <c r="I765" s="1" t="s">
        <v>3790</v>
      </c>
      <c r="J765" s="1" t="s">
        <v>3803</v>
      </c>
      <c r="K765" s="1" t="s">
        <v>3784</v>
      </c>
      <c r="L765" s="1" t="s">
        <v>3792</v>
      </c>
    </row>
    <row r="766" spans="1:12" x14ac:dyDescent="0.25">
      <c r="A766" s="1" t="s">
        <v>4579</v>
      </c>
      <c r="B766" s="1" t="s">
        <v>3794</v>
      </c>
      <c r="C766" s="1" t="s">
        <v>3858</v>
      </c>
      <c r="D766" s="1" t="s">
        <v>3895</v>
      </c>
      <c r="E766">
        <v>107549</v>
      </c>
      <c r="F766">
        <v>115101.72</v>
      </c>
      <c r="G766">
        <v>-7552.72</v>
      </c>
      <c r="H766" s="2">
        <v>45269</v>
      </c>
      <c r="I766" s="1" t="s">
        <v>3790</v>
      </c>
      <c r="J766" s="1" t="s">
        <v>3803</v>
      </c>
      <c r="K766" s="1" t="s">
        <v>3784</v>
      </c>
      <c r="L766" s="1" t="s">
        <v>51</v>
      </c>
    </row>
    <row r="767" spans="1:12" x14ac:dyDescent="0.25">
      <c r="A767" s="1" t="s">
        <v>4580</v>
      </c>
      <c r="B767" s="1" t="s">
        <v>3808</v>
      </c>
      <c r="C767" s="1" t="s">
        <v>3806</v>
      </c>
      <c r="D767" s="1" t="s">
        <v>3781</v>
      </c>
      <c r="E767">
        <v>-16108</v>
      </c>
      <c r="F767">
        <v>14660.94</v>
      </c>
      <c r="G767">
        <v>1447.06</v>
      </c>
      <c r="H767" s="2">
        <v>45309</v>
      </c>
      <c r="I767" s="1" t="s">
        <v>3790</v>
      </c>
      <c r="J767" s="1" t="s">
        <v>3783</v>
      </c>
      <c r="K767" s="1" t="s">
        <v>3784</v>
      </c>
      <c r="L767" s="1" t="s">
        <v>51</v>
      </c>
    </row>
    <row r="768" spans="1:12" x14ac:dyDescent="0.25">
      <c r="A768" s="1" t="s">
        <v>4581</v>
      </c>
      <c r="B768" s="1" t="s">
        <v>3839</v>
      </c>
      <c r="C768" s="1" t="s">
        <v>3788</v>
      </c>
      <c r="D768" s="1" t="s">
        <v>3799</v>
      </c>
      <c r="E768">
        <v>236053</v>
      </c>
      <c r="F768">
        <v>284918.45</v>
      </c>
      <c r="G768">
        <v>-48865.45</v>
      </c>
      <c r="H768" s="2">
        <v>45377</v>
      </c>
      <c r="I768" s="1" t="s">
        <v>3782</v>
      </c>
      <c r="J768" s="1" t="s">
        <v>3791</v>
      </c>
      <c r="K768" s="1" t="s">
        <v>3784</v>
      </c>
      <c r="L768" s="1" t="s">
        <v>3785</v>
      </c>
    </row>
    <row r="769" spans="1:12" x14ac:dyDescent="0.25">
      <c r="A769" s="1" t="s">
        <v>4582</v>
      </c>
      <c r="B769" s="1" t="s">
        <v>3794</v>
      </c>
      <c r="C769" s="1" t="s">
        <v>3795</v>
      </c>
      <c r="D769" s="1" t="s">
        <v>3855</v>
      </c>
      <c r="E769">
        <v>324977</v>
      </c>
      <c r="F769">
        <v>289642.40000000002</v>
      </c>
      <c r="G769">
        <v>35334.6</v>
      </c>
      <c r="H769" s="2">
        <v>44972</v>
      </c>
      <c r="I769" s="1" t="s">
        <v>3790</v>
      </c>
      <c r="J769" s="1" t="s">
        <v>3803</v>
      </c>
      <c r="K769" s="1" t="s">
        <v>3804</v>
      </c>
      <c r="L769" s="1" t="s">
        <v>51</v>
      </c>
    </row>
    <row r="770" spans="1:12" x14ac:dyDescent="0.25">
      <c r="A770" s="1" t="s">
        <v>4583</v>
      </c>
      <c r="B770" s="1" t="s">
        <v>3808</v>
      </c>
      <c r="C770" s="1" t="s">
        <v>3821</v>
      </c>
      <c r="D770" s="1" t="s">
        <v>3822</v>
      </c>
      <c r="E770">
        <v>164769</v>
      </c>
      <c r="F770">
        <v>138610.93</v>
      </c>
      <c r="G770">
        <v>26158.07</v>
      </c>
      <c r="H770" s="2">
        <v>45665</v>
      </c>
      <c r="I770" s="1" t="s">
        <v>3790</v>
      </c>
      <c r="J770" s="1" t="s">
        <v>3823</v>
      </c>
      <c r="K770" s="1" t="s">
        <v>3800</v>
      </c>
      <c r="L770" s="1" t="s">
        <v>51</v>
      </c>
    </row>
    <row r="771" spans="1:12" x14ac:dyDescent="0.25">
      <c r="A771" s="1" t="s">
        <v>4584</v>
      </c>
      <c r="B771" s="1" t="s">
        <v>3808</v>
      </c>
      <c r="C771" s="1" t="s">
        <v>3861</v>
      </c>
      <c r="D771" s="1" t="s">
        <v>3781</v>
      </c>
      <c r="E771">
        <v>214304</v>
      </c>
      <c r="F771">
        <v>201065.68</v>
      </c>
      <c r="G771">
        <v>13238.32</v>
      </c>
      <c r="H771" s="2">
        <v>45053</v>
      </c>
      <c r="I771" s="1" t="s">
        <v>3790</v>
      </c>
      <c r="J771" s="1" t="s">
        <v>3791</v>
      </c>
      <c r="K771" s="1" t="s">
        <v>3784</v>
      </c>
      <c r="L771" s="1" t="s">
        <v>51</v>
      </c>
    </row>
    <row r="772" spans="1:12" x14ac:dyDescent="0.25">
      <c r="A772" s="1" t="s">
        <v>4585</v>
      </c>
      <c r="B772" s="1" t="s">
        <v>3839</v>
      </c>
      <c r="C772" s="1" t="s">
        <v>3806</v>
      </c>
      <c r="D772" s="1" t="s">
        <v>3834</v>
      </c>
      <c r="E772">
        <v>308258</v>
      </c>
      <c r="G772">
        <v>52497.88</v>
      </c>
      <c r="H772" s="2">
        <v>45454</v>
      </c>
      <c r="I772" s="1" t="s">
        <v>3790</v>
      </c>
      <c r="J772" s="1" t="s">
        <v>3783</v>
      </c>
      <c r="K772" s="1" t="s">
        <v>3800</v>
      </c>
      <c r="L772" s="1" t="s">
        <v>3809</v>
      </c>
    </row>
    <row r="773" spans="1:12" x14ac:dyDescent="0.25">
      <c r="A773" s="1" t="s">
        <v>4586</v>
      </c>
      <c r="B773" s="1" t="s">
        <v>3787</v>
      </c>
      <c r="C773" s="1" t="s">
        <v>3825</v>
      </c>
      <c r="D773" s="1" t="s">
        <v>3855</v>
      </c>
      <c r="E773">
        <v>469790</v>
      </c>
      <c r="F773">
        <v>438865.16</v>
      </c>
      <c r="G773">
        <v>30924.84</v>
      </c>
      <c r="H773" s="2">
        <v>45186</v>
      </c>
      <c r="I773" s="1" t="s">
        <v>3782</v>
      </c>
      <c r="J773" s="1" t="s">
        <v>3823</v>
      </c>
      <c r="K773" s="1" t="s">
        <v>3784</v>
      </c>
      <c r="L773" s="1" t="s">
        <v>51</v>
      </c>
    </row>
    <row r="774" spans="1:12" x14ac:dyDescent="0.25">
      <c r="A774" s="1" t="s">
        <v>4587</v>
      </c>
      <c r="B774" s="1" t="s">
        <v>3839</v>
      </c>
      <c r="C774" s="1" t="s">
        <v>3780</v>
      </c>
      <c r="D774" s="1" t="s">
        <v>3850</v>
      </c>
      <c r="E774">
        <v>4080302</v>
      </c>
      <c r="F774">
        <v>5095533.09</v>
      </c>
      <c r="G774">
        <v>-1015231.09</v>
      </c>
      <c r="H774" s="2">
        <v>45176</v>
      </c>
      <c r="I774" s="1" t="s">
        <v>3790</v>
      </c>
      <c r="J774" s="1" t="s">
        <v>3791</v>
      </c>
      <c r="K774" s="1" t="s">
        <v>3784</v>
      </c>
      <c r="L774" s="1" t="s">
        <v>3831</v>
      </c>
    </row>
    <row r="775" spans="1:12" x14ac:dyDescent="0.25">
      <c r="A775" s="1" t="s">
        <v>4588</v>
      </c>
      <c r="B775" s="1" t="s">
        <v>51</v>
      </c>
      <c r="C775" s="1" t="s">
        <v>3795</v>
      </c>
      <c r="D775" s="1" t="s">
        <v>3796</v>
      </c>
      <c r="E775">
        <v>424165</v>
      </c>
      <c r="F775">
        <v>545562.53</v>
      </c>
      <c r="G775">
        <v>-121397.53</v>
      </c>
      <c r="H775" s="2">
        <v>45033</v>
      </c>
      <c r="I775" s="1" t="s">
        <v>3859</v>
      </c>
      <c r="J775" s="1" t="s">
        <v>3823</v>
      </c>
      <c r="K775" s="1" t="s">
        <v>3784</v>
      </c>
      <c r="L775" s="1" t="s">
        <v>51</v>
      </c>
    </row>
    <row r="776" spans="1:12" x14ac:dyDescent="0.25">
      <c r="A776" s="1" t="s">
        <v>4589</v>
      </c>
      <c r="B776" s="1" t="s">
        <v>3787</v>
      </c>
      <c r="C776" s="1" t="s">
        <v>3812</v>
      </c>
      <c r="D776" s="1" t="s">
        <v>3895</v>
      </c>
      <c r="E776">
        <v>16329</v>
      </c>
      <c r="F776">
        <v>17461.91</v>
      </c>
      <c r="G776">
        <v>-1132.9100000000001</v>
      </c>
      <c r="H776" s="2">
        <v>45386</v>
      </c>
      <c r="I776" s="1" t="s">
        <v>3859</v>
      </c>
      <c r="J776" s="1" t="s">
        <v>3783</v>
      </c>
      <c r="K776" s="1" t="s">
        <v>3800</v>
      </c>
      <c r="L776" s="1" t="s">
        <v>3785</v>
      </c>
    </row>
    <row r="777" spans="1:12" x14ac:dyDescent="0.25">
      <c r="A777" s="1" t="s">
        <v>4590</v>
      </c>
      <c r="B777" s="1" t="s">
        <v>3811</v>
      </c>
      <c r="C777" s="1" t="s">
        <v>3788</v>
      </c>
      <c r="D777" s="1" t="s">
        <v>3799</v>
      </c>
      <c r="E777">
        <v>167339</v>
      </c>
      <c r="F777">
        <v>151879.25</v>
      </c>
      <c r="G777">
        <v>15459.75</v>
      </c>
      <c r="H777" s="2">
        <v>45158</v>
      </c>
      <c r="I777" s="1" t="s">
        <v>3782</v>
      </c>
      <c r="J777" s="1" t="s">
        <v>3783</v>
      </c>
      <c r="K777" s="1" t="s">
        <v>3784</v>
      </c>
      <c r="L777" s="1" t="s">
        <v>3809</v>
      </c>
    </row>
    <row r="778" spans="1:12" x14ac:dyDescent="0.25">
      <c r="A778" s="1" t="s">
        <v>4591</v>
      </c>
      <c r="B778" s="1" t="s">
        <v>3787</v>
      </c>
      <c r="C778" s="1" t="s">
        <v>3825</v>
      </c>
      <c r="D778" s="1" t="s">
        <v>3834</v>
      </c>
      <c r="E778">
        <v>175865</v>
      </c>
      <c r="F778">
        <v>195903.13</v>
      </c>
      <c r="G778">
        <v>-20038.13</v>
      </c>
      <c r="H778" s="2">
        <v>45613</v>
      </c>
      <c r="I778" s="1" t="s">
        <v>3790</v>
      </c>
      <c r="J778" s="1" t="s">
        <v>3783</v>
      </c>
      <c r="K778" s="1" t="s">
        <v>3800</v>
      </c>
      <c r="L778" s="1" t="s">
        <v>3817</v>
      </c>
    </row>
    <row r="779" spans="1:12" x14ac:dyDescent="0.25">
      <c r="A779" s="1" t="s">
        <v>4592</v>
      </c>
      <c r="B779" s="1" t="s">
        <v>3794</v>
      </c>
      <c r="C779" s="1" t="s">
        <v>3806</v>
      </c>
      <c r="D779" s="1" t="s">
        <v>3796</v>
      </c>
      <c r="E779">
        <v>487754</v>
      </c>
      <c r="F779">
        <v>518966.75</v>
      </c>
      <c r="G779">
        <v>-31212.75</v>
      </c>
      <c r="H779" s="2">
        <v>44938</v>
      </c>
      <c r="I779" s="1" t="s">
        <v>3790</v>
      </c>
      <c r="J779" s="1" t="s">
        <v>3791</v>
      </c>
      <c r="K779" s="1" t="s">
        <v>3804</v>
      </c>
      <c r="L779" s="1" t="s">
        <v>3817</v>
      </c>
    </row>
    <row r="780" spans="1:12" x14ac:dyDescent="0.25">
      <c r="A780" s="1" t="s">
        <v>4593</v>
      </c>
      <c r="B780" s="1" t="s">
        <v>3787</v>
      </c>
      <c r="C780" s="1" t="s">
        <v>3815</v>
      </c>
      <c r="D780" s="1" t="s">
        <v>3826</v>
      </c>
      <c r="E780">
        <v>459805</v>
      </c>
      <c r="F780">
        <v>418693.11</v>
      </c>
      <c r="G780">
        <v>41111.89</v>
      </c>
      <c r="H780" s="2">
        <v>45079</v>
      </c>
      <c r="I780" s="1" t="s">
        <v>3782</v>
      </c>
      <c r="J780" s="1" t="s">
        <v>3803</v>
      </c>
      <c r="K780" s="1" t="s">
        <v>3784</v>
      </c>
      <c r="L780" s="1" t="s">
        <v>51</v>
      </c>
    </row>
    <row r="781" spans="1:12" x14ac:dyDescent="0.25">
      <c r="A781" s="1" t="s">
        <v>4594</v>
      </c>
      <c r="B781" s="1" t="s">
        <v>3798</v>
      </c>
      <c r="C781" s="1" t="s">
        <v>3812</v>
      </c>
      <c r="D781" s="1" t="s">
        <v>3834</v>
      </c>
      <c r="E781">
        <v>363544</v>
      </c>
      <c r="F781">
        <v>411111.13</v>
      </c>
      <c r="G781">
        <v>-47567.13</v>
      </c>
      <c r="H781" s="2">
        <v>45018</v>
      </c>
      <c r="I781" s="1" t="s">
        <v>3790</v>
      </c>
      <c r="J781" s="1" t="s">
        <v>3823</v>
      </c>
      <c r="K781" s="1" t="s">
        <v>3784</v>
      </c>
      <c r="L781" s="1" t="s">
        <v>3831</v>
      </c>
    </row>
    <row r="782" spans="1:12" x14ac:dyDescent="0.25">
      <c r="A782" s="1" t="s">
        <v>4595</v>
      </c>
      <c r="B782" s="1" t="s">
        <v>3839</v>
      </c>
      <c r="C782" s="1" t="s">
        <v>51</v>
      </c>
      <c r="D782" s="1" t="s">
        <v>3837</v>
      </c>
      <c r="E782">
        <v>270977</v>
      </c>
      <c r="F782">
        <v>284437.09999999998</v>
      </c>
      <c r="H782" s="2">
        <v>45199</v>
      </c>
      <c r="I782" s="1" t="s">
        <v>3859</v>
      </c>
      <c r="J782" s="1" t="s">
        <v>3823</v>
      </c>
      <c r="K782" s="1" t="s">
        <v>3784</v>
      </c>
      <c r="L782" s="1" t="s">
        <v>3785</v>
      </c>
    </row>
    <row r="783" spans="1:12" x14ac:dyDescent="0.25">
      <c r="A783" s="1" t="s">
        <v>4596</v>
      </c>
      <c r="B783" s="1" t="s">
        <v>3839</v>
      </c>
      <c r="C783" s="1" t="s">
        <v>3844</v>
      </c>
      <c r="D783" s="1" t="s">
        <v>3813</v>
      </c>
      <c r="E783">
        <v>446426</v>
      </c>
      <c r="F783">
        <v>565500.15</v>
      </c>
      <c r="G783">
        <v>-119074.15</v>
      </c>
      <c r="H783" s="2">
        <v>45668</v>
      </c>
      <c r="I783" s="1" t="s">
        <v>3790</v>
      </c>
      <c r="J783" s="1" t="s">
        <v>3783</v>
      </c>
      <c r="K783" s="1" t="s">
        <v>3800</v>
      </c>
      <c r="L783" s="1" t="s">
        <v>51</v>
      </c>
    </row>
    <row r="784" spans="1:12" x14ac:dyDescent="0.25">
      <c r="A784" s="1" t="s">
        <v>4597</v>
      </c>
      <c r="B784" s="1" t="s">
        <v>3828</v>
      </c>
      <c r="C784" s="1" t="s">
        <v>3848</v>
      </c>
      <c r="D784" s="1" t="s">
        <v>3846</v>
      </c>
      <c r="E784">
        <v>160693</v>
      </c>
      <c r="F784">
        <v>189037.66</v>
      </c>
      <c r="G784">
        <v>-28344.66</v>
      </c>
      <c r="H784" s="2">
        <v>45591</v>
      </c>
      <c r="I784" s="1" t="s">
        <v>3790</v>
      </c>
      <c r="J784" s="1" t="s">
        <v>3803</v>
      </c>
      <c r="K784" s="1" t="s">
        <v>3800</v>
      </c>
      <c r="L784" s="1" t="s">
        <v>51</v>
      </c>
    </row>
    <row r="785" spans="1:12" x14ac:dyDescent="0.25">
      <c r="A785" s="1" t="s">
        <v>4598</v>
      </c>
      <c r="B785" s="1" t="s">
        <v>3794</v>
      </c>
      <c r="C785" s="1" t="s">
        <v>3861</v>
      </c>
      <c r="D785" s="1" t="s">
        <v>3850</v>
      </c>
      <c r="E785">
        <v>369585</v>
      </c>
      <c r="F785">
        <v>312154.65999999997</v>
      </c>
      <c r="G785">
        <v>57430.34</v>
      </c>
      <c r="H785" s="2">
        <v>45183</v>
      </c>
      <c r="I785" s="1" t="s">
        <v>3790</v>
      </c>
      <c r="J785" s="1" t="s">
        <v>3803</v>
      </c>
      <c r="K785" s="1" t="s">
        <v>3784</v>
      </c>
      <c r="L785" s="1" t="s">
        <v>3809</v>
      </c>
    </row>
    <row r="786" spans="1:12" x14ac:dyDescent="0.25">
      <c r="A786" s="1" t="s">
        <v>4599</v>
      </c>
      <c r="B786" s="1" t="s">
        <v>3811</v>
      </c>
      <c r="C786" s="1" t="s">
        <v>3848</v>
      </c>
      <c r="D786" s="1" t="s">
        <v>3789</v>
      </c>
      <c r="E786">
        <v>253400</v>
      </c>
      <c r="F786">
        <v>277502.51</v>
      </c>
      <c r="H786" s="2">
        <v>45211</v>
      </c>
      <c r="I786" s="1" t="s">
        <v>3790</v>
      </c>
      <c r="J786" s="1" t="s">
        <v>3791</v>
      </c>
      <c r="K786" s="1" t="s">
        <v>3784</v>
      </c>
      <c r="L786" s="1" t="s">
        <v>3792</v>
      </c>
    </row>
    <row r="787" spans="1:12" x14ac:dyDescent="0.25">
      <c r="A787" s="1" t="s">
        <v>4600</v>
      </c>
      <c r="B787" s="1" t="s">
        <v>3839</v>
      </c>
      <c r="C787" s="1" t="s">
        <v>3795</v>
      </c>
      <c r="D787" s="1" t="s">
        <v>3789</v>
      </c>
      <c r="E787">
        <v>167305</v>
      </c>
      <c r="F787">
        <v>182180.82</v>
      </c>
      <c r="G787">
        <v>-14875.82</v>
      </c>
      <c r="H787" s="2">
        <v>45067</v>
      </c>
      <c r="I787" s="1" t="s">
        <v>3790</v>
      </c>
      <c r="J787" s="1" t="s">
        <v>3791</v>
      </c>
      <c r="K787" s="1" t="s">
        <v>3784</v>
      </c>
      <c r="L787" s="1" t="s">
        <v>3817</v>
      </c>
    </row>
    <row r="788" spans="1:12" x14ac:dyDescent="0.25">
      <c r="A788" s="1" t="s">
        <v>4601</v>
      </c>
      <c r="B788" s="1" t="s">
        <v>3787</v>
      </c>
      <c r="C788" s="1" t="s">
        <v>3821</v>
      </c>
      <c r="D788" s="1" t="s">
        <v>3789</v>
      </c>
      <c r="E788">
        <v>461269</v>
      </c>
      <c r="F788">
        <v>409343.83</v>
      </c>
      <c r="G788">
        <v>51925.17</v>
      </c>
      <c r="H788" s="2">
        <v>44984</v>
      </c>
      <c r="I788" s="1" t="s">
        <v>3790</v>
      </c>
      <c r="J788" s="1" t="s">
        <v>3823</v>
      </c>
      <c r="K788" s="1" t="s">
        <v>3804</v>
      </c>
      <c r="L788" s="1" t="s">
        <v>3792</v>
      </c>
    </row>
    <row r="789" spans="1:12" x14ac:dyDescent="0.25">
      <c r="A789" s="1" t="s">
        <v>4602</v>
      </c>
      <c r="B789" s="1" t="s">
        <v>3828</v>
      </c>
      <c r="C789" s="1" t="s">
        <v>3844</v>
      </c>
      <c r="D789" s="1" t="s">
        <v>3781</v>
      </c>
      <c r="E789">
        <v>198602</v>
      </c>
      <c r="F789">
        <v>226523.84</v>
      </c>
      <c r="G789">
        <v>-27921.84</v>
      </c>
      <c r="H789" s="2">
        <v>45303</v>
      </c>
      <c r="I789" s="1" t="s">
        <v>3790</v>
      </c>
      <c r="J789" s="1" t="s">
        <v>3803</v>
      </c>
      <c r="K789" s="1" t="s">
        <v>3784</v>
      </c>
      <c r="L789" s="1" t="s">
        <v>3792</v>
      </c>
    </row>
    <row r="790" spans="1:12" x14ac:dyDescent="0.25">
      <c r="A790" s="1" t="s">
        <v>4603</v>
      </c>
      <c r="B790" s="1" t="s">
        <v>3794</v>
      </c>
      <c r="C790" s="1" t="s">
        <v>3795</v>
      </c>
      <c r="D790" s="1" t="s">
        <v>3781</v>
      </c>
      <c r="E790">
        <v>8274</v>
      </c>
      <c r="F790">
        <v>7305.97</v>
      </c>
      <c r="G790">
        <v>968.03</v>
      </c>
      <c r="H790" s="2">
        <v>45525</v>
      </c>
      <c r="I790" s="1" t="s">
        <v>3782</v>
      </c>
      <c r="J790" s="1" t="s">
        <v>3783</v>
      </c>
      <c r="K790" s="1" t="s">
        <v>3800</v>
      </c>
      <c r="L790" s="1" t="s">
        <v>51</v>
      </c>
    </row>
    <row r="791" spans="1:12" x14ac:dyDescent="0.25">
      <c r="A791" s="1" t="s">
        <v>4604</v>
      </c>
      <c r="B791" s="1" t="s">
        <v>3808</v>
      </c>
      <c r="C791" s="1" t="s">
        <v>3780</v>
      </c>
      <c r="D791" s="1" t="s">
        <v>3855</v>
      </c>
      <c r="E791">
        <v>7375</v>
      </c>
      <c r="F791">
        <v>8604.23</v>
      </c>
      <c r="G791">
        <v>-1229.23</v>
      </c>
      <c r="H791" s="2">
        <v>45709</v>
      </c>
      <c r="I791" s="1" t="s">
        <v>3790</v>
      </c>
      <c r="J791" s="1" t="s">
        <v>3823</v>
      </c>
      <c r="K791" s="1" t="s">
        <v>3800</v>
      </c>
      <c r="L791" s="1" t="s">
        <v>51</v>
      </c>
    </row>
    <row r="792" spans="1:12" x14ac:dyDescent="0.25">
      <c r="A792" s="1" t="s">
        <v>4605</v>
      </c>
      <c r="B792" s="1" t="s">
        <v>3828</v>
      </c>
      <c r="C792" s="1" t="s">
        <v>3780</v>
      </c>
      <c r="D792" s="1" t="s">
        <v>3826</v>
      </c>
      <c r="E792">
        <v>12919</v>
      </c>
      <c r="F792">
        <v>13934.68</v>
      </c>
      <c r="G792">
        <v>-1015.68</v>
      </c>
      <c r="H792" s="2">
        <v>45516</v>
      </c>
      <c r="I792" s="1" t="s">
        <v>3790</v>
      </c>
      <c r="J792" s="1" t="s">
        <v>3823</v>
      </c>
      <c r="K792" s="1" t="s">
        <v>3800</v>
      </c>
      <c r="L792" s="1" t="s">
        <v>3817</v>
      </c>
    </row>
    <row r="793" spans="1:12" x14ac:dyDescent="0.25">
      <c r="A793" s="1" t="s">
        <v>4606</v>
      </c>
      <c r="B793" s="1" t="s">
        <v>3794</v>
      </c>
      <c r="C793" s="1" t="s">
        <v>3812</v>
      </c>
      <c r="D793" s="1" t="s">
        <v>3826</v>
      </c>
      <c r="E793">
        <v>95949</v>
      </c>
      <c r="F793">
        <v>88296.02</v>
      </c>
      <c r="G793">
        <v>7652.98</v>
      </c>
      <c r="H793" s="2">
        <v>45588</v>
      </c>
      <c r="I793" s="1" t="s">
        <v>3859</v>
      </c>
      <c r="J793" s="1" t="s">
        <v>3791</v>
      </c>
      <c r="K793" s="1" t="s">
        <v>3800</v>
      </c>
      <c r="L793" s="1" t="s">
        <v>51</v>
      </c>
    </row>
    <row r="794" spans="1:12" x14ac:dyDescent="0.25">
      <c r="A794" s="1" t="s">
        <v>4564</v>
      </c>
      <c r="B794" s="1" t="s">
        <v>3794</v>
      </c>
      <c r="C794" s="1" t="s">
        <v>3844</v>
      </c>
      <c r="D794" s="1" t="s">
        <v>3837</v>
      </c>
      <c r="E794">
        <v>207083</v>
      </c>
      <c r="F794">
        <v>190317.26</v>
      </c>
      <c r="H794" s="2">
        <v>44980</v>
      </c>
      <c r="I794" s="1" t="s">
        <v>3782</v>
      </c>
      <c r="J794" s="1" t="s">
        <v>3791</v>
      </c>
      <c r="K794" s="1" t="s">
        <v>3804</v>
      </c>
      <c r="L794" s="1" t="s">
        <v>3817</v>
      </c>
    </row>
    <row r="795" spans="1:12" x14ac:dyDescent="0.25">
      <c r="A795" s="1" t="s">
        <v>4607</v>
      </c>
      <c r="B795" s="1" t="s">
        <v>3828</v>
      </c>
      <c r="C795" s="1" t="s">
        <v>3861</v>
      </c>
      <c r="D795" s="1" t="s">
        <v>3822</v>
      </c>
      <c r="E795">
        <v>496330</v>
      </c>
      <c r="F795">
        <v>435374.25</v>
      </c>
      <c r="G795">
        <v>60955.75</v>
      </c>
      <c r="H795" s="2">
        <v>45598</v>
      </c>
      <c r="I795" s="1" t="s">
        <v>3790</v>
      </c>
      <c r="J795" s="1" t="s">
        <v>3823</v>
      </c>
      <c r="K795" s="1" t="s">
        <v>3800</v>
      </c>
      <c r="L795" s="1" t="s">
        <v>51</v>
      </c>
    </row>
    <row r="796" spans="1:12" x14ac:dyDescent="0.25">
      <c r="A796" s="1" t="s">
        <v>4608</v>
      </c>
      <c r="B796" s="1" t="s">
        <v>3808</v>
      </c>
      <c r="C796" s="1" t="s">
        <v>3844</v>
      </c>
      <c r="D796" s="1" t="s">
        <v>3781</v>
      </c>
      <c r="E796">
        <v>448339</v>
      </c>
      <c r="F796">
        <v>359746.24</v>
      </c>
      <c r="G796">
        <v>88592.76</v>
      </c>
      <c r="H796" s="2">
        <v>45228</v>
      </c>
      <c r="I796" s="1" t="s">
        <v>3782</v>
      </c>
      <c r="J796" s="1" t="s">
        <v>3783</v>
      </c>
      <c r="K796" s="1" t="s">
        <v>3784</v>
      </c>
      <c r="L796" s="1" t="s">
        <v>51</v>
      </c>
    </row>
    <row r="797" spans="1:12" x14ac:dyDescent="0.25">
      <c r="A797" s="1" t="s">
        <v>4609</v>
      </c>
      <c r="B797" s="1" t="s">
        <v>3811</v>
      </c>
      <c r="C797" s="1" t="s">
        <v>3812</v>
      </c>
      <c r="D797" s="1" t="s">
        <v>3855</v>
      </c>
      <c r="E797">
        <v>168693</v>
      </c>
      <c r="F797">
        <v>161722.9</v>
      </c>
      <c r="G797">
        <v>6970.1</v>
      </c>
      <c r="H797" s="2">
        <v>44959</v>
      </c>
      <c r="I797" s="1" t="s">
        <v>3782</v>
      </c>
      <c r="J797" s="1" t="s">
        <v>3803</v>
      </c>
      <c r="K797" s="1" t="s">
        <v>3804</v>
      </c>
      <c r="L797" s="1" t="s">
        <v>3831</v>
      </c>
    </row>
    <row r="798" spans="1:12" x14ac:dyDescent="0.25">
      <c r="A798" s="1" t="s">
        <v>4610</v>
      </c>
      <c r="B798" s="1" t="s">
        <v>3828</v>
      </c>
      <c r="C798" s="1" t="s">
        <v>51</v>
      </c>
      <c r="D798" s="1" t="s">
        <v>3789</v>
      </c>
      <c r="E798">
        <v>173546</v>
      </c>
      <c r="F798">
        <v>173452.46</v>
      </c>
      <c r="G798">
        <v>93.54</v>
      </c>
      <c r="H798" s="2">
        <v>45170</v>
      </c>
      <c r="I798" s="1" t="s">
        <v>3782</v>
      </c>
      <c r="J798" s="1" t="s">
        <v>3803</v>
      </c>
      <c r="K798" s="1" t="s">
        <v>3784</v>
      </c>
      <c r="L798" s="1" t="s">
        <v>51</v>
      </c>
    </row>
    <row r="799" spans="1:12" x14ac:dyDescent="0.25">
      <c r="A799" s="1" t="s">
        <v>4611</v>
      </c>
      <c r="B799" s="1" t="s">
        <v>51</v>
      </c>
      <c r="C799" s="1" t="s">
        <v>3806</v>
      </c>
      <c r="D799" s="1" t="s">
        <v>3895</v>
      </c>
      <c r="E799">
        <v>412881</v>
      </c>
      <c r="F799">
        <v>340039.67999999999</v>
      </c>
      <c r="G799">
        <v>72841.320000000007</v>
      </c>
      <c r="H799" s="2">
        <v>45000</v>
      </c>
      <c r="I799" s="1" t="s">
        <v>3859</v>
      </c>
      <c r="J799" s="1" t="s">
        <v>3791</v>
      </c>
      <c r="K799" s="1" t="s">
        <v>3804</v>
      </c>
      <c r="L799" s="1" t="s">
        <v>51</v>
      </c>
    </row>
    <row r="800" spans="1:12" x14ac:dyDescent="0.25">
      <c r="A800" s="1" t="s">
        <v>4612</v>
      </c>
      <c r="B800" s="1" t="s">
        <v>3794</v>
      </c>
      <c r="C800" s="1" t="s">
        <v>3825</v>
      </c>
      <c r="D800" s="1" t="s">
        <v>3802</v>
      </c>
      <c r="E800">
        <v>35927</v>
      </c>
      <c r="F800">
        <v>45914.36</v>
      </c>
      <c r="G800">
        <v>-9987.36</v>
      </c>
      <c r="H800" s="2">
        <v>45300</v>
      </c>
      <c r="I800" s="1" t="s">
        <v>3790</v>
      </c>
      <c r="J800" s="1" t="s">
        <v>3823</v>
      </c>
      <c r="K800" s="1" t="s">
        <v>3784</v>
      </c>
      <c r="L800" s="1" t="s">
        <v>51</v>
      </c>
    </row>
    <row r="801" spans="1:12" x14ac:dyDescent="0.25">
      <c r="A801" s="1" t="s">
        <v>4613</v>
      </c>
      <c r="B801" s="1" t="s">
        <v>3839</v>
      </c>
      <c r="C801" s="1" t="s">
        <v>3788</v>
      </c>
      <c r="D801" s="1" t="s">
        <v>3796</v>
      </c>
      <c r="E801">
        <v>390986</v>
      </c>
      <c r="F801">
        <v>404619.5</v>
      </c>
      <c r="G801">
        <v>-13633.5</v>
      </c>
      <c r="H801" s="2">
        <v>45530</v>
      </c>
      <c r="I801" s="1" t="s">
        <v>3790</v>
      </c>
      <c r="J801" s="1" t="s">
        <v>3783</v>
      </c>
      <c r="K801" s="1" t="s">
        <v>3800</v>
      </c>
      <c r="L801" s="1" t="s">
        <v>3792</v>
      </c>
    </row>
    <row r="802" spans="1:12" x14ac:dyDescent="0.25">
      <c r="A802" s="1" t="s">
        <v>4614</v>
      </c>
      <c r="B802" s="1" t="s">
        <v>3808</v>
      </c>
      <c r="C802" s="1" t="s">
        <v>3812</v>
      </c>
      <c r="D802" s="1" t="s">
        <v>3846</v>
      </c>
      <c r="E802">
        <v>135960</v>
      </c>
      <c r="F802">
        <v>116749.08</v>
      </c>
      <c r="G802">
        <v>19210.919999999998</v>
      </c>
      <c r="H802" s="2">
        <v>45258</v>
      </c>
      <c r="I802" s="1" t="s">
        <v>3790</v>
      </c>
      <c r="J802" s="1" t="s">
        <v>3791</v>
      </c>
      <c r="K802" s="1" t="s">
        <v>3784</v>
      </c>
      <c r="L802" s="1" t="s">
        <v>3831</v>
      </c>
    </row>
    <row r="803" spans="1:12" x14ac:dyDescent="0.25">
      <c r="A803" s="1" t="s">
        <v>4615</v>
      </c>
      <c r="B803" s="1" t="s">
        <v>3839</v>
      </c>
      <c r="C803" s="1" t="s">
        <v>3780</v>
      </c>
      <c r="D803" s="1" t="s">
        <v>3846</v>
      </c>
      <c r="E803">
        <v>-89871</v>
      </c>
      <c r="F803">
        <v>83190.36</v>
      </c>
      <c r="G803">
        <v>6680.64</v>
      </c>
      <c r="H803" s="2">
        <v>45724</v>
      </c>
      <c r="I803" s="1" t="s">
        <v>3790</v>
      </c>
      <c r="J803" s="1" t="s">
        <v>3823</v>
      </c>
      <c r="K803" s="1" t="s">
        <v>3800</v>
      </c>
      <c r="L803" s="1" t="s">
        <v>3809</v>
      </c>
    </row>
    <row r="804" spans="1:12" x14ac:dyDescent="0.25">
      <c r="A804" s="1" t="s">
        <v>4616</v>
      </c>
      <c r="B804" s="1" t="s">
        <v>3839</v>
      </c>
      <c r="C804" s="1" t="s">
        <v>3861</v>
      </c>
      <c r="D804" s="1" t="s">
        <v>3855</v>
      </c>
      <c r="E804">
        <v>108072</v>
      </c>
      <c r="F804">
        <v>88284.56</v>
      </c>
      <c r="G804">
        <v>19787.439999999999</v>
      </c>
      <c r="H804" s="2">
        <v>45081</v>
      </c>
      <c r="I804" s="1" t="s">
        <v>3790</v>
      </c>
      <c r="J804" s="1" t="s">
        <v>3823</v>
      </c>
      <c r="K804" s="1" t="s">
        <v>3784</v>
      </c>
      <c r="L804" s="1" t="s">
        <v>3785</v>
      </c>
    </row>
    <row r="805" spans="1:12" x14ac:dyDescent="0.25">
      <c r="A805" s="1" t="s">
        <v>4617</v>
      </c>
      <c r="B805" s="1" t="s">
        <v>3828</v>
      </c>
      <c r="C805" s="1" t="s">
        <v>3815</v>
      </c>
      <c r="D805" s="1" t="s">
        <v>3813</v>
      </c>
      <c r="E805">
        <v>428750</v>
      </c>
      <c r="F805">
        <v>479842.72</v>
      </c>
      <c r="G805">
        <v>-51092.72</v>
      </c>
      <c r="H805" s="2">
        <v>45429</v>
      </c>
      <c r="I805" s="1" t="s">
        <v>3790</v>
      </c>
      <c r="J805" s="1" t="s">
        <v>3823</v>
      </c>
      <c r="K805" s="1" t="s">
        <v>3800</v>
      </c>
      <c r="L805" s="1" t="s">
        <v>3785</v>
      </c>
    </row>
    <row r="806" spans="1:12" x14ac:dyDescent="0.25">
      <c r="A806" s="1" t="s">
        <v>4618</v>
      </c>
      <c r="B806" s="1" t="s">
        <v>3828</v>
      </c>
      <c r="C806" s="1" t="s">
        <v>3858</v>
      </c>
      <c r="D806" s="1" t="s">
        <v>3846</v>
      </c>
      <c r="E806">
        <v>239077</v>
      </c>
      <c r="F806">
        <v>200844.41</v>
      </c>
      <c r="G806">
        <v>38232.589999999997</v>
      </c>
      <c r="H806" s="2">
        <v>45347</v>
      </c>
      <c r="I806" s="1" t="s">
        <v>3790</v>
      </c>
      <c r="J806" s="1" t="s">
        <v>3803</v>
      </c>
      <c r="K806" s="1" t="s">
        <v>3784</v>
      </c>
      <c r="L806" s="1" t="s">
        <v>3785</v>
      </c>
    </row>
    <row r="807" spans="1:12" x14ac:dyDescent="0.25">
      <c r="A807" s="1" t="s">
        <v>4619</v>
      </c>
      <c r="B807" s="1" t="s">
        <v>3811</v>
      </c>
      <c r="C807" s="1" t="s">
        <v>3825</v>
      </c>
      <c r="D807" s="1" t="s">
        <v>3813</v>
      </c>
      <c r="E807">
        <v>84385</v>
      </c>
      <c r="F807">
        <v>78834.36</v>
      </c>
      <c r="G807">
        <v>5550.64</v>
      </c>
      <c r="H807" s="2">
        <v>45550</v>
      </c>
      <c r="I807" s="1" t="s">
        <v>3790</v>
      </c>
      <c r="J807" s="1" t="s">
        <v>3791</v>
      </c>
      <c r="K807" s="1" t="s">
        <v>3800</v>
      </c>
      <c r="L807" s="1" t="s">
        <v>51</v>
      </c>
    </row>
    <row r="808" spans="1:12" x14ac:dyDescent="0.25">
      <c r="A808" s="1" t="s">
        <v>4620</v>
      </c>
      <c r="B808" s="1" t="s">
        <v>3839</v>
      </c>
      <c r="C808" s="1" t="s">
        <v>3825</v>
      </c>
      <c r="D808" s="1" t="s">
        <v>3850</v>
      </c>
      <c r="E808">
        <v>388040</v>
      </c>
      <c r="F808">
        <v>410506.58</v>
      </c>
      <c r="G808">
        <v>-22466.58</v>
      </c>
      <c r="H808" s="2">
        <v>44934</v>
      </c>
      <c r="I808" s="1" t="s">
        <v>3790</v>
      </c>
      <c r="J808" s="1" t="s">
        <v>3791</v>
      </c>
      <c r="K808" s="1" t="s">
        <v>3804</v>
      </c>
      <c r="L808" s="1" t="s">
        <v>3785</v>
      </c>
    </row>
    <row r="809" spans="1:12" x14ac:dyDescent="0.25">
      <c r="A809" s="1" t="s">
        <v>4621</v>
      </c>
      <c r="B809" s="1" t="s">
        <v>3787</v>
      </c>
      <c r="C809" s="1" t="s">
        <v>3812</v>
      </c>
      <c r="D809" s="1" t="s">
        <v>3834</v>
      </c>
      <c r="E809">
        <v>287929</v>
      </c>
      <c r="F809">
        <v>321097.12</v>
      </c>
      <c r="G809">
        <v>-33168.120000000003</v>
      </c>
      <c r="H809" s="2">
        <v>45469</v>
      </c>
      <c r="I809" s="1" t="s">
        <v>3859</v>
      </c>
      <c r="J809" s="1" t="s">
        <v>3791</v>
      </c>
      <c r="K809" s="1" t="s">
        <v>3800</v>
      </c>
      <c r="L809" s="1" t="s">
        <v>51</v>
      </c>
    </row>
    <row r="810" spans="1:12" x14ac:dyDescent="0.25">
      <c r="A810" s="1" t="s">
        <v>4622</v>
      </c>
      <c r="B810" s="1" t="s">
        <v>3794</v>
      </c>
      <c r="C810" s="1" t="s">
        <v>3858</v>
      </c>
      <c r="D810" s="1" t="s">
        <v>3850</v>
      </c>
      <c r="E810">
        <v>32986</v>
      </c>
      <c r="F810">
        <v>39333.22</v>
      </c>
      <c r="G810">
        <v>-6347.22</v>
      </c>
      <c r="H810" s="2">
        <v>45116</v>
      </c>
      <c r="I810" s="1" t="s">
        <v>3790</v>
      </c>
      <c r="J810" s="1" t="s">
        <v>3823</v>
      </c>
      <c r="K810" s="1" t="s">
        <v>3784</v>
      </c>
      <c r="L810" s="1" t="s">
        <v>51</v>
      </c>
    </row>
    <row r="811" spans="1:12" x14ac:dyDescent="0.25">
      <c r="A811" s="1" t="s">
        <v>4623</v>
      </c>
      <c r="B811" s="1" t="s">
        <v>3828</v>
      </c>
      <c r="C811" s="1" t="s">
        <v>3858</v>
      </c>
      <c r="D811" s="1" t="s">
        <v>3781</v>
      </c>
      <c r="E811">
        <v>156627</v>
      </c>
      <c r="F811">
        <v>127580.83</v>
      </c>
      <c r="G811">
        <v>29046.17</v>
      </c>
      <c r="H811" s="2">
        <v>45354</v>
      </c>
      <c r="I811" s="1" t="s">
        <v>3790</v>
      </c>
      <c r="J811" s="1" t="s">
        <v>3791</v>
      </c>
      <c r="K811" s="1" t="s">
        <v>3784</v>
      </c>
      <c r="L811" s="1" t="s">
        <v>51</v>
      </c>
    </row>
    <row r="812" spans="1:12" x14ac:dyDescent="0.25">
      <c r="A812" s="1" t="s">
        <v>4624</v>
      </c>
      <c r="B812" s="1" t="s">
        <v>3839</v>
      </c>
      <c r="C812" s="1" t="s">
        <v>3780</v>
      </c>
      <c r="D812" s="1" t="s">
        <v>3802</v>
      </c>
      <c r="E812">
        <v>253063</v>
      </c>
      <c r="F812">
        <v>286029.01</v>
      </c>
      <c r="G812">
        <v>-32966.01</v>
      </c>
      <c r="H812" s="2">
        <v>45655</v>
      </c>
      <c r="I812" s="1" t="s">
        <v>3790</v>
      </c>
      <c r="J812" s="1" t="s">
        <v>3791</v>
      </c>
      <c r="K812" s="1" t="s">
        <v>3800</v>
      </c>
      <c r="L812" s="1" t="s">
        <v>3817</v>
      </c>
    </row>
    <row r="813" spans="1:12" x14ac:dyDescent="0.25">
      <c r="A813" s="1" t="s">
        <v>4625</v>
      </c>
      <c r="B813" s="1" t="s">
        <v>3839</v>
      </c>
      <c r="C813" s="1" t="s">
        <v>3861</v>
      </c>
      <c r="D813" s="1" t="s">
        <v>3789</v>
      </c>
      <c r="E813">
        <v>404024</v>
      </c>
      <c r="F813">
        <v>467959</v>
      </c>
      <c r="G813">
        <v>-63935</v>
      </c>
      <c r="H813" s="2">
        <v>45230</v>
      </c>
      <c r="I813" s="1" t="s">
        <v>3790</v>
      </c>
      <c r="J813" s="1" t="s">
        <v>3803</v>
      </c>
      <c r="K813" s="1" t="s">
        <v>3784</v>
      </c>
      <c r="L813" s="1" t="s">
        <v>3809</v>
      </c>
    </row>
    <row r="814" spans="1:12" x14ac:dyDescent="0.25">
      <c r="A814" s="1" t="s">
        <v>4626</v>
      </c>
      <c r="B814" s="1" t="s">
        <v>3808</v>
      </c>
      <c r="C814" s="1" t="s">
        <v>3861</v>
      </c>
      <c r="D814" s="1" t="s">
        <v>3816</v>
      </c>
      <c r="E814">
        <v>229257</v>
      </c>
      <c r="F814">
        <v>239289.46</v>
      </c>
      <c r="G814">
        <v>-10032.459999999999</v>
      </c>
      <c r="H814" s="2">
        <v>45071</v>
      </c>
      <c r="I814" s="1" t="s">
        <v>3790</v>
      </c>
      <c r="J814" s="1" t="s">
        <v>3791</v>
      </c>
      <c r="K814" s="1" t="s">
        <v>3784</v>
      </c>
      <c r="L814" s="1" t="s">
        <v>51</v>
      </c>
    </row>
    <row r="815" spans="1:12" x14ac:dyDescent="0.25">
      <c r="A815" s="1" t="s">
        <v>4627</v>
      </c>
      <c r="B815" s="1" t="s">
        <v>3839</v>
      </c>
      <c r="C815" s="1" t="s">
        <v>3848</v>
      </c>
      <c r="D815" s="1" t="s">
        <v>3816</v>
      </c>
      <c r="E815">
        <v>125151</v>
      </c>
      <c r="F815">
        <v>111634.11</v>
      </c>
      <c r="G815">
        <v>13516.89</v>
      </c>
      <c r="H815" s="2">
        <v>44950</v>
      </c>
      <c r="I815" s="1" t="s">
        <v>3790</v>
      </c>
      <c r="J815" s="1" t="s">
        <v>3823</v>
      </c>
      <c r="K815" s="1" t="s">
        <v>3804</v>
      </c>
      <c r="L815" s="1" t="s">
        <v>3785</v>
      </c>
    </row>
    <row r="816" spans="1:12" x14ac:dyDescent="0.25">
      <c r="A816" s="1" t="s">
        <v>4628</v>
      </c>
      <c r="B816" s="1" t="s">
        <v>3808</v>
      </c>
      <c r="C816" s="1" t="s">
        <v>3848</v>
      </c>
      <c r="D816" s="1" t="s">
        <v>3789</v>
      </c>
      <c r="E816">
        <v>443067</v>
      </c>
      <c r="F816">
        <v>406271.66</v>
      </c>
      <c r="G816">
        <v>36795.339999999997</v>
      </c>
      <c r="H816" s="2">
        <v>45015</v>
      </c>
      <c r="I816" s="1" t="s">
        <v>3790</v>
      </c>
      <c r="J816" s="1" t="s">
        <v>3803</v>
      </c>
      <c r="K816" s="1" t="s">
        <v>3804</v>
      </c>
      <c r="L816" s="1" t="s">
        <v>3817</v>
      </c>
    </row>
    <row r="817" spans="1:12" x14ac:dyDescent="0.25">
      <c r="A817" s="1" t="s">
        <v>4629</v>
      </c>
      <c r="B817" s="1" t="s">
        <v>3828</v>
      </c>
      <c r="C817" s="1" t="s">
        <v>3815</v>
      </c>
      <c r="D817" s="1" t="s">
        <v>3813</v>
      </c>
      <c r="E817">
        <v>-492588</v>
      </c>
      <c r="F817">
        <v>629810.97</v>
      </c>
      <c r="G817">
        <v>-137222.97</v>
      </c>
      <c r="H817" s="2">
        <v>45626</v>
      </c>
      <c r="I817" s="1" t="s">
        <v>3790</v>
      </c>
      <c r="J817" s="1" t="s">
        <v>3791</v>
      </c>
      <c r="K817" s="1" t="s">
        <v>3800</v>
      </c>
      <c r="L817" s="1" t="s">
        <v>51</v>
      </c>
    </row>
    <row r="818" spans="1:12" x14ac:dyDescent="0.25">
      <c r="A818" s="1" t="s">
        <v>4630</v>
      </c>
      <c r="B818" s="1" t="s">
        <v>3798</v>
      </c>
      <c r="C818" s="1" t="s">
        <v>3861</v>
      </c>
      <c r="D818" s="1" t="s">
        <v>3799</v>
      </c>
      <c r="E818">
        <v>279567</v>
      </c>
      <c r="F818">
        <v>251553.16</v>
      </c>
      <c r="G818">
        <v>28013.84</v>
      </c>
      <c r="H818" s="2">
        <v>45710</v>
      </c>
      <c r="I818" s="1" t="s">
        <v>3859</v>
      </c>
      <c r="J818" s="1" t="s">
        <v>3783</v>
      </c>
      <c r="K818" s="1" t="s">
        <v>3800</v>
      </c>
      <c r="L818" s="1" t="s">
        <v>3831</v>
      </c>
    </row>
    <row r="819" spans="1:12" x14ac:dyDescent="0.25">
      <c r="A819" s="1" t="s">
        <v>4631</v>
      </c>
      <c r="B819" s="1" t="s">
        <v>3798</v>
      </c>
      <c r="C819" s="1" t="s">
        <v>3812</v>
      </c>
      <c r="D819" s="1" t="s">
        <v>3850</v>
      </c>
      <c r="E819">
        <v>380515</v>
      </c>
      <c r="G819">
        <v>-20196.47</v>
      </c>
      <c r="H819" s="2">
        <v>45254</v>
      </c>
      <c r="I819" s="1" t="s">
        <v>3790</v>
      </c>
      <c r="J819" s="1" t="s">
        <v>3783</v>
      </c>
      <c r="K819" s="1" t="s">
        <v>3784</v>
      </c>
      <c r="L819" s="1" t="s">
        <v>3792</v>
      </c>
    </row>
    <row r="820" spans="1:12" x14ac:dyDescent="0.25">
      <c r="A820" s="1" t="s">
        <v>4632</v>
      </c>
      <c r="B820" s="1" t="s">
        <v>3828</v>
      </c>
      <c r="C820" s="1" t="s">
        <v>3788</v>
      </c>
      <c r="D820" s="1" t="s">
        <v>3789</v>
      </c>
      <c r="E820">
        <v>335067</v>
      </c>
      <c r="F820">
        <v>363966</v>
      </c>
      <c r="G820">
        <v>-28899</v>
      </c>
      <c r="H820" s="2">
        <v>45734</v>
      </c>
      <c r="I820" s="1" t="s">
        <v>3790</v>
      </c>
      <c r="J820" s="1" t="s">
        <v>3803</v>
      </c>
      <c r="K820" s="1" t="s">
        <v>3800</v>
      </c>
      <c r="L820" s="1" t="s">
        <v>51</v>
      </c>
    </row>
    <row r="821" spans="1:12" x14ac:dyDescent="0.25">
      <c r="A821" s="1" t="s">
        <v>4633</v>
      </c>
      <c r="B821" s="1" t="s">
        <v>3811</v>
      </c>
      <c r="C821" s="1" t="s">
        <v>3825</v>
      </c>
      <c r="D821" s="1" t="s">
        <v>3834</v>
      </c>
      <c r="E821">
        <v>473508</v>
      </c>
      <c r="F821">
        <v>539400.85</v>
      </c>
      <c r="G821">
        <v>-65892.850000000006</v>
      </c>
      <c r="H821" s="2">
        <v>45160</v>
      </c>
      <c r="I821" s="1" t="s">
        <v>3859</v>
      </c>
      <c r="J821" s="1" t="s">
        <v>3791</v>
      </c>
      <c r="K821" s="1" t="s">
        <v>3784</v>
      </c>
      <c r="L821" s="1" t="s">
        <v>51</v>
      </c>
    </row>
    <row r="822" spans="1:12" x14ac:dyDescent="0.25">
      <c r="A822" s="1" t="s">
        <v>4634</v>
      </c>
      <c r="B822" s="1" t="s">
        <v>3808</v>
      </c>
      <c r="C822" s="1" t="s">
        <v>3844</v>
      </c>
      <c r="D822" s="1" t="s">
        <v>3802</v>
      </c>
      <c r="E822">
        <v>384032</v>
      </c>
      <c r="F822">
        <v>396359.56</v>
      </c>
      <c r="G822">
        <v>-12327.56</v>
      </c>
      <c r="H822" s="2">
        <v>45526</v>
      </c>
      <c r="I822" s="1" t="s">
        <v>3790</v>
      </c>
      <c r="J822" s="1" t="s">
        <v>3803</v>
      </c>
      <c r="K822" s="1" t="s">
        <v>3800</v>
      </c>
      <c r="L822" s="1" t="s">
        <v>3817</v>
      </c>
    </row>
    <row r="823" spans="1:12" x14ac:dyDescent="0.25">
      <c r="A823" s="1" t="s">
        <v>4635</v>
      </c>
      <c r="B823" s="1" t="s">
        <v>3839</v>
      </c>
      <c r="C823" s="1" t="s">
        <v>3821</v>
      </c>
      <c r="D823" s="1" t="s">
        <v>3855</v>
      </c>
      <c r="E823">
        <v>246878</v>
      </c>
      <c r="F823">
        <v>295590.25</v>
      </c>
      <c r="G823">
        <v>-48712.25</v>
      </c>
      <c r="H823" s="2">
        <v>45539</v>
      </c>
      <c r="I823" s="1" t="s">
        <v>3790</v>
      </c>
      <c r="J823" s="1" t="s">
        <v>3791</v>
      </c>
      <c r="K823" s="1" t="s">
        <v>3800</v>
      </c>
      <c r="L823" s="1" t="s">
        <v>51</v>
      </c>
    </row>
    <row r="824" spans="1:12" x14ac:dyDescent="0.25">
      <c r="A824" s="1" t="s">
        <v>4636</v>
      </c>
      <c r="B824" s="1" t="s">
        <v>3787</v>
      </c>
      <c r="C824" s="1" t="s">
        <v>3858</v>
      </c>
      <c r="D824" s="1" t="s">
        <v>3837</v>
      </c>
      <c r="E824">
        <v>358219</v>
      </c>
      <c r="F824">
        <v>298904.96000000002</v>
      </c>
      <c r="G824">
        <v>59314.04</v>
      </c>
      <c r="H824" s="2">
        <v>45678</v>
      </c>
      <c r="I824" s="1" t="s">
        <v>3782</v>
      </c>
      <c r="J824" s="1" t="s">
        <v>3783</v>
      </c>
      <c r="K824" s="1" t="s">
        <v>3800</v>
      </c>
      <c r="L824" s="1" t="s">
        <v>3831</v>
      </c>
    </row>
    <row r="825" spans="1:12" x14ac:dyDescent="0.25">
      <c r="A825" s="1" t="s">
        <v>4637</v>
      </c>
      <c r="B825" s="1" t="s">
        <v>3839</v>
      </c>
      <c r="C825" s="1" t="s">
        <v>3825</v>
      </c>
      <c r="D825" s="1" t="s">
        <v>3826</v>
      </c>
      <c r="E825">
        <v>475278</v>
      </c>
      <c r="F825">
        <v>418002.98</v>
      </c>
      <c r="G825">
        <v>57275.02</v>
      </c>
      <c r="H825" s="2">
        <v>45008</v>
      </c>
      <c r="I825" s="1" t="s">
        <v>3790</v>
      </c>
      <c r="J825" s="1" t="s">
        <v>3823</v>
      </c>
      <c r="K825" s="1" t="s">
        <v>3804</v>
      </c>
      <c r="L825" s="1" t="s">
        <v>51</v>
      </c>
    </row>
    <row r="826" spans="1:12" x14ac:dyDescent="0.25">
      <c r="A826" s="1" t="s">
        <v>4638</v>
      </c>
      <c r="B826" s="1" t="s">
        <v>3811</v>
      </c>
      <c r="C826" s="1" t="s">
        <v>3825</v>
      </c>
      <c r="D826" s="1" t="s">
        <v>3855</v>
      </c>
      <c r="E826">
        <v>217149</v>
      </c>
      <c r="F826">
        <v>208982.39999999999</v>
      </c>
      <c r="G826">
        <v>8166.6</v>
      </c>
      <c r="H826" s="2">
        <v>45324</v>
      </c>
      <c r="I826" s="1" t="s">
        <v>3790</v>
      </c>
      <c r="J826" s="1" t="s">
        <v>3823</v>
      </c>
      <c r="K826" s="1" t="s">
        <v>3784</v>
      </c>
      <c r="L826" s="1" t="s">
        <v>51</v>
      </c>
    </row>
    <row r="827" spans="1:12" x14ac:dyDescent="0.25">
      <c r="A827" s="1" t="s">
        <v>4639</v>
      </c>
      <c r="B827" s="1" t="s">
        <v>3798</v>
      </c>
      <c r="C827" s="1" t="s">
        <v>3844</v>
      </c>
      <c r="D827" s="1" t="s">
        <v>3796</v>
      </c>
      <c r="E827">
        <v>265427</v>
      </c>
      <c r="F827">
        <v>274377.01</v>
      </c>
      <c r="G827">
        <v>-8950.01</v>
      </c>
      <c r="H827" s="2">
        <v>45620</v>
      </c>
      <c r="I827" s="1" t="s">
        <v>3782</v>
      </c>
      <c r="J827" s="1" t="s">
        <v>3823</v>
      </c>
      <c r="K827" s="1" t="s">
        <v>3800</v>
      </c>
      <c r="L827" s="1" t="s">
        <v>51</v>
      </c>
    </row>
    <row r="828" spans="1:12" x14ac:dyDescent="0.25">
      <c r="A828" s="1" t="s">
        <v>4640</v>
      </c>
      <c r="B828" s="1" t="s">
        <v>3798</v>
      </c>
      <c r="C828" s="1" t="s">
        <v>3844</v>
      </c>
      <c r="D828" s="1" t="s">
        <v>3850</v>
      </c>
      <c r="E828">
        <v>27117</v>
      </c>
      <c r="F828">
        <v>33382.21</v>
      </c>
      <c r="G828">
        <v>-6265.21</v>
      </c>
      <c r="H828" s="2">
        <v>45716</v>
      </c>
      <c r="I828" s="1" t="s">
        <v>3790</v>
      </c>
      <c r="J828" s="1" t="s">
        <v>3791</v>
      </c>
      <c r="K828" s="1" t="s">
        <v>3800</v>
      </c>
      <c r="L828" s="1" t="s">
        <v>51</v>
      </c>
    </row>
    <row r="829" spans="1:12" x14ac:dyDescent="0.25">
      <c r="A829" s="1" t="s">
        <v>4641</v>
      </c>
      <c r="B829" s="1" t="s">
        <v>3839</v>
      </c>
      <c r="C829" s="1" t="s">
        <v>3844</v>
      </c>
      <c r="D829" s="1" t="s">
        <v>3781</v>
      </c>
      <c r="E829">
        <v>486269</v>
      </c>
      <c r="F829">
        <v>401150.6</v>
      </c>
      <c r="G829">
        <v>85118.399999999994</v>
      </c>
      <c r="H829" s="2">
        <v>45481</v>
      </c>
      <c r="I829" s="1" t="s">
        <v>3790</v>
      </c>
      <c r="J829" s="1" t="s">
        <v>3783</v>
      </c>
      <c r="K829" s="1" t="s">
        <v>3800</v>
      </c>
      <c r="L829" s="1" t="s">
        <v>51</v>
      </c>
    </row>
    <row r="830" spans="1:12" x14ac:dyDescent="0.25">
      <c r="A830" s="1" t="s">
        <v>4642</v>
      </c>
      <c r="B830" s="1" t="s">
        <v>3798</v>
      </c>
      <c r="C830" s="1" t="s">
        <v>3825</v>
      </c>
      <c r="D830" s="1" t="s">
        <v>3826</v>
      </c>
      <c r="E830">
        <v>490350</v>
      </c>
      <c r="F830">
        <v>534460.18999999994</v>
      </c>
      <c r="G830">
        <v>-44110.19</v>
      </c>
      <c r="H830" s="2">
        <v>45149</v>
      </c>
      <c r="I830" s="1" t="s">
        <v>3790</v>
      </c>
      <c r="J830" s="1" t="s">
        <v>3803</v>
      </c>
      <c r="K830" s="1" t="s">
        <v>3784</v>
      </c>
      <c r="L830" s="1" t="s">
        <v>3792</v>
      </c>
    </row>
    <row r="831" spans="1:12" x14ac:dyDescent="0.25">
      <c r="A831" s="1" t="s">
        <v>4643</v>
      </c>
      <c r="B831" s="1" t="s">
        <v>3798</v>
      </c>
      <c r="C831" s="1" t="s">
        <v>3795</v>
      </c>
      <c r="D831" s="1" t="s">
        <v>3867</v>
      </c>
      <c r="E831">
        <v>320947</v>
      </c>
      <c r="F831">
        <v>256776.3</v>
      </c>
      <c r="G831">
        <v>64170.7</v>
      </c>
      <c r="H831" s="2">
        <v>44936</v>
      </c>
      <c r="I831" s="1" t="s">
        <v>3790</v>
      </c>
      <c r="J831" s="1" t="s">
        <v>3783</v>
      </c>
      <c r="K831" s="1" t="s">
        <v>3804</v>
      </c>
      <c r="L831" s="1" t="s">
        <v>51</v>
      </c>
    </row>
    <row r="832" spans="1:12" x14ac:dyDescent="0.25">
      <c r="A832" s="1" t="s">
        <v>4644</v>
      </c>
      <c r="B832" s="1" t="s">
        <v>3811</v>
      </c>
      <c r="C832" s="1" t="s">
        <v>3812</v>
      </c>
      <c r="D832" s="1" t="s">
        <v>3837</v>
      </c>
      <c r="E832">
        <v>317409</v>
      </c>
      <c r="F832">
        <v>267579.83</v>
      </c>
      <c r="G832">
        <v>49829.17</v>
      </c>
      <c r="H832" s="2">
        <v>45292</v>
      </c>
      <c r="I832" s="1" t="s">
        <v>3790</v>
      </c>
      <c r="J832" s="1" t="s">
        <v>3791</v>
      </c>
      <c r="K832" s="1" t="s">
        <v>3784</v>
      </c>
      <c r="L832" s="1" t="s">
        <v>3831</v>
      </c>
    </row>
    <row r="833" spans="1:12" x14ac:dyDescent="0.25">
      <c r="A833" s="1" t="s">
        <v>4645</v>
      </c>
      <c r="B833" s="1" t="s">
        <v>3794</v>
      </c>
      <c r="C833" s="1" t="s">
        <v>3821</v>
      </c>
      <c r="D833" s="1" t="s">
        <v>3850</v>
      </c>
      <c r="E833">
        <v>447953</v>
      </c>
      <c r="F833">
        <v>542934.6</v>
      </c>
      <c r="G833">
        <v>-94981.6</v>
      </c>
      <c r="H833" s="2">
        <v>44943</v>
      </c>
      <c r="I833" s="1" t="s">
        <v>3782</v>
      </c>
      <c r="J833" s="1" t="s">
        <v>3823</v>
      </c>
      <c r="K833" s="1" t="s">
        <v>3804</v>
      </c>
      <c r="L833" s="1" t="s">
        <v>3785</v>
      </c>
    </row>
    <row r="834" spans="1:12" x14ac:dyDescent="0.25">
      <c r="A834" s="1" t="s">
        <v>4293</v>
      </c>
      <c r="B834" s="1" t="s">
        <v>3794</v>
      </c>
      <c r="C834" s="1" t="s">
        <v>3806</v>
      </c>
      <c r="D834" s="1" t="s">
        <v>3802</v>
      </c>
      <c r="E834">
        <v>135949</v>
      </c>
      <c r="F834">
        <v>145617.13</v>
      </c>
      <c r="G834">
        <v>-9668.1299999999992</v>
      </c>
      <c r="H834" s="2">
        <v>45664</v>
      </c>
      <c r="I834" s="1" t="s">
        <v>3790</v>
      </c>
      <c r="J834" s="1" t="s">
        <v>3803</v>
      </c>
      <c r="K834" s="1" t="s">
        <v>3800</v>
      </c>
      <c r="L834" s="1" t="s">
        <v>51</v>
      </c>
    </row>
    <row r="835" spans="1:12" x14ac:dyDescent="0.25">
      <c r="A835" s="1" t="s">
        <v>4048</v>
      </c>
      <c r="B835" s="1" t="s">
        <v>3828</v>
      </c>
      <c r="C835" s="1" t="s">
        <v>3795</v>
      </c>
      <c r="D835" s="1" t="s">
        <v>3834</v>
      </c>
      <c r="E835">
        <v>27258</v>
      </c>
      <c r="F835">
        <v>33695.97</v>
      </c>
      <c r="G835">
        <v>-6437.97</v>
      </c>
      <c r="H835" s="2">
        <v>45662</v>
      </c>
      <c r="I835" s="1" t="s">
        <v>3790</v>
      </c>
      <c r="J835" s="1" t="s">
        <v>3791</v>
      </c>
      <c r="K835" s="1" t="s">
        <v>3800</v>
      </c>
      <c r="L835" s="1" t="s">
        <v>3809</v>
      </c>
    </row>
    <row r="836" spans="1:12" x14ac:dyDescent="0.25">
      <c r="A836" s="1" t="s">
        <v>4646</v>
      </c>
      <c r="B836" s="1" t="s">
        <v>3839</v>
      </c>
      <c r="C836" s="1" t="s">
        <v>3806</v>
      </c>
      <c r="D836" s="1" t="s">
        <v>3796</v>
      </c>
      <c r="E836">
        <v>42730</v>
      </c>
      <c r="F836">
        <v>54657.81</v>
      </c>
      <c r="G836">
        <v>-11927.81</v>
      </c>
      <c r="H836" s="2">
        <v>45093</v>
      </c>
      <c r="I836" s="1" t="s">
        <v>3790</v>
      </c>
      <c r="J836" s="1" t="s">
        <v>3791</v>
      </c>
      <c r="K836" s="1" t="s">
        <v>3784</v>
      </c>
      <c r="L836" s="1" t="s">
        <v>3792</v>
      </c>
    </row>
    <row r="837" spans="1:12" x14ac:dyDescent="0.25">
      <c r="A837" s="1" t="s">
        <v>4647</v>
      </c>
      <c r="B837" s="1" t="s">
        <v>3811</v>
      </c>
      <c r="C837" s="1" t="s">
        <v>3825</v>
      </c>
      <c r="D837" s="1" t="s">
        <v>3802</v>
      </c>
      <c r="E837">
        <v>157027</v>
      </c>
      <c r="F837">
        <v>131202.97</v>
      </c>
      <c r="G837">
        <v>25824.03</v>
      </c>
      <c r="H837" s="2">
        <v>44968</v>
      </c>
      <c r="I837" s="1" t="s">
        <v>3782</v>
      </c>
      <c r="J837" s="1" t="s">
        <v>3791</v>
      </c>
      <c r="K837" s="1" t="s">
        <v>3804</v>
      </c>
      <c r="L837" s="1" t="s">
        <v>3792</v>
      </c>
    </row>
    <row r="838" spans="1:12" x14ac:dyDescent="0.25">
      <c r="A838" s="1" t="s">
        <v>4648</v>
      </c>
      <c r="B838" s="1" t="s">
        <v>3787</v>
      </c>
      <c r="C838" s="1" t="s">
        <v>3844</v>
      </c>
      <c r="D838" s="1" t="s">
        <v>3846</v>
      </c>
      <c r="E838">
        <v>201521</v>
      </c>
      <c r="F838">
        <v>189535.4</v>
      </c>
      <c r="G838">
        <v>11985.6</v>
      </c>
      <c r="H838" s="2">
        <v>44934</v>
      </c>
      <c r="I838" s="1" t="s">
        <v>3790</v>
      </c>
      <c r="J838" s="1" t="s">
        <v>3791</v>
      </c>
      <c r="K838" s="1" t="s">
        <v>3804</v>
      </c>
      <c r="L838" s="1" t="s">
        <v>51</v>
      </c>
    </row>
    <row r="839" spans="1:12" x14ac:dyDescent="0.25">
      <c r="A839" s="1" t="s">
        <v>4476</v>
      </c>
      <c r="B839" s="1" t="s">
        <v>3811</v>
      </c>
      <c r="C839" s="1" t="s">
        <v>3861</v>
      </c>
      <c r="D839" s="1" t="s">
        <v>3846</v>
      </c>
      <c r="E839">
        <v>426324</v>
      </c>
      <c r="F839">
        <v>511837.01</v>
      </c>
      <c r="G839">
        <v>-85513.01</v>
      </c>
      <c r="H839" s="2">
        <v>45099</v>
      </c>
      <c r="I839" s="1" t="s">
        <v>3782</v>
      </c>
      <c r="J839" s="1" t="s">
        <v>3803</v>
      </c>
      <c r="K839" s="1" t="s">
        <v>3784</v>
      </c>
      <c r="L839" s="1" t="s">
        <v>51</v>
      </c>
    </row>
    <row r="840" spans="1:12" x14ac:dyDescent="0.25">
      <c r="A840" s="1" t="s">
        <v>4649</v>
      </c>
      <c r="B840" s="1" t="s">
        <v>3808</v>
      </c>
      <c r="C840" s="1" t="s">
        <v>3844</v>
      </c>
      <c r="D840" s="1" t="s">
        <v>3867</v>
      </c>
      <c r="E840">
        <v>51013</v>
      </c>
      <c r="F840">
        <v>53300.56</v>
      </c>
      <c r="G840">
        <v>-2287.56</v>
      </c>
      <c r="H840" s="2">
        <v>44993</v>
      </c>
      <c r="I840" s="1" t="s">
        <v>3790</v>
      </c>
      <c r="J840" s="1" t="s">
        <v>3783</v>
      </c>
      <c r="K840" s="1" t="s">
        <v>3804</v>
      </c>
      <c r="L840" s="1" t="s">
        <v>3831</v>
      </c>
    </row>
    <row r="841" spans="1:12" x14ac:dyDescent="0.25">
      <c r="A841" s="1" t="s">
        <v>4650</v>
      </c>
      <c r="B841" s="1" t="s">
        <v>3787</v>
      </c>
      <c r="C841" s="1" t="s">
        <v>3861</v>
      </c>
      <c r="D841" s="1" t="s">
        <v>3813</v>
      </c>
      <c r="E841">
        <v>437402</v>
      </c>
      <c r="F841">
        <v>487674.31</v>
      </c>
      <c r="G841">
        <v>-50272.31</v>
      </c>
      <c r="H841" s="2">
        <v>45133</v>
      </c>
      <c r="I841" s="1" t="s">
        <v>3790</v>
      </c>
      <c r="J841" s="1" t="s">
        <v>3823</v>
      </c>
      <c r="K841" s="1" t="s">
        <v>3784</v>
      </c>
      <c r="L841" s="1" t="s">
        <v>51</v>
      </c>
    </row>
    <row r="842" spans="1:12" x14ac:dyDescent="0.25">
      <c r="A842" s="1" t="s">
        <v>4651</v>
      </c>
      <c r="B842" s="1" t="s">
        <v>3794</v>
      </c>
      <c r="C842" s="1" t="s">
        <v>3795</v>
      </c>
      <c r="D842" s="1" t="s">
        <v>3837</v>
      </c>
      <c r="E842">
        <v>469164</v>
      </c>
      <c r="F842">
        <v>555054.97</v>
      </c>
      <c r="G842">
        <v>-85890.97</v>
      </c>
      <c r="H842" s="2">
        <v>45499</v>
      </c>
      <c r="I842" s="1" t="s">
        <v>3782</v>
      </c>
      <c r="J842" s="1" t="s">
        <v>3791</v>
      </c>
      <c r="K842" s="1" t="s">
        <v>3800</v>
      </c>
      <c r="L842" s="1" t="s">
        <v>3817</v>
      </c>
    </row>
    <row r="843" spans="1:12" x14ac:dyDescent="0.25">
      <c r="A843" s="1" t="s">
        <v>4652</v>
      </c>
      <c r="B843" s="1" t="s">
        <v>3811</v>
      </c>
      <c r="C843" s="1" t="s">
        <v>3788</v>
      </c>
      <c r="D843" s="1" t="s">
        <v>3826</v>
      </c>
      <c r="E843">
        <v>238776</v>
      </c>
      <c r="F843">
        <v>191381.1</v>
      </c>
      <c r="G843">
        <v>47394.9</v>
      </c>
      <c r="H843" s="2">
        <v>45084</v>
      </c>
      <c r="I843" s="1" t="s">
        <v>3782</v>
      </c>
      <c r="J843" s="1" t="s">
        <v>3791</v>
      </c>
      <c r="K843" s="1" t="s">
        <v>3784</v>
      </c>
      <c r="L843" s="1" t="s">
        <v>51</v>
      </c>
    </row>
    <row r="844" spans="1:12" x14ac:dyDescent="0.25">
      <c r="A844" s="1" t="s">
        <v>4653</v>
      </c>
      <c r="B844" s="1" t="s">
        <v>3839</v>
      </c>
      <c r="C844" s="1" t="s">
        <v>3795</v>
      </c>
      <c r="D844" s="1" t="s">
        <v>3802</v>
      </c>
      <c r="E844">
        <v>155011</v>
      </c>
      <c r="F844">
        <v>158821.14000000001</v>
      </c>
      <c r="G844">
        <v>-3810.14</v>
      </c>
      <c r="H844" s="2">
        <v>45682</v>
      </c>
      <c r="I844" s="1" t="s">
        <v>3859</v>
      </c>
      <c r="J844" s="1" t="s">
        <v>3783</v>
      </c>
      <c r="K844" s="1" t="s">
        <v>3800</v>
      </c>
      <c r="L844" s="1" t="s">
        <v>3831</v>
      </c>
    </row>
    <row r="845" spans="1:12" x14ac:dyDescent="0.25">
      <c r="A845" s="1" t="s">
        <v>4654</v>
      </c>
      <c r="B845" s="1" t="s">
        <v>3828</v>
      </c>
      <c r="C845" s="1" t="s">
        <v>3780</v>
      </c>
      <c r="D845" s="1" t="s">
        <v>3781</v>
      </c>
      <c r="E845">
        <v>418713</v>
      </c>
      <c r="F845">
        <v>451496.33</v>
      </c>
      <c r="G845">
        <v>-32783.33</v>
      </c>
      <c r="H845" s="2">
        <v>45485</v>
      </c>
      <c r="I845" s="1" t="s">
        <v>3790</v>
      </c>
      <c r="J845" s="1" t="s">
        <v>3803</v>
      </c>
      <c r="K845" s="1" t="s">
        <v>3800</v>
      </c>
      <c r="L845" s="1" t="s">
        <v>3831</v>
      </c>
    </row>
    <row r="846" spans="1:12" x14ac:dyDescent="0.25">
      <c r="A846" s="1" t="s">
        <v>4655</v>
      </c>
      <c r="B846" s="1" t="s">
        <v>3808</v>
      </c>
      <c r="C846" s="1" t="s">
        <v>3812</v>
      </c>
      <c r="D846" s="1" t="s">
        <v>3796</v>
      </c>
      <c r="E846">
        <v>85651</v>
      </c>
      <c r="F846">
        <v>97599.15</v>
      </c>
      <c r="G846">
        <v>-11948.15</v>
      </c>
      <c r="H846" s="2">
        <v>44970</v>
      </c>
      <c r="I846" s="1" t="s">
        <v>3782</v>
      </c>
      <c r="J846" s="1" t="s">
        <v>3791</v>
      </c>
      <c r="K846" s="1" t="s">
        <v>3804</v>
      </c>
      <c r="L846" s="1" t="s">
        <v>3831</v>
      </c>
    </row>
    <row r="847" spans="1:12" x14ac:dyDescent="0.25">
      <c r="A847" s="1" t="s">
        <v>4656</v>
      </c>
      <c r="B847" s="1" t="s">
        <v>3794</v>
      </c>
      <c r="C847" s="1" t="s">
        <v>3848</v>
      </c>
      <c r="D847" s="1" t="s">
        <v>3822</v>
      </c>
      <c r="E847">
        <v>316179</v>
      </c>
      <c r="F847">
        <v>258248.38</v>
      </c>
      <c r="G847">
        <v>57930.62</v>
      </c>
      <c r="H847" s="2">
        <v>45736</v>
      </c>
      <c r="I847" s="1" t="s">
        <v>3790</v>
      </c>
      <c r="J847" s="1" t="s">
        <v>3791</v>
      </c>
      <c r="K847" s="1" t="s">
        <v>3800</v>
      </c>
      <c r="L847" s="1" t="s">
        <v>3785</v>
      </c>
    </row>
    <row r="848" spans="1:12" x14ac:dyDescent="0.25">
      <c r="A848" s="1" t="s">
        <v>4657</v>
      </c>
      <c r="B848" s="1" t="s">
        <v>3839</v>
      </c>
      <c r="C848" s="1" t="s">
        <v>3806</v>
      </c>
      <c r="D848" s="1" t="s">
        <v>3834</v>
      </c>
      <c r="E848">
        <v>-124146</v>
      </c>
      <c r="F848">
        <v>147834.22</v>
      </c>
      <c r="G848">
        <v>-23688.22</v>
      </c>
      <c r="H848" s="2">
        <v>44940</v>
      </c>
      <c r="I848" s="1" t="s">
        <v>3790</v>
      </c>
      <c r="J848" s="1" t="s">
        <v>3783</v>
      </c>
      <c r="K848" s="1" t="s">
        <v>3804</v>
      </c>
      <c r="L848" s="1" t="s">
        <v>51</v>
      </c>
    </row>
    <row r="849" spans="1:12" x14ac:dyDescent="0.25">
      <c r="A849" s="1" t="s">
        <v>4658</v>
      </c>
      <c r="B849" s="1" t="s">
        <v>3811</v>
      </c>
      <c r="C849" s="1" t="s">
        <v>3815</v>
      </c>
      <c r="D849" s="1" t="s">
        <v>3813</v>
      </c>
      <c r="E849">
        <v>204597</v>
      </c>
      <c r="F849">
        <v>185145.44</v>
      </c>
      <c r="G849">
        <v>19451.560000000001</v>
      </c>
      <c r="H849" s="2">
        <v>45015</v>
      </c>
      <c r="I849" s="1" t="s">
        <v>3859</v>
      </c>
      <c r="J849" s="1" t="s">
        <v>3803</v>
      </c>
      <c r="K849" s="1" t="s">
        <v>3804</v>
      </c>
      <c r="L849" s="1" t="s">
        <v>3831</v>
      </c>
    </row>
    <row r="850" spans="1:12" x14ac:dyDescent="0.25">
      <c r="A850" s="1" t="s">
        <v>4659</v>
      </c>
      <c r="B850" s="1" t="s">
        <v>3808</v>
      </c>
      <c r="C850" s="1" t="s">
        <v>3806</v>
      </c>
      <c r="D850" s="1" t="s">
        <v>3802</v>
      </c>
      <c r="E850">
        <v>23674</v>
      </c>
      <c r="F850">
        <v>30695.72</v>
      </c>
      <c r="G850">
        <v>-7021.72</v>
      </c>
      <c r="H850" s="2">
        <v>45251</v>
      </c>
      <c r="I850" s="1" t="s">
        <v>3790</v>
      </c>
      <c r="J850" s="1" t="s">
        <v>3803</v>
      </c>
      <c r="K850" s="1" t="s">
        <v>3784</v>
      </c>
      <c r="L850" s="1" t="s">
        <v>51</v>
      </c>
    </row>
    <row r="851" spans="1:12" x14ac:dyDescent="0.25">
      <c r="A851" s="1" t="s">
        <v>4660</v>
      </c>
      <c r="B851" s="1" t="s">
        <v>3808</v>
      </c>
      <c r="C851" s="1" t="s">
        <v>3815</v>
      </c>
      <c r="D851" s="1" t="s">
        <v>3846</v>
      </c>
      <c r="E851">
        <v>129748</v>
      </c>
      <c r="F851">
        <v>121212</v>
      </c>
      <c r="G851">
        <v>8536</v>
      </c>
      <c r="H851" s="2">
        <v>45590</v>
      </c>
      <c r="I851" s="1" t="s">
        <v>3782</v>
      </c>
      <c r="J851" s="1" t="s">
        <v>3783</v>
      </c>
      <c r="K851" s="1" t="s">
        <v>3800</v>
      </c>
      <c r="L851" s="1" t="s">
        <v>51</v>
      </c>
    </row>
    <row r="852" spans="1:12" x14ac:dyDescent="0.25">
      <c r="A852" s="1" t="s">
        <v>4661</v>
      </c>
      <c r="B852" s="1" t="s">
        <v>3808</v>
      </c>
      <c r="C852" s="1" t="s">
        <v>3806</v>
      </c>
      <c r="D852" s="1" t="s">
        <v>3781</v>
      </c>
      <c r="E852">
        <v>108538</v>
      </c>
      <c r="F852">
        <v>119529.29</v>
      </c>
      <c r="G852">
        <v>-10991.29</v>
      </c>
      <c r="H852" s="2">
        <v>45193</v>
      </c>
      <c r="I852" s="1" t="s">
        <v>3782</v>
      </c>
      <c r="J852" s="1" t="s">
        <v>3783</v>
      </c>
      <c r="K852" s="1" t="s">
        <v>3784</v>
      </c>
      <c r="L852" s="1" t="s">
        <v>51</v>
      </c>
    </row>
    <row r="853" spans="1:12" x14ac:dyDescent="0.25">
      <c r="A853" s="1" t="s">
        <v>4662</v>
      </c>
      <c r="B853" s="1" t="s">
        <v>3787</v>
      </c>
      <c r="C853" s="1" t="s">
        <v>3806</v>
      </c>
      <c r="D853" s="1" t="s">
        <v>3802</v>
      </c>
      <c r="E853">
        <v>217317</v>
      </c>
      <c r="F853">
        <v>230592.77</v>
      </c>
      <c r="G853">
        <v>-13275.77</v>
      </c>
      <c r="H853" s="2">
        <v>45022</v>
      </c>
      <c r="I853" s="1" t="s">
        <v>3790</v>
      </c>
      <c r="J853" s="1" t="s">
        <v>3803</v>
      </c>
      <c r="K853" s="1" t="s">
        <v>3784</v>
      </c>
      <c r="L853" s="1" t="s">
        <v>3792</v>
      </c>
    </row>
    <row r="854" spans="1:12" x14ac:dyDescent="0.25">
      <c r="A854" s="1" t="s">
        <v>4328</v>
      </c>
      <c r="B854" s="1" t="s">
        <v>3808</v>
      </c>
      <c r="C854" s="1" t="s">
        <v>3780</v>
      </c>
      <c r="D854" s="1" t="s">
        <v>3813</v>
      </c>
      <c r="E854">
        <v>489458</v>
      </c>
      <c r="F854">
        <v>631283.81999999995</v>
      </c>
      <c r="G854">
        <v>-141825.82</v>
      </c>
      <c r="H854" s="2">
        <v>45601</v>
      </c>
      <c r="I854" s="1" t="s">
        <v>3790</v>
      </c>
      <c r="J854" s="1" t="s">
        <v>3803</v>
      </c>
      <c r="K854" s="1" t="s">
        <v>3800</v>
      </c>
      <c r="L854" s="1" t="s">
        <v>51</v>
      </c>
    </row>
    <row r="855" spans="1:12" x14ac:dyDescent="0.25">
      <c r="A855" s="1" t="s">
        <v>4663</v>
      </c>
      <c r="B855" s="1" t="s">
        <v>3794</v>
      </c>
      <c r="C855" s="1" t="s">
        <v>3788</v>
      </c>
      <c r="D855" s="1" t="s">
        <v>3846</v>
      </c>
      <c r="E855">
        <v>394994</v>
      </c>
      <c r="F855">
        <v>434359.15</v>
      </c>
      <c r="G855">
        <v>-39365.15</v>
      </c>
      <c r="H855" s="2">
        <v>45728</v>
      </c>
      <c r="I855" s="1" t="s">
        <v>3790</v>
      </c>
      <c r="J855" s="1" t="s">
        <v>3823</v>
      </c>
      <c r="K855" s="1" t="s">
        <v>3800</v>
      </c>
      <c r="L855" s="1" t="s">
        <v>51</v>
      </c>
    </row>
    <row r="856" spans="1:12" x14ac:dyDescent="0.25">
      <c r="A856" s="1" t="s">
        <v>4664</v>
      </c>
      <c r="B856" s="1" t="s">
        <v>3794</v>
      </c>
      <c r="C856" s="1" t="s">
        <v>3795</v>
      </c>
      <c r="D856" s="1" t="s">
        <v>3826</v>
      </c>
      <c r="E856">
        <v>499654</v>
      </c>
      <c r="F856">
        <v>567733.93999999994</v>
      </c>
      <c r="H856" s="2">
        <v>45369</v>
      </c>
      <c r="I856" s="1" t="s">
        <v>3790</v>
      </c>
      <c r="J856" s="1" t="s">
        <v>3803</v>
      </c>
      <c r="K856" s="1" t="s">
        <v>3784</v>
      </c>
      <c r="L856" s="1" t="s">
        <v>3831</v>
      </c>
    </row>
    <row r="857" spans="1:12" x14ac:dyDescent="0.25">
      <c r="A857" s="1" t="s">
        <v>4665</v>
      </c>
      <c r="B857" s="1" t="s">
        <v>3787</v>
      </c>
      <c r="C857" s="1" t="s">
        <v>3788</v>
      </c>
      <c r="D857" s="1" t="s">
        <v>3822</v>
      </c>
      <c r="E857">
        <v>434274</v>
      </c>
      <c r="F857">
        <v>497122.38</v>
      </c>
      <c r="G857">
        <v>-62848.38</v>
      </c>
      <c r="H857" s="2">
        <v>45500</v>
      </c>
      <c r="I857" s="1" t="s">
        <v>3790</v>
      </c>
      <c r="J857" s="1" t="s">
        <v>3823</v>
      </c>
      <c r="K857" s="1" t="s">
        <v>3800</v>
      </c>
      <c r="L857" s="1" t="s">
        <v>3792</v>
      </c>
    </row>
    <row r="858" spans="1:12" x14ac:dyDescent="0.25">
      <c r="A858" s="1" t="s">
        <v>4666</v>
      </c>
      <c r="B858" s="1" t="s">
        <v>3828</v>
      </c>
      <c r="C858" s="1" t="s">
        <v>3812</v>
      </c>
      <c r="D858" s="1" t="s">
        <v>3837</v>
      </c>
      <c r="E858">
        <v>496132</v>
      </c>
      <c r="F858">
        <v>573145.44999999995</v>
      </c>
      <c r="G858">
        <v>-77013.45</v>
      </c>
      <c r="H858" s="2">
        <v>45326</v>
      </c>
      <c r="I858" s="1" t="s">
        <v>3790</v>
      </c>
      <c r="J858" s="1" t="s">
        <v>3803</v>
      </c>
      <c r="K858" s="1" t="s">
        <v>3784</v>
      </c>
      <c r="L858" s="1" t="s">
        <v>3792</v>
      </c>
    </row>
    <row r="859" spans="1:12" x14ac:dyDescent="0.25">
      <c r="A859" s="1" t="s">
        <v>4667</v>
      </c>
      <c r="B859" s="1" t="s">
        <v>3828</v>
      </c>
      <c r="C859" s="1" t="s">
        <v>3806</v>
      </c>
      <c r="D859" s="1" t="s">
        <v>3846</v>
      </c>
      <c r="E859">
        <v>412246</v>
      </c>
      <c r="F859">
        <v>455124.97</v>
      </c>
      <c r="G859">
        <v>-42878.97</v>
      </c>
      <c r="H859" s="2">
        <v>45487</v>
      </c>
      <c r="I859" s="1" t="s">
        <v>3859</v>
      </c>
      <c r="J859" s="1" t="s">
        <v>3791</v>
      </c>
      <c r="K859" s="1" t="s">
        <v>3800</v>
      </c>
      <c r="L859" s="1" t="s">
        <v>51</v>
      </c>
    </row>
    <row r="860" spans="1:12" x14ac:dyDescent="0.25">
      <c r="A860" s="1" t="s">
        <v>4668</v>
      </c>
      <c r="B860" s="1" t="s">
        <v>3811</v>
      </c>
      <c r="C860" s="1" t="s">
        <v>3780</v>
      </c>
      <c r="D860" s="1" t="s">
        <v>3799</v>
      </c>
      <c r="E860">
        <v>60429</v>
      </c>
      <c r="F860">
        <v>77072.570000000007</v>
      </c>
      <c r="G860">
        <v>-16643.57</v>
      </c>
      <c r="H860" s="2">
        <v>44991</v>
      </c>
      <c r="I860" s="1" t="s">
        <v>3790</v>
      </c>
      <c r="J860" s="1" t="s">
        <v>3791</v>
      </c>
      <c r="K860" s="1" t="s">
        <v>3804</v>
      </c>
      <c r="L860" s="1" t="s">
        <v>3785</v>
      </c>
    </row>
    <row r="861" spans="1:12" x14ac:dyDescent="0.25">
      <c r="A861" s="1" t="s">
        <v>4669</v>
      </c>
      <c r="B861" s="1" t="s">
        <v>3798</v>
      </c>
      <c r="C861" s="1" t="s">
        <v>3795</v>
      </c>
      <c r="D861" s="1" t="s">
        <v>3802</v>
      </c>
      <c r="E861">
        <v>374625</v>
      </c>
      <c r="F861">
        <v>456726.65</v>
      </c>
      <c r="G861">
        <v>-82101.649999999994</v>
      </c>
      <c r="H861" s="2">
        <v>45610</v>
      </c>
      <c r="I861" s="1" t="s">
        <v>3790</v>
      </c>
      <c r="J861" s="1" t="s">
        <v>3783</v>
      </c>
      <c r="K861" s="1" t="s">
        <v>3800</v>
      </c>
      <c r="L861" s="1" t="s">
        <v>3817</v>
      </c>
    </row>
    <row r="862" spans="1:12" x14ac:dyDescent="0.25">
      <c r="A862" s="1" t="s">
        <v>4670</v>
      </c>
      <c r="B862" s="1" t="s">
        <v>3787</v>
      </c>
      <c r="C862" s="1" t="s">
        <v>3815</v>
      </c>
      <c r="D862" s="1" t="s">
        <v>3796</v>
      </c>
      <c r="E862">
        <v>158870</v>
      </c>
      <c r="F862">
        <v>185140.64</v>
      </c>
      <c r="G862">
        <v>-26270.639999999999</v>
      </c>
      <c r="H862" s="2">
        <v>45481</v>
      </c>
      <c r="I862" s="1" t="s">
        <v>3790</v>
      </c>
      <c r="J862" s="1" t="s">
        <v>3803</v>
      </c>
      <c r="K862" s="1" t="s">
        <v>3800</v>
      </c>
      <c r="L862" s="1" t="s">
        <v>51</v>
      </c>
    </row>
    <row r="863" spans="1:12" x14ac:dyDescent="0.25">
      <c r="A863" s="1" t="s">
        <v>4671</v>
      </c>
      <c r="B863" s="1" t="s">
        <v>3798</v>
      </c>
      <c r="C863" s="1" t="s">
        <v>3858</v>
      </c>
      <c r="D863" s="1" t="s">
        <v>3789</v>
      </c>
      <c r="E863">
        <v>33731</v>
      </c>
      <c r="F863">
        <v>32413.5</v>
      </c>
      <c r="G863">
        <v>1317.5</v>
      </c>
      <c r="H863" s="2">
        <v>45418</v>
      </c>
      <c r="I863" s="1" t="s">
        <v>3790</v>
      </c>
      <c r="J863" s="1" t="s">
        <v>3803</v>
      </c>
      <c r="K863" s="1" t="s">
        <v>3800</v>
      </c>
      <c r="L863" s="1" t="s">
        <v>3792</v>
      </c>
    </row>
    <row r="864" spans="1:12" x14ac:dyDescent="0.25">
      <c r="A864" s="1" t="s">
        <v>4567</v>
      </c>
      <c r="B864" s="1" t="s">
        <v>51</v>
      </c>
      <c r="C864" s="1" t="s">
        <v>3806</v>
      </c>
      <c r="D864" s="1" t="s">
        <v>3895</v>
      </c>
      <c r="E864">
        <v>70355</v>
      </c>
      <c r="F864">
        <v>81689.77</v>
      </c>
      <c r="G864">
        <v>-11334.77</v>
      </c>
      <c r="H864" s="2">
        <v>45171</v>
      </c>
      <c r="I864" s="1" t="s">
        <v>3790</v>
      </c>
      <c r="J864" s="1" t="s">
        <v>3783</v>
      </c>
      <c r="K864" s="1" t="s">
        <v>3784</v>
      </c>
      <c r="L864" s="1" t="s">
        <v>51</v>
      </c>
    </row>
    <row r="865" spans="1:12" x14ac:dyDescent="0.25">
      <c r="A865" s="1" t="s">
        <v>4672</v>
      </c>
      <c r="B865" s="1" t="s">
        <v>3787</v>
      </c>
      <c r="C865" s="1" t="s">
        <v>3844</v>
      </c>
      <c r="D865" s="1" t="s">
        <v>3796</v>
      </c>
      <c r="E865">
        <v>351052</v>
      </c>
      <c r="F865">
        <v>286163.15000000002</v>
      </c>
      <c r="G865">
        <v>64888.85</v>
      </c>
      <c r="H865" s="2">
        <v>45501</v>
      </c>
      <c r="I865" s="1" t="s">
        <v>3790</v>
      </c>
      <c r="J865" s="1" t="s">
        <v>3783</v>
      </c>
      <c r="K865" s="1" t="s">
        <v>3800</v>
      </c>
      <c r="L865" s="1" t="s">
        <v>51</v>
      </c>
    </row>
    <row r="866" spans="1:12" x14ac:dyDescent="0.25">
      <c r="A866" s="1" t="s">
        <v>4673</v>
      </c>
      <c r="B866" s="1" t="s">
        <v>3798</v>
      </c>
      <c r="C866" s="1" t="s">
        <v>3821</v>
      </c>
      <c r="D866" s="1" t="s">
        <v>3846</v>
      </c>
      <c r="E866">
        <v>163158</v>
      </c>
      <c r="F866">
        <v>169309.95</v>
      </c>
      <c r="G866">
        <v>-6151.95</v>
      </c>
      <c r="H866" s="2">
        <v>45411</v>
      </c>
      <c r="I866" s="1" t="s">
        <v>3790</v>
      </c>
      <c r="J866" s="1" t="s">
        <v>3783</v>
      </c>
      <c r="K866" s="1" t="s">
        <v>3800</v>
      </c>
      <c r="L866" s="1" t="s">
        <v>3792</v>
      </c>
    </row>
    <row r="867" spans="1:12" x14ac:dyDescent="0.25">
      <c r="A867" s="1" t="s">
        <v>4674</v>
      </c>
      <c r="B867" s="1" t="s">
        <v>3787</v>
      </c>
      <c r="C867" s="1" t="s">
        <v>3806</v>
      </c>
      <c r="D867" s="1" t="s">
        <v>3781</v>
      </c>
      <c r="E867">
        <v>459947</v>
      </c>
      <c r="G867">
        <v>42227.839999999997</v>
      </c>
      <c r="H867" s="2">
        <v>45097</v>
      </c>
      <c r="I867" s="1" t="s">
        <v>3790</v>
      </c>
      <c r="J867" s="1" t="s">
        <v>3803</v>
      </c>
      <c r="K867" s="1" t="s">
        <v>3784</v>
      </c>
      <c r="L867" s="1" t="s">
        <v>51</v>
      </c>
    </row>
    <row r="868" spans="1:12" x14ac:dyDescent="0.25">
      <c r="A868" s="1" t="s">
        <v>4675</v>
      </c>
      <c r="B868" s="1" t="s">
        <v>3839</v>
      </c>
      <c r="C868" s="1" t="s">
        <v>3858</v>
      </c>
      <c r="D868" s="1" t="s">
        <v>3796</v>
      </c>
      <c r="E868">
        <v>160414</v>
      </c>
      <c r="F868">
        <v>190617.63</v>
      </c>
      <c r="H868" s="2">
        <v>45613</v>
      </c>
      <c r="I868" s="1" t="s">
        <v>3790</v>
      </c>
      <c r="J868" s="1" t="s">
        <v>3823</v>
      </c>
      <c r="K868" s="1" t="s">
        <v>3800</v>
      </c>
      <c r="L868" s="1" t="s">
        <v>3792</v>
      </c>
    </row>
    <row r="869" spans="1:12" x14ac:dyDescent="0.25">
      <c r="A869" s="1" t="s">
        <v>4676</v>
      </c>
      <c r="B869" s="1" t="s">
        <v>3798</v>
      </c>
      <c r="C869" s="1" t="s">
        <v>3812</v>
      </c>
      <c r="D869" s="1" t="s">
        <v>3855</v>
      </c>
      <c r="E869">
        <v>193856</v>
      </c>
      <c r="F869">
        <v>236969.67</v>
      </c>
      <c r="G869">
        <v>-43113.67</v>
      </c>
      <c r="H869" s="2">
        <v>45602</v>
      </c>
      <c r="I869" s="1" t="s">
        <v>3782</v>
      </c>
      <c r="J869" s="1" t="s">
        <v>3783</v>
      </c>
      <c r="K869" s="1" t="s">
        <v>3800</v>
      </c>
      <c r="L869" s="1" t="s">
        <v>51</v>
      </c>
    </row>
    <row r="870" spans="1:12" x14ac:dyDescent="0.25">
      <c r="A870" s="1" t="s">
        <v>4677</v>
      </c>
      <c r="B870" s="1" t="s">
        <v>3811</v>
      </c>
      <c r="C870" s="1" t="s">
        <v>3825</v>
      </c>
      <c r="D870" s="1" t="s">
        <v>3826</v>
      </c>
      <c r="E870">
        <v>285814</v>
      </c>
      <c r="F870">
        <v>274229.90999999997</v>
      </c>
      <c r="G870">
        <v>11584.09</v>
      </c>
      <c r="H870" s="2">
        <v>45024</v>
      </c>
      <c r="I870" s="1" t="s">
        <v>3790</v>
      </c>
      <c r="J870" s="1" t="s">
        <v>3783</v>
      </c>
      <c r="K870" s="1" t="s">
        <v>3784</v>
      </c>
      <c r="L870" s="1" t="s">
        <v>51</v>
      </c>
    </row>
    <row r="871" spans="1:12" x14ac:dyDescent="0.25">
      <c r="A871" s="1" t="s">
        <v>4678</v>
      </c>
      <c r="B871" s="1" t="s">
        <v>3808</v>
      </c>
      <c r="C871" s="1" t="s">
        <v>3815</v>
      </c>
      <c r="D871" s="1" t="s">
        <v>3837</v>
      </c>
      <c r="E871">
        <v>154986</v>
      </c>
      <c r="F871">
        <v>172437.2</v>
      </c>
      <c r="G871">
        <v>-17451.2</v>
      </c>
      <c r="H871" s="2">
        <v>45704</v>
      </c>
      <c r="I871" s="1" t="s">
        <v>3790</v>
      </c>
      <c r="J871" s="1" t="s">
        <v>3803</v>
      </c>
      <c r="K871" s="1" t="s">
        <v>3800</v>
      </c>
      <c r="L871" s="1" t="s">
        <v>3831</v>
      </c>
    </row>
    <row r="872" spans="1:12" x14ac:dyDescent="0.25">
      <c r="A872" s="1" t="s">
        <v>4679</v>
      </c>
      <c r="B872" s="1" t="s">
        <v>3839</v>
      </c>
      <c r="C872" s="1" t="s">
        <v>3821</v>
      </c>
      <c r="D872" s="1" t="s">
        <v>3802</v>
      </c>
      <c r="E872">
        <v>109902</v>
      </c>
      <c r="F872">
        <v>138749.79999999999</v>
      </c>
      <c r="G872">
        <v>-28847.8</v>
      </c>
      <c r="H872" s="2">
        <v>45601</v>
      </c>
      <c r="I872" s="1" t="s">
        <v>3790</v>
      </c>
      <c r="J872" s="1" t="s">
        <v>3783</v>
      </c>
      <c r="K872" s="1" t="s">
        <v>3800</v>
      </c>
      <c r="L872" s="1" t="s">
        <v>51</v>
      </c>
    </row>
    <row r="873" spans="1:12" x14ac:dyDescent="0.25">
      <c r="A873" s="1" t="s">
        <v>4680</v>
      </c>
      <c r="B873" s="1" t="s">
        <v>3808</v>
      </c>
      <c r="C873" s="1" t="s">
        <v>3788</v>
      </c>
      <c r="D873" s="1" t="s">
        <v>3837</v>
      </c>
      <c r="E873">
        <v>324040</v>
      </c>
      <c r="F873">
        <v>322243.25</v>
      </c>
      <c r="G873">
        <v>1796.75</v>
      </c>
      <c r="H873" s="2">
        <v>45640</v>
      </c>
      <c r="I873" s="1" t="s">
        <v>3790</v>
      </c>
      <c r="J873" s="1" t="s">
        <v>3783</v>
      </c>
      <c r="K873" s="1" t="s">
        <v>3800</v>
      </c>
      <c r="L873" s="1" t="s">
        <v>3785</v>
      </c>
    </row>
    <row r="874" spans="1:12" x14ac:dyDescent="0.25">
      <c r="A874" s="1" t="s">
        <v>4681</v>
      </c>
      <c r="B874" s="1" t="s">
        <v>3787</v>
      </c>
      <c r="C874" s="1" t="s">
        <v>3795</v>
      </c>
      <c r="D874" s="1" t="s">
        <v>3816</v>
      </c>
      <c r="E874">
        <v>1009569</v>
      </c>
      <c r="F874">
        <v>1256355.31</v>
      </c>
      <c r="G874">
        <v>-246786.31</v>
      </c>
      <c r="H874" s="2">
        <v>44981</v>
      </c>
      <c r="I874" s="1" t="s">
        <v>3782</v>
      </c>
      <c r="J874" s="1" t="s">
        <v>3803</v>
      </c>
      <c r="K874" s="1" t="s">
        <v>3804</v>
      </c>
      <c r="L874" s="1" t="s">
        <v>51</v>
      </c>
    </row>
    <row r="875" spans="1:12" x14ac:dyDescent="0.25">
      <c r="A875" s="1" t="s">
        <v>4682</v>
      </c>
      <c r="B875" s="1" t="s">
        <v>3808</v>
      </c>
      <c r="C875" s="1" t="s">
        <v>3844</v>
      </c>
      <c r="D875" s="1" t="s">
        <v>3846</v>
      </c>
      <c r="E875">
        <v>141275</v>
      </c>
      <c r="F875">
        <v>160348.10999999999</v>
      </c>
      <c r="G875">
        <v>-19073.11</v>
      </c>
      <c r="H875" s="2">
        <v>45394</v>
      </c>
      <c r="I875" s="1" t="s">
        <v>3790</v>
      </c>
      <c r="J875" s="1" t="s">
        <v>3823</v>
      </c>
      <c r="K875" s="1" t="s">
        <v>3800</v>
      </c>
      <c r="L875" s="1" t="s">
        <v>51</v>
      </c>
    </row>
    <row r="876" spans="1:12" x14ac:dyDescent="0.25">
      <c r="A876" s="1" t="s">
        <v>4683</v>
      </c>
      <c r="B876" s="1" t="s">
        <v>3839</v>
      </c>
      <c r="C876" s="1" t="s">
        <v>3780</v>
      </c>
      <c r="D876" s="1" t="s">
        <v>3895</v>
      </c>
      <c r="E876">
        <v>30137</v>
      </c>
      <c r="F876">
        <v>32641.68</v>
      </c>
      <c r="G876">
        <v>-2504.6799999999998</v>
      </c>
      <c r="H876" s="2">
        <v>44969</v>
      </c>
      <c r="I876" s="1" t="s">
        <v>3790</v>
      </c>
      <c r="J876" s="1" t="s">
        <v>3803</v>
      </c>
      <c r="K876" s="1" t="s">
        <v>3804</v>
      </c>
      <c r="L876" s="1" t="s">
        <v>51</v>
      </c>
    </row>
    <row r="877" spans="1:12" x14ac:dyDescent="0.25">
      <c r="A877" s="1" t="s">
        <v>4684</v>
      </c>
      <c r="B877" s="1" t="s">
        <v>3794</v>
      </c>
      <c r="C877" s="1" t="s">
        <v>3795</v>
      </c>
      <c r="D877" s="1" t="s">
        <v>3850</v>
      </c>
      <c r="E877">
        <v>65763</v>
      </c>
      <c r="F877">
        <v>74023.31</v>
      </c>
      <c r="G877">
        <v>-8260.31</v>
      </c>
      <c r="H877" s="2">
        <v>45048</v>
      </c>
      <c r="I877" s="1" t="s">
        <v>3782</v>
      </c>
      <c r="J877" s="1" t="s">
        <v>3823</v>
      </c>
      <c r="K877" s="1" t="s">
        <v>3784</v>
      </c>
      <c r="L877" s="1" t="s">
        <v>3831</v>
      </c>
    </row>
    <row r="878" spans="1:12" x14ac:dyDescent="0.25">
      <c r="A878" s="1" t="s">
        <v>4685</v>
      </c>
      <c r="B878" s="1" t="s">
        <v>3839</v>
      </c>
      <c r="C878" s="1" t="s">
        <v>3795</v>
      </c>
      <c r="D878" s="1" t="s">
        <v>3834</v>
      </c>
      <c r="E878">
        <v>29660</v>
      </c>
      <c r="F878">
        <v>25504.05</v>
      </c>
      <c r="G878">
        <v>4155.95</v>
      </c>
      <c r="H878" s="2">
        <v>45221</v>
      </c>
      <c r="I878" s="1" t="s">
        <v>3790</v>
      </c>
      <c r="J878" s="1" t="s">
        <v>3823</v>
      </c>
      <c r="K878" s="1" t="s">
        <v>3784</v>
      </c>
      <c r="L878" s="1" t="s">
        <v>3831</v>
      </c>
    </row>
    <row r="879" spans="1:12" x14ac:dyDescent="0.25">
      <c r="A879" s="1" t="s">
        <v>4686</v>
      </c>
      <c r="B879" s="1" t="s">
        <v>3787</v>
      </c>
      <c r="C879" s="1" t="s">
        <v>3825</v>
      </c>
      <c r="D879" s="1" t="s">
        <v>3826</v>
      </c>
      <c r="E879">
        <v>338211</v>
      </c>
      <c r="F879">
        <v>342254.12</v>
      </c>
      <c r="G879">
        <v>-4043.12</v>
      </c>
      <c r="H879" s="2">
        <v>45070</v>
      </c>
      <c r="I879" s="1" t="s">
        <v>3790</v>
      </c>
      <c r="J879" s="1" t="s">
        <v>3791</v>
      </c>
      <c r="K879" s="1" t="s">
        <v>3784</v>
      </c>
      <c r="L879" s="1" t="s">
        <v>3792</v>
      </c>
    </row>
    <row r="880" spans="1:12" x14ac:dyDescent="0.25">
      <c r="A880" s="1" t="s">
        <v>4687</v>
      </c>
      <c r="B880" s="1" t="s">
        <v>3798</v>
      </c>
      <c r="C880" s="1" t="s">
        <v>3815</v>
      </c>
      <c r="D880" s="1" t="s">
        <v>3816</v>
      </c>
      <c r="E880">
        <v>430475</v>
      </c>
      <c r="F880">
        <v>434488.96</v>
      </c>
      <c r="G880">
        <v>-4013.96</v>
      </c>
      <c r="H880" s="2">
        <v>45568</v>
      </c>
      <c r="I880" s="1" t="s">
        <v>3790</v>
      </c>
      <c r="J880" s="1" t="s">
        <v>3823</v>
      </c>
      <c r="K880" s="1" t="s">
        <v>3800</v>
      </c>
      <c r="L880" s="1" t="s">
        <v>3785</v>
      </c>
    </row>
    <row r="881" spans="1:12" x14ac:dyDescent="0.25">
      <c r="A881" s="1" t="s">
        <v>4688</v>
      </c>
      <c r="B881" s="1" t="s">
        <v>3787</v>
      </c>
      <c r="C881" s="1" t="s">
        <v>3795</v>
      </c>
      <c r="D881" s="1" t="s">
        <v>3834</v>
      </c>
      <c r="E881">
        <v>386919</v>
      </c>
      <c r="F881">
        <v>409039.34</v>
      </c>
      <c r="G881">
        <v>-22120.34</v>
      </c>
      <c r="H881" s="2">
        <v>45548</v>
      </c>
      <c r="I881" s="1" t="s">
        <v>3790</v>
      </c>
      <c r="J881" s="1" t="s">
        <v>3823</v>
      </c>
      <c r="K881" s="1" t="s">
        <v>3800</v>
      </c>
      <c r="L881" s="1" t="s">
        <v>51</v>
      </c>
    </row>
    <row r="882" spans="1:12" x14ac:dyDescent="0.25">
      <c r="A882" s="1" t="s">
        <v>4689</v>
      </c>
      <c r="B882" s="1" t="s">
        <v>3828</v>
      </c>
      <c r="C882" s="1" t="s">
        <v>3821</v>
      </c>
      <c r="D882" s="1" t="s">
        <v>3867</v>
      </c>
      <c r="E882">
        <v>198311</v>
      </c>
      <c r="F882">
        <v>202285.82</v>
      </c>
      <c r="G882">
        <v>-3974.82</v>
      </c>
      <c r="H882" s="2">
        <v>45609</v>
      </c>
      <c r="I882" s="1" t="s">
        <v>3782</v>
      </c>
      <c r="J882" s="1" t="s">
        <v>3823</v>
      </c>
      <c r="K882" s="1" t="s">
        <v>3800</v>
      </c>
      <c r="L882" s="1" t="s">
        <v>3792</v>
      </c>
    </row>
    <row r="883" spans="1:12" x14ac:dyDescent="0.25">
      <c r="A883" s="1" t="s">
        <v>4690</v>
      </c>
      <c r="B883" s="1" t="s">
        <v>3811</v>
      </c>
      <c r="C883" s="1" t="s">
        <v>3812</v>
      </c>
      <c r="D883" s="1" t="s">
        <v>3826</v>
      </c>
      <c r="E883">
        <v>270513</v>
      </c>
      <c r="F883">
        <v>296890.17</v>
      </c>
      <c r="G883">
        <v>-26377.17</v>
      </c>
      <c r="H883" s="2">
        <v>45436</v>
      </c>
      <c r="I883" s="1" t="s">
        <v>3782</v>
      </c>
      <c r="J883" s="1" t="s">
        <v>3783</v>
      </c>
      <c r="K883" s="1" t="s">
        <v>3800</v>
      </c>
      <c r="L883" s="1" t="s">
        <v>3792</v>
      </c>
    </row>
    <row r="884" spans="1:12" x14ac:dyDescent="0.25">
      <c r="A884" s="1" t="s">
        <v>4691</v>
      </c>
      <c r="B884" s="1" t="s">
        <v>3839</v>
      </c>
      <c r="C884" s="1" t="s">
        <v>3780</v>
      </c>
      <c r="D884" s="1" t="s">
        <v>3834</v>
      </c>
      <c r="E884">
        <v>81879</v>
      </c>
      <c r="F884">
        <v>104151.21</v>
      </c>
      <c r="G884">
        <v>-22272.21</v>
      </c>
      <c r="H884" s="2">
        <v>45492</v>
      </c>
      <c r="I884" s="1" t="s">
        <v>3859</v>
      </c>
      <c r="J884" s="1" t="s">
        <v>3803</v>
      </c>
      <c r="K884" s="1" t="s">
        <v>3800</v>
      </c>
      <c r="L884" s="1" t="s">
        <v>51</v>
      </c>
    </row>
    <row r="885" spans="1:12" x14ac:dyDescent="0.25">
      <c r="A885" s="1" t="s">
        <v>4692</v>
      </c>
      <c r="B885" s="1" t="s">
        <v>3787</v>
      </c>
      <c r="C885" s="1" t="s">
        <v>3848</v>
      </c>
      <c r="D885" s="1" t="s">
        <v>3802</v>
      </c>
      <c r="E885">
        <v>367595</v>
      </c>
      <c r="F885">
        <v>430319.99</v>
      </c>
      <c r="G885">
        <v>-62724.99</v>
      </c>
      <c r="H885" s="2">
        <v>45076</v>
      </c>
      <c r="I885" s="1" t="s">
        <v>3790</v>
      </c>
      <c r="J885" s="1" t="s">
        <v>3783</v>
      </c>
      <c r="K885" s="1" t="s">
        <v>3784</v>
      </c>
      <c r="L885" s="1" t="s">
        <v>51</v>
      </c>
    </row>
    <row r="886" spans="1:12" x14ac:dyDescent="0.25">
      <c r="A886" s="1" t="s">
        <v>4693</v>
      </c>
      <c r="B886" s="1" t="s">
        <v>3794</v>
      </c>
      <c r="C886" s="1" t="s">
        <v>3788</v>
      </c>
      <c r="D886" s="1" t="s">
        <v>3837</v>
      </c>
      <c r="E886">
        <v>289597</v>
      </c>
      <c r="F886">
        <v>282397.92</v>
      </c>
      <c r="G886">
        <v>7199.08</v>
      </c>
      <c r="H886" s="2">
        <v>45257</v>
      </c>
      <c r="I886" s="1" t="s">
        <v>3790</v>
      </c>
      <c r="J886" s="1" t="s">
        <v>3783</v>
      </c>
      <c r="K886" s="1" t="s">
        <v>3784</v>
      </c>
      <c r="L886" s="1" t="s">
        <v>51</v>
      </c>
    </row>
    <row r="887" spans="1:12" x14ac:dyDescent="0.25">
      <c r="A887" s="1" t="s">
        <v>4694</v>
      </c>
      <c r="B887" s="1" t="s">
        <v>3808</v>
      </c>
      <c r="C887" s="1" t="s">
        <v>3795</v>
      </c>
      <c r="D887" s="1" t="s">
        <v>3789</v>
      </c>
      <c r="E887">
        <v>444300</v>
      </c>
      <c r="G887">
        <v>-23709.82</v>
      </c>
      <c r="H887" s="2">
        <v>45088</v>
      </c>
      <c r="I887" s="1" t="s">
        <v>3790</v>
      </c>
      <c r="J887" s="1" t="s">
        <v>3803</v>
      </c>
      <c r="K887" s="1" t="s">
        <v>3784</v>
      </c>
      <c r="L887" s="1" t="s">
        <v>51</v>
      </c>
    </row>
    <row r="888" spans="1:12" x14ac:dyDescent="0.25">
      <c r="A888" s="1" t="s">
        <v>4695</v>
      </c>
      <c r="B888" s="1" t="s">
        <v>3787</v>
      </c>
      <c r="C888" s="1" t="s">
        <v>3806</v>
      </c>
      <c r="D888" s="1" t="s">
        <v>3867</v>
      </c>
      <c r="E888">
        <v>229406</v>
      </c>
      <c r="F888">
        <v>256266.91</v>
      </c>
      <c r="G888">
        <v>-26860.91</v>
      </c>
      <c r="H888" s="2">
        <v>45089</v>
      </c>
      <c r="I888" s="1" t="s">
        <v>3790</v>
      </c>
      <c r="J888" s="1" t="s">
        <v>3791</v>
      </c>
      <c r="K888" s="1" t="s">
        <v>3784</v>
      </c>
      <c r="L888" s="1" t="s">
        <v>3792</v>
      </c>
    </row>
    <row r="889" spans="1:12" x14ac:dyDescent="0.25">
      <c r="A889" s="1" t="s">
        <v>4696</v>
      </c>
      <c r="B889" s="1" t="s">
        <v>3828</v>
      </c>
      <c r="C889" s="1" t="s">
        <v>3780</v>
      </c>
      <c r="D889" s="1" t="s">
        <v>3895</v>
      </c>
      <c r="E889">
        <v>433873</v>
      </c>
      <c r="F889">
        <v>471343.29</v>
      </c>
      <c r="G889">
        <v>-37470.29</v>
      </c>
      <c r="H889" s="2">
        <v>45554</v>
      </c>
      <c r="I889" s="1" t="s">
        <v>3790</v>
      </c>
      <c r="J889" s="1" t="s">
        <v>3791</v>
      </c>
      <c r="K889" s="1" t="s">
        <v>3800</v>
      </c>
      <c r="L889" s="1" t="s">
        <v>3809</v>
      </c>
    </row>
    <row r="890" spans="1:12" x14ac:dyDescent="0.25">
      <c r="A890" s="1" t="s">
        <v>4697</v>
      </c>
      <c r="B890" s="1" t="s">
        <v>3828</v>
      </c>
      <c r="C890" s="1" t="s">
        <v>3861</v>
      </c>
      <c r="D890" s="1" t="s">
        <v>3813</v>
      </c>
      <c r="E890">
        <v>412046</v>
      </c>
      <c r="F890">
        <v>414572.17</v>
      </c>
      <c r="G890">
        <v>-2526.17</v>
      </c>
      <c r="H890" s="2">
        <v>45433</v>
      </c>
      <c r="I890" s="1" t="s">
        <v>3790</v>
      </c>
      <c r="J890" s="1" t="s">
        <v>3803</v>
      </c>
      <c r="K890" s="1" t="s">
        <v>3800</v>
      </c>
      <c r="L890" s="1" t="s">
        <v>51</v>
      </c>
    </row>
    <row r="891" spans="1:12" x14ac:dyDescent="0.25">
      <c r="A891" s="1" t="s">
        <v>4698</v>
      </c>
      <c r="B891" s="1" t="s">
        <v>3828</v>
      </c>
      <c r="C891" s="1" t="s">
        <v>3780</v>
      </c>
      <c r="D891" s="1" t="s">
        <v>3826</v>
      </c>
      <c r="E891">
        <v>352830</v>
      </c>
      <c r="F891">
        <v>323583.27</v>
      </c>
      <c r="G891">
        <v>29246.73</v>
      </c>
      <c r="H891" s="2">
        <v>45336</v>
      </c>
      <c r="I891" s="1" t="s">
        <v>3790</v>
      </c>
      <c r="J891" s="1" t="s">
        <v>3823</v>
      </c>
      <c r="K891" s="1" t="s">
        <v>3784</v>
      </c>
      <c r="L891" s="1" t="s">
        <v>51</v>
      </c>
    </row>
    <row r="892" spans="1:12" x14ac:dyDescent="0.25">
      <c r="A892" s="1" t="s">
        <v>4699</v>
      </c>
      <c r="B892" s="1" t="s">
        <v>3839</v>
      </c>
      <c r="C892" s="1" t="s">
        <v>3806</v>
      </c>
      <c r="D892" s="1" t="s">
        <v>3837</v>
      </c>
      <c r="E892">
        <v>83091</v>
      </c>
      <c r="F892">
        <v>80652.12</v>
      </c>
      <c r="G892">
        <v>2438.88</v>
      </c>
      <c r="H892" s="2">
        <v>44967</v>
      </c>
      <c r="I892" s="1" t="s">
        <v>3790</v>
      </c>
      <c r="J892" s="1" t="s">
        <v>3823</v>
      </c>
      <c r="K892" s="1" t="s">
        <v>3804</v>
      </c>
      <c r="L892" s="1" t="s">
        <v>51</v>
      </c>
    </row>
    <row r="893" spans="1:12" x14ac:dyDescent="0.25">
      <c r="A893" s="1" t="s">
        <v>4700</v>
      </c>
      <c r="B893" s="1" t="s">
        <v>3798</v>
      </c>
      <c r="C893" s="1" t="s">
        <v>3795</v>
      </c>
      <c r="D893" s="1" t="s">
        <v>3799</v>
      </c>
      <c r="E893">
        <v>489090</v>
      </c>
      <c r="F893">
        <v>508698.44</v>
      </c>
      <c r="G893">
        <v>-19608.439999999999</v>
      </c>
      <c r="H893" s="2">
        <v>45437</v>
      </c>
      <c r="I893" s="1" t="s">
        <v>3790</v>
      </c>
      <c r="J893" s="1" t="s">
        <v>3823</v>
      </c>
      <c r="K893" s="1" t="s">
        <v>3800</v>
      </c>
      <c r="L893" s="1" t="s">
        <v>51</v>
      </c>
    </row>
    <row r="894" spans="1:12" x14ac:dyDescent="0.25">
      <c r="A894" s="1" t="s">
        <v>4701</v>
      </c>
      <c r="B894" s="1" t="s">
        <v>3798</v>
      </c>
      <c r="C894" s="1" t="s">
        <v>3780</v>
      </c>
      <c r="D894" s="1" t="s">
        <v>3813</v>
      </c>
      <c r="E894">
        <v>53049</v>
      </c>
      <c r="F894">
        <v>62831.16</v>
      </c>
      <c r="G894">
        <v>-9782.16</v>
      </c>
      <c r="H894" s="2">
        <v>45161</v>
      </c>
      <c r="I894" s="1" t="s">
        <v>3859</v>
      </c>
      <c r="J894" s="1" t="s">
        <v>3803</v>
      </c>
      <c r="K894" s="1" t="s">
        <v>3784</v>
      </c>
      <c r="L894" s="1" t="s">
        <v>3809</v>
      </c>
    </row>
    <row r="895" spans="1:12" x14ac:dyDescent="0.25">
      <c r="A895" s="1" t="s">
        <v>4702</v>
      </c>
      <c r="B895" s="1" t="s">
        <v>3787</v>
      </c>
      <c r="C895" s="1" t="s">
        <v>3821</v>
      </c>
      <c r="D895" s="1" t="s">
        <v>3781</v>
      </c>
      <c r="E895">
        <v>-263534</v>
      </c>
      <c r="F895">
        <v>274868.96000000002</v>
      </c>
      <c r="H895" s="2">
        <v>45085</v>
      </c>
      <c r="I895" s="1" t="s">
        <v>3859</v>
      </c>
      <c r="J895" s="1" t="s">
        <v>3783</v>
      </c>
      <c r="K895" s="1" t="s">
        <v>3784</v>
      </c>
      <c r="L895" s="1" t="s">
        <v>3809</v>
      </c>
    </row>
    <row r="896" spans="1:12" x14ac:dyDescent="0.25">
      <c r="A896" s="1" t="s">
        <v>4703</v>
      </c>
      <c r="B896" s="1" t="s">
        <v>3798</v>
      </c>
      <c r="C896" s="1" t="s">
        <v>3812</v>
      </c>
      <c r="D896" s="1" t="s">
        <v>3799</v>
      </c>
      <c r="E896">
        <v>-314516</v>
      </c>
      <c r="F896">
        <v>275322.02</v>
      </c>
      <c r="G896">
        <v>39193.980000000003</v>
      </c>
      <c r="H896" s="2">
        <v>45094</v>
      </c>
      <c r="I896" s="1" t="s">
        <v>3782</v>
      </c>
      <c r="J896" s="1" t="s">
        <v>3823</v>
      </c>
      <c r="K896" s="1" t="s">
        <v>3784</v>
      </c>
      <c r="L896" s="1" t="s">
        <v>51</v>
      </c>
    </row>
    <row r="897" spans="1:12" x14ac:dyDescent="0.25">
      <c r="A897" s="1" t="s">
        <v>4704</v>
      </c>
      <c r="B897" s="1" t="s">
        <v>3839</v>
      </c>
      <c r="C897" s="1" t="s">
        <v>3812</v>
      </c>
      <c r="D897" s="1" t="s">
        <v>3867</v>
      </c>
      <c r="E897">
        <v>390526</v>
      </c>
      <c r="F897">
        <v>476205.24</v>
      </c>
      <c r="H897" s="2">
        <v>45217</v>
      </c>
      <c r="I897" s="1" t="s">
        <v>3790</v>
      </c>
      <c r="J897" s="1" t="s">
        <v>3823</v>
      </c>
      <c r="K897" s="1" t="s">
        <v>3784</v>
      </c>
      <c r="L897" s="1" t="s">
        <v>51</v>
      </c>
    </row>
    <row r="898" spans="1:12" x14ac:dyDescent="0.25">
      <c r="A898" s="1" t="s">
        <v>4705</v>
      </c>
      <c r="B898" s="1" t="s">
        <v>3828</v>
      </c>
      <c r="C898" s="1" t="s">
        <v>3806</v>
      </c>
      <c r="D898" s="1" t="s">
        <v>3850</v>
      </c>
      <c r="E898">
        <v>162145</v>
      </c>
      <c r="F898">
        <v>130887.25</v>
      </c>
      <c r="G898">
        <v>31257.75</v>
      </c>
      <c r="H898" s="2">
        <v>45269</v>
      </c>
      <c r="I898" s="1" t="s">
        <v>3790</v>
      </c>
      <c r="J898" s="1" t="s">
        <v>3791</v>
      </c>
      <c r="K898" s="1" t="s">
        <v>3784</v>
      </c>
      <c r="L898" s="1" t="s">
        <v>3809</v>
      </c>
    </row>
    <row r="899" spans="1:12" x14ac:dyDescent="0.25">
      <c r="A899" s="1" t="s">
        <v>4706</v>
      </c>
      <c r="B899" s="1" t="s">
        <v>3787</v>
      </c>
      <c r="C899" s="1" t="s">
        <v>3821</v>
      </c>
      <c r="D899" s="1" t="s">
        <v>3799</v>
      </c>
      <c r="E899">
        <v>389446</v>
      </c>
      <c r="F899">
        <v>441845.35</v>
      </c>
      <c r="G899">
        <v>-52399.35</v>
      </c>
      <c r="H899" s="2">
        <v>45229</v>
      </c>
      <c r="I899" s="1" t="s">
        <v>3790</v>
      </c>
      <c r="J899" s="1" t="s">
        <v>3823</v>
      </c>
      <c r="K899" s="1" t="s">
        <v>3784</v>
      </c>
      <c r="L899" s="1" t="s">
        <v>3785</v>
      </c>
    </row>
    <row r="900" spans="1:12" x14ac:dyDescent="0.25">
      <c r="A900" s="1" t="s">
        <v>4707</v>
      </c>
      <c r="B900" s="1" t="s">
        <v>3839</v>
      </c>
      <c r="C900" s="1" t="s">
        <v>3861</v>
      </c>
      <c r="D900" s="1" t="s">
        <v>3789</v>
      </c>
      <c r="E900">
        <v>459009</v>
      </c>
      <c r="F900">
        <v>566572.53</v>
      </c>
      <c r="G900">
        <v>-107563.53</v>
      </c>
      <c r="H900" s="2">
        <v>45107</v>
      </c>
      <c r="I900" s="1" t="s">
        <v>3782</v>
      </c>
      <c r="J900" s="1" t="s">
        <v>3803</v>
      </c>
      <c r="K900" s="1" t="s">
        <v>3784</v>
      </c>
      <c r="L900" s="1" t="s">
        <v>51</v>
      </c>
    </row>
    <row r="901" spans="1:12" x14ac:dyDescent="0.25">
      <c r="A901" s="1" t="s">
        <v>4689</v>
      </c>
      <c r="B901" s="1" t="s">
        <v>3828</v>
      </c>
      <c r="C901" s="1" t="s">
        <v>3821</v>
      </c>
      <c r="D901" s="1" t="s">
        <v>3867</v>
      </c>
      <c r="E901">
        <v>198311</v>
      </c>
      <c r="F901">
        <v>202285.82</v>
      </c>
      <c r="G901">
        <v>-3974.82</v>
      </c>
      <c r="H901" s="2">
        <v>45609</v>
      </c>
      <c r="I901" s="1" t="s">
        <v>3782</v>
      </c>
      <c r="J901" s="1" t="s">
        <v>3823</v>
      </c>
      <c r="K901" s="1" t="s">
        <v>3800</v>
      </c>
      <c r="L901" s="1" t="s">
        <v>3792</v>
      </c>
    </row>
    <row r="902" spans="1:12" x14ac:dyDescent="0.25">
      <c r="A902" s="1" t="s">
        <v>4708</v>
      </c>
      <c r="B902" s="1" t="s">
        <v>3794</v>
      </c>
      <c r="C902" s="1" t="s">
        <v>3795</v>
      </c>
      <c r="D902" s="1" t="s">
        <v>3837</v>
      </c>
      <c r="E902">
        <v>190747</v>
      </c>
      <c r="F902">
        <v>213302.01</v>
      </c>
      <c r="G902">
        <v>-22555.01</v>
      </c>
      <c r="H902" s="2">
        <v>45219</v>
      </c>
      <c r="I902" s="1" t="s">
        <v>3782</v>
      </c>
      <c r="J902" s="1" t="s">
        <v>3783</v>
      </c>
      <c r="K902" s="1" t="s">
        <v>3784</v>
      </c>
      <c r="L902" s="1" t="s">
        <v>3809</v>
      </c>
    </row>
    <row r="903" spans="1:12" x14ac:dyDescent="0.25">
      <c r="A903" s="1" t="s">
        <v>4709</v>
      </c>
      <c r="B903" s="1" t="s">
        <v>3811</v>
      </c>
      <c r="C903" s="1" t="s">
        <v>51</v>
      </c>
      <c r="D903" s="1" t="s">
        <v>3895</v>
      </c>
      <c r="E903">
        <v>328626</v>
      </c>
      <c r="F903">
        <v>393670.11</v>
      </c>
      <c r="G903">
        <v>-65044.11</v>
      </c>
      <c r="H903" s="2">
        <v>45310</v>
      </c>
      <c r="I903" s="1" t="s">
        <v>3782</v>
      </c>
      <c r="J903" s="1" t="s">
        <v>3791</v>
      </c>
      <c r="K903" s="1" t="s">
        <v>3784</v>
      </c>
      <c r="L903" s="1" t="s">
        <v>3817</v>
      </c>
    </row>
    <row r="904" spans="1:12" x14ac:dyDescent="0.25">
      <c r="A904" s="1" t="s">
        <v>4710</v>
      </c>
      <c r="B904" s="1" t="s">
        <v>3811</v>
      </c>
      <c r="C904" s="1" t="s">
        <v>3825</v>
      </c>
      <c r="D904" s="1" t="s">
        <v>3813</v>
      </c>
      <c r="E904">
        <v>225579</v>
      </c>
      <c r="F904">
        <v>281255.76</v>
      </c>
      <c r="H904" s="2">
        <v>45221</v>
      </c>
      <c r="I904" s="1" t="s">
        <v>3782</v>
      </c>
      <c r="J904" s="1" t="s">
        <v>3791</v>
      </c>
      <c r="K904" s="1" t="s">
        <v>3784</v>
      </c>
      <c r="L904" s="1" t="s">
        <v>3817</v>
      </c>
    </row>
    <row r="905" spans="1:12" x14ac:dyDescent="0.25">
      <c r="A905" s="1" t="s">
        <v>4711</v>
      </c>
      <c r="B905" s="1" t="s">
        <v>3808</v>
      </c>
      <c r="C905" s="1" t="s">
        <v>3825</v>
      </c>
      <c r="D905" s="1" t="s">
        <v>3822</v>
      </c>
      <c r="E905">
        <v>406692</v>
      </c>
      <c r="F905">
        <v>495019.41</v>
      </c>
      <c r="G905">
        <v>-88327.41</v>
      </c>
      <c r="H905" s="2">
        <v>45205</v>
      </c>
      <c r="I905" s="1" t="s">
        <v>3790</v>
      </c>
      <c r="J905" s="1" t="s">
        <v>3791</v>
      </c>
      <c r="K905" s="1" t="s">
        <v>3784</v>
      </c>
      <c r="L905" s="1" t="s">
        <v>3792</v>
      </c>
    </row>
    <row r="906" spans="1:12" x14ac:dyDescent="0.25">
      <c r="A906" s="1" t="s">
        <v>4712</v>
      </c>
      <c r="B906" s="1" t="s">
        <v>3798</v>
      </c>
      <c r="C906" s="1" t="s">
        <v>3844</v>
      </c>
      <c r="D906" s="1" t="s">
        <v>3796</v>
      </c>
      <c r="E906">
        <v>377199</v>
      </c>
      <c r="F906">
        <v>344024.27</v>
      </c>
      <c r="G906">
        <v>33174.730000000003</v>
      </c>
      <c r="H906" s="2">
        <v>45170</v>
      </c>
      <c r="I906" s="1" t="s">
        <v>3782</v>
      </c>
      <c r="J906" s="1" t="s">
        <v>3803</v>
      </c>
      <c r="K906" s="1" t="s">
        <v>3784</v>
      </c>
      <c r="L906" s="1" t="s">
        <v>3831</v>
      </c>
    </row>
    <row r="907" spans="1:12" x14ac:dyDescent="0.25">
      <c r="A907" s="1" t="s">
        <v>4713</v>
      </c>
      <c r="B907" s="1" t="s">
        <v>3787</v>
      </c>
      <c r="C907" s="1" t="s">
        <v>3821</v>
      </c>
      <c r="D907" s="1" t="s">
        <v>3802</v>
      </c>
      <c r="E907">
        <v>111710</v>
      </c>
      <c r="F907">
        <v>123408.52</v>
      </c>
      <c r="G907">
        <v>-11698.52</v>
      </c>
      <c r="H907" s="2">
        <v>45324</v>
      </c>
      <c r="I907" s="1" t="s">
        <v>3790</v>
      </c>
      <c r="J907" s="1" t="s">
        <v>3823</v>
      </c>
      <c r="K907" s="1" t="s">
        <v>3784</v>
      </c>
      <c r="L907" s="1" t="s">
        <v>3817</v>
      </c>
    </row>
    <row r="908" spans="1:12" x14ac:dyDescent="0.25">
      <c r="A908" s="1" t="s">
        <v>4714</v>
      </c>
      <c r="B908" s="1" t="s">
        <v>3828</v>
      </c>
      <c r="C908" s="1" t="s">
        <v>3844</v>
      </c>
      <c r="D908" s="1" t="s">
        <v>3813</v>
      </c>
      <c r="E908">
        <v>476868</v>
      </c>
      <c r="G908">
        <v>70934.83</v>
      </c>
      <c r="H908" s="2">
        <v>45028</v>
      </c>
      <c r="I908" s="1" t="s">
        <v>3790</v>
      </c>
      <c r="J908" s="1" t="s">
        <v>3783</v>
      </c>
      <c r="K908" s="1" t="s">
        <v>3784</v>
      </c>
      <c r="L908" s="1" t="s">
        <v>3817</v>
      </c>
    </row>
    <row r="909" spans="1:12" x14ac:dyDescent="0.25">
      <c r="A909" s="1" t="s">
        <v>4715</v>
      </c>
      <c r="B909" s="1" t="s">
        <v>3798</v>
      </c>
      <c r="C909" s="1" t="s">
        <v>3788</v>
      </c>
      <c r="D909" s="1" t="s">
        <v>3855</v>
      </c>
      <c r="E909">
        <v>395554</v>
      </c>
      <c r="F909">
        <v>367928.69</v>
      </c>
      <c r="G909">
        <v>27625.31</v>
      </c>
      <c r="H909" s="2">
        <v>45562</v>
      </c>
      <c r="I909" s="1" t="s">
        <v>3859</v>
      </c>
      <c r="J909" s="1" t="s">
        <v>3783</v>
      </c>
      <c r="K909" s="1" t="s">
        <v>3800</v>
      </c>
      <c r="L909" s="1" t="s">
        <v>3785</v>
      </c>
    </row>
    <row r="910" spans="1:12" x14ac:dyDescent="0.25">
      <c r="A910" s="1" t="s">
        <v>4716</v>
      </c>
      <c r="B910" s="1" t="s">
        <v>3794</v>
      </c>
      <c r="C910" s="1" t="s">
        <v>3795</v>
      </c>
      <c r="D910" s="1" t="s">
        <v>3867</v>
      </c>
      <c r="E910">
        <v>360337</v>
      </c>
      <c r="F910">
        <v>414434.12</v>
      </c>
      <c r="G910">
        <v>-54097.120000000003</v>
      </c>
      <c r="H910" s="2">
        <v>45028</v>
      </c>
      <c r="I910" s="1" t="s">
        <v>3790</v>
      </c>
      <c r="J910" s="1" t="s">
        <v>3791</v>
      </c>
      <c r="K910" s="1" t="s">
        <v>3784</v>
      </c>
      <c r="L910" s="1" t="s">
        <v>51</v>
      </c>
    </row>
    <row r="911" spans="1:12" x14ac:dyDescent="0.25">
      <c r="A911" s="1" t="s">
        <v>4717</v>
      </c>
      <c r="B911" s="1" t="s">
        <v>3808</v>
      </c>
      <c r="C911" s="1" t="s">
        <v>3788</v>
      </c>
      <c r="D911" s="1" t="s">
        <v>3796</v>
      </c>
      <c r="E911">
        <v>351028</v>
      </c>
      <c r="F911">
        <v>385039.95</v>
      </c>
      <c r="G911">
        <v>-34011.949999999997</v>
      </c>
      <c r="H911" s="2">
        <v>45639</v>
      </c>
      <c r="I911" s="1" t="s">
        <v>3790</v>
      </c>
      <c r="J911" s="1" t="s">
        <v>3791</v>
      </c>
      <c r="K911" s="1" t="s">
        <v>3800</v>
      </c>
      <c r="L911" s="1" t="s">
        <v>3792</v>
      </c>
    </row>
    <row r="912" spans="1:12" x14ac:dyDescent="0.25">
      <c r="A912" s="1" t="s">
        <v>4718</v>
      </c>
      <c r="B912" s="1" t="s">
        <v>3794</v>
      </c>
      <c r="C912" s="1" t="s">
        <v>3858</v>
      </c>
      <c r="D912" s="1" t="s">
        <v>3850</v>
      </c>
      <c r="E912">
        <v>309529</v>
      </c>
      <c r="F912">
        <v>306562.45</v>
      </c>
      <c r="G912">
        <v>2966.55</v>
      </c>
      <c r="H912" s="2">
        <v>45659</v>
      </c>
      <c r="I912" s="1" t="s">
        <v>3790</v>
      </c>
      <c r="J912" s="1" t="s">
        <v>3783</v>
      </c>
      <c r="K912" s="1" t="s">
        <v>3800</v>
      </c>
      <c r="L912" s="1" t="s">
        <v>51</v>
      </c>
    </row>
    <row r="913" spans="1:12" x14ac:dyDescent="0.25">
      <c r="A913" s="1" t="s">
        <v>4719</v>
      </c>
      <c r="B913" s="1" t="s">
        <v>3828</v>
      </c>
      <c r="C913" s="1" t="s">
        <v>3844</v>
      </c>
      <c r="D913" s="1" t="s">
        <v>3834</v>
      </c>
      <c r="E913">
        <v>66495</v>
      </c>
      <c r="F913">
        <v>76533.45</v>
      </c>
      <c r="H913" s="2">
        <v>45577</v>
      </c>
      <c r="I913" s="1" t="s">
        <v>3790</v>
      </c>
      <c r="J913" s="1" t="s">
        <v>3823</v>
      </c>
      <c r="K913" s="1" t="s">
        <v>3800</v>
      </c>
      <c r="L913" s="1" t="s">
        <v>3809</v>
      </c>
    </row>
    <row r="914" spans="1:12" x14ac:dyDescent="0.25">
      <c r="A914" s="1" t="s">
        <v>4720</v>
      </c>
      <c r="B914" s="1" t="s">
        <v>3808</v>
      </c>
      <c r="C914" s="1" t="s">
        <v>3825</v>
      </c>
      <c r="D914" s="1" t="s">
        <v>3834</v>
      </c>
      <c r="E914">
        <v>420489</v>
      </c>
      <c r="F914">
        <v>490489.93</v>
      </c>
      <c r="G914">
        <v>-70000.929999999993</v>
      </c>
      <c r="H914" s="2">
        <v>45397</v>
      </c>
      <c r="I914" s="1" t="s">
        <v>3790</v>
      </c>
      <c r="J914" s="1" t="s">
        <v>3791</v>
      </c>
      <c r="K914" s="1" t="s">
        <v>3800</v>
      </c>
      <c r="L914" s="1" t="s">
        <v>51</v>
      </c>
    </row>
    <row r="915" spans="1:12" x14ac:dyDescent="0.25">
      <c r="A915" s="1" t="s">
        <v>4721</v>
      </c>
      <c r="B915" s="1" t="s">
        <v>3798</v>
      </c>
      <c r="C915" s="1" t="s">
        <v>3858</v>
      </c>
      <c r="D915" s="1" t="s">
        <v>3850</v>
      </c>
      <c r="E915">
        <v>284661</v>
      </c>
      <c r="F915">
        <v>274429.94</v>
      </c>
      <c r="G915">
        <v>10231.06</v>
      </c>
      <c r="H915" s="2">
        <v>45357</v>
      </c>
      <c r="I915" s="1" t="s">
        <v>3782</v>
      </c>
      <c r="J915" s="1" t="s">
        <v>3783</v>
      </c>
      <c r="K915" s="1" t="s">
        <v>3784</v>
      </c>
      <c r="L915" s="1" t="s">
        <v>51</v>
      </c>
    </row>
    <row r="916" spans="1:12" x14ac:dyDescent="0.25">
      <c r="A916" s="1" t="s">
        <v>4722</v>
      </c>
      <c r="B916" s="1" t="s">
        <v>3839</v>
      </c>
      <c r="C916" s="1" t="s">
        <v>3812</v>
      </c>
      <c r="D916" s="1" t="s">
        <v>3895</v>
      </c>
      <c r="E916">
        <v>458087</v>
      </c>
      <c r="F916">
        <v>503162.26</v>
      </c>
      <c r="G916">
        <v>-45075.26</v>
      </c>
      <c r="H916" s="2">
        <v>44972</v>
      </c>
      <c r="I916" s="1" t="s">
        <v>3790</v>
      </c>
      <c r="J916" s="1" t="s">
        <v>3803</v>
      </c>
      <c r="K916" s="1" t="s">
        <v>3804</v>
      </c>
      <c r="L916" s="1" t="s">
        <v>51</v>
      </c>
    </row>
    <row r="917" spans="1:12" x14ac:dyDescent="0.25">
      <c r="A917" s="1" t="s">
        <v>4723</v>
      </c>
      <c r="B917" s="1" t="s">
        <v>3828</v>
      </c>
      <c r="C917" s="1" t="s">
        <v>3858</v>
      </c>
      <c r="D917" s="1" t="s">
        <v>3834</v>
      </c>
      <c r="E917">
        <v>370541</v>
      </c>
      <c r="F917">
        <v>356161.54</v>
      </c>
      <c r="G917">
        <v>14379.46</v>
      </c>
      <c r="H917" s="2">
        <v>45681</v>
      </c>
      <c r="I917" s="1" t="s">
        <v>3790</v>
      </c>
      <c r="J917" s="1" t="s">
        <v>3803</v>
      </c>
      <c r="K917" s="1" t="s">
        <v>3800</v>
      </c>
      <c r="L917" s="1" t="s">
        <v>3809</v>
      </c>
    </row>
    <row r="918" spans="1:12" x14ac:dyDescent="0.25">
      <c r="A918" s="1" t="s">
        <v>4724</v>
      </c>
      <c r="B918" s="1" t="s">
        <v>3787</v>
      </c>
      <c r="C918" s="1" t="s">
        <v>3788</v>
      </c>
      <c r="D918" s="1" t="s">
        <v>3789</v>
      </c>
      <c r="E918">
        <v>386744</v>
      </c>
      <c r="F918">
        <v>448470.01</v>
      </c>
      <c r="G918">
        <v>-61726.01</v>
      </c>
      <c r="H918" s="2">
        <v>45210</v>
      </c>
      <c r="I918" s="1" t="s">
        <v>3790</v>
      </c>
      <c r="J918" s="1" t="s">
        <v>3791</v>
      </c>
      <c r="K918" s="1" t="s">
        <v>3784</v>
      </c>
      <c r="L918" s="1" t="s">
        <v>51</v>
      </c>
    </row>
    <row r="919" spans="1:12" x14ac:dyDescent="0.25">
      <c r="A919" s="1" t="s">
        <v>4725</v>
      </c>
      <c r="B919" s="1" t="s">
        <v>3794</v>
      </c>
      <c r="C919" s="1" t="s">
        <v>3858</v>
      </c>
      <c r="D919" s="1" t="s">
        <v>3850</v>
      </c>
      <c r="E919">
        <v>239819</v>
      </c>
      <c r="F919">
        <v>252413.51</v>
      </c>
      <c r="G919">
        <v>-12594.51</v>
      </c>
      <c r="H919" s="2">
        <v>45070</v>
      </c>
      <c r="I919" s="1" t="s">
        <v>3859</v>
      </c>
      <c r="J919" s="1" t="s">
        <v>3791</v>
      </c>
      <c r="K919" s="1" t="s">
        <v>3784</v>
      </c>
      <c r="L919" s="1" t="s">
        <v>3831</v>
      </c>
    </row>
    <row r="920" spans="1:12" x14ac:dyDescent="0.25">
      <c r="A920" s="1" t="s">
        <v>4726</v>
      </c>
      <c r="B920" s="1" t="s">
        <v>3798</v>
      </c>
      <c r="C920" s="1" t="s">
        <v>3844</v>
      </c>
      <c r="D920" s="1" t="s">
        <v>3802</v>
      </c>
      <c r="E920">
        <v>396834</v>
      </c>
      <c r="F920">
        <v>335318.40999999997</v>
      </c>
      <c r="H920" s="2">
        <v>45041</v>
      </c>
      <c r="I920" s="1" t="s">
        <v>3859</v>
      </c>
      <c r="J920" s="1" t="s">
        <v>3783</v>
      </c>
      <c r="K920" s="1" t="s">
        <v>3784</v>
      </c>
      <c r="L920" s="1" t="s">
        <v>51</v>
      </c>
    </row>
    <row r="921" spans="1:12" x14ac:dyDescent="0.25">
      <c r="A921" s="1" t="s">
        <v>4727</v>
      </c>
      <c r="B921" s="1" t="s">
        <v>3839</v>
      </c>
      <c r="C921" s="1" t="s">
        <v>3858</v>
      </c>
      <c r="D921" s="1" t="s">
        <v>3846</v>
      </c>
      <c r="E921">
        <v>7916</v>
      </c>
      <c r="F921">
        <v>6849.37</v>
      </c>
      <c r="G921">
        <v>1066.6300000000001</v>
      </c>
      <c r="H921" s="2">
        <v>44966</v>
      </c>
      <c r="I921" s="1" t="s">
        <v>3790</v>
      </c>
      <c r="J921" s="1" t="s">
        <v>3783</v>
      </c>
      <c r="K921" s="1" t="s">
        <v>3804</v>
      </c>
      <c r="L921" s="1" t="s">
        <v>51</v>
      </c>
    </row>
    <row r="922" spans="1:12" x14ac:dyDescent="0.25">
      <c r="A922" s="1" t="s">
        <v>4728</v>
      </c>
      <c r="B922" s="1" t="s">
        <v>3798</v>
      </c>
      <c r="C922" s="1" t="s">
        <v>3780</v>
      </c>
      <c r="D922" s="1" t="s">
        <v>3816</v>
      </c>
      <c r="E922">
        <v>323243</v>
      </c>
      <c r="F922">
        <v>399059.48</v>
      </c>
      <c r="G922">
        <v>-75816.479999999996</v>
      </c>
      <c r="H922" s="2">
        <v>45448</v>
      </c>
      <c r="I922" s="1" t="s">
        <v>3790</v>
      </c>
      <c r="J922" s="1" t="s">
        <v>3823</v>
      </c>
      <c r="K922" s="1" t="s">
        <v>3800</v>
      </c>
      <c r="L922" s="1" t="s">
        <v>3792</v>
      </c>
    </row>
    <row r="923" spans="1:12" x14ac:dyDescent="0.25">
      <c r="A923" s="1" t="s">
        <v>4729</v>
      </c>
      <c r="B923" s="1" t="s">
        <v>3794</v>
      </c>
      <c r="C923" s="1" t="s">
        <v>3821</v>
      </c>
      <c r="D923" s="1" t="s">
        <v>3802</v>
      </c>
      <c r="E923">
        <v>398985</v>
      </c>
      <c r="F923">
        <v>395738.02</v>
      </c>
      <c r="G923">
        <v>3246.98</v>
      </c>
      <c r="H923" s="2">
        <v>45036</v>
      </c>
      <c r="I923" s="1" t="s">
        <v>3790</v>
      </c>
      <c r="J923" s="1" t="s">
        <v>3823</v>
      </c>
      <c r="K923" s="1" t="s">
        <v>3784</v>
      </c>
      <c r="L923" s="1" t="s">
        <v>51</v>
      </c>
    </row>
    <row r="924" spans="1:12" x14ac:dyDescent="0.25">
      <c r="A924" s="1" t="s">
        <v>4730</v>
      </c>
      <c r="B924" s="1" t="s">
        <v>3798</v>
      </c>
      <c r="C924" s="1" t="s">
        <v>3788</v>
      </c>
      <c r="D924" s="1" t="s">
        <v>3834</v>
      </c>
      <c r="E924">
        <v>343562</v>
      </c>
      <c r="F924">
        <v>410532.73</v>
      </c>
      <c r="G924">
        <v>-66970.73</v>
      </c>
      <c r="H924" s="2">
        <v>45559</v>
      </c>
      <c r="I924" s="1" t="s">
        <v>3859</v>
      </c>
      <c r="J924" s="1" t="s">
        <v>3791</v>
      </c>
      <c r="K924" s="1" t="s">
        <v>3800</v>
      </c>
      <c r="L924" s="1" t="s">
        <v>51</v>
      </c>
    </row>
    <row r="925" spans="1:12" x14ac:dyDescent="0.25">
      <c r="A925" s="1" t="s">
        <v>4731</v>
      </c>
      <c r="B925" s="1" t="s">
        <v>3794</v>
      </c>
      <c r="C925" s="1" t="s">
        <v>3815</v>
      </c>
      <c r="D925" s="1" t="s">
        <v>3846</v>
      </c>
      <c r="E925">
        <v>46352</v>
      </c>
      <c r="F925">
        <v>49435.68</v>
      </c>
      <c r="G925">
        <v>-3083.68</v>
      </c>
      <c r="H925" s="2">
        <v>45099</v>
      </c>
      <c r="I925" s="1" t="s">
        <v>3790</v>
      </c>
      <c r="J925" s="1" t="s">
        <v>3791</v>
      </c>
      <c r="K925" s="1" t="s">
        <v>3784</v>
      </c>
      <c r="L925" s="1" t="s">
        <v>3785</v>
      </c>
    </row>
    <row r="926" spans="1:12" x14ac:dyDescent="0.25">
      <c r="A926" s="1" t="s">
        <v>4732</v>
      </c>
      <c r="B926" s="1" t="s">
        <v>3811</v>
      </c>
      <c r="C926" s="1" t="s">
        <v>3861</v>
      </c>
      <c r="D926" s="1" t="s">
        <v>3826</v>
      </c>
      <c r="E926">
        <v>248690</v>
      </c>
      <c r="F926">
        <v>310113.71000000002</v>
      </c>
      <c r="G926">
        <v>-61423.71</v>
      </c>
      <c r="H926" s="2">
        <v>45597</v>
      </c>
      <c r="I926" s="1" t="s">
        <v>3790</v>
      </c>
      <c r="J926" s="1" t="s">
        <v>3791</v>
      </c>
      <c r="K926" s="1" t="s">
        <v>3800</v>
      </c>
      <c r="L926" s="1" t="s">
        <v>51</v>
      </c>
    </row>
    <row r="927" spans="1:12" x14ac:dyDescent="0.25">
      <c r="A927" s="1" t="s">
        <v>4733</v>
      </c>
      <c r="B927" s="1" t="s">
        <v>3787</v>
      </c>
      <c r="C927" s="1" t="s">
        <v>3806</v>
      </c>
      <c r="D927" s="1" t="s">
        <v>3813</v>
      </c>
      <c r="E927">
        <v>486729</v>
      </c>
      <c r="F927">
        <v>517012.08</v>
      </c>
      <c r="G927">
        <v>-30283.08</v>
      </c>
      <c r="H927" s="2">
        <v>44932</v>
      </c>
      <c r="I927" s="1" t="s">
        <v>3790</v>
      </c>
      <c r="J927" s="1" t="s">
        <v>3783</v>
      </c>
      <c r="K927" s="1" t="s">
        <v>3804</v>
      </c>
      <c r="L927" s="1" t="s">
        <v>3831</v>
      </c>
    </row>
    <row r="928" spans="1:12" x14ac:dyDescent="0.25">
      <c r="A928" s="1" t="s">
        <v>4734</v>
      </c>
      <c r="B928" s="1" t="s">
        <v>51</v>
      </c>
      <c r="C928" s="1" t="s">
        <v>3844</v>
      </c>
      <c r="D928" s="1" t="s">
        <v>3781</v>
      </c>
      <c r="E928">
        <v>79229</v>
      </c>
      <c r="F928">
        <v>68410.240000000005</v>
      </c>
      <c r="G928">
        <v>10818.76</v>
      </c>
      <c r="H928" s="2">
        <v>45169</v>
      </c>
      <c r="I928" s="1" t="s">
        <v>3782</v>
      </c>
      <c r="J928" s="1" t="s">
        <v>3791</v>
      </c>
      <c r="K928" s="1" t="s">
        <v>3784</v>
      </c>
      <c r="L928" s="1" t="s">
        <v>3831</v>
      </c>
    </row>
    <row r="929" spans="1:12" x14ac:dyDescent="0.25">
      <c r="A929" s="1" t="s">
        <v>4735</v>
      </c>
      <c r="B929" s="1" t="s">
        <v>3808</v>
      </c>
      <c r="C929" s="1" t="s">
        <v>3844</v>
      </c>
      <c r="D929" s="1" t="s">
        <v>3799</v>
      </c>
      <c r="E929">
        <v>86309</v>
      </c>
      <c r="F929">
        <v>75559.28</v>
      </c>
      <c r="G929">
        <v>10749.72</v>
      </c>
      <c r="H929" s="2">
        <v>45661</v>
      </c>
      <c r="I929" s="1" t="s">
        <v>3790</v>
      </c>
      <c r="J929" s="1" t="s">
        <v>3823</v>
      </c>
      <c r="K929" s="1" t="s">
        <v>3800</v>
      </c>
      <c r="L929" s="1" t="s">
        <v>3785</v>
      </c>
    </row>
    <row r="930" spans="1:12" x14ac:dyDescent="0.25">
      <c r="A930" s="1" t="s">
        <v>4736</v>
      </c>
      <c r="B930" s="1" t="s">
        <v>3811</v>
      </c>
      <c r="C930" s="1" t="s">
        <v>3825</v>
      </c>
      <c r="D930" s="1" t="s">
        <v>3802</v>
      </c>
      <c r="E930">
        <v>111079</v>
      </c>
      <c r="F930">
        <v>104283.1</v>
      </c>
      <c r="G930">
        <v>6795.9</v>
      </c>
      <c r="H930" s="2">
        <v>45061</v>
      </c>
      <c r="I930" s="1" t="s">
        <v>3782</v>
      </c>
      <c r="J930" s="1" t="s">
        <v>3823</v>
      </c>
      <c r="K930" s="1" t="s">
        <v>3784</v>
      </c>
      <c r="L930" s="1" t="s">
        <v>51</v>
      </c>
    </row>
    <row r="931" spans="1:12" x14ac:dyDescent="0.25">
      <c r="A931" s="1" t="s">
        <v>4737</v>
      </c>
      <c r="B931" s="1" t="s">
        <v>3798</v>
      </c>
      <c r="C931" s="1" t="s">
        <v>3825</v>
      </c>
      <c r="D931" s="1" t="s">
        <v>3781</v>
      </c>
      <c r="E931">
        <v>159124</v>
      </c>
      <c r="F931">
        <v>143818.44</v>
      </c>
      <c r="G931">
        <v>15305.56</v>
      </c>
      <c r="H931" s="2">
        <v>45463</v>
      </c>
      <c r="I931" s="1" t="s">
        <v>3790</v>
      </c>
      <c r="J931" s="1" t="s">
        <v>3791</v>
      </c>
      <c r="K931" s="1" t="s">
        <v>3800</v>
      </c>
      <c r="L931" s="1" t="s">
        <v>3831</v>
      </c>
    </row>
    <row r="932" spans="1:12" x14ac:dyDescent="0.25">
      <c r="A932" s="1" t="s">
        <v>4738</v>
      </c>
      <c r="B932" s="1" t="s">
        <v>3811</v>
      </c>
      <c r="C932" s="1" t="s">
        <v>3788</v>
      </c>
      <c r="D932" s="1" t="s">
        <v>3822</v>
      </c>
      <c r="E932">
        <v>80224</v>
      </c>
      <c r="F932">
        <v>71471.3</v>
      </c>
      <c r="G932">
        <v>8752.7000000000007</v>
      </c>
      <c r="H932" s="2">
        <v>45726</v>
      </c>
      <c r="I932" s="1" t="s">
        <v>3790</v>
      </c>
      <c r="J932" s="1" t="s">
        <v>3783</v>
      </c>
      <c r="K932" s="1" t="s">
        <v>3800</v>
      </c>
      <c r="L932" s="1" t="s">
        <v>3817</v>
      </c>
    </row>
    <row r="933" spans="1:12" x14ac:dyDescent="0.25">
      <c r="A933" s="1" t="s">
        <v>3883</v>
      </c>
      <c r="B933" s="1" t="s">
        <v>3798</v>
      </c>
      <c r="C933" s="1" t="s">
        <v>3844</v>
      </c>
      <c r="D933" s="1" t="s">
        <v>3796</v>
      </c>
      <c r="E933">
        <v>325449</v>
      </c>
      <c r="F933">
        <v>392529.63</v>
      </c>
      <c r="G933">
        <v>-67080.63</v>
      </c>
      <c r="H933" s="2">
        <v>45709</v>
      </c>
      <c r="I933" s="1" t="s">
        <v>3790</v>
      </c>
      <c r="J933" s="1" t="s">
        <v>3791</v>
      </c>
      <c r="K933" s="1" t="s">
        <v>3800</v>
      </c>
      <c r="L933" s="1" t="s">
        <v>3809</v>
      </c>
    </row>
    <row r="934" spans="1:12" x14ac:dyDescent="0.25">
      <c r="A934" s="1" t="s">
        <v>4500</v>
      </c>
      <c r="B934" s="1" t="s">
        <v>3811</v>
      </c>
      <c r="C934" s="1" t="s">
        <v>3815</v>
      </c>
      <c r="D934" s="1" t="s">
        <v>3799</v>
      </c>
      <c r="E934">
        <v>310160</v>
      </c>
      <c r="F934">
        <v>351074.26</v>
      </c>
      <c r="G934">
        <v>-40914.26</v>
      </c>
      <c r="H934" s="2">
        <v>45337</v>
      </c>
      <c r="I934" s="1" t="s">
        <v>3790</v>
      </c>
      <c r="J934" s="1" t="s">
        <v>3823</v>
      </c>
      <c r="K934" s="1" t="s">
        <v>3784</v>
      </c>
      <c r="L934" s="1" t="s">
        <v>3792</v>
      </c>
    </row>
    <row r="935" spans="1:12" x14ac:dyDescent="0.25">
      <c r="A935" s="1" t="s">
        <v>4739</v>
      </c>
      <c r="B935" s="1" t="s">
        <v>3808</v>
      </c>
      <c r="C935" s="1" t="s">
        <v>3788</v>
      </c>
      <c r="D935" s="1" t="s">
        <v>3834</v>
      </c>
      <c r="E935">
        <v>498854</v>
      </c>
      <c r="F935">
        <v>429445.83</v>
      </c>
      <c r="G935">
        <v>69408.17</v>
      </c>
      <c r="H935" s="2">
        <v>45611</v>
      </c>
      <c r="I935" s="1" t="s">
        <v>3790</v>
      </c>
      <c r="J935" s="1" t="s">
        <v>3783</v>
      </c>
      <c r="K935" s="1" t="s">
        <v>3800</v>
      </c>
      <c r="L935" s="1" t="s">
        <v>3831</v>
      </c>
    </row>
    <row r="936" spans="1:12" x14ac:dyDescent="0.25">
      <c r="A936" s="1" t="s">
        <v>4740</v>
      </c>
      <c r="B936" s="1" t="s">
        <v>3808</v>
      </c>
      <c r="C936" s="1" t="s">
        <v>3858</v>
      </c>
      <c r="D936" s="1" t="s">
        <v>3837</v>
      </c>
      <c r="E936">
        <v>-409293</v>
      </c>
      <c r="F936">
        <v>342007.51</v>
      </c>
      <c r="G936">
        <v>67285.490000000005</v>
      </c>
      <c r="H936" s="2">
        <v>45092</v>
      </c>
      <c r="I936" s="1" t="s">
        <v>3790</v>
      </c>
      <c r="J936" s="1" t="s">
        <v>3783</v>
      </c>
      <c r="K936" s="1" t="s">
        <v>3784</v>
      </c>
      <c r="L936" s="1" t="s">
        <v>3809</v>
      </c>
    </row>
    <row r="937" spans="1:12" x14ac:dyDescent="0.25">
      <c r="A937" s="1" t="s">
        <v>4741</v>
      </c>
      <c r="B937" s="1" t="s">
        <v>3839</v>
      </c>
      <c r="C937" s="1" t="s">
        <v>3788</v>
      </c>
      <c r="D937" s="1" t="s">
        <v>3855</v>
      </c>
      <c r="E937">
        <v>410844</v>
      </c>
      <c r="F937">
        <v>405782.91</v>
      </c>
      <c r="G937">
        <v>5061.09</v>
      </c>
      <c r="H937" s="2">
        <v>45683</v>
      </c>
      <c r="I937" s="1" t="s">
        <v>3790</v>
      </c>
      <c r="J937" s="1" t="s">
        <v>3803</v>
      </c>
      <c r="K937" s="1" t="s">
        <v>3800</v>
      </c>
      <c r="L937" s="1" t="s">
        <v>51</v>
      </c>
    </row>
    <row r="938" spans="1:12" x14ac:dyDescent="0.25">
      <c r="A938" s="1" t="s">
        <v>4742</v>
      </c>
      <c r="B938" s="1" t="s">
        <v>3794</v>
      </c>
      <c r="C938" s="1" t="s">
        <v>3858</v>
      </c>
      <c r="D938" s="1" t="s">
        <v>3846</v>
      </c>
      <c r="E938">
        <v>-365851</v>
      </c>
      <c r="F938">
        <v>429202.67</v>
      </c>
      <c r="G938">
        <v>-63351.67</v>
      </c>
      <c r="H938" s="2">
        <v>45398</v>
      </c>
      <c r="I938" s="1" t="s">
        <v>3790</v>
      </c>
      <c r="J938" s="1" t="s">
        <v>3791</v>
      </c>
      <c r="K938" s="1" t="s">
        <v>3800</v>
      </c>
      <c r="L938" s="1" t="s">
        <v>3785</v>
      </c>
    </row>
    <row r="939" spans="1:12" x14ac:dyDescent="0.25">
      <c r="A939" s="1" t="s">
        <v>4743</v>
      </c>
      <c r="B939" s="1" t="s">
        <v>3811</v>
      </c>
      <c r="C939" s="1" t="s">
        <v>3795</v>
      </c>
      <c r="D939" s="1" t="s">
        <v>3789</v>
      </c>
      <c r="E939">
        <v>243174</v>
      </c>
      <c r="F939">
        <v>215513.25</v>
      </c>
      <c r="G939">
        <v>27660.75</v>
      </c>
      <c r="H939" s="2">
        <v>45701</v>
      </c>
      <c r="I939" s="1" t="s">
        <v>3859</v>
      </c>
      <c r="J939" s="1" t="s">
        <v>3783</v>
      </c>
      <c r="K939" s="1" t="s">
        <v>3800</v>
      </c>
      <c r="L939" s="1" t="s">
        <v>3831</v>
      </c>
    </row>
    <row r="940" spans="1:12" x14ac:dyDescent="0.25">
      <c r="A940" s="1" t="s">
        <v>4744</v>
      </c>
      <c r="B940" s="1" t="s">
        <v>3787</v>
      </c>
      <c r="C940" s="1" t="s">
        <v>3780</v>
      </c>
      <c r="D940" s="1" t="s">
        <v>3822</v>
      </c>
      <c r="E940">
        <v>460341</v>
      </c>
      <c r="F940">
        <v>501553.2</v>
      </c>
      <c r="G940">
        <v>-41212.199999999997</v>
      </c>
      <c r="H940" s="2">
        <v>45237</v>
      </c>
      <c r="I940" s="1" t="s">
        <v>3859</v>
      </c>
      <c r="J940" s="1" t="s">
        <v>3803</v>
      </c>
      <c r="K940" s="1" t="s">
        <v>3784</v>
      </c>
      <c r="L940" s="1" t="s">
        <v>3792</v>
      </c>
    </row>
    <row r="941" spans="1:12" x14ac:dyDescent="0.25">
      <c r="A941" s="1" t="s">
        <v>4745</v>
      </c>
      <c r="B941" s="1" t="s">
        <v>3787</v>
      </c>
      <c r="C941" s="1" t="s">
        <v>3806</v>
      </c>
      <c r="D941" s="1" t="s">
        <v>3837</v>
      </c>
      <c r="E941">
        <v>176359</v>
      </c>
      <c r="F941">
        <v>203534.64</v>
      </c>
      <c r="G941">
        <v>-27175.64</v>
      </c>
      <c r="H941" s="2">
        <v>45175</v>
      </c>
      <c r="I941" s="1" t="s">
        <v>3790</v>
      </c>
      <c r="J941" s="1" t="s">
        <v>3791</v>
      </c>
      <c r="K941" s="1" t="s">
        <v>3784</v>
      </c>
      <c r="L941" s="1" t="s">
        <v>3817</v>
      </c>
    </row>
    <row r="942" spans="1:12" x14ac:dyDescent="0.25">
      <c r="A942" s="1" t="s">
        <v>4746</v>
      </c>
      <c r="B942" s="1" t="s">
        <v>3828</v>
      </c>
      <c r="C942" s="1" t="s">
        <v>3815</v>
      </c>
      <c r="D942" s="1" t="s">
        <v>3813</v>
      </c>
      <c r="E942">
        <v>50128</v>
      </c>
      <c r="F942">
        <v>54308.31</v>
      </c>
      <c r="G942">
        <v>-4180.3100000000004</v>
      </c>
      <c r="H942" s="2">
        <v>45555</v>
      </c>
      <c r="I942" s="1" t="s">
        <v>3790</v>
      </c>
      <c r="J942" s="1" t="s">
        <v>3823</v>
      </c>
      <c r="K942" s="1" t="s">
        <v>3800</v>
      </c>
      <c r="L942" s="1" t="s">
        <v>3831</v>
      </c>
    </row>
    <row r="943" spans="1:12" x14ac:dyDescent="0.25">
      <c r="A943" s="1" t="s">
        <v>4682</v>
      </c>
      <c r="B943" s="1" t="s">
        <v>3808</v>
      </c>
      <c r="C943" s="1" t="s">
        <v>3844</v>
      </c>
      <c r="D943" s="1" t="s">
        <v>3846</v>
      </c>
      <c r="E943">
        <v>141275</v>
      </c>
      <c r="F943">
        <v>160348.10999999999</v>
      </c>
      <c r="G943">
        <v>-19073.11</v>
      </c>
      <c r="H943" s="2">
        <v>45394</v>
      </c>
      <c r="I943" s="1" t="s">
        <v>3790</v>
      </c>
      <c r="J943" s="1" t="s">
        <v>3823</v>
      </c>
      <c r="K943" s="1" t="s">
        <v>3800</v>
      </c>
      <c r="L943" s="1" t="s">
        <v>51</v>
      </c>
    </row>
    <row r="944" spans="1:12" x14ac:dyDescent="0.25">
      <c r="A944" s="1" t="s">
        <v>4747</v>
      </c>
      <c r="B944" s="1" t="s">
        <v>3828</v>
      </c>
      <c r="C944" s="1" t="s">
        <v>3858</v>
      </c>
      <c r="D944" s="1" t="s">
        <v>3855</v>
      </c>
      <c r="E944">
        <v>333550</v>
      </c>
      <c r="F944">
        <v>344603.39</v>
      </c>
      <c r="G944">
        <v>-11053.39</v>
      </c>
      <c r="H944" s="2">
        <v>45650</v>
      </c>
      <c r="I944" s="1" t="s">
        <v>3790</v>
      </c>
      <c r="J944" s="1" t="s">
        <v>3783</v>
      </c>
      <c r="K944" s="1" t="s">
        <v>3800</v>
      </c>
      <c r="L944" s="1" t="s">
        <v>51</v>
      </c>
    </row>
    <row r="945" spans="1:12" x14ac:dyDescent="0.25">
      <c r="A945" s="1" t="s">
        <v>4748</v>
      </c>
      <c r="B945" s="1" t="s">
        <v>3798</v>
      </c>
      <c r="C945" s="1" t="s">
        <v>3788</v>
      </c>
      <c r="D945" s="1" t="s">
        <v>3816</v>
      </c>
      <c r="E945">
        <v>291057</v>
      </c>
      <c r="F945">
        <v>367148.7</v>
      </c>
      <c r="G945">
        <v>-76091.7</v>
      </c>
      <c r="H945" s="2">
        <v>45181</v>
      </c>
      <c r="I945" s="1" t="s">
        <v>3790</v>
      </c>
      <c r="J945" s="1" t="s">
        <v>3783</v>
      </c>
      <c r="K945" s="1" t="s">
        <v>3784</v>
      </c>
      <c r="L945" s="1" t="s">
        <v>3817</v>
      </c>
    </row>
    <row r="946" spans="1:12" x14ac:dyDescent="0.25">
      <c r="A946" s="1" t="s">
        <v>4749</v>
      </c>
      <c r="B946" s="1" t="s">
        <v>3794</v>
      </c>
      <c r="C946" s="1" t="s">
        <v>3815</v>
      </c>
      <c r="D946" s="1" t="s">
        <v>3813</v>
      </c>
      <c r="E946">
        <v>86794</v>
      </c>
      <c r="F946">
        <v>96648.5</v>
      </c>
      <c r="G946">
        <v>-9854.5</v>
      </c>
      <c r="H946" s="2">
        <v>45394</v>
      </c>
      <c r="I946" s="1" t="s">
        <v>3790</v>
      </c>
      <c r="J946" s="1" t="s">
        <v>3783</v>
      </c>
      <c r="K946" s="1" t="s">
        <v>3800</v>
      </c>
      <c r="L946" s="1" t="s">
        <v>51</v>
      </c>
    </row>
    <row r="947" spans="1:12" x14ac:dyDescent="0.25">
      <c r="A947" s="1" t="s">
        <v>4750</v>
      </c>
      <c r="B947" s="1" t="s">
        <v>3808</v>
      </c>
      <c r="C947" s="1" t="s">
        <v>51</v>
      </c>
      <c r="D947" s="1" t="s">
        <v>3822</v>
      </c>
      <c r="E947">
        <v>430138</v>
      </c>
      <c r="F947">
        <v>480530.1</v>
      </c>
      <c r="G947">
        <v>-50392.1</v>
      </c>
      <c r="H947" s="2">
        <v>45649</v>
      </c>
      <c r="I947" s="1" t="s">
        <v>3790</v>
      </c>
      <c r="J947" s="1" t="s">
        <v>3791</v>
      </c>
      <c r="K947" s="1" t="s">
        <v>3800</v>
      </c>
      <c r="L947" s="1" t="s">
        <v>3817</v>
      </c>
    </row>
    <row r="948" spans="1:12" x14ac:dyDescent="0.25">
      <c r="A948" s="1" t="s">
        <v>4417</v>
      </c>
      <c r="B948" s="1" t="s">
        <v>3839</v>
      </c>
      <c r="C948" s="1" t="s">
        <v>3806</v>
      </c>
      <c r="D948" s="1" t="s">
        <v>3802</v>
      </c>
      <c r="E948">
        <v>443121</v>
      </c>
      <c r="F948">
        <v>551963.4</v>
      </c>
      <c r="G948">
        <v>-108842.4</v>
      </c>
      <c r="H948" s="2">
        <v>45618</v>
      </c>
      <c r="I948" s="1" t="s">
        <v>3782</v>
      </c>
      <c r="J948" s="1" t="s">
        <v>3783</v>
      </c>
      <c r="K948" s="1" t="s">
        <v>3800</v>
      </c>
      <c r="L948" s="1" t="s">
        <v>3792</v>
      </c>
    </row>
    <row r="949" spans="1:12" x14ac:dyDescent="0.25">
      <c r="A949" s="1" t="s">
        <v>4751</v>
      </c>
      <c r="B949" s="1" t="s">
        <v>3811</v>
      </c>
      <c r="C949" s="1" t="s">
        <v>3821</v>
      </c>
      <c r="D949" s="1" t="s">
        <v>3802</v>
      </c>
      <c r="E949">
        <v>277220</v>
      </c>
      <c r="F949">
        <v>277889.01</v>
      </c>
      <c r="G949">
        <v>-669.01</v>
      </c>
      <c r="H949" s="2">
        <v>45169</v>
      </c>
      <c r="I949" s="1" t="s">
        <v>3790</v>
      </c>
      <c r="J949" s="1" t="s">
        <v>3791</v>
      </c>
      <c r="K949" s="1" t="s">
        <v>3784</v>
      </c>
      <c r="L949" s="1" t="s">
        <v>51</v>
      </c>
    </row>
    <row r="950" spans="1:12" x14ac:dyDescent="0.25">
      <c r="A950" s="1" t="s">
        <v>4752</v>
      </c>
      <c r="B950" s="1" t="s">
        <v>3787</v>
      </c>
      <c r="C950" s="1" t="s">
        <v>3844</v>
      </c>
      <c r="D950" s="1" t="s">
        <v>3816</v>
      </c>
      <c r="E950">
        <v>499478</v>
      </c>
      <c r="F950">
        <v>511122.57</v>
      </c>
      <c r="G950">
        <v>-11644.57</v>
      </c>
      <c r="H950" s="2">
        <v>45035</v>
      </c>
      <c r="I950" s="1" t="s">
        <v>3790</v>
      </c>
      <c r="J950" s="1" t="s">
        <v>3823</v>
      </c>
      <c r="K950" s="1" t="s">
        <v>3784</v>
      </c>
      <c r="L950" s="1" t="s">
        <v>51</v>
      </c>
    </row>
    <row r="951" spans="1:12" x14ac:dyDescent="0.25">
      <c r="A951" s="1" t="s">
        <v>4753</v>
      </c>
      <c r="B951" s="1" t="s">
        <v>3787</v>
      </c>
      <c r="C951" s="1" t="s">
        <v>3795</v>
      </c>
      <c r="D951" s="1" t="s">
        <v>3822</v>
      </c>
      <c r="E951">
        <v>76845</v>
      </c>
      <c r="F951">
        <v>63790.53</v>
      </c>
      <c r="G951">
        <v>13054.47</v>
      </c>
      <c r="H951" s="2">
        <v>45091</v>
      </c>
      <c r="I951" s="1" t="s">
        <v>3790</v>
      </c>
      <c r="J951" s="1" t="s">
        <v>3823</v>
      </c>
      <c r="K951" s="1" t="s">
        <v>3784</v>
      </c>
      <c r="L951" s="1" t="s">
        <v>51</v>
      </c>
    </row>
    <row r="952" spans="1:12" x14ac:dyDescent="0.25">
      <c r="A952" s="1" t="s">
        <v>4754</v>
      </c>
      <c r="B952" s="1" t="s">
        <v>3811</v>
      </c>
      <c r="C952" s="1" t="s">
        <v>3815</v>
      </c>
      <c r="D952" s="1" t="s">
        <v>3837</v>
      </c>
      <c r="E952">
        <v>487319</v>
      </c>
      <c r="F952">
        <v>556137.76</v>
      </c>
      <c r="G952">
        <v>-68818.759999999995</v>
      </c>
      <c r="H952" s="2">
        <v>45287</v>
      </c>
      <c r="I952" s="1" t="s">
        <v>3782</v>
      </c>
      <c r="J952" s="1" t="s">
        <v>3823</v>
      </c>
      <c r="K952" s="1" t="s">
        <v>3784</v>
      </c>
      <c r="L952" s="1" t="s">
        <v>51</v>
      </c>
    </row>
    <row r="953" spans="1:12" x14ac:dyDescent="0.25">
      <c r="A953" s="1" t="s">
        <v>4755</v>
      </c>
      <c r="B953" s="1" t="s">
        <v>3828</v>
      </c>
      <c r="C953" s="1" t="s">
        <v>3844</v>
      </c>
      <c r="D953" s="1" t="s">
        <v>3799</v>
      </c>
      <c r="E953">
        <v>76629</v>
      </c>
      <c r="F953">
        <v>81359.81</v>
      </c>
      <c r="H953" s="2">
        <v>45613</v>
      </c>
      <c r="I953" s="1" t="s">
        <v>3790</v>
      </c>
      <c r="J953" s="1" t="s">
        <v>3791</v>
      </c>
      <c r="K953" s="1" t="s">
        <v>3800</v>
      </c>
      <c r="L953" s="1" t="s">
        <v>51</v>
      </c>
    </row>
    <row r="954" spans="1:12" x14ac:dyDescent="0.25">
      <c r="A954" s="1" t="s">
        <v>4756</v>
      </c>
      <c r="B954" s="1" t="s">
        <v>3828</v>
      </c>
      <c r="C954" s="1" t="s">
        <v>3844</v>
      </c>
      <c r="D954" s="1" t="s">
        <v>3834</v>
      </c>
      <c r="E954">
        <v>468155</v>
      </c>
      <c r="F954">
        <v>519858.4</v>
      </c>
      <c r="G954">
        <v>-51703.4</v>
      </c>
      <c r="H954" s="2">
        <v>45046</v>
      </c>
      <c r="I954" s="1" t="s">
        <v>3782</v>
      </c>
      <c r="J954" s="1" t="s">
        <v>3783</v>
      </c>
      <c r="K954" s="1" t="s">
        <v>3784</v>
      </c>
      <c r="L954" s="1" t="s">
        <v>51</v>
      </c>
    </row>
    <row r="955" spans="1:12" x14ac:dyDescent="0.25">
      <c r="A955" s="1" t="s">
        <v>4757</v>
      </c>
      <c r="B955" s="1" t="s">
        <v>3808</v>
      </c>
      <c r="C955" s="1" t="s">
        <v>3806</v>
      </c>
      <c r="D955" s="1" t="s">
        <v>3822</v>
      </c>
      <c r="E955">
        <v>399688</v>
      </c>
      <c r="F955">
        <v>389275.04</v>
      </c>
      <c r="G955">
        <v>10412.959999999999</v>
      </c>
      <c r="H955" s="2">
        <v>45203</v>
      </c>
      <c r="I955" s="1" t="s">
        <v>3859</v>
      </c>
      <c r="J955" s="1" t="s">
        <v>3783</v>
      </c>
      <c r="K955" s="1" t="s">
        <v>3784</v>
      </c>
      <c r="L955" s="1" t="s">
        <v>51</v>
      </c>
    </row>
    <row r="956" spans="1:12" x14ac:dyDescent="0.25">
      <c r="A956" s="1" t="s">
        <v>4758</v>
      </c>
      <c r="B956" s="1" t="s">
        <v>3828</v>
      </c>
      <c r="C956" s="1" t="s">
        <v>3795</v>
      </c>
      <c r="D956" s="1" t="s">
        <v>3789</v>
      </c>
      <c r="E956">
        <v>214509</v>
      </c>
      <c r="F956">
        <v>230804.26</v>
      </c>
      <c r="G956">
        <v>-16295.26</v>
      </c>
      <c r="H956" s="2">
        <v>45056</v>
      </c>
      <c r="I956" s="1" t="s">
        <v>3782</v>
      </c>
      <c r="J956" s="1" t="s">
        <v>3823</v>
      </c>
      <c r="K956" s="1" t="s">
        <v>3784</v>
      </c>
      <c r="L956" s="1" t="s">
        <v>51</v>
      </c>
    </row>
    <row r="957" spans="1:12" x14ac:dyDescent="0.25">
      <c r="A957" s="1" t="s">
        <v>4759</v>
      </c>
      <c r="B957" s="1" t="s">
        <v>3798</v>
      </c>
      <c r="C957" s="1" t="s">
        <v>3844</v>
      </c>
      <c r="D957" s="1" t="s">
        <v>3813</v>
      </c>
      <c r="E957">
        <v>462100</v>
      </c>
      <c r="F957">
        <v>520680.06</v>
      </c>
      <c r="G957">
        <v>-58580.06</v>
      </c>
      <c r="H957" s="2">
        <v>45480</v>
      </c>
      <c r="I957" s="1" t="s">
        <v>3790</v>
      </c>
      <c r="J957" s="1" t="s">
        <v>3803</v>
      </c>
      <c r="K957" s="1" t="s">
        <v>3800</v>
      </c>
      <c r="L957" s="1" t="s">
        <v>3785</v>
      </c>
    </row>
    <row r="958" spans="1:12" x14ac:dyDescent="0.25">
      <c r="A958" s="1" t="s">
        <v>4760</v>
      </c>
      <c r="B958" s="1" t="s">
        <v>3787</v>
      </c>
      <c r="C958" s="1" t="s">
        <v>3825</v>
      </c>
      <c r="D958" s="1" t="s">
        <v>3855</v>
      </c>
      <c r="E958">
        <v>335867</v>
      </c>
      <c r="F958">
        <v>328625.09000000003</v>
      </c>
      <c r="G958">
        <v>7241.91</v>
      </c>
      <c r="H958" s="2">
        <v>45242</v>
      </c>
      <c r="I958" s="1" t="s">
        <v>3790</v>
      </c>
      <c r="J958" s="1" t="s">
        <v>3803</v>
      </c>
      <c r="K958" s="1" t="s">
        <v>3784</v>
      </c>
      <c r="L958" s="1" t="s">
        <v>3831</v>
      </c>
    </row>
    <row r="959" spans="1:12" x14ac:dyDescent="0.25">
      <c r="A959" s="1" t="s">
        <v>4761</v>
      </c>
      <c r="B959" s="1" t="s">
        <v>3828</v>
      </c>
      <c r="C959" s="1" t="s">
        <v>3788</v>
      </c>
      <c r="D959" s="1" t="s">
        <v>3822</v>
      </c>
      <c r="E959">
        <v>321335</v>
      </c>
      <c r="F959">
        <v>355160.31</v>
      </c>
      <c r="G959">
        <v>-33825.31</v>
      </c>
      <c r="H959" s="2">
        <v>45627</v>
      </c>
      <c r="I959" s="1" t="s">
        <v>3782</v>
      </c>
      <c r="J959" s="1" t="s">
        <v>3791</v>
      </c>
      <c r="K959" s="1" t="s">
        <v>3800</v>
      </c>
      <c r="L959" s="1" t="s">
        <v>3817</v>
      </c>
    </row>
    <row r="960" spans="1:12" x14ac:dyDescent="0.25">
      <c r="A960" s="1" t="s">
        <v>4762</v>
      </c>
      <c r="B960" s="1" t="s">
        <v>3828</v>
      </c>
      <c r="C960" s="1" t="s">
        <v>3806</v>
      </c>
      <c r="D960" s="1" t="s">
        <v>3867</v>
      </c>
      <c r="E960">
        <v>282538</v>
      </c>
      <c r="F960">
        <v>279029.98</v>
      </c>
      <c r="G960">
        <v>3508.02</v>
      </c>
      <c r="H960" s="2">
        <v>45216</v>
      </c>
      <c r="I960" s="1" t="s">
        <v>3790</v>
      </c>
      <c r="J960" s="1" t="s">
        <v>3783</v>
      </c>
      <c r="K960" s="1" t="s">
        <v>3784</v>
      </c>
      <c r="L960" s="1" t="s">
        <v>3785</v>
      </c>
    </row>
    <row r="961" spans="1:12" x14ac:dyDescent="0.25">
      <c r="A961" s="1" t="s">
        <v>4763</v>
      </c>
      <c r="B961" s="1" t="s">
        <v>3811</v>
      </c>
      <c r="C961" s="1" t="s">
        <v>3780</v>
      </c>
      <c r="D961" s="1" t="s">
        <v>3796</v>
      </c>
      <c r="E961">
        <v>497186</v>
      </c>
      <c r="F961">
        <v>638221.61</v>
      </c>
      <c r="G961">
        <v>-141035.60999999999</v>
      </c>
      <c r="H961" s="2">
        <v>45024</v>
      </c>
      <c r="I961" s="1" t="s">
        <v>3790</v>
      </c>
      <c r="J961" s="1" t="s">
        <v>3783</v>
      </c>
      <c r="K961" s="1" t="s">
        <v>3784</v>
      </c>
      <c r="L961" s="1" t="s">
        <v>3831</v>
      </c>
    </row>
    <row r="962" spans="1:12" x14ac:dyDescent="0.25">
      <c r="A962" s="1" t="s">
        <v>4764</v>
      </c>
      <c r="B962" s="1" t="s">
        <v>3811</v>
      </c>
      <c r="C962" s="1" t="s">
        <v>3858</v>
      </c>
      <c r="D962" s="1" t="s">
        <v>3895</v>
      </c>
      <c r="E962">
        <v>369946</v>
      </c>
      <c r="F962">
        <v>423565.82</v>
      </c>
      <c r="G962">
        <v>-53619.82</v>
      </c>
      <c r="H962" s="2">
        <v>45227</v>
      </c>
      <c r="I962" s="1" t="s">
        <v>3790</v>
      </c>
      <c r="J962" s="1" t="s">
        <v>3803</v>
      </c>
      <c r="K962" s="1" t="s">
        <v>3784</v>
      </c>
      <c r="L962" s="1" t="s">
        <v>51</v>
      </c>
    </row>
    <row r="963" spans="1:12" x14ac:dyDescent="0.25">
      <c r="A963" s="1" t="s">
        <v>4765</v>
      </c>
      <c r="B963" s="1" t="s">
        <v>3798</v>
      </c>
      <c r="C963" s="1" t="s">
        <v>3821</v>
      </c>
      <c r="D963" s="1" t="s">
        <v>3837</v>
      </c>
      <c r="E963">
        <v>311511</v>
      </c>
      <c r="F963">
        <v>333501.96999999997</v>
      </c>
      <c r="G963">
        <v>-21990.97</v>
      </c>
      <c r="H963" s="2">
        <v>44945</v>
      </c>
      <c r="I963" s="1" t="s">
        <v>3782</v>
      </c>
      <c r="J963" s="1" t="s">
        <v>3783</v>
      </c>
      <c r="K963" s="1" t="s">
        <v>3804</v>
      </c>
      <c r="L963" s="1" t="s">
        <v>51</v>
      </c>
    </row>
    <row r="964" spans="1:12" x14ac:dyDescent="0.25">
      <c r="A964" s="1" t="s">
        <v>4766</v>
      </c>
      <c r="B964" s="1" t="s">
        <v>3839</v>
      </c>
      <c r="C964" s="1" t="s">
        <v>51</v>
      </c>
      <c r="D964" s="1" t="s">
        <v>3850</v>
      </c>
      <c r="E964">
        <v>159696</v>
      </c>
      <c r="F964">
        <v>172996.13</v>
      </c>
      <c r="G964">
        <v>-13300.13</v>
      </c>
      <c r="H964" s="2">
        <v>45673</v>
      </c>
      <c r="I964" s="1" t="s">
        <v>3790</v>
      </c>
      <c r="J964" s="1" t="s">
        <v>3823</v>
      </c>
      <c r="K964" s="1" t="s">
        <v>3800</v>
      </c>
      <c r="L964" s="1" t="s">
        <v>3817</v>
      </c>
    </row>
    <row r="965" spans="1:12" x14ac:dyDescent="0.25">
      <c r="A965" s="1" t="s">
        <v>4767</v>
      </c>
      <c r="B965" s="1" t="s">
        <v>51</v>
      </c>
      <c r="C965" s="1" t="s">
        <v>3861</v>
      </c>
      <c r="D965" s="1" t="s">
        <v>3895</v>
      </c>
      <c r="E965">
        <v>287823</v>
      </c>
      <c r="F965">
        <v>326728.3</v>
      </c>
      <c r="G965">
        <v>-38905.300000000003</v>
      </c>
      <c r="H965" s="2">
        <v>45058</v>
      </c>
      <c r="I965" s="1" t="s">
        <v>3782</v>
      </c>
      <c r="J965" s="1" t="s">
        <v>3791</v>
      </c>
      <c r="K965" s="1" t="s">
        <v>3784</v>
      </c>
      <c r="L965" s="1" t="s">
        <v>3792</v>
      </c>
    </row>
    <row r="966" spans="1:12" x14ac:dyDescent="0.25">
      <c r="A966" s="1" t="s">
        <v>4768</v>
      </c>
      <c r="B966" s="1" t="s">
        <v>3828</v>
      </c>
      <c r="C966" s="1" t="s">
        <v>3812</v>
      </c>
      <c r="D966" s="1" t="s">
        <v>3799</v>
      </c>
      <c r="E966">
        <v>222238</v>
      </c>
      <c r="G966">
        <v>15926.96</v>
      </c>
      <c r="H966" s="2">
        <v>45743</v>
      </c>
      <c r="I966" s="1" t="s">
        <v>3790</v>
      </c>
      <c r="J966" s="1" t="s">
        <v>3783</v>
      </c>
      <c r="K966" s="1" t="s">
        <v>3800</v>
      </c>
      <c r="L966" s="1" t="s">
        <v>3785</v>
      </c>
    </row>
    <row r="967" spans="1:12" x14ac:dyDescent="0.25">
      <c r="A967" s="1" t="s">
        <v>4769</v>
      </c>
      <c r="B967" s="1" t="s">
        <v>3811</v>
      </c>
      <c r="C967" s="1" t="s">
        <v>3815</v>
      </c>
      <c r="D967" s="1" t="s">
        <v>3789</v>
      </c>
      <c r="E967">
        <v>325799</v>
      </c>
      <c r="F967">
        <v>407695.68</v>
      </c>
      <c r="G967">
        <v>-81896.679999999993</v>
      </c>
      <c r="H967" s="2">
        <v>45460</v>
      </c>
      <c r="I967" s="1" t="s">
        <v>3790</v>
      </c>
      <c r="J967" s="1" t="s">
        <v>3803</v>
      </c>
      <c r="K967" s="1" t="s">
        <v>3800</v>
      </c>
      <c r="L967" s="1" t="s">
        <v>3792</v>
      </c>
    </row>
    <row r="968" spans="1:12" x14ac:dyDescent="0.25">
      <c r="A968" s="1" t="s">
        <v>4770</v>
      </c>
      <c r="B968" s="1" t="s">
        <v>3787</v>
      </c>
      <c r="C968" s="1" t="s">
        <v>3858</v>
      </c>
      <c r="D968" s="1" t="s">
        <v>3837</v>
      </c>
      <c r="E968">
        <v>388292</v>
      </c>
      <c r="F968">
        <v>354480.19</v>
      </c>
      <c r="G968">
        <v>33811.81</v>
      </c>
      <c r="H968" s="2">
        <v>45623</v>
      </c>
      <c r="I968" s="1" t="s">
        <v>3859</v>
      </c>
      <c r="J968" s="1" t="s">
        <v>3803</v>
      </c>
      <c r="K968" s="1" t="s">
        <v>3800</v>
      </c>
      <c r="L968" s="1" t="s">
        <v>51</v>
      </c>
    </row>
    <row r="969" spans="1:12" x14ac:dyDescent="0.25">
      <c r="A969" s="1" t="s">
        <v>4771</v>
      </c>
      <c r="B969" s="1" t="s">
        <v>3794</v>
      </c>
      <c r="C969" s="1" t="s">
        <v>3806</v>
      </c>
      <c r="D969" s="1" t="s">
        <v>3802</v>
      </c>
      <c r="E969">
        <v>189639</v>
      </c>
      <c r="F969">
        <v>196448.91</v>
      </c>
      <c r="G969">
        <v>-6809.91</v>
      </c>
      <c r="H969" s="2">
        <v>45045</v>
      </c>
      <c r="I969" s="1" t="s">
        <v>3790</v>
      </c>
      <c r="J969" s="1" t="s">
        <v>3823</v>
      </c>
      <c r="K969" s="1" t="s">
        <v>3784</v>
      </c>
      <c r="L969" s="1" t="s">
        <v>3809</v>
      </c>
    </row>
    <row r="970" spans="1:12" x14ac:dyDescent="0.25">
      <c r="A970" s="1" t="s">
        <v>4772</v>
      </c>
      <c r="B970" s="1" t="s">
        <v>3828</v>
      </c>
      <c r="C970" s="1" t="s">
        <v>3821</v>
      </c>
      <c r="D970" s="1" t="s">
        <v>3826</v>
      </c>
      <c r="E970">
        <v>222437</v>
      </c>
      <c r="F970">
        <v>236308.27</v>
      </c>
      <c r="G970">
        <v>-13871.27</v>
      </c>
      <c r="H970" s="2">
        <v>45210</v>
      </c>
      <c r="I970" s="1" t="s">
        <v>3782</v>
      </c>
      <c r="J970" s="1" t="s">
        <v>3783</v>
      </c>
      <c r="K970" s="1" t="s">
        <v>3784</v>
      </c>
      <c r="L970" s="1" t="s">
        <v>3809</v>
      </c>
    </row>
    <row r="971" spans="1:12" x14ac:dyDescent="0.25">
      <c r="A971" s="1" t="s">
        <v>4773</v>
      </c>
      <c r="B971" s="1" t="s">
        <v>3798</v>
      </c>
      <c r="C971" s="1" t="s">
        <v>3825</v>
      </c>
      <c r="D971" s="1" t="s">
        <v>3796</v>
      </c>
      <c r="E971">
        <v>331095</v>
      </c>
      <c r="F971">
        <v>379350.06</v>
      </c>
      <c r="G971">
        <v>-48255.06</v>
      </c>
      <c r="H971" s="2">
        <v>45615</v>
      </c>
      <c r="I971" s="1" t="s">
        <v>3790</v>
      </c>
      <c r="J971" s="1" t="s">
        <v>3823</v>
      </c>
      <c r="K971" s="1" t="s">
        <v>3800</v>
      </c>
      <c r="L971" s="1" t="s">
        <v>3809</v>
      </c>
    </row>
    <row r="972" spans="1:12" x14ac:dyDescent="0.25">
      <c r="A972" s="1" t="s">
        <v>4774</v>
      </c>
      <c r="B972" s="1" t="s">
        <v>3787</v>
      </c>
      <c r="C972" s="1" t="s">
        <v>3788</v>
      </c>
      <c r="D972" s="1" t="s">
        <v>3850</v>
      </c>
      <c r="E972">
        <v>3139665</v>
      </c>
      <c r="F972">
        <v>2934545.77</v>
      </c>
      <c r="G972">
        <v>205119.23</v>
      </c>
      <c r="H972" s="2">
        <v>45049</v>
      </c>
      <c r="I972" s="1" t="s">
        <v>3790</v>
      </c>
      <c r="J972" s="1" t="s">
        <v>3783</v>
      </c>
      <c r="K972" s="1" t="s">
        <v>3784</v>
      </c>
      <c r="L972" s="1" t="s">
        <v>3831</v>
      </c>
    </row>
    <row r="973" spans="1:12" x14ac:dyDescent="0.25">
      <c r="A973" s="1" t="s">
        <v>4775</v>
      </c>
      <c r="B973" s="1" t="s">
        <v>3839</v>
      </c>
      <c r="C973" s="1" t="s">
        <v>3848</v>
      </c>
      <c r="D973" s="1" t="s">
        <v>3834</v>
      </c>
      <c r="E973">
        <v>145773</v>
      </c>
      <c r="F973">
        <v>182855.52</v>
      </c>
      <c r="G973">
        <v>-37082.519999999997</v>
      </c>
      <c r="H973" s="2">
        <v>45039</v>
      </c>
      <c r="I973" s="1" t="s">
        <v>3790</v>
      </c>
      <c r="J973" s="1" t="s">
        <v>3803</v>
      </c>
      <c r="K973" s="1" t="s">
        <v>3784</v>
      </c>
      <c r="L973" s="1" t="s">
        <v>51</v>
      </c>
    </row>
    <row r="974" spans="1:12" x14ac:dyDescent="0.25">
      <c r="A974" s="1" t="s">
        <v>4776</v>
      </c>
      <c r="B974" s="1" t="s">
        <v>3794</v>
      </c>
      <c r="C974" s="1" t="s">
        <v>51</v>
      </c>
      <c r="D974" s="1" t="s">
        <v>3895</v>
      </c>
      <c r="E974">
        <v>371827</v>
      </c>
      <c r="F974">
        <v>407887.03</v>
      </c>
      <c r="G974">
        <v>-36060.03</v>
      </c>
      <c r="H974" s="2">
        <v>45366</v>
      </c>
      <c r="I974" s="1" t="s">
        <v>3790</v>
      </c>
      <c r="J974" s="1" t="s">
        <v>3823</v>
      </c>
      <c r="K974" s="1" t="s">
        <v>3784</v>
      </c>
      <c r="L974" s="1" t="s">
        <v>3817</v>
      </c>
    </row>
    <row r="975" spans="1:12" x14ac:dyDescent="0.25">
      <c r="A975" s="1" t="s">
        <v>4777</v>
      </c>
      <c r="B975" s="1" t="s">
        <v>3811</v>
      </c>
      <c r="C975" s="1" t="s">
        <v>3858</v>
      </c>
      <c r="D975" s="1" t="s">
        <v>3789</v>
      </c>
      <c r="E975">
        <v>493349</v>
      </c>
      <c r="F975">
        <v>613825.41</v>
      </c>
      <c r="G975">
        <v>-120476.41</v>
      </c>
      <c r="H975" s="2">
        <v>44991</v>
      </c>
      <c r="I975" s="1" t="s">
        <v>3790</v>
      </c>
      <c r="J975" s="1" t="s">
        <v>3783</v>
      </c>
      <c r="K975" s="1" t="s">
        <v>3804</v>
      </c>
      <c r="L975" s="1" t="s">
        <v>51</v>
      </c>
    </row>
    <row r="976" spans="1:12" x14ac:dyDescent="0.25">
      <c r="A976" s="1" t="s">
        <v>4778</v>
      </c>
      <c r="B976" s="1" t="s">
        <v>3811</v>
      </c>
      <c r="C976" s="1" t="s">
        <v>3815</v>
      </c>
      <c r="D976" s="1" t="s">
        <v>3834</v>
      </c>
      <c r="E976">
        <v>228733</v>
      </c>
      <c r="F976">
        <v>273263.33</v>
      </c>
      <c r="G976">
        <v>-44530.33</v>
      </c>
      <c r="H976" s="2">
        <v>45605</v>
      </c>
      <c r="I976" s="1" t="s">
        <v>3790</v>
      </c>
      <c r="J976" s="1" t="s">
        <v>3823</v>
      </c>
      <c r="K976" s="1" t="s">
        <v>3800</v>
      </c>
      <c r="L976" s="1" t="s">
        <v>3792</v>
      </c>
    </row>
    <row r="977" spans="1:12" x14ac:dyDescent="0.25">
      <c r="A977" s="1" t="s">
        <v>4779</v>
      </c>
      <c r="B977" s="1" t="s">
        <v>3828</v>
      </c>
      <c r="C977" s="1" t="s">
        <v>3795</v>
      </c>
      <c r="D977" s="1" t="s">
        <v>3855</v>
      </c>
      <c r="E977">
        <v>398937</v>
      </c>
      <c r="F977">
        <v>503582.79</v>
      </c>
      <c r="G977">
        <v>-104645.79</v>
      </c>
      <c r="H977" s="2">
        <v>45431</v>
      </c>
      <c r="I977" s="1" t="s">
        <v>3782</v>
      </c>
      <c r="J977" s="1" t="s">
        <v>3823</v>
      </c>
      <c r="K977" s="1" t="s">
        <v>3800</v>
      </c>
      <c r="L977" s="1" t="s">
        <v>51</v>
      </c>
    </row>
    <row r="978" spans="1:12" x14ac:dyDescent="0.25">
      <c r="A978" s="1" t="s">
        <v>4780</v>
      </c>
      <c r="B978" s="1" t="s">
        <v>3798</v>
      </c>
      <c r="C978" s="1" t="s">
        <v>3806</v>
      </c>
      <c r="D978" s="1" t="s">
        <v>3855</v>
      </c>
      <c r="E978">
        <v>173643</v>
      </c>
      <c r="F978">
        <v>153624.97</v>
      </c>
      <c r="G978">
        <v>20018.03</v>
      </c>
      <c r="H978" s="2">
        <v>45036</v>
      </c>
      <c r="I978" s="1" t="s">
        <v>3790</v>
      </c>
      <c r="J978" s="1" t="s">
        <v>3823</v>
      </c>
      <c r="K978" s="1" t="s">
        <v>3784</v>
      </c>
      <c r="L978" s="1" t="s">
        <v>51</v>
      </c>
    </row>
    <row r="979" spans="1:12" x14ac:dyDescent="0.25">
      <c r="A979" s="1" t="s">
        <v>4781</v>
      </c>
      <c r="B979" s="1" t="s">
        <v>3808</v>
      </c>
      <c r="C979" s="1" t="s">
        <v>3788</v>
      </c>
      <c r="D979" s="1" t="s">
        <v>3855</v>
      </c>
      <c r="E979">
        <v>234386</v>
      </c>
      <c r="F979">
        <v>212382.27</v>
      </c>
      <c r="H979" s="2">
        <v>45401</v>
      </c>
      <c r="I979" s="1" t="s">
        <v>3790</v>
      </c>
      <c r="J979" s="1" t="s">
        <v>3823</v>
      </c>
      <c r="K979" s="1" t="s">
        <v>3800</v>
      </c>
      <c r="L979" s="1" t="s">
        <v>51</v>
      </c>
    </row>
    <row r="980" spans="1:12" x14ac:dyDescent="0.25">
      <c r="A980" s="1" t="s">
        <v>4782</v>
      </c>
      <c r="B980" s="1" t="s">
        <v>3839</v>
      </c>
      <c r="C980" s="1" t="s">
        <v>3780</v>
      </c>
      <c r="D980" s="1" t="s">
        <v>3867</v>
      </c>
      <c r="E980">
        <v>181746</v>
      </c>
      <c r="F980">
        <v>208947.95</v>
      </c>
      <c r="G980">
        <v>-27201.95</v>
      </c>
      <c r="H980" s="2">
        <v>45528</v>
      </c>
      <c r="I980" s="1" t="s">
        <v>3790</v>
      </c>
      <c r="J980" s="1" t="s">
        <v>3823</v>
      </c>
      <c r="K980" s="1" t="s">
        <v>3800</v>
      </c>
      <c r="L980" s="1" t="s">
        <v>51</v>
      </c>
    </row>
    <row r="981" spans="1:12" x14ac:dyDescent="0.25">
      <c r="A981" s="1" t="s">
        <v>4783</v>
      </c>
      <c r="B981" s="1" t="s">
        <v>3828</v>
      </c>
      <c r="C981" s="1" t="s">
        <v>3780</v>
      </c>
      <c r="D981" s="1" t="s">
        <v>3846</v>
      </c>
      <c r="E981">
        <v>55073</v>
      </c>
      <c r="F981">
        <v>58223.08</v>
      </c>
      <c r="G981">
        <v>-3150.08</v>
      </c>
      <c r="H981" s="2">
        <v>45034</v>
      </c>
      <c r="I981" s="1" t="s">
        <v>3790</v>
      </c>
      <c r="J981" s="1" t="s">
        <v>3783</v>
      </c>
      <c r="K981" s="1" t="s">
        <v>3784</v>
      </c>
      <c r="L981" s="1" t="s">
        <v>51</v>
      </c>
    </row>
    <row r="982" spans="1:12" x14ac:dyDescent="0.25">
      <c r="A982" s="1" t="s">
        <v>4784</v>
      </c>
      <c r="B982" s="1" t="s">
        <v>3828</v>
      </c>
      <c r="C982" s="1" t="s">
        <v>3780</v>
      </c>
      <c r="D982" s="1" t="s">
        <v>3813</v>
      </c>
      <c r="E982">
        <v>49537</v>
      </c>
      <c r="F982">
        <v>40116.1</v>
      </c>
      <c r="G982">
        <v>9420.9</v>
      </c>
      <c r="H982" s="2">
        <v>45203</v>
      </c>
      <c r="I982" s="1" t="s">
        <v>3790</v>
      </c>
      <c r="J982" s="1" t="s">
        <v>3823</v>
      </c>
      <c r="K982" s="1" t="s">
        <v>3784</v>
      </c>
      <c r="L982" s="1" t="s">
        <v>51</v>
      </c>
    </row>
    <row r="983" spans="1:12" x14ac:dyDescent="0.25">
      <c r="A983" s="1" t="s">
        <v>4785</v>
      </c>
      <c r="B983" s="1" t="s">
        <v>3839</v>
      </c>
      <c r="C983" s="1" t="s">
        <v>3848</v>
      </c>
      <c r="D983" s="1" t="s">
        <v>3895</v>
      </c>
      <c r="E983">
        <v>459613</v>
      </c>
      <c r="F983">
        <v>431414.06</v>
      </c>
      <c r="G983">
        <v>28198.94</v>
      </c>
      <c r="H983" s="2">
        <v>45117</v>
      </c>
      <c r="I983" s="1" t="s">
        <v>3782</v>
      </c>
      <c r="J983" s="1" t="s">
        <v>3823</v>
      </c>
      <c r="K983" s="1" t="s">
        <v>3784</v>
      </c>
      <c r="L983" s="1" t="s">
        <v>51</v>
      </c>
    </row>
    <row r="984" spans="1:12" x14ac:dyDescent="0.25">
      <c r="A984" s="1" t="s">
        <v>4786</v>
      </c>
      <c r="B984" s="1" t="s">
        <v>3811</v>
      </c>
      <c r="C984" s="1" t="s">
        <v>3806</v>
      </c>
      <c r="D984" s="1" t="s">
        <v>3796</v>
      </c>
      <c r="E984">
        <v>475204</v>
      </c>
      <c r="F984">
        <v>489797.03</v>
      </c>
      <c r="G984">
        <v>-14593.03</v>
      </c>
      <c r="H984" s="2">
        <v>45308</v>
      </c>
      <c r="I984" s="1" t="s">
        <v>3790</v>
      </c>
      <c r="J984" s="1" t="s">
        <v>3783</v>
      </c>
      <c r="K984" s="1" t="s">
        <v>3784</v>
      </c>
      <c r="L984" s="1" t="s">
        <v>51</v>
      </c>
    </row>
    <row r="985" spans="1:12" x14ac:dyDescent="0.25">
      <c r="A985" s="1" t="s">
        <v>4787</v>
      </c>
      <c r="B985" s="1" t="s">
        <v>3798</v>
      </c>
      <c r="C985" s="1" t="s">
        <v>3825</v>
      </c>
      <c r="D985" s="1" t="s">
        <v>3855</v>
      </c>
      <c r="E985">
        <v>67835</v>
      </c>
      <c r="F985">
        <v>80281.960000000006</v>
      </c>
      <c r="G985">
        <v>-12446.96</v>
      </c>
      <c r="H985" s="2">
        <v>45028</v>
      </c>
      <c r="I985" s="1" t="s">
        <v>3782</v>
      </c>
      <c r="J985" s="1" t="s">
        <v>3791</v>
      </c>
      <c r="K985" s="1" t="s">
        <v>3784</v>
      </c>
      <c r="L985" s="1" t="s">
        <v>3831</v>
      </c>
    </row>
    <row r="986" spans="1:12" x14ac:dyDescent="0.25">
      <c r="A986" s="1" t="s">
        <v>4788</v>
      </c>
      <c r="B986" s="1" t="s">
        <v>3808</v>
      </c>
      <c r="C986" s="1" t="s">
        <v>3795</v>
      </c>
      <c r="D986" s="1" t="s">
        <v>3816</v>
      </c>
      <c r="E986">
        <v>78214</v>
      </c>
      <c r="F986">
        <v>79012.27</v>
      </c>
      <c r="G986">
        <v>-798.27</v>
      </c>
      <c r="H986" s="2">
        <v>45260</v>
      </c>
      <c r="I986" s="1" t="s">
        <v>3790</v>
      </c>
      <c r="J986" s="1" t="s">
        <v>3791</v>
      </c>
      <c r="K986" s="1" t="s">
        <v>3784</v>
      </c>
      <c r="L986" s="1" t="s">
        <v>51</v>
      </c>
    </row>
    <row r="987" spans="1:12" x14ac:dyDescent="0.25">
      <c r="A987" s="1" t="s">
        <v>4789</v>
      </c>
      <c r="B987" s="1" t="s">
        <v>3828</v>
      </c>
      <c r="C987" s="1" t="s">
        <v>3780</v>
      </c>
      <c r="D987" s="1" t="s">
        <v>3799</v>
      </c>
      <c r="E987">
        <v>411867</v>
      </c>
      <c r="F987">
        <v>391784.97</v>
      </c>
      <c r="G987">
        <v>20082.03</v>
      </c>
      <c r="H987" s="2">
        <v>45514</v>
      </c>
      <c r="I987" s="1" t="s">
        <v>3790</v>
      </c>
      <c r="J987" s="1" t="s">
        <v>3791</v>
      </c>
      <c r="K987" s="1" t="s">
        <v>3800</v>
      </c>
      <c r="L987" s="1" t="s">
        <v>51</v>
      </c>
    </row>
    <row r="988" spans="1:12" x14ac:dyDescent="0.25">
      <c r="A988" s="1" t="s">
        <v>4790</v>
      </c>
      <c r="B988" s="1" t="s">
        <v>3787</v>
      </c>
      <c r="C988" s="1" t="s">
        <v>3858</v>
      </c>
      <c r="D988" s="1" t="s">
        <v>3816</v>
      </c>
      <c r="E988">
        <v>327306</v>
      </c>
      <c r="F988">
        <v>335063.33</v>
      </c>
      <c r="G988">
        <v>-7757.33</v>
      </c>
      <c r="H988" s="2">
        <v>45682</v>
      </c>
      <c r="I988" s="1" t="s">
        <v>3790</v>
      </c>
      <c r="J988" s="1" t="s">
        <v>3791</v>
      </c>
      <c r="K988" s="1" t="s">
        <v>3800</v>
      </c>
      <c r="L988" s="1" t="s">
        <v>51</v>
      </c>
    </row>
    <row r="989" spans="1:12" x14ac:dyDescent="0.25">
      <c r="A989" s="1" t="s">
        <v>4791</v>
      </c>
      <c r="B989" s="1" t="s">
        <v>3828</v>
      </c>
      <c r="C989" s="1" t="s">
        <v>3788</v>
      </c>
      <c r="D989" s="1" t="s">
        <v>3796</v>
      </c>
      <c r="E989">
        <v>496776</v>
      </c>
      <c r="F989">
        <v>622433.26</v>
      </c>
      <c r="G989">
        <v>-125657.26</v>
      </c>
      <c r="H989" s="2">
        <v>45738</v>
      </c>
      <c r="I989" s="1" t="s">
        <v>3790</v>
      </c>
      <c r="J989" s="1" t="s">
        <v>3803</v>
      </c>
      <c r="K989" s="1" t="s">
        <v>3800</v>
      </c>
      <c r="L989" s="1" t="s">
        <v>51</v>
      </c>
    </row>
    <row r="990" spans="1:12" x14ac:dyDescent="0.25">
      <c r="A990" s="1" t="s">
        <v>4792</v>
      </c>
      <c r="B990" s="1" t="s">
        <v>3811</v>
      </c>
      <c r="C990" s="1" t="s">
        <v>3815</v>
      </c>
      <c r="D990" s="1" t="s">
        <v>3813</v>
      </c>
      <c r="E990">
        <v>153975</v>
      </c>
      <c r="F990">
        <v>125669.04</v>
      </c>
      <c r="G990">
        <v>28305.96</v>
      </c>
      <c r="H990" s="2">
        <v>45130</v>
      </c>
      <c r="I990" s="1" t="s">
        <v>3782</v>
      </c>
      <c r="J990" s="1" t="s">
        <v>3823</v>
      </c>
      <c r="K990" s="1" t="s">
        <v>3784</v>
      </c>
      <c r="L990" s="1" t="s">
        <v>3809</v>
      </c>
    </row>
    <row r="991" spans="1:12" x14ac:dyDescent="0.25">
      <c r="A991" s="1" t="s">
        <v>4793</v>
      </c>
      <c r="B991" s="1" t="s">
        <v>3794</v>
      </c>
      <c r="C991" s="1" t="s">
        <v>3815</v>
      </c>
      <c r="D991" s="1" t="s">
        <v>3799</v>
      </c>
      <c r="E991">
        <v>111730</v>
      </c>
      <c r="F991">
        <v>143597.31</v>
      </c>
      <c r="G991">
        <v>-31867.31</v>
      </c>
      <c r="H991" s="2">
        <v>45058</v>
      </c>
      <c r="I991" s="1" t="s">
        <v>3790</v>
      </c>
      <c r="J991" s="1" t="s">
        <v>3803</v>
      </c>
      <c r="K991" s="1" t="s">
        <v>3784</v>
      </c>
      <c r="L991" s="1" t="s">
        <v>51</v>
      </c>
    </row>
    <row r="992" spans="1:12" x14ac:dyDescent="0.25">
      <c r="A992" s="1" t="s">
        <v>4794</v>
      </c>
      <c r="B992" s="1" t="s">
        <v>3808</v>
      </c>
      <c r="C992" s="1" t="s">
        <v>3821</v>
      </c>
      <c r="D992" s="1" t="s">
        <v>3789</v>
      </c>
      <c r="E992">
        <v>199917</v>
      </c>
      <c r="F992">
        <v>241477.78</v>
      </c>
      <c r="G992">
        <v>-41560.78</v>
      </c>
      <c r="H992" s="2">
        <v>44984</v>
      </c>
      <c r="I992" s="1" t="s">
        <v>3790</v>
      </c>
      <c r="J992" s="1" t="s">
        <v>3783</v>
      </c>
      <c r="K992" s="1" t="s">
        <v>3804</v>
      </c>
      <c r="L992" s="1" t="s">
        <v>3817</v>
      </c>
    </row>
    <row r="993" spans="1:12" x14ac:dyDescent="0.25">
      <c r="A993" s="1" t="s">
        <v>4795</v>
      </c>
      <c r="B993" s="1" t="s">
        <v>3811</v>
      </c>
      <c r="C993" s="1" t="s">
        <v>3806</v>
      </c>
      <c r="D993" s="1" t="s">
        <v>3826</v>
      </c>
      <c r="E993">
        <v>173941</v>
      </c>
      <c r="F993">
        <v>195652.13</v>
      </c>
      <c r="G993">
        <v>-21711.13</v>
      </c>
      <c r="H993" s="2">
        <v>45746</v>
      </c>
      <c r="I993" s="1" t="s">
        <v>3790</v>
      </c>
      <c r="J993" s="1" t="s">
        <v>3783</v>
      </c>
      <c r="K993" s="1" t="s">
        <v>3800</v>
      </c>
      <c r="L993" s="1" t="s">
        <v>3809</v>
      </c>
    </row>
    <row r="994" spans="1:12" x14ac:dyDescent="0.25">
      <c r="A994" s="1" t="s">
        <v>4796</v>
      </c>
      <c r="B994" s="1" t="s">
        <v>3828</v>
      </c>
      <c r="C994" s="1" t="s">
        <v>3825</v>
      </c>
      <c r="D994" s="1" t="s">
        <v>3789</v>
      </c>
      <c r="E994">
        <v>174406</v>
      </c>
      <c r="F994">
        <v>178594.68</v>
      </c>
      <c r="G994">
        <v>-4188.68</v>
      </c>
      <c r="H994" s="2">
        <v>45255</v>
      </c>
      <c r="I994" s="1" t="s">
        <v>3790</v>
      </c>
      <c r="J994" s="1" t="s">
        <v>3783</v>
      </c>
      <c r="K994" s="1" t="s">
        <v>3784</v>
      </c>
      <c r="L994" s="1" t="s">
        <v>51</v>
      </c>
    </row>
    <row r="995" spans="1:12" x14ac:dyDescent="0.25">
      <c r="A995" s="1" t="s">
        <v>4797</v>
      </c>
      <c r="B995" s="1" t="s">
        <v>3794</v>
      </c>
      <c r="C995" s="1" t="s">
        <v>3795</v>
      </c>
      <c r="D995" s="1" t="s">
        <v>3802</v>
      </c>
      <c r="E995">
        <v>35690</v>
      </c>
      <c r="F995">
        <v>34616.5</v>
      </c>
      <c r="G995">
        <v>1073.5</v>
      </c>
      <c r="H995" s="2">
        <v>45238</v>
      </c>
      <c r="I995" s="1" t="s">
        <v>3790</v>
      </c>
      <c r="J995" s="1" t="s">
        <v>3791</v>
      </c>
      <c r="K995" s="1" t="s">
        <v>3784</v>
      </c>
      <c r="L995" s="1" t="s">
        <v>51</v>
      </c>
    </row>
    <row r="996" spans="1:12" x14ac:dyDescent="0.25">
      <c r="A996" s="1" t="s">
        <v>4798</v>
      </c>
      <c r="B996" s="1" t="s">
        <v>3839</v>
      </c>
      <c r="C996" s="1" t="s">
        <v>3815</v>
      </c>
      <c r="D996" s="1" t="s">
        <v>3802</v>
      </c>
      <c r="E996">
        <v>296369</v>
      </c>
      <c r="F996">
        <v>259622.89</v>
      </c>
      <c r="G996">
        <v>36746.11</v>
      </c>
      <c r="H996" s="2">
        <v>45341</v>
      </c>
      <c r="I996" s="1" t="s">
        <v>3790</v>
      </c>
      <c r="J996" s="1" t="s">
        <v>3791</v>
      </c>
      <c r="K996" s="1" t="s">
        <v>3784</v>
      </c>
      <c r="L996" s="1" t="s">
        <v>51</v>
      </c>
    </row>
    <row r="997" spans="1:12" x14ac:dyDescent="0.25">
      <c r="A997" s="1" t="s">
        <v>4799</v>
      </c>
      <c r="B997" s="1" t="s">
        <v>3794</v>
      </c>
      <c r="C997" s="1" t="s">
        <v>3795</v>
      </c>
      <c r="D997" s="1" t="s">
        <v>3867</v>
      </c>
      <c r="E997">
        <v>95257</v>
      </c>
      <c r="G997">
        <v>11964.93</v>
      </c>
      <c r="H997" s="2">
        <v>45364</v>
      </c>
      <c r="I997" s="1" t="s">
        <v>3859</v>
      </c>
      <c r="J997" s="1" t="s">
        <v>3783</v>
      </c>
      <c r="K997" s="1" t="s">
        <v>3784</v>
      </c>
      <c r="L997" s="1" t="s">
        <v>51</v>
      </c>
    </row>
    <row r="998" spans="1:12" x14ac:dyDescent="0.25">
      <c r="A998" s="1" t="s">
        <v>4800</v>
      </c>
      <c r="B998" s="1" t="s">
        <v>3839</v>
      </c>
      <c r="C998" s="1" t="s">
        <v>3858</v>
      </c>
      <c r="D998" s="1" t="s">
        <v>3867</v>
      </c>
      <c r="E998">
        <v>484871</v>
      </c>
      <c r="F998">
        <v>414563.33</v>
      </c>
      <c r="G998">
        <v>70307.67</v>
      </c>
      <c r="H998" s="2">
        <v>45425</v>
      </c>
      <c r="I998" s="1" t="s">
        <v>3790</v>
      </c>
      <c r="J998" s="1" t="s">
        <v>3823</v>
      </c>
      <c r="K998" s="1" t="s">
        <v>3800</v>
      </c>
      <c r="L998" s="1" t="s">
        <v>3792</v>
      </c>
    </row>
    <row r="999" spans="1:12" x14ac:dyDescent="0.25">
      <c r="A999" s="1" t="s">
        <v>4801</v>
      </c>
      <c r="B999" s="1" t="s">
        <v>3839</v>
      </c>
      <c r="C999" s="1" t="s">
        <v>3844</v>
      </c>
      <c r="D999" s="1" t="s">
        <v>3813</v>
      </c>
      <c r="E999">
        <v>484961</v>
      </c>
      <c r="F999">
        <v>551172.42000000004</v>
      </c>
      <c r="G999">
        <v>-66211.42</v>
      </c>
      <c r="H999" s="2">
        <v>45117</v>
      </c>
      <c r="I999" s="1" t="s">
        <v>3790</v>
      </c>
      <c r="J999" s="1" t="s">
        <v>3783</v>
      </c>
      <c r="K999" s="1" t="s">
        <v>3784</v>
      </c>
      <c r="L999" s="1" t="s">
        <v>3817</v>
      </c>
    </row>
    <row r="1000" spans="1:12" x14ac:dyDescent="0.25">
      <c r="A1000" s="1" t="s">
        <v>4802</v>
      </c>
      <c r="B1000" s="1" t="s">
        <v>3828</v>
      </c>
      <c r="C1000" s="1" t="s">
        <v>3812</v>
      </c>
      <c r="D1000" s="1" t="s">
        <v>3781</v>
      </c>
      <c r="E1000">
        <v>435152</v>
      </c>
      <c r="F1000">
        <v>419757.66</v>
      </c>
      <c r="G1000">
        <v>15394.34</v>
      </c>
      <c r="H1000" s="2">
        <v>44983</v>
      </c>
      <c r="I1000" s="1" t="s">
        <v>3790</v>
      </c>
      <c r="J1000" s="1" t="s">
        <v>3783</v>
      </c>
      <c r="K1000" s="1" t="s">
        <v>3804</v>
      </c>
      <c r="L1000" s="1" t="s">
        <v>3817</v>
      </c>
    </row>
    <row r="1001" spans="1:12" x14ac:dyDescent="0.25">
      <c r="A1001" s="1" t="s">
        <v>4803</v>
      </c>
      <c r="B1001" s="1" t="s">
        <v>3787</v>
      </c>
      <c r="C1001" s="1" t="s">
        <v>3815</v>
      </c>
      <c r="D1001" s="1" t="s">
        <v>3822</v>
      </c>
      <c r="E1001">
        <v>438261</v>
      </c>
      <c r="F1001">
        <v>392680.27</v>
      </c>
      <c r="G1001">
        <v>45580.73</v>
      </c>
      <c r="H1001" s="2">
        <v>45237</v>
      </c>
      <c r="I1001" s="1" t="s">
        <v>3859</v>
      </c>
      <c r="J1001" s="1" t="s">
        <v>3783</v>
      </c>
      <c r="K1001" s="1" t="s">
        <v>3784</v>
      </c>
      <c r="L1001" s="1" t="s">
        <v>51</v>
      </c>
    </row>
    <row r="1002" spans="1:12" x14ac:dyDescent="0.25">
      <c r="A1002" s="1" t="s">
        <v>4804</v>
      </c>
      <c r="B1002" s="1" t="s">
        <v>3787</v>
      </c>
      <c r="C1002" s="1" t="s">
        <v>3795</v>
      </c>
      <c r="D1002" s="1" t="s">
        <v>3781</v>
      </c>
      <c r="E1002">
        <v>316609</v>
      </c>
      <c r="F1002">
        <v>265760.36</v>
      </c>
      <c r="G1002">
        <v>50848.639999999999</v>
      </c>
      <c r="H1002" s="2">
        <v>45215</v>
      </c>
      <c r="I1002" s="1" t="s">
        <v>3782</v>
      </c>
      <c r="J1002" s="1" t="s">
        <v>3823</v>
      </c>
      <c r="K1002" s="1" t="s">
        <v>3784</v>
      </c>
      <c r="L1002" s="1" t="s">
        <v>51</v>
      </c>
    </row>
    <row r="1003" spans="1:12" x14ac:dyDescent="0.25">
      <c r="A1003" s="1" t="s">
        <v>4805</v>
      </c>
      <c r="B1003" s="1" t="s">
        <v>3811</v>
      </c>
      <c r="C1003" s="1" t="s">
        <v>3815</v>
      </c>
      <c r="D1003" s="1" t="s">
        <v>3867</v>
      </c>
      <c r="E1003">
        <v>329541</v>
      </c>
      <c r="F1003">
        <v>374513.75</v>
      </c>
      <c r="G1003">
        <v>-44972.75</v>
      </c>
      <c r="H1003" s="2">
        <v>45695</v>
      </c>
      <c r="I1003" s="1" t="s">
        <v>3790</v>
      </c>
      <c r="J1003" s="1" t="s">
        <v>3783</v>
      </c>
      <c r="K1003" s="1" t="s">
        <v>3800</v>
      </c>
      <c r="L1003" s="1" t="s">
        <v>51</v>
      </c>
    </row>
    <row r="1004" spans="1:12" x14ac:dyDescent="0.25">
      <c r="A1004" s="1" t="s">
        <v>4806</v>
      </c>
      <c r="B1004" s="1" t="s">
        <v>3787</v>
      </c>
      <c r="C1004" s="1" t="s">
        <v>3858</v>
      </c>
      <c r="D1004" s="1" t="s">
        <v>3781</v>
      </c>
      <c r="E1004">
        <v>205509</v>
      </c>
      <c r="F1004">
        <v>263773.81</v>
      </c>
      <c r="G1004">
        <v>-58264.81</v>
      </c>
      <c r="H1004" s="2">
        <v>45466</v>
      </c>
      <c r="I1004" s="1" t="s">
        <v>3782</v>
      </c>
      <c r="J1004" s="1" t="s">
        <v>3791</v>
      </c>
      <c r="K1004" s="1" t="s">
        <v>3800</v>
      </c>
      <c r="L1004" s="1" t="s">
        <v>3809</v>
      </c>
    </row>
    <row r="1005" spans="1:12" x14ac:dyDescent="0.25">
      <c r="A1005" s="1" t="s">
        <v>4807</v>
      </c>
      <c r="B1005" s="1" t="s">
        <v>3808</v>
      </c>
      <c r="C1005" s="1" t="s">
        <v>3821</v>
      </c>
      <c r="D1005" s="1" t="s">
        <v>3855</v>
      </c>
      <c r="E1005">
        <v>203711</v>
      </c>
      <c r="F1005">
        <v>167309.89000000001</v>
      </c>
      <c r="G1005">
        <v>36401.11</v>
      </c>
      <c r="H1005" s="2">
        <v>45482</v>
      </c>
      <c r="I1005" s="1" t="s">
        <v>3859</v>
      </c>
      <c r="J1005" s="1" t="s">
        <v>3783</v>
      </c>
      <c r="K1005" s="1" t="s">
        <v>3800</v>
      </c>
      <c r="L1005" s="1" t="s">
        <v>51</v>
      </c>
    </row>
    <row r="1006" spans="1:12" x14ac:dyDescent="0.25">
      <c r="A1006" s="1" t="s">
        <v>4808</v>
      </c>
      <c r="B1006" s="1" t="s">
        <v>3798</v>
      </c>
      <c r="C1006" s="1" t="s">
        <v>3821</v>
      </c>
      <c r="D1006" s="1" t="s">
        <v>3834</v>
      </c>
      <c r="E1006">
        <v>374984</v>
      </c>
      <c r="F1006">
        <v>474429.06</v>
      </c>
      <c r="G1006">
        <v>-99445.06</v>
      </c>
      <c r="H1006" s="2">
        <v>45200</v>
      </c>
      <c r="I1006" s="1" t="s">
        <v>3859</v>
      </c>
      <c r="J1006" s="1" t="s">
        <v>3823</v>
      </c>
      <c r="K1006" s="1" t="s">
        <v>3784</v>
      </c>
      <c r="L1006" s="1" t="s">
        <v>3831</v>
      </c>
    </row>
    <row r="1007" spans="1:12" x14ac:dyDescent="0.25">
      <c r="A1007" s="1" t="s">
        <v>4809</v>
      </c>
      <c r="B1007" s="1" t="s">
        <v>3839</v>
      </c>
      <c r="C1007" s="1" t="s">
        <v>3848</v>
      </c>
      <c r="D1007" s="1" t="s">
        <v>3837</v>
      </c>
      <c r="E1007">
        <v>63562</v>
      </c>
      <c r="F1007">
        <v>72261.86</v>
      </c>
      <c r="G1007">
        <v>-8699.86</v>
      </c>
      <c r="H1007" s="2">
        <v>45398</v>
      </c>
      <c r="I1007" s="1" t="s">
        <v>3859</v>
      </c>
      <c r="J1007" s="1" t="s">
        <v>3823</v>
      </c>
      <c r="K1007" s="1" t="s">
        <v>3800</v>
      </c>
      <c r="L1007" s="1" t="s">
        <v>51</v>
      </c>
    </row>
    <row r="1008" spans="1:12" x14ac:dyDescent="0.25">
      <c r="A1008" s="1" t="s">
        <v>4810</v>
      </c>
      <c r="B1008" s="1" t="s">
        <v>3828</v>
      </c>
      <c r="C1008" s="1" t="s">
        <v>3844</v>
      </c>
      <c r="D1008" s="1" t="s">
        <v>3813</v>
      </c>
      <c r="E1008">
        <v>103409</v>
      </c>
      <c r="F1008">
        <v>126559.48</v>
      </c>
      <c r="G1008">
        <v>-23150.48</v>
      </c>
      <c r="H1008" s="2">
        <v>45303</v>
      </c>
      <c r="I1008" s="1" t="s">
        <v>3790</v>
      </c>
      <c r="J1008" s="1" t="s">
        <v>3823</v>
      </c>
      <c r="K1008" s="1" t="s">
        <v>3784</v>
      </c>
      <c r="L1008" s="1" t="s">
        <v>51</v>
      </c>
    </row>
    <row r="1009" spans="1:12" x14ac:dyDescent="0.25">
      <c r="A1009" s="1" t="s">
        <v>4811</v>
      </c>
      <c r="B1009" s="1" t="s">
        <v>3787</v>
      </c>
      <c r="C1009" s="1" t="s">
        <v>3821</v>
      </c>
      <c r="D1009" s="1" t="s">
        <v>3826</v>
      </c>
      <c r="E1009">
        <v>225695</v>
      </c>
      <c r="F1009">
        <v>282111.32</v>
      </c>
      <c r="G1009">
        <v>-56416.32</v>
      </c>
      <c r="H1009" s="2">
        <v>44977</v>
      </c>
      <c r="I1009" s="1" t="s">
        <v>3790</v>
      </c>
      <c r="J1009" s="1" t="s">
        <v>3791</v>
      </c>
      <c r="K1009" s="1" t="s">
        <v>3804</v>
      </c>
      <c r="L1009" s="1" t="s">
        <v>3817</v>
      </c>
    </row>
    <row r="1010" spans="1:12" x14ac:dyDescent="0.25">
      <c r="A1010" s="1" t="s">
        <v>4812</v>
      </c>
      <c r="B1010" s="1" t="s">
        <v>3839</v>
      </c>
      <c r="C1010" s="1" t="s">
        <v>3825</v>
      </c>
      <c r="D1010" s="1" t="s">
        <v>3789</v>
      </c>
      <c r="E1010">
        <v>176260</v>
      </c>
      <c r="F1010">
        <v>144798.84</v>
      </c>
      <c r="G1010">
        <v>31461.16</v>
      </c>
      <c r="H1010" s="2">
        <v>45336</v>
      </c>
      <c r="I1010" s="1" t="s">
        <v>3859</v>
      </c>
      <c r="J1010" s="1" t="s">
        <v>3803</v>
      </c>
      <c r="K1010" s="1" t="s">
        <v>3784</v>
      </c>
      <c r="L1010" s="1" t="s">
        <v>3817</v>
      </c>
    </row>
    <row r="1011" spans="1:12" x14ac:dyDescent="0.25">
      <c r="A1011" s="1" t="s">
        <v>4813</v>
      </c>
      <c r="B1011" s="1" t="s">
        <v>3794</v>
      </c>
      <c r="C1011" s="1" t="s">
        <v>3815</v>
      </c>
      <c r="D1011" s="1" t="s">
        <v>3895</v>
      </c>
      <c r="E1011">
        <v>46862</v>
      </c>
      <c r="F1011">
        <v>51765.35</v>
      </c>
      <c r="G1011">
        <v>-4903.3500000000004</v>
      </c>
      <c r="H1011" s="2">
        <v>45628</v>
      </c>
      <c r="I1011" s="1" t="s">
        <v>3790</v>
      </c>
      <c r="J1011" s="1" t="s">
        <v>3823</v>
      </c>
      <c r="K1011" s="1" t="s">
        <v>3800</v>
      </c>
      <c r="L1011" s="1" t="s">
        <v>51</v>
      </c>
    </row>
    <row r="1012" spans="1:12" x14ac:dyDescent="0.25">
      <c r="A1012" s="1" t="s">
        <v>4814</v>
      </c>
      <c r="B1012" s="1" t="s">
        <v>3787</v>
      </c>
      <c r="C1012" s="1" t="s">
        <v>51</v>
      </c>
      <c r="D1012" s="1" t="s">
        <v>3895</v>
      </c>
      <c r="E1012">
        <v>463343</v>
      </c>
      <c r="F1012">
        <v>477823.89</v>
      </c>
      <c r="H1012" s="2">
        <v>45559</v>
      </c>
      <c r="I1012" s="1" t="s">
        <v>3790</v>
      </c>
      <c r="J1012" s="1" t="s">
        <v>3783</v>
      </c>
      <c r="K1012" s="1" t="s">
        <v>3800</v>
      </c>
      <c r="L1012" s="1" t="s">
        <v>51</v>
      </c>
    </row>
    <row r="1013" spans="1:12" x14ac:dyDescent="0.25">
      <c r="A1013" s="1" t="s">
        <v>4815</v>
      </c>
      <c r="B1013" s="1" t="s">
        <v>3798</v>
      </c>
      <c r="C1013" s="1" t="s">
        <v>3795</v>
      </c>
      <c r="D1013" s="1" t="s">
        <v>3799</v>
      </c>
      <c r="E1013">
        <v>237696</v>
      </c>
      <c r="F1013">
        <v>303276.53999999998</v>
      </c>
      <c r="G1013">
        <v>-65580.539999999994</v>
      </c>
      <c r="H1013" s="2">
        <v>45668</v>
      </c>
      <c r="I1013" s="1" t="s">
        <v>3790</v>
      </c>
      <c r="J1013" s="1" t="s">
        <v>3823</v>
      </c>
      <c r="K1013" s="1" t="s">
        <v>3800</v>
      </c>
      <c r="L1013" s="1" t="s">
        <v>3792</v>
      </c>
    </row>
    <row r="1014" spans="1:12" x14ac:dyDescent="0.25">
      <c r="A1014" s="1" t="s">
        <v>4816</v>
      </c>
      <c r="B1014" s="1" t="s">
        <v>3787</v>
      </c>
      <c r="C1014" s="1" t="s">
        <v>3821</v>
      </c>
      <c r="D1014" s="1" t="s">
        <v>3796</v>
      </c>
      <c r="E1014">
        <v>369677</v>
      </c>
      <c r="G1014">
        <v>22161.08</v>
      </c>
      <c r="H1014" s="2">
        <v>45184</v>
      </c>
      <c r="I1014" s="1" t="s">
        <v>3790</v>
      </c>
      <c r="J1014" s="1" t="s">
        <v>3791</v>
      </c>
      <c r="K1014" s="1" t="s">
        <v>3784</v>
      </c>
      <c r="L1014" s="1" t="s">
        <v>51</v>
      </c>
    </row>
    <row r="1015" spans="1:12" x14ac:dyDescent="0.25">
      <c r="A1015" s="1" t="s">
        <v>4817</v>
      </c>
      <c r="B1015" s="1" t="s">
        <v>3798</v>
      </c>
      <c r="C1015" s="1" t="s">
        <v>3788</v>
      </c>
      <c r="D1015" s="1" t="s">
        <v>3799</v>
      </c>
      <c r="E1015">
        <v>96536</v>
      </c>
      <c r="F1015">
        <v>120913.93</v>
      </c>
      <c r="G1015">
        <v>-24377.93</v>
      </c>
      <c r="H1015" s="2">
        <v>45214</v>
      </c>
      <c r="I1015" s="1" t="s">
        <v>3782</v>
      </c>
      <c r="J1015" s="1" t="s">
        <v>3791</v>
      </c>
      <c r="K1015" s="1" t="s">
        <v>3784</v>
      </c>
      <c r="L1015" s="1" t="s">
        <v>51</v>
      </c>
    </row>
    <row r="1016" spans="1:12" x14ac:dyDescent="0.25">
      <c r="A1016" s="1" t="s">
        <v>4818</v>
      </c>
      <c r="B1016" s="1" t="s">
        <v>3808</v>
      </c>
      <c r="C1016" s="1" t="s">
        <v>3844</v>
      </c>
      <c r="D1016" s="1" t="s">
        <v>3846</v>
      </c>
      <c r="E1016">
        <v>263547</v>
      </c>
      <c r="G1016">
        <v>33941.35</v>
      </c>
      <c r="H1016" s="2">
        <v>45537</v>
      </c>
      <c r="I1016" s="1" t="s">
        <v>3859</v>
      </c>
      <c r="J1016" s="1" t="s">
        <v>3791</v>
      </c>
      <c r="K1016" s="1" t="s">
        <v>3800</v>
      </c>
      <c r="L1016" s="1" t="s">
        <v>51</v>
      </c>
    </row>
    <row r="1017" spans="1:12" x14ac:dyDescent="0.25">
      <c r="A1017" s="1" t="s">
        <v>4819</v>
      </c>
      <c r="B1017" s="1" t="s">
        <v>3787</v>
      </c>
      <c r="C1017" s="1" t="s">
        <v>3795</v>
      </c>
      <c r="D1017" s="1" t="s">
        <v>3789</v>
      </c>
      <c r="E1017">
        <v>99314</v>
      </c>
      <c r="F1017">
        <v>101175.77</v>
      </c>
      <c r="G1017">
        <v>-1861.77</v>
      </c>
      <c r="H1017" s="2">
        <v>45286</v>
      </c>
      <c r="I1017" s="1" t="s">
        <v>3790</v>
      </c>
      <c r="J1017" s="1" t="s">
        <v>3823</v>
      </c>
      <c r="K1017" s="1" t="s">
        <v>3784</v>
      </c>
      <c r="L1017" s="1" t="s">
        <v>51</v>
      </c>
    </row>
    <row r="1018" spans="1:12" x14ac:dyDescent="0.25">
      <c r="A1018" s="1" t="s">
        <v>4820</v>
      </c>
      <c r="B1018" s="1" t="s">
        <v>3808</v>
      </c>
      <c r="C1018" s="1" t="s">
        <v>3861</v>
      </c>
      <c r="D1018" s="1" t="s">
        <v>3789</v>
      </c>
      <c r="E1018">
        <v>45983</v>
      </c>
      <c r="F1018">
        <v>43718.5</v>
      </c>
      <c r="G1018">
        <v>2264.5</v>
      </c>
      <c r="H1018" s="2">
        <v>45302</v>
      </c>
      <c r="I1018" s="1" t="s">
        <v>3790</v>
      </c>
      <c r="J1018" s="1" t="s">
        <v>3791</v>
      </c>
      <c r="K1018" s="1" t="s">
        <v>3784</v>
      </c>
      <c r="L1018" s="1" t="s">
        <v>3809</v>
      </c>
    </row>
    <row r="1019" spans="1:12" x14ac:dyDescent="0.25">
      <c r="A1019" s="1" t="s">
        <v>4821</v>
      </c>
      <c r="B1019" s="1" t="s">
        <v>3839</v>
      </c>
      <c r="C1019" s="1" t="s">
        <v>3848</v>
      </c>
      <c r="D1019" s="1" t="s">
        <v>3867</v>
      </c>
      <c r="E1019">
        <v>203154</v>
      </c>
      <c r="F1019">
        <v>200909.71</v>
      </c>
      <c r="G1019">
        <v>2244.29</v>
      </c>
      <c r="H1019" s="2">
        <v>45636</v>
      </c>
      <c r="I1019" s="1" t="s">
        <v>3790</v>
      </c>
      <c r="J1019" s="1" t="s">
        <v>3823</v>
      </c>
      <c r="K1019" s="1" t="s">
        <v>3800</v>
      </c>
      <c r="L1019" s="1" t="s">
        <v>51</v>
      </c>
    </row>
    <row r="1020" spans="1:12" x14ac:dyDescent="0.25">
      <c r="A1020" s="1" t="s">
        <v>4822</v>
      </c>
      <c r="B1020" s="1" t="s">
        <v>3839</v>
      </c>
      <c r="C1020" s="1" t="s">
        <v>3806</v>
      </c>
      <c r="D1020" s="1" t="s">
        <v>3822</v>
      </c>
      <c r="E1020">
        <v>486116</v>
      </c>
      <c r="F1020">
        <v>574372.51</v>
      </c>
      <c r="G1020">
        <v>-88256.51</v>
      </c>
      <c r="H1020" s="2">
        <v>45310</v>
      </c>
      <c r="I1020" s="1" t="s">
        <v>3790</v>
      </c>
      <c r="J1020" s="1" t="s">
        <v>3783</v>
      </c>
      <c r="K1020" s="1" t="s">
        <v>3784</v>
      </c>
      <c r="L1020" s="1" t="s">
        <v>51</v>
      </c>
    </row>
    <row r="1021" spans="1:12" x14ac:dyDescent="0.25">
      <c r="A1021" s="1" t="s">
        <v>4823</v>
      </c>
      <c r="B1021" s="1" t="s">
        <v>3811</v>
      </c>
      <c r="C1021" s="1" t="s">
        <v>3806</v>
      </c>
      <c r="D1021" s="1" t="s">
        <v>3826</v>
      </c>
      <c r="E1021">
        <v>203965</v>
      </c>
      <c r="F1021">
        <v>231171.86</v>
      </c>
      <c r="G1021">
        <v>-27206.86</v>
      </c>
      <c r="H1021" s="2">
        <v>45525</v>
      </c>
      <c r="I1021" s="1" t="s">
        <v>3790</v>
      </c>
      <c r="J1021" s="1" t="s">
        <v>3803</v>
      </c>
      <c r="K1021" s="1" t="s">
        <v>3800</v>
      </c>
      <c r="L1021" s="1" t="s">
        <v>51</v>
      </c>
    </row>
    <row r="1022" spans="1:12" x14ac:dyDescent="0.25">
      <c r="A1022" s="1" t="s">
        <v>4824</v>
      </c>
      <c r="B1022" s="1" t="s">
        <v>3798</v>
      </c>
      <c r="C1022" s="1" t="s">
        <v>3821</v>
      </c>
      <c r="D1022" s="1" t="s">
        <v>3822</v>
      </c>
      <c r="E1022">
        <v>110275</v>
      </c>
      <c r="F1022">
        <v>127267.2</v>
      </c>
      <c r="G1022">
        <v>-16992.2</v>
      </c>
      <c r="H1022" s="2">
        <v>45209</v>
      </c>
      <c r="I1022" s="1" t="s">
        <v>3790</v>
      </c>
      <c r="J1022" s="1" t="s">
        <v>3823</v>
      </c>
      <c r="K1022" s="1" t="s">
        <v>3784</v>
      </c>
      <c r="L1022" s="1" t="s">
        <v>51</v>
      </c>
    </row>
    <row r="1023" spans="1:12" x14ac:dyDescent="0.25">
      <c r="A1023" s="1" t="s">
        <v>4825</v>
      </c>
      <c r="B1023" s="1" t="s">
        <v>3811</v>
      </c>
      <c r="C1023" s="1" t="s">
        <v>3812</v>
      </c>
      <c r="D1023" s="1" t="s">
        <v>3802</v>
      </c>
      <c r="E1023">
        <v>255503</v>
      </c>
      <c r="F1023">
        <v>291452.08</v>
      </c>
      <c r="G1023">
        <v>-35949.08</v>
      </c>
      <c r="H1023" s="2">
        <v>45479</v>
      </c>
      <c r="I1023" s="1" t="s">
        <v>3790</v>
      </c>
      <c r="J1023" s="1" t="s">
        <v>3783</v>
      </c>
      <c r="K1023" s="1" t="s">
        <v>3800</v>
      </c>
      <c r="L1023" s="1" t="s">
        <v>3785</v>
      </c>
    </row>
    <row r="1024" spans="1:12" x14ac:dyDescent="0.25">
      <c r="A1024" s="1" t="s">
        <v>4826</v>
      </c>
      <c r="B1024" s="1" t="s">
        <v>3808</v>
      </c>
      <c r="C1024" s="1" t="s">
        <v>3861</v>
      </c>
      <c r="D1024" s="1" t="s">
        <v>3789</v>
      </c>
      <c r="E1024">
        <v>100368</v>
      </c>
      <c r="F1024">
        <v>99027.89</v>
      </c>
      <c r="G1024">
        <v>1340.11</v>
      </c>
      <c r="H1024" s="2">
        <v>45626</v>
      </c>
      <c r="I1024" s="1" t="s">
        <v>3859</v>
      </c>
      <c r="J1024" s="1" t="s">
        <v>3803</v>
      </c>
      <c r="K1024" s="1" t="s">
        <v>3800</v>
      </c>
      <c r="L1024" s="1" t="s">
        <v>3785</v>
      </c>
    </row>
    <row r="1025" spans="1:12" x14ac:dyDescent="0.25">
      <c r="A1025" s="1" t="s">
        <v>4827</v>
      </c>
      <c r="B1025" s="1" t="s">
        <v>3787</v>
      </c>
      <c r="C1025" s="1" t="s">
        <v>3812</v>
      </c>
      <c r="D1025" s="1" t="s">
        <v>3813</v>
      </c>
      <c r="E1025">
        <v>495273</v>
      </c>
      <c r="F1025">
        <v>476285.59</v>
      </c>
      <c r="G1025">
        <v>18987.41</v>
      </c>
      <c r="H1025" s="2">
        <v>44941</v>
      </c>
      <c r="I1025" s="1" t="s">
        <v>3790</v>
      </c>
      <c r="J1025" s="1" t="s">
        <v>3803</v>
      </c>
      <c r="K1025" s="1" t="s">
        <v>3804</v>
      </c>
      <c r="L1025" s="1" t="s">
        <v>3817</v>
      </c>
    </row>
    <row r="1026" spans="1:12" x14ac:dyDescent="0.25">
      <c r="A1026" s="1" t="s">
        <v>4828</v>
      </c>
      <c r="B1026" s="1" t="s">
        <v>3794</v>
      </c>
      <c r="C1026" s="1" t="s">
        <v>3788</v>
      </c>
      <c r="D1026" s="1" t="s">
        <v>3781</v>
      </c>
      <c r="E1026">
        <v>235938</v>
      </c>
      <c r="F1026">
        <v>291327.15000000002</v>
      </c>
      <c r="G1026">
        <v>-55389.15</v>
      </c>
      <c r="H1026" s="2">
        <v>45477</v>
      </c>
      <c r="I1026" s="1" t="s">
        <v>3790</v>
      </c>
      <c r="J1026" s="1" t="s">
        <v>3791</v>
      </c>
      <c r="K1026" s="1" t="s">
        <v>3800</v>
      </c>
      <c r="L1026" s="1" t="s">
        <v>3785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EAA6-0F4C-40B2-B54B-0A3F301BD277}">
  <dimension ref="A1:R2501"/>
  <sheetViews>
    <sheetView workbookViewId="0">
      <selection activeCell="R6" sqref="R6"/>
    </sheetView>
  </sheetViews>
  <sheetFormatPr defaultRowHeight="15" x14ac:dyDescent="0.25"/>
  <cols>
    <col min="1" max="1" width="10.85546875" bestFit="1" customWidth="1"/>
    <col min="2" max="2" width="14.5703125" bestFit="1" customWidth="1"/>
    <col min="3" max="3" width="10.7109375" bestFit="1" customWidth="1"/>
    <col min="4" max="4" width="17.42578125" bestFit="1" customWidth="1"/>
    <col min="5" max="5" width="16.7109375" bestFit="1" customWidth="1"/>
    <col min="6" max="6" width="12.42578125" bestFit="1" customWidth="1"/>
    <col min="7" max="7" width="16.5703125" style="57" bestFit="1" customWidth="1"/>
    <col min="8" max="8" width="14.7109375" style="63" bestFit="1" customWidth="1"/>
    <col min="9" max="9" width="12.5703125" style="63" bestFit="1" customWidth="1"/>
    <col min="10" max="10" width="15.42578125" bestFit="1" customWidth="1"/>
    <col min="11" max="11" width="18" bestFit="1" customWidth="1"/>
    <col min="12" max="12" width="8.7109375" bestFit="1" customWidth="1"/>
    <col min="13" max="13" width="9.7109375" bestFit="1" customWidth="1"/>
    <col min="14" max="14" width="13.140625" bestFit="1" customWidth="1"/>
    <col min="17" max="17" width="27.28515625" bestFit="1" customWidth="1"/>
    <col min="18" max="18" width="12.42578125" bestFit="1" customWidth="1"/>
    <col min="19" max="19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7" t="s">
        <v>6</v>
      </c>
      <c r="H1" s="63" t="s">
        <v>7</v>
      </c>
      <c r="I1" s="63" t="s">
        <v>8</v>
      </c>
      <c r="J1" t="s">
        <v>9</v>
      </c>
      <c r="K1" t="s">
        <v>10</v>
      </c>
      <c r="L1" t="s">
        <v>11</v>
      </c>
      <c r="M1" t="s">
        <v>12</v>
      </c>
      <c r="N1" t="s">
        <v>4836</v>
      </c>
    </row>
    <row r="2" spans="1:1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160271</v>
      </c>
      <c r="H2" s="63">
        <v>45263</v>
      </c>
      <c r="I2" s="63">
        <v>45406</v>
      </c>
      <c r="J2" s="1">
        <v>143</v>
      </c>
      <c r="K2" s="1">
        <v>3.7</v>
      </c>
      <c r="L2" s="1" t="s">
        <v>20</v>
      </c>
      <c r="M2" s="1" t="s">
        <v>21</v>
      </c>
      <c r="N2" s="1" t="str">
        <f t="shared" ref="N2:N65" si="0">IF(G2&gt;$R$5,"High Outlier",IF(G2&lt;$R$6,"Low Outlier","Normal"))</f>
        <v>Normal</v>
      </c>
      <c r="Q2" s="70" t="s">
        <v>4830</v>
      </c>
      <c r="R2" s="71" t="s">
        <v>4835</v>
      </c>
    </row>
    <row r="3" spans="1:18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491510</v>
      </c>
      <c r="H3" s="63">
        <v>45030</v>
      </c>
      <c r="J3" s="1"/>
      <c r="K3" s="1"/>
      <c r="L3" s="1" t="s">
        <v>29</v>
      </c>
      <c r="M3" s="1" t="s">
        <v>30</v>
      </c>
      <c r="N3" s="1" t="str">
        <f t="shared" si="0"/>
        <v>Normal</v>
      </c>
      <c r="Q3" s="4" t="s">
        <v>4831</v>
      </c>
      <c r="R3">
        <f>AVERAGE(G2:G2501)</f>
        <v>278456.13040000002</v>
      </c>
    </row>
    <row r="4" spans="1:18" x14ac:dyDescent="0.25">
      <c r="A4" s="1" t="s">
        <v>31</v>
      </c>
      <c r="B4" s="1" t="s">
        <v>23</v>
      </c>
      <c r="C4" s="1" t="s">
        <v>32</v>
      </c>
      <c r="D4" s="1" t="s">
        <v>25</v>
      </c>
      <c r="E4" s="1" t="s">
        <v>17</v>
      </c>
      <c r="F4" s="1" t="s">
        <v>33</v>
      </c>
      <c r="G4" s="1">
        <v>224184</v>
      </c>
      <c r="H4" s="63">
        <v>44956</v>
      </c>
      <c r="J4" s="1"/>
      <c r="K4" s="1"/>
      <c r="L4" s="1" t="s">
        <v>20</v>
      </c>
      <c r="M4" s="1" t="s">
        <v>35</v>
      </c>
      <c r="N4" s="1" t="str">
        <f t="shared" si="0"/>
        <v>Normal</v>
      </c>
      <c r="Q4" s="4" t="s">
        <v>4832</v>
      </c>
      <c r="R4">
        <f>STDEV(G2:G2501)</f>
        <v>211155.76575175556</v>
      </c>
    </row>
    <row r="5" spans="1:18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26</v>
      </c>
      <c r="F5" s="1" t="s">
        <v>40</v>
      </c>
      <c r="G5" s="1">
        <v>265745</v>
      </c>
      <c r="H5" s="63">
        <v>45590</v>
      </c>
      <c r="I5" s="63">
        <v>45650</v>
      </c>
      <c r="J5" s="1">
        <v>60</v>
      </c>
      <c r="K5" s="1">
        <v>17.8</v>
      </c>
      <c r="L5" s="1" t="s">
        <v>29</v>
      </c>
      <c r="M5" s="1" t="s">
        <v>42</v>
      </c>
      <c r="N5" s="1" t="str">
        <f t="shared" si="0"/>
        <v>Normal</v>
      </c>
      <c r="Q5" s="4" t="s">
        <v>4833</v>
      </c>
      <c r="R5">
        <f>R3+3*R4</f>
        <v>911923.42765526671</v>
      </c>
    </row>
    <row r="6" spans="1:18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40</v>
      </c>
      <c r="G6" s="1">
        <v>255053</v>
      </c>
      <c r="H6" s="63">
        <v>45266</v>
      </c>
      <c r="I6" s="63">
        <v>45429</v>
      </c>
      <c r="J6" s="1">
        <v>163</v>
      </c>
      <c r="K6" s="1">
        <v>8.4</v>
      </c>
      <c r="L6" s="1" t="s">
        <v>49</v>
      </c>
      <c r="M6" s="1" t="s">
        <v>21</v>
      </c>
      <c r="N6" s="1" t="str">
        <f t="shared" si="0"/>
        <v>Normal</v>
      </c>
      <c r="Q6" s="4" t="s">
        <v>4834</v>
      </c>
      <c r="R6">
        <f>R3-3*R4</f>
        <v>-355011.16685526667</v>
      </c>
    </row>
    <row r="7" spans="1:18" x14ac:dyDescent="0.25">
      <c r="A7" s="1" t="s">
        <v>50</v>
      </c>
      <c r="B7" s="1" t="s">
        <v>4829</v>
      </c>
      <c r="C7" s="1" t="s">
        <v>52</v>
      </c>
      <c r="D7" s="1" t="s">
        <v>46</v>
      </c>
      <c r="E7" s="1" t="s">
        <v>26</v>
      </c>
      <c r="F7" s="1" t="s">
        <v>53</v>
      </c>
      <c r="G7" s="1">
        <v>389913</v>
      </c>
      <c r="H7" s="63">
        <v>45276</v>
      </c>
      <c r="J7" s="1"/>
      <c r="K7" s="1"/>
      <c r="L7" s="1" t="s">
        <v>29</v>
      </c>
      <c r="M7" s="1" t="s">
        <v>21</v>
      </c>
      <c r="N7" s="1" t="str">
        <f t="shared" si="0"/>
        <v>Normal</v>
      </c>
    </row>
    <row r="8" spans="1:18" x14ac:dyDescent="0.25">
      <c r="A8" s="1" t="s">
        <v>55</v>
      </c>
      <c r="B8" s="1" t="s">
        <v>23</v>
      </c>
      <c r="C8" s="1" t="s">
        <v>56</v>
      </c>
      <c r="D8" s="1" t="s">
        <v>25</v>
      </c>
      <c r="E8" s="1" t="s">
        <v>47</v>
      </c>
      <c r="F8" s="1" t="s">
        <v>40</v>
      </c>
      <c r="G8" s="1">
        <v>393048</v>
      </c>
      <c r="H8" s="63">
        <v>45613</v>
      </c>
      <c r="I8" s="63">
        <v>45784</v>
      </c>
      <c r="J8" s="1">
        <v>171</v>
      </c>
      <c r="K8" s="1">
        <v>1.1000000000000001</v>
      </c>
      <c r="L8" s="1" t="s">
        <v>20</v>
      </c>
      <c r="M8" s="1" t="s">
        <v>42</v>
      </c>
      <c r="N8" s="1" t="str">
        <f t="shared" si="0"/>
        <v>Normal</v>
      </c>
    </row>
    <row r="9" spans="1:18" x14ac:dyDescent="0.25">
      <c r="A9" s="1" t="s">
        <v>58</v>
      </c>
      <c r="B9" s="1" t="s">
        <v>59</v>
      </c>
      <c r="C9" s="1" t="s">
        <v>60</v>
      </c>
      <c r="D9" s="1" t="s">
        <v>25</v>
      </c>
      <c r="E9" s="1" t="s">
        <v>61</v>
      </c>
      <c r="F9" s="1" t="s">
        <v>40</v>
      </c>
      <c r="G9" s="1">
        <v>295502</v>
      </c>
      <c r="H9" s="63">
        <v>45696</v>
      </c>
      <c r="I9" s="63">
        <v>45821</v>
      </c>
      <c r="J9" s="1">
        <v>125</v>
      </c>
      <c r="K9" s="1">
        <v>15.8</v>
      </c>
      <c r="L9" s="1" t="s">
        <v>49</v>
      </c>
      <c r="M9" s="1" t="s">
        <v>63</v>
      </c>
      <c r="N9" s="1" t="str">
        <f t="shared" si="0"/>
        <v>Normal</v>
      </c>
    </row>
    <row r="10" spans="1:18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26</v>
      </c>
      <c r="F10" s="1" t="s">
        <v>33</v>
      </c>
      <c r="G10" s="1">
        <v>172519</v>
      </c>
      <c r="H10" s="63">
        <v>45371</v>
      </c>
      <c r="J10" s="1"/>
      <c r="K10" s="1">
        <v>14.2</v>
      </c>
      <c r="L10" s="1" t="s">
        <v>29</v>
      </c>
      <c r="M10" s="1" t="s">
        <v>69</v>
      </c>
      <c r="N10" s="1" t="str">
        <f t="shared" si="0"/>
        <v>Normal</v>
      </c>
    </row>
    <row r="11" spans="1:18" x14ac:dyDescent="0.25">
      <c r="A11" s="1" t="s">
        <v>70</v>
      </c>
      <c r="B11" s="1" t="s">
        <v>59</v>
      </c>
      <c r="C11" s="1" t="s">
        <v>71</v>
      </c>
      <c r="D11" s="1" t="s">
        <v>46</v>
      </c>
      <c r="E11" s="1" t="s">
        <v>72</v>
      </c>
      <c r="F11" s="1" t="s">
        <v>40</v>
      </c>
      <c r="G11" s="1">
        <v>146890</v>
      </c>
      <c r="H11" s="63">
        <v>45356</v>
      </c>
      <c r="I11" s="63">
        <v>45414</v>
      </c>
      <c r="J11" s="1">
        <v>58</v>
      </c>
      <c r="K11" s="1">
        <v>8.5</v>
      </c>
      <c r="L11" s="1" t="s">
        <v>20</v>
      </c>
      <c r="M11" s="1" t="s">
        <v>69</v>
      </c>
      <c r="N11" s="1" t="str">
        <f t="shared" si="0"/>
        <v>Normal</v>
      </c>
    </row>
    <row r="12" spans="1:18" x14ac:dyDescent="0.25">
      <c r="A12" s="1" t="s">
        <v>74</v>
      </c>
      <c r="B12" s="1" t="s">
        <v>75</v>
      </c>
      <c r="C12" s="1" t="s">
        <v>76</v>
      </c>
      <c r="D12" s="1" t="s">
        <v>39</v>
      </c>
      <c r="E12" s="1" t="s">
        <v>77</v>
      </c>
      <c r="F12" s="1" t="s">
        <v>40</v>
      </c>
      <c r="G12" s="1">
        <v>242460</v>
      </c>
      <c r="H12" s="63">
        <v>45346</v>
      </c>
      <c r="I12" s="63">
        <v>45463</v>
      </c>
      <c r="J12" s="1">
        <v>117</v>
      </c>
      <c r="K12" s="1">
        <v>23</v>
      </c>
      <c r="L12" s="1" t="s">
        <v>49</v>
      </c>
      <c r="M12" s="1" t="s">
        <v>69</v>
      </c>
      <c r="N12" s="1" t="str">
        <f t="shared" si="0"/>
        <v>Normal</v>
      </c>
    </row>
    <row r="13" spans="1:18" x14ac:dyDescent="0.25">
      <c r="A13" s="1" t="s">
        <v>79</v>
      </c>
      <c r="B13" s="1" t="s">
        <v>80</v>
      </c>
      <c r="C13" s="1" t="s">
        <v>81</v>
      </c>
      <c r="D13" s="1" t="s">
        <v>46</v>
      </c>
      <c r="E13" s="1" t="s">
        <v>72</v>
      </c>
      <c r="F13" s="1" t="s">
        <v>40</v>
      </c>
      <c r="G13" s="1">
        <v>396833</v>
      </c>
      <c r="H13" s="63">
        <v>45219</v>
      </c>
      <c r="I13" s="63">
        <v>45236</v>
      </c>
      <c r="J13" s="1">
        <v>17</v>
      </c>
      <c r="K13" s="1">
        <v>4.3</v>
      </c>
      <c r="L13" s="1" t="s">
        <v>29</v>
      </c>
      <c r="M13" s="1" t="s">
        <v>21</v>
      </c>
      <c r="N13" s="1" t="str">
        <f t="shared" si="0"/>
        <v>Normal</v>
      </c>
    </row>
    <row r="14" spans="1:18" x14ac:dyDescent="0.25">
      <c r="A14" s="1" t="s">
        <v>83</v>
      </c>
      <c r="B14" s="1" t="s">
        <v>84</v>
      </c>
      <c r="C14" s="1" t="s">
        <v>85</v>
      </c>
      <c r="D14" s="1" t="s">
        <v>25</v>
      </c>
      <c r="E14" s="1" t="s">
        <v>77</v>
      </c>
      <c r="F14" s="1" t="s">
        <v>40</v>
      </c>
      <c r="G14" s="1">
        <v>207588</v>
      </c>
      <c r="H14" s="63">
        <v>45335</v>
      </c>
      <c r="I14" s="63">
        <v>45486</v>
      </c>
      <c r="J14" s="1">
        <v>151</v>
      </c>
      <c r="K14" s="1">
        <v>4.3</v>
      </c>
      <c r="L14" s="1" t="s">
        <v>49</v>
      </c>
      <c r="M14" s="1" t="s">
        <v>69</v>
      </c>
      <c r="N14" s="1" t="str">
        <f t="shared" si="0"/>
        <v>Normal</v>
      </c>
    </row>
    <row r="15" spans="1:18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17</v>
      </c>
      <c r="F15" s="1" t="s">
        <v>40</v>
      </c>
      <c r="G15" s="1">
        <v>244787</v>
      </c>
      <c r="H15" s="63">
        <v>45210</v>
      </c>
      <c r="I15" s="63">
        <v>45327</v>
      </c>
      <c r="J15" s="1">
        <v>117</v>
      </c>
      <c r="K15" s="1">
        <v>7.8</v>
      </c>
      <c r="L15" s="1" t="s">
        <v>49</v>
      </c>
      <c r="M15" s="1" t="s">
        <v>21</v>
      </c>
      <c r="N15" s="1" t="str">
        <f t="shared" si="0"/>
        <v>Normal</v>
      </c>
    </row>
    <row r="16" spans="1:18" x14ac:dyDescent="0.25">
      <c r="A16" s="1" t="s">
        <v>92</v>
      </c>
      <c r="B16" s="1" t="s">
        <v>75</v>
      </c>
      <c r="C16" s="1" t="s">
        <v>93</v>
      </c>
      <c r="D16" s="1" t="s">
        <v>16</v>
      </c>
      <c r="E16" s="1" t="s">
        <v>94</v>
      </c>
      <c r="F16" s="1" t="s">
        <v>40</v>
      </c>
      <c r="G16" s="1">
        <v>223320</v>
      </c>
      <c r="H16" s="63">
        <v>45623</v>
      </c>
      <c r="I16" s="63">
        <v>45770</v>
      </c>
      <c r="J16" s="1">
        <v>147</v>
      </c>
      <c r="K16" s="1">
        <v>9</v>
      </c>
      <c r="L16" s="1" t="s">
        <v>96</v>
      </c>
      <c r="M16" s="1" t="s">
        <v>42</v>
      </c>
      <c r="N16" s="1" t="str">
        <f t="shared" si="0"/>
        <v>Normal</v>
      </c>
    </row>
    <row r="17" spans="1:14" x14ac:dyDescent="0.25">
      <c r="A17" s="1" t="s">
        <v>97</v>
      </c>
      <c r="B17" s="1" t="s">
        <v>98</v>
      </c>
      <c r="C17" s="1" t="s">
        <v>99</v>
      </c>
      <c r="D17" s="1" t="s">
        <v>25</v>
      </c>
      <c r="E17" s="1" t="s">
        <v>100</v>
      </c>
      <c r="F17" s="1" t="s">
        <v>33</v>
      </c>
      <c r="G17" s="1">
        <v>341493</v>
      </c>
      <c r="H17" s="63">
        <v>45142</v>
      </c>
      <c r="J17" s="1"/>
      <c r="K17" s="1"/>
      <c r="L17" s="1" t="s">
        <v>20</v>
      </c>
      <c r="M17" s="1" t="s">
        <v>102</v>
      </c>
      <c r="N17" s="1" t="str">
        <f t="shared" si="0"/>
        <v>Normal</v>
      </c>
    </row>
    <row r="18" spans="1:14" x14ac:dyDescent="0.25">
      <c r="A18" s="1" t="s">
        <v>103</v>
      </c>
      <c r="B18" s="1" t="s">
        <v>104</v>
      </c>
      <c r="C18" s="1" t="s">
        <v>105</v>
      </c>
      <c r="D18" s="1" t="s">
        <v>25</v>
      </c>
      <c r="E18" s="1" t="s">
        <v>61</v>
      </c>
      <c r="F18" s="1" t="s">
        <v>18</v>
      </c>
      <c r="G18" s="1">
        <v>416867</v>
      </c>
      <c r="H18" s="63">
        <v>45426</v>
      </c>
      <c r="I18" s="63">
        <v>45541</v>
      </c>
      <c r="J18" s="1">
        <v>115</v>
      </c>
      <c r="K18" s="1">
        <v>12.2</v>
      </c>
      <c r="L18" s="1" t="s">
        <v>29</v>
      </c>
      <c r="M18" s="1" t="s">
        <v>107</v>
      </c>
      <c r="N18" s="1" t="str">
        <f t="shared" si="0"/>
        <v>Normal</v>
      </c>
    </row>
    <row r="19" spans="1:14" x14ac:dyDescent="0.25">
      <c r="A19" s="1" t="s">
        <v>108</v>
      </c>
      <c r="B19" s="1" t="s">
        <v>109</v>
      </c>
      <c r="C19" s="1" t="s">
        <v>110</v>
      </c>
      <c r="D19" s="1" t="s">
        <v>67</v>
      </c>
      <c r="E19" s="1" t="s">
        <v>94</v>
      </c>
      <c r="F19" s="1" t="s">
        <v>33</v>
      </c>
      <c r="G19" s="1">
        <v>67690</v>
      </c>
      <c r="H19" s="63">
        <v>45708</v>
      </c>
      <c r="J19" s="1"/>
      <c r="K19" s="1">
        <v>12.5</v>
      </c>
      <c r="L19" s="1" t="s">
        <v>29</v>
      </c>
      <c r="M19" s="1" t="s">
        <v>63</v>
      </c>
      <c r="N19" s="1" t="str">
        <f t="shared" si="0"/>
        <v>Normal</v>
      </c>
    </row>
    <row r="20" spans="1:14" x14ac:dyDescent="0.25">
      <c r="A20" s="1" t="s">
        <v>112</v>
      </c>
      <c r="B20" s="1" t="s">
        <v>59</v>
      </c>
      <c r="C20" s="1" t="s">
        <v>113</v>
      </c>
      <c r="D20" s="1" t="s">
        <v>67</v>
      </c>
      <c r="E20" s="1" t="s">
        <v>47</v>
      </c>
      <c r="F20" s="1" t="s">
        <v>40</v>
      </c>
      <c r="G20" s="1">
        <v>453993</v>
      </c>
      <c r="H20" s="63">
        <v>45316</v>
      </c>
      <c r="I20" s="63">
        <v>45466</v>
      </c>
      <c r="J20" s="1">
        <v>150</v>
      </c>
      <c r="K20" s="1">
        <v>9.5</v>
      </c>
      <c r="L20" s="1" t="s">
        <v>20</v>
      </c>
      <c r="M20" s="1" t="s">
        <v>69</v>
      </c>
      <c r="N20" s="1" t="str">
        <f t="shared" si="0"/>
        <v>Normal</v>
      </c>
    </row>
    <row r="21" spans="1:14" x14ac:dyDescent="0.25">
      <c r="A21" s="1" t="s">
        <v>115</v>
      </c>
      <c r="B21" s="1" t="s">
        <v>37</v>
      </c>
      <c r="C21" s="1" t="s">
        <v>116</v>
      </c>
      <c r="D21" s="1" t="s">
        <v>39</v>
      </c>
      <c r="E21" s="1" t="s">
        <v>94</v>
      </c>
      <c r="F21" s="1" t="s">
        <v>33</v>
      </c>
      <c r="G21" s="1">
        <v>404058</v>
      </c>
      <c r="H21" s="63">
        <v>45432</v>
      </c>
      <c r="J21" s="1"/>
      <c r="K21" s="1">
        <v>5.3</v>
      </c>
      <c r="L21" s="1" t="s">
        <v>29</v>
      </c>
      <c r="M21" s="1" t="s">
        <v>107</v>
      </c>
      <c r="N21" s="1" t="str">
        <f t="shared" si="0"/>
        <v>Normal</v>
      </c>
    </row>
    <row r="22" spans="1:14" x14ac:dyDescent="0.25">
      <c r="A22" s="1" t="s">
        <v>118</v>
      </c>
      <c r="B22" s="1" t="s">
        <v>109</v>
      </c>
      <c r="C22" s="1" t="s">
        <v>119</v>
      </c>
      <c r="D22" s="1" t="s">
        <v>67</v>
      </c>
      <c r="E22" s="1" t="s">
        <v>72</v>
      </c>
      <c r="F22" s="1" t="s">
        <v>53</v>
      </c>
      <c r="G22" s="1">
        <v>117974</v>
      </c>
      <c r="H22" s="63">
        <v>44950</v>
      </c>
      <c r="J22" s="1"/>
      <c r="K22" s="1">
        <v>11.5</v>
      </c>
      <c r="L22" s="1" t="s">
        <v>49</v>
      </c>
      <c r="M22" s="1" t="s">
        <v>35</v>
      </c>
      <c r="N22" s="1" t="str">
        <f t="shared" si="0"/>
        <v>Normal</v>
      </c>
    </row>
    <row r="23" spans="1:14" x14ac:dyDescent="0.25">
      <c r="A23" s="1" t="s">
        <v>121</v>
      </c>
      <c r="B23" s="1" t="s">
        <v>65</v>
      </c>
      <c r="C23" s="1" t="s">
        <v>122</v>
      </c>
      <c r="D23" s="1" t="s">
        <v>67</v>
      </c>
      <c r="E23" s="1" t="s">
        <v>72</v>
      </c>
      <c r="F23" s="1" t="s">
        <v>33</v>
      </c>
      <c r="G23" s="1">
        <v>111938</v>
      </c>
      <c r="H23" s="63">
        <v>45725</v>
      </c>
      <c r="J23" s="1"/>
      <c r="K23" s="1"/>
      <c r="L23" s="1" t="s">
        <v>29</v>
      </c>
      <c r="M23" s="1" t="s">
        <v>63</v>
      </c>
      <c r="N23" s="1" t="str">
        <f t="shared" si="0"/>
        <v>Normal</v>
      </c>
    </row>
    <row r="24" spans="1:14" x14ac:dyDescent="0.25">
      <c r="A24" s="1" t="s">
        <v>124</v>
      </c>
      <c r="B24" s="1" t="s">
        <v>84</v>
      </c>
      <c r="C24" s="1" t="s">
        <v>85</v>
      </c>
      <c r="D24" s="1" t="s">
        <v>25</v>
      </c>
      <c r="E24" s="1" t="s">
        <v>100</v>
      </c>
      <c r="F24" s="1" t="s">
        <v>18</v>
      </c>
      <c r="G24" s="1">
        <v>133407</v>
      </c>
      <c r="H24" s="63">
        <v>45046</v>
      </c>
      <c r="I24" s="63">
        <v>45166</v>
      </c>
      <c r="J24" s="1">
        <v>120</v>
      </c>
      <c r="K24" s="1">
        <v>10.9</v>
      </c>
      <c r="L24" s="1" t="s">
        <v>96</v>
      </c>
      <c r="M24" s="1" t="s">
        <v>30</v>
      </c>
      <c r="N24" s="1" t="str">
        <f t="shared" si="0"/>
        <v>Normal</v>
      </c>
    </row>
    <row r="25" spans="1:14" x14ac:dyDescent="0.25">
      <c r="A25" s="1" t="s">
        <v>126</v>
      </c>
      <c r="B25" s="1" t="s">
        <v>127</v>
      </c>
      <c r="C25" s="1" t="s">
        <v>128</v>
      </c>
      <c r="D25" s="1" t="s">
        <v>16</v>
      </c>
      <c r="E25" s="1" t="s">
        <v>4845</v>
      </c>
      <c r="F25" s="1" t="s">
        <v>129</v>
      </c>
      <c r="G25" s="1">
        <v>125962</v>
      </c>
      <c r="H25" s="63">
        <v>45347</v>
      </c>
      <c r="J25" s="1"/>
      <c r="K25" s="1">
        <v>12.9</v>
      </c>
      <c r="L25" s="1" t="s">
        <v>49</v>
      </c>
      <c r="M25" s="1" t="s">
        <v>69</v>
      </c>
      <c r="N25" s="1" t="str">
        <f t="shared" si="0"/>
        <v>Normal</v>
      </c>
    </row>
    <row r="26" spans="1:14" x14ac:dyDescent="0.25">
      <c r="A26" s="1" t="s">
        <v>131</v>
      </c>
      <c r="B26" s="1" t="s">
        <v>59</v>
      </c>
      <c r="C26" s="1" t="s">
        <v>132</v>
      </c>
      <c r="D26" s="1" t="s">
        <v>39</v>
      </c>
      <c r="E26" s="1" t="s">
        <v>94</v>
      </c>
      <c r="F26" s="1" t="s">
        <v>40</v>
      </c>
      <c r="G26" s="1">
        <v>71017</v>
      </c>
      <c r="H26" s="63">
        <v>44994</v>
      </c>
      <c r="I26" s="63">
        <v>45095</v>
      </c>
      <c r="J26" s="1">
        <v>101</v>
      </c>
      <c r="K26" s="1">
        <v>3.5</v>
      </c>
      <c r="L26" s="1" t="s">
        <v>20</v>
      </c>
      <c r="M26" s="1" t="s">
        <v>35</v>
      </c>
      <c r="N26" s="1" t="str">
        <f t="shared" si="0"/>
        <v>Normal</v>
      </c>
    </row>
    <row r="27" spans="1:14" x14ac:dyDescent="0.25">
      <c r="A27" s="1" t="s">
        <v>134</v>
      </c>
      <c r="B27" s="1" t="s">
        <v>98</v>
      </c>
      <c r="C27" s="1" t="s">
        <v>135</v>
      </c>
      <c r="D27" s="1" t="s">
        <v>39</v>
      </c>
      <c r="E27" s="1" t="s">
        <v>100</v>
      </c>
      <c r="F27" s="1" t="s">
        <v>40</v>
      </c>
      <c r="G27" s="1">
        <v>80078</v>
      </c>
      <c r="H27" s="63">
        <v>45652</v>
      </c>
      <c r="I27" s="63">
        <v>45722</v>
      </c>
      <c r="J27" s="1">
        <v>70</v>
      </c>
      <c r="K27" s="1">
        <v>4.9000000000000004</v>
      </c>
      <c r="L27" s="1" t="s">
        <v>96</v>
      </c>
      <c r="M27" s="1" t="s">
        <v>42</v>
      </c>
      <c r="N27" s="1" t="str">
        <f t="shared" si="0"/>
        <v>Normal</v>
      </c>
    </row>
    <row r="28" spans="1:14" x14ac:dyDescent="0.25">
      <c r="A28" s="1" t="s">
        <v>137</v>
      </c>
      <c r="B28" s="1" t="s">
        <v>84</v>
      </c>
      <c r="C28" s="1" t="s">
        <v>138</v>
      </c>
      <c r="D28" s="1" t="s">
        <v>16</v>
      </c>
      <c r="E28" s="1" t="s">
        <v>100</v>
      </c>
      <c r="F28" s="1" t="s">
        <v>129</v>
      </c>
      <c r="G28" s="1">
        <v>147459</v>
      </c>
      <c r="H28" s="63">
        <v>45026</v>
      </c>
      <c r="J28" s="1"/>
      <c r="K28" s="1">
        <v>6.4</v>
      </c>
      <c r="L28" s="1" t="s">
        <v>29</v>
      </c>
      <c r="M28" s="1" t="s">
        <v>30</v>
      </c>
      <c r="N28" s="1" t="str">
        <f t="shared" si="0"/>
        <v>Normal</v>
      </c>
    </row>
    <row r="29" spans="1:14" x14ac:dyDescent="0.25">
      <c r="A29" s="1" t="s">
        <v>140</v>
      </c>
      <c r="B29" s="1" t="s">
        <v>80</v>
      </c>
      <c r="C29" s="1" t="s">
        <v>141</v>
      </c>
      <c r="D29" s="1" t="s">
        <v>25</v>
      </c>
      <c r="E29" s="1" t="s">
        <v>77</v>
      </c>
      <c r="F29" s="1" t="s">
        <v>18</v>
      </c>
      <c r="G29" s="1">
        <v>59394</v>
      </c>
      <c r="H29" s="63">
        <v>45278</v>
      </c>
      <c r="I29" s="63">
        <v>45351</v>
      </c>
      <c r="J29" s="1">
        <v>73</v>
      </c>
      <c r="K29" s="1">
        <v>2.1</v>
      </c>
      <c r="L29" s="1" t="s">
        <v>49</v>
      </c>
      <c r="M29" s="1" t="s">
        <v>21</v>
      </c>
      <c r="N29" s="1" t="str">
        <f t="shared" si="0"/>
        <v>Normal</v>
      </c>
    </row>
    <row r="30" spans="1:14" x14ac:dyDescent="0.25">
      <c r="A30" s="1" t="s">
        <v>143</v>
      </c>
      <c r="B30" s="1" t="s">
        <v>104</v>
      </c>
      <c r="C30" s="1" t="s">
        <v>144</v>
      </c>
      <c r="D30" s="1" t="s">
        <v>67</v>
      </c>
      <c r="E30" s="1" t="s">
        <v>72</v>
      </c>
      <c r="F30" s="1" t="s">
        <v>27</v>
      </c>
      <c r="G30" s="1">
        <v>490489</v>
      </c>
      <c r="H30" s="63">
        <v>45699</v>
      </c>
      <c r="J30" s="1"/>
      <c r="K30" s="1"/>
      <c r="L30" s="1" t="s">
        <v>96</v>
      </c>
      <c r="M30" s="1" t="s">
        <v>63</v>
      </c>
      <c r="N30" s="1" t="str">
        <f t="shared" si="0"/>
        <v>Normal</v>
      </c>
    </row>
    <row r="31" spans="1:14" x14ac:dyDescent="0.25">
      <c r="A31" s="1" t="s">
        <v>146</v>
      </c>
      <c r="B31" s="1" t="s">
        <v>75</v>
      </c>
      <c r="C31" s="1" t="s">
        <v>147</v>
      </c>
      <c r="D31" s="1" t="s">
        <v>90</v>
      </c>
      <c r="E31" s="1" t="s">
        <v>94</v>
      </c>
      <c r="F31" s="1" t="s">
        <v>33</v>
      </c>
      <c r="G31" s="1">
        <v>267116</v>
      </c>
      <c r="H31" s="63">
        <v>45475</v>
      </c>
      <c r="J31" s="1"/>
      <c r="K31" s="1">
        <v>3</v>
      </c>
      <c r="L31" s="1" t="s">
        <v>29</v>
      </c>
      <c r="M31" s="1" t="s">
        <v>149</v>
      </c>
      <c r="N31" s="1" t="str">
        <f t="shared" si="0"/>
        <v>Normal</v>
      </c>
    </row>
    <row r="32" spans="1:14" x14ac:dyDescent="0.25">
      <c r="A32" s="1" t="s">
        <v>150</v>
      </c>
      <c r="B32" s="1" t="s">
        <v>88</v>
      </c>
      <c r="C32" s="1" t="s">
        <v>151</v>
      </c>
      <c r="D32" s="1" t="s">
        <v>90</v>
      </c>
      <c r="E32" s="1" t="s">
        <v>94</v>
      </c>
      <c r="F32" s="1" t="s">
        <v>18</v>
      </c>
      <c r="G32" s="1">
        <v>340697</v>
      </c>
      <c r="H32" s="63">
        <v>45094</v>
      </c>
      <c r="I32" s="63">
        <v>45174</v>
      </c>
      <c r="J32" s="1">
        <v>80</v>
      </c>
      <c r="K32" s="1">
        <v>6.7</v>
      </c>
      <c r="L32" s="1" t="s">
        <v>96</v>
      </c>
      <c r="M32" s="1" t="s">
        <v>30</v>
      </c>
      <c r="N32" s="1" t="str">
        <f t="shared" si="0"/>
        <v>Normal</v>
      </c>
    </row>
    <row r="33" spans="1:14" x14ac:dyDescent="0.25">
      <c r="A33" s="1" t="s">
        <v>153</v>
      </c>
      <c r="B33" s="1" t="s">
        <v>59</v>
      </c>
      <c r="C33" s="1" t="s">
        <v>154</v>
      </c>
      <c r="D33" s="1" t="s">
        <v>67</v>
      </c>
      <c r="E33" s="1" t="s">
        <v>17</v>
      </c>
      <c r="F33" s="1" t="s">
        <v>129</v>
      </c>
      <c r="G33" s="1">
        <v>432247</v>
      </c>
      <c r="H33" s="63">
        <v>45729</v>
      </c>
      <c r="J33" s="1"/>
      <c r="K33" s="1">
        <v>13.4</v>
      </c>
      <c r="L33" s="1" t="s">
        <v>96</v>
      </c>
      <c r="M33" s="1" t="s">
        <v>63</v>
      </c>
      <c r="N33" s="1" t="str">
        <f t="shared" si="0"/>
        <v>Normal</v>
      </c>
    </row>
    <row r="34" spans="1:14" x14ac:dyDescent="0.25">
      <c r="A34" s="1" t="s">
        <v>156</v>
      </c>
      <c r="B34" s="1" t="s">
        <v>23</v>
      </c>
      <c r="C34" s="1" t="s">
        <v>157</v>
      </c>
      <c r="D34" s="1" t="s">
        <v>39</v>
      </c>
      <c r="E34" s="1" t="s">
        <v>47</v>
      </c>
      <c r="F34" s="1" t="s">
        <v>18</v>
      </c>
      <c r="G34" s="1">
        <v>449838</v>
      </c>
      <c r="H34" s="63">
        <v>45442</v>
      </c>
      <c r="I34" s="63">
        <v>45589</v>
      </c>
      <c r="J34" s="1">
        <v>147</v>
      </c>
      <c r="K34" s="1">
        <v>6.8</v>
      </c>
      <c r="L34" s="1" t="s">
        <v>20</v>
      </c>
      <c r="M34" s="1" t="s">
        <v>107</v>
      </c>
      <c r="N34" s="1" t="str">
        <f t="shared" si="0"/>
        <v>Normal</v>
      </c>
    </row>
    <row r="35" spans="1:14" x14ac:dyDescent="0.25">
      <c r="A35" s="1" t="s">
        <v>159</v>
      </c>
      <c r="B35" s="1" t="s">
        <v>80</v>
      </c>
      <c r="C35" s="1" t="s">
        <v>160</v>
      </c>
      <c r="D35" s="1" t="s">
        <v>25</v>
      </c>
      <c r="E35" s="1" t="s">
        <v>72</v>
      </c>
      <c r="F35" s="1" t="s">
        <v>129</v>
      </c>
      <c r="G35" s="1">
        <v>325774</v>
      </c>
      <c r="H35" s="63">
        <v>45335</v>
      </c>
      <c r="J35" s="1"/>
      <c r="K35" s="1"/>
      <c r="L35" s="1" t="s">
        <v>20</v>
      </c>
      <c r="M35" s="1" t="s">
        <v>69</v>
      </c>
      <c r="N35" s="1" t="str">
        <f t="shared" si="0"/>
        <v>Normal</v>
      </c>
    </row>
    <row r="36" spans="1:14" x14ac:dyDescent="0.25">
      <c r="A36" s="1" t="s">
        <v>161</v>
      </c>
      <c r="B36" s="1" t="s">
        <v>80</v>
      </c>
      <c r="C36" s="1" t="s">
        <v>162</v>
      </c>
      <c r="D36" s="1" t="s">
        <v>39</v>
      </c>
      <c r="E36" s="1" t="s">
        <v>94</v>
      </c>
      <c r="F36" s="1" t="s">
        <v>18</v>
      </c>
      <c r="G36" s="1">
        <v>251845</v>
      </c>
      <c r="H36" s="63">
        <v>45499</v>
      </c>
      <c r="I36" s="63">
        <v>45520</v>
      </c>
      <c r="J36" s="1">
        <v>21</v>
      </c>
      <c r="K36" s="1">
        <v>6.3</v>
      </c>
      <c r="L36" s="1" t="s">
        <v>49</v>
      </c>
      <c r="M36" s="1" t="s">
        <v>149</v>
      </c>
      <c r="N36" s="1" t="str">
        <f t="shared" si="0"/>
        <v>Normal</v>
      </c>
    </row>
    <row r="37" spans="1:14" x14ac:dyDescent="0.25">
      <c r="A37" s="1" t="s">
        <v>164</v>
      </c>
      <c r="B37" s="1" t="s">
        <v>109</v>
      </c>
      <c r="C37" s="1" t="s">
        <v>165</v>
      </c>
      <c r="D37" s="1" t="s">
        <v>67</v>
      </c>
      <c r="E37" s="1" t="s">
        <v>100</v>
      </c>
      <c r="F37" s="1" t="s">
        <v>33</v>
      </c>
      <c r="G37" s="1">
        <v>245814</v>
      </c>
      <c r="H37" s="63">
        <v>45017</v>
      </c>
      <c r="J37" s="1"/>
      <c r="K37" s="1"/>
      <c r="L37" s="1" t="s">
        <v>96</v>
      </c>
      <c r="M37" s="1" t="s">
        <v>30</v>
      </c>
      <c r="N37" s="1" t="str">
        <f t="shared" si="0"/>
        <v>Normal</v>
      </c>
    </row>
    <row r="38" spans="1:14" x14ac:dyDescent="0.25">
      <c r="A38" s="1" t="s">
        <v>167</v>
      </c>
      <c r="B38" s="1" t="s">
        <v>14</v>
      </c>
      <c r="C38" s="1" t="s">
        <v>168</v>
      </c>
      <c r="D38" s="1" t="s">
        <v>25</v>
      </c>
      <c r="E38" s="1" t="s">
        <v>77</v>
      </c>
      <c r="F38" s="1" t="s">
        <v>53</v>
      </c>
      <c r="G38" s="1">
        <v>128284</v>
      </c>
      <c r="H38" s="63">
        <v>45083</v>
      </c>
      <c r="J38" s="1"/>
      <c r="K38" s="1">
        <v>1.5</v>
      </c>
      <c r="L38" s="1" t="s">
        <v>29</v>
      </c>
      <c r="M38" s="1" t="s">
        <v>30</v>
      </c>
      <c r="N38" s="1" t="str">
        <f t="shared" si="0"/>
        <v>Normal</v>
      </c>
    </row>
    <row r="39" spans="1:14" x14ac:dyDescent="0.25">
      <c r="A39" s="1" t="s">
        <v>170</v>
      </c>
      <c r="B39" s="1" t="s">
        <v>65</v>
      </c>
      <c r="C39" s="1" t="s">
        <v>93</v>
      </c>
      <c r="D39" s="1" t="s">
        <v>16</v>
      </c>
      <c r="E39" s="1" t="s">
        <v>4845</v>
      </c>
      <c r="F39" s="1" t="s">
        <v>33</v>
      </c>
      <c r="G39" s="1">
        <v>157092</v>
      </c>
      <c r="H39" s="63">
        <v>45655</v>
      </c>
      <c r="J39" s="1"/>
      <c r="K39" s="1">
        <v>6.3</v>
      </c>
      <c r="L39" s="1" t="s">
        <v>96</v>
      </c>
      <c r="M39" s="1" t="s">
        <v>42</v>
      </c>
      <c r="N39" s="1" t="str">
        <f t="shared" si="0"/>
        <v>Normal</v>
      </c>
    </row>
    <row r="40" spans="1:14" x14ac:dyDescent="0.25">
      <c r="A40" s="1" t="s">
        <v>172</v>
      </c>
      <c r="B40" s="1" t="s">
        <v>173</v>
      </c>
      <c r="C40" s="1" t="s">
        <v>174</v>
      </c>
      <c r="D40" s="1" t="s">
        <v>90</v>
      </c>
      <c r="E40" s="1" t="s">
        <v>94</v>
      </c>
      <c r="F40" s="1" t="s">
        <v>53</v>
      </c>
      <c r="G40" s="1">
        <v>387930</v>
      </c>
      <c r="H40" s="63">
        <v>45587</v>
      </c>
      <c r="J40" s="1"/>
      <c r="K40" s="1">
        <v>2.8</v>
      </c>
      <c r="L40" s="1" t="s">
        <v>20</v>
      </c>
      <c r="M40" s="1" t="s">
        <v>42</v>
      </c>
      <c r="N40" s="1" t="str">
        <f t="shared" si="0"/>
        <v>Normal</v>
      </c>
    </row>
    <row r="41" spans="1:14" x14ac:dyDescent="0.25">
      <c r="A41" s="1" t="s">
        <v>176</v>
      </c>
      <c r="B41" s="1" t="s">
        <v>109</v>
      </c>
      <c r="C41" s="1" t="s">
        <v>177</v>
      </c>
      <c r="D41" s="1" t="s">
        <v>90</v>
      </c>
      <c r="E41" s="1" t="s">
        <v>77</v>
      </c>
      <c r="F41" s="1" t="s">
        <v>129</v>
      </c>
      <c r="G41" s="1">
        <v>265994</v>
      </c>
      <c r="H41" s="63">
        <v>45744</v>
      </c>
      <c r="J41" s="1"/>
      <c r="K41" s="1">
        <v>0.7</v>
      </c>
      <c r="L41" s="1" t="s">
        <v>96</v>
      </c>
      <c r="M41" s="1" t="s">
        <v>63</v>
      </c>
      <c r="N41" s="1" t="str">
        <f t="shared" si="0"/>
        <v>Normal</v>
      </c>
    </row>
    <row r="42" spans="1:14" x14ac:dyDescent="0.25">
      <c r="A42" s="1" t="s">
        <v>179</v>
      </c>
      <c r="B42" s="1" t="s">
        <v>14</v>
      </c>
      <c r="C42" s="1" t="s">
        <v>180</v>
      </c>
      <c r="D42" s="1" t="s">
        <v>16</v>
      </c>
      <c r="E42" s="1" t="s">
        <v>77</v>
      </c>
      <c r="F42" s="1" t="s">
        <v>40</v>
      </c>
      <c r="G42" s="1">
        <v>925816</v>
      </c>
      <c r="H42" s="63">
        <v>45449</v>
      </c>
      <c r="I42" s="63">
        <v>45467</v>
      </c>
      <c r="J42" s="1">
        <v>18</v>
      </c>
      <c r="K42" s="1">
        <v>16.600000000000001</v>
      </c>
      <c r="L42" s="1" t="s">
        <v>96</v>
      </c>
      <c r="M42" s="1" t="s">
        <v>107</v>
      </c>
      <c r="N42" s="1" t="str">
        <f t="shared" si="0"/>
        <v>High Outlier</v>
      </c>
    </row>
    <row r="43" spans="1:14" x14ac:dyDescent="0.25">
      <c r="A43" s="1" t="s">
        <v>182</v>
      </c>
      <c r="B43" s="1" t="s">
        <v>44</v>
      </c>
      <c r="C43" s="1" t="s">
        <v>183</v>
      </c>
      <c r="D43" s="1" t="s">
        <v>46</v>
      </c>
      <c r="E43" s="1" t="s">
        <v>72</v>
      </c>
      <c r="F43" s="1" t="s">
        <v>40</v>
      </c>
      <c r="G43" s="1">
        <v>57872</v>
      </c>
      <c r="H43" s="63">
        <v>45391</v>
      </c>
      <c r="I43" s="63">
        <v>45559</v>
      </c>
      <c r="J43" s="1">
        <v>168</v>
      </c>
      <c r="K43" s="1">
        <v>4.5</v>
      </c>
      <c r="L43" s="1" t="s">
        <v>29</v>
      </c>
      <c r="M43" s="1" t="s">
        <v>107</v>
      </c>
      <c r="N43" s="1" t="str">
        <f t="shared" si="0"/>
        <v>Normal</v>
      </c>
    </row>
    <row r="44" spans="1:14" x14ac:dyDescent="0.25">
      <c r="A44" s="1" t="s">
        <v>185</v>
      </c>
      <c r="B44" s="1" t="s">
        <v>88</v>
      </c>
      <c r="C44" s="1" t="s">
        <v>186</v>
      </c>
      <c r="D44" s="1" t="s">
        <v>39</v>
      </c>
      <c r="E44" s="1" t="s">
        <v>94</v>
      </c>
      <c r="F44" s="1" t="s">
        <v>40</v>
      </c>
      <c r="G44" s="1">
        <v>25184</v>
      </c>
      <c r="H44" s="63">
        <v>45446</v>
      </c>
      <c r="I44" s="63">
        <v>45516</v>
      </c>
      <c r="J44" s="1">
        <v>70</v>
      </c>
      <c r="K44" s="1">
        <v>19.600000000000001</v>
      </c>
      <c r="L44" s="1" t="s">
        <v>96</v>
      </c>
      <c r="M44" s="1" t="s">
        <v>107</v>
      </c>
      <c r="N44" s="1" t="str">
        <f t="shared" si="0"/>
        <v>Normal</v>
      </c>
    </row>
    <row r="45" spans="1:14" x14ac:dyDescent="0.25">
      <c r="A45" s="1" t="s">
        <v>188</v>
      </c>
      <c r="B45" s="1" t="s">
        <v>59</v>
      </c>
      <c r="C45" s="1" t="s">
        <v>189</v>
      </c>
      <c r="D45" s="1" t="s">
        <v>25</v>
      </c>
      <c r="E45" s="1" t="s">
        <v>61</v>
      </c>
      <c r="F45" s="1" t="s">
        <v>53</v>
      </c>
      <c r="G45" s="1">
        <v>46255</v>
      </c>
      <c r="H45" s="63">
        <v>45309</v>
      </c>
      <c r="J45" s="1"/>
      <c r="K45" s="1"/>
      <c r="L45" s="1" t="s">
        <v>20</v>
      </c>
      <c r="M45" s="1" t="s">
        <v>69</v>
      </c>
      <c r="N45" s="1" t="str">
        <f t="shared" si="0"/>
        <v>Normal</v>
      </c>
    </row>
    <row r="46" spans="1:14" x14ac:dyDescent="0.25">
      <c r="A46" s="1" t="s">
        <v>191</v>
      </c>
      <c r="B46" s="1" t="s">
        <v>84</v>
      </c>
      <c r="C46" s="1" t="s">
        <v>192</v>
      </c>
      <c r="D46" s="1" t="s">
        <v>25</v>
      </c>
      <c r="E46" s="1" t="s">
        <v>26</v>
      </c>
      <c r="F46" s="1" t="s">
        <v>40</v>
      </c>
      <c r="G46" s="1">
        <v>34502</v>
      </c>
      <c r="H46" s="63">
        <v>45629</v>
      </c>
      <c r="I46" s="63">
        <v>45690</v>
      </c>
      <c r="J46" s="1">
        <v>61</v>
      </c>
      <c r="K46" s="1">
        <v>2.2999999999999998</v>
      </c>
      <c r="L46" s="1" t="s">
        <v>96</v>
      </c>
      <c r="M46" s="1" t="s">
        <v>42</v>
      </c>
      <c r="N46" s="1" t="str">
        <f t="shared" si="0"/>
        <v>Normal</v>
      </c>
    </row>
    <row r="47" spans="1:14" x14ac:dyDescent="0.25">
      <c r="A47" s="1" t="s">
        <v>194</v>
      </c>
      <c r="B47" s="1" t="s">
        <v>65</v>
      </c>
      <c r="C47" s="1" t="s">
        <v>195</v>
      </c>
      <c r="D47" s="1" t="s">
        <v>16</v>
      </c>
      <c r="E47" s="1" t="s">
        <v>61</v>
      </c>
      <c r="F47" s="1" t="s">
        <v>40</v>
      </c>
      <c r="G47" s="1">
        <v>242893</v>
      </c>
      <c r="H47" s="63">
        <v>45265</v>
      </c>
      <c r="I47" s="63">
        <v>45286</v>
      </c>
      <c r="J47" s="1">
        <v>21</v>
      </c>
      <c r="K47" s="1">
        <v>14.4</v>
      </c>
      <c r="L47" s="1" t="s">
        <v>20</v>
      </c>
      <c r="M47" s="1" t="s">
        <v>21</v>
      </c>
      <c r="N47" s="1" t="str">
        <f t="shared" si="0"/>
        <v>Normal</v>
      </c>
    </row>
    <row r="48" spans="1:14" x14ac:dyDescent="0.25">
      <c r="A48" s="1" t="s">
        <v>197</v>
      </c>
      <c r="B48" s="1" t="s">
        <v>88</v>
      </c>
      <c r="C48" s="1" t="s">
        <v>198</v>
      </c>
      <c r="D48" s="1" t="s">
        <v>67</v>
      </c>
      <c r="E48" s="1" t="s">
        <v>4845</v>
      </c>
      <c r="F48" s="1" t="s">
        <v>40</v>
      </c>
      <c r="G48" s="1">
        <v>276108</v>
      </c>
      <c r="H48" s="63">
        <v>45601</v>
      </c>
      <c r="I48" s="63">
        <v>45683</v>
      </c>
      <c r="J48" s="1">
        <v>82</v>
      </c>
      <c r="K48" s="1">
        <v>22.6</v>
      </c>
      <c r="L48" s="1" t="s">
        <v>20</v>
      </c>
      <c r="M48" s="1" t="s">
        <v>42</v>
      </c>
      <c r="N48" s="1" t="str">
        <f t="shared" si="0"/>
        <v>Normal</v>
      </c>
    </row>
    <row r="49" spans="1:14" x14ac:dyDescent="0.25">
      <c r="A49" s="1" t="s">
        <v>200</v>
      </c>
      <c r="B49" s="1" t="s">
        <v>127</v>
      </c>
      <c r="C49" s="1" t="s">
        <v>154</v>
      </c>
      <c r="D49" s="1" t="s">
        <v>25</v>
      </c>
      <c r="E49" s="1" t="s">
        <v>26</v>
      </c>
      <c r="F49" s="1" t="s">
        <v>33</v>
      </c>
      <c r="G49" s="1">
        <v>225261</v>
      </c>
      <c r="H49" s="63">
        <v>45248</v>
      </c>
      <c r="J49" s="1"/>
      <c r="K49" s="1">
        <v>12.7</v>
      </c>
      <c r="L49" s="1" t="s">
        <v>96</v>
      </c>
      <c r="M49" s="1" t="s">
        <v>21</v>
      </c>
      <c r="N49" s="1" t="str">
        <f t="shared" si="0"/>
        <v>Normal</v>
      </c>
    </row>
    <row r="50" spans="1:14" x14ac:dyDescent="0.25">
      <c r="A50" s="1" t="s">
        <v>202</v>
      </c>
      <c r="B50" s="1" t="s">
        <v>80</v>
      </c>
      <c r="C50" s="1" t="s">
        <v>189</v>
      </c>
      <c r="D50" s="1" t="s">
        <v>25</v>
      </c>
      <c r="E50" s="1" t="s">
        <v>100</v>
      </c>
      <c r="F50" s="1" t="s">
        <v>129</v>
      </c>
      <c r="G50" s="1">
        <v>321651</v>
      </c>
      <c r="H50" s="63">
        <v>45070</v>
      </c>
      <c r="J50" s="1"/>
      <c r="K50" s="1"/>
      <c r="L50" s="1" t="s">
        <v>29</v>
      </c>
      <c r="M50" s="1" t="s">
        <v>30</v>
      </c>
      <c r="N50" s="1" t="str">
        <f t="shared" si="0"/>
        <v>Normal</v>
      </c>
    </row>
    <row r="51" spans="1:14" x14ac:dyDescent="0.25">
      <c r="A51" s="1" t="s">
        <v>204</v>
      </c>
      <c r="B51" s="1" t="s">
        <v>98</v>
      </c>
      <c r="C51" s="1" t="s">
        <v>205</v>
      </c>
      <c r="D51" s="1" t="s">
        <v>39</v>
      </c>
      <c r="E51" s="1" t="s">
        <v>17</v>
      </c>
      <c r="F51" s="1" t="s">
        <v>27</v>
      </c>
      <c r="G51" s="1">
        <v>495204</v>
      </c>
      <c r="H51" s="63">
        <v>45734</v>
      </c>
      <c r="J51" s="1"/>
      <c r="K51" s="1"/>
      <c r="L51" s="1" t="s">
        <v>96</v>
      </c>
      <c r="M51" s="1" t="s">
        <v>63</v>
      </c>
      <c r="N51" s="1" t="str">
        <f t="shared" si="0"/>
        <v>Normal</v>
      </c>
    </row>
    <row r="52" spans="1:14" x14ac:dyDescent="0.25">
      <c r="A52" s="1" t="s">
        <v>207</v>
      </c>
      <c r="B52" s="1" t="s">
        <v>127</v>
      </c>
      <c r="C52" s="1" t="s">
        <v>208</v>
      </c>
      <c r="D52" s="1" t="s">
        <v>16</v>
      </c>
      <c r="E52" s="1" t="s">
        <v>61</v>
      </c>
      <c r="F52" s="1" t="s">
        <v>129</v>
      </c>
      <c r="G52" s="1">
        <v>130238</v>
      </c>
      <c r="H52" s="63">
        <v>45191</v>
      </c>
      <c r="J52" s="1"/>
      <c r="K52" s="1"/>
      <c r="L52" s="1" t="s">
        <v>20</v>
      </c>
      <c r="M52" s="1" t="s">
        <v>102</v>
      </c>
      <c r="N52" s="1" t="str">
        <f t="shared" si="0"/>
        <v>Normal</v>
      </c>
    </row>
    <row r="53" spans="1:14" x14ac:dyDescent="0.25">
      <c r="A53" s="1" t="s">
        <v>210</v>
      </c>
      <c r="B53" s="1" t="s">
        <v>80</v>
      </c>
      <c r="C53" s="1" t="s">
        <v>119</v>
      </c>
      <c r="D53" s="1" t="s">
        <v>39</v>
      </c>
      <c r="E53" s="1" t="s">
        <v>100</v>
      </c>
      <c r="F53" s="1" t="s">
        <v>33</v>
      </c>
      <c r="G53" s="1">
        <v>115669</v>
      </c>
      <c r="H53" s="63">
        <v>45076</v>
      </c>
      <c r="J53" s="1"/>
      <c r="K53" s="1">
        <v>3.1</v>
      </c>
      <c r="L53" s="1" t="s">
        <v>29</v>
      </c>
      <c r="M53" s="1" t="s">
        <v>30</v>
      </c>
      <c r="N53" s="1" t="str">
        <f t="shared" si="0"/>
        <v>Normal</v>
      </c>
    </row>
    <row r="54" spans="1:14" x14ac:dyDescent="0.25">
      <c r="A54" s="1" t="s">
        <v>212</v>
      </c>
      <c r="B54" s="1" t="s">
        <v>59</v>
      </c>
      <c r="C54" s="1" t="s">
        <v>213</v>
      </c>
      <c r="D54" s="1" t="s">
        <v>46</v>
      </c>
      <c r="E54" s="1" t="s">
        <v>47</v>
      </c>
      <c r="F54" s="1" t="s">
        <v>53</v>
      </c>
      <c r="G54" s="1">
        <v>154425</v>
      </c>
      <c r="H54" s="63">
        <v>44938</v>
      </c>
      <c r="J54" s="1"/>
      <c r="K54" s="1">
        <v>9.6</v>
      </c>
      <c r="L54" s="1" t="s">
        <v>96</v>
      </c>
      <c r="M54" s="1" t="s">
        <v>35</v>
      </c>
      <c r="N54" s="1" t="str">
        <f t="shared" si="0"/>
        <v>Normal</v>
      </c>
    </row>
    <row r="55" spans="1:14" x14ac:dyDescent="0.25">
      <c r="A55" s="1" t="s">
        <v>215</v>
      </c>
      <c r="B55" s="1" t="s">
        <v>88</v>
      </c>
      <c r="C55" s="1" t="s">
        <v>24</v>
      </c>
      <c r="D55" s="1" t="s">
        <v>90</v>
      </c>
      <c r="E55" s="1" t="s">
        <v>94</v>
      </c>
      <c r="F55" s="1" t="s">
        <v>33</v>
      </c>
      <c r="G55" s="1">
        <v>225199</v>
      </c>
      <c r="H55" s="63">
        <v>45735</v>
      </c>
      <c r="J55" s="1"/>
      <c r="K55" s="1"/>
      <c r="L55" s="1" t="s">
        <v>49</v>
      </c>
      <c r="M55" s="1" t="s">
        <v>63</v>
      </c>
      <c r="N55" s="1" t="str">
        <f t="shared" si="0"/>
        <v>Normal</v>
      </c>
    </row>
    <row r="56" spans="1:14" x14ac:dyDescent="0.25">
      <c r="A56" s="1" t="s">
        <v>217</v>
      </c>
      <c r="B56" s="1" t="s">
        <v>84</v>
      </c>
      <c r="C56" s="1" t="s">
        <v>218</v>
      </c>
      <c r="D56" s="1" t="s">
        <v>16</v>
      </c>
      <c r="E56" s="1" t="s">
        <v>100</v>
      </c>
      <c r="F56" s="1" t="s">
        <v>129</v>
      </c>
      <c r="G56" s="1">
        <v>487991</v>
      </c>
      <c r="H56" s="63">
        <v>45655</v>
      </c>
      <c r="J56" s="1"/>
      <c r="K56" s="1"/>
      <c r="L56" s="1" t="s">
        <v>20</v>
      </c>
      <c r="M56" s="1" t="s">
        <v>42</v>
      </c>
      <c r="N56" s="1" t="str">
        <f t="shared" si="0"/>
        <v>Normal</v>
      </c>
    </row>
    <row r="57" spans="1:14" x14ac:dyDescent="0.25">
      <c r="A57" s="1" t="s">
        <v>219</v>
      </c>
      <c r="B57" s="1" t="s">
        <v>104</v>
      </c>
      <c r="C57" s="1" t="s">
        <v>220</v>
      </c>
      <c r="D57" s="1" t="s">
        <v>90</v>
      </c>
      <c r="E57" s="1" t="s">
        <v>47</v>
      </c>
      <c r="F57" s="1" t="s">
        <v>40</v>
      </c>
      <c r="G57" s="1">
        <v>360231</v>
      </c>
      <c r="H57" s="63">
        <v>45708</v>
      </c>
      <c r="I57" s="63">
        <v>45855</v>
      </c>
      <c r="J57" s="1">
        <v>147</v>
      </c>
      <c r="K57" s="1">
        <v>19.5</v>
      </c>
      <c r="L57" s="1" t="s">
        <v>20</v>
      </c>
      <c r="M57" s="1" t="s">
        <v>63</v>
      </c>
      <c r="N57" s="1" t="str">
        <f t="shared" si="0"/>
        <v>Normal</v>
      </c>
    </row>
    <row r="58" spans="1:14" x14ac:dyDescent="0.25">
      <c r="A58" s="1" t="s">
        <v>221</v>
      </c>
      <c r="B58" s="1" t="s">
        <v>127</v>
      </c>
      <c r="C58" s="1" t="s">
        <v>93</v>
      </c>
      <c r="D58" s="1" t="s">
        <v>25</v>
      </c>
      <c r="E58" s="1" t="s">
        <v>72</v>
      </c>
      <c r="F58" s="1" t="s">
        <v>40</v>
      </c>
      <c r="G58" s="1">
        <v>128919</v>
      </c>
      <c r="H58" s="63">
        <v>45739</v>
      </c>
      <c r="I58" s="63">
        <v>45836</v>
      </c>
      <c r="J58" s="1">
        <v>97</v>
      </c>
      <c r="K58" s="1">
        <v>5</v>
      </c>
      <c r="L58" s="1" t="s">
        <v>20</v>
      </c>
      <c r="M58" s="1" t="s">
        <v>63</v>
      </c>
      <c r="N58" s="1" t="str">
        <f t="shared" si="0"/>
        <v>Normal</v>
      </c>
    </row>
    <row r="59" spans="1:14" x14ac:dyDescent="0.25">
      <c r="A59" s="1" t="s">
        <v>223</v>
      </c>
      <c r="B59" s="1" t="s">
        <v>59</v>
      </c>
      <c r="C59" s="1" t="s">
        <v>224</v>
      </c>
      <c r="D59" s="1" t="s">
        <v>46</v>
      </c>
      <c r="E59" s="1" t="s">
        <v>17</v>
      </c>
      <c r="F59" s="1" t="s">
        <v>33</v>
      </c>
      <c r="G59" s="1">
        <v>422278</v>
      </c>
      <c r="H59" s="63">
        <v>45532</v>
      </c>
      <c r="J59" s="1"/>
      <c r="K59" s="1">
        <v>13.7</v>
      </c>
      <c r="L59" s="1" t="s">
        <v>49</v>
      </c>
      <c r="M59" s="1" t="s">
        <v>149</v>
      </c>
      <c r="N59" s="1" t="str">
        <f t="shared" si="0"/>
        <v>Normal</v>
      </c>
    </row>
    <row r="60" spans="1:14" x14ac:dyDescent="0.25">
      <c r="A60" s="1" t="s">
        <v>226</v>
      </c>
      <c r="B60" s="1" t="s">
        <v>14</v>
      </c>
      <c r="C60" s="1" t="s">
        <v>227</v>
      </c>
      <c r="D60" s="1" t="s">
        <v>16</v>
      </c>
      <c r="E60" s="1" t="s">
        <v>77</v>
      </c>
      <c r="F60" s="1" t="s">
        <v>129</v>
      </c>
      <c r="G60" s="1">
        <v>36712</v>
      </c>
      <c r="H60" s="63">
        <v>45136</v>
      </c>
      <c r="J60" s="1"/>
      <c r="K60" s="1">
        <v>5.8</v>
      </c>
      <c r="L60" s="1" t="s">
        <v>29</v>
      </c>
      <c r="M60" s="1" t="s">
        <v>102</v>
      </c>
      <c r="N60" s="1" t="str">
        <f t="shared" si="0"/>
        <v>Normal</v>
      </c>
    </row>
    <row r="61" spans="1:14" x14ac:dyDescent="0.25">
      <c r="A61" s="1" t="s">
        <v>229</v>
      </c>
      <c r="B61" s="1" t="s">
        <v>109</v>
      </c>
      <c r="C61" s="1" t="s">
        <v>119</v>
      </c>
      <c r="D61" s="1" t="s">
        <v>39</v>
      </c>
      <c r="E61" s="1" t="s">
        <v>61</v>
      </c>
      <c r="F61" s="1" t="s">
        <v>53</v>
      </c>
      <c r="G61" s="1">
        <v>390892</v>
      </c>
      <c r="H61" s="63">
        <v>45327</v>
      </c>
      <c r="J61" s="1"/>
      <c r="K61" s="1">
        <v>6.7</v>
      </c>
      <c r="L61" s="1" t="s">
        <v>29</v>
      </c>
      <c r="M61" s="1" t="s">
        <v>69</v>
      </c>
      <c r="N61" s="1" t="str">
        <f t="shared" si="0"/>
        <v>Normal</v>
      </c>
    </row>
    <row r="62" spans="1:14" x14ac:dyDescent="0.25">
      <c r="A62" s="1" t="s">
        <v>231</v>
      </c>
      <c r="B62" s="1" t="s">
        <v>80</v>
      </c>
      <c r="C62" s="1" t="s">
        <v>76</v>
      </c>
      <c r="D62" s="1" t="s">
        <v>46</v>
      </c>
      <c r="E62" s="1" t="s">
        <v>77</v>
      </c>
      <c r="F62" s="1" t="s">
        <v>129</v>
      </c>
      <c r="G62" s="1">
        <v>12937</v>
      </c>
      <c r="H62" s="63">
        <v>45119</v>
      </c>
      <c r="J62" s="1"/>
      <c r="K62" s="1"/>
      <c r="L62" s="1" t="s">
        <v>20</v>
      </c>
      <c r="M62" s="1" t="s">
        <v>102</v>
      </c>
      <c r="N62" s="1" t="str">
        <f t="shared" si="0"/>
        <v>Normal</v>
      </c>
    </row>
    <row r="63" spans="1:14" x14ac:dyDescent="0.25">
      <c r="A63" s="1" t="s">
        <v>233</v>
      </c>
      <c r="B63" s="1" t="s">
        <v>84</v>
      </c>
      <c r="C63" s="1" t="s">
        <v>151</v>
      </c>
      <c r="D63" s="1" t="s">
        <v>39</v>
      </c>
      <c r="E63" s="1" t="s">
        <v>100</v>
      </c>
      <c r="F63" s="1" t="s">
        <v>40</v>
      </c>
      <c r="G63" s="1">
        <v>324521</v>
      </c>
      <c r="H63" s="63">
        <v>45500</v>
      </c>
      <c r="I63" s="63">
        <v>45644</v>
      </c>
      <c r="J63" s="1">
        <v>144</v>
      </c>
      <c r="K63" s="1">
        <v>18.2</v>
      </c>
      <c r="L63" s="1" t="s">
        <v>20</v>
      </c>
      <c r="M63" s="1" t="s">
        <v>149</v>
      </c>
      <c r="N63" s="1" t="str">
        <f t="shared" si="0"/>
        <v>Normal</v>
      </c>
    </row>
    <row r="64" spans="1:14" x14ac:dyDescent="0.25">
      <c r="A64" s="1" t="s">
        <v>235</v>
      </c>
      <c r="B64" s="1" t="s">
        <v>127</v>
      </c>
      <c r="C64" s="1" t="s">
        <v>24</v>
      </c>
      <c r="D64" s="1" t="s">
        <v>25</v>
      </c>
      <c r="E64" s="1" t="s">
        <v>17</v>
      </c>
      <c r="F64" s="1" t="s">
        <v>33</v>
      </c>
      <c r="G64" s="1">
        <v>113876</v>
      </c>
      <c r="H64" s="63">
        <v>45744</v>
      </c>
      <c r="J64" s="1"/>
      <c r="K64" s="1"/>
      <c r="L64" s="1" t="s">
        <v>29</v>
      </c>
      <c r="M64" s="1" t="s">
        <v>63</v>
      </c>
      <c r="N64" s="1" t="str">
        <f t="shared" si="0"/>
        <v>Normal</v>
      </c>
    </row>
    <row r="65" spans="1:14" x14ac:dyDescent="0.25">
      <c r="A65" s="1" t="s">
        <v>236</v>
      </c>
      <c r="B65" s="1" t="s">
        <v>59</v>
      </c>
      <c r="C65" s="1" t="s">
        <v>237</v>
      </c>
      <c r="D65" s="1" t="s">
        <v>67</v>
      </c>
      <c r="E65" s="1" t="s">
        <v>77</v>
      </c>
      <c r="F65" s="1" t="s">
        <v>33</v>
      </c>
      <c r="G65" s="1">
        <v>499086</v>
      </c>
      <c r="H65" s="63">
        <v>44931</v>
      </c>
      <c r="J65" s="1"/>
      <c r="K65" s="1">
        <v>4.9000000000000004</v>
      </c>
      <c r="L65" s="1" t="s">
        <v>49</v>
      </c>
      <c r="M65" s="1" t="s">
        <v>35</v>
      </c>
      <c r="N65" s="1" t="str">
        <f t="shared" si="0"/>
        <v>Normal</v>
      </c>
    </row>
    <row r="66" spans="1:14" x14ac:dyDescent="0.25">
      <c r="A66" s="1" t="s">
        <v>239</v>
      </c>
      <c r="B66" s="1" t="s">
        <v>75</v>
      </c>
      <c r="C66" s="1" t="s">
        <v>157</v>
      </c>
      <c r="D66" s="1" t="s">
        <v>67</v>
      </c>
      <c r="E66" s="1" t="s">
        <v>47</v>
      </c>
      <c r="F66" s="1" t="s">
        <v>18</v>
      </c>
      <c r="G66" s="1">
        <v>139182</v>
      </c>
      <c r="H66" s="63">
        <v>45317</v>
      </c>
      <c r="I66" s="63">
        <v>45343</v>
      </c>
      <c r="J66" s="1">
        <v>26</v>
      </c>
      <c r="K66" s="1"/>
      <c r="L66" s="1" t="s">
        <v>96</v>
      </c>
      <c r="M66" s="1" t="s">
        <v>69</v>
      </c>
      <c r="N66" s="1" t="str">
        <f t="shared" ref="N66:N129" si="1">IF(G66&gt;$R$5,"High Outlier",IF(G66&lt;$R$6,"Low Outlier","Normal"))</f>
        <v>Normal</v>
      </c>
    </row>
    <row r="67" spans="1:14" x14ac:dyDescent="0.25">
      <c r="A67" s="1" t="s">
        <v>241</v>
      </c>
      <c r="B67" s="1" t="s">
        <v>44</v>
      </c>
      <c r="C67" s="1" t="s">
        <v>157</v>
      </c>
      <c r="D67" s="1" t="s">
        <v>90</v>
      </c>
      <c r="E67" s="1" t="s">
        <v>77</v>
      </c>
      <c r="F67" s="1" t="s">
        <v>27</v>
      </c>
      <c r="G67" s="1">
        <v>244478</v>
      </c>
      <c r="H67" s="63">
        <v>45052</v>
      </c>
      <c r="J67" s="1"/>
      <c r="K67" s="1">
        <v>0.6</v>
      </c>
      <c r="L67" s="1" t="s">
        <v>29</v>
      </c>
      <c r="M67" s="1" t="s">
        <v>30</v>
      </c>
      <c r="N67" s="1" t="str">
        <f t="shared" si="1"/>
        <v>Normal</v>
      </c>
    </row>
    <row r="68" spans="1:14" x14ac:dyDescent="0.25">
      <c r="A68" s="1" t="s">
        <v>243</v>
      </c>
      <c r="B68" s="1" t="s">
        <v>37</v>
      </c>
      <c r="C68" s="1" t="s">
        <v>244</v>
      </c>
      <c r="D68" s="1" t="s">
        <v>90</v>
      </c>
      <c r="E68" s="1" t="s">
        <v>94</v>
      </c>
      <c r="F68" s="1" t="s">
        <v>40</v>
      </c>
      <c r="G68" s="1">
        <v>108751</v>
      </c>
      <c r="H68" s="63">
        <v>45732</v>
      </c>
      <c r="I68" s="63">
        <v>45782</v>
      </c>
      <c r="J68" s="1">
        <v>50</v>
      </c>
      <c r="K68" s="1">
        <v>17.2</v>
      </c>
      <c r="L68" s="1" t="s">
        <v>29</v>
      </c>
      <c r="M68" s="1" t="s">
        <v>63</v>
      </c>
      <c r="N68" s="1" t="str">
        <f t="shared" si="1"/>
        <v>Normal</v>
      </c>
    </row>
    <row r="69" spans="1:14" x14ac:dyDescent="0.25">
      <c r="A69" s="1" t="s">
        <v>246</v>
      </c>
      <c r="B69" s="1" t="s">
        <v>75</v>
      </c>
      <c r="C69" s="1" t="s">
        <v>247</v>
      </c>
      <c r="D69" s="1" t="s">
        <v>16</v>
      </c>
      <c r="E69" s="1" t="s">
        <v>72</v>
      </c>
      <c r="F69" s="1" t="s">
        <v>33</v>
      </c>
      <c r="G69" s="1">
        <v>387686</v>
      </c>
      <c r="H69" s="63">
        <v>45006</v>
      </c>
      <c r="J69" s="1"/>
      <c r="K69" s="1">
        <v>8.5</v>
      </c>
      <c r="L69" s="1" t="s">
        <v>49</v>
      </c>
      <c r="M69" s="1" t="s">
        <v>35</v>
      </c>
      <c r="N69" s="1" t="str">
        <f t="shared" si="1"/>
        <v>Normal</v>
      </c>
    </row>
    <row r="70" spans="1:14" x14ac:dyDescent="0.25">
      <c r="A70" s="1" t="s">
        <v>249</v>
      </c>
      <c r="B70" s="1" t="s">
        <v>104</v>
      </c>
      <c r="C70" s="1" t="s">
        <v>250</v>
      </c>
      <c r="D70" s="1" t="s">
        <v>16</v>
      </c>
      <c r="E70" s="1" t="s">
        <v>47</v>
      </c>
      <c r="F70" s="1" t="s">
        <v>40</v>
      </c>
      <c r="G70" s="1">
        <v>42234</v>
      </c>
      <c r="H70" s="63">
        <v>45069</v>
      </c>
      <c r="I70" s="63">
        <v>45232</v>
      </c>
      <c r="J70" s="1">
        <v>163</v>
      </c>
      <c r="K70" s="1">
        <v>15.9</v>
      </c>
      <c r="L70" s="1" t="s">
        <v>96</v>
      </c>
      <c r="M70" s="1" t="s">
        <v>30</v>
      </c>
      <c r="N70" s="1" t="str">
        <f t="shared" si="1"/>
        <v>Normal</v>
      </c>
    </row>
    <row r="71" spans="1:14" x14ac:dyDescent="0.25">
      <c r="A71" s="1" t="s">
        <v>252</v>
      </c>
      <c r="B71" s="1" t="s">
        <v>65</v>
      </c>
      <c r="C71" s="1" t="s">
        <v>32</v>
      </c>
      <c r="D71" s="1" t="s">
        <v>90</v>
      </c>
      <c r="E71" s="1" t="s">
        <v>72</v>
      </c>
      <c r="F71" s="1" t="s">
        <v>53</v>
      </c>
      <c r="G71" s="1">
        <v>141423</v>
      </c>
      <c r="H71" s="63">
        <v>45602</v>
      </c>
      <c r="J71" s="1"/>
      <c r="K71" s="1">
        <v>4.5</v>
      </c>
      <c r="L71" s="1" t="s">
        <v>20</v>
      </c>
      <c r="M71" s="1" t="s">
        <v>42</v>
      </c>
      <c r="N71" s="1" t="str">
        <f t="shared" si="1"/>
        <v>Normal</v>
      </c>
    </row>
    <row r="72" spans="1:14" x14ac:dyDescent="0.25">
      <c r="A72" s="1" t="s">
        <v>254</v>
      </c>
      <c r="B72" s="1" t="s">
        <v>84</v>
      </c>
      <c r="C72" s="1" t="s">
        <v>255</v>
      </c>
      <c r="D72" s="1" t="s">
        <v>46</v>
      </c>
      <c r="E72" s="1" t="s">
        <v>100</v>
      </c>
      <c r="F72" s="1" t="s">
        <v>18</v>
      </c>
      <c r="G72" s="1">
        <v>233514</v>
      </c>
      <c r="H72" s="63">
        <v>45313</v>
      </c>
      <c r="I72" s="63">
        <v>45349</v>
      </c>
      <c r="J72" s="1">
        <v>36</v>
      </c>
      <c r="K72" s="1">
        <v>7.4</v>
      </c>
      <c r="L72" s="1" t="s">
        <v>20</v>
      </c>
      <c r="M72" s="1" t="s">
        <v>69</v>
      </c>
      <c r="N72" s="1" t="str">
        <f t="shared" si="1"/>
        <v>Normal</v>
      </c>
    </row>
    <row r="73" spans="1:14" x14ac:dyDescent="0.25">
      <c r="A73" s="1" t="s">
        <v>257</v>
      </c>
      <c r="B73" s="1" t="s">
        <v>14</v>
      </c>
      <c r="C73" s="1" t="s">
        <v>258</v>
      </c>
      <c r="D73" s="1" t="s">
        <v>67</v>
      </c>
      <c r="E73" s="1" t="s">
        <v>61</v>
      </c>
      <c r="F73" s="1" t="s">
        <v>53</v>
      </c>
      <c r="G73" s="1">
        <v>316458</v>
      </c>
      <c r="H73" s="63">
        <v>45594</v>
      </c>
      <c r="J73" s="1"/>
      <c r="K73" s="1">
        <v>11.3</v>
      </c>
      <c r="L73" s="1" t="s">
        <v>29</v>
      </c>
      <c r="M73" s="1" t="s">
        <v>42</v>
      </c>
      <c r="N73" s="1" t="str">
        <f t="shared" si="1"/>
        <v>Normal</v>
      </c>
    </row>
    <row r="74" spans="1:14" x14ac:dyDescent="0.25">
      <c r="A74" s="1" t="s">
        <v>260</v>
      </c>
      <c r="B74" s="1" t="s">
        <v>104</v>
      </c>
      <c r="C74" s="1" t="s">
        <v>261</v>
      </c>
      <c r="D74" s="1" t="s">
        <v>67</v>
      </c>
      <c r="E74" s="1" t="s">
        <v>17</v>
      </c>
      <c r="F74" s="1" t="s">
        <v>18</v>
      </c>
      <c r="G74" s="1">
        <v>274493</v>
      </c>
      <c r="H74" s="63">
        <v>45654</v>
      </c>
      <c r="I74" s="63">
        <v>45769</v>
      </c>
      <c r="J74" s="1">
        <v>115</v>
      </c>
      <c r="K74" s="1">
        <v>0.4</v>
      </c>
      <c r="L74" s="1" t="s">
        <v>49</v>
      </c>
      <c r="M74" s="1" t="s">
        <v>42</v>
      </c>
      <c r="N74" s="1" t="str">
        <f t="shared" si="1"/>
        <v>Normal</v>
      </c>
    </row>
    <row r="75" spans="1:14" x14ac:dyDescent="0.25">
      <c r="A75" s="1" t="s">
        <v>263</v>
      </c>
      <c r="B75" s="1" t="s">
        <v>109</v>
      </c>
      <c r="C75" s="1" t="s">
        <v>264</v>
      </c>
      <c r="D75" s="1" t="s">
        <v>67</v>
      </c>
      <c r="E75" s="1" t="s">
        <v>61</v>
      </c>
      <c r="F75" s="1" t="s">
        <v>129</v>
      </c>
      <c r="G75" s="1">
        <v>187167</v>
      </c>
      <c r="H75" s="63">
        <v>45073</v>
      </c>
      <c r="J75" s="1"/>
      <c r="K75" s="1"/>
      <c r="L75" s="1" t="s">
        <v>29</v>
      </c>
      <c r="M75" s="1" t="s">
        <v>30</v>
      </c>
      <c r="N75" s="1" t="str">
        <f t="shared" si="1"/>
        <v>Normal</v>
      </c>
    </row>
    <row r="76" spans="1:14" x14ac:dyDescent="0.25">
      <c r="A76" s="1" t="s">
        <v>266</v>
      </c>
      <c r="B76" s="1" t="s">
        <v>65</v>
      </c>
      <c r="C76" s="1" t="s">
        <v>267</v>
      </c>
      <c r="D76" s="1" t="s">
        <v>16</v>
      </c>
      <c r="E76" s="1" t="s">
        <v>72</v>
      </c>
      <c r="F76" s="1" t="s">
        <v>18</v>
      </c>
      <c r="G76" s="1">
        <v>263320</v>
      </c>
      <c r="H76" s="63">
        <v>45404</v>
      </c>
      <c r="I76" s="63">
        <v>45429</v>
      </c>
      <c r="J76" s="1">
        <v>25</v>
      </c>
      <c r="K76" s="1"/>
      <c r="L76" s="1" t="s">
        <v>96</v>
      </c>
      <c r="M76" s="1" t="s">
        <v>107</v>
      </c>
      <c r="N76" s="1" t="str">
        <f t="shared" si="1"/>
        <v>Normal</v>
      </c>
    </row>
    <row r="77" spans="1:14" x14ac:dyDescent="0.25">
      <c r="A77" s="1" t="s">
        <v>269</v>
      </c>
      <c r="B77" s="1" t="s">
        <v>23</v>
      </c>
      <c r="C77" s="1" t="s">
        <v>270</v>
      </c>
      <c r="D77" s="1" t="s">
        <v>67</v>
      </c>
      <c r="E77" s="1" t="s">
        <v>17</v>
      </c>
      <c r="F77" s="1" t="s">
        <v>27</v>
      </c>
      <c r="G77" s="1">
        <v>168215</v>
      </c>
      <c r="H77" s="63">
        <v>45370</v>
      </c>
      <c r="J77" s="1"/>
      <c r="K77" s="1">
        <v>12.7</v>
      </c>
      <c r="L77" s="1" t="s">
        <v>96</v>
      </c>
      <c r="M77" s="1" t="s">
        <v>69</v>
      </c>
      <c r="N77" s="1" t="str">
        <f t="shared" si="1"/>
        <v>Normal</v>
      </c>
    </row>
    <row r="78" spans="1:14" x14ac:dyDescent="0.25">
      <c r="A78" s="1" t="s">
        <v>272</v>
      </c>
      <c r="B78" s="1" t="s">
        <v>23</v>
      </c>
      <c r="C78" s="1" t="s">
        <v>273</v>
      </c>
      <c r="D78" s="1" t="s">
        <v>16</v>
      </c>
      <c r="E78" s="1" t="s">
        <v>61</v>
      </c>
      <c r="F78" s="1" t="s">
        <v>40</v>
      </c>
      <c r="G78" s="1">
        <v>20087</v>
      </c>
      <c r="H78" s="63">
        <v>45455</v>
      </c>
      <c r="I78" s="63">
        <v>45599</v>
      </c>
      <c r="J78" s="1">
        <v>144</v>
      </c>
      <c r="K78" s="1">
        <v>24.1</v>
      </c>
      <c r="L78" s="1" t="s">
        <v>29</v>
      </c>
      <c r="M78" s="1" t="s">
        <v>107</v>
      </c>
      <c r="N78" s="1" t="str">
        <f t="shared" si="1"/>
        <v>Normal</v>
      </c>
    </row>
    <row r="79" spans="1:14" x14ac:dyDescent="0.25">
      <c r="A79" s="1" t="s">
        <v>275</v>
      </c>
      <c r="B79" s="1" t="s">
        <v>80</v>
      </c>
      <c r="C79" s="1" t="s">
        <v>276</v>
      </c>
      <c r="D79" s="1" t="s">
        <v>25</v>
      </c>
      <c r="E79" s="1" t="s">
        <v>17</v>
      </c>
      <c r="F79" s="1" t="s">
        <v>40</v>
      </c>
      <c r="G79" s="1">
        <v>384150</v>
      </c>
      <c r="H79" s="63">
        <v>45434</v>
      </c>
      <c r="I79" s="63">
        <v>45583</v>
      </c>
      <c r="J79" s="1">
        <v>149</v>
      </c>
      <c r="K79" s="1">
        <v>13.1</v>
      </c>
      <c r="L79" s="1" t="s">
        <v>49</v>
      </c>
      <c r="M79" s="1" t="s">
        <v>107</v>
      </c>
      <c r="N79" s="1" t="str">
        <f t="shared" si="1"/>
        <v>Normal</v>
      </c>
    </row>
    <row r="80" spans="1:14" x14ac:dyDescent="0.25">
      <c r="A80" s="1" t="s">
        <v>278</v>
      </c>
      <c r="B80" s="1" t="s">
        <v>75</v>
      </c>
      <c r="C80" s="1" t="s">
        <v>279</v>
      </c>
      <c r="D80" s="1" t="s">
        <v>16</v>
      </c>
      <c r="E80" s="1" t="s">
        <v>17</v>
      </c>
      <c r="F80" s="1" t="s">
        <v>129</v>
      </c>
      <c r="G80" s="1">
        <v>354315</v>
      </c>
      <c r="H80" s="63">
        <v>44983</v>
      </c>
      <c r="J80" s="1"/>
      <c r="K80" s="1">
        <v>10.3</v>
      </c>
      <c r="L80" s="1" t="s">
        <v>49</v>
      </c>
      <c r="M80" s="1" t="s">
        <v>35</v>
      </c>
      <c r="N80" s="1" t="str">
        <f t="shared" si="1"/>
        <v>Normal</v>
      </c>
    </row>
    <row r="81" spans="1:14" x14ac:dyDescent="0.25">
      <c r="A81" s="1" t="s">
        <v>281</v>
      </c>
      <c r="B81" s="1" t="s">
        <v>80</v>
      </c>
      <c r="C81" s="1" t="s">
        <v>227</v>
      </c>
      <c r="D81" s="1" t="s">
        <v>25</v>
      </c>
      <c r="E81" s="1" t="s">
        <v>61</v>
      </c>
      <c r="F81" s="1" t="s">
        <v>40</v>
      </c>
      <c r="G81" s="1">
        <v>124965</v>
      </c>
      <c r="H81" s="63">
        <v>45213</v>
      </c>
      <c r="I81" s="63">
        <v>45273</v>
      </c>
      <c r="J81" s="1">
        <v>60</v>
      </c>
      <c r="K81" s="1">
        <v>0.4</v>
      </c>
      <c r="L81" s="1" t="s">
        <v>96</v>
      </c>
      <c r="M81" s="1" t="s">
        <v>21</v>
      </c>
      <c r="N81" s="1" t="str">
        <f t="shared" si="1"/>
        <v>Normal</v>
      </c>
    </row>
    <row r="82" spans="1:14" x14ac:dyDescent="0.25">
      <c r="A82" s="1" t="s">
        <v>283</v>
      </c>
      <c r="B82" s="1" t="s">
        <v>59</v>
      </c>
      <c r="C82" s="1" t="s">
        <v>284</v>
      </c>
      <c r="D82" s="1" t="s">
        <v>39</v>
      </c>
      <c r="E82" s="1" t="s">
        <v>77</v>
      </c>
      <c r="F82" s="1" t="s">
        <v>18</v>
      </c>
      <c r="G82" s="1">
        <v>410731</v>
      </c>
      <c r="H82" s="63">
        <v>44989</v>
      </c>
      <c r="I82" s="63">
        <v>45082</v>
      </c>
      <c r="J82" s="1">
        <v>93</v>
      </c>
      <c r="K82" s="1">
        <v>4.7</v>
      </c>
      <c r="L82" s="1" t="s">
        <v>29</v>
      </c>
      <c r="M82" s="1" t="s">
        <v>35</v>
      </c>
      <c r="N82" s="1" t="str">
        <f t="shared" si="1"/>
        <v>Normal</v>
      </c>
    </row>
    <row r="83" spans="1:14" x14ac:dyDescent="0.25">
      <c r="A83" s="1" t="s">
        <v>286</v>
      </c>
      <c r="B83" s="1" t="s">
        <v>59</v>
      </c>
      <c r="C83" s="1" t="s">
        <v>287</v>
      </c>
      <c r="D83" s="1" t="s">
        <v>25</v>
      </c>
      <c r="E83" s="1" t="s">
        <v>47</v>
      </c>
      <c r="F83" s="1" t="s">
        <v>18</v>
      </c>
      <c r="G83" s="1">
        <v>272141</v>
      </c>
      <c r="H83" s="63">
        <v>44958</v>
      </c>
      <c r="I83" s="63">
        <v>45038</v>
      </c>
      <c r="J83" s="1">
        <v>80</v>
      </c>
      <c r="K83" s="1">
        <v>12.9</v>
      </c>
      <c r="L83" s="1" t="s">
        <v>96</v>
      </c>
      <c r="M83" s="1" t="s">
        <v>35</v>
      </c>
      <c r="N83" s="1" t="str">
        <f t="shared" si="1"/>
        <v>Normal</v>
      </c>
    </row>
    <row r="84" spans="1:14" x14ac:dyDescent="0.25">
      <c r="A84" s="1" t="s">
        <v>289</v>
      </c>
      <c r="B84" s="1" t="s">
        <v>75</v>
      </c>
      <c r="C84" s="1" t="s">
        <v>189</v>
      </c>
      <c r="D84" s="1" t="s">
        <v>25</v>
      </c>
      <c r="E84" s="1" t="s">
        <v>72</v>
      </c>
      <c r="F84" s="1" t="s">
        <v>27</v>
      </c>
      <c r="G84" s="1">
        <v>400965</v>
      </c>
      <c r="H84" s="63">
        <v>45357</v>
      </c>
      <c r="J84" s="1"/>
      <c r="K84" s="1">
        <v>10.4</v>
      </c>
      <c r="L84" s="1" t="s">
        <v>20</v>
      </c>
      <c r="M84" s="1" t="s">
        <v>69</v>
      </c>
      <c r="N84" s="1" t="str">
        <f t="shared" si="1"/>
        <v>Normal</v>
      </c>
    </row>
    <row r="85" spans="1:14" x14ac:dyDescent="0.25">
      <c r="A85" s="1" t="s">
        <v>291</v>
      </c>
      <c r="B85" s="1" t="s">
        <v>44</v>
      </c>
      <c r="C85" s="1" t="s">
        <v>292</v>
      </c>
      <c r="D85" s="1" t="s">
        <v>67</v>
      </c>
      <c r="E85" s="1" t="s">
        <v>26</v>
      </c>
      <c r="F85" s="1" t="s">
        <v>129</v>
      </c>
      <c r="G85" s="1">
        <v>217920</v>
      </c>
      <c r="H85" s="63">
        <v>45628</v>
      </c>
      <c r="J85" s="1"/>
      <c r="K85" s="1"/>
      <c r="L85" s="1" t="s">
        <v>20</v>
      </c>
      <c r="M85" s="1" t="s">
        <v>42</v>
      </c>
      <c r="N85" s="1" t="str">
        <f t="shared" si="1"/>
        <v>Normal</v>
      </c>
    </row>
    <row r="86" spans="1:14" x14ac:dyDescent="0.25">
      <c r="A86" s="1" t="s">
        <v>294</v>
      </c>
      <c r="B86" s="1" t="s">
        <v>84</v>
      </c>
      <c r="C86" s="1" t="s">
        <v>295</v>
      </c>
      <c r="D86" s="1" t="s">
        <v>46</v>
      </c>
      <c r="E86" s="1" t="s">
        <v>94</v>
      </c>
      <c r="F86" s="1" t="s">
        <v>18</v>
      </c>
      <c r="G86" s="1">
        <v>478494</v>
      </c>
      <c r="H86" s="63">
        <v>45545</v>
      </c>
      <c r="I86" s="63">
        <v>45668</v>
      </c>
      <c r="J86" s="1">
        <v>123</v>
      </c>
      <c r="K86" s="1">
        <v>6.8</v>
      </c>
      <c r="L86" s="1" t="s">
        <v>20</v>
      </c>
      <c r="M86" s="1" t="s">
        <v>149</v>
      </c>
      <c r="N86" s="1" t="str">
        <f t="shared" si="1"/>
        <v>Normal</v>
      </c>
    </row>
    <row r="87" spans="1:14" x14ac:dyDescent="0.25">
      <c r="A87" s="1" t="s">
        <v>297</v>
      </c>
      <c r="B87" s="1" t="s">
        <v>37</v>
      </c>
      <c r="C87" s="1" t="s">
        <v>298</v>
      </c>
      <c r="D87" s="1" t="s">
        <v>39</v>
      </c>
      <c r="E87" s="1" t="s">
        <v>77</v>
      </c>
      <c r="F87" s="1" t="s">
        <v>33</v>
      </c>
      <c r="G87" s="1">
        <v>366026</v>
      </c>
      <c r="H87" s="63">
        <v>45266</v>
      </c>
      <c r="J87" s="1"/>
      <c r="K87" s="1">
        <v>5.9</v>
      </c>
      <c r="L87" s="1" t="s">
        <v>49</v>
      </c>
      <c r="M87" s="1" t="s">
        <v>21</v>
      </c>
      <c r="N87" s="1" t="str">
        <f t="shared" si="1"/>
        <v>Normal</v>
      </c>
    </row>
    <row r="88" spans="1:14" x14ac:dyDescent="0.25">
      <c r="A88" s="1" t="s">
        <v>299</v>
      </c>
      <c r="B88" s="1" t="s">
        <v>23</v>
      </c>
      <c r="C88" s="1" t="s">
        <v>300</v>
      </c>
      <c r="D88" s="1" t="s">
        <v>25</v>
      </c>
      <c r="E88" s="1" t="s">
        <v>47</v>
      </c>
      <c r="F88" s="1" t="s">
        <v>40</v>
      </c>
      <c r="G88" s="1">
        <v>210971</v>
      </c>
      <c r="H88" s="63">
        <v>45503</v>
      </c>
      <c r="I88" s="63">
        <v>45562</v>
      </c>
      <c r="J88" s="1">
        <v>59</v>
      </c>
      <c r="K88" s="1">
        <v>19.3</v>
      </c>
      <c r="L88" s="1" t="s">
        <v>20</v>
      </c>
      <c r="M88" s="1" t="s">
        <v>149</v>
      </c>
      <c r="N88" s="1" t="str">
        <f t="shared" si="1"/>
        <v>Normal</v>
      </c>
    </row>
    <row r="89" spans="1:14" x14ac:dyDescent="0.25">
      <c r="A89" s="1" t="s">
        <v>302</v>
      </c>
      <c r="B89" s="1" t="s">
        <v>23</v>
      </c>
      <c r="C89" s="1" t="s">
        <v>303</v>
      </c>
      <c r="D89" s="1" t="s">
        <v>39</v>
      </c>
      <c r="E89" s="1" t="s">
        <v>77</v>
      </c>
      <c r="F89" s="1" t="s">
        <v>53</v>
      </c>
      <c r="G89" s="1">
        <v>392720</v>
      </c>
      <c r="H89" s="63">
        <v>45444</v>
      </c>
      <c r="J89" s="1"/>
      <c r="K89" s="1">
        <v>5.8</v>
      </c>
      <c r="L89" s="1" t="s">
        <v>29</v>
      </c>
      <c r="M89" s="1" t="s">
        <v>107</v>
      </c>
      <c r="N89" s="1" t="str">
        <f t="shared" si="1"/>
        <v>Normal</v>
      </c>
    </row>
    <row r="90" spans="1:14" x14ac:dyDescent="0.25">
      <c r="A90" s="1" t="s">
        <v>305</v>
      </c>
      <c r="B90" s="1" t="s">
        <v>104</v>
      </c>
      <c r="C90" s="1" t="s">
        <v>110</v>
      </c>
      <c r="D90" s="1" t="s">
        <v>39</v>
      </c>
      <c r="E90" s="1" t="s">
        <v>72</v>
      </c>
      <c r="F90" s="1" t="s">
        <v>129</v>
      </c>
      <c r="G90" s="1">
        <v>268444</v>
      </c>
      <c r="H90" s="63">
        <v>45424</v>
      </c>
      <c r="J90" s="1"/>
      <c r="K90" s="1"/>
      <c r="L90" s="1" t="s">
        <v>49</v>
      </c>
      <c r="M90" s="1" t="s">
        <v>107</v>
      </c>
      <c r="N90" s="1" t="str">
        <f t="shared" si="1"/>
        <v>Normal</v>
      </c>
    </row>
    <row r="91" spans="1:14" x14ac:dyDescent="0.25">
      <c r="A91" s="1" t="s">
        <v>307</v>
      </c>
      <c r="B91" s="1" t="s">
        <v>80</v>
      </c>
      <c r="C91" s="1" t="s">
        <v>308</v>
      </c>
      <c r="D91" s="1" t="s">
        <v>67</v>
      </c>
      <c r="E91" s="1" t="s">
        <v>61</v>
      </c>
      <c r="F91" s="1" t="s">
        <v>53</v>
      </c>
      <c r="G91" s="1">
        <v>202104</v>
      </c>
      <c r="H91" s="63">
        <v>45686</v>
      </c>
      <c r="J91" s="1"/>
      <c r="K91" s="1">
        <v>8.8000000000000007</v>
      </c>
      <c r="L91" s="1" t="s">
        <v>49</v>
      </c>
      <c r="M91" s="1" t="s">
        <v>63</v>
      </c>
      <c r="N91" s="1" t="str">
        <f t="shared" si="1"/>
        <v>Normal</v>
      </c>
    </row>
    <row r="92" spans="1:14" x14ac:dyDescent="0.25">
      <c r="A92" s="1" t="s">
        <v>310</v>
      </c>
      <c r="B92" s="1" t="s">
        <v>127</v>
      </c>
      <c r="C92" s="1" t="s">
        <v>267</v>
      </c>
      <c r="D92" s="1" t="s">
        <v>25</v>
      </c>
      <c r="E92" s="1" t="s">
        <v>17</v>
      </c>
      <c r="F92" s="1" t="s">
        <v>53</v>
      </c>
      <c r="G92" s="1">
        <v>367272</v>
      </c>
      <c r="H92" s="63">
        <v>45118</v>
      </c>
      <c r="J92" s="1"/>
      <c r="K92" s="1">
        <v>5</v>
      </c>
      <c r="L92" s="1" t="s">
        <v>96</v>
      </c>
      <c r="M92" s="1" t="s">
        <v>102</v>
      </c>
      <c r="N92" s="1" t="str">
        <f t="shared" si="1"/>
        <v>Normal</v>
      </c>
    </row>
    <row r="93" spans="1:14" x14ac:dyDescent="0.25">
      <c r="A93" s="1" t="s">
        <v>312</v>
      </c>
      <c r="B93" s="1" t="s">
        <v>173</v>
      </c>
      <c r="C93" s="1" t="s">
        <v>313</v>
      </c>
      <c r="D93" s="1" t="s">
        <v>25</v>
      </c>
      <c r="E93" s="1" t="s">
        <v>26</v>
      </c>
      <c r="F93" s="1" t="s">
        <v>18</v>
      </c>
      <c r="G93" s="1">
        <v>199001</v>
      </c>
      <c r="H93" s="63">
        <v>45374</v>
      </c>
      <c r="I93" s="63">
        <v>45483</v>
      </c>
      <c r="J93" s="1">
        <v>109</v>
      </c>
      <c r="K93" s="1"/>
      <c r="L93" s="1" t="s">
        <v>20</v>
      </c>
      <c r="M93" s="1" t="s">
        <v>69</v>
      </c>
      <c r="N93" s="1" t="str">
        <f t="shared" si="1"/>
        <v>Normal</v>
      </c>
    </row>
    <row r="94" spans="1:14" x14ac:dyDescent="0.25">
      <c r="A94" s="1" t="s">
        <v>315</v>
      </c>
      <c r="B94" s="1" t="s">
        <v>44</v>
      </c>
      <c r="C94" s="1" t="s">
        <v>316</v>
      </c>
      <c r="D94" s="1" t="s">
        <v>90</v>
      </c>
      <c r="E94" s="1" t="s">
        <v>47</v>
      </c>
      <c r="F94" s="1" t="s">
        <v>53</v>
      </c>
      <c r="G94" s="1">
        <v>321550</v>
      </c>
      <c r="H94" s="63">
        <v>45119</v>
      </c>
      <c r="J94" s="1"/>
      <c r="K94" s="1"/>
      <c r="L94" s="1" t="s">
        <v>49</v>
      </c>
      <c r="M94" s="1" t="s">
        <v>102</v>
      </c>
      <c r="N94" s="1" t="str">
        <f t="shared" si="1"/>
        <v>Normal</v>
      </c>
    </row>
    <row r="95" spans="1:14" x14ac:dyDescent="0.25">
      <c r="A95" s="1" t="s">
        <v>317</v>
      </c>
      <c r="B95" s="1" t="s">
        <v>75</v>
      </c>
      <c r="C95" s="1" t="s">
        <v>318</v>
      </c>
      <c r="D95" s="1" t="s">
        <v>16</v>
      </c>
      <c r="E95" s="1" t="s">
        <v>17</v>
      </c>
      <c r="F95" s="1" t="s">
        <v>129</v>
      </c>
      <c r="G95" s="1">
        <v>376342</v>
      </c>
      <c r="H95" s="63">
        <v>45344</v>
      </c>
      <c r="J95" s="1"/>
      <c r="K95" s="1">
        <v>1.9</v>
      </c>
      <c r="L95" s="1" t="s">
        <v>49</v>
      </c>
      <c r="M95" s="1" t="s">
        <v>69</v>
      </c>
      <c r="N95" s="1" t="str">
        <f t="shared" si="1"/>
        <v>Normal</v>
      </c>
    </row>
    <row r="96" spans="1:14" x14ac:dyDescent="0.25">
      <c r="A96" s="1" t="s">
        <v>320</v>
      </c>
      <c r="B96" s="1" t="s">
        <v>14</v>
      </c>
      <c r="C96" s="1" t="s">
        <v>321</v>
      </c>
      <c r="D96" s="1" t="s">
        <v>90</v>
      </c>
      <c r="E96" s="1" t="s">
        <v>17</v>
      </c>
      <c r="F96" s="1" t="s">
        <v>18</v>
      </c>
      <c r="G96" s="1">
        <v>119352</v>
      </c>
      <c r="H96" s="63">
        <v>45346</v>
      </c>
      <c r="I96" s="63">
        <v>45410</v>
      </c>
      <c r="J96" s="1">
        <v>64</v>
      </c>
      <c r="K96" s="1">
        <v>5.9</v>
      </c>
      <c r="L96" s="1" t="s">
        <v>29</v>
      </c>
      <c r="M96" s="1" t="s">
        <v>69</v>
      </c>
      <c r="N96" s="1" t="str">
        <f t="shared" si="1"/>
        <v>Normal</v>
      </c>
    </row>
    <row r="97" spans="1:14" x14ac:dyDescent="0.25">
      <c r="A97" s="1" t="s">
        <v>322</v>
      </c>
      <c r="B97" s="1" t="s">
        <v>59</v>
      </c>
      <c r="C97" s="1" t="s">
        <v>81</v>
      </c>
      <c r="D97" s="1" t="s">
        <v>90</v>
      </c>
      <c r="E97" s="1" t="s">
        <v>72</v>
      </c>
      <c r="F97" s="1" t="s">
        <v>27</v>
      </c>
      <c r="G97" s="1">
        <v>313108</v>
      </c>
      <c r="H97" s="63">
        <v>45468</v>
      </c>
      <c r="J97" s="1"/>
      <c r="K97" s="1"/>
      <c r="L97" s="1" t="s">
        <v>49</v>
      </c>
      <c r="M97" s="1" t="s">
        <v>107</v>
      </c>
      <c r="N97" s="1" t="str">
        <f t="shared" si="1"/>
        <v>Normal</v>
      </c>
    </row>
    <row r="98" spans="1:14" x14ac:dyDescent="0.25">
      <c r="A98" s="1" t="s">
        <v>324</v>
      </c>
      <c r="B98" s="1" t="s">
        <v>75</v>
      </c>
      <c r="C98" s="1" t="s">
        <v>325</v>
      </c>
      <c r="D98" s="1" t="s">
        <v>46</v>
      </c>
      <c r="E98" s="1" t="s">
        <v>100</v>
      </c>
      <c r="F98" s="1" t="s">
        <v>129</v>
      </c>
      <c r="G98" s="1">
        <v>254116</v>
      </c>
      <c r="H98" s="63">
        <v>45674</v>
      </c>
      <c r="J98" s="1"/>
      <c r="K98" s="1">
        <v>11</v>
      </c>
      <c r="L98" s="1" t="s">
        <v>20</v>
      </c>
      <c r="M98" s="1" t="s">
        <v>63</v>
      </c>
      <c r="N98" s="1" t="str">
        <f t="shared" si="1"/>
        <v>Normal</v>
      </c>
    </row>
    <row r="99" spans="1:14" x14ac:dyDescent="0.25">
      <c r="A99" s="1" t="s">
        <v>327</v>
      </c>
      <c r="B99" s="1" t="s">
        <v>84</v>
      </c>
      <c r="C99" s="1" t="s">
        <v>328</v>
      </c>
      <c r="D99" s="1" t="s">
        <v>67</v>
      </c>
      <c r="E99" s="1" t="s">
        <v>72</v>
      </c>
      <c r="F99" s="1" t="s">
        <v>129</v>
      </c>
      <c r="G99" s="1">
        <v>336032</v>
      </c>
      <c r="H99" s="63">
        <v>45124</v>
      </c>
      <c r="J99" s="1"/>
      <c r="K99" s="1">
        <v>4.5999999999999996</v>
      </c>
      <c r="L99" s="1" t="s">
        <v>96</v>
      </c>
      <c r="M99" s="1" t="s">
        <v>102</v>
      </c>
      <c r="N99" s="1" t="str">
        <f t="shared" si="1"/>
        <v>Normal</v>
      </c>
    </row>
    <row r="100" spans="1:14" x14ac:dyDescent="0.25">
      <c r="A100" s="1" t="s">
        <v>330</v>
      </c>
      <c r="B100" s="1" t="s">
        <v>127</v>
      </c>
      <c r="C100" s="1" t="s">
        <v>331</v>
      </c>
      <c r="D100" s="1" t="s">
        <v>90</v>
      </c>
      <c r="E100" s="1" t="s">
        <v>61</v>
      </c>
      <c r="F100" s="1" t="s">
        <v>40</v>
      </c>
      <c r="G100" s="1">
        <v>345065</v>
      </c>
      <c r="H100" s="63">
        <v>45194</v>
      </c>
      <c r="I100" s="63">
        <v>45267</v>
      </c>
      <c r="J100" s="1">
        <v>73</v>
      </c>
      <c r="K100" s="1">
        <v>2.5</v>
      </c>
      <c r="L100" s="1" t="s">
        <v>20</v>
      </c>
      <c r="M100" s="1" t="s">
        <v>102</v>
      </c>
      <c r="N100" s="1" t="str">
        <f t="shared" si="1"/>
        <v>Normal</v>
      </c>
    </row>
    <row r="101" spans="1:14" x14ac:dyDescent="0.25">
      <c r="A101" s="1" t="s">
        <v>333</v>
      </c>
      <c r="B101" s="1" t="s">
        <v>37</v>
      </c>
      <c r="C101" s="1" t="s">
        <v>334</v>
      </c>
      <c r="D101" s="1" t="s">
        <v>39</v>
      </c>
      <c r="E101" s="1" t="s">
        <v>47</v>
      </c>
      <c r="F101" s="1" t="s">
        <v>18</v>
      </c>
      <c r="G101" s="1">
        <v>217798</v>
      </c>
      <c r="H101" s="63">
        <v>45342</v>
      </c>
      <c r="I101" s="63">
        <v>45467</v>
      </c>
      <c r="J101" s="1">
        <v>125</v>
      </c>
      <c r="K101" s="1">
        <v>4.3</v>
      </c>
      <c r="L101" s="1" t="s">
        <v>29</v>
      </c>
      <c r="M101" s="1" t="s">
        <v>69</v>
      </c>
      <c r="N101" s="1" t="str">
        <f t="shared" si="1"/>
        <v>Normal</v>
      </c>
    </row>
    <row r="102" spans="1:14" x14ac:dyDescent="0.25">
      <c r="A102" s="1" t="s">
        <v>336</v>
      </c>
      <c r="B102" s="1" t="s">
        <v>80</v>
      </c>
      <c r="C102" s="1" t="s">
        <v>141</v>
      </c>
      <c r="D102" s="1" t="s">
        <v>39</v>
      </c>
      <c r="E102" s="1" t="s">
        <v>72</v>
      </c>
      <c r="F102" s="1" t="s">
        <v>129</v>
      </c>
      <c r="G102" s="1">
        <v>327452</v>
      </c>
      <c r="H102" s="63">
        <v>45585</v>
      </c>
      <c r="J102" s="1"/>
      <c r="K102" s="1">
        <v>14.1</v>
      </c>
      <c r="L102" s="1" t="s">
        <v>96</v>
      </c>
      <c r="M102" s="1" t="s">
        <v>42</v>
      </c>
      <c r="N102" s="1" t="str">
        <f t="shared" si="1"/>
        <v>Normal</v>
      </c>
    </row>
    <row r="103" spans="1:14" x14ac:dyDescent="0.25">
      <c r="A103" s="1" t="s">
        <v>338</v>
      </c>
      <c r="B103" s="1" t="s">
        <v>80</v>
      </c>
      <c r="C103" s="1" t="s">
        <v>339</v>
      </c>
      <c r="D103" s="1" t="s">
        <v>39</v>
      </c>
      <c r="E103" s="1" t="s">
        <v>26</v>
      </c>
      <c r="F103" s="1" t="s">
        <v>53</v>
      </c>
      <c r="G103" s="1">
        <v>102177</v>
      </c>
      <c r="H103" s="63">
        <v>45309</v>
      </c>
      <c r="J103" s="1"/>
      <c r="K103" s="1">
        <v>2.7</v>
      </c>
      <c r="L103" s="1" t="s">
        <v>20</v>
      </c>
      <c r="M103" s="1" t="s">
        <v>69</v>
      </c>
      <c r="N103" s="1" t="str">
        <f t="shared" si="1"/>
        <v>Normal</v>
      </c>
    </row>
    <row r="104" spans="1:14" x14ac:dyDescent="0.25">
      <c r="A104" s="1" t="s">
        <v>340</v>
      </c>
      <c r="B104" s="1" t="s">
        <v>127</v>
      </c>
      <c r="C104" s="1" t="s">
        <v>205</v>
      </c>
      <c r="D104" s="1" t="s">
        <v>90</v>
      </c>
      <c r="E104" s="1" t="s">
        <v>26</v>
      </c>
      <c r="F104" s="1" t="s">
        <v>33</v>
      </c>
      <c r="G104" s="1">
        <v>36694</v>
      </c>
      <c r="H104" s="63">
        <v>45526</v>
      </c>
      <c r="J104" s="1"/>
      <c r="K104" s="1">
        <v>1.8</v>
      </c>
      <c r="L104" s="1" t="s">
        <v>20</v>
      </c>
      <c r="M104" s="1" t="s">
        <v>149</v>
      </c>
      <c r="N104" s="1" t="str">
        <f t="shared" si="1"/>
        <v>Normal</v>
      </c>
    </row>
    <row r="105" spans="1:14" x14ac:dyDescent="0.25">
      <c r="A105" s="1" t="s">
        <v>342</v>
      </c>
      <c r="B105" s="1" t="s">
        <v>109</v>
      </c>
      <c r="C105" s="1" t="s">
        <v>343</v>
      </c>
      <c r="D105" s="1" t="s">
        <v>16</v>
      </c>
      <c r="E105" s="1" t="s">
        <v>26</v>
      </c>
      <c r="F105" s="1" t="s">
        <v>53</v>
      </c>
      <c r="G105" s="1">
        <v>406655</v>
      </c>
      <c r="H105" s="63">
        <v>45054</v>
      </c>
      <c r="J105" s="1"/>
      <c r="K105" s="1">
        <v>6.7</v>
      </c>
      <c r="L105" s="1" t="s">
        <v>96</v>
      </c>
      <c r="M105" s="1" t="s">
        <v>30</v>
      </c>
      <c r="N105" s="1" t="str">
        <f t="shared" si="1"/>
        <v>Normal</v>
      </c>
    </row>
    <row r="106" spans="1:14" x14ac:dyDescent="0.25">
      <c r="A106" s="1" t="s">
        <v>345</v>
      </c>
      <c r="B106" s="1" t="s">
        <v>65</v>
      </c>
      <c r="C106" s="1" t="s">
        <v>346</v>
      </c>
      <c r="D106" s="1" t="s">
        <v>67</v>
      </c>
      <c r="E106" s="1" t="s">
        <v>100</v>
      </c>
      <c r="F106" s="1" t="s">
        <v>27</v>
      </c>
      <c r="G106" s="1">
        <v>344033</v>
      </c>
      <c r="H106" s="63">
        <v>45352</v>
      </c>
      <c r="J106" s="1"/>
      <c r="K106" s="1">
        <v>5.7</v>
      </c>
      <c r="L106" s="1" t="s">
        <v>49</v>
      </c>
      <c r="M106" s="1" t="s">
        <v>69</v>
      </c>
      <c r="N106" s="1" t="str">
        <f t="shared" si="1"/>
        <v>Normal</v>
      </c>
    </row>
    <row r="107" spans="1:14" x14ac:dyDescent="0.25">
      <c r="A107" s="1" t="s">
        <v>348</v>
      </c>
      <c r="B107" s="1" t="s">
        <v>59</v>
      </c>
      <c r="C107" s="1" t="s">
        <v>349</v>
      </c>
      <c r="D107" s="1" t="s">
        <v>46</v>
      </c>
      <c r="E107" s="1" t="s">
        <v>100</v>
      </c>
      <c r="F107" s="1" t="s">
        <v>40</v>
      </c>
      <c r="G107" s="1">
        <v>431698</v>
      </c>
      <c r="H107" s="63">
        <v>45279</v>
      </c>
      <c r="I107" s="63">
        <v>45364</v>
      </c>
      <c r="J107" s="1">
        <v>85</v>
      </c>
      <c r="K107" s="1">
        <v>8.6999999999999993</v>
      </c>
      <c r="L107" s="1" t="s">
        <v>96</v>
      </c>
      <c r="M107" s="1" t="s">
        <v>21</v>
      </c>
      <c r="N107" s="1" t="str">
        <f t="shared" si="1"/>
        <v>Normal</v>
      </c>
    </row>
    <row r="108" spans="1:14" x14ac:dyDescent="0.25">
      <c r="A108" s="1" t="s">
        <v>351</v>
      </c>
      <c r="B108" s="1" t="s">
        <v>75</v>
      </c>
      <c r="C108" s="1" t="s">
        <v>352</v>
      </c>
      <c r="D108" s="1" t="s">
        <v>39</v>
      </c>
      <c r="E108" s="1" t="s">
        <v>94</v>
      </c>
      <c r="F108" s="1" t="s">
        <v>33</v>
      </c>
      <c r="G108" s="1">
        <v>131729</v>
      </c>
      <c r="H108" s="63">
        <v>45010</v>
      </c>
      <c r="J108" s="1"/>
      <c r="K108" s="1">
        <v>6.1</v>
      </c>
      <c r="L108" s="1" t="s">
        <v>29</v>
      </c>
      <c r="M108" s="1" t="s">
        <v>35</v>
      </c>
      <c r="N108" s="1" t="str">
        <f t="shared" si="1"/>
        <v>Normal</v>
      </c>
    </row>
    <row r="109" spans="1:14" x14ac:dyDescent="0.25">
      <c r="A109" s="1" t="s">
        <v>354</v>
      </c>
      <c r="B109" s="1" t="s">
        <v>14</v>
      </c>
      <c r="C109" s="1" t="s">
        <v>355</v>
      </c>
      <c r="D109" s="1" t="s">
        <v>90</v>
      </c>
      <c r="E109" s="1" t="s">
        <v>72</v>
      </c>
      <c r="F109" s="1" t="s">
        <v>27</v>
      </c>
      <c r="G109" s="1">
        <v>192170</v>
      </c>
      <c r="H109" s="63">
        <v>45304</v>
      </c>
      <c r="J109" s="1"/>
      <c r="K109" s="1">
        <v>4.9000000000000004</v>
      </c>
      <c r="L109" s="1" t="s">
        <v>49</v>
      </c>
      <c r="M109" s="1" t="s">
        <v>69</v>
      </c>
      <c r="N109" s="1" t="str">
        <f t="shared" si="1"/>
        <v>Normal</v>
      </c>
    </row>
    <row r="110" spans="1:14" x14ac:dyDescent="0.25">
      <c r="A110" s="1" t="s">
        <v>357</v>
      </c>
      <c r="B110" s="1" t="s">
        <v>84</v>
      </c>
      <c r="C110" s="1" t="s">
        <v>358</v>
      </c>
      <c r="D110" s="1" t="s">
        <v>16</v>
      </c>
      <c r="E110" s="1" t="s">
        <v>72</v>
      </c>
      <c r="F110" s="1" t="s">
        <v>129</v>
      </c>
      <c r="G110" s="1">
        <v>482743</v>
      </c>
      <c r="H110" s="63">
        <v>45564</v>
      </c>
      <c r="J110" s="1"/>
      <c r="K110" s="1"/>
      <c r="L110" s="1" t="s">
        <v>29</v>
      </c>
      <c r="M110" s="1" t="s">
        <v>149</v>
      </c>
      <c r="N110" s="1" t="str">
        <f t="shared" si="1"/>
        <v>Normal</v>
      </c>
    </row>
    <row r="111" spans="1:14" x14ac:dyDescent="0.25">
      <c r="A111" s="1" t="s">
        <v>360</v>
      </c>
      <c r="B111" s="1" t="s">
        <v>59</v>
      </c>
      <c r="C111" s="1" t="s">
        <v>361</v>
      </c>
      <c r="D111" s="1" t="s">
        <v>67</v>
      </c>
      <c r="E111" s="1" t="s">
        <v>77</v>
      </c>
      <c r="F111" s="1" t="s">
        <v>53</v>
      </c>
      <c r="G111" s="1">
        <v>169868</v>
      </c>
      <c r="H111" s="63">
        <v>45237</v>
      </c>
      <c r="J111" s="1"/>
      <c r="K111" s="1"/>
      <c r="L111" s="1" t="s">
        <v>29</v>
      </c>
      <c r="M111" s="1" t="s">
        <v>21</v>
      </c>
      <c r="N111" s="1" t="str">
        <f t="shared" si="1"/>
        <v>Normal</v>
      </c>
    </row>
    <row r="112" spans="1:14" x14ac:dyDescent="0.25">
      <c r="A112" s="1" t="s">
        <v>363</v>
      </c>
      <c r="B112" s="1" t="s">
        <v>109</v>
      </c>
      <c r="C112" s="1" t="s">
        <v>364</v>
      </c>
      <c r="D112" s="1" t="s">
        <v>25</v>
      </c>
      <c r="E112" s="1" t="s">
        <v>17</v>
      </c>
      <c r="F112" s="1" t="s">
        <v>27</v>
      </c>
      <c r="G112" s="1">
        <v>384629</v>
      </c>
      <c r="H112" s="63">
        <v>45190</v>
      </c>
      <c r="J112" s="1"/>
      <c r="K112" s="1">
        <v>0.2</v>
      </c>
      <c r="L112" s="1" t="s">
        <v>49</v>
      </c>
      <c r="M112" s="1" t="s">
        <v>102</v>
      </c>
      <c r="N112" s="1" t="str">
        <f t="shared" si="1"/>
        <v>Normal</v>
      </c>
    </row>
    <row r="113" spans="1:14" x14ac:dyDescent="0.25">
      <c r="A113" s="1" t="s">
        <v>366</v>
      </c>
      <c r="B113" s="1" t="s">
        <v>23</v>
      </c>
      <c r="C113" s="1" t="s">
        <v>135</v>
      </c>
      <c r="D113" s="1" t="s">
        <v>46</v>
      </c>
      <c r="E113" s="1" t="s">
        <v>26</v>
      </c>
      <c r="F113" s="1" t="s">
        <v>40</v>
      </c>
      <c r="G113" s="1">
        <v>219479</v>
      </c>
      <c r="H113" s="63">
        <v>44930</v>
      </c>
      <c r="I113" s="63">
        <v>45007</v>
      </c>
      <c r="J113" s="1">
        <v>77</v>
      </c>
      <c r="K113" s="1">
        <v>14.9</v>
      </c>
      <c r="L113" s="1" t="s">
        <v>96</v>
      </c>
      <c r="M113" s="1" t="s">
        <v>35</v>
      </c>
      <c r="N113" s="1" t="str">
        <f t="shared" si="1"/>
        <v>Normal</v>
      </c>
    </row>
    <row r="114" spans="1:14" x14ac:dyDescent="0.25">
      <c r="A114" s="1" t="s">
        <v>368</v>
      </c>
      <c r="B114" s="1" t="s">
        <v>88</v>
      </c>
      <c r="C114" s="1" t="s">
        <v>177</v>
      </c>
      <c r="D114" s="1" t="s">
        <v>67</v>
      </c>
      <c r="E114" s="1" t="s">
        <v>94</v>
      </c>
      <c r="F114" s="1" t="s">
        <v>40</v>
      </c>
      <c r="G114" s="1">
        <v>94909</v>
      </c>
      <c r="H114" s="63">
        <v>45394</v>
      </c>
      <c r="I114" s="63">
        <v>45499</v>
      </c>
      <c r="J114" s="1">
        <v>105</v>
      </c>
      <c r="K114" s="1">
        <v>21.5</v>
      </c>
      <c r="L114" s="1" t="s">
        <v>96</v>
      </c>
      <c r="M114" s="1" t="s">
        <v>107</v>
      </c>
      <c r="N114" s="1" t="str">
        <f t="shared" si="1"/>
        <v>Normal</v>
      </c>
    </row>
    <row r="115" spans="1:14" x14ac:dyDescent="0.25">
      <c r="A115" s="1" t="s">
        <v>370</v>
      </c>
      <c r="B115" s="1" t="s">
        <v>14</v>
      </c>
      <c r="C115" s="1" t="s">
        <v>81</v>
      </c>
      <c r="D115" s="1" t="s">
        <v>67</v>
      </c>
      <c r="E115" s="1" t="s">
        <v>61</v>
      </c>
      <c r="F115" s="1" t="s">
        <v>18</v>
      </c>
      <c r="G115" s="1">
        <v>251930</v>
      </c>
      <c r="H115" s="63">
        <v>45191</v>
      </c>
      <c r="I115" s="63">
        <v>45216</v>
      </c>
      <c r="J115" s="1">
        <v>25</v>
      </c>
      <c r="K115" s="1"/>
      <c r="L115" s="1" t="s">
        <v>49</v>
      </c>
      <c r="M115" s="1" t="s">
        <v>102</v>
      </c>
      <c r="N115" s="1" t="str">
        <f t="shared" si="1"/>
        <v>Normal</v>
      </c>
    </row>
    <row r="116" spans="1:14" x14ac:dyDescent="0.25">
      <c r="A116" s="1" t="s">
        <v>371</v>
      </c>
      <c r="B116" s="1" t="s">
        <v>65</v>
      </c>
      <c r="C116" s="1" t="s">
        <v>372</v>
      </c>
      <c r="D116" s="1" t="s">
        <v>16</v>
      </c>
      <c r="E116" s="1" t="s">
        <v>94</v>
      </c>
      <c r="F116" s="1" t="s">
        <v>53</v>
      </c>
      <c r="G116" s="1">
        <v>172311</v>
      </c>
      <c r="H116" s="63">
        <v>45184</v>
      </c>
      <c r="J116" s="1"/>
      <c r="K116" s="1">
        <v>1.2</v>
      </c>
      <c r="L116" s="1" t="s">
        <v>20</v>
      </c>
      <c r="M116" s="1" t="s">
        <v>102</v>
      </c>
      <c r="N116" s="1" t="str">
        <f t="shared" si="1"/>
        <v>Normal</v>
      </c>
    </row>
    <row r="117" spans="1:14" x14ac:dyDescent="0.25">
      <c r="A117" s="1" t="s">
        <v>374</v>
      </c>
      <c r="B117" s="1" t="s">
        <v>109</v>
      </c>
      <c r="C117" s="1" t="s">
        <v>300</v>
      </c>
      <c r="D117" s="1" t="s">
        <v>67</v>
      </c>
      <c r="E117" s="1" t="s">
        <v>61</v>
      </c>
      <c r="F117" s="1" t="s">
        <v>40</v>
      </c>
      <c r="G117" s="1">
        <v>423559</v>
      </c>
      <c r="H117" s="63">
        <v>45186</v>
      </c>
      <c r="I117" s="63">
        <v>45342</v>
      </c>
      <c r="J117" s="1">
        <v>156</v>
      </c>
      <c r="K117" s="1">
        <v>16</v>
      </c>
      <c r="L117" s="1" t="s">
        <v>49</v>
      </c>
      <c r="M117" s="1" t="s">
        <v>102</v>
      </c>
      <c r="N117" s="1" t="str">
        <f t="shared" si="1"/>
        <v>Normal</v>
      </c>
    </row>
    <row r="118" spans="1:14" x14ac:dyDescent="0.25">
      <c r="A118" s="1" t="s">
        <v>376</v>
      </c>
      <c r="B118" s="1" t="s">
        <v>80</v>
      </c>
      <c r="C118" s="1" t="s">
        <v>237</v>
      </c>
      <c r="D118" s="1" t="s">
        <v>46</v>
      </c>
      <c r="E118" s="1" t="s">
        <v>26</v>
      </c>
      <c r="F118" s="1" t="s">
        <v>40</v>
      </c>
      <c r="G118" s="1">
        <v>310036</v>
      </c>
      <c r="H118" s="63">
        <v>45161</v>
      </c>
      <c r="I118" s="63">
        <v>45327</v>
      </c>
      <c r="J118" s="1">
        <v>166</v>
      </c>
      <c r="K118" s="1">
        <v>20.3</v>
      </c>
      <c r="L118" s="1" t="s">
        <v>29</v>
      </c>
      <c r="M118" s="1" t="s">
        <v>102</v>
      </c>
      <c r="N118" s="1" t="str">
        <f t="shared" si="1"/>
        <v>Normal</v>
      </c>
    </row>
    <row r="119" spans="1:14" x14ac:dyDescent="0.25">
      <c r="A119" s="1" t="s">
        <v>378</v>
      </c>
      <c r="B119" s="1" t="s">
        <v>44</v>
      </c>
      <c r="C119" s="1" t="s">
        <v>346</v>
      </c>
      <c r="D119" s="1" t="s">
        <v>25</v>
      </c>
      <c r="E119" s="1" t="s">
        <v>47</v>
      </c>
      <c r="F119" s="1" t="s">
        <v>40</v>
      </c>
      <c r="G119" s="1">
        <v>333247</v>
      </c>
      <c r="H119" s="63">
        <v>44951</v>
      </c>
      <c r="I119" s="63">
        <v>45009</v>
      </c>
      <c r="J119" s="1">
        <v>58</v>
      </c>
      <c r="K119" s="1">
        <v>16.5</v>
      </c>
      <c r="L119" s="1" t="s">
        <v>49</v>
      </c>
      <c r="M119" s="1" t="s">
        <v>35</v>
      </c>
      <c r="N119" s="1" t="str">
        <f t="shared" si="1"/>
        <v>Normal</v>
      </c>
    </row>
    <row r="120" spans="1:14" x14ac:dyDescent="0.25">
      <c r="A120" s="1" t="s">
        <v>380</v>
      </c>
      <c r="B120" s="1" t="s">
        <v>59</v>
      </c>
      <c r="C120" s="1" t="s">
        <v>381</v>
      </c>
      <c r="D120" s="1" t="s">
        <v>16</v>
      </c>
      <c r="E120" s="1" t="s">
        <v>72</v>
      </c>
      <c r="F120" s="1" t="s">
        <v>27</v>
      </c>
      <c r="G120" s="1">
        <v>358946</v>
      </c>
      <c r="H120" s="63">
        <v>45238</v>
      </c>
      <c r="J120" s="1"/>
      <c r="K120" s="1">
        <v>5.2</v>
      </c>
      <c r="L120" s="1" t="s">
        <v>29</v>
      </c>
      <c r="M120" s="1" t="s">
        <v>21</v>
      </c>
      <c r="N120" s="1" t="str">
        <f t="shared" si="1"/>
        <v>Normal</v>
      </c>
    </row>
    <row r="121" spans="1:14" x14ac:dyDescent="0.25">
      <c r="A121" s="1" t="s">
        <v>383</v>
      </c>
      <c r="B121" s="1" t="s">
        <v>37</v>
      </c>
      <c r="C121" s="1" t="s">
        <v>384</v>
      </c>
      <c r="D121" s="1" t="s">
        <v>39</v>
      </c>
      <c r="E121" s="1" t="s">
        <v>47</v>
      </c>
      <c r="F121" s="1" t="s">
        <v>129</v>
      </c>
      <c r="G121" s="1">
        <v>294548</v>
      </c>
      <c r="H121" s="63">
        <v>45121</v>
      </c>
      <c r="J121" s="1"/>
      <c r="K121" s="1">
        <v>8.5</v>
      </c>
      <c r="L121" s="1" t="s">
        <v>49</v>
      </c>
      <c r="M121" s="1" t="s">
        <v>102</v>
      </c>
      <c r="N121" s="1" t="str">
        <f t="shared" si="1"/>
        <v>Normal</v>
      </c>
    </row>
    <row r="122" spans="1:14" x14ac:dyDescent="0.25">
      <c r="A122" s="1" t="s">
        <v>386</v>
      </c>
      <c r="B122" s="1" t="s">
        <v>84</v>
      </c>
      <c r="C122" s="1" t="s">
        <v>387</v>
      </c>
      <c r="D122" s="1" t="s">
        <v>39</v>
      </c>
      <c r="E122" s="1" t="s">
        <v>77</v>
      </c>
      <c r="F122" s="1" t="s">
        <v>33</v>
      </c>
      <c r="G122" s="1">
        <v>455506</v>
      </c>
      <c r="H122" s="63">
        <v>45003</v>
      </c>
      <c r="J122" s="1"/>
      <c r="K122" s="1">
        <v>14.6</v>
      </c>
      <c r="L122" s="1" t="s">
        <v>20</v>
      </c>
      <c r="M122" s="1" t="s">
        <v>35</v>
      </c>
      <c r="N122" s="1" t="str">
        <f t="shared" si="1"/>
        <v>Normal</v>
      </c>
    </row>
    <row r="123" spans="1:14" x14ac:dyDescent="0.25">
      <c r="A123" s="1" t="s">
        <v>389</v>
      </c>
      <c r="B123" s="1" t="s">
        <v>23</v>
      </c>
      <c r="C123" s="1" t="s">
        <v>390</v>
      </c>
      <c r="D123" s="1" t="s">
        <v>46</v>
      </c>
      <c r="E123" s="1" t="s">
        <v>94</v>
      </c>
      <c r="F123" s="1" t="s">
        <v>40</v>
      </c>
      <c r="G123" s="1">
        <v>327220</v>
      </c>
      <c r="H123" s="63">
        <v>45359</v>
      </c>
      <c r="I123" s="63">
        <v>45446</v>
      </c>
      <c r="J123" s="1">
        <v>87</v>
      </c>
      <c r="K123" s="1">
        <v>8.1</v>
      </c>
      <c r="L123" s="1" t="s">
        <v>96</v>
      </c>
      <c r="M123" s="1" t="s">
        <v>69</v>
      </c>
      <c r="N123" s="1" t="str">
        <f t="shared" si="1"/>
        <v>Normal</v>
      </c>
    </row>
    <row r="124" spans="1:14" x14ac:dyDescent="0.25">
      <c r="A124" s="1" t="s">
        <v>392</v>
      </c>
      <c r="B124" s="1" t="s">
        <v>59</v>
      </c>
      <c r="C124" s="1" t="s">
        <v>393</v>
      </c>
      <c r="D124" s="1" t="s">
        <v>46</v>
      </c>
      <c r="E124" s="1" t="s">
        <v>61</v>
      </c>
      <c r="F124" s="1" t="s">
        <v>18</v>
      </c>
      <c r="G124" s="1">
        <v>95664</v>
      </c>
      <c r="H124" s="63">
        <v>45198</v>
      </c>
      <c r="I124" s="63">
        <v>45336</v>
      </c>
      <c r="J124" s="1">
        <v>138</v>
      </c>
      <c r="K124" s="1">
        <v>3.3</v>
      </c>
      <c r="L124" s="1" t="s">
        <v>29</v>
      </c>
      <c r="M124" s="1" t="s">
        <v>102</v>
      </c>
      <c r="N124" s="1" t="str">
        <f t="shared" si="1"/>
        <v>Normal</v>
      </c>
    </row>
    <row r="125" spans="1:14" x14ac:dyDescent="0.25">
      <c r="A125" s="1" t="s">
        <v>395</v>
      </c>
      <c r="B125" s="1" t="s">
        <v>104</v>
      </c>
      <c r="C125" s="1" t="s">
        <v>132</v>
      </c>
      <c r="D125" s="1" t="s">
        <v>25</v>
      </c>
      <c r="E125" s="1" t="s">
        <v>47</v>
      </c>
      <c r="F125" s="1" t="s">
        <v>53</v>
      </c>
      <c r="G125" s="1">
        <v>190014</v>
      </c>
      <c r="H125" s="63">
        <v>45516</v>
      </c>
      <c r="J125" s="1"/>
      <c r="K125" s="1">
        <v>2.6</v>
      </c>
      <c r="L125" s="1" t="s">
        <v>29</v>
      </c>
      <c r="M125" s="1" t="s">
        <v>149</v>
      </c>
      <c r="N125" s="1" t="str">
        <f t="shared" si="1"/>
        <v>Normal</v>
      </c>
    </row>
    <row r="126" spans="1:14" x14ac:dyDescent="0.25">
      <c r="A126" s="1" t="s">
        <v>397</v>
      </c>
      <c r="B126" s="1" t="s">
        <v>65</v>
      </c>
      <c r="C126" s="1" t="s">
        <v>398</v>
      </c>
      <c r="D126" s="1" t="s">
        <v>90</v>
      </c>
      <c r="E126" s="1" t="s">
        <v>100</v>
      </c>
      <c r="F126" s="1" t="s">
        <v>129</v>
      </c>
      <c r="G126" s="1">
        <v>427742</v>
      </c>
      <c r="H126" s="63">
        <v>45621</v>
      </c>
      <c r="J126" s="1"/>
      <c r="K126" s="1">
        <v>8.1</v>
      </c>
      <c r="L126" s="1" t="s">
        <v>20</v>
      </c>
      <c r="M126" s="1" t="s">
        <v>42</v>
      </c>
      <c r="N126" s="1" t="str">
        <f t="shared" si="1"/>
        <v>Normal</v>
      </c>
    </row>
    <row r="127" spans="1:14" x14ac:dyDescent="0.25">
      <c r="A127" s="1" t="s">
        <v>400</v>
      </c>
      <c r="B127" s="1" t="s">
        <v>109</v>
      </c>
      <c r="C127" s="1" t="s">
        <v>401</v>
      </c>
      <c r="D127" s="1" t="s">
        <v>16</v>
      </c>
      <c r="E127" s="1" t="s">
        <v>26</v>
      </c>
      <c r="F127" s="1" t="s">
        <v>33</v>
      </c>
      <c r="G127" s="1">
        <v>208673</v>
      </c>
      <c r="H127" s="63">
        <v>45703</v>
      </c>
      <c r="J127" s="1"/>
      <c r="K127" s="1">
        <v>6.4</v>
      </c>
      <c r="L127" s="1" t="s">
        <v>49</v>
      </c>
      <c r="M127" s="1" t="s">
        <v>63</v>
      </c>
      <c r="N127" s="1" t="str">
        <f t="shared" si="1"/>
        <v>Normal</v>
      </c>
    </row>
    <row r="128" spans="1:14" x14ac:dyDescent="0.25">
      <c r="A128" s="1" t="s">
        <v>403</v>
      </c>
      <c r="B128" s="1" t="s">
        <v>23</v>
      </c>
      <c r="C128" s="1" t="s">
        <v>141</v>
      </c>
      <c r="D128" s="1" t="s">
        <v>90</v>
      </c>
      <c r="E128" s="1" t="s">
        <v>100</v>
      </c>
      <c r="F128" s="1" t="s">
        <v>27</v>
      </c>
      <c r="G128" s="1">
        <v>427971</v>
      </c>
      <c r="H128" s="63">
        <v>45491</v>
      </c>
      <c r="J128" s="1"/>
      <c r="K128" s="1">
        <v>13.5</v>
      </c>
      <c r="L128" s="1" t="s">
        <v>29</v>
      </c>
      <c r="M128" s="1" t="s">
        <v>149</v>
      </c>
      <c r="N128" s="1" t="str">
        <f t="shared" si="1"/>
        <v>Normal</v>
      </c>
    </row>
    <row r="129" spans="1:14" x14ac:dyDescent="0.25">
      <c r="A129" s="1" t="s">
        <v>405</v>
      </c>
      <c r="B129" s="1" t="s">
        <v>75</v>
      </c>
      <c r="C129" s="1" t="s">
        <v>406</v>
      </c>
      <c r="D129" s="1" t="s">
        <v>39</v>
      </c>
      <c r="E129" s="1" t="s">
        <v>94</v>
      </c>
      <c r="F129" s="1" t="s">
        <v>129</v>
      </c>
      <c r="G129" s="1">
        <v>292458</v>
      </c>
      <c r="H129" s="63">
        <v>45472</v>
      </c>
      <c r="J129" s="1"/>
      <c r="K129" s="1"/>
      <c r="L129" s="1" t="s">
        <v>96</v>
      </c>
      <c r="M129" s="1" t="s">
        <v>107</v>
      </c>
      <c r="N129" s="1" t="str">
        <f t="shared" si="1"/>
        <v>Normal</v>
      </c>
    </row>
    <row r="130" spans="1:14" x14ac:dyDescent="0.25">
      <c r="A130" s="1" t="s">
        <v>408</v>
      </c>
      <c r="B130" s="1" t="s">
        <v>23</v>
      </c>
      <c r="C130" s="1" t="s">
        <v>295</v>
      </c>
      <c r="D130" s="1" t="s">
        <v>25</v>
      </c>
      <c r="E130" s="1" t="s">
        <v>94</v>
      </c>
      <c r="F130" s="1" t="s">
        <v>33</v>
      </c>
      <c r="G130" s="1">
        <v>115388</v>
      </c>
      <c r="H130" s="63">
        <v>45172</v>
      </c>
      <c r="J130" s="1"/>
      <c r="K130" s="1">
        <v>13.3</v>
      </c>
      <c r="L130" s="1" t="s">
        <v>49</v>
      </c>
      <c r="M130" s="1" t="s">
        <v>102</v>
      </c>
      <c r="N130" s="1" t="str">
        <f t="shared" ref="N130:N193" si="2">IF(G130&gt;$R$5,"High Outlier",IF(G130&lt;$R$6,"Low Outlier","Normal"))</f>
        <v>Normal</v>
      </c>
    </row>
    <row r="131" spans="1:14" x14ac:dyDescent="0.25">
      <c r="A131" s="1" t="s">
        <v>410</v>
      </c>
      <c r="B131" s="1" t="s">
        <v>37</v>
      </c>
      <c r="C131" s="1" t="s">
        <v>195</v>
      </c>
      <c r="D131" s="1" t="s">
        <v>67</v>
      </c>
      <c r="E131" s="1" t="s">
        <v>100</v>
      </c>
      <c r="F131" s="1" t="s">
        <v>53</v>
      </c>
      <c r="G131" s="1">
        <v>375180</v>
      </c>
      <c r="H131" s="63">
        <v>44981</v>
      </c>
      <c r="J131" s="1"/>
      <c r="K131" s="1">
        <v>7</v>
      </c>
      <c r="L131" s="1" t="s">
        <v>96</v>
      </c>
      <c r="M131" s="1" t="s">
        <v>35</v>
      </c>
      <c r="N131" s="1" t="str">
        <f t="shared" si="2"/>
        <v>Normal</v>
      </c>
    </row>
    <row r="132" spans="1:14" x14ac:dyDescent="0.25">
      <c r="A132" s="1" t="s">
        <v>412</v>
      </c>
      <c r="B132" s="1" t="s">
        <v>14</v>
      </c>
      <c r="C132" s="1" t="s">
        <v>250</v>
      </c>
      <c r="D132" s="1" t="s">
        <v>25</v>
      </c>
      <c r="E132" s="1" t="s">
        <v>94</v>
      </c>
      <c r="F132" s="1" t="s">
        <v>53</v>
      </c>
      <c r="G132" s="1">
        <v>399496</v>
      </c>
      <c r="H132" s="63">
        <v>45286</v>
      </c>
      <c r="J132" s="1"/>
      <c r="K132" s="1">
        <v>11</v>
      </c>
      <c r="L132" s="1" t="s">
        <v>20</v>
      </c>
      <c r="M132" s="1" t="s">
        <v>21</v>
      </c>
      <c r="N132" s="1" t="str">
        <f t="shared" si="2"/>
        <v>Normal</v>
      </c>
    </row>
    <row r="133" spans="1:14" x14ac:dyDescent="0.25">
      <c r="A133" s="1" t="s">
        <v>414</v>
      </c>
      <c r="B133" s="1" t="s">
        <v>80</v>
      </c>
      <c r="C133" s="1" t="s">
        <v>415</v>
      </c>
      <c r="D133" s="1" t="s">
        <v>90</v>
      </c>
      <c r="E133" s="1" t="s">
        <v>94</v>
      </c>
      <c r="F133" s="1" t="s">
        <v>33</v>
      </c>
      <c r="G133" s="1">
        <v>471616</v>
      </c>
      <c r="H133" s="63">
        <v>45116</v>
      </c>
      <c r="J133" s="1"/>
      <c r="K133" s="1">
        <v>1.1000000000000001</v>
      </c>
      <c r="L133" s="1" t="s">
        <v>49</v>
      </c>
      <c r="M133" s="1" t="s">
        <v>102</v>
      </c>
      <c r="N133" s="1" t="str">
        <f t="shared" si="2"/>
        <v>Normal</v>
      </c>
    </row>
    <row r="134" spans="1:14" x14ac:dyDescent="0.25">
      <c r="A134" s="1" t="s">
        <v>417</v>
      </c>
      <c r="B134" s="1" t="s">
        <v>173</v>
      </c>
      <c r="C134" s="1" t="s">
        <v>165</v>
      </c>
      <c r="D134" s="1" t="s">
        <v>25</v>
      </c>
      <c r="E134" s="1" t="s">
        <v>94</v>
      </c>
      <c r="F134" s="1" t="s">
        <v>129</v>
      </c>
      <c r="G134" s="1">
        <v>289167</v>
      </c>
      <c r="H134" s="63">
        <v>45003</v>
      </c>
      <c r="J134" s="1"/>
      <c r="K134" s="1">
        <v>2.5</v>
      </c>
      <c r="L134" s="1" t="s">
        <v>20</v>
      </c>
      <c r="M134" s="1" t="s">
        <v>35</v>
      </c>
      <c r="N134" s="1" t="str">
        <f t="shared" si="2"/>
        <v>Normal</v>
      </c>
    </row>
    <row r="135" spans="1:14" x14ac:dyDescent="0.25">
      <c r="A135" s="1" t="s">
        <v>419</v>
      </c>
      <c r="B135" s="1" t="s">
        <v>84</v>
      </c>
      <c r="C135" s="1" t="s">
        <v>420</v>
      </c>
      <c r="D135" s="1" t="s">
        <v>39</v>
      </c>
      <c r="E135" s="1" t="s">
        <v>94</v>
      </c>
      <c r="F135" s="1" t="s">
        <v>129</v>
      </c>
      <c r="G135" s="1">
        <v>125873</v>
      </c>
      <c r="H135" s="63">
        <v>45309</v>
      </c>
      <c r="J135" s="1"/>
      <c r="K135" s="1">
        <v>1.3</v>
      </c>
      <c r="L135" s="1" t="s">
        <v>49</v>
      </c>
      <c r="M135" s="1" t="s">
        <v>69</v>
      </c>
      <c r="N135" s="1" t="str">
        <f t="shared" si="2"/>
        <v>Normal</v>
      </c>
    </row>
    <row r="136" spans="1:14" x14ac:dyDescent="0.25">
      <c r="A136" s="1" t="s">
        <v>422</v>
      </c>
      <c r="B136" s="1" t="s">
        <v>59</v>
      </c>
      <c r="C136" s="1" t="s">
        <v>423</v>
      </c>
      <c r="D136" s="1" t="s">
        <v>46</v>
      </c>
      <c r="E136" s="1" t="s">
        <v>94</v>
      </c>
      <c r="F136" s="1" t="s">
        <v>129</v>
      </c>
      <c r="G136" s="1">
        <v>94582</v>
      </c>
      <c r="H136" s="63">
        <v>45502</v>
      </c>
      <c r="J136" s="1"/>
      <c r="K136" s="1">
        <v>7.5</v>
      </c>
      <c r="L136" s="1" t="s">
        <v>49</v>
      </c>
      <c r="M136" s="1" t="s">
        <v>149</v>
      </c>
      <c r="N136" s="1" t="str">
        <f t="shared" si="2"/>
        <v>Normal</v>
      </c>
    </row>
    <row r="137" spans="1:14" x14ac:dyDescent="0.25">
      <c r="A137" s="1" t="s">
        <v>425</v>
      </c>
      <c r="B137" s="1" t="s">
        <v>173</v>
      </c>
      <c r="C137" s="1" t="s">
        <v>426</v>
      </c>
      <c r="D137" s="1" t="s">
        <v>25</v>
      </c>
      <c r="E137" s="1" t="s">
        <v>72</v>
      </c>
      <c r="F137" s="1" t="s">
        <v>53</v>
      </c>
      <c r="G137" s="1">
        <v>11502</v>
      </c>
      <c r="H137" s="63">
        <v>44944</v>
      </c>
      <c r="J137" s="1"/>
      <c r="K137" s="1">
        <v>5.4</v>
      </c>
      <c r="L137" s="1" t="s">
        <v>29</v>
      </c>
      <c r="M137" s="1" t="s">
        <v>35</v>
      </c>
      <c r="N137" s="1" t="str">
        <f t="shared" si="2"/>
        <v>Normal</v>
      </c>
    </row>
    <row r="138" spans="1:14" x14ac:dyDescent="0.25">
      <c r="A138" s="1" t="s">
        <v>428</v>
      </c>
      <c r="B138" s="1" t="s">
        <v>23</v>
      </c>
      <c r="C138" s="1" t="s">
        <v>85</v>
      </c>
      <c r="D138" s="1" t="s">
        <v>46</v>
      </c>
      <c r="E138" s="1" t="s">
        <v>77</v>
      </c>
      <c r="F138" s="1" t="s">
        <v>18</v>
      </c>
      <c r="G138" s="1">
        <v>29811</v>
      </c>
      <c r="H138" s="63">
        <v>45744</v>
      </c>
      <c r="I138" s="63">
        <v>45767</v>
      </c>
      <c r="J138" s="1">
        <v>23</v>
      </c>
      <c r="K138" s="1"/>
      <c r="L138" s="1" t="s">
        <v>20</v>
      </c>
      <c r="M138" s="1" t="s">
        <v>63</v>
      </c>
      <c r="N138" s="1" t="str">
        <f t="shared" si="2"/>
        <v>Normal</v>
      </c>
    </row>
    <row r="139" spans="1:14" x14ac:dyDescent="0.25">
      <c r="A139" s="1" t="s">
        <v>429</v>
      </c>
      <c r="B139" s="1" t="s">
        <v>88</v>
      </c>
      <c r="C139" s="1" t="s">
        <v>430</v>
      </c>
      <c r="D139" s="1" t="s">
        <v>39</v>
      </c>
      <c r="E139" s="1" t="s">
        <v>26</v>
      </c>
      <c r="F139" s="1" t="s">
        <v>40</v>
      </c>
      <c r="G139" s="1">
        <v>304950</v>
      </c>
      <c r="H139" s="63">
        <v>45483</v>
      </c>
      <c r="I139" s="63">
        <v>45613</v>
      </c>
      <c r="J139" s="1">
        <v>130</v>
      </c>
      <c r="K139" s="1">
        <v>14.1</v>
      </c>
      <c r="L139" s="1" t="s">
        <v>29</v>
      </c>
      <c r="M139" s="1" t="s">
        <v>149</v>
      </c>
      <c r="N139" s="1" t="str">
        <f t="shared" si="2"/>
        <v>Normal</v>
      </c>
    </row>
    <row r="140" spans="1:14" x14ac:dyDescent="0.25">
      <c r="A140" s="1" t="s">
        <v>432</v>
      </c>
      <c r="B140" s="1" t="s">
        <v>80</v>
      </c>
      <c r="C140" s="1" t="s">
        <v>433</v>
      </c>
      <c r="D140" s="1" t="s">
        <v>90</v>
      </c>
      <c r="E140" s="1" t="s">
        <v>72</v>
      </c>
      <c r="F140" s="1" t="s">
        <v>33</v>
      </c>
      <c r="G140" s="1">
        <v>319777</v>
      </c>
      <c r="H140" s="63">
        <v>45740</v>
      </c>
      <c r="J140" s="1"/>
      <c r="K140" s="1">
        <v>3.7</v>
      </c>
      <c r="L140" s="1" t="s">
        <v>29</v>
      </c>
      <c r="M140" s="1" t="s">
        <v>63</v>
      </c>
      <c r="N140" s="1" t="str">
        <f t="shared" si="2"/>
        <v>Normal</v>
      </c>
    </row>
    <row r="141" spans="1:14" x14ac:dyDescent="0.25">
      <c r="A141" s="1" t="s">
        <v>435</v>
      </c>
      <c r="B141" s="1" t="s">
        <v>173</v>
      </c>
      <c r="C141" s="1" t="s">
        <v>436</v>
      </c>
      <c r="D141" s="1" t="s">
        <v>46</v>
      </c>
      <c r="E141" s="1" t="s">
        <v>94</v>
      </c>
      <c r="F141" s="1" t="s">
        <v>18</v>
      </c>
      <c r="G141" s="1">
        <v>451024</v>
      </c>
      <c r="H141" s="63">
        <v>45075</v>
      </c>
      <c r="I141" s="63">
        <v>45151</v>
      </c>
      <c r="J141" s="1">
        <v>76</v>
      </c>
      <c r="K141" s="1">
        <v>0.5</v>
      </c>
      <c r="L141" s="1" t="s">
        <v>20</v>
      </c>
      <c r="M141" s="1" t="s">
        <v>30</v>
      </c>
      <c r="N141" s="1" t="str">
        <f t="shared" si="2"/>
        <v>Normal</v>
      </c>
    </row>
    <row r="142" spans="1:14" x14ac:dyDescent="0.25">
      <c r="A142" s="1" t="s">
        <v>438</v>
      </c>
      <c r="B142" s="1" t="s">
        <v>75</v>
      </c>
      <c r="C142" s="1" t="s">
        <v>439</v>
      </c>
      <c r="D142" s="1" t="s">
        <v>67</v>
      </c>
      <c r="E142" s="1" t="s">
        <v>100</v>
      </c>
      <c r="F142" s="1" t="s">
        <v>18</v>
      </c>
      <c r="G142" s="1">
        <v>428759</v>
      </c>
      <c r="H142" s="63">
        <v>45089</v>
      </c>
      <c r="I142" s="63">
        <v>45141</v>
      </c>
      <c r="J142" s="1">
        <v>52</v>
      </c>
      <c r="K142" s="1">
        <v>3.4</v>
      </c>
      <c r="L142" s="1" t="s">
        <v>96</v>
      </c>
      <c r="M142" s="1" t="s">
        <v>30</v>
      </c>
      <c r="N142" s="1" t="str">
        <f t="shared" si="2"/>
        <v>Normal</v>
      </c>
    </row>
    <row r="143" spans="1:14" x14ac:dyDescent="0.25">
      <c r="A143" s="1" t="s">
        <v>441</v>
      </c>
      <c r="B143" s="1" t="s">
        <v>104</v>
      </c>
      <c r="C143" s="1" t="s">
        <v>442</v>
      </c>
      <c r="D143" s="1" t="s">
        <v>25</v>
      </c>
      <c r="E143" s="1" t="s">
        <v>94</v>
      </c>
      <c r="F143" s="1" t="s">
        <v>40</v>
      </c>
      <c r="G143" s="1">
        <v>194102</v>
      </c>
      <c r="H143" s="63">
        <v>45345</v>
      </c>
      <c r="I143" s="63">
        <v>45488</v>
      </c>
      <c r="J143" s="1">
        <v>143</v>
      </c>
      <c r="K143" s="1">
        <v>17.5</v>
      </c>
      <c r="L143" s="1" t="s">
        <v>96</v>
      </c>
      <c r="M143" s="1" t="s">
        <v>69</v>
      </c>
      <c r="N143" s="1" t="str">
        <f t="shared" si="2"/>
        <v>Normal</v>
      </c>
    </row>
    <row r="144" spans="1:14" x14ac:dyDescent="0.25">
      <c r="A144" s="1" t="s">
        <v>444</v>
      </c>
      <c r="B144" s="1" t="s">
        <v>127</v>
      </c>
      <c r="C144" s="1" t="s">
        <v>247</v>
      </c>
      <c r="D144" s="1" t="s">
        <v>46</v>
      </c>
      <c r="E144" s="1" t="s">
        <v>26</v>
      </c>
      <c r="F144" s="1" t="s">
        <v>53</v>
      </c>
      <c r="G144" s="1">
        <v>398021</v>
      </c>
      <c r="H144" s="63">
        <v>45624</v>
      </c>
      <c r="J144" s="1"/>
      <c r="K144" s="1">
        <v>10.7</v>
      </c>
      <c r="L144" s="1" t="s">
        <v>49</v>
      </c>
      <c r="M144" s="1" t="s">
        <v>42</v>
      </c>
      <c r="N144" s="1" t="str">
        <f t="shared" si="2"/>
        <v>Normal</v>
      </c>
    </row>
    <row r="145" spans="1:14" x14ac:dyDescent="0.25">
      <c r="A145" s="1" t="s">
        <v>446</v>
      </c>
      <c r="B145" s="1" t="s">
        <v>84</v>
      </c>
      <c r="C145" s="1" t="s">
        <v>276</v>
      </c>
      <c r="D145" s="1" t="s">
        <v>46</v>
      </c>
      <c r="E145" s="1" t="s">
        <v>72</v>
      </c>
      <c r="F145" s="1" t="s">
        <v>53</v>
      </c>
      <c r="G145" s="1">
        <v>212157</v>
      </c>
      <c r="H145" s="63">
        <v>45611</v>
      </c>
      <c r="J145" s="1"/>
      <c r="K145" s="1">
        <v>4.9000000000000004</v>
      </c>
      <c r="L145" s="1" t="s">
        <v>96</v>
      </c>
      <c r="M145" s="1" t="s">
        <v>42</v>
      </c>
      <c r="N145" s="1" t="str">
        <f t="shared" si="2"/>
        <v>Normal</v>
      </c>
    </row>
    <row r="146" spans="1:14" x14ac:dyDescent="0.25">
      <c r="A146" s="1" t="s">
        <v>448</v>
      </c>
      <c r="B146" s="1" t="s">
        <v>173</v>
      </c>
      <c r="C146" s="1" t="s">
        <v>449</v>
      </c>
      <c r="D146" s="1" t="s">
        <v>67</v>
      </c>
      <c r="E146" s="1" t="s">
        <v>47</v>
      </c>
      <c r="F146" s="1" t="s">
        <v>33</v>
      </c>
      <c r="G146" s="1">
        <v>350606</v>
      </c>
      <c r="H146" s="63">
        <v>45682</v>
      </c>
      <c r="J146" s="1"/>
      <c r="K146" s="1"/>
      <c r="L146" s="1" t="s">
        <v>29</v>
      </c>
      <c r="M146" s="1" t="s">
        <v>63</v>
      </c>
      <c r="N146" s="1" t="str">
        <f t="shared" si="2"/>
        <v>Normal</v>
      </c>
    </row>
    <row r="147" spans="1:14" x14ac:dyDescent="0.25">
      <c r="A147" s="1" t="s">
        <v>451</v>
      </c>
      <c r="B147" s="1" t="s">
        <v>88</v>
      </c>
      <c r="C147" s="1" t="s">
        <v>355</v>
      </c>
      <c r="D147" s="1" t="s">
        <v>39</v>
      </c>
      <c r="E147" s="1" t="s">
        <v>94</v>
      </c>
      <c r="F147" s="1" t="s">
        <v>40</v>
      </c>
      <c r="G147" s="1">
        <v>119505</v>
      </c>
      <c r="H147" s="63">
        <v>45431</v>
      </c>
      <c r="I147" s="63">
        <v>45557</v>
      </c>
      <c r="J147" s="1">
        <v>126</v>
      </c>
      <c r="K147" s="1">
        <v>24.8</v>
      </c>
      <c r="L147" s="1" t="s">
        <v>29</v>
      </c>
      <c r="M147" s="1" t="s">
        <v>107</v>
      </c>
      <c r="N147" s="1" t="str">
        <f t="shared" si="2"/>
        <v>Normal</v>
      </c>
    </row>
    <row r="148" spans="1:14" x14ac:dyDescent="0.25">
      <c r="A148" s="1" t="s">
        <v>453</v>
      </c>
      <c r="B148" s="1" t="s">
        <v>37</v>
      </c>
      <c r="C148" s="1" t="s">
        <v>454</v>
      </c>
      <c r="D148" s="1" t="s">
        <v>25</v>
      </c>
      <c r="E148" s="1" t="s">
        <v>72</v>
      </c>
      <c r="F148" s="1" t="s">
        <v>33</v>
      </c>
      <c r="G148" s="1">
        <v>236631</v>
      </c>
      <c r="H148" s="63">
        <v>45015</v>
      </c>
      <c r="J148" s="1"/>
      <c r="K148" s="1">
        <v>13</v>
      </c>
      <c r="L148" s="1" t="s">
        <v>96</v>
      </c>
      <c r="M148" s="1" t="s">
        <v>35</v>
      </c>
      <c r="N148" s="1" t="str">
        <f t="shared" si="2"/>
        <v>Normal</v>
      </c>
    </row>
    <row r="149" spans="1:14" x14ac:dyDescent="0.25">
      <c r="A149" s="1" t="s">
        <v>456</v>
      </c>
      <c r="B149" s="1" t="s">
        <v>98</v>
      </c>
      <c r="C149" s="1" t="s">
        <v>457</v>
      </c>
      <c r="D149" s="1" t="s">
        <v>90</v>
      </c>
      <c r="E149" s="1" t="s">
        <v>94</v>
      </c>
      <c r="F149" s="1" t="s">
        <v>40</v>
      </c>
      <c r="G149" s="1">
        <v>22565</v>
      </c>
      <c r="H149" s="63">
        <v>45139</v>
      </c>
      <c r="I149" s="63">
        <v>45230</v>
      </c>
      <c r="J149" s="1">
        <v>91</v>
      </c>
      <c r="K149" s="1">
        <v>9.6</v>
      </c>
      <c r="L149" s="1" t="s">
        <v>20</v>
      </c>
      <c r="M149" s="1" t="s">
        <v>102</v>
      </c>
      <c r="N149" s="1" t="str">
        <f t="shared" si="2"/>
        <v>Normal</v>
      </c>
    </row>
    <row r="150" spans="1:14" x14ac:dyDescent="0.25">
      <c r="A150" s="1" t="s">
        <v>459</v>
      </c>
      <c r="B150" s="1" t="s">
        <v>59</v>
      </c>
      <c r="C150" s="1" t="s">
        <v>460</v>
      </c>
      <c r="D150" s="1" t="s">
        <v>25</v>
      </c>
      <c r="E150" s="1" t="s">
        <v>17</v>
      </c>
      <c r="F150" s="1" t="s">
        <v>33</v>
      </c>
      <c r="G150" s="1">
        <v>159178</v>
      </c>
      <c r="H150" s="63">
        <v>45659</v>
      </c>
      <c r="J150" s="1"/>
      <c r="K150" s="1"/>
      <c r="L150" s="1" t="s">
        <v>20</v>
      </c>
      <c r="M150" s="1" t="s">
        <v>63</v>
      </c>
      <c r="N150" s="1" t="str">
        <f t="shared" si="2"/>
        <v>Normal</v>
      </c>
    </row>
    <row r="151" spans="1:14" x14ac:dyDescent="0.25">
      <c r="A151" s="1" t="s">
        <v>462</v>
      </c>
      <c r="B151" s="1" t="s">
        <v>14</v>
      </c>
      <c r="C151" s="1" t="s">
        <v>463</v>
      </c>
      <c r="D151" s="1" t="s">
        <v>39</v>
      </c>
      <c r="E151" s="1" t="s">
        <v>100</v>
      </c>
      <c r="F151" s="1" t="s">
        <v>40</v>
      </c>
      <c r="G151" s="1">
        <v>308386</v>
      </c>
      <c r="H151" s="63">
        <v>45505</v>
      </c>
      <c r="I151" s="63">
        <v>45644</v>
      </c>
      <c r="J151" s="1">
        <v>139</v>
      </c>
      <c r="K151" s="1">
        <v>5.7</v>
      </c>
      <c r="L151" s="1" t="s">
        <v>29</v>
      </c>
      <c r="M151" s="1" t="s">
        <v>149</v>
      </c>
      <c r="N151" s="1" t="str">
        <f t="shared" si="2"/>
        <v>Normal</v>
      </c>
    </row>
    <row r="152" spans="1:14" x14ac:dyDescent="0.25">
      <c r="A152" s="1" t="s">
        <v>465</v>
      </c>
      <c r="B152" s="1" t="s">
        <v>75</v>
      </c>
      <c r="C152" s="1" t="s">
        <v>466</v>
      </c>
      <c r="D152" s="1" t="s">
        <v>16</v>
      </c>
      <c r="E152" s="1" t="s">
        <v>100</v>
      </c>
      <c r="F152" s="1" t="s">
        <v>53</v>
      </c>
      <c r="G152" s="1">
        <v>408867</v>
      </c>
      <c r="H152" s="63">
        <v>45204</v>
      </c>
      <c r="J152" s="1"/>
      <c r="K152" s="1">
        <v>2.2999999999999998</v>
      </c>
      <c r="L152" s="1" t="s">
        <v>96</v>
      </c>
      <c r="M152" s="1" t="s">
        <v>21</v>
      </c>
      <c r="N152" s="1" t="str">
        <f t="shared" si="2"/>
        <v>Normal</v>
      </c>
    </row>
    <row r="153" spans="1:14" x14ac:dyDescent="0.25">
      <c r="A153" s="1" t="s">
        <v>468</v>
      </c>
      <c r="B153" s="1" t="s">
        <v>98</v>
      </c>
      <c r="C153" s="1" t="s">
        <v>60</v>
      </c>
      <c r="D153" s="1" t="s">
        <v>90</v>
      </c>
      <c r="E153" s="1" t="s">
        <v>61</v>
      </c>
      <c r="F153" s="1" t="s">
        <v>53</v>
      </c>
      <c r="G153" s="1">
        <v>284686</v>
      </c>
      <c r="H153" s="63">
        <v>45517</v>
      </c>
      <c r="J153" s="1"/>
      <c r="K153" s="1">
        <v>9.6</v>
      </c>
      <c r="L153" s="1" t="s">
        <v>96</v>
      </c>
      <c r="M153" s="1" t="s">
        <v>149</v>
      </c>
      <c r="N153" s="1" t="str">
        <f t="shared" si="2"/>
        <v>Normal</v>
      </c>
    </row>
    <row r="154" spans="1:14" x14ac:dyDescent="0.25">
      <c r="A154" s="1" t="s">
        <v>470</v>
      </c>
      <c r="B154" s="1" t="s">
        <v>75</v>
      </c>
      <c r="C154" s="1" t="s">
        <v>471</v>
      </c>
      <c r="D154" s="1" t="s">
        <v>67</v>
      </c>
      <c r="E154" s="1" t="s">
        <v>61</v>
      </c>
      <c r="F154" s="1" t="s">
        <v>40</v>
      </c>
      <c r="G154" s="1">
        <v>347300</v>
      </c>
      <c r="H154" s="63">
        <v>45511</v>
      </c>
      <c r="I154" s="63">
        <v>45597</v>
      </c>
      <c r="J154" s="1">
        <v>86</v>
      </c>
      <c r="K154" s="1">
        <v>19.899999999999999</v>
      </c>
      <c r="L154" s="1" t="s">
        <v>49</v>
      </c>
      <c r="M154" s="1" t="s">
        <v>149</v>
      </c>
      <c r="N154" s="1" t="str">
        <f t="shared" si="2"/>
        <v>Normal</v>
      </c>
    </row>
    <row r="155" spans="1:14" x14ac:dyDescent="0.25">
      <c r="A155" s="1" t="s">
        <v>473</v>
      </c>
      <c r="B155" s="1" t="s">
        <v>80</v>
      </c>
      <c r="C155" s="1" t="s">
        <v>474</v>
      </c>
      <c r="D155" s="1" t="s">
        <v>25</v>
      </c>
      <c r="E155" s="1" t="s">
        <v>100</v>
      </c>
      <c r="F155" s="1" t="s">
        <v>129</v>
      </c>
      <c r="G155" s="1">
        <v>208657</v>
      </c>
      <c r="H155" s="63">
        <v>45511</v>
      </c>
      <c r="J155" s="1"/>
      <c r="K155" s="1">
        <v>14.1</v>
      </c>
      <c r="L155" s="1" t="s">
        <v>96</v>
      </c>
      <c r="M155" s="1" t="s">
        <v>149</v>
      </c>
      <c r="N155" s="1" t="str">
        <f t="shared" si="2"/>
        <v>Normal</v>
      </c>
    </row>
    <row r="156" spans="1:14" x14ac:dyDescent="0.25">
      <c r="A156" s="1" t="s">
        <v>475</v>
      </c>
      <c r="B156" s="1" t="s">
        <v>23</v>
      </c>
      <c r="C156" s="1" t="s">
        <v>237</v>
      </c>
      <c r="D156" s="1" t="s">
        <v>16</v>
      </c>
      <c r="E156" s="1" t="s">
        <v>47</v>
      </c>
      <c r="F156" s="1" t="s">
        <v>27</v>
      </c>
      <c r="G156" s="1">
        <v>338265</v>
      </c>
      <c r="H156" s="63">
        <v>45185</v>
      </c>
      <c r="J156" s="1"/>
      <c r="K156" s="1"/>
      <c r="L156" s="1" t="s">
        <v>96</v>
      </c>
      <c r="M156" s="1" t="s">
        <v>102</v>
      </c>
      <c r="N156" s="1" t="str">
        <f t="shared" si="2"/>
        <v>Normal</v>
      </c>
    </row>
    <row r="157" spans="1:14" x14ac:dyDescent="0.25">
      <c r="A157" s="1" t="s">
        <v>477</v>
      </c>
      <c r="B157" s="1" t="s">
        <v>98</v>
      </c>
      <c r="C157" s="1" t="s">
        <v>478</v>
      </c>
      <c r="D157" s="1" t="s">
        <v>25</v>
      </c>
      <c r="E157" s="1" t="s">
        <v>61</v>
      </c>
      <c r="F157" s="1" t="s">
        <v>40</v>
      </c>
      <c r="G157" s="1">
        <v>127549</v>
      </c>
      <c r="H157" s="63">
        <v>45068</v>
      </c>
      <c r="I157" s="63">
        <v>45183</v>
      </c>
      <c r="J157" s="1">
        <v>115</v>
      </c>
      <c r="K157" s="1">
        <v>4</v>
      </c>
      <c r="L157" s="1" t="s">
        <v>29</v>
      </c>
      <c r="M157" s="1" t="s">
        <v>30</v>
      </c>
      <c r="N157" s="1" t="str">
        <f t="shared" si="2"/>
        <v>Normal</v>
      </c>
    </row>
    <row r="158" spans="1:14" x14ac:dyDescent="0.25">
      <c r="A158" s="1" t="s">
        <v>480</v>
      </c>
      <c r="B158" s="1" t="s">
        <v>104</v>
      </c>
      <c r="C158" s="1" t="s">
        <v>387</v>
      </c>
      <c r="D158" s="1" t="s">
        <v>16</v>
      </c>
      <c r="E158" s="1" t="s">
        <v>94</v>
      </c>
      <c r="F158" s="1" t="s">
        <v>40</v>
      </c>
      <c r="G158" s="1">
        <v>468919</v>
      </c>
      <c r="H158" s="63">
        <v>45108</v>
      </c>
      <c r="I158" s="63">
        <v>45159</v>
      </c>
      <c r="J158" s="1">
        <v>51</v>
      </c>
      <c r="K158" s="1">
        <v>10.5</v>
      </c>
      <c r="L158" s="1" t="s">
        <v>29</v>
      </c>
      <c r="M158" s="1" t="s">
        <v>102</v>
      </c>
      <c r="N158" s="1" t="str">
        <f t="shared" si="2"/>
        <v>Normal</v>
      </c>
    </row>
    <row r="159" spans="1:14" x14ac:dyDescent="0.25">
      <c r="A159" s="1" t="s">
        <v>482</v>
      </c>
      <c r="B159" s="1" t="s">
        <v>65</v>
      </c>
      <c r="C159" s="1" t="s">
        <v>483</v>
      </c>
      <c r="D159" s="1" t="s">
        <v>39</v>
      </c>
      <c r="E159" s="1" t="s">
        <v>17</v>
      </c>
      <c r="F159" s="1" t="s">
        <v>129</v>
      </c>
      <c r="G159" s="1">
        <v>448823</v>
      </c>
      <c r="H159" s="63">
        <v>44941</v>
      </c>
      <c r="J159" s="1"/>
      <c r="K159" s="1">
        <v>11</v>
      </c>
      <c r="L159" s="1" t="s">
        <v>29</v>
      </c>
      <c r="M159" s="1" t="s">
        <v>35</v>
      </c>
      <c r="N159" s="1" t="str">
        <f t="shared" si="2"/>
        <v>Normal</v>
      </c>
    </row>
    <row r="160" spans="1:14" x14ac:dyDescent="0.25">
      <c r="A160" s="1" t="s">
        <v>485</v>
      </c>
      <c r="B160" s="1" t="s">
        <v>104</v>
      </c>
      <c r="C160" s="1" t="s">
        <v>486</v>
      </c>
      <c r="D160" s="1" t="s">
        <v>25</v>
      </c>
      <c r="E160" s="1" t="s">
        <v>72</v>
      </c>
      <c r="F160" s="1" t="s">
        <v>33</v>
      </c>
      <c r="G160" s="1">
        <v>448064</v>
      </c>
      <c r="H160" s="63">
        <v>45602</v>
      </c>
      <c r="J160" s="1"/>
      <c r="K160" s="1">
        <v>9.6999999999999993</v>
      </c>
      <c r="L160" s="1" t="s">
        <v>96</v>
      </c>
      <c r="M160" s="1" t="s">
        <v>42</v>
      </c>
      <c r="N160" s="1" t="str">
        <f t="shared" si="2"/>
        <v>Normal</v>
      </c>
    </row>
    <row r="161" spans="1:14" x14ac:dyDescent="0.25">
      <c r="A161" s="1" t="s">
        <v>487</v>
      </c>
      <c r="B161" s="1" t="s">
        <v>80</v>
      </c>
      <c r="C161" s="1" t="s">
        <v>488</v>
      </c>
      <c r="D161" s="1" t="s">
        <v>67</v>
      </c>
      <c r="E161" s="1" t="s">
        <v>61</v>
      </c>
      <c r="F161" s="1" t="s">
        <v>40</v>
      </c>
      <c r="G161" s="1">
        <v>123344</v>
      </c>
      <c r="H161" s="63">
        <v>45018</v>
      </c>
      <c r="I161" s="63">
        <v>45081</v>
      </c>
      <c r="J161" s="1">
        <v>63</v>
      </c>
      <c r="K161" s="1">
        <v>0.9</v>
      </c>
      <c r="L161" s="1" t="s">
        <v>20</v>
      </c>
      <c r="M161" s="1" t="s">
        <v>30</v>
      </c>
      <c r="N161" s="1" t="str">
        <f t="shared" si="2"/>
        <v>Normal</v>
      </c>
    </row>
    <row r="162" spans="1:14" x14ac:dyDescent="0.25">
      <c r="A162" s="1" t="s">
        <v>490</v>
      </c>
      <c r="B162" s="1" t="s">
        <v>127</v>
      </c>
      <c r="C162" s="1" t="s">
        <v>144</v>
      </c>
      <c r="D162" s="1" t="s">
        <v>39</v>
      </c>
      <c r="E162" s="1" t="s">
        <v>17</v>
      </c>
      <c r="F162" s="1" t="s">
        <v>53</v>
      </c>
      <c r="G162" s="1">
        <v>443307</v>
      </c>
      <c r="H162" s="63">
        <v>45228</v>
      </c>
      <c r="J162" s="1"/>
      <c r="K162" s="1"/>
      <c r="L162" s="1" t="s">
        <v>29</v>
      </c>
      <c r="M162" s="1" t="s">
        <v>21</v>
      </c>
      <c r="N162" s="1" t="str">
        <f t="shared" si="2"/>
        <v>Normal</v>
      </c>
    </row>
    <row r="163" spans="1:14" x14ac:dyDescent="0.25">
      <c r="A163" s="1" t="s">
        <v>492</v>
      </c>
      <c r="B163" s="1" t="s">
        <v>127</v>
      </c>
      <c r="C163" s="1" t="s">
        <v>308</v>
      </c>
      <c r="D163" s="1" t="s">
        <v>25</v>
      </c>
      <c r="E163" s="1" t="s">
        <v>100</v>
      </c>
      <c r="F163" s="1" t="s">
        <v>18</v>
      </c>
      <c r="G163" s="1">
        <v>478035</v>
      </c>
      <c r="H163" s="63">
        <v>45218</v>
      </c>
      <c r="I163" s="63">
        <v>45373</v>
      </c>
      <c r="J163" s="1">
        <v>155</v>
      </c>
      <c r="K163" s="1">
        <v>8.5</v>
      </c>
      <c r="L163" s="1" t="s">
        <v>20</v>
      </c>
      <c r="M163" s="1" t="s">
        <v>21</v>
      </c>
      <c r="N163" s="1" t="str">
        <f t="shared" si="2"/>
        <v>Normal</v>
      </c>
    </row>
    <row r="164" spans="1:14" x14ac:dyDescent="0.25">
      <c r="A164" s="1" t="s">
        <v>494</v>
      </c>
      <c r="B164" s="1" t="s">
        <v>14</v>
      </c>
      <c r="C164" s="1" t="s">
        <v>273</v>
      </c>
      <c r="D164" s="1" t="s">
        <v>46</v>
      </c>
      <c r="E164" s="1" t="s">
        <v>94</v>
      </c>
      <c r="F164" s="1" t="s">
        <v>33</v>
      </c>
      <c r="G164" s="1">
        <v>111382</v>
      </c>
      <c r="H164" s="63">
        <v>45285</v>
      </c>
      <c r="J164" s="1"/>
      <c r="K164" s="1">
        <v>1.1000000000000001</v>
      </c>
      <c r="L164" s="1" t="s">
        <v>49</v>
      </c>
      <c r="M164" s="1" t="s">
        <v>21</v>
      </c>
      <c r="N164" s="1" t="str">
        <f t="shared" si="2"/>
        <v>Normal</v>
      </c>
    </row>
    <row r="165" spans="1:14" x14ac:dyDescent="0.25">
      <c r="A165" s="1" t="s">
        <v>496</v>
      </c>
      <c r="B165" s="1" t="s">
        <v>127</v>
      </c>
      <c r="C165" s="1" t="s">
        <v>497</v>
      </c>
      <c r="D165" s="1" t="s">
        <v>16</v>
      </c>
      <c r="E165" s="1" t="s">
        <v>72</v>
      </c>
      <c r="F165" s="1" t="s">
        <v>129</v>
      </c>
      <c r="G165" s="1">
        <v>370073</v>
      </c>
      <c r="H165" s="63">
        <v>45144</v>
      </c>
      <c r="J165" s="1"/>
      <c r="K165" s="1">
        <v>13.7</v>
      </c>
      <c r="L165" s="1" t="s">
        <v>20</v>
      </c>
      <c r="M165" s="1" t="s">
        <v>102</v>
      </c>
      <c r="N165" s="1" t="str">
        <f t="shared" si="2"/>
        <v>Normal</v>
      </c>
    </row>
    <row r="166" spans="1:14" x14ac:dyDescent="0.25">
      <c r="A166" s="1" t="s">
        <v>499</v>
      </c>
      <c r="B166" s="1" t="s">
        <v>127</v>
      </c>
      <c r="C166" s="1" t="s">
        <v>466</v>
      </c>
      <c r="D166" s="1" t="s">
        <v>67</v>
      </c>
      <c r="E166" s="1" t="s">
        <v>94</v>
      </c>
      <c r="F166" s="1" t="s">
        <v>40</v>
      </c>
      <c r="G166" s="1">
        <v>212195</v>
      </c>
      <c r="H166" s="63">
        <v>45363</v>
      </c>
      <c r="I166" s="63">
        <v>45386</v>
      </c>
      <c r="J166" s="1">
        <v>23</v>
      </c>
      <c r="K166" s="1">
        <v>8.3000000000000007</v>
      </c>
      <c r="L166" s="1" t="s">
        <v>96</v>
      </c>
      <c r="M166" s="1" t="s">
        <v>69</v>
      </c>
      <c r="N166" s="1" t="str">
        <f t="shared" si="2"/>
        <v>Normal</v>
      </c>
    </row>
    <row r="167" spans="1:14" x14ac:dyDescent="0.25">
      <c r="A167" s="1" t="s">
        <v>501</v>
      </c>
      <c r="B167" s="1" t="s">
        <v>14</v>
      </c>
      <c r="C167" s="1" t="s">
        <v>502</v>
      </c>
      <c r="D167" s="1" t="s">
        <v>16</v>
      </c>
      <c r="E167" s="1" t="s">
        <v>94</v>
      </c>
      <c r="F167" s="1" t="s">
        <v>40</v>
      </c>
      <c r="G167" s="1">
        <v>289770</v>
      </c>
      <c r="H167" s="63">
        <v>45168</v>
      </c>
      <c r="I167" s="63">
        <v>45257</v>
      </c>
      <c r="J167" s="1">
        <v>89</v>
      </c>
      <c r="K167" s="1">
        <v>6.3</v>
      </c>
      <c r="L167" s="1" t="s">
        <v>96</v>
      </c>
      <c r="M167" s="1" t="s">
        <v>102</v>
      </c>
      <c r="N167" s="1" t="str">
        <f t="shared" si="2"/>
        <v>Normal</v>
      </c>
    </row>
    <row r="168" spans="1:14" x14ac:dyDescent="0.25">
      <c r="A168" s="1" t="s">
        <v>504</v>
      </c>
      <c r="B168" s="1" t="s">
        <v>23</v>
      </c>
      <c r="C168" s="1" t="s">
        <v>505</v>
      </c>
      <c r="D168" s="1" t="s">
        <v>90</v>
      </c>
      <c r="E168" s="1" t="s">
        <v>100</v>
      </c>
      <c r="F168" s="1" t="s">
        <v>33</v>
      </c>
      <c r="G168" s="1">
        <v>181472</v>
      </c>
      <c r="H168" s="63">
        <v>45329</v>
      </c>
      <c r="J168" s="1"/>
      <c r="K168" s="1"/>
      <c r="L168" s="1" t="s">
        <v>96</v>
      </c>
      <c r="M168" s="1" t="s">
        <v>69</v>
      </c>
      <c r="N168" s="1" t="str">
        <f t="shared" si="2"/>
        <v>Normal</v>
      </c>
    </row>
    <row r="169" spans="1:14" x14ac:dyDescent="0.25">
      <c r="A169" s="1" t="s">
        <v>507</v>
      </c>
      <c r="B169" s="1" t="s">
        <v>173</v>
      </c>
      <c r="C169" s="1" t="s">
        <v>71</v>
      </c>
      <c r="D169" s="1" t="s">
        <v>90</v>
      </c>
      <c r="E169" s="1" t="s">
        <v>100</v>
      </c>
      <c r="F169" s="1" t="s">
        <v>129</v>
      </c>
      <c r="G169" s="1">
        <v>406243</v>
      </c>
      <c r="H169" s="63">
        <v>45218</v>
      </c>
      <c r="J169" s="1"/>
      <c r="K169" s="1">
        <v>5</v>
      </c>
      <c r="L169" s="1" t="s">
        <v>96</v>
      </c>
      <c r="M169" s="1" t="s">
        <v>21</v>
      </c>
      <c r="N169" s="1" t="str">
        <f t="shared" si="2"/>
        <v>Normal</v>
      </c>
    </row>
    <row r="170" spans="1:14" x14ac:dyDescent="0.25">
      <c r="A170" s="1" t="s">
        <v>508</v>
      </c>
      <c r="B170" s="1" t="s">
        <v>109</v>
      </c>
      <c r="C170" s="1" t="s">
        <v>430</v>
      </c>
      <c r="D170" s="1" t="s">
        <v>25</v>
      </c>
      <c r="E170" s="1" t="s">
        <v>61</v>
      </c>
      <c r="F170" s="1" t="s">
        <v>33</v>
      </c>
      <c r="G170" s="1">
        <v>267549</v>
      </c>
      <c r="H170" s="63">
        <v>45072</v>
      </c>
      <c r="J170" s="1"/>
      <c r="K170" s="1"/>
      <c r="L170" s="1" t="s">
        <v>20</v>
      </c>
      <c r="M170" s="1" t="s">
        <v>30</v>
      </c>
      <c r="N170" s="1" t="str">
        <f t="shared" si="2"/>
        <v>Normal</v>
      </c>
    </row>
    <row r="171" spans="1:14" x14ac:dyDescent="0.25">
      <c r="A171" s="1" t="s">
        <v>510</v>
      </c>
      <c r="B171" s="1" t="s">
        <v>88</v>
      </c>
      <c r="C171" s="1" t="s">
        <v>483</v>
      </c>
      <c r="D171" s="1" t="s">
        <v>16</v>
      </c>
      <c r="E171" s="1" t="s">
        <v>100</v>
      </c>
      <c r="F171" s="1" t="s">
        <v>53</v>
      </c>
      <c r="G171" s="1">
        <v>36858</v>
      </c>
      <c r="H171" s="63">
        <v>45311</v>
      </c>
      <c r="J171" s="1"/>
      <c r="K171" s="1">
        <v>1.2</v>
      </c>
      <c r="L171" s="1" t="s">
        <v>49</v>
      </c>
      <c r="M171" s="1" t="s">
        <v>69</v>
      </c>
      <c r="N171" s="1" t="str">
        <f t="shared" si="2"/>
        <v>Normal</v>
      </c>
    </row>
    <row r="172" spans="1:14" x14ac:dyDescent="0.25">
      <c r="A172" s="1" t="s">
        <v>512</v>
      </c>
      <c r="B172" s="1" t="s">
        <v>173</v>
      </c>
      <c r="C172" s="1" t="s">
        <v>513</v>
      </c>
      <c r="D172" s="1" t="s">
        <v>39</v>
      </c>
      <c r="E172" s="1" t="s">
        <v>61</v>
      </c>
      <c r="F172" s="1" t="s">
        <v>40</v>
      </c>
      <c r="G172" s="1">
        <v>463596</v>
      </c>
      <c r="H172" s="63">
        <v>45668</v>
      </c>
      <c r="I172" s="63">
        <v>45753</v>
      </c>
      <c r="J172" s="1">
        <v>85</v>
      </c>
      <c r="K172" s="1">
        <v>16</v>
      </c>
      <c r="L172" s="1" t="s">
        <v>49</v>
      </c>
      <c r="M172" s="1" t="s">
        <v>63</v>
      </c>
      <c r="N172" s="1" t="str">
        <f t="shared" si="2"/>
        <v>Normal</v>
      </c>
    </row>
    <row r="173" spans="1:14" x14ac:dyDescent="0.25">
      <c r="A173" s="1" t="s">
        <v>515</v>
      </c>
      <c r="B173" s="1" t="s">
        <v>98</v>
      </c>
      <c r="C173" s="1" t="s">
        <v>105</v>
      </c>
      <c r="D173" s="1" t="s">
        <v>46</v>
      </c>
      <c r="E173" s="1" t="s">
        <v>26</v>
      </c>
      <c r="F173" s="1" t="s">
        <v>33</v>
      </c>
      <c r="G173" s="1">
        <v>1820974</v>
      </c>
      <c r="H173" s="63">
        <v>45379</v>
      </c>
      <c r="J173" s="1"/>
      <c r="K173" s="1"/>
      <c r="L173" s="1" t="s">
        <v>29</v>
      </c>
      <c r="M173" s="1" t="s">
        <v>69</v>
      </c>
      <c r="N173" s="1" t="str">
        <f t="shared" si="2"/>
        <v>High Outlier</v>
      </c>
    </row>
    <row r="174" spans="1:14" x14ac:dyDescent="0.25">
      <c r="A174" s="1" t="s">
        <v>517</v>
      </c>
      <c r="B174" s="1" t="s">
        <v>173</v>
      </c>
      <c r="C174" s="1" t="s">
        <v>518</v>
      </c>
      <c r="D174" s="1" t="s">
        <v>25</v>
      </c>
      <c r="E174" s="1" t="s">
        <v>26</v>
      </c>
      <c r="F174" s="1" t="s">
        <v>40</v>
      </c>
      <c r="G174" s="1">
        <v>394327</v>
      </c>
      <c r="H174" s="63">
        <v>45045</v>
      </c>
      <c r="I174" s="63">
        <v>45104</v>
      </c>
      <c r="J174" s="1">
        <v>59</v>
      </c>
      <c r="K174" s="1">
        <v>4.8</v>
      </c>
      <c r="L174" s="1" t="s">
        <v>96</v>
      </c>
      <c r="M174" s="1" t="s">
        <v>30</v>
      </c>
      <c r="N174" s="1" t="str">
        <f t="shared" si="2"/>
        <v>Normal</v>
      </c>
    </row>
    <row r="175" spans="1:14" x14ac:dyDescent="0.25">
      <c r="A175" s="1" t="s">
        <v>520</v>
      </c>
      <c r="B175" s="1" t="s">
        <v>23</v>
      </c>
      <c r="C175" s="1" t="s">
        <v>521</v>
      </c>
      <c r="D175" s="1" t="s">
        <v>39</v>
      </c>
      <c r="E175" s="1" t="s">
        <v>77</v>
      </c>
      <c r="F175" s="1" t="s">
        <v>40</v>
      </c>
      <c r="G175" s="1">
        <v>48104</v>
      </c>
      <c r="H175" s="63">
        <v>45690</v>
      </c>
      <c r="I175" s="63">
        <v>45759</v>
      </c>
      <c r="J175" s="1">
        <v>69</v>
      </c>
      <c r="K175" s="1">
        <v>4.4000000000000004</v>
      </c>
      <c r="L175" s="1" t="s">
        <v>29</v>
      </c>
      <c r="M175" s="1" t="s">
        <v>63</v>
      </c>
      <c r="N175" s="1" t="str">
        <f t="shared" si="2"/>
        <v>Normal</v>
      </c>
    </row>
    <row r="176" spans="1:14" x14ac:dyDescent="0.25">
      <c r="A176" s="1" t="s">
        <v>523</v>
      </c>
      <c r="B176" s="1" t="s">
        <v>44</v>
      </c>
      <c r="C176" s="1" t="s">
        <v>401</v>
      </c>
      <c r="D176" s="1" t="s">
        <v>90</v>
      </c>
      <c r="E176" s="1" t="s">
        <v>94</v>
      </c>
      <c r="F176" s="1" t="s">
        <v>40</v>
      </c>
      <c r="G176" s="1">
        <v>82177</v>
      </c>
      <c r="H176" s="63">
        <v>45721</v>
      </c>
      <c r="I176" s="63">
        <v>45774</v>
      </c>
      <c r="J176" s="1">
        <v>53</v>
      </c>
      <c r="K176" s="1">
        <v>24.2</v>
      </c>
      <c r="L176" s="1" t="s">
        <v>20</v>
      </c>
      <c r="M176" s="1" t="s">
        <v>63</v>
      </c>
      <c r="N176" s="1" t="str">
        <f t="shared" si="2"/>
        <v>Normal</v>
      </c>
    </row>
    <row r="177" spans="1:14" x14ac:dyDescent="0.25">
      <c r="A177" s="1" t="s">
        <v>525</v>
      </c>
      <c r="B177" s="1" t="s">
        <v>84</v>
      </c>
      <c r="C177" s="1" t="s">
        <v>279</v>
      </c>
      <c r="D177" s="1" t="s">
        <v>39</v>
      </c>
      <c r="E177" s="1" t="s">
        <v>72</v>
      </c>
      <c r="F177" s="1" t="s">
        <v>33</v>
      </c>
      <c r="G177" s="1">
        <v>273191</v>
      </c>
      <c r="H177" s="63">
        <v>44932</v>
      </c>
      <c r="J177" s="1"/>
      <c r="K177" s="1">
        <v>5.8</v>
      </c>
      <c r="L177" s="1" t="s">
        <v>49</v>
      </c>
      <c r="M177" s="1" t="s">
        <v>35</v>
      </c>
      <c r="N177" s="1" t="str">
        <f t="shared" si="2"/>
        <v>Normal</v>
      </c>
    </row>
    <row r="178" spans="1:14" x14ac:dyDescent="0.25">
      <c r="A178" s="1" t="s">
        <v>527</v>
      </c>
      <c r="B178" s="1" t="s">
        <v>84</v>
      </c>
      <c r="C178" s="1" t="s">
        <v>528</v>
      </c>
      <c r="D178" s="1" t="s">
        <v>46</v>
      </c>
      <c r="E178" s="1" t="s">
        <v>100</v>
      </c>
      <c r="F178" s="1" t="s">
        <v>40</v>
      </c>
      <c r="G178" s="1">
        <v>53328</v>
      </c>
      <c r="H178" s="63">
        <v>45716</v>
      </c>
      <c r="I178" s="63">
        <v>45749</v>
      </c>
      <c r="J178" s="1">
        <v>33</v>
      </c>
      <c r="K178" s="1">
        <v>8.3000000000000007</v>
      </c>
      <c r="L178" s="1" t="s">
        <v>29</v>
      </c>
      <c r="M178" s="1" t="s">
        <v>63</v>
      </c>
      <c r="N178" s="1" t="str">
        <f t="shared" si="2"/>
        <v>Normal</v>
      </c>
    </row>
    <row r="179" spans="1:14" x14ac:dyDescent="0.25">
      <c r="A179" s="1" t="s">
        <v>530</v>
      </c>
      <c r="B179" s="1" t="s">
        <v>4829</v>
      </c>
      <c r="C179" s="1" t="s">
        <v>531</v>
      </c>
      <c r="D179" s="1" t="s">
        <v>16</v>
      </c>
      <c r="E179" s="1" t="s">
        <v>94</v>
      </c>
      <c r="F179" s="1" t="s">
        <v>18</v>
      </c>
      <c r="G179" s="1">
        <v>291242</v>
      </c>
      <c r="H179" s="63">
        <v>45038</v>
      </c>
      <c r="I179" s="63">
        <v>45165</v>
      </c>
      <c r="J179" s="1">
        <v>127</v>
      </c>
      <c r="K179" s="1"/>
      <c r="L179" s="1" t="s">
        <v>20</v>
      </c>
      <c r="M179" s="1" t="s">
        <v>30</v>
      </c>
      <c r="N179" s="1" t="str">
        <f t="shared" si="2"/>
        <v>Normal</v>
      </c>
    </row>
    <row r="180" spans="1:14" x14ac:dyDescent="0.25">
      <c r="A180" s="1" t="s">
        <v>533</v>
      </c>
      <c r="B180" s="1" t="s">
        <v>84</v>
      </c>
      <c r="C180" s="1" t="s">
        <v>177</v>
      </c>
      <c r="D180" s="1" t="s">
        <v>67</v>
      </c>
      <c r="E180" s="1" t="s">
        <v>77</v>
      </c>
      <c r="F180" s="1" t="s">
        <v>33</v>
      </c>
      <c r="G180" s="1">
        <v>179270</v>
      </c>
      <c r="H180" s="63">
        <v>45714</v>
      </c>
      <c r="J180" s="1"/>
      <c r="K180" s="1">
        <v>3.1</v>
      </c>
      <c r="L180" s="1" t="s">
        <v>20</v>
      </c>
      <c r="M180" s="1" t="s">
        <v>63</v>
      </c>
      <c r="N180" s="1" t="str">
        <f t="shared" si="2"/>
        <v>Normal</v>
      </c>
    </row>
    <row r="181" spans="1:14" x14ac:dyDescent="0.25">
      <c r="A181" s="1" t="s">
        <v>535</v>
      </c>
      <c r="B181" s="1" t="s">
        <v>109</v>
      </c>
      <c r="C181" s="1" t="s">
        <v>536</v>
      </c>
      <c r="D181" s="1" t="s">
        <v>16</v>
      </c>
      <c r="E181" s="1" t="s">
        <v>61</v>
      </c>
      <c r="F181" s="1" t="s">
        <v>27</v>
      </c>
      <c r="G181" s="1">
        <v>82204</v>
      </c>
      <c r="H181" s="63">
        <v>45217</v>
      </c>
      <c r="J181" s="1"/>
      <c r="K181" s="1">
        <v>11.8</v>
      </c>
      <c r="L181" s="1" t="s">
        <v>29</v>
      </c>
      <c r="M181" s="1" t="s">
        <v>21</v>
      </c>
      <c r="N181" s="1" t="str">
        <f t="shared" si="2"/>
        <v>Normal</v>
      </c>
    </row>
    <row r="182" spans="1:14" x14ac:dyDescent="0.25">
      <c r="A182" s="1" t="s">
        <v>538</v>
      </c>
      <c r="B182" s="1" t="s">
        <v>98</v>
      </c>
      <c r="C182" s="1" t="s">
        <v>539</v>
      </c>
      <c r="D182" s="1" t="s">
        <v>46</v>
      </c>
      <c r="E182" s="1" t="s">
        <v>26</v>
      </c>
      <c r="F182" s="1" t="s">
        <v>40</v>
      </c>
      <c r="G182" s="1">
        <v>26242</v>
      </c>
      <c r="H182" s="63">
        <v>45423</v>
      </c>
      <c r="I182" s="63">
        <v>45547</v>
      </c>
      <c r="J182" s="1">
        <v>124</v>
      </c>
      <c r="K182" s="1">
        <v>23.6</v>
      </c>
      <c r="L182" s="1" t="s">
        <v>96</v>
      </c>
      <c r="M182" s="1" t="s">
        <v>107</v>
      </c>
      <c r="N182" s="1" t="str">
        <f t="shared" si="2"/>
        <v>Normal</v>
      </c>
    </row>
    <row r="183" spans="1:14" x14ac:dyDescent="0.25">
      <c r="A183" s="1" t="s">
        <v>541</v>
      </c>
      <c r="B183" s="1" t="s">
        <v>173</v>
      </c>
      <c r="C183" s="1" t="s">
        <v>144</v>
      </c>
      <c r="D183" s="1" t="s">
        <v>46</v>
      </c>
      <c r="E183" s="1" t="s">
        <v>47</v>
      </c>
      <c r="F183" s="1" t="s">
        <v>40</v>
      </c>
      <c r="G183" s="1">
        <v>388681</v>
      </c>
      <c r="H183" s="63">
        <v>45235</v>
      </c>
      <c r="I183" s="63">
        <v>45275</v>
      </c>
      <c r="J183" s="1">
        <v>40</v>
      </c>
      <c r="K183" s="1">
        <v>22.4</v>
      </c>
      <c r="L183" s="1" t="s">
        <v>20</v>
      </c>
      <c r="M183" s="1" t="s">
        <v>21</v>
      </c>
      <c r="N183" s="1" t="str">
        <f t="shared" si="2"/>
        <v>Normal</v>
      </c>
    </row>
    <row r="184" spans="1:14" x14ac:dyDescent="0.25">
      <c r="A184" s="1" t="s">
        <v>543</v>
      </c>
      <c r="B184" s="1" t="s">
        <v>59</v>
      </c>
      <c r="C184" s="1" t="s">
        <v>544</v>
      </c>
      <c r="D184" s="1" t="s">
        <v>39</v>
      </c>
      <c r="E184" s="1" t="s">
        <v>72</v>
      </c>
      <c r="F184" s="1" t="s">
        <v>18</v>
      </c>
      <c r="G184" s="1">
        <v>438571</v>
      </c>
      <c r="H184" s="63">
        <v>44964</v>
      </c>
      <c r="I184" s="63">
        <v>45069</v>
      </c>
      <c r="J184" s="1">
        <v>105</v>
      </c>
      <c r="K184" s="1"/>
      <c r="L184" s="1" t="s">
        <v>29</v>
      </c>
      <c r="M184" s="1" t="s">
        <v>35</v>
      </c>
      <c r="N184" s="1" t="str">
        <f t="shared" si="2"/>
        <v>Normal</v>
      </c>
    </row>
    <row r="185" spans="1:14" x14ac:dyDescent="0.25">
      <c r="A185" s="1" t="s">
        <v>546</v>
      </c>
      <c r="B185" s="1" t="s">
        <v>23</v>
      </c>
      <c r="C185" s="1" t="s">
        <v>141</v>
      </c>
      <c r="D185" s="1" t="s">
        <v>90</v>
      </c>
      <c r="E185" s="1" t="s">
        <v>26</v>
      </c>
      <c r="F185" s="1" t="s">
        <v>53</v>
      </c>
      <c r="G185" s="1">
        <v>407996</v>
      </c>
      <c r="H185" s="63">
        <v>45575</v>
      </c>
      <c r="J185" s="1"/>
      <c r="K185" s="1">
        <v>13.6</v>
      </c>
      <c r="L185" s="1" t="s">
        <v>49</v>
      </c>
      <c r="M185" s="1" t="s">
        <v>42</v>
      </c>
      <c r="N185" s="1" t="str">
        <f t="shared" si="2"/>
        <v>Normal</v>
      </c>
    </row>
    <row r="186" spans="1:14" x14ac:dyDescent="0.25">
      <c r="A186" s="1" t="s">
        <v>548</v>
      </c>
      <c r="B186" s="1" t="s">
        <v>109</v>
      </c>
      <c r="C186" s="1" t="s">
        <v>539</v>
      </c>
      <c r="D186" s="1" t="s">
        <v>39</v>
      </c>
      <c r="E186" s="1" t="s">
        <v>100</v>
      </c>
      <c r="F186" s="1" t="s">
        <v>18</v>
      </c>
      <c r="G186" s="1">
        <v>377337</v>
      </c>
      <c r="H186" s="63">
        <v>44989</v>
      </c>
      <c r="I186" s="63">
        <v>45044</v>
      </c>
      <c r="J186" s="1">
        <v>55</v>
      </c>
      <c r="K186" s="1"/>
      <c r="L186" s="1" t="s">
        <v>49</v>
      </c>
      <c r="M186" s="1" t="s">
        <v>35</v>
      </c>
      <c r="N186" s="1" t="str">
        <f t="shared" si="2"/>
        <v>Normal</v>
      </c>
    </row>
    <row r="187" spans="1:14" x14ac:dyDescent="0.25">
      <c r="A187" s="1" t="s">
        <v>549</v>
      </c>
      <c r="B187" s="1" t="s">
        <v>98</v>
      </c>
      <c r="C187" s="1" t="s">
        <v>135</v>
      </c>
      <c r="D187" s="1" t="s">
        <v>67</v>
      </c>
      <c r="E187" s="1" t="s">
        <v>72</v>
      </c>
      <c r="F187" s="1" t="s">
        <v>53</v>
      </c>
      <c r="G187" s="1">
        <v>382823</v>
      </c>
      <c r="H187" s="63">
        <v>44988</v>
      </c>
      <c r="J187" s="1"/>
      <c r="K187" s="1"/>
      <c r="L187" s="1" t="s">
        <v>49</v>
      </c>
      <c r="M187" s="1" t="s">
        <v>35</v>
      </c>
      <c r="N187" s="1" t="str">
        <f t="shared" si="2"/>
        <v>Normal</v>
      </c>
    </row>
    <row r="188" spans="1:14" x14ac:dyDescent="0.25">
      <c r="A188" s="1" t="s">
        <v>551</v>
      </c>
      <c r="B188" s="1" t="s">
        <v>173</v>
      </c>
      <c r="C188" s="1" t="s">
        <v>552</v>
      </c>
      <c r="D188" s="1" t="s">
        <v>39</v>
      </c>
      <c r="E188" s="1" t="s">
        <v>72</v>
      </c>
      <c r="F188" s="1" t="s">
        <v>18</v>
      </c>
      <c r="G188" s="1">
        <v>207090</v>
      </c>
      <c r="H188" s="63">
        <v>45156</v>
      </c>
      <c r="I188" s="63">
        <v>45234</v>
      </c>
      <c r="J188" s="1">
        <v>78</v>
      </c>
      <c r="K188" s="1"/>
      <c r="L188" s="1" t="s">
        <v>96</v>
      </c>
      <c r="M188" s="1" t="s">
        <v>102</v>
      </c>
      <c r="N188" s="1" t="str">
        <f t="shared" si="2"/>
        <v>Normal</v>
      </c>
    </row>
    <row r="189" spans="1:14" x14ac:dyDescent="0.25">
      <c r="A189" s="1" t="s">
        <v>554</v>
      </c>
      <c r="B189" s="1" t="s">
        <v>109</v>
      </c>
      <c r="C189" s="1" t="s">
        <v>555</v>
      </c>
      <c r="D189" s="1" t="s">
        <v>39</v>
      </c>
      <c r="E189" s="1" t="s">
        <v>100</v>
      </c>
      <c r="F189" s="1" t="s">
        <v>129</v>
      </c>
      <c r="G189" s="1">
        <v>438585</v>
      </c>
      <c r="H189" s="63">
        <v>45209</v>
      </c>
      <c r="J189" s="1"/>
      <c r="K189" s="1"/>
      <c r="L189" s="1" t="s">
        <v>20</v>
      </c>
      <c r="M189" s="1" t="s">
        <v>21</v>
      </c>
      <c r="N189" s="1" t="str">
        <f t="shared" si="2"/>
        <v>Normal</v>
      </c>
    </row>
    <row r="190" spans="1:14" x14ac:dyDescent="0.25">
      <c r="A190" s="1" t="s">
        <v>557</v>
      </c>
      <c r="B190" s="1" t="s">
        <v>37</v>
      </c>
      <c r="C190" s="1" t="s">
        <v>558</v>
      </c>
      <c r="D190" s="1" t="s">
        <v>67</v>
      </c>
      <c r="E190" s="1" t="s">
        <v>77</v>
      </c>
      <c r="F190" s="1" t="s">
        <v>129</v>
      </c>
      <c r="G190" s="1">
        <v>254971</v>
      </c>
      <c r="H190" s="63">
        <v>45308</v>
      </c>
      <c r="J190" s="1"/>
      <c r="K190" s="1">
        <v>8.5</v>
      </c>
      <c r="L190" s="1" t="s">
        <v>96</v>
      </c>
      <c r="M190" s="1" t="s">
        <v>69</v>
      </c>
      <c r="N190" s="1" t="str">
        <f t="shared" si="2"/>
        <v>Normal</v>
      </c>
    </row>
    <row r="191" spans="1:14" x14ac:dyDescent="0.25">
      <c r="A191" s="1" t="s">
        <v>560</v>
      </c>
      <c r="B191" s="1" t="s">
        <v>173</v>
      </c>
      <c r="C191" s="1" t="s">
        <v>561</v>
      </c>
      <c r="D191" s="1" t="s">
        <v>16</v>
      </c>
      <c r="E191" s="1" t="s">
        <v>26</v>
      </c>
      <c r="F191" s="1" t="s">
        <v>33</v>
      </c>
      <c r="G191" s="1">
        <v>70375</v>
      </c>
      <c r="H191" s="63">
        <v>45443</v>
      </c>
      <c r="J191" s="1"/>
      <c r="K191" s="1">
        <v>9.6999999999999993</v>
      </c>
      <c r="L191" s="1" t="s">
        <v>49</v>
      </c>
      <c r="M191" s="1" t="s">
        <v>107</v>
      </c>
      <c r="N191" s="1" t="str">
        <f t="shared" si="2"/>
        <v>Normal</v>
      </c>
    </row>
    <row r="192" spans="1:14" x14ac:dyDescent="0.25">
      <c r="A192" s="1" t="s">
        <v>563</v>
      </c>
      <c r="B192" s="1" t="s">
        <v>80</v>
      </c>
      <c r="C192" s="1" t="s">
        <v>564</v>
      </c>
      <c r="D192" s="1" t="s">
        <v>90</v>
      </c>
      <c r="E192" s="1" t="s">
        <v>94</v>
      </c>
      <c r="F192" s="1" t="s">
        <v>18</v>
      </c>
      <c r="G192" s="1">
        <v>220483</v>
      </c>
      <c r="H192" s="63">
        <v>44933</v>
      </c>
      <c r="I192" s="63">
        <v>45107</v>
      </c>
      <c r="J192" s="1">
        <v>174</v>
      </c>
      <c r="K192" s="1"/>
      <c r="L192" s="1" t="s">
        <v>20</v>
      </c>
      <c r="M192" s="1" t="s">
        <v>35</v>
      </c>
      <c r="N192" s="1" t="str">
        <f t="shared" si="2"/>
        <v>Normal</v>
      </c>
    </row>
    <row r="193" spans="1:14" x14ac:dyDescent="0.25">
      <c r="A193" s="1" t="s">
        <v>566</v>
      </c>
      <c r="B193" s="1" t="s">
        <v>75</v>
      </c>
      <c r="C193" s="1" t="s">
        <v>449</v>
      </c>
      <c r="D193" s="1" t="s">
        <v>90</v>
      </c>
      <c r="E193" s="1" t="s">
        <v>26</v>
      </c>
      <c r="F193" s="1" t="s">
        <v>18</v>
      </c>
      <c r="G193" s="1">
        <v>96300</v>
      </c>
      <c r="H193" s="63">
        <v>45616</v>
      </c>
      <c r="I193" s="63">
        <v>45780</v>
      </c>
      <c r="J193" s="1">
        <v>164</v>
      </c>
      <c r="K193" s="1"/>
      <c r="L193" s="1" t="s">
        <v>49</v>
      </c>
      <c r="M193" s="1" t="s">
        <v>42</v>
      </c>
      <c r="N193" s="1" t="str">
        <f t="shared" si="2"/>
        <v>Normal</v>
      </c>
    </row>
    <row r="194" spans="1:14" x14ac:dyDescent="0.25">
      <c r="A194" s="1" t="s">
        <v>568</v>
      </c>
      <c r="B194" s="1" t="s">
        <v>104</v>
      </c>
      <c r="C194" s="1" t="s">
        <v>518</v>
      </c>
      <c r="D194" s="1" t="s">
        <v>46</v>
      </c>
      <c r="E194" s="1" t="s">
        <v>47</v>
      </c>
      <c r="F194" s="1" t="s">
        <v>33</v>
      </c>
      <c r="G194" s="1">
        <v>287459</v>
      </c>
      <c r="H194" s="63">
        <v>45051</v>
      </c>
      <c r="J194" s="1"/>
      <c r="K194" s="1">
        <v>10.4</v>
      </c>
      <c r="L194" s="1" t="s">
        <v>96</v>
      </c>
      <c r="M194" s="1" t="s">
        <v>30</v>
      </c>
      <c r="N194" s="1" t="str">
        <f t="shared" ref="N194:N257" si="3">IF(G194&gt;$R$5,"High Outlier",IF(G194&lt;$R$6,"Low Outlier","Normal"))</f>
        <v>Normal</v>
      </c>
    </row>
    <row r="195" spans="1:14" x14ac:dyDescent="0.25">
      <c r="A195" s="1" t="s">
        <v>570</v>
      </c>
      <c r="B195" s="1" t="s">
        <v>37</v>
      </c>
      <c r="C195" s="1" t="s">
        <v>571</v>
      </c>
      <c r="D195" s="1" t="s">
        <v>39</v>
      </c>
      <c r="E195" s="1" t="s">
        <v>72</v>
      </c>
      <c r="F195" s="1" t="s">
        <v>40</v>
      </c>
      <c r="G195" s="1">
        <v>217156</v>
      </c>
      <c r="H195" s="63">
        <v>45692</v>
      </c>
      <c r="I195" s="63">
        <v>45856</v>
      </c>
      <c r="J195" s="1">
        <v>164</v>
      </c>
      <c r="K195" s="1">
        <v>9.1</v>
      </c>
      <c r="L195" s="1" t="s">
        <v>29</v>
      </c>
      <c r="M195" s="1" t="s">
        <v>63</v>
      </c>
      <c r="N195" s="1" t="str">
        <f t="shared" si="3"/>
        <v>Normal</v>
      </c>
    </row>
    <row r="196" spans="1:14" x14ac:dyDescent="0.25">
      <c r="A196" s="1" t="s">
        <v>573</v>
      </c>
      <c r="B196" s="1" t="s">
        <v>84</v>
      </c>
      <c r="C196" s="1" t="s">
        <v>574</v>
      </c>
      <c r="D196" s="1" t="s">
        <v>46</v>
      </c>
      <c r="E196" s="1" t="s">
        <v>47</v>
      </c>
      <c r="F196" s="1" t="s">
        <v>53</v>
      </c>
      <c r="G196" s="1">
        <v>422364</v>
      </c>
      <c r="H196" s="63">
        <v>45151</v>
      </c>
      <c r="J196" s="1"/>
      <c r="K196" s="1"/>
      <c r="L196" s="1" t="s">
        <v>49</v>
      </c>
      <c r="M196" s="1" t="s">
        <v>102</v>
      </c>
      <c r="N196" s="1" t="str">
        <f t="shared" si="3"/>
        <v>Normal</v>
      </c>
    </row>
    <row r="197" spans="1:14" x14ac:dyDescent="0.25">
      <c r="A197" s="1" t="s">
        <v>576</v>
      </c>
      <c r="B197" s="1" t="s">
        <v>98</v>
      </c>
      <c r="C197" s="1" t="s">
        <v>52</v>
      </c>
      <c r="D197" s="1" t="s">
        <v>90</v>
      </c>
      <c r="E197" s="1" t="s">
        <v>100</v>
      </c>
      <c r="F197" s="1" t="s">
        <v>40</v>
      </c>
      <c r="G197" s="1">
        <v>464417</v>
      </c>
      <c r="H197" s="63">
        <v>45275</v>
      </c>
      <c r="I197" s="63">
        <v>45440</v>
      </c>
      <c r="J197" s="1">
        <v>165</v>
      </c>
      <c r="K197" s="1">
        <v>7.8</v>
      </c>
      <c r="L197" s="1" t="s">
        <v>96</v>
      </c>
      <c r="M197" s="1" t="s">
        <v>21</v>
      </c>
      <c r="N197" s="1" t="str">
        <f t="shared" si="3"/>
        <v>Normal</v>
      </c>
    </row>
    <row r="198" spans="1:14" x14ac:dyDescent="0.25">
      <c r="A198" s="1" t="s">
        <v>578</v>
      </c>
      <c r="B198" s="1" t="s">
        <v>80</v>
      </c>
      <c r="C198" s="1" t="s">
        <v>539</v>
      </c>
      <c r="D198" s="1" t="s">
        <v>46</v>
      </c>
      <c r="E198" s="1" t="s">
        <v>77</v>
      </c>
      <c r="F198" s="1" t="s">
        <v>18</v>
      </c>
      <c r="G198" s="1">
        <v>461713</v>
      </c>
      <c r="H198" s="63">
        <v>44997</v>
      </c>
      <c r="I198" s="63">
        <v>45143</v>
      </c>
      <c r="J198" s="1">
        <v>146</v>
      </c>
      <c r="K198" s="1"/>
      <c r="L198" s="1" t="s">
        <v>29</v>
      </c>
      <c r="M198" s="1" t="s">
        <v>35</v>
      </c>
      <c r="N198" s="1" t="str">
        <f t="shared" si="3"/>
        <v>Normal</v>
      </c>
    </row>
    <row r="199" spans="1:14" x14ac:dyDescent="0.25">
      <c r="A199" s="1" t="s">
        <v>580</v>
      </c>
      <c r="B199" s="1" t="s">
        <v>104</v>
      </c>
      <c r="C199" s="1" t="s">
        <v>189</v>
      </c>
      <c r="D199" s="1" t="s">
        <v>39</v>
      </c>
      <c r="E199" s="1" t="s">
        <v>26</v>
      </c>
      <c r="F199" s="1" t="s">
        <v>40</v>
      </c>
      <c r="G199" s="1">
        <v>387265</v>
      </c>
      <c r="H199" s="63">
        <v>45337</v>
      </c>
      <c r="I199" s="63">
        <v>45416</v>
      </c>
      <c r="J199" s="1">
        <v>79</v>
      </c>
      <c r="K199" s="1">
        <v>9.9</v>
      </c>
      <c r="L199" s="1" t="s">
        <v>49</v>
      </c>
      <c r="M199" s="1" t="s">
        <v>69</v>
      </c>
      <c r="N199" s="1" t="str">
        <f t="shared" si="3"/>
        <v>Normal</v>
      </c>
    </row>
    <row r="200" spans="1:14" x14ac:dyDescent="0.25">
      <c r="A200" s="1" t="s">
        <v>582</v>
      </c>
      <c r="B200" s="1" t="s">
        <v>75</v>
      </c>
      <c r="C200" s="1" t="s">
        <v>583</v>
      </c>
      <c r="D200" s="1" t="s">
        <v>16</v>
      </c>
      <c r="E200" s="1" t="s">
        <v>61</v>
      </c>
      <c r="F200" s="1" t="s">
        <v>53</v>
      </c>
      <c r="G200" s="1">
        <v>480423</v>
      </c>
      <c r="H200" s="63">
        <v>44930</v>
      </c>
      <c r="J200" s="1"/>
      <c r="K200" s="1"/>
      <c r="L200" s="1" t="s">
        <v>96</v>
      </c>
      <c r="M200" s="1" t="s">
        <v>35</v>
      </c>
      <c r="N200" s="1" t="str">
        <f t="shared" si="3"/>
        <v>Normal</v>
      </c>
    </row>
    <row r="201" spans="1:14" x14ac:dyDescent="0.25">
      <c r="A201" s="1" t="s">
        <v>584</v>
      </c>
      <c r="B201" s="1" t="s">
        <v>127</v>
      </c>
      <c r="C201" s="1" t="s">
        <v>449</v>
      </c>
      <c r="D201" s="1" t="s">
        <v>16</v>
      </c>
      <c r="E201" s="1" t="s">
        <v>72</v>
      </c>
      <c r="F201" s="1" t="s">
        <v>33</v>
      </c>
      <c r="G201" s="1">
        <v>232183</v>
      </c>
      <c r="H201" s="63">
        <v>45179</v>
      </c>
      <c r="J201" s="1"/>
      <c r="K201" s="1">
        <v>14.4</v>
      </c>
      <c r="L201" s="1" t="s">
        <v>29</v>
      </c>
      <c r="M201" s="1" t="s">
        <v>102</v>
      </c>
      <c r="N201" s="1" t="str">
        <f t="shared" si="3"/>
        <v>Normal</v>
      </c>
    </row>
    <row r="202" spans="1:14" x14ac:dyDescent="0.25">
      <c r="A202" s="1" t="s">
        <v>586</v>
      </c>
      <c r="B202" s="1" t="s">
        <v>23</v>
      </c>
      <c r="C202" s="1" t="s">
        <v>587</v>
      </c>
      <c r="D202" s="1" t="s">
        <v>46</v>
      </c>
      <c r="E202" s="1" t="s">
        <v>61</v>
      </c>
      <c r="F202" s="1" t="s">
        <v>18</v>
      </c>
      <c r="G202" s="1">
        <v>493976</v>
      </c>
      <c r="H202" s="63">
        <v>45553</v>
      </c>
      <c r="I202" s="63">
        <v>45728</v>
      </c>
      <c r="J202" s="1">
        <v>175</v>
      </c>
      <c r="K202" s="1">
        <v>1.3</v>
      </c>
      <c r="L202" s="1" t="s">
        <v>49</v>
      </c>
      <c r="M202" s="1" t="s">
        <v>149</v>
      </c>
      <c r="N202" s="1" t="str">
        <f t="shared" si="3"/>
        <v>Normal</v>
      </c>
    </row>
    <row r="203" spans="1:14" x14ac:dyDescent="0.25">
      <c r="A203" s="1" t="s">
        <v>589</v>
      </c>
      <c r="B203" s="1" t="s">
        <v>65</v>
      </c>
      <c r="C203" s="1" t="s">
        <v>590</v>
      </c>
      <c r="D203" s="1" t="s">
        <v>67</v>
      </c>
      <c r="E203" s="1" t="s">
        <v>100</v>
      </c>
      <c r="F203" s="1" t="s">
        <v>40</v>
      </c>
      <c r="G203" s="1">
        <v>480459</v>
      </c>
      <c r="H203" s="63">
        <v>45071</v>
      </c>
      <c r="I203" s="63">
        <v>45149</v>
      </c>
      <c r="J203" s="1">
        <v>78</v>
      </c>
      <c r="K203" s="1">
        <v>0.2</v>
      </c>
      <c r="L203" s="1" t="s">
        <v>29</v>
      </c>
      <c r="M203" s="1" t="s">
        <v>30</v>
      </c>
      <c r="N203" s="1" t="str">
        <f t="shared" si="3"/>
        <v>Normal</v>
      </c>
    </row>
    <row r="204" spans="1:14" x14ac:dyDescent="0.25">
      <c r="A204" s="1" t="s">
        <v>592</v>
      </c>
      <c r="B204" s="1" t="s">
        <v>173</v>
      </c>
      <c r="C204" s="1" t="s">
        <v>270</v>
      </c>
      <c r="D204" s="1" t="s">
        <v>46</v>
      </c>
      <c r="E204" s="1" t="s">
        <v>26</v>
      </c>
      <c r="F204" s="1" t="s">
        <v>40</v>
      </c>
      <c r="G204" s="1">
        <v>434729</v>
      </c>
      <c r="H204" s="63">
        <v>44950</v>
      </c>
      <c r="I204" s="63">
        <v>45044</v>
      </c>
      <c r="J204" s="1">
        <v>94</v>
      </c>
      <c r="K204" s="1">
        <v>19.7</v>
      </c>
      <c r="L204" s="1" t="s">
        <v>96</v>
      </c>
      <c r="M204" s="1" t="s">
        <v>35</v>
      </c>
      <c r="N204" s="1" t="str">
        <f t="shared" si="3"/>
        <v>Normal</v>
      </c>
    </row>
    <row r="205" spans="1:14" x14ac:dyDescent="0.25">
      <c r="A205" s="1" t="s">
        <v>593</v>
      </c>
      <c r="B205" s="1" t="s">
        <v>80</v>
      </c>
      <c r="C205" s="1" t="s">
        <v>52</v>
      </c>
      <c r="D205" s="1" t="s">
        <v>25</v>
      </c>
      <c r="E205" s="1" t="s">
        <v>47</v>
      </c>
      <c r="F205" s="1" t="s">
        <v>129</v>
      </c>
      <c r="G205" s="1">
        <v>454599</v>
      </c>
      <c r="H205" s="63">
        <v>45031</v>
      </c>
      <c r="J205" s="1"/>
      <c r="K205" s="1"/>
      <c r="L205" s="1" t="s">
        <v>49</v>
      </c>
      <c r="M205" s="1" t="s">
        <v>30</v>
      </c>
      <c r="N205" s="1" t="str">
        <f t="shared" si="3"/>
        <v>Normal</v>
      </c>
    </row>
    <row r="206" spans="1:14" x14ac:dyDescent="0.25">
      <c r="A206" s="1" t="s">
        <v>595</v>
      </c>
      <c r="B206" s="1" t="s">
        <v>109</v>
      </c>
      <c r="C206" s="1" t="s">
        <v>596</v>
      </c>
      <c r="D206" s="1" t="s">
        <v>90</v>
      </c>
      <c r="E206" s="1" t="s">
        <v>26</v>
      </c>
      <c r="F206" s="1" t="s">
        <v>18</v>
      </c>
      <c r="G206" s="1">
        <v>236380</v>
      </c>
      <c r="H206" s="63">
        <v>45594</v>
      </c>
      <c r="I206" s="63">
        <v>45678</v>
      </c>
      <c r="J206" s="1">
        <v>84</v>
      </c>
      <c r="K206" s="1"/>
      <c r="L206" s="1" t="s">
        <v>20</v>
      </c>
      <c r="M206" s="1" t="s">
        <v>42</v>
      </c>
      <c r="N206" s="1" t="str">
        <f t="shared" si="3"/>
        <v>Normal</v>
      </c>
    </row>
    <row r="207" spans="1:14" x14ac:dyDescent="0.25">
      <c r="A207" s="1" t="s">
        <v>597</v>
      </c>
      <c r="B207" s="1" t="s">
        <v>173</v>
      </c>
      <c r="C207" s="1" t="s">
        <v>598</v>
      </c>
      <c r="D207" s="1" t="s">
        <v>16</v>
      </c>
      <c r="E207" s="1" t="s">
        <v>17</v>
      </c>
      <c r="F207" s="1" t="s">
        <v>40</v>
      </c>
      <c r="G207" s="1">
        <v>492788</v>
      </c>
      <c r="H207" s="63">
        <v>45354</v>
      </c>
      <c r="I207" s="63">
        <v>45404</v>
      </c>
      <c r="J207" s="1">
        <v>50</v>
      </c>
      <c r="K207" s="1">
        <v>3.1</v>
      </c>
      <c r="L207" s="1" t="s">
        <v>20</v>
      </c>
      <c r="M207" s="1" t="s">
        <v>69</v>
      </c>
      <c r="N207" s="1" t="str">
        <f t="shared" si="3"/>
        <v>Normal</v>
      </c>
    </row>
    <row r="208" spans="1:14" x14ac:dyDescent="0.25">
      <c r="A208" s="1" t="s">
        <v>600</v>
      </c>
      <c r="B208" s="1" t="s">
        <v>37</v>
      </c>
      <c r="C208" s="1" t="s">
        <v>372</v>
      </c>
      <c r="D208" s="1" t="s">
        <v>90</v>
      </c>
      <c r="E208" s="1" t="s">
        <v>94</v>
      </c>
      <c r="F208" s="1" t="s">
        <v>129</v>
      </c>
      <c r="G208" s="1">
        <v>74160</v>
      </c>
      <c r="H208" s="63">
        <v>45005</v>
      </c>
      <c r="J208" s="1"/>
      <c r="K208" s="1">
        <v>3.8</v>
      </c>
      <c r="L208" s="1" t="s">
        <v>20</v>
      </c>
      <c r="M208" s="1" t="s">
        <v>35</v>
      </c>
      <c r="N208" s="1" t="str">
        <f t="shared" si="3"/>
        <v>Normal</v>
      </c>
    </row>
    <row r="209" spans="1:14" x14ac:dyDescent="0.25">
      <c r="A209" s="1" t="s">
        <v>602</v>
      </c>
      <c r="B209" s="1" t="s">
        <v>59</v>
      </c>
      <c r="C209" s="1" t="s">
        <v>603</v>
      </c>
      <c r="D209" s="1" t="s">
        <v>46</v>
      </c>
      <c r="E209" s="1" t="s">
        <v>94</v>
      </c>
      <c r="F209" s="1" t="s">
        <v>129</v>
      </c>
      <c r="G209" s="1">
        <v>339015</v>
      </c>
      <c r="H209" s="63">
        <v>45433</v>
      </c>
      <c r="J209" s="1"/>
      <c r="K209" s="1">
        <v>14.9</v>
      </c>
      <c r="L209" s="1" t="s">
        <v>29</v>
      </c>
      <c r="M209" s="1" t="s">
        <v>107</v>
      </c>
      <c r="N209" s="1" t="str">
        <f t="shared" si="3"/>
        <v>Normal</v>
      </c>
    </row>
    <row r="210" spans="1:14" x14ac:dyDescent="0.25">
      <c r="A210" s="1" t="s">
        <v>605</v>
      </c>
      <c r="B210" s="1" t="s">
        <v>88</v>
      </c>
      <c r="C210" s="1" t="s">
        <v>261</v>
      </c>
      <c r="D210" s="1" t="s">
        <v>39</v>
      </c>
      <c r="E210" s="1" t="s">
        <v>26</v>
      </c>
      <c r="F210" s="1" t="s">
        <v>40</v>
      </c>
      <c r="G210" s="1">
        <v>309376</v>
      </c>
      <c r="H210" s="63">
        <v>45459</v>
      </c>
      <c r="I210" s="63">
        <v>45506</v>
      </c>
      <c r="J210" s="1">
        <v>47</v>
      </c>
      <c r="K210" s="1">
        <v>18.5</v>
      </c>
      <c r="L210" s="1" t="s">
        <v>96</v>
      </c>
      <c r="M210" s="1" t="s">
        <v>107</v>
      </c>
      <c r="N210" s="1" t="str">
        <f t="shared" si="3"/>
        <v>Normal</v>
      </c>
    </row>
    <row r="211" spans="1:14" x14ac:dyDescent="0.25">
      <c r="A211" s="1" t="s">
        <v>607</v>
      </c>
      <c r="B211" s="1" t="s">
        <v>80</v>
      </c>
      <c r="C211" s="1" t="s">
        <v>358</v>
      </c>
      <c r="D211" s="1" t="s">
        <v>16</v>
      </c>
      <c r="E211" s="1" t="s">
        <v>94</v>
      </c>
      <c r="F211" s="1" t="s">
        <v>40</v>
      </c>
      <c r="G211" s="1">
        <v>280306</v>
      </c>
      <c r="H211" s="63">
        <v>45140</v>
      </c>
      <c r="I211" s="63">
        <v>45299</v>
      </c>
      <c r="J211" s="1">
        <v>159</v>
      </c>
      <c r="K211" s="1">
        <v>24.3</v>
      </c>
      <c r="L211" s="1" t="s">
        <v>49</v>
      </c>
      <c r="M211" s="1" t="s">
        <v>102</v>
      </c>
      <c r="N211" s="1" t="str">
        <f t="shared" si="3"/>
        <v>Normal</v>
      </c>
    </row>
    <row r="212" spans="1:14" x14ac:dyDescent="0.25">
      <c r="A212" s="1" t="s">
        <v>609</v>
      </c>
      <c r="B212" s="1" t="s">
        <v>173</v>
      </c>
      <c r="C212" s="1" t="s">
        <v>433</v>
      </c>
      <c r="D212" s="1" t="s">
        <v>46</v>
      </c>
      <c r="E212" s="1" t="s">
        <v>26</v>
      </c>
      <c r="F212" s="1" t="s">
        <v>40</v>
      </c>
      <c r="G212" s="1">
        <v>426211</v>
      </c>
      <c r="H212" s="63">
        <v>45340</v>
      </c>
      <c r="I212" s="63">
        <v>45422</v>
      </c>
      <c r="J212" s="1">
        <v>82</v>
      </c>
      <c r="K212" s="1">
        <v>18.2</v>
      </c>
      <c r="L212" s="1" t="s">
        <v>49</v>
      </c>
      <c r="M212" s="1" t="s">
        <v>69</v>
      </c>
      <c r="N212" s="1" t="str">
        <f t="shared" si="3"/>
        <v>Normal</v>
      </c>
    </row>
    <row r="213" spans="1:14" x14ac:dyDescent="0.25">
      <c r="A213" s="1" t="s">
        <v>611</v>
      </c>
      <c r="B213" s="1" t="s">
        <v>23</v>
      </c>
      <c r="C213" s="1" t="s">
        <v>295</v>
      </c>
      <c r="D213" s="1" t="s">
        <v>90</v>
      </c>
      <c r="E213" s="1" t="s">
        <v>26</v>
      </c>
      <c r="F213" s="1" t="s">
        <v>33</v>
      </c>
      <c r="G213" s="1">
        <v>110529</v>
      </c>
      <c r="H213" s="63">
        <v>45128</v>
      </c>
      <c r="J213" s="1"/>
      <c r="K213" s="1">
        <v>6.5</v>
      </c>
      <c r="L213" s="1" t="s">
        <v>96</v>
      </c>
      <c r="M213" s="1" t="s">
        <v>102</v>
      </c>
      <c r="N213" s="1" t="str">
        <f t="shared" si="3"/>
        <v>Normal</v>
      </c>
    </row>
    <row r="214" spans="1:14" x14ac:dyDescent="0.25">
      <c r="A214" s="1" t="s">
        <v>613</v>
      </c>
      <c r="B214" s="1" t="s">
        <v>109</v>
      </c>
      <c r="C214" s="1" t="s">
        <v>614</v>
      </c>
      <c r="D214" s="1" t="s">
        <v>39</v>
      </c>
      <c r="E214" s="1" t="s">
        <v>100</v>
      </c>
      <c r="F214" s="1" t="s">
        <v>40</v>
      </c>
      <c r="G214" s="1">
        <v>436814</v>
      </c>
      <c r="H214" s="63">
        <v>45172</v>
      </c>
      <c r="I214" s="63">
        <v>45330</v>
      </c>
      <c r="J214" s="1">
        <v>158</v>
      </c>
      <c r="K214" s="1">
        <v>24</v>
      </c>
      <c r="L214" s="1" t="s">
        <v>49</v>
      </c>
      <c r="M214" s="1" t="s">
        <v>102</v>
      </c>
      <c r="N214" s="1" t="str">
        <f t="shared" si="3"/>
        <v>Normal</v>
      </c>
    </row>
    <row r="215" spans="1:14" x14ac:dyDescent="0.25">
      <c r="A215" s="1" t="s">
        <v>615</v>
      </c>
      <c r="B215" s="1" t="s">
        <v>104</v>
      </c>
      <c r="C215" s="1" t="s">
        <v>616</v>
      </c>
      <c r="D215" s="1" t="s">
        <v>25</v>
      </c>
      <c r="E215" s="1" t="s">
        <v>94</v>
      </c>
      <c r="F215" s="1" t="s">
        <v>33</v>
      </c>
      <c r="G215" s="1">
        <v>296634</v>
      </c>
      <c r="H215" s="63">
        <v>45441</v>
      </c>
      <c r="J215" s="1"/>
      <c r="K215" s="1">
        <v>14.5</v>
      </c>
      <c r="L215" s="1" t="s">
        <v>29</v>
      </c>
      <c r="M215" s="1" t="s">
        <v>107</v>
      </c>
      <c r="N215" s="1" t="str">
        <f t="shared" si="3"/>
        <v>Normal</v>
      </c>
    </row>
    <row r="216" spans="1:14" x14ac:dyDescent="0.25">
      <c r="A216" s="1" t="s">
        <v>618</v>
      </c>
      <c r="B216" s="1" t="s">
        <v>59</v>
      </c>
      <c r="C216" s="1" t="s">
        <v>518</v>
      </c>
      <c r="D216" s="1" t="s">
        <v>46</v>
      </c>
      <c r="E216" s="1" t="s">
        <v>72</v>
      </c>
      <c r="F216" s="1" t="s">
        <v>40</v>
      </c>
      <c r="G216" s="1">
        <v>467671</v>
      </c>
      <c r="H216" s="63">
        <v>44930</v>
      </c>
      <c r="I216" s="63">
        <v>44975</v>
      </c>
      <c r="J216" s="1">
        <v>45</v>
      </c>
      <c r="K216" s="1">
        <v>3.9</v>
      </c>
      <c r="L216" s="1" t="s">
        <v>20</v>
      </c>
      <c r="M216" s="1" t="s">
        <v>35</v>
      </c>
      <c r="N216" s="1" t="str">
        <f t="shared" si="3"/>
        <v>Normal</v>
      </c>
    </row>
    <row r="217" spans="1:14" x14ac:dyDescent="0.25">
      <c r="A217" s="1" t="s">
        <v>619</v>
      </c>
      <c r="B217" s="1" t="s">
        <v>109</v>
      </c>
      <c r="C217" s="1" t="s">
        <v>620</v>
      </c>
      <c r="D217" s="1" t="s">
        <v>90</v>
      </c>
      <c r="E217" s="1" t="s">
        <v>77</v>
      </c>
      <c r="F217" s="1" t="s">
        <v>33</v>
      </c>
      <c r="G217" s="1">
        <v>94981</v>
      </c>
      <c r="H217" s="63">
        <v>45179</v>
      </c>
      <c r="J217" s="1"/>
      <c r="K217" s="1">
        <v>10</v>
      </c>
      <c r="L217" s="1" t="s">
        <v>20</v>
      </c>
      <c r="M217" s="1" t="s">
        <v>102</v>
      </c>
      <c r="N217" s="1" t="str">
        <f t="shared" si="3"/>
        <v>Normal</v>
      </c>
    </row>
    <row r="218" spans="1:14" x14ac:dyDescent="0.25">
      <c r="A218" s="1" t="s">
        <v>621</v>
      </c>
      <c r="B218" s="1" t="s">
        <v>14</v>
      </c>
      <c r="C218" s="1" t="s">
        <v>622</v>
      </c>
      <c r="D218" s="1" t="s">
        <v>67</v>
      </c>
      <c r="E218" s="1" t="s">
        <v>77</v>
      </c>
      <c r="F218" s="1" t="s">
        <v>129</v>
      </c>
      <c r="G218" s="1">
        <v>310933</v>
      </c>
      <c r="H218" s="63">
        <v>45378</v>
      </c>
      <c r="J218" s="1"/>
      <c r="K218" s="1">
        <v>10.6</v>
      </c>
      <c r="L218" s="1" t="s">
        <v>29</v>
      </c>
      <c r="M218" s="1" t="s">
        <v>69</v>
      </c>
      <c r="N218" s="1" t="str">
        <f t="shared" si="3"/>
        <v>Normal</v>
      </c>
    </row>
    <row r="219" spans="1:14" x14ac:dyDescent="0.25">
      <c r="A219" s="1" t="s">
        <v>624</v>
      </c>
      <c r="B219" s="1" t="s">
        <v>14</v>
      </c>
      <c r="C219" s="1" t="s">
        <v>625</v>
      </c>
      <c r="D219" s="1" t="s">
        <v>46</v>
      </c>
      <c r="E219" s="1" t="s">
        <v>100</v>
      </c>
      <c r="F219" s="1" t="s">
        <v>53</v>
      </c>
      <c r="G219" s="1">
        <v>16326</v>
      </c>
      <c r="H219" s="63">
        <v>45665</v>
      </c>
      <c r="J219" s="1"/>
      <c r="K219" s="1">
        <v>7.6</v>
      </c>
      <c r="L219" s="1" t="s">
        <v>20</v>
      </c>
      <c r="M219" s="1" t="s">
        <v>63</v>
      </c>
      <c r="N219" s="1" t="str">
        <f t="shared" si="3"/>
        <v>Normal</v>
      </c>
    </row>
    <row r="220" spans="1:14" x14ac:dyDescent="0.25">
      <c r="A220" s="1" t="s">
        <v>627</v>
      </c>
      <c r="B220" s="1" t="s">
        <v>109</v>
      </c>
      <c r="C220" s="1" t="s">
        <v>442</v>
      </c>
      <c r="D220" s="1" t="s">
        <v>67</v>
      </c>
      <c r="E220" s="1" t="s">
        <v>100</v>
      </c>
      <c r="F220" s="1" t="s">
        <v>18</v>
      </c>
      <c r="G220" s="1">
        <v>198085</v>
      </c>
      <c r="H220" s="63">
        <v>45473</v>
      </c>
      <c r="I220" s="63">
        <v>45617</v>
      </c>
      <c r="J220" s="1">
        <v>144</v>
      </c>
      <c r="K220" s="1">
        <v>11.4</v>
      </c>
      <c r="L220" s="1" t="s">
        <v>20</v>
      </c>
      <c r="M220" s="1" t="s">
        <v>107</v>
      </c>
      <c r="N220" s="1" t="str">
        <f t="shared" si="3"/>
        <v>Normal</v>
      </c>
    </row>
    <row r="221" spans="1:14" x14ac:dyDescent="0.25">
      <c r="A221" s="1" t="s">
        <v>629</v>
      </c>
      <c r="B221" s="1" t="s">
        <v>59</v>
      </c>
      <c r="C221" s="1" t="s">
        <v>298</v>
      </c>
      <c r="D221" s="1" t="s">
        <v>90</v>
      </c>
      <c r="E221" s="1" t="s">
        <v>100</v>
      </c>
      <c r="F221" s="1" t="s">
        <v>27</v>
      </c>
      <c r="G221" s="1">
        <v>453079</v>
      </c>
      <c r="H221" s="63">
        <v>45339</v>
      </c>
      <c r="J221" s="1"/>
      <c r="K221" s="1">
        <v>10.1</v>
      </c>
      <c r="L221" s="1" t="s">
        <v>20</v>
      </c>
      <c r="M221" s="1" t="s">
        <v>69</v>
      </c>
      <c r="N221" s="1" t="str">
        <f t="shared" si="3"/>
        <v>Normal</v>
      </c>
    </row>
    <row r="222" spans="1:14" x14ac:dyDescent="0.25">
      <c r="A222" s="1" t="s">
        <v>631</v>
      </c>
      <c r="B222" s="1" t="s">
        <v>65</v>
      </c>
      <c r="C222" s="1" t="s">
        <v>224</v>
      </c>
      <c r="D222" s="1" t="s">
        <v>46</v>
      </c>
      <c r="E222" s="1" t="s">
        <v>47</v>
      </c>
      <c r="F222" s="1" t="s">
        <v>40</v>
      </c>
      <c r="G222" s="1">
        <v>88112</v>
      </c>
      <c r="H222" s="63">
        <v>45618</v>
      </c>
      <c r="I222" s="63">
        <v>45730</v>
      </c>
      <c r="J222" s="1">
        <v>112</v>
      </c>
      <c r="K222" s="1">
        <v>20.2</v>
      </c>
      <c r="L222" s="1" t="s">
        <v>49</v>
      </c>
      <c r="M222" s="1" t="s">
        <v>42</v>
      </c>
      <c r="N222" s="1" t="str">
        <f t="shared" si="3"/>
        <v>Normal</v>
      </c>
    </row>
    <row r="223" spans="1:14" x14ac:dyDescent="0.25">
      <c r="A223" s="1" t="s">
        <v>633</v>
      </c>
      <c r="B223" s="1" t="s">
        <v>23</v>
      </c>
      <c r="C223" s="1" t="s">
        <v>132</v>
      </c>
      <c r="D223" s="1" t="s">
        <v>46</v>
      </c>
      <c r="E223" s="1" t="s">
        <v>61</v>
      </c>
      <c r="F223" s="1" t="s">
        <v>129</v>
      </c>
      <c r="G223" s="1">
        <v>93684</v>
      </c>
      <c r="H223" s="63">
        <v>45354</v>
      </c>
      <c r="J223" s="1"/>
      <c r="K223" s="1"/>
      <c r="L223" s="1" t="s">
        <v>29</v>
      </c>
      <c r="M223" s="1" t="s">
        <v>69</v>
      </c>
      <c r="N223" s="1" t="str">
        <f t="shared" si="3"/>
        <v>Normal</v>
      </c>
    </row>
    <row r="224" spans="1:14" x14ac:dyDescent="0.25">
      <c r="A224" s="1" t="s">
        <v>634</v>
      </c>
      <c r="B224" s="1" t="s">
        <v>80</v>
      </c>
      <c r="C224" s="1" t="s">
        <v>635</v>
      </c>
      <c r="D224" s="1" t="s">
        <v>46</v>
      </c>
      <c r="E224" s="1" t="s">
        <v>47</v>
      </c>
      <c r="F224" s="1" t="s">
        <v>53</v>
      </c>
      <c r="G224" s="1">
        <v>213109</v>
      </c>
      <c r="H224" s="63">
        <v>45142</v>
      </c>
      <c r="J224" s="1"/>
      <c r="K224" s="1">
        <v>4.4000000000000004</v>
      </c>
      <c r="L224" s="1" t="s">
        <v>96</v>
      </c>
      <c r="M224" s="1" t="s">
        <v>102</v>
      </c>
      <c r="N224" s="1" t="str">
        <f t="shared" si="3"/>
        <v>Normal</v>
      </c>
    </row>
    <row r="225" spans="1:14" x14ac:dyDescent="0.25">
      <c r="A225" s="1" t="s">
        <v>636</v>
      </c>
      <c r="B225" s="1" t="s">
        <v>44</v>
      </c>
      <c r="C225" s="1" t="s">
        <v>637</v>
      </c>
      <c r="D225" s="1" t="s">
        <v>90</v>
      </c>
      <c r="E225" s="1" t="s">
        <v>61</v>
      </c>
      <c r="F225" s="1" t="s">
        <v>40</v>
      </c>
      <c r="G225" s="1">
        <v>172067</v>
      </c>
      <c r="H225" s="63">
        <v>45133</v>
      </c>
      <c r="I225" s="63">
        <v>45311</v>
      </c>
      <c r="J225" s="1">
        <v>178</v>
      </c>
      <c r="K225" s="1">
        <v>6</v>
      </c>
      <c r="L225" s="1" t="s">
        <v>96</v>
      </c>
      <c r="M225" s="1" t="s">
        <v>102</v>
      </c>
      <c r="N225" s="1" t="str">
        <f t="shared" si="3"/>
        <v>Normal</v>
      </c>
    </row>
    <row r="226" spans="1:14" x14ac:dyDescent="0.25">
      <c r="A226" s="1" t="s">
        <v>639</v>
      </c>
      <c r="B226" s="1" t="s">
        <v>173</v>
      </c>
      <c r="C226" s="1" t="s">
        <v>640</v>
      </c>
      <c r="D226" s="1" t="s">
        <v>46</v>
      </c>
      <c r="E226" s="1" t="s">
        <v>47</v>
      </c>
      <c r="F226" s="1" t="s">
        <v>33</v>
      </c>
      <c r="G226" s="1">
        <v>319005</v>
      </c>
      <c r="H226" s="63">
        <v>45616</v>
      </c>
      <c r="J226" s="1"/>
      <c r="K226" s="1"/>
      <c r="L226" s="1" t="s">
        <v>49</v>
      </c>
      <c r="M226" s="1" t="s">
        <v>42</v>
      </c>
      <c r="N226" s="1" t="str">
        <f t="shared" si="3"/>
        <v>Normal</v>
      </c>
    </row>
    <row r="227" spans="1:14" x14ac:dyDescent="0.25">
      <c r="A227" s="1" t="s">
        <v>641</v>
      </c>
      <c r="B227" s="1" t="s">
        <v>84</v>
      </c>
      <c r="C227" s="1" t="s">
        <v>415</v>
      </c>
      <c r="D227" s="1" t="s">
        <v>46</v>
      </c>
      <c r="E227" s="1" t="s">
        <v>61</v>
      </c>
      <c r="F227" s="1" t="s">
        <v>33</v>
      </c>
      <c r="G227" s="1">
        <v>202243</v>
      </c>
      <c r="H227" s="63">
        <v>45367</v>
      </c>
      <c r="J227" s="1"/>
      <c r="K227" s="1">
        <v>0.3</v>
      </c>
      <c r="L227" s="1" t="s">
        <v>49</v>
      </c>
      <c r="M227" s="1" t="s">
        <v>69</v>
      </c>
      <c r="N227" s="1" t="str">
        <f t="shared" si="3"/>
        <v>Normal</v>
      </c>
    </row>
    <row r="228" spans="1:14" x14ac:dyDescent="0.25">
      <c r="A228" s="1" t="s">
        <v>643</v>
      </c>
      <c r="B228" s="1" t="s">
        <v>173</v>
      </c>
      <c r="C228" s="1" t="s">
        <v>644</v>
      </c>
      <c r="D228" s="1" t="s">
        <v>39</v>
      </c>
      <c r="E228" s="1" t="s">
        <v>47</v>
      </c>
      <c r="F228" s="1" t="s">
        <v>33</v>
      </c>
      <c r="G228" s="1">
        <v>318443</v>
      </c>
      <c r="H228" s="63">
        <v>44966</v>
      </c>
      <c r="J228" s="1"/>
      <c r="K228" s="1"/>
      <c r="L228" s="1" t="s">
        <v>29</v>
      </c>
      <c r="M228" s="1" t="s">
        <v>35</v>
      </c>
      <c r="N228" s="1" t="str">
        <f t="shared" si="3"/>
        <v>Normal</v>
      </c>
    </row>
    <row r="229" spans="1:14" x14ac:dyDescent="0.25">
      <c r="A229" s="1" t="s">
        <v>646</v>
      </c>
      <c r="B229" s="1" t="s">
        <v>88</v>
      </c>
      <c r="C229" s="1" t="s">
        <v>144</v>
      </c>
      <c r="D229" s="1" t="s">
        <v>46</v>
      </c>
      <c r="E229" s="1" t="s">
        <v>47</v>
      </c>
      <c r="F229" s="1" t="s">
        <v>40</v>
      </c>
      <c r="G229" s="1">
        <v>872105</v>
      </c>
      <c r="H229" s="63">
        <v>45632</v>
      </c>
      <c r="I229" s="63">
        <v>45683</v>
      </c>
      <c r="J229" s="1">
        <v>51</v>
      </c>
      <c r="K229" s="1">
        <v>9.8000000000000007</v>
      </c>
      <c r="L229" s="1" t="s">
        <v>96</v>
      </c>
      <c r="M229" s="1" t="s">
        <v>42</v>
      </c>
      <c r="N229" s="1" t="str">
        <f t="shared" si="3"/>
        <v>Normal</v>
      </c>
    </row>
    <row r="230" spans="1:14" x14ac:dyDescent="0.25">
      <c r="A230" s="1" t="s">
        <v>648</v>
      </c>
      <c r="B230" s="1" t="s">
        <v>44</v>
      </c>
      <c r="C230" s="1" t="s">
        <v>497</v>
      </c>
      <c r="D230" s="1" t="s">
        <v>90</v>
      </c>
      <c r="E230" s="1" t="s">
        <v>72</v>
      </c>
      <c r="F230" s="1" t="s">
        <v>18</v>
      </c>
      <c r="G230" s="1">
        <v>303608</v>
      </c>
      <c r="H230" s="63">
        <v>45491</v>
      </c>
      <c r="I230" s="63">
        <v>45590</v>
      </c>
      <c r="J230" s="1">
        <v>99</v>
      </c>
      <c r="K230" s="1">
        <v>1.7</v>
      </c>
      <c r="L230" s="1" t="s">
        <v>96</v>
      </c>
      <c r="M230" s="1" t="s">
        <v>149</v>
      </c>
      <c r="N230" s="1" t="str">
        <f t="shared" si="3"/>
        <v>Normal</v>
      </c>
    </row>
    <row r="231" spans="1:14" x14ac:dyDescent="0.25">
      <c r="A231" s="1" t="s">
        <v>649</v>
      </c>
      <c r="B231" s="1" t="s">
        <v>23</v>
      </c>
      <c r="C231" s="1" t="s">
        <v>650</v>
      </c>
      <c r="D231" s="1" t="s">
        <v>67</v>
      </c>
      <c r="E231" s="1" t="s">
        <v>17</v>
      </c>
      <c r="F231" s="1" t="s">
        <v>53</v>
      </c>
      <c r="G231" s="1">
        <v>419456</v>
      </c>
      <c r="H231" s="63">
        <v>45712</v>
      </c>
      <c r="J231" s="1"/>
      <c r="K231" s="1">
        <v>3.4</v>
      </c>
      <c r="L231" s="1" t="s">
        <v>20</v>
      </c>
      <c r="M231" s="1" t="s">
        <v>63</v>
      </c>
      <c r="N231" s="1" t="str">
        <f t="shared" si="3"/>
        <v>Normal</v>
      </c>
    </row>
    <row r="232" spans="1:14" x14ac:dyDescent="0.25">
      <c r="A232" s="1" t="s">
        <v>652</v>
      </c>
      <c r="B232" s="1" t="s">
        <v>44</v>
      </c>
      <c r="C232" s="1" t="s">
        <v>308</v>
      </c>
      <c r="D232" s="1" t="s">
        <v>16</v>
      </c>
      <c r="E232" s="1" t="s">
        <v>100</v>
      </c>
      <c r="F232" s="1" t="s">
        <v>129</v>
      </c>
      <c r="G232" s="1">
        <v>268888</v>
      </c>
      <c r="H232" s="63">
        <v>45404</v>
      </c>
      <c r="J232" s="1"/>
      <c r="K232" s="1"/>
      <c r="L232" s="1" t="s">
        <v>20</v>
      </c>
      <c r="M232" s="1" t="s">
        <v>107</v>
      </c>
      <c r="N232" s="1" t="str">
        <f t="shared" si="3"/>
        <v>Normal</v>
      </c>
    </row>
    <row r="233" spans="1:14" x14ac:dyDescent="0.25">
      <c r="A233" s="1" t="s">
        <v>653</v>
      </c>
      <c r="B233" s="1" t="s">
        <v>84</v>
      </c>
      <c r="C233" s="1" t="s">
        <v>654</v>
      </c>
      <c r="D233" s="1" t="s">
        <v>90</v>
      </c>
      <c r="E233" s="1" t="s">
        <v>61</v>
      </c>
      <c r="F233" s="1" t="s">
        <v>53</v>
      </c>
      <c r="G233" s="1">
        <v>199584</v>
      </c>
      <c r="H233" s="63">
        <v>45591</v>
      </c>
      <c r="J233" s="1"/>
      <c r="K233" s="1"/>
      <c r="L233" s="1" t="s">
        <v>20</v>
      </c>
      <c r="M233" s="1" t="s">
        <v>42</v>
      </c>
      <c r="N233" s="1" t="str">
        <f t="shared" si="3"/>
        <v>Normal</v>
      </c>
    </row>
    <row r="234" spans="1:14" x14ac:dyDescent="0.25">
      <c r="A234" s="1" t="s">
        <v>656</v>
      </c>
      <c r="B234" s="1" t="s">
        <v>75</v>
      </c>
      <c r="C234" s="1" t="s">
        <v>135</v>
      </c>
      <c r="D234" s="1" t="s">
        <v>67</v>
      </c>
      <c r="E234" s="1" t="s">
        <v>26</v>
      </c>
      <c r="F234" s="1" t="s">
        <v>129</v>
      </c>
      <c r="G234" s="1">
        <v>460736</v>
      </c>
      <c r="H234" s="63">
        <v>45075</v>
      </c>
      <c r="J234" s="1"/>
      <c r="K234" s="1">
        <v>9</v>
      </c>
      <c r="L234" s="1" t="s">
        <v>29</v>
      </c>
      <c r="M234" s="1" t="s">
        <v>30</v>
      </c>
      <c r="N234" s="1" t="str">
        <f t="shared" si="3"/>
        <v>Normal</v>
      </c>
    </row>
    <row r="235" spans="1:14" x14ac:dyDescent="0.25">
      <c r="A235" s="1" t="s">
        <v>657</v>
      </c>
      <c r="B235" s="1" t="s">
        <v>80</v>
      </c>
      <c r="C235" s="1" t="s">
        <v>313</v>
      </c>
      <c r="D235" s="1" t="s">
        <v>46</v>
      </c>
      <c r="E235" s="1" t="s">
        <v>100</v>
      </c>
      <c r="F235" s="1" t="s">
        <v>18</v>
      </c>
      <c r="G235" s="1">
        <v>182325</v>
      </c>
      <c r="H235" s="63">
        <v>45713</v>
      </c>
      <c r="I235" s="63">
        <v>45820</v>
      </c>
      <c r="J235" s="1">
        <v>107</v>
      </c>
      <c r="K235" s="1">
        <v>4.7</v>
      </c>
      <c r="L235" s="1" t="s">
        <v>29</v>
      </c>
      <c r="M235" s="1" t="s">
        <v>63</v>
      </c>
      <c r="N235" s="1" t="str">
        <f t="shared" si="3"/>
        <v>Normal</v>
      </c>
    </row>
    <row r="236" spans="1:14" x14ac:dyDescent="0.25">
      <c r="A236" s="1" t="s">
        <v>659</v>
      </c>
      <c r="B236" s="1" t="s">
        <v>109</v>
      </c>
      <c r="C236" s="1" t="s">
        <v>603</v>
      </c>
      <c r="D236" s="1" t="s">
        <v>25</v>
      </c>
      <c r="E236" s="1" t="s">
        <v>100</v>
      </c>
      <c r="F236" s="1" t="s">
        <v>33</v>
      </c>
      <c r="G236" s="1">
        <v>32800</v>
      </c>
      <c r="H236" s="63">
        <v>45557</v>
      </c>
      <c r="J236" s="1"/>
      <c r="K236" s="1"/>
      <c r="L236" s="1" t="s">
        <v>20</v>
      </c>
      <c r="M236" s="1" t="s">
        <v>149</v>
      </c>
      <c r="N236" s="1" t="str">
        <f t="shared" si="3"/>
        <v>Normal</v>
      </c>
    </row>
    <row r="237" spans="1:14" x14ac:dyDescent="0.25">
      <c r="A237" s="1" t="s">
        <v>661</v>
      </c>
      <c r="B237" s="1" t="s">
        <v>173</v>
      </c>
      <c r="C237" s="1" t="s">
        <v>662</v>
      </c>
      <c r="D237" s="1" t="s">
        <v>67</v>
      </c>
      <c r="E237" s="1" t="s">
        <v>61</v>
      </c>
      <c r="F237" s="1" t="s">
        <v>40</v>
      </c>
      <c r="G237" s="1">
        <v>294005</v>
      </c>
      <c r="H237" s="63">
        <v>45082</v>
      </c>
      <c r="I237" s="63">
        <v>45121</v>
      </c>
      <c r="J237" s="1">
        <v>39</v>
      </c>
      <c r="K237" s="1">
        <v>19.8</v>
      </c>
      <c r="L237" s="1" t="s">
        <v>29</v>
      </c>
      <c r="M237" s="1" t="s">
        <v>30</v>
      </c>
      <c r="N237" s="1" t="str">
        <f t="shared" si="3"/>
        <v>Normal</v>
      </c>
    </row>
    <row r="238" spans="1:14" x14ac:dyDescent="0.25">
      <c r="A238" s="1" t="s">
        <v>664</v>
      </c>
      <c r="B238" s="1" t="s">
        <v>23</v>
      </c>
      <c r="C238" s="1" t="s">
        <v>372</v>
      </c>
      <c r="D238" s="1" t="s">
        <v>39</v>
      </c>
      <c r="E238" s="1" t="s">
        <v>100</v>
      </c>
      <c r="F238" s="1" t="s">
        <v>53</v>
      </c>
      <c r="G238" s="1">
        <v>285629</v>
      </c>
      <c r="H238" s="63">
        <v>45289</v>
      </c>
      <c r="J238" s="1"/>
      <c r="K238" s="1">
        <v>0.2</v>
      </c>
      <c r="L238" s="1" t="s">
        <v>29</v>
      </c>
      <c r="M238" s="1" t="s">
        <v>21</v>
      </c>
      <c r="N238" s="1" t="str">
        <f t="shared" si="3"/>
        <v>Normal</v>
      </c>
    </row>
    <row r="239" spans="1:14" x14ac:dyDescent="0.25">
      <c r="A239" s="1" t="s">
        <v>666</v>
      </c>
      <c r="B239" s="1" t="s">
        <v>88</v>
      </c>
      <c r="C239" s="1" t="s">
        <v>667</v>
      </c>
      <c r="D239" s="1" t="s">
        <v>90</v>
      </c>
      <c r="E239" s="1" t="s">
        <v>17</v>
      </c>
      <c r="F239" s="1" t="s">
        <v>40</v>
      </c>
      <c r="G239" s="1">
        <v>348997</v>
      </c>
      <c r="H239" s="63">
        <v>45397</v>
      </c>
      <c r="I239" s="63">
        <v>45428</v>
      </c>
      <c r="J239" s="1">
        <v>31</v>
      </c>
      <c r="K239" s="1">
        <v>10.1</v>
      </c>
      <c r="L239" s="1" t="s">
        <v>29</v>
      </c>
      <c r="M239" s="1" t="s">
        <v>107</v>
      </c>
      <c r="N239" s="1" t="str">
        <f t="shared" si="3"/>
        <v>Normal</v>
      </c>
    </row>
    <row r="240" spans="1:14" x14ac:dyDescent="0.25">
      <c r="A240" s="1" t="s">
        <v>669</v>
      </c>
      <c r="B240" s="1" t="s">
        <v>23</v>
      </c>
      <c r="C240" s="1" t="s">
        <v>295</v>
      </c>
      <c r="D240" s="1" t="s">
        <v>90</v>
      </c>
      <c r="E240" s="1" t="s">
        <v>26</v>
      </c>
      <c r="F240" s="1" t="s">
        <v>53</v>
      </c>
      <c r="G240" s="1">
        <v>268643</v>
      </c>
      <c r="H240" s="63">
        <v>44980</v>
      </c>
      <c r="J240" s="1"/>
      <c r="K240" s="1">
        <v>4.7</v>
      </c>
      <c r="L240" s="1" t="s">
        <v>96</v>
      </c>
      <c r="M240" s="1" t="s">
        <v>35</v>
      </c>
      <c r="N240" s="1" t="str">
        <f t="shared" si="3"/>
        <v>Normal</v>
      </c>
    </row>
    <row r="241" spans="1:14" x14ac:dyDescent="0.25">
      <c r="A241" s="1" t="s">
        <v>671</v>
      </c>
      <c r="B241" s="1" t="s">
        <v>80</v>
      </c>
      <c r="C241" s="1" t="s">
        <v>99</v>
      </c>
      <c r="D241" s="1" t="s">
        <v>46</v>
      </c>
      <c r="E241" s="1" t="s">
        <v>72</v>
      </c>
      <c r="F241" s="1" t="s">
        <v>18</v>
      </c>
      <c r="G241" s="1">
        <v>230636</v>
      </c>
      <c r="H241" s="63">
        <v>45146</v>
      </c>
      <c r="I241" s="63">
        <v>45240</v>
      </c>
      <c r="J241" s="1">
        <v>94</v>
      </c>
      <c r="K241" s="1">
        <v>2.5</v>
      </c>
      <c r="L241" s="1" t="s">
        <v>20</v>
      </c>
      <c r="M241" s="1" t="s">
        <v>102</v>
      </c>
      <c r="N241" s="1" t="str">
        <f t="shared" si="3"/>
        <v>Normal</v>
      </c>
    </row>
    <row r="242" spans="1:14" x14ac:dyDescent="0.25">
      <c r="A242" s="1" t="s">
        <v>673</v>
      </c>
      <c r="B242" s="1" t="s">
        <v>59</v>
      </c>
      <c r="C242" s="1" t="s">
        <v>436</v>
      </c>
      <c r="D242" s="1" t="s">
        <v>16</v>
      </c>
      <c r="E242" s="1" t="s">
        <v>47</v>
      </c>
      <c r="F242" s="1" t="s">
        <v>18</v>
      </c>
      <c r="G242" s="1">
        <v>55605</v>
      </c>
      <c r="H242" s="63">
        <v>44992</v>
      </c>
      <c r="I242" s="63">
        <v>45169</v>
      </c>
      <c r="J242" s="1">
        <v>177</v>
      </c>
      <c r="K242" s="1">
        <v>7.9</v>
      </c>
      <c r="L242" s="1" t="s">
        <v>29</v>
      </c>
      <c r="M242" s="1" t="s">
        <v>35</v>
      </c>
      <c r="N242" s="1" t="str">
        <f t="shared" si="3"/>
        <v>Normal</v>
      </c>
    </row>
    <row r="243" spans="1:14" x14ac:dyDescent="0.25">
      <c r="A243" s="1" t="s">
        <v>675</v>
      </c>
      <c r="B243" s="1" t="s">
        <v>37</v>
      </c>
      <c r="C243" s="1" t="s">
        <v>676</v>
      </c>
      <c r="D243" s="1" t="s">
        <v>16</v>
      </c>
      <c r="E243" s="1" t="s">
        <v>77</v>
      </c>
      <c r="F243" s="1" t="s">
        <v>18</v>
      </c>
      <c r="G243" s="1">
        <v>32067</v>
      </c>
      <c r="H243" s="63">
        <v>45717</v>
      </c>
      <c r="I243" s="63">
        <v>45799</v>
      </c>
      <c r="J243" s="1">
        <v>82</v>
      </c>
      <c r="K243" s="1">
        <v>0.8</v>
      </c>
      <c r="L243" s="1" t="s">
        <v>29</v>
      </c>
      <c r="M243" s="1" t="s">
        <v>63</v>
      </c>
      <c r="N243" s="1" t="str">
        <f t="shared" si="3"/>
        <v>Normal</v>
      </c>
    </row>
    <row r="244" spans="1:14" x14ac:dyDescent="0.25">
      <c r="A244" s="1" t="s">
        <v>678</v>
      </c>
      <c r="B244" s="1" t="s">
        <v>75</v>
      </c>
      <c r="C244" s="1" t="s">
        <v>679</v>
      </c>
      <c r="D244" s="1" t="s">
        <v>25</v>
      </c>
      <c r="E244" s="1" t="s">
        <v>94</v>
      </c>
      <c r="F244" s="1" t="s">
        <v>40</v>
      </c>
      <c r="G244" s="1">
        <v>458096</v>
      </c>
      <c r="H244" s="63">
        <v>45433</v>
      </c>
      <c r="I244" s="63">
        <v>45503</v>
      </c>
      <c r="J244" s="1">
        <v>70</v>
      </c>
      <c r="K244" s="1">
        <v>9.8000000000000007</v>
      </c>
      <c r="L244" s="1" t="s">
        <v>49</v>
      </c>
      <c r="M244" s="1" t="s">
        <v>107</v>
      </c>
      <c r="N244" s="1" t="str">
        <f t="shared" si="3"/>
        <v>Normal</v>
      </c>
    </row>
    <row r="245" spans="1:14" x14ac:dyDescent="0.25">
      <c r="A245" s="1" t="s">
        <v>681</v>
      </c>
      <c r="B245" s="1" t="s">
        <v>88</v>
      </c>
      <c r="C245" s="1" t="s">
        <v>93</v>
      </c>
      <c r="D245" s="1" t="s">
        <v>46</v>
      </c>
      <c r="E245" s="1" t="s">
        <v>47</v>
      </c>
      <c r="F245" s="1" t="s">
        <v>53</v>
      </c>
      <c r="G245" s="1">
        <v>264788</v>
      </c>
      <c r="H245" s="63">
        <v>45719</v>
      </c>
      <c r="J245" s="1"/>
      <c r="K245" s="1">
        <v>4</v>
      </c>
      <c r="L245" s="1" t="s">
        <v>96</v>
      </c>
      <c r="M245" s="1" t="s">
        <v>63</v>
      </c>
      <c r="N245" s="1" t="str">
        <f t="shared" si="3"/>
        <v>Normal</v>
      </c>
    </row>
    <row r="246" spans="1:14" x14ac:dyDescent="0.25">
      <c r="A246" s="1" t="s">
        <v>683</v>
      </c>
      <c r="B246" s="1" t="s">
        <v>84</v>
      </c>
      <c r="C246" s="1" t="s">
        <v>144</v>
      </c>
      <c r="D246" s="1" t="s">
        <v>90</v>
      </c>
      <c r="E246" s="1" t="s">
        <v>47</v>
      </c>
      <c r="F246" s="1" t="s">
        <v>18</v>
      </c>
      <c r="G246" s="1">
        <v>255377</v>
      </c>
      <c r="H246" s="63">
        <v>45685</v>
      </c>
      <c r="I246" s="63">
        <v>45770</v>
      </c>
      <c r="J246" s="1">
        <v>85</v>
      </c>
      <c r="K246" s="1"/>
      <c r="L246" s="1" t="s">
        <v>49</v>
      </c>
      <c r="M246" s="1" t="s">
        <v>63</v>
      </c>
      <c r="N246" s="1" t="str">
        <f t="shared" si="3"/>
        <v>Normal</v>
      </c>
    </row>
    <row r="247" spans="1:14" x14ac:dyDescent="0.25">
      <c r="A247" s="1" t="s">
        <v>685</v>
      </c>
      <c r="B247" s="1" t="s">
        <v>75</v>
      </c>
      <c r="C247" s="1" t="s">
        <v>686</v>
      </c>
      <c r="D247" s="1" t="s">
        <v>16</v>
      </c>
      <c r="E247" s="1" t="s">
        <v>72</v>
      </c>
      <c r="F247" s="1" t="s">
        <v>40</v>
      </c>
      <c r="G247" s="1">
        <v>326859</v>
      </c>
      <c r="H247" s="63">
        <v>45408</v>
      </c>
      <c r="I247" s="63">
        <v>45467</v>
      </c>
      <c r="J247" s="1">
        <v>59</v>
      </c>
      <c r="K247" s="1">
        <v>17.7</v>
      </c>
      <c r="L247" s="1" t="s">
        <v>29</v>
      </c>
      <c r="M247" s="1" t="s">
        <v>107</v>
      </c>
      <c r="N247" s="1" t="str">
        <f t="shared" si="3"/>
        <v>Normal</v>
      </c>
    </row>
    <row r="248" spans="1:14" x14ac:dyDescent="0.25">
      <c r="A248" s="1" t="s">
        <v>688</v>
      </c>
      <c r="B248" s="1" t="s">
        <v>37</v>
      </c>
      <c r="C248" s="1" t="s">
        <v>561</v>
      </c>
      <c r="D248" s="1" t="s">
        <v>16</v>
      </c>
      <c r="E248" s="1" t="s">
        <v>17</v>
      </c>
      <c r="F248" s="1" t="s">
        <v>27</v>
      </c>
      <c r="G248" s="1">
        <v>427129</v>
      </c>
      <c r="H248" s="63">
        <v>45056</v>
      </c>
      <c r="J248" s="1"/>
      <c r="K248" s="1">
        <v>12.8</v>
      </c>
      <c r="L248" s="1" t="s">
        <v>20</v>
      </c>
      <c r="M248" s="1" t="s">
        <v>30</v>
      </c>
      <c r="N248" s="1" t="str">
        <f t="shared" si="3"/>
        <v>Normal</v>
      </c>
    </row>
    <row r="249" spans="1:14" x14ac:dyDescent="0.25">
      <c r="A249" s="1" t="s">
        <v>690</v>
      </c>
      <c r="B249" s="1" t="s">
        <v>84</v>
      </c>
      <c r="C249" s="1" t="s">
        <v>596</v>
      </c>
      <c r="D249" s="1" t="s">
        <v>16</v>
      </c>
      <c r="E249" s="1" t="s">
        <v>94</v>
      </c>
      <c r="F249" s="1" t="s">
        <v>18</v>
      </c>
      <c r="G249" s="1">
        <v>274020</v>
      </c>
      <c r="H249" s="63">
        <v>45720</v>
      </c>
      <c r="I249" s="63">
        <v>45773</v>
      </c>
      <c r="J249" s="1">
        <v>53</v>
      </c>
      <c r="K249" s="1">
        <v>11.9</v>
      </c>
      <c r="L249" s="1" t="s">
        <v>96</v>
      </c>
      <c r="M249" s="1" t="s">
        <v>63</v>
      </c>
      <c r="N249" s="1" t="str">
        <f t="shared" si="3"/>
        <v>Normal</v>
      </c>
    </row>
    <row r="250" spans="1:14" x14ac:dyDescent="0.25">
      <c r="A250" s="1" t="s">
        <v>692</v>
      </c>
      <c r="B250" s="1" t="s">
        <v>75</v>
      </c>
      <c r="C250" s="1" t="s">
        <v>693</v>
      </c>
      <c r="D250" s="1" t="s">
        <v>67</v>
      </c>
      <c r="E250" s="1" t="s">
        <v>72</v>
      </c>
      <c r="F250" s="1" t="s">
        <v>53</v>
      </c>
      <c r="G250" s="1">
        <v>316943</v>
      </c>
      <c r="H250" s="63">
        <v>45639</v>
      </c>
      <c r="J250" s="1"/>
      <c r="K250" s="1">
        <v>8.1999999999999993</v>
      </c>
      <c r="L250" s="1" t="s">
        <v>49</v>
      </c>
      <c r="M250" s="1" t="s">
        <v>42</v>
      </c>
      <c r="N250" s="1" t="str">
        <f t="shared" si="3"/>
        <v>Normal</v>
      </c>
    </row>
    <row r="251" spans="1:14" x14ac:dyDescent="0.25">
      <c r="A251" s="1" t="s">
        <v>695</v>
      </c>
      <c r="B251" s="1" t="s">
        <v>59</v>
      </c>
      <c r="C251" s="1" t="s">
        <v>696</v>
      </c>
      <c r="D251" s="1" t="s">
        <v>39</v>
      </c>
      <c r="E251" s="1" t="s">
        <v>61</v>
      </c>
      <c r="F251" s="1" t="s">
        <v>53</v>
      </c>
      <c r="G251" s="1">
        <v>466413</v>
      </c>
      <c r="H251" s="63">
        <v>45570</v>
      </c>
      <c r="J251" s="1"/>
      <c r="K251" s="1">
        <v>8.1</v>
      </c>
      <c r="L251" s="1" t="s">
        <v>96</v>
      </c>
      <c r="M251" s="1" t="s">
        <v>42</v>
      </c>
      <c r="N251" s="1" t="str">
        <f t="shared" si="3"/>
        <v>Normal</v>
      </c>
    </row>
    <row r="252" spans="1:14" x14ac:dyDescent="0.25">
      <c r="A252" s="1" t="s">
        <v>698</v>
      </c>
      <c r="B252" s="1" t="s">
        <v>44</v>
      </c>
      <c r="C252" s="1" t="s">
        <v>699</v>
      </c>
      <c r="D252" s="1" t="s">
        <v>90</v>
      </c>
      <c r="E252" s="1" t="s">
        <v>72</v>
      </c>
      <c r="F252" s="1" t="s">
        <v>129</v>
      </c>
      <c r="G252" s="1">
        <v>450810</v>
      </c>
      <c r="H252" s="63">
        <v>45513</v>
      </c>
      <c r="J252" s="1"/>
      <c r="K252" s="1">
        <v>1.9</v>
      </c>
      <c r="L252" s="1" t="s">
        <v>49</v>
      </c>
      <c r="M252" s="1" t="s">
        <v>149</v>
      </c>
      <c r="N252" s="1" t="str">
        <f t="shared" si="3"/>
        <v>Normal</v>
      </c>
    </row>
    <row r="253" spans="1:14" x14ac:dyDescent="0.25">
      <c r="A253" s="1" t="s">
        <v>701</v>
      </c>
      <c r="B253" s="1" t="s">
        <v>98</v>
      </c>
      <c r="C253" s="1" t="s">
        <v>603</v>
      </c>
      <c r="D253" s="1" t="s">
        <v>25</v>
      </c>
      <c r="E253" s="1" t="s">
        <v>72</v>
      </c>
      <c r="F253" s="1" t="s">
        <v>53</v>
      </c>
      <c r="G253" s="1">
        <v>334379</v>
      </c>
      <c r="H253" s="63">
        <v>45702</v>
      </c>
      <c r="J253" s="1"/>
      <c r="K253" s="1">
        <v>0.8</v>
      </c>
      <c r="L253" s="1" t="s">
        <v>29</v>
      </c>
      <c r="M253" s="1" t="s">
        <v>63</v>
      </c>
      <c r="N253" s="1" t="str">
        <f t="shared" si="3"/>
        <v>Normal</v>
      </c>
    </row>
    <row r="254" spans="1:14" x14ac:dyDescent="0.25">
      <c r="A254" s="1" t="s">
        <v>703</v>
      </c>
      <c r="B254" s="1" t="s">
        <v>88</v>
      </c>
      <c r="C254" s="1" t="s">
        <v>361</v>
      </c>
      <c r="D254" s="1" t="s">
        <v>67</v>
      </c>
      <c r="E254" s="1" t="s">
        <v>17</v>
      </c>
      <c r="F254" s="1" t="s">
        <v>40</v>
      </c>
      <c r="G254" s="1">
        <v>489851</v>
      </c>
      <c r="H254" s="63">
        <v>45108</v>
      </c>
      <c r="I254" s="63">
        <v>45222</v>
      </c>
      <c r="J254" s="1">
        <v>114</v>
      </c>
      <c r="K254" s="1">
        <v>9.3000000000000007</v>
      </c>
      <c r="L254" s="1" t="s">
        <v>20</v>
      </c>
      <c r="M254" s="1" t="s">
        <v>102</v>
      </c>
      <c r="N254" s="1" t="str">
        <f t="shared" si="3"/>
        <v>Normal</v>
      </c>
    </row>
    <row r="255" spans="1:14" x14ac:dyDescent="0.25">
      <c r="A255" s="1" t="s">
        <v>704</v>
      </c>
      <c r="B255" s="1" t="s">
        <v>127</v>
      </c>
      <c r="C255" s="1" t="s">
        <v>705</v>
      </c>
      <c r="D255" s="1" t="s">
        <v>67</v>
      </c>
      <c r="E255" s="1" t="s">
        <v>100</v>
      </c>
      <c r="F255" s="1" t="s">
        <v>129</v>
      </c>
      <c r="G255" s="1">
        <v>447387</v>
      </c>
      <c r="H255" s="63">
        <v>44943</v>
      </c>
      <c r="J255" s="1"/>
      <c r="K255" s="1"/>
      <c r="L255" s="1" t="s">
        <v>96</v>
      </c>
      <c r="M255" s="1" t="s">
        <v>35</v>
      </c>
      <c r="N255" s="1" t="str">
        <f t="shared" si="3"/>
        <v>Normal</v>
      </c>
    </row>
    <row r="256" spans="1:14" x14ac:dyDescent="0.25">
      <c r="A256" s="1" t="s">
        <v>707</v>
      </c>
      <c r="B256" s="1" t="s">
        <v>88</v>
      </c>
      <c r="C256" s="1" t="s">
        <v>708</v>
      </c>
      <c r="D256" s="1" t="s">
        <v>67</v>
      </c>
      <c r="E256" s="1" t="s">
        <v>47</v>
      </c>
      <c r="F256" s="1" t="s">
        <v>33</v>
      </c>
      <c r="G256" s="1">
        <v>498286</v>
      </c>
      <c r="H256" s="63">
        <v>45736</v>
      </c>
      <c r="J256" s="1"/>
      <c r="K256" s="1">
        <v>0.3</v>
      </c>
      <c r="L256" s="1" t="s">
        <v>29</v>
      </c>
      <c r="M256" s="1" t="s">
        <v>63</v>
      </c>
      <c r="N256" s="1" t="str">
        <f t="shared" si="3"/>
        <v>Normal</v>
      </c>
    </row>
    <row r="257" spans="1:14" x14ac:dyDescent="0.25">
      <c r="A257" s="1" t="s">
        <v>710</v>
      </c>
      <c r="B257" s="1" t="s">
        <v>75</v>
      </c>
      <c r="C257" s="1" t="s">
        <v>711</v>
      </c>
      <c r="D257" s="1" t="s">
        <v>16</v>
      </c>
      <c r="E257" s="1" t="s">
        <v>94</v>
      </c>
      <c r="F257" s="1" t="s">
        <v>129</v>
      </c>
      <c r="G257" s="1">
        <v>148099</v>
      </c>
      <c r="H257" s="63">
        <v>45411</v>
      </c>
      <c r="J257" s="1"/>
      <c r="K257" s="1"/>
      <c r="L257" s="1" t="s">
        <v>29</v>
      </c>
      <c r="M257" s="1" t="s">
        <v>107</v>
      </c>
      <c r="N257" s="1" t="str">
        <f t="shared" si="3"/>
        <v>Normal</v>
      </c>
    </row>
    <row r="258" spans="1:14" x14ac:dyDescent="0.25">
      <c r="A258" s="1" t="s">
        <v>713</v>
      </c>
      <c r="B258" s="1" t="s">
        <v>4829</v>
      </c>
      <c r="C258" s="1" t="s">
        <v>52</v>
      </c>
      <c r="D258" s="1" t="s">
        <v>90</v>
      </c>
      <c r="E258" s="1" t="s">
        <v>94</v>
      </c>
      <c r="F258" s="1" t="s">
        <v>18</v>
      </c>
      <c r="G258" s="1">
        <v>25978</v>
      </c>
      <c r="H258" s="63">
        <v>45573</v>
      </c>
      <c r="I258" s="63">
        <v>45657</v>
      </c>
      <c r="J258" s="1">
        <v>84</v>
      </c>
      <c r="K258" s="1">
        <v>12</v>
      </c>
      <c r="L258" s="1" t="s">
        <v>96</v>
      </c>
      <c r="M258" s="1" t="s">
        <v>42</v>
      </c>
      <c r="N258" s="1" t="str">
        <f t="shared" ref="N258:N321" si="4">IF(G258&gt;$R$5,"High Outlier",IF(G258&lt;$R$6,"Low Outlier","Normal"))</f>
        <v>Normal</v>
      </c>
    </row>
    <row r="259" spans="1:14" x14ac:dyDescent="0.25">
      <c r="A259" s="1" t="s">
        <v>715</v>
      </c>
      <c r="B259" s="1" t="s">
        <v>104</v>
      </c>
      <c r="C259" s="1" t="s">
        <v>318</v>
      </c>
      <c r="D259" s="1" t="s">
        <v>90</v>
      </c>
      <c r="E259" s="1" t="s">
        <v>26</v>
      </c>
      <c r="F259" s="1" t="s">
        <v>18</v>
      </c>
      <c r="G259" s="1">
        <v>199807</v>
      </c>
      <c r="H259" s="63">
        <v>45201</v>
      </c>
      <c r="I259" s="63">
        <v>45228</v>
      </c>
      <c r="J259" s="1">
        <v>27</v>
      </c>
      <c r="K259" s="1"/>
      <c r="L259" s="1" t="s">
        <v>49</v>
      </c>
      <c r="M259" s="1" t="s">
        <v>21</v>
      </c>
      <c r="N259" s="1" t="str">
        <f t="shared" si="4"/>
        <v>Normal</v>
      </c>
    </row>
    <row r="260" spans="1:14" x14ac:dyDescent="0.25">
      <c r="A260" s="1" t="s">
        <v>717</v>
      </c>
      <c r="B260" s="1" t="s">
        <v>98</v>
      </c>
      <c r="C260" s="1" t="s">
        <v>454</v>
      </c>
      <c r="D260" s="1" t="s">
        <v>90</v>
      </c>
      <c r="E260" s="1" t="s">
        <v>26</v>
      </c>
      <c r="F260" s="1" t="s">
        <v>18</v>
      </c>
      <c r="G260" s="1">
        <v>486514</v>
      </c>
      <c r="H260" s="63">
        <v>45400</v>
      </c>
      <c r="I260" s="63">
        <v>45432</v>
      </c>
      <c r="J260" s="1">
        <v>32</v>
      </c>
      <c r="K260" s="1">
        <v>0.5</v>
      </c>
      <c r="L260" s="1" t="s">
        <v>20</v>
      </c>
      <c r="M260" s="1" t="s">
        <v>107</v>
      </c>
      <c r="N260" s="1" t="str">
        <f t="shared" si="4"/>
        <v>Normal</v>
      </c>
    </row>
    <row r="261" spans="1:14" x14ac:dyDescent="0.25">
      <c r="A261" s="1" t="s">
        <v>719</v>
      </c>
      <c r="B261" s="1" t="s">
        <v>98</v>
      </c>
      <c r="C261" s="1" t="s">
        <v>720</v>
      </c>
      <c r="D261" s="1" t="s">
        <v>16</v>
      </c>
      <c r="E261" s="1" t="s">
        <v>26</v>
      </c>
      <c r="F261" s="1" t="s">
        <v>40</v>
      </c>
      <c r="G261" s="1">
        <v>93900</v>
      </c>
      <c r="H261" s="63">
        <v>45742</v>
      </c>
      <c r="I261" s="63">
        <v>45895</v>
      </c>
      <c r="J261" s="1">
        <v>153</v>
      </c>
      <c r="K261" s="1">
        <v>6</v>
      </c>
      <c r="L261" s="1" t="s">
        <v>49</v>
      </c>
      <c r="M261" s="1" t="s">
        <v>63</v>
      </c>
      <c r="N261" s="1" t="str">
        <f t="shared" si="4"/>
        <v>Normal</v>
      </c>
    </row>
    <row r="262" spans="1:14" x14ac:dyDescent="0.25">
      <c r="A262" s="1" t="s">
        <v>722</v>
      </c>
      <c r="B262" s="1" t="s">
        <v>98</v>
      </c>
      <c r="C262" s="1" t="s">
        <v>313</v>
      </c>
      <c r="D262" s="1" t="s">
        <v>39</v>
      </c>
      <c r="E262" s="1" t="s">
        <v>94</v>
      </c>
      <c r="F262" s="1" t="s">
        <v>129</v>
      </c>
      <c r="G262" s="1">
        <v>327064</v>
      </c>
      <c r="H262" s="63">
        <v>44931</v>
      </c>
      <c r="J262" s="1"/>
      <c r="K262" s="1">
        <v>12.2</v>
      </c>
      <c r="L262" s="1" t="s">
        <v>96</v>
      </c>
      <c r="M262" s="1" t="s">
        <v>35</v>
      </c>
      <c r="N262" s="1" t="str">
        <f t="shared" si="4"/>
        <v>Normal</v>
      </c>
    </row>
    <row r="263" spans="1:14" x14ac:dyDescent="0.25">
      <c r="A263" s="1" t="s">
        <v>723</v>
      </c>
      <c r="B263" s="1" t="s">
        <v>173</v>
      </c>
      <c r="C263" s="1" t="s">
        <v>724</v>
      </c>
      <c r="D263" s="1" t="s">
        <v>90</v>
      </c>
      <c r="E263" s="1" t="s">
        <v>100</v>
      </c>
      <c r="F263" s="1" t="s">
        <v>129</v>
      </c>
      <c r="G263" s="1">
        <v>70360</v>
      </c>
      <c r="H263" s="63">
        <v>45260</v>
      </c>
      <c r="J263" s="1"/>
      <c r="K263" s="1">
        <v>11.1</v>
      </c>
      <c r="L263" s="1" t="s">
        <v>29</v>
      </c>
      <c r="M263" s="1" t="s">
        <v>21</v>
      </c>
      <c r="N263" s="1" t="str">
        <f t="shared" si="4"/>
        <v>Normal</v>
      </c>
    </row>
    <row r="264" spans="1:14" x14ac:dyDescent="0.25">
      <c r="A264" s="1" t="s">
        <v>726</v>
      </c>
      <c r="B264" s="1" t="s">
        <v>127</v>
      </c>
      <c r="C264" s="1" t="s">
        <v>433</v>
      </c>
      <c r="D264" s="1" t="s">
        <v>67</v>
      </c>
      <c r="E264" s="1" t="s">
        <v>26</v>
      </c>
      <c r="F264" s="1" t="s">
        <v>18</v>
      </c>
      <c r="G264" s="1">
        <v>150024</v>
      </c>
      <c r="H264" s="63">
        <v>45405</v>
      </c>
      <c r="I264" s="63">
        <v>45519</v>
      </c>
      <c r="J264" s="1">
        <v>114</v>
      </c>
      <c r="K264" s="1"/>
      <c r="L264" s="1" t="s">
        <v>49</v>
      </c>
      <c r="M264" s="1" t="s">
        <v>107</v>
      </c>
      <c r="N264" s="1" t="str">
        <f t="shared" si="4"/>
        <v>Normal</v>
      </c>
    </row>
    <row r="265" spans="1:14" x14ac:dyDescent="0.25">
      <c r="A265" s="1" t="s">
        <v>728</v>
      </c>
      <c r="B265" s="1" t="s">
        <v>104</v>
      </c>
      <c r="C265" s="1" t="s">
        <v>162</v>
      </c>
      <c r="D265" s="1" t="s">
        <v>46</v>
      </c>
      <c r="E265" s="1" t="s">
        <v>4845</v>
      </c>
      <c r="F265" s="1" t="s">
        <v>18</v>
      </c>
      <c r="G265" s="1">
        <v>454636</v>
      </c>
      <c r="H265" s="63">
        <v>45483</v>
      </c>
      <c r="I265" s="63">
        <v>45579</v>
      </c>
      <c r="J265" s="1">
        <v>96</v>
      </c>
      <c r="K265" s="1">
        <v>5.0999999999999996</v>
      </c>
      <c r="L265" s="1" t="s">
        <v>20</v>
      </c>
      <c r="M265" s="1" t="s">
        <v>149</v>
      </c>
      <c r="N265" s="1" t="str">
        <f t="shared" si="4"/>
        <v>Normal</v>
      </c>
    </row>
    <row r="266" spans="1:14" x14ac:dyDescent="0.25">
      <c r="A266" s="1" t="s">
        <v>729</v>
      </c>
      <c r="B266" s="1" t="s">
        <v>14</v>
      </c>
      <c r="C266" s="1" t="s">
        <v>71</v>
      </c>
      <c r="D266" s="1" t="s">
        <v>46</v>
      </c>
      <c r="E266" s="1" t="s">
        <v>94</v>
      </c>
      <c r="F266" s="1" t="s">
        <v>40</v>
      </c>
      <c r="G266" s="1">
        <v>355640</v>
      </c>
      <c r="H266" s="63">
        <v>45011</v>
      </c>
      <c r="I266" s="63">
        <v>45062</v>
      </c>
      <c r="J266" s="1">
        <v>51</v>
      </c>
      <c r="K266" s="1">
        <v>16</v>
      </c>
      <c r="L266" s="1" t="s">
        <v>96</v>
      </c>
      <c r="M266" s="1" t="s">
        <v>35</v>
      </c>
      <c r="N266" s="1" t="str">
        <f t="shared" si="4"/>
        <v>Normal</v>
      </c>
    </row>
    <row r="267" spans="1:14" x14ac:dyDescent="0.25">
      <c r="A267" s="1" t="s">
        <v>731</v>
      </c>
      <c r="B267" s="1" t="s">
        <v>80</v>
      </c>
      <c r="C267" s="1" t="s">
        <v>732</v>
      </c>
      <c r="D267" s="1" t="s">
        <v>90</v>
      </c>
      <c r="E267" s="1" t="s">
        <v>26</v>
      </c>
      <c r="F267" s="1" t="s">
        <v>40</v>
      </c>
      <c r="G267" s="1">
        <v>478302</v>
      </c>
      <c r="H267" s="63">
        <v>45362</v>
      </c>
      <c r="I267" s="63">
        <v>45454</v>
      </c>
      <c r="J267" s="1">
        <v>92</v>
      </c>
      <c r="K267" s="1">
        <v>1.1000000000000001</v>
      </c>
      <c r="L267" s="1" t="s">
        <v>49</v>
      </c>
      <c r="M267" s="1" t="s">
        <v>69</v>
      </c>
      <c r="N267" s="1" t="str">
        <f t="shared" si="4"/>
        <v>Normal</v>
      </c>
    </row>
    <row r="268" spans="1:14" x14ac:dyDescent="0.25">
      <c r="A268" s="1" t="s">
        <v>734</v>
      </c>
      <c r="B268" s="1" t="s">
        <v>104</v>
      </c>
      <c r="C268" s="1" t="s">
        <v>735</v>
      </c>
      <c r="D268" s="1" t="s">
        <v>39</v>
      </c>
      <c r="E268" s="1" t="s">
        <v>72</v>
      </c>
      <c r="F268" s="1" t="s">
        <v>40</v>
      </c>
      <c r="G268" s="1">
        <v>134630</v>
      </c>
      <c r="H268" s="63">
        <v>45475</v>
      </c>
      <c r="I268" s="63">
        <v>45601</v>
      </c>
      <c r="J268" s="1">
        <v>126</v>
      </c>
      <c r="K268" s="1">
        <v>8.5</v>
      </c>
      <c r="L268" s="1" t="s">
        <v>96</v>
      </c>
      <c r="M268" s="1" t="s">
        <v>149</v>
      </c>
      <c r="N268" s="1" t="str">
        <f t="shared" si="4"/>
        <v>Normal</v>
      </c>
    </row>
    <row r="269" spans="1:14" x14ac:dyDescent="0.25">
      <c r="A269" s="1" t="s">
        <v>736</v>
      </c>
      <c r="B269" s="1" t="s">
        <v>75</v>
      </c>
      <c r="C269" s="1" t="s">
        <v>737</v>
      </c>
      <c r="D269" s="1" t="s">
        <v>90</v>
      </c>
      <c r="E269" s="1" t="s">
        <v>94</v>
      </c>
      <c r="F269" s="1" t="s">
        <v>129</v>
      </c>
      <c r="G269" s="1">
        <v>120897</v>
      </c>
      <c r="H269" s="63">
        <v>45388</v>
      </c>
      <c r="J269" s="1"/>
      <c r="K269" s="1">
        <v>8.1999999999999993</v>
      </c>
      <c r="L269" s="1" t="s">
        <v>29</v>
      </c>
      <c r="M269" s="1" t="s">
        <v>107</v>
      </c>
      <c r="N269" s="1" t="str">
        <f t="shared" si="4"/>
        <v>Normal</v>
      </c>
    </row>
    <row r="270" spans="1:14" x14ac:dyDescent="0.25">
      <c r="A270" s="1" t="s">
        <v>739</v>
      </c>
      <c r="B270" s="1" t="s">
        <v>23</v>
      </c>
      <c r="C270" s="1" t="s">
        <v>679</v>
      </c>
      <c r="D270" s="1" t="s">
        <v>16</v>
      </c>
      <c r="E270" s="1" t="s">
        <v>26</v>
      </c>
      <c r="F270" s="1" t="s">
        <v>18</v>
      </c>
      <c r="G270" s="1">
        <v>416074</v>
      </c>
      <c r="H270" s="63">
        <v>45537</v>
      </c>
      <c r="I270" s="63">
        <v>45675</v>
      </c>
      <c r="J270" s="1">
        <v>138</v>
      </c>
      <c r="K270" s="1">
        <v>10.3</v>
      </c>
      <c r="L270" s="1" t="s">
        <v>96</v>
      </c>
      <c r="M270" s="1" t="s">
        <v>149</v>
      </c>
      <c r="N270" s="1" t="str">
        <f t="shared" si="4"/>
        <v>Normal</v>
      </c>
    </row>
    <row r="271" spans="1:14" x14ac:dyDescent="0.25">
      <c r="A271" s="1" t="s">
        <v>741</v>
      </c>
      <c r="B271" s="1" t="s">
        <v>88</v>
      </c>
      <c r="C271" s="1" t="s">
        <v>423</v>
      </c>
      <c r="D271" s="1" t="s">
        <v>39</v>
      </c>
      <c r="E271" s="1" t="s">
        <v>61</v>
      </c>
      <c r="F271" s="1" t="s">
        <v>40</v>
      </c>
      <c r="G271" s="1">
        <v>262442</v>
      </c>
      <c r="H271" s="63">
        <v>45398</v>
      </c>
      <c r="I271" s="63">
        <v>45550</v>
      </c>
      <c r="J271" s="1">
        <v>152</v>
      </c>
      <c r="K271" s="1">
        <v>11.6</v>
      </c>
      <c r="L271" s="1" t="s">
        <v>20</v>
      </c>
      <c r="M271" s="1" t="s">
        <v>107</v>
      </c>
      <c r="N271" s="1" t="str">
        <f t="shared" si="4"/>
        <v>Normal</v>
      </c>
    </row>
    <row r="272" spans="1:14" x14ac:dyDescent="0.25">
      <c r="A272" s="1" t="s">
        <v>743</v>
      </c>
      <c r="B272" s="1" t="s">
        <v>84</v>
      </c>
      <c r="C272" s="1" t="s">
        <v>110</v>
      </c>
      <c r="D272" s="1" t="s">
        <v>39</v>
      </c>
      <c r="E272" s="1" t="s">
        <v>26</v>
      </c>
      <c r="F272" s="1" t="s">
        <v>129</v>
      </c>
      <c r="G272" s="1">
        <v>49032</v>
      </c>
      <c r="H272" s="63">
        <v>45651</v>
      </c>
      <c r="J272" s="1"/>
      <c r="K272" s="1">
        <v>13.2</v>
      </c>
      <c r="L272" s="1" t="s">
        <v>49</v>
      </c>
      <c r="M272" s="1" t="s">
        <v>42</v>
      </c>
      <c r="N272" s="1" t="str">
        <f t="shared" si="4"/>
        <v>Normal</v>
      </c>
    </row>
    <row r="273" spans="1:14" x14ac:dyDescent="0.25">
      <c r="A273" s="1" t="s">
        <v>745</v>
      </c>
      <c r="B273" s="1" t="s">
        <v>109</v>
      </c>
      <c r="C273" s="1" t="s">
        <v>247</v>
      </c>
      <c r="D273" s="1" t="s">
        <v>16</v>
      </c>
      <c r="E273" s="1" t="s">
        <v>100</v>
      </c>
      <c r="F273" s="1" t="s">
        <v>27</v>
      </c>
      <c r="G273" s="1">
        <v>355099</v>
      </c>
      <c r="H273" s="63">
        <v>45335</v>
      </c>
      <c r="J273" s="1"/>
      <c r="K273" s="1">
        <v>2.2000000000000002</v>
      </c>
      <c r="L273" s="1" t="s">
        <v>96</v>
      </c>
      <c r="M273" s="1" t="s">
        <v>69</v>
      </c>
      <c r="N273" s="1" t="str">
        <f t="shared" si="4"/>
        <v>Normal</v>
      </c>
    </row>
    <row r="274" spans="1:14" x14ac:dyDescent="0.25">
      <c r="A274" s="1" t="s">
        <v>746</v>
      </c>
      <c r="B274" s="1" t="s">
        <v>104</v>
      </c>
      <c r="C274" s="1" t="s">
        <v>747</v>
      </c>
      <c r="D274" s="1" t="s">
        <v>90</v>
      </c>
      <c r="E274" s="1" t="s">
        <v>17</v>
      </c>
      <c r="F274" s="1" t="s">
        <v>27</v>
      </c>
      <c r="G274" s="1">
        <v>114932</v>
      </c>
      <c r="H274" s="63">
        <v>45690</v>
      </c>
      <c r="J274" s="1"/>
      <c r="K274" s="1">
        <v>2.8</v>
      </c>
      <c r="L274" s="1" t="s">
        <v>96</v>
      </c>
      <c r="M274" s="1" t="s">
        <v>63</v>
      </c>
      <c r="N274" s="1" t="str">
        <f t="shared" si="4"/>
        <v>Normal</v>
      </c>
    </row>
    <row r="275" spans="1:14" x14ac:dyDescent="0.25">
      <c r="A275" s="1" t="s">
        <v>748</v>
      </c>
      <c r="B275" s="1" t="s">
        <v>88</v>
      </c>
      <c r="C275" s="1" t="s">
        <v>536</v>
      </c>
      <c r="D275" s="1" t="s">
        <v>39</v>
      </c>
      <c r="E275" s="1" t="s">
        <v>100</v>
      </c>
      <c r="F275" s="1" t="s">
        <v>18</v>
      </c>
      <c r="G275" s="1">
        <v>36906</v>
      </c>
      <c r="H275" s="63">
        <v>45685</v>
      </c>
      <c r="I275" s="63">
        <v>45725</v>
      </c>
      <c r="J275" s="1">
        <v>40</v>
      </c>
      <c r="K275" s="1">
        <v>6</v>
      </c>
      <c r="L275" s="1" t="s">
        <v>20</v>
      </c>
      <c r="M275" s="1" t="s">
        <v>63</v>
      </c>
      <c r="N275" s="1" t="str">
        <f t="shared" si="4"/>
        <v>Normal</v>
      </c>
    </row>
    <row r="276" spans="1:14" x14ac:dyDescent="0.25">
      <c r="A276" s="1" t="s">
        <v>749</v>
      </c>
      <c r="B276" s="1" t="s">
        <v>88</v>
      </c>
      <c r="C276" s="1" t="s">
        <v>151</v>
      </c>
      <c r="D276" s="1" t="s">
        <v>25</v>
      </c>
      <c r="E276" s="1" t="s">
        <v>94</v>
      </c>
      <c r="F276" s="1" t="s">
        <v>40</v>
      </c>
      <c r="G276" s="1">
        <v>328490</v>
      </c>
      <c r="H276" s="63">
        <v>44974</v>
      </c>
      <c r="I276" s="63">
        <v>45051</v>
      </c>
      <c r="J276" s="1">
        <v>77</v>
      </c>
      <c r="K276" s="1">
        <v>1.1000000000000001</v>
      </c>
      <c r="L276" s="1" t="s">
        <v>20</v>
      </c>
      <c r="M276" s="1" t="s">
        <v>35</v>
      </c>
      <c r="N276" s="1" t="str">
        <f t="shared" si="4"/>
        <v>Normal</v>
      </c>
    </row>
    <row r="277" spans="1:14" x14ac:dyDescent="0.25">
      <c r="A277" s="1" t="s">
        <v>751</v>
      </c>
      <c r="B277" s="1" t="s">
        <v>80</v>
      </c>
      <c r="C277" s="1" t="s">
        <v>635</v>
      </c>
      <c r="D277" s="1" t="s">
        <v>25</v>
      </c>
      <c r="E277" s="1" t="s">
        <v>47</v>
      </c>
      <c r="F277" s="1" t="s">
        <v>129</v>
      </c>
      <c r="G277" s="1">
        <v>460181</v>
      </c>
      <c r="H277" s="63">
        <v>45677</v>
      </c>
      <c r="J277" s="1"/>
      <c r="K277" s="1"/>
      <c r="L277" s="1" t="s">
        <v>96</v>
      </c>
      <c r="M277" s="1" t="s">
        <v>63</v>
      </c>
      <c r="N277" s="1" t="str">
        <f t="shared" si="4"/>
        <v>Normal</v>
      </c>
    </row>
    <row r="278" spans="1:14" x14ac:dyDescent="0.25">
      <c r="A278" s="1" t="s">
        <v>753</v>
      </c>
      <c r="B278" s="1" t="s">
        <v>98</v>
      </c>
      <c r="C278" s="1" t="s">
        <v>192</v>
      </c>
      <c r="D278" s="1" t="s">
        <v>46</v>
      </c>
      <c r="E278" s="1" t="s">
        <v>17</v>
      </c>
      <c r="F278" s="1" t="s">
        <v>129</v>
      </c>
      <c r="G278" s="1">
        <v>90351</v>
      </c>
      <c r="H278" s="63">
        <v>45641</v>
      </c>
      <c r="J278" s="1"/>
      <c r="K278" s="1">
        <v>8.1</v>
      </c>
      <c r="L278" s="1" t="s">
        <v>20</v>
      </c>
      <c r="M278" s="1" t="s">
        <v>42</v>
      </c>
      <c r="N278" s="1" t="str">
        <f t="shared" si="4"/>
        <v>Normal</v>
      </c>
    </row>
    <row r="279" spans="1:14" x14ac:dyDescent="0.25">
      <c r="A279" s="1" t="s">
        <v>755</v>
      </c>
      <c r="B279" s="1" t="s">
        <v>65</v>
      </c>
      <c r="C279" s="1" t="s">
        <v>561</v>
      </c>
      <c r="D279" s="1" t="s">
        <v>25</v>
      </c>
      <c r="E279" s="1" t="s">
        <v>100</v>
      </c>
      <c r="F279" s="1" t="s">
        <v>40</v>
      </c>
      <c r="G279" s="1">
        <v>160473</v>
      </c>
      <c r="H279" s="63">
        <v>45033</v>
      </c>
      <c r="I279" s="63">
        <v>45117</v>
      </c>
      <c r="J279" s="1">
        <v>84</v>
      </c>
      <c r="K279" s="1">
        <v>16.5</v>
      </c>
      <c r="L279" s="1" t="s">
        <v>49</v>
      </c>
      <c r="M279" s="1" t="s">
        <v>30</v>
      </c>
      <c r="N279" s="1" t="str">
        <f t="shared" si="4"/>
        <v>Normal</v>
      </c>
    </row>
    <row r="280" spans="1:14" x14ac:dyDescent="0.25">
      <c r="A280" s="1" t="s">
        <v>757</v>
      </c>
      <c r="B280" s="1" t="s">
        <v>88</v>
      </c>
      <c r="C280" s="1" t="s">
        <v>334</v>
      </c>
      <c r="D280" s="1" t="s">
        <v>67</v>
      </c>
      <c r="E280" s="1" t="s">
        <v>26</v>
      </c>
      <c r="F280" s="1" t="s">
        <v>18</v>
      </c>
      <c r="G280" s="1">
        <v>436123</v>
      </c>
      <c r="H280" s="63">
        <v>45102</v>
      </c>
      <c r="I280" s="63">
        <v>45183</v>
      </c>
      <c r="J280" s="1">
        <v>81</v>
      </c>
      <c r="K280" s="1"/>
      <c r="L280" s="1" t="s">
        <v>96</v>
      </c>
      <c r="M280" s="1" t="s">
        <v>30</v>
      </c>
      <c r="N280" s="1" t="str">
        <f t="shared" si="4"/>
        <v>Normal</v>
      </c>
    </row>
    <row r="281" spans="1:14" x14ac:dyDescent="0.25">
      <c r="A281" s="1" t="s">
        <v>759</v>
      </c>
      <c r="B281" s="1" t="s">
        <v>44</v>
      </c>
      <c r="C281" s="1" t="s">
        <v>218</v>
      </c>
      <c r="D281" s="1" t="s">
        <v>90</v>
      </c>
      <c r="E281" s="1" t="s">
        <v>47</v>
      </c>
      <c r="F281" s="1" t="s">
        <v>53</v>
      </c>
      <c r="G281" s="1">
        <v>50606</v>
      </c>
      <c r="H281" s="63">
        <v>45260</v>
      </c>
      <c r="J281" s="1"/>
      <c r="K281" s="1">
        <v>8.6</v>
      </c>
      <c r="L281" s="1" t="s">
        <v>20</v>
      </c>
      <c r="M281" s="1" t="s">
        <v>21</v>
      </c>
      <c r="N281" s="1" t="str">
        <f t="shared" si="4"/>
        <v>Normal</v>
      </c>
    </row>
    <row r="282" spans="1:14" x14ac:dyDescent="0.25">
      <c r="A282" s="1" t="s">
        <v>760</v>
      </c>
      <c r="B282" s="1" t="s">
        <v>109</v>
      </c>
      <c r="C282" s="1" t="s">
        <v>180</v>
      </c>
      <c r="D282" s="1" t="s">
        <v>46</v>
      </c>
      <c r="E282" s="1" t="s">
        <v>77</v>
      </c>
      <c r="F282" s="1" t="s">
        <v>33</v>
      </c>
      <c r="G282" s="1">
        <v>52139</v>
      </c>
      <c r="H282" s="63">
        <v>45135</v>
      </c>
      <c r="J282" s="1"/>
      <c r="K282" s="1">
        <v>6.5</v>
      </c>
      <c r="L282" s="1" t="s">
        <v>29</v>
      </c>
      <c r="M282" s="1" t="s">
        <v>102</v>
      </c>
      <c r="N282" s="1" t="str">
        <f t="shared" si="4"/>
        <v>Normal</v>
      </c>
    </row>
    <row r="283" spans="1:14" x14ac:dyDescent="0.25">
      <c r="A283" s="1" t="s">
        <v>762</v>
      </c>
      <c r="B283" s="1" t="s">
        <v>84</v>
      </c>
      <c r="C283" s="1" t="s">
        <v>89</v>
      </c>
      <c r="D283" s="1" t="s">
        <v>46</v>
      </c>
      <c r="E283" s="1" t="s">
        <v>94</v>
      </c>
      <c r="F283" s="1" t="s">
        <v>40</v>
      </c>
      <c r="G283" s="1">
        <v>480821</v>
      </c>
      <c r="H283" s="63">
        <v>45617</v>
      </c>
      <c r="I283" s="63">
        <v>45740</v>
      </c>
      <c r="J283" s="1">
        <v>123</v>
      </c>
      <c r="K283" s="1">
        <v>13.4</v>
      </c>
      <c r="L283" s="1" t="s">
        <v>49</v>
      </c>
      <c r="M283" s="1" t="s">
        <v>42</v>
      </c>
      <c r="N283" s="1" t="str">
        <f t="shared" si="4"/>
        <v>Normal</v>
      </c>
    </row>
    <row r="284" spans="1:14" x14ac:dyDescent="0.25">
      <c r="A284" s="1" t="s">
        <v>764</v>
      </c>
      <c r="B284" s="1" t="s">
        <v>59</v>
      </c>
      <c r="C284" s="1" t="s">
        <v>116</v>
      </c>
      <c r="D284" s="1" t="s">
        <v>90</v>
      </c>
      <c r="E284" s="1" t="s">
        <v>77</v>
      </c>
      <c r="F284" s="1" t="s">
        <v>18</v>
      </c>
      <c r="G284" s="1">
        <v>435908</v>
      </c>
      <c r="H284" s="63">
        <v>45120</v>
      </c>
      <c r="I284" s="63">
        <v>45190</v>
      </c>
      <c r="J284" s="1">
        <v>70</v>
      </c>
      <c r="K284" s="1"/>
      <c r="L284" s="1" t="s">
        <v>29</v>
      </c>
      <c r="M284" s="1" t="s">
        <v>102</v>
      </c>
      <c r="N284" s="1" t="str">
        <f t="shared" si="4"/>
        <v>Normal</v>
      </c>
    </row>
    <row r="285" spans="1:14" x14ac:dyDescent="0.25">
      <c r="A285" s="1" t="s">
        <v>766</v>
      </c>
      <c r="B285" s="1" t="s">
        <v>23</v>
      </c>
      <c r="C285" s="1" t="s">
        <v>767</v>
      </c>
      <c r="D285" s="1" t="s">
        <v>16</v>
      </c>
      <c r="E285" s="1" t="s">
        <v>61</v>
      </c>
      <c r="F285" s="1" t="s">
        <v>129</v>
      </c>
      <c r="G285" s="1">
        <v>338156</v>
      </c>
      <c r="H285" s="63">
        <v>45119</v>
      </c>
      <c r="J285" s="1"/>
      <c r="K285" s="1">
        <v>13.7</v>
      </c>
      <c r="L285" s="1" t="s">
        <v>20</v>
      </c>
      <c r="M285" s="1" t="s">
        <v>102</v>
      </c>
      <c r="N285" s="1" t="str">
        <f t="shared" si="4"/>
        <v>Normal</v>
      </c>
    </row>
    <row r="286" spans="1:14" x14ac:dyDescent="0.25">
      <c r="A286" s="1" t="s">
        <v>768</v>
      </c>
      <c r="B286" s="1" t="s">
        <v>88</v>
      </c>
      <c r="C286" s="1" t="s">
        <v>662</v>
      </c>
      <c r="D286" s="1" t="s">
        <v>67</v>
      </c>
      <c r="E286" s="1" t="s">
        <v>17</v>
      </c>
      <c r="F286" s="1" t="s">
        <v>33</v>
      </c>
      <c r="G286" s="1">
        <v>329680</v>
      </c>
      <c r="H286" s="63">
        <v>45064</v>
      </c>
      <c r="J286" s="1"/>
      <c r="K286" s="1"/>
      <c r="L286" s="1" t="s">
        <v>96</v>
      </c>
      <c r="M286" s="1" t="s">
        <v>30</v>
      </c>
      <c r="N286" s="1" t="str">
        <f t="shared" si="4"/>
        <v>Normal</v>
      </c>
    </row>
    <row r="287" spans="1:14" x14ac:dyDescent="0.25">
      <c r="A287" s="1" t="s">
        <v>770</v>
      </c>
      <c r="B287" s="1" t="s">
        <v>23</v>
      </c>
      <c r="C287" s="1" t="s">
        <v>398</v>
      </c>
      <c r="D287" s="1" t="s">
        <v>16</v>
      </c>
      <c r="E287" s="1" t="s">
        <v>61</v>
      </c>
      <c r="F287" s="1" t="s">
        <v>33</v>
      </c>
      <c r="G287" s="1">
        <v>245397</v>
      </c>
      <c r="H287" s="63">
        <v>45287</v>
      </c>
      <c r="J287" s="1"/>
      <c r="K287" s="1">
        <v>1.2</v>
      </c>
      <c r="L287" s="1" t="s">
        <v>29</v>
      </c>
      <c r="M287" s="1" t="s">
        <v>21</v>
      </c>
      <c r="N287" s="1" t="str">
        <f t="shared" si="4"/>
        <v>Normal</v>
      </c>
    </row>
    <row r="288" spans="1:14" x14ac:dyDescent="0.25">
      <c r="A288" s="1" t="s">
        <v>772</v>
      </c>
      <c r="B288" s="1" t="s">
        <v>14</v>
      </c>
      <c r="C288" s="1" t="s">
        <v>732</v>
      </c>
      <c r="D288" s="1" t="s">
        <v>25</v>
      </c>
      <c r="E288" s="1" t="s">
        <v>94</v>
      </c>
      <c r="F288" s="1" t="s">
        <v>27</v>
      </c>
      <c r="G288" s="1">
        <v>311860</v>
      </c>
      <c r="H288" s="63">
        <v>45457</v>
      </c>
      <c r="J288" s="1"/>
      <c r="K288" s="1">
        <v>14.7</v>
      </c>
      <c r="L288" s="1" t="s">
        <v>96</v>
      </c>
      <c r="M288" s="1" t="s">
        <v>107</v>
      </c>
      <c r="N288" s="1" t="str">
        <f t="shared" si="4"/>
        <v>Normal</v>
      </c>
    </row>
    <row r="289" spans="1:14" x14ac:dyDescent="0.25">
      <c r="A289" s="1" t="s">
        <v>774</v>
      </c>
      <c r="B289" s="1" t="s">
        <v>84</v>
      </c>
      <c r="C289" s="1" t="s">
        <v>775</v>
      </c>
      <c r="D289" s="1" t="s">
        <v>39</v>
      </c>
      <c r="E289" s="1" t="s">
        <v>17</v>
      </c>
      <c r="F289" s="1" t="s">
        <v>18</v>
      </c>
      <c r="G289" s="1">
        <v>102961</v>
      </c>
      <c r="H289" s="63">
        <v>45138</v>
      </c>
      <c r="I289" s="63">
        <v>45281</v>
      </c>
      <c r="J289" s="1">
        <v>143</v>
      </c>
      <c r="K289" s="1">
        <v>5.8</v>
      </c>
      <c r="L289" s="1" t="s">
        <v>29</v>
      </c>
      <c r="M289" s="1" t="s">
        <v>102</v>
      </c>
      <c r="N289" s="1" t="str">
        <f t="shared" si="4"/>
        <v>Normal</v>
      </c>
    </row>
    <row r="290" spans="1:14" x14ac:dyDescent="0.25">
      <c r="A290" s="1" t="s">
        <v>777</v>
      </c>
      <c r="B290" s="1" t="s">
        <v>84</v>
      </c>
      <c r="C290" s="1" t="s">
        <v>778</v>
      </c>
      <c r="D290" s="1" t="s">
        <v>16</v>
      </c>
      <c r="E290" s="1" t="s">
        <v>26</v>
      </c>
      <c r="F290" s="1" t="s">
        <v>33</v>
      </c>
      <c r="G290" s="1">
        <v>112836</v>
      </c>
      <c r="H290" s="63">
        <v>45120</v>
      </c>
      <c r="J290" s="1"/>
      <c r="K290" s="1">
        <v>10.6</v>
      </c>
      <c r="L290" s="1" t="s">
        <v>96</v>
      </c>
      <c r="M290" s="1" t="s">
        <v>102</v>
      </c>
      <c r="N290" s="1" t="str">
        <f t="shared" si="4"/>
        <v>Normal</v>
      </c>
    </row>
    <row r="291" spans="1:14" x14ac:dyDescent="0.25">
      <c r="A291" s="1" t="s">
        <v>780</v>
      </c>
      <c r="B291" s="1" t="s">
        <v>80</v>
      </c>
      <c r="C291" s="1" t="s">
        <v>71</v>
      </c>
      <c r="D291" s="1" t="s">
        <v>25</v>
      </c>
      <c r="E291" s="1" t="s">
        <v>100</v>
      </c>
      <c r="F291" s="1" t="s">
        <v>33</v>
      </c>
      <c r="G291" s="1">
        <v>149251</v>
      </c>
      <c r="H291" s="63">
        <v>45309</v>
      </c>
      <c r="J291" s="1"/>
      <c r="K291" s="1"/>
      <c r="L291" s="1" t="s">
        <v>96</v>
      </c>
      <c r="M291" s="1" t="s">
        <v>69</v>
      </c>
      <c r="N291" s="1" t="str">
        <f t="shared" si="4"/>
        <v>Normal</v>
      </c>
    </row>
    <row r="292" spans="1:14" x14ac:dyDescent="0.25">
      <c r="A292" s="1" t="s">
        <v>781</v>
      </c>
      <c r="B292" s="1" t="s">
        <v>109</v>
      </c>
      <c r="C292" s="1" t="s">
        <v>782</v>
      </c>
      <c r="D292" s="1" t="s">
        <v>90</v>
      </c>
      <c r="E292" s="1" t="s">
        <v>72</v>
      </c>
      <c r="F292" s="1" t="s">
        <v>33</v>
      </c>
      <c r="G292" s="1">
        <v>174034</v>
      </c>
      <c r="H292" s="63">
        <v>45241</v>
      </c>
      <c r="J292" s="1"/>
      <c r="K292" s="1"/>
      <c r="L292" s="1" t="s">
        <v>96</v>
      </c>
      <c r="M292" s="1" t="s">
        <v>21</v>
      </c>
      <c r="N292" s="1" t="str">
        <f t="shared" si="4"/>
        <v>Normal</v>
      </c>
    </row>
    <row r="293" spans="1:14" x14ac:dyDescent="0.25">
      <c r="A293" s="1" t="s">
        <v>784</v>
      </c>
      <c r="B293" s="1" t="s">
        <v>88</v>
      </c>
      <c r="C293" s="1" t="s">
        <v>71</v>
      </c>
      <c r="D293" s="1" t="s">
        <v>90</v>
      </c>
      <c r="E293" s="1" t="s">
        <v>77</v>
      </c>
      <c r="F293" s="1" t="s">
        <v>33</v>
      </c>
      <c r="G293" s="1">
        <v>451178</v>
      </c>
      <c r="H293" s="63">
        <v>45217</v>
      </c>
      <c r="J293" s="1"/>
      <c r="K293" s="1"/>
      <c r="L293" s="1" t="s">
        <v>96</v>
      </c>
      <c r="M293" s="1" t="s">
        <v>21</v>
      </c>
      <c r="N293" s="1" t="str">
        <f t="shared" si="4"/>
        <v>Normal</v>
      </c>
    </row>
    <row r="294" spans="1:14" x14ac:dyDescent="0.25">
      <c r="A294" s="1" t="s">
        <v>785</v>
      </c>
      <c r="B294" s="1" t="s">
        <v>80</v>
      </c>
      <c r="C294" s="1" t="s">
        <v>99</v>
      </c>
      <c r="D294" s="1" t="s">
        <v>25</v>
      </c>
      <c r="E294" s="1" t="s">
        <v>47</v>
      </c>
      <c r="F294" s="1" t="s">
        <v>18</v>
      </c>
      <c r="G294" s="1">
        <v>83097</v>
      </c>
      <c r="H294" s="63">
        <v>45046</v>
      </c>
      <c r="I294" s="63">
        <v>45139</v>
      </c>
      <c r="J294" s="1">
        <v>93</v>
      </c>
      <c r="K294" s="1"/>
      <c r="L294" s="1" t="s">
        <v>49</v>
      </c>
      <c r="M294" s="1" t="s">
        <v>30</v>
      </c>
      <c r="N294" s="1" t="str">
        <f t="shared" si="4"/>
        <v>Normal</v>
      </c>
    </row>
    <row r="295" spans="1:14" x14ac:dyDescent="0.25">
      <c r="A295" s="1" t="s">
        <v>786</v>
      </c>
      <c r="B295" s="1" t="s">
        <v>127</v>
      </c>
      <c r="C295" s="1" t="s">
        <v>135</v>
      </c>
      <c r="D295" s="1" t="s">
        <v>67</v>
      </c>
      <c r="E295" s="1" t="s">
        <v>17</v>
      </c>
      <c r="F295" s="1" t="s">
        <v>129</v>
      </c>
      <c r="G295" s="1">
        <v>379458</v>
      </c>
      <c r="H295" s="63">
        <v>45168</v>
      </c>
      <c r="J295" s="1"/>
      <c r="K295" s="1"/>
      <c r="L295" s="1" t="s">
        <v>49</v>
      </c>
      <c r="M295" s="1" t="s">
        <v>102</v>
      </c>
      <c r="N295" s="1" t="str">
        <f t="shared" si="4"/>
        <v>Normal</v>
      </c>
    </row>
    <row r="296" spans="1:14" x14ac:dyDescent="0.25">
      <c r="A296" s="1" t="s">
        <v>787</v>
      </c>
      <c r="B296" s="1" t="s">
        <v>37</v>
      </c>
      <c r="C296" s="1" t="s">
        <v>686</v>
      </c>
      <c r="D296" s="1" t="s">
        <v>90</v>
      </c>
      <c r="E296" s="1" t="s">
        <v>77</v>
      </c>
      <c r="F296" s="1" t="s">
        <v>33</v>
      </c>
      <c r="G296" s="1">
        <v>480569</v>
      </c>
      <c r="H296" s="63">
        <v>45171</v>
      </c>
      <c r="J296" s="1"/>
      <c r="K296" s="1">
        <v>1.3</v>
      </c>
      <c r="L296" s="1" t="s">
        <v>96</v>
      </c>
      <c r="M296" s="1" t="s">
        <v>102</v>
      </c>
      <c r="N296" s="1" t="str">
        <f t="shared" si="4"/>
        <v>Normal</v>
      </c>
    </row>
    <row r="297" spans="1:14" x14ac:dyDescent="0.25">
      <c r="A297" s="1" t="s">
        <v>789</v>
      </c>
      <c r="B297" s="1" t="s">
        <v>37</v>
      </c>
      <c r="C297" s="1" t="s">
        <v>790</v>
      </c>
      <c r="D297" s="1" t="s">
        <v>46</v>
      </c>
      <c r="E297" s="1" t="s">
        <v>77</v>
      </c>
      <c r="F297" s="1" t="s">
        <v>18</v>
      </c>
      <c r="G297" s="1">
        <v>101283</v>
      </c>
      <c r="H297" s="63">
        <v>45451</v>
      </c>
      <c r="I297" s="63">
        <v>45467</v>
      </c>
      <c r="J297" s="1">
        <v>16</v>
      </c>
      <c r="K297" s="1">
        <v>4.0999999999999996</v>
      </c>
      <c r="L297" s="1" t="s">
        <v>29</v>
      </c>
      <c r="M297" s="1" t="s">
        <v>107</v>
      </c>
      <c r="N297" s="1" t="str">
        <f t="shared" si="4"/>
        <v>Normal</v>
      </c>
    </row>
    <row r="298" spans="1:14" x14ac:dyDescent="0.25">
      <c r="A298" s="1" t="s">
        <v>792</v>
      </c>
      <c r="B298" s="1" t="s">
        <v>75</v>
      </c>
      <c r="C298" s="1" t="s">
        <v>433</v>
      </c>
      <c r="D298" s="1" t="s">
        <v>16</v>
      </c>
      <c r="E298" s="1" t="s">
        <v>77</v>
      </c>
      <c r="F298" s="1" t="s">
        <v>40</v>
      </c>
      <c r="G298" s="1">
        <v>32117</v>
      </c>
      <c r="H298" s="63">
        <v>45489</v>
      </c>
      <c r="I298" s="63">
        <v>45637</v>
      </c>
      <c r="J298" s="1">
        <v>148</v>
      </c>
      <c r="K298" s="1">
        <v>12</v>
      </c>
      <c r="L298" s="1" t="s">
        <v>49</v>
      </c>
      <c r="M298" s="1" t="s">
        <v>149</v>
      </c>
      <c r="N298" s="1" t="str">
        <f t="shared" si="4"/>
        <v>Normal</v>
      </c>
    </row>
    <row r="299" spans="1:14" x14ac:dyDescent="0.25">
      <c r="A299" s="1" t="s">
        <v>794</v>
      </c>
      <c r="B299" s="1" t="s">
        <v>37</v>
      </c>
      <c r="C299" s="1" t="s">
        <v>561</v>
      </c>
      <c r="D299" s="1" t="s">
        <v>46</v>
      </c>
      <c r="E299" s="1" t="s">
        <v>100</v>
      </c>
      <c r="F299" s="1" t="s">
        <v>40</v>
      </c>
      <c r="G299" s="1">
        <v>284250</v>
      </c>
      <c r="H299" s="63">
        <v>45509</v>
      </c>
      <c r="I299" s="63">
        <v>45536</v>
      </c>
      <c r="J299" s="1">
        <v>27</v>
      </c>
      <c r="K299" s="1">
        <v>22.9</v>
      </c>
      <c r="L299" s="1" t="s">
        <v>96</v>
      </c>
      <c r="M299" s="1" t="s">
        <v>149</v>
      </c>
      <c r="N299" s="1" t="str">
        <f t="shared" si="4"/>
        <v>Normal</v>
      </c>
    </row>
    <row r="300" spans="1:14" x14ac:dyDescent="0.25">
      <c r="A300" s="1" t="s">
        <v>796</v>
      </c>
      <c r="B300" s="1" t="s">
        <v>88</v>
      </c>
      <c r="C300" s="1" t="s">
        <v>797</v>
      </c>
      <c r="D300" s="1" t="s">
        <v>16</v>
      </c>
      <c r="E300" s="1" t="s">
        <v>72</v>
      </c>
      <c r="F300" s="1" t="s">
        <v>18</v>
      </c>
      <c r="G300" s="1">
        <v>223130</v>
      </c>
      <c r="H300" s="63">
        <v>45019</v>
      </c>
      <c r="I300" s="63">
        <v>45196</v>
      </c>
      <c r="J300" s="1">
        <v>177</v>
      </c>
      <c r="K300" s="1">
        <v>10.9</v>
      </c>
      <c r="L300" s="1" t="s">
        <v>29</v>
      </c>
      <c r="M300" s="1" t="s">
        <v>30</v>
      </c>
      <c r="N300" s="1" t="str">
        <f t="shared" si="4"/>
        <v>Normal</v>
      </c>
    </row>
    <row r="301" spans="1:14" x14ac:dyDescent="0.25">
      <c r="A301" s="1" t="s">
        <v>799</v>
      </c>
      <c r="B301" s="1" t="s">
        <v>109</v>
      </c>
      <c r="C301" s="1" t="s">
        <v>800</v>
      </c>
      <c r="D301" s="1" t="s">
        <v>16</v>
      </c>
      <c r="E301" s="1" t="s">
        <v>47</v>
      </c>
      <c r="F301" s="1" t="s">
        <v>129</v>
      </c>
      <c r="G301" s="1">
        <v>68977</v>
      </c>
      <c r="H301" s="63">
        <v>45078</v>
      </c>
      <c r="J301" s="1"/>
      <c r="K301" s="1"/>
      <c r="L301" s="1" t="s">
        <v>49</v>
      </c>
      <c r="M301" s="1" t="s">
        <v>30</v>
      </c>
      <c r="N301" s="1" t="str">
        <f t="shared" si="4"/>
        <v>Normal</v>
      </c>
    </row>
    <row r="302" spans="1:14" x14ac:dyDescent="0.25">
      <c r="A302" s="1" t="s">
        <v>802</v>
      </c>
      <c r="B302" s="1" t="s">
        <v>37</v>
      </c>
      <c r="C302" s="1" t="s">
        <v>295</v>
      </c>
      <c r="D302" s="1" t="s">
        <v>16</v>
      </c>
      <c r="E302" s="1" t="s">
        <v>47</v>
      </c>
      <c r="F302" s="1" t="s">
        <v>129</v>
      </c>
      <c r="G302" s="1">
        <v>207114</v>
      </c>
      <c r="H302" s="63">
        <v>45374</v>
      </c>
      <c r="J302" s="1"/>
      <c r="K302" s="1">
        <v>1.4</v>
      </c>
      <c r="L302" s="1" t="s">
        <v>49</v>
      </c>
      <c r="M302" s="1" t="s">
        <v>69</v>
      </c>
      <c r="N302" s="1" t="str">
        <f t="shared" si="4"/>
        <v>Normal</v>
      </c>
    </row>
    <row r="303" spans="1:14" x14ac:dyDescent="0.25">
      <c r="A303" s="1" t="s">
        <v>803</v>
      </c>
      <c r="B303" s="1" t="s">
        <v>98</v>
      </c>
      <c r="C303" s="1" t="s">
        <v>696</v>
      </c>
      <c r="D303" s="1" t="s">
        <v>39</v>
      </c>
      <c r="E303" s="1" t="s">
        <v>77</v>
      </c>
      <c r="F303" s="1" t="s">
        <v>40</v>
      </c>
      <c r="G303" s="1">
        <v>52628</v>
      </c>
      <c r="H303" s="63">
        <v>45400</v>
      </c>
      <c r="I303" s="63">
        <v>45569</v>
      </c>
      <c r="J303" s="1">
        <v>169</v>
      </c>
      <c r="K303" s="1">
        <v>23.7</v>
      </c>
      <c r="L303" s="1" t="s">
        <v>49</v>
      </c>
      <c r="M303" s="1" t="s">
        <v>107</v>
      </c>
      <c r="N303" s="1" t="str">
        <f t="shared" si="4"/>
        <v>Normal</v>
      </c>
    </row>
    <row r="304" spans="1:14" x14ac:dyDescent="0.25">
      <c r="A304" s="1" t="s">
        <v>804</v>
      </c>
      <c r="B304" s="1" t="s">
        <v>37</v>
      </c>
      <c r="C304" s="1" t="s">
        <v>805</v>
      </c>
      <c r="D304" s="1" t="s">
        <v>16</v>
      </c>
      <c r="E304" s="1" t="s">
        <v>94</v>
      </c>
      <c r="F304" s="1" t="s">
        <v>53</v>
      </c>
      <c r="G304" s="1">
        <v>446479</v>
      </c>
      <c r="H304" s="63">
        <v>45628</v>
      </c>
      <c r="J304" s="1"/>
      <c r="K304" s="1">
        <v>4.7</v>
      </c>
      <c r="L304" s="1" t="s">
        <v>49</v>
      </c>
      <c r="M304" s="1" t="s">
        <v>42</v>
      </c>
      <c r="N304" s="1" t="str">
        <f t="shared" si="4"/>
        <v>Normal</v>
      </c>
    </row>
    <row r="305" spans="1:14" x14ac:dyDescent="0.25">
      <c r="A305" s="1" t="s">
        <v>806</v>
      </c>
      <c r="B305" s="1" t="s">
        <v>127</v>
      </c>
      <c r="C305" s="1" t="s">
        <v>99</v>
      </c>
      <c r="D305" s="1" t="s">
        <v>25</v>
      </c>
      <c r="E305" s="1" t="s">
        <v>72</v>
      </c>
      <c r="F305" s="1" t="s">
        <v>53</v>
      </c>
      <c r="G305" s="1">
        <v>241527</v>
      </c>
      <c r="H305" s="63">
        <v>45175</v>
      </c>
      <c r="J305" s="1"/>
      <c r="K305" s="1">
        <v>8.5</v>
      </c>
      <c r="L305" s="1" t="s">
        <v>49</v>
      </c>
      <c r="M305" s="1" t="s">
        <v>102</v>
      </c>
      <c r="N305" s="1" t="str">
        <f t="shared" si="4"/>
        <v>Normal</v>
      </c>
    </row>
    <row r="306" spans="1:14" x14ac:dyDescent="0.25">
      <c r="A306" s="1" t="s">
        <v>808</v>
      </c>
      <c r="B306" s="1" t="s">
        <v>75</v>
      </c>
      <c r="C306" s="1" t="s">
        <v>809</v>
      </c>
      <c r="D306" s="1" t="s">
        <v>90</v>
      </c>
      <c r="E306" s="1" t="s">
        <v>61</v>
      </c>
      <c r="F306" s="1" t="s">
        <v>53</v>
      </c>
      <c r="G306" s="1">
        <v>351044</v>
      </c>
      <c r="H306" s="63">
        <v>45717</v>
      </c>
      <c r="J306" s="1"/>
      <c r="K306" s="1">
        <v>8.6999999999999993</v>
      </c>
      <c r="L306" s="1" t="s">
        <v>29</v>
      </c>
      <c r="M306" s="1" t="s">
        <v>63</v>
      </c>
      <c r="N306" s="1" t="str">
        <f t="shared" si="4"/>
        <v>Normal</v>
      </c>
    </row>
    <row r="307" spans="1:14" x14ac:dyDescent="0.25">
      <c r="A307" s="1" t="s">
        <v>810</v>
      </c>
      <c r="B307" s="1" t="s">
        <v>84</v>
      </c>
      <c r="C307" s="1" t="s">
        <v>436</v>
      </c>
      <c r="D307" s="1" t="s">
        <v>25</v>
      </c>
      <c r="E307" s="1" t="s">
        <v>61</v>
      </c>
      <c r="F307" s="1" t="s">
        <v>40</v>
      </c>
      <c r="G307" s="1">
        <v>77558</v>
      </c>
      <c r="H307" s="63">
        <v>45488</v>
      </c>
      <c r="I307" s="63">
        <v>45527</v>
      </c>
      <c r="J307" s="1">
        <v>39</v>
      </c>
      <c r="K307" s="1">
        <v>1</v>
      </c>
      <c r="L307" s="1" t="s">
        <v>96</v>
      </c>
      <c r="M307" s="1" t="s">
        <v>149</v>
      </c>
      <c r="N307" s="1" t="str">
        <f t="shared" si="4"/>
        <v>Normal</v>
      </c>
    </row>
    <row r="308" spans="1:14" x14ac:dyDescent="0.25">
      <c r="A308" s="1" t="s">
        <v>812</v>
      </c>
      <c r="B308" s="1" t="s">
        <v>173</v>
      </c>
      <c r="C308" s="1" t="s">
        <v>813</v>
      </c>
      <c r="D308" s="1" t="s">
        <v>39</v>
      </c>
      <c r="E308" s="1" t="s">
        <v>61</v>
      </c>
      <c r="F308" s="1" t="s">
        <v>53</v>
      </c>
      <c r="G308" s="1">
        <v>106435</v>
      </c>
      <c r="H308" s="63">
        <v>45643</v>
      </c>
      <c r="J308" s="1"/>
      <c r="K308" s="1"/>
      <c r="L308" s="1" t="s">
        <v>29</v>
      </c>
      <c r="M308" s="1" t="s">
        <v>42</v>
      </c>
      <c r="N308" s="1" t="str">
        <f t="shared" si="4"/>
        <v>Normal</v>
      </c>
    </row>
    <row r="309" spans="1:14" x14ac:dyDescent="0.25">
      <c r="A309" s="1" t="s">
        <v>815</v>
      </c>
      <c r="B309" s="1" t="s">
        <v>127</v>
      </c>
      <c r="C309" s="1" t="s">
        <v>364</v>
      </c>
      <c r="D309" s="1" t="s">
        <v>90</v>
      </c>
      <c r="E309" s="1" t="s">
        <v>72</v>
      </c>
      <c r="F309" s="1" t="s">
        <v>40</v>
      </c>
      <c r="G309" s="1">
        <v>93029</v>
      </c>
      <c r="H309" s="63">
        <v>45261</v>
      </c>
      <c r="I309" s="63">
        <v>45424</v>
      </c>
      <c r="J309" s="1">
        <v>163</v>
      </c>
      <c r="K309" s="1">
        <v>8.4</v>
      </c>
      <c r="L309" s="1" t="s">
        <v>29</v>
      </c>
      <c r="M309" s="1" t="s">
        <v>21</v>
      </c>
      <c r="N309" s="1" t="str">
        <f t="shared" si="4"/>
        <v>Normal</v>
      </c>
    </row>
    <row r="310" spans="1:14" x14ac:dyDescent="0.25">
      <c r="A310" s="1" t="s">
        <v>817</v>
      </c>
      <c r="B310" s="1" t="s">
        <v>14</v>
      </c>
      <c r="C310" s="1" t="s">
        <v>818</v>
      </c>
      <c r="D310" s="1" t="s">
        <v>46</v>
      </c>
      <c r="E310" s="1" t="s">
        <v>26</v>
      </c>
      <c r="F310" s="1" t="s">
        <v>33</v>
      </c>
      <c r="G310" s="1">
        <v>272907</v>
      </c>
      <c r="H310" s="63">
        <v>45552</v>
      </c>
      <c r="J310" s="1"/>
      <c r="K310" s="1">
        <v>9</v>
      </c>
      <c r="L310" s="1" t="s">
        <v>96</v>
      </c>
      <c r="M310" s="1" t="s">
        <v>149</v>
      </c>
      <c r="N310" s="1" t="str">
        <f t="shared" si="4"/>
        <v>Normal</v>
      </c>
    </row>
    <row r="311" spans="1:14" x14ac:dyDescent="0.25">
      <c r="A311" s="1" t="s">
        <v>820</v>
      </c>
      <c r="B311" s="1" t="s">
        <v>59</v>
      </c>
      <c r="C311" s="1" t="s">
        <v>737</v>
      </c>
      <c r="D311" s="1" t="s">
        <v>39</v>
      </c>
      <c r="E311" s="1" t="s">
        <v>77</v>
      </c>
      <c r="F311" s="1" t="s">
        <v>27</v>
      </c>
      <c r="G311" s="1">
        <v>164922</v>
      </c>
      <c r="H311" s="63">
        <v>45541</v>
      </c>
      <c r="J311" s="1"/>
      <c r="K311" s="1"/>
      <c r="L311" s="1" t="s">
        <v>49</v>
      </c>
      <c r="M311" s="1" t="s">
        <v>149</v>
      </c>
      <c r="N311" s="1" t="str">
        <f t="shared" si="4"/>
        <v>Normal</v>
      </c>
    </row>
    <row r="312" spans="1:14" x14ac:dyDescent="0.25">
      <c r="A312" s="1" t="s">
        <v>822</v>
      </c>
      <c r="B312" s="1" t="s">
        <v>44</v>
      </c>
      <c r="C312" s="1" t="s">
        <v>449</v>
      </c>
      <c r="D312" s="1" t="s">
        <v>16</v>
      </c>
      <c r="E312" s="1" t="s">
        <v>26</v>
      </c>
      <c r="F312" s="1" t="s">
        <v>33</v>
      </c>
      <c r="G312" s="1">
        <v>239946</v>
      </c>
      <c r="H312" s="63">
        <v>45251</v>
      </c>
      <c r="J312" s="1"/>
      <c r="K312" s="1"/>
      <c r="L312" s="1" t="s">
        <v>29</v>
      </c>
      <c r="M312" s="1" t="s">
        <v>21</v>
      </c>
      <c r="N312" s="1" t="str">
        <f t="shared" si="4"/>
        <v>Normal</v>
      </c>
    </row>
    <row r="313" spans="1:14" x14ac:dyDescent="0.25">
      <c r="A313" s="1" t="s">
        <v>824</v>
      </c>
      <c r="B313" s="1" t="s">
        <v>104</v>
      </c>
      <c r="C313" s="1" t="s">
        <v>287</v>
      </c>
      <c r="D313" s="1" t="s">
        <v>39</v>
      </c>
      <c r="E313" s="1" t="s">
        <v>17</v>
      </c>
      <c r="F313" s="1" t="s">
        <v>18</v>
      </c>
      <c r="G313" s="1">
        <v>344897</v>
      </c>
      <c r="H313" s="63">
        <v>45162</v>
      </c>
      <c r="I313" s="63">
        <v>45296</v>
      </c>
      <c r="J313" s="1">
        <v>134</v>
      </c>
      <c r="K313" s="1">
        <v>3.6</v>
      </c>
      <c r="L313" s="1" t="s">
        <v>49</v>
      </c>
      <c r="M313" s="1" t="s">
        <v>102</v>
      </c>
      <c r="N313" s="1" t="str">
        <f t="shared" si="4"/>
        <v>Normal</v>
      </c>
    </row>
    <row r="314" spans="1:14" x14ac:dyDescent="0.25">
      <c r="A314" s="1" t="s">
        <v>826</v>
      </c>
      <c r="B314" s="1" t="s">
        <v>23</v>
      </c>
      <c r="C314" s="1" t="s">
        <v>295</v>
      </c>
      <c r="D314" s="1" t="s">
        <v>67</v>
      </c>
      <c r="E314" s="1" t="s">
        <v>61</v>
      </c>
      <c r="F314" s="1" t="s">
        <v>53</v>
      </c>
      <c r="G314" s="1">
        <v>335584</v>
      </c>
      <c r="H314" s="63">
        <v>45221</v>
      </c>
      <c r="J314" s="1"/>
      <c r="K314" s="1">
        <v>0.2</v>
      </c>
      <c r="L314" s="1" t="s">
        <v>96</v>
      </c>
      <c r="M314" s="1" t="s">
        <v>21</v>
      </c>
      <c r="N314" s="1" t="str">
        <f t="shared" si="4"/>
        <v>Normal</v>
      </c>
    </row>
    <row r="315" spans="1:14" x14ac:dyDescent="0.25">
      <c r="A315" s="1" t="s">
        <v>828</v>
      </c>
      <c r="B315" s="1" t="s">
        <v>14</v>
      </c>
      <c r="C315" s="1" t="s">
        <v>505</v>
      </c>
      <c r="D315" s="1" t="s">
        <v>67</v>
      </c>
      <c r="E315" s="1" t="s">
        <v>77</v>
      </c>
      <c r="F315" s="1" t="s">
        <v>33</v>
      </c>
      <c r="G315" s="1">
        <v>457082</v>
      </c>
      <c r="H315" s="63">
        <v>45694</v>
      </c>
      <c r="J315" s="1"/>
      <c r="K315" s="1">
        <v>0.4</v>
      </c>
      <c r="L315" s="1" t="s">
        <v>20</v>
      </c>
      <c r="M315" s="1" t="s">
        <v>63</v>
      </c>
      <c r="N315" s="1" t="str">
        <f t="shared" si="4"/>
        <v>Normal</v>
      </c>
    </row>
    <row r="316" spans="1:14" x14ac:dyDescent="0.25">
      <c r="A316" s="1" t="s">
        <v>830</v>
      </c>
      <c r="B316" s="1" t="s">
        <v>173</v>
      </c>
      <c r="C316" s="1" t="s">
        <v>831</v>
      </c>
      <c r="D316" s="1" t="s">
        <v>67</v>
      </c>
      <c r="E316" s="1" t="s">
        <v>47</v>
      </c>
      <c r="F316" s="1" t="s">
        <v>27</v>
      </c>
      <c r="G316" s="1">
        <v>138857</v>
      </c>
      <c r="H316" s="63">
        <v>45221</v>
      </c>
      <c r="J316" s="1"/>
      <c r="K316" s="1"/>
      <c r="L316" s="1" t="s">
        <v>49</v>
      </c>
      <c r="M316" s="1" t="s">
        <v>21</v>
      </c>
      <c r="N316" s="1" t="str">
        <f t="shared" si="4"/>
        <v>Normal</v>
      </c>
    </row>
    <row r="317" spans="1:14" x14ac:dyDescent="0.25">
      <c r="A317" s="1" t="s">
        <v>832</v>
      </c>
      <c r="B317" s="1" t="s">
        <v>23</v>
      </c>
      <c r="C317" s="1" t="s">
        <v>735</v>
      </c>
      <c r="D317" s="1" t="s">
        <v>25</v>
      </c>
      <c r="E317" s="1" t="s">
        <v>17</v>
      </c>
      <c r="F317" s="1" t="s">
        <v>129</v>
      </c>
      <c r="G317" s="1">
        <v>441652</v>
      </c>
      <c r="H317" s="63">
        <v>45212</v>
      </c>
      <c r="J317" s="1"/>
      <c r="K317" s="1">
        <v>13.6</v>
      </c>
      <c r="L317" s="1" t="s">
        <v>20</v>
      </c>
      <c r="M317" s="1" t="s">
        <v>21</v>
      </c>
      <c r="N317" s="1" t="str">
        <f t="shared" si="4"/>
        <v>Normal</v>
      </c>
    </row>
    <row r="318" spans="1:14" x14ac:dyDescent="0.25">
      <c r="A318" s="1" t="s">
        <v>834</v>
      </c>
      <c r="B318" s="1" t="s">
        <v>59</v>
      </c>
      <c r="C318" s="1" t="s">
        <v>436</v>
      </c>
      <c r="D318" s="1" t="s">
        <v>16</v>
      </c>
      <c r="E318" s="1" t="s">
        <v>26</v>
      </c>
      <c r="F318" s="1" t="s">
        <v>27</v>
      </c>
      <c r="G318" s="1">
        <v>1945320</v>
      </c>
      <c r="H318" s="63">
        <v>45372</v>
      </c>
      <c r="J318" s="1"/>
      <c r="K318" s="1"/>
      <c r="L318" s="1" t="s">
        <v>20</v>
      </c>
      <c r="M318" s="1" t="s">
        <v>69</v>
      </c>
      <c r="N318" s="1" t="str">
        <f t="shared" si="4"/>
        <v>High Outlier</v>
      </c>
    </row>
    <row r="319" spans="1:14" x14ac:dyDescent="0.25">
      <c r="A319" s="1" t="s">
        <v>836</v>
      </c>
      <c r="B319" s="1" t="s">
        <v>59</v>
      </c>
      <c r="C319" s="1" t="s">
        <v>165</v>
      </c>
      <c r="D319" s="1" t="s">
        <v>16</v>
      </c>
      <c r="E319" s="1" t="s">
        <v>47</v>
      </c>
      <c r="F319" s="1" t="s">
        <v>33</v>
      </c>
      <c r="G319" s="1">
        <v>45712</v>
      </c>
      <c r="H319" s="63">
        <v>45587</v>
      </c>
      <c r="J319" s="1"/>
      <c r="K319" s="1">
        <v>12.5</v>
      </c>
      <c r="L319" s="1" t="s">
        <v>20</v>
      </c>
      <c r="M319" s="1" t="s">
        <v>42</v>
      </c>
      <c r="N319" s="1" t="str">
        <f t="shared" si="4"/>
        <v>Normal</v>
      </c>
    </row>
    <row r="320" spans="1:14" x14ac:dyDescent="0.25">
      <c r="A320" s="1" t="s">
        <v>837</v>
      </c>
      <c r="B320" s="1" t="s">
        <v>37</v>
      </c>
      <c r="C320" s="1" t="s">
        <v>838</v>
      </c>
      <c r="D320" s="1" t="s">
        <v>90</v>
      </c>
      <c r="E320" s="1" t="s">
        <v>26</v>
      </c>
      <c r="F320" s="1" t="s">
        <v>33</v>
      </c>
      <c r="G320" s="1">
        <v>346250</v>
      </c>
      <c r="H320" s="63">
        <v>45222</v>
      </c>
      <c r="J320" s="1"/>
      <c r="K320" s="1"/>
      <c r="L320" s="1" t="s">
        <v>96</v>
      </c>
      <c r="M320" s="1" t="s">
        <v>21</v>
      </c>
      <c r="N320" s="1" t="str">
        <f t="shared" si="4"/>
        <v>Normal</v>
      </c>
    </row>
    <row r="321" spans="1:14" x14ac:dyDescent="0.25">
      <c r="A321" s="1" t="s">
        <v>840</v>
      </c>
      <c r="B321" s="1" t="s">
        <v>59</v>
      </c>
      <c r="C321" s="1" t="s">
        <v>497</v>
      </c>
      <c r="D321" s="1" t="s">
        <v>46</v>
      </c>
      <c r="E321" s="1" t="s">
        <v>77</v>
      </c>
      <c r="F321" s="1" t="s">
        <v>33</v>
      </c>
      <c r="G321" s="1">
        <v>393963</v>
      </c>
      <c r="H321" s="63">
        <v>45288</v>
      </c>
      <c r="J321" s="1"/>
      <c r="K321" s="1">
        <v>7.2</v>
      </c>
      <c r="L321" s="1" t="s">
        <v>49</v>
      </c>
      <c r="M321" s="1" t="s">
        <v>21</v>
      </c>
      <c r="N321" s="1" t="str">
        <f t="shared" si="4"/>
        <v>Normal</v>
      </c>
    </row>
    <row r="322" spans="1:14" x14ac:dyDescent="0.25">
      <c r="A322" s="1" t="s">
        <v>842</v>
      </c>
      <c r="B322" s="1" t="s">
        <v>88</v>
      </c>
      <c r="C322" s="1" t="s">
        <v>160</v>
      </c>
      <c r="D322" s="1" t="s">
        <v>16</v>
      </c>
      <c r="E322" s="1" t="s">
        <v>77</v>
      </c>
      <c r="F322" s="1" t="s">
        <v>33</v>
      </c>
      <c r="G322" s="1">
        <v>221926</v>
      </c>
      <c r="H322" s="63">
        <v>45146</v>
      </c>
      <c r="J322" s="1"/>
      <c r="K322" s="1">
        <v>10.8</v>
      </c>
      <c r="L322" s="1" t="s">
        <v>20</v>
      </c>
      <c r="M322" s="1" t="s">
        <v>102</v>
      </c>
      <c r="N322" s="1" t="str">
        <f t="shared" ref="N322:N385" si="5">IF(G322&gt;$R$5,"High Outlier",IF(G322&lt;$R$6,"Low Outlier","Normal"))</f>
        <v>Normal</v>
      </c>
    </row>
    <row r="323" spans="1:14" x14ac:dyDescent="0.25">
      <c r="A323" s="1" t="s">
        <v>843</v>
      </c>
      <c r="B323" s="1" t="s">
        <v>80</v>
      </c>
      <c r="C323" s="1" t="s">
        <v>316</v>
      </c>
      <c r="D323" s="1" t="s">
        <v>16</v>
      </c>
      <c r="E323" s="1" t="s">
        <v>61</v>
      </c>
      <c r="F323" s="1" t="s">
        <v>53</v>
      </c>
      <c r="G323" s="1">
        <v>222242</v>
      </c>
      <c r="H323" s="63">
        <v>45494</v>
      </c>
      <c r="J323" s="1"/>
      <c r="K323" s="1"/>
      <c r="L323" s="1" t="s">
        <v>29</v>
      </c>
      <c r="M323" s="1" t="s">
        <v>149</v>
      </c>
      <c r="N323" s="1" t="str">
        <f t="shared" si="5"/>
        <v>Normal</v>
      </c>
    </row>
    <row r="324" spans="1:14" x14ac:dyDescent="0.25">
      <c r="A324" s="1" t="s">
        <v>845</v>
      </c>
      <c r="B324" s="1" t="s">
        <v>109</v>
      </c>
      <c r="C324" s="1" t="s">
        <v>809</v>
      </c>
      <c r="D324" s="1" t="s">
        <v>46</v>
      </c>
      <c r="E324" s="1" t="s">
        <v>47</v>
      </c>
      <c r="F324" s="1" t="s">
        <v>129</v>
      </c>
      <c r="G324" s="1">
        <v>29541</v>
      </c>
      <c r="H324" s="63">
        <v>45214</v>
      </c>
      <c r="J324" s="1"/>
      <c r="K324" s="1">
        <v>6</v>
      </c>
      <c r="L324" s="1" t="s">
        <v>20</v>
      </c>
      <c r="M324" s="1" t="s">
        <v>21</v>
      </c>
      <c r="N324" s="1" t="str">
        <f t="shared" si="5"/>
        <v>Normal</v>
      </c>
    </row>
    <row r="325" spans="1:14" x14ac:dyDescent="0.25">
      <c r="A325" s="1" t="s">
        <v>847</v>
      </c>
      <c r="B325" s="1" t="s">
        <v>80</v>
      </c>
      <c r="C325" s="1" t="s">
        <v>838</v>
      </c>
      <c r="D325" s="1" t="s">
        <v>46</v>
      </c>
      <c r="E325" s="1" t="s">
        <v>47</v>
      </c>
      <c r="F325" s="1" t="s">
        <v>33</v>
      </c>
      <c r="G325" s="1">
        <v>433685</v>
      </c>
      <c r="H325" s="63">
        <v>45340</v>
      </c>
      <c r="J325" s="1"/>
      <c r="K325" s="1"/>
      <c r="L325" s="1" t="s">
        <v>20</v>
      </c>
      <c r="M325" s="1" t="s">
        <v>69</v>
      </c>
      <c r="N325" s="1" t="str">
        <f t="shared" si="5"/>
        <v>Normal</v>
      </c>
    </row>
    <row r="326" spans="1:14" x14ac:dyDescent="0.25">
      <c r="A326" s="1" t="s">
        <v>848</v>
      </c>
      <c r="B326" s="1" t="s">
        <v>127</v>
      </c>
      <c r="C326" s="1" t="s">
        <v>849</v>
      </c>
      <c r="D326" s="1" t="s">
        <v>39</v>
      </c>
      <c r="E326" s="1" t="s">
        <v>61</v>
      </c>
      <c r="F326" s="1" t="s">
        <v>27</v>
      </c>
      <c r="G326" s="1">
        <v>106903</v>
      </c>
      <c r="H326" s="63">
        <v>44954</v>
      </c>
      <c r="J326" s="1"/>
      <c r="K326" s="1"/>
      <c r="L326" s="1" t="s">
        <v>96</v>
      </c>
      <c r="M326" s="1" t="s">
        <v>35</v>
      </c>
      <c r="N326" s="1" t="str">
        <f t="shared" si="5"/>
        <v>Normal</v>
      </c>
    </row>
    <row r="327" spans="1:14" x14ac:dyDescent="0.25">
      <c r="A327" s="1" t="s">
        <v>851</v>
      </c>
      <c r="B327" s="1" t="s">
        <v>84</v>
      </c>
      <c r="C327" s="1" t="s">
        <v>852</v>
      </c>
      <c r="D327" s="1" t="s">
        <v>25</v>
      </c>
      <c r="E327" s="1" t="s">
        <v>72</v>
      </c>
      <c r="F327" s="1" t="s">
        <v>40</v>
      </c>
      <c r="G327" s="1">
        <v>495555</v>
      </c>
      <c r="H327" s="63">
        <v>45373</v>
      </c>
      <c r="I327" s="63">
        <v>45491</v>
      </c>
      <c r="J327" s="1">
        <v>118</v>
      </c>
      <c r="K327" s="1">
        <v>3.9</v>
      </c>
      <c r="L327" s="1" t="s">
        <v>20</v>
      </c>
      <c r="M327" s="1" t="s">
        <v>69</v>
      </c>
      <c r="N327" s="1" t="str">
        <f t="shared" si="5"/>
        <v>Normal</v>
      </c>
    </row>
    <row r="328" spans="1:14" x14ac:dyDescent="0.25">
      <c r="A328" s="1" t="s">
        <v>854</v>
      </c>
      <c r="B328" s="1" t="s">
        <v>75</v>
      </c>
      <c r="C328" s="1" t="s">
        <v>177</v>
      </c>
      <c r="D328" s="1" t="s">
        <v>25</v>
      </c>
      <c r="E328" s="1" t="s">
        <v>47</v>
      </c>
      <c r="F328" s="1" t="s">
        <v>129</v>
      </c>
      <c r="G328" s="1">
        <v>457926</v>
      </c>
      <c r="H328" s="63">
        <v>44984</v>
      </c>
      <c r="J328" s="1"/>
      <c r="K328" s="1">
        <v>5.9</v>
      </c>
      <c r="L328" s="1" t="s">
        <v>20</v>
      </c>
      <c r="M328" s="1" t="s">
        <v>35</v>
      </c>
      <c r="N328" s="1" t="str">
        <f t="shared" si="5"/>
        <v>Normal</v>
      </c>
    </row>
    <row r="329" spans="1:14" x14ac:dyDescent="0.25">
      <c r="A329" s="1" t="s">
        <v>856</v>
      </c>
      <c r="B329" s="1" t="s">
        <v>98</v>
      </c>
      <c r="C329" s="1" t="s">
        <v>831</v>
      </c>
      <c r="D329" s="1" t="s">
        <v>46</v>
      </c>
      <c r="E329" s="1" t="s">
        <v>100</v>
      </c>
      <c r="F329" s="1" t="s">
        <v>33</v>
      </c>
      <c r="G329" s="1">
        <v>499112</v>
      </c>
      <c r="H329" s="63">
        <v>45145</v>
      </c>
      <c r="J329" s="1"/>
      <c r="K329" s="1"/>
      <c r="L329" s="1" t="s">
        <v>29</v>
      </c>
      <c r="M329" s="1" t="s">
        <v>102</v>
      </c>
      <c r="N329" s="1" t="str">
        <f t="shared" si="5"/>
        <v>Normal</v>
      </c>
    </row>
    <row r="330" spans="1:14" x14ac:dyDescent="0.25">
      <c r="A330" s="1" t="s">
        <v>858</v>
      </c>
      <c r="B330" s="1" t="s">
        <v>65</v>
      </c>
      <c r="C330" s="1" t="s">
        <v>859</v>
      </c>
      <c r="D330" s="1" t="s">
        <v>46</v>
      </c>
      <c r="E330" s="1" t="s">
        <v>17</v>
      </c>
      <c r="F330" s="1" t="s">
        <v>129</v>
      </c>
      <c r="G330" s="1">
        <v>367175</v>
      </c>
      <c r="H330" s="63">
        <v>45044</v>
      </c>
      <c r="J330" s="1"/>
      <c r="K330" s="1">
        <v>14</v>
      </c>
      <c r="L330" s="1" t="s">
        <v>96</v>
      </c>
      <c r="M330" s="1" t="s">
        <v>30</v>
      </c>
      <c r="N330" s="1" t="str">
        <f t="shared" si="5"/>
        <v>Normal</v>
      </c>
    </row>
    <row r="331" spans="1:14" x14ac:dyDescent="0.25">
      <c r="A331" s="1" t="s">
        <v>861</v>
      </c>
      <c r="B331" s="1" t="s">
        <v>84</v>
      </c>
      <c r="C331" s="1" t="s">
        <v>862</v>
      </c>
      <c r="D331" s="1" t="s">
        <v>39</v>
      </c>
      <c r="E331" s="1" t="s">
        <v>100</v>
      </c>
      <c r="F331" s="1" t="s">
        <v>53</v>
      </c>
      <c r="G331" s="1">
        <v>423910</v>
      </c>
      <c r="H331" s="63">
        <v>45048</v>
      </c>
      <c r="J331" s="1"/>
      <c r="K331" s="1">
        <v>5.3</v>
      </c>
      <c r="L331" s="1" t="s">
        <v>20</v>
      </c>
      <c r="M331" s="1" t="s">
        <v>30</v>
      </c>
      <c r="N331" s="1" t="str">
        <f t="shared" si="5"/>
        <v>Normal</v>
      </c>
    </row>
    <row r="332" spans="1:14" x14ac:dyDescent="0.25">
      <c r="A332" s="1" t="s">
        <v>864</v>
      </c>
      <c r="B332" s="1" t="s">
        <v>84</v>
      </c>
      <c r="C332" s="1" t="s">
        <v>865</v>
      </c>
      <c r="D332" s="1" t="s">
        <v>16</v>
      </c>
      <c r="E332" s="1" t="s">
        <v>72</v>
      </c>
      <c r="F332" s="1" t="s">
        <v>33</v>
      </c>
      <c r="G332" s="1">
        <v>24321</v>
      </c>
      <c r="H332" s="63">
        <v>44989</v>
      </c>
      <c r="J332" s="1"/>
      <c r="K332" s="1">
        <v>12.4</v>
      </c>
      <c r="L332" s="1" t="s">
        <v>49</v>
      </c>
      <c r="M332" s="1" t="s">
        <v>35</v>
      </c>
      <c r="N332" s="1" t="str">
        <f t="shared" si="5"/>
        <v>Normal</v>
      </c>
    </row>
    <row r="333" spans="1:14" x14ac:dyDescent="0.25">
      <c r="A333" s="1" t="s">
        <v>866</v>
      </c>
      <c r="B333" s="1" t="s">
        <v>127</v>
      </c>
      <c r="C333" s="1" t="s">
        <v>662</v>
      </c>
      <c r="D333" s="1" t="s">
        <v>39</v>
      </c>
      <c r="E333" s="1" t="s">
        <v>100</v>
      </c>
      <c r="F333" s="1" t="s">
        <v>53</v>
      </c>
      <c r="G333" s="1">
        <v>391682</v>
      </c>
      <c r="H333" s="63">
        <v>45361</v>
      </c>
      <c r="J333" s="1"/>
      <c r="K333" s="1">
        <v>10.9</v>
      </c>
      <c r="L333" s="1" t="s">
        <v>96</v>
      </c>
      <c r="M333" s="1" t="s">
        <v>69</v>
      </c>
      <c r="N333" s="1" t="str">
        <f t="shared" si="5"/>
        <v>Normal</v>
      </c>
    </row>
    <row r="334" spans="1:14" x14ac:dyDescent="0.25">
      <c r="A334" s="1" t="s">
        <v>868</v>
      </c>
      <c r="B334" s="1" t="s">
        <v>104</v>
      </c>
      <c r="C334" s="1" t="s">
        <v>869</v>
      </c>
      <c r="D334" s="1" t="s">
        <v>39</v>
      </c>
      <c r="E334" s="1" t="s">
        <v>61</v>
      </c>
      <c r="F334" s="1" t="s">
        <v>18</v>
      </c>
      <c r="G334" s="1">
        <v>463002</v>
      </c>
      <c r="H334" s="63">
        <v>45445</v>
      </c>
      <c r="I334" s="63">
        <v>45566</v>
      </c>
      <c r="J334" s="1">
        <v>121</v>
      </c>
      <c r="K334" s="1">
        <v>6.7</v>
      </c>
      <c r="L334" s="1" t="s">
        <v>49</v>
      </c>
      <c r="M334" s="1" t="s">
        <v>107</v>
      </c>
      <c r="N334" s="1" t="str">
        <f t="shared" si="5"/>
        <v>Normal</v>
      </c>
    </row>
    <row r="335" spans="1:14" x14ac:dyDescent="0.25">
      <c r="A335" s="1" t="s">
        <v>871</v>
      </c>
      <c r="B335" s="1" t="s">
        <v>65</v>
      </c>
      <c r="C335" s="1" t="s">
        <v>38</v>
      </c>
      <c r="D335" s="1" t="s">
        <v>67</v>
      </c>
      <c r="E335" s="1" t="s">
        <v>17</v>
      </c>
      <c r="F335" s="1" t="s">
        <v>53</v>
      </c>
      <c r="G335" s="1">
        <v>349782</v>
      </c>
      <c r="H335" s="63">
        <v>45013</v>
      </c>
      <c r="J335" s="1"/>
      <c r="K335" s="1"/>
      <c r="L335" s="1" t="s">
        <v>49</v>
      </c>
      <c r="M335" s="1" t="s">
        <v>35</v>
      </c>
      <c r="N335" s="1" t="str">
        <f t="shared" si="5"/>
        <v>Normal</v>
      </c>
    </row>
    <row r="336" spans="1:14" x14ac:dyDescent="0.25">
      <c r="A336" s="1" t="s">
        <v>873</v>
      </c>
      <c r="B336" s="1" t="s">
        <v>127</v>
      </c>
      <c r="C336" s="1" t="s">
        <v>874</v>
      </c>
      <c r="D336" s="1" t="s">
        <v>25</v>
      </c>
      <c r="E336" s="1" t="s">
        <v>77</v>
      </c>
      <c r="F336" s="1" t="s">
        <v>18</v>
      </c>
      <c r="G336" s="1">
        <v>363001</v>
      </c>
      <c r="H336" s="63">
        <v>45129</v>
      </c>
      <c r="I336" s="63">
        <v>45249</v>
      </c>
      <c r="J336" s="1">
        <v>120</v>
      </c>
      <c r="K336" s="1">
        <v>9.6</v>
      </c>
      <c r="L336" s="1" t="s">
        <v>49</v>
      </c>
      <c r="M336" s="1" t="s">
        <v>102</v>
      </c>
      <c r="N336" s="1" t="str">
        <f t="shared" si="5"/>
        <v>Normal</v>
      </c>
    </row>
    <row r="337" spans="1:14" x14ac:dyDescent="0.25">
      <c r="A337" s="1" t="s">
        <v>876</v>
      </c>
      <c r="B337" s="1" t="s">
        <v>127</v>
      </c>
      <c r="C337" s="1" t="s">
        <v>877</v>
      </c>
      <c r="D337" s="1" t="s">
        <v>39</v>
      </c>
      <c r="E337" s="1" t="s">
        <v>47</v>
      </c>
      <c r="F337" s="1" t="s">
        <v>33</v>
      </c>
      <c r="G337" s="1">
        <v>208828</v>
      </c>
      <c r="H337" s="63">
        <v>45523</v>
      </c>
      <c r="J337" s="1"/>
      <c r="K337" s="1">
        <v>13.5</v>
      </c>
      <c r="L337" s="1" t="s">
        <v>49</v>
      </c>
      <c r="M337" s="1" t="s">
        <v>149</v>
      </c>
      <c r="N337" s="1" t="str">
        <f t="shared" si="5"/>
        <v>Normal</v>
      </c>
    </row>
    <row r="338" spans="1:14" x14ac:dyDescent="0.25">
      <c r="A338" s="1" t="s">
        <v>879</v>
      </c>
      <c r="B338" s="1" t="s">
        <v>84</v>
      </c>
      <c r="C338" s="1" t="s">
        <v>571</v>
      </c>
      <c r="D338" s="1" t="s">
        <v>25</v>
      </c>
      <c r="E338" s="1" t="s">
        <v>17</v>
      </c>
      <c r="F338" s="1" t="s">
        <v>18</v>
      </c>
      <c r="G338" s="1">
        <v>42559</v>
      </c>
      <c r="H338" s="63">
        <v>45403</v>
      </c>
      <c r="I338" s="63">
        <v>45425</v>
      </c>
      <c r="J338" s="1">
        <v>22</v>
      </c>
      <c r="K338" s="1"/>
      <c r="L338" s="1" t="s">
        <v>96</v>
      </c>
      <c r="M338" s="1" t="s">
        <v>107</v>
      </c>
      <c r="N338" s="1" t="str">
        <f t="shared" si="5"/>
        <v>Normal</v>
      </c>
    </row>
    <row r="339" spans="1:14" x14ac:dyDescent="0.25">
      <c r="A339" s="1" t="s">
        <v>881</v>
      </c>
      <c r="B339" s="1" t="s">
        <v>104</v>
      </c>
      <c r="C339" s="1" t="s">
        <v>882</v>
      </c>
      <c r="D339" s="1" t="s">
        <v>25</v>
      </c>
      <c r="E339" s="1" t="s">
        <v>61</v>
      </c>
      <c r="F339" s="1" t="s">
        <v>129</v>
      </c>
      <c r="G339" s="1">
        <v>31827</v>
      </c>
      <c r="H339" s="63">
        <v>45018</v>
      </c>
      <c r="J339" s="1"/>
      <c r="K339" s="1">
        <v>4.5999999999999996</v>
      </c>
      <c r="L339" s="1" t="s">
        <v>29</v>
      </c>
      <c r="M339" s="1" t="s">
        <v>30</v>
      </c>
      <c r="N339" s="1" t="str">
        <f t="shared" si="5"/>
        <v>Normal</v>
      </c>
    </row>
    <row r="340" spans="1:14" x14ac:dyDescent="0.25">
      <c r="A340" s="1" t="s">
        <v>883</v>
      </c>
      <c r="B340" s="1" t="s">
        <v>88</v>
      </c>
      <c r="C340" s="1" t="s">
        <v>583</v>
      </c>
      <c r="D340" s="1" t="s">
        <v>46</v>
      </c>
      <c r="E340" s="1" t="s">
        <v>77</v>
      </c>
      <c r="F340" s="1" t="s">
        <v>129</v>
      </c>
      <c r="G340" s="1">
        <v>459747</v>
      </c>
      <c r="H340" s="63">
        <v>45517</v>
      </c>
      <c r="J340" s="1"/>
      <c r="K340" s="1"/>
      <c r="L340" s="1" t="s">
        <v>20</v>
      </c>
      <c r="M340" s="1" t="s">
        <v>149</v>
      </c>
      <c r="N340" s="1" t="str">
        <f t="shared" si="5"/>
        <v>Normal</v>
      </c>
    </row>
    <row r="341" spans="1:14" x14ac:dyDescent="0.25">
      <c r="A341" s="1" t="s">
        <v>884</v>
      </c>
      <c r="B341" s="1" t="s">
        <v>75</v>
      </c>
      <c r="C341" s="1" t="s">
        <v>885</v>
      </c>
      <c r="D341" s="1" t="s">
        <v>16</v>
      </c>
      <c r="E341" s="1" t="s">
        <v>47</v>
      </c>
      <c r="F341" s="1" t="s">
        <v>40</v>
      </c>
      <c r="G341" s="1">
        <v>41745</v>
      </c>
      <c r="H341" s="63">
        <v>44952</v>
      </c>
      <c r="I341" s="63">
        <v>44985</v>
      </c>
      <c r="J341" s="1">
        <v>33</v>
      </c>
      <c r="K341" s="1">
        <v>22.1</v>
      </c>
      <c r="L341" s="1" t="s">
        <v>96</v>
      </c>
      <c r="M341" s="1" t="s">
        <v>35</v>
      </c>
      <c r="N341" s="1" t="str">
        <f t="shared" si="5"/>
        <v>Normal</v>
      </c>
    </row>
    <row r="342" spans="1:14" x14ac:dyDescent="0.25">
      <c r="A342" s="1" t="s">
        <v>887</v>
      </c>
      <c r="B342" s="1" t="s">
        <v>109</v>
      </c>
      <c r="C342" s="1" t="s">
        <v>423</v>
      </c>
      <c r="D342" s="1" t="s">
        <v>90</v>
      </c>
      <c r="E342" s="1" t="s">
        <v>72</v>
      </c>
      <c r="F342" s="1" t="s">
        <v>129</v>
      </c>
      <c r="G342" s="1">
        <v>452750</v>
      </c>
      <c r="H342" s="63">
        <v>45677</v>
      </c>
      <c r="J342" s="1"/>
      <c r="K342" s="1">
        <v>14.6</v>
      </c>
      <c r="L342" s="1" t="s">
        <v>96</v>
      </c>
      <c r="M342" s="1" t="s">
        <v>63</v>
      </c>
      <c r="N342" s="1" t="str">
        <f t="shared" si="5"/>
        <v>Normal</v>
      </c>
    </row>
    <row r="343" spans="1:14" x14ac:dyDescent="0.25">
      <c r="A343" s="1" t="s">
        <v>888</v>
      </c>
      <c r="B343" s="1" t="s">
        <v>65</v>
      </c>
      <c r="C343" s="1" t="s">
        <v>38</v>
      </c>
      <c r="D343" s="1" t="s">
        <v>90</v>
      </c>
      <c r="E343" s="1" t="s">
        <v>94</v>
      </c>
      <c r="F343" s="1" t="s">
        <v>40</v>
      </c>
      <c r="G343" s="1">
        <v>428641</v>
      </c>
      <c r="H343" s="63">
        <v>45269</v>
      </c>
      <c r="I343" s="63">
        <v>45416</v>
      </c>
      <c r="J343" s="1">
        <v>147</v>
      </c>
      <c r="K343" s="1">
        <v>18.5</v>
      </c>
      <c r="L343" s="1" t="s">
        <v>20</v>
      </c>
      <c r="M343" s="1" t="s">
        <v>21</v>
      </c>
      <c r="N343" s="1" t="str">
        <f t="shared" si="5"/>
        <v>Normal</v>
      </c>
    </row>
    <row r="344" spans="1:14" x14ac:dyDescent="0.25">
      <c r="A344" s="1" t="s">
        <v>890</v>
      </c>
      <c r="B344" s="1" t="s">
        <v>59</v>
      </c>
      <c r="C344" s="1" t="s">
        <v>71</v>
      </c>
      <c r="D344" s="1" t="s">
        <v>39</v>
      </c>
      <c r="E344" s="1" t="s">
        <v>17</v>
      </c>
      <c r="F344" s="1" t="s">
        <v>40</v>
      </c>
      <c r="G344" s="1">
        <v>236384</v>
      </c>
      <c r="H344" s="63">
        <v>45209</v>
      </c>
      <c r="I344" s="63">
        <v>45232</v>
      </c>
      <c r="J344" s="1">
        <v>23</v>
      </c>
      <c r="K344" s="1">
        <v>20</v>
      </c>
      <c r="L344" s="1" t="s">
        <v>29</v>
      </c>
      <c r="M344" s="1" t="s">
        <v>21</v>
      </c>
      <c r="N344" s="1" t="str">
        <f t="shared" si="5"/>
        <v>Normal</v>
      </c>
    </row>
    <row r="345" spans="1:14" x14ac:dyDescent="0.25">
      <c r="A345" s="1" t="s">
        <v>891</v>
      </c>
      <c r="B345" s="1" t="s">
        <v>65</v>
      </c>
      <c r="C345" s="1" t="s">
        <v>892</v>
      </c>
      <c r="D345" s="1" t="s">
        <v>67</v>
      </c>
      <c r="E345" s="1" t="s">
        <v>47</v>
      </c>
      <c r="F345" s="1" t="s">
        <v>53</v>
      </c>
      <c r="G345" s="1">
        <v>94789</v>
      </c>
      <c r="H345" s="63">
        <v>45364</v>
      </c>
      <c r="J345" s="1"/>
      <c r="K345" s="1">
        <v>2.1</v>
      </c>
      <c r="L345" s="1" t="s">
        <v>96</v>
      </c>
      <c r="M345" s="1" t="s">
        <v>69</v>
      </c>
      <c r="N345" s="1" t="str">
        <f t="shared" si="5"/>
        <v>Normal</v>
      </c>
    </row>
    <row r="346" spans="1:14" x14ac:dyDescent="0.25">
      <c r="A346" s="1" t="s">
        <v>894</v>
      </c>
      <c r="B346" s="1" t="s">
        <v>65</v>
      </c>
      <c r="C346" s="1" t="s">
        <v>460</v>
      </c>
      <c r="D346" s="1" t="s">
        <v>16</v>
      </c>
      <c r="E346" s="1" t="s">
        <v>17</v>
      </c>
      <c r="F346" s="1" t="s">
        <v>40</v>
      </c>
      <c r="G346" s="1">
        <v>11209</v>
      </c>
      <c r="H346" s="63">
        <v>45279</v>
      </c>
      <c r="I346" s="63">
        <v>45327</v>
      </c>
      <c r="J346" s="1">
        <v>48</v>
      </c>
      <c r="K346" s="1">
        <v>10.9</v>
      </c>
      <c r="L346" s="1" t="s">
        <v>20</v>
      </c>
      <c r="M346" s="1" t="s">
        <v>21</v>
      </c>
      <c r="N346" s="1" t="str">
        <f t="shared" si="5"/>
        <v>Normal</v>
      </c>
    </row>
    <row r="347" spans="1:14" x14ac:dyDescent="0.25">
      <c r="A347" s="1" t="s">
        <v>895</v>
      </c>
      <c r="B347" s="1" t="s">
        <v>75</v>
      </c>
      <c r="C347" s="1" t="s">
        <v>528</v>
      </c>
      <c r="D347" s="1" t="s">
        <v>16</v>
      </c>
      <c r="E347" s="1" t="s">
        <v>94</v>
      </c>
      <c r="F347" s="1" t="s">
        <v>33</v>
      </c>
      <c r="G347" s="1">
        <v>286742</v>
      </c>
      <c r="H347" s="63">
        <v>45216</v>
      </c>
      <c r="J347" s="1"/>
      <c r="K347" s="1"/>
      <c r="L347" s="1" t="s">
        <v>20</v>
      </c>
      <c r="M347" s="1" t="s">
        <v>21</v>
      </c>
      <c r="N347" s="1" t="str">
        <f t="shared" si="5"/>
        <v>Normal</v>
      </c>
    </row>
    <row r="348" spans="1:14" x14ac:dyDescent="0.25">
      <c r="A348" s="1" t="s">
        <v>897</v>
      </c>
      <c r="B348" s="1" t="s">
        <v>127</v>
      </c>
      <c r="C348" s="1" t="s">
        <v>898</v>
      </c>
      <c r="D348" s="1" t="s">
        <v>46</v>
      </c>
      <c r="E348" s="1" t="s">
        <v>26</v>
      </c>
      <c r="F348" s="1" t="s">
        <v>18</v>
      </c>
      <c r="G348" s="1">
        <v>255523</v>
      </c>
      <c r="H348" s="63">
        <v>45271</v>
      </c>
      <c r="I348" s="63">
        <v>45388</v>
      </c>
      <c r="J348" s="1">
        <v>117</v>
      </c>
      <c r="K348" s="1"/>
      <c r="L348" s="1" t="s">
        <v>20</v>
      </c>
      <c r="M348" s="1" t="s">
        <v>21</v>
      </c>
      <c r="N348" s="1" t="str">
        <f t="shared" si="5"/>
        <v>Normal</v>
      </c>
    </row>
    <row r="349" spans="1:14" x14ac:dyDescent="0.25">
      <c r="A349" s="1" t="s">
        <v>900</v>
      </c>
      <c r="B349" s="1" t="s">
        <v>104</v>
      </c>
      <c r="C349" s="1" t="s">
        <v>818</v>
      </c>
      <c r="D349" s="1" t="s">
        <v>46</v>
      </c>
      <c r="E349" s="1" t="s">
        <v>61</v>
      </c>
      <c r="F349" s="1" t="s">
        <v>40</v>
      </c>
      <c r="G349" s="1">
        <v>269509</v>
      </c>
      <c r="H349" s="63">
        <v>45266</v>
      </c>
      <c r="I349" s="63">
        <v>45303</v>
      </c>
      <c r="J349" s="1">
        <v>37</v>
      </c>
      <c r="K349" s="1">
        <v>10.1</v>
      </c>
      <c r="L349" s="1" t="s">
        <v>20</v>
      </c>
      <c r="M349" s="1" t="s">
        <v>21</v>
      </c>
      <c r="N349" s="1" t="str">
        <f t="shared" si="5"/>
        <v>Normal</v>
      </c>
    </row>
    <row r="350" spans="1:14" x14ac:dyDescent="0.25">
      <c r="A350" s="1" t="s">
        <v>901</v>
      </c>
      <c r="B350" s="1" t="s">
        <v>65</v>
      </c>
      <c r="C350" s="1" t="s">
        <v>564</v>
      </c>
      <c r="D350" s="1" t="s">
        <v>46</v>
      </c>
      <c r="E350" s="1" t="s">
        <v>4845</v>
      </c>
      <c r="F350" s="1" t="s">
        <v>40</v>
      </c>
      <c r="G350" s="1">
        <v>11760</v>
      </c>
      <c r="H350" s="63">
        <v>45512</v>
      </c>
      <c r="I350" s="63">
        <v>45672</v>
      </c>
      <c r="J350" s="1">
        <v>160</v>
      </c>
      <c r="K350" s="1">
        <v>3</v>
      </c>
      <c r="L350" s="1" t="s">
        <v>96</v>
      </c>
      <c r="M350" s="1" t="s">
        <v>149</v>
      </c>
      <c r="N350" s="1" t="str">
        <f t="shared" si="5"/>
        <v>Normal</v>
      </c>
    </row>
    <row r="351" spans="1:14" x14ac:dyDescent="0.25">
      <c r="A351" s="1" t="s">
        <v>903</v>
      </c>
      <c r="B351" s="1" t="s">
        <v>109</v>
      </c>
      <c r="C351" s="1" t="s">
        <v>313</v>
      </c>
      <c r="D351" s="1" t="s">
        <v>90</v>
      </c>
      <c r="E351" s="1" t="s">
        <v>17</v>
      </c>
      <c r="F351" s="1" t="s">
        <v>40</v>
      </c>
      <c r="G351" s="1">
        <v>316965</v>
      </c>
      <c r="H351" s="63">
        <v>45092</v>
      </c>
      <c r="I351" s="63">
        <v>45258</v>
      </c>
      <c r="J351" s="1">
        <v>166</v>
      </c>
      <c r="K351" s="1">
        <v>8.6</v>
      </c>
      <c r="L351" s="1" t="s">
        <v>49</v>
      </c>
      <c r="M351" s="1" t="s">
        <v>30</v>
      </c>
      <c r="N351" s="1" t="str">
        <f t="shared" si="5"/>
        <v>Normal</v>
      </c>
    </row>
    <row r="352" spans="1:14" x14ac:dyDescent="0.25">
      <c r="A352" s="1" t="s">
        <v>905</v>
      </c>
      <c r="B352" s="1" t="s">
        <v>14</v>
      </c>
      <c r="C352" s="1" t="s">
        <v>906</v>
      </c>
      <c r="D352" s="1" t="s">
        <v>25</v>
      </c>
      <c r="E352" s="1" t="s">
        <v>100</v>
      </c>
      <c r="F352" s="1" t="s">
        <v>40</v>
      </c>
      <c r="G352" s="1">
        <v>203451</v>
      </c>
      <c r="H352" s="63">
        <v>45150</v>
      </c>
      <c r="I352" s="63">
        <v>45270</v>
      </c>
      <c r="J352" s="1">
        <v>120</v>
      </c>
      <c r="K352" s="1">
        <v>15</v>
      </c>
      <c r="L352" s="1" t="s">
        <v>96</v>
      </c>
      <c r="M352" s="1" t="s">
        <v>102</v>
      </c>
      <c r="N352" s="1" t="str">
        <f t="shared" si="5"/>
        <v>Normal</v>
      </c>
    </row>
    <row r="353" spans="1:14" x14ac:dyDescent="0.25">
      <c r="A353" s="1" t="s">
        <v>908</v>
      </c>
      <c r="B353" s="1" t="s">
        <v>80</v>
      </c>
      <c r="C353" s="1" t="s">
        <v>313</v>
      </c>
      <c r="D353" s="1" t="s">
        <v>67</v>
      </c>
      <c r="E353" s="1" t="s">
        <v>47</v>
      </c>
      <c r="F353" s="1" t="s">
        <v>27</v>
      </c>
      <c r="G353" s="1">
        <v>303743</v>
      </c>
      <c r="H353" s="63">
        <v>45018</v>
      </c>
      <c r="J353" s="1"/>
      <c r="K353" s="1">
        <v>5.0999999999999996</v>
      </c>
      <c r="L353" s="1" t="s">
        <v>29</v>
      </c>
      <c r="M353" s="1" t="s">
        <v>30</v>
      </c>
      <c r="N353" s="1" t="str">
        <f t="shared" si="5"/>
        <v>Normal</v>
      </c>
    </row>
    <row r="354" spans="1:14" x14ac:dyDescent="0.25">
      <c r="A354" s="1" t="s">
        <v>909</v>
      </c>
      <c r="B354" s="1" t="s">
        <v>80</v>
      </c>
      <c r="C354" s="1" t="s">
        <v>372</v>
      </c>
      <c r="D354" s="1" t="s">
        <v>90</v>
      </c>
      <c r="E354" s="1" t="s">
        <v>61</v>
      </c>
      <c r="F354" s="1" t="s">
        <v>40</v>
      </c>
      <c r="G354" s="1">
        <v>213943</v>
      </c>
      <c r="H354" s="63">
        <v>45016</v>
      </c>
      <c r="I354" s="63">
        <v>45172</v>
      </c>
      <c r="J354" s="1">
        <v>156</v>
      </c>
      <c r="K354" s="1">
        <v>13.6</v>
      </c>
      <c r="L354" s="1" t="s">
        <v>49</v>
      </c>
      <c r="M354" s="1" t="s">
        <v>35</v>
      </c>
      <c r="N354" s="1" t="str">
        <f t="shared" si="5"/>
        <v>Normal</v>
      </c>
    </row>
    <row r="355" spans="1:14" x14ac:dyDescent="0.25">
      <c r="A355" s="1" t="s">
        <v>911</v>
      </c>
      <c r="B355" s="1" t="s">
        <v>75</v>
      </c>
      <c r="C355" s="1" t="s">
        <v>912</v>
      </c>
      <c r="D355" s="1" t="s">
        <v>46</v>
      </c>
      <c r="E355" s="1" t="s">
        <v>26</v>
      </c>
      <c r="F355" s="1" t="s">
        <v>40</v>
      </c>
      <c r="G355" s="1">
        <v>104328</v>
      </c>
      <c r="H355" s="63">
        <v>44937</v>
      </c>
      <c r="I355" s="63">
        <v>44954</v>
      </c>
      <c r="J355" s="1">
        <v>17</v>
      </c>
      <c r="K355" s="1">
        <v>0.3</v>
      </c>
      <c r="L355" s="1" t="s">
        <v>96</v>
      </c>
      <c r="M355" s="1" t="s">
        <v>35</v>
      </c>
      <c r="N355" s="1" t="str">
        <f t="shared" si="5"/>
        <v>Normal</v>
      </c>
    </row>
    <row r="356" spans="1:14" x14ac:dyDescent="0.25">
      <c r="A356" s="1" t="s">
        <v>914</v>
      </c>
      <c r="B356" s="1" t="s">
        <v>88</v>
      </c>
      <c r="C356" s="1" t="s">
        <v>426</v>
      </c>
      <c r="D356" s="1" t="s">
        <v>90</v>
      </c>
      <c r="E356" s="1" t="s">
        <v>77</v>
      </c>
      <c r="F356" s="1" t="s">
        <v>129</v>
      </c>
      <c r="G356" s="1">
        <v>161239</v>
      </c>
      <c r="H356" s="63">
        <v>44973</v>
      </c>
      <c r="J356" s="1"/>
      <c r="K356" s="1"/>
      <c r="L356" s="1" t="s">
        <v>96</v>
      </c>
      <c r="M356" s="1" t="s">
        <v>35</v>
      </c>
      <c r="N356" s="1" t="str">
        <f t="shared" si="5"/>
        <v>Normal</v>
      </c>
    </row>
    <row r="357" spans="1:14" x14ac:dyDescent="0.25">
      <c r="A357" s="1" t="s">
        <v>916</v>
      </c>
      <c r="B357" s="1" t="s">
        <v>88</v>
      </c>
      <c r="C357" s="1" t="s">
        <v>917</v>
      </c>
      <c r="D357" s="1" t="s">
        <v>16</v>
      </c>
      <c r="E357" s="1" t="s">
        <v>17</v>
      </c>
      <c r="F357" s="1" t="s">
        <v>40</v>
      </c>
      <c r="G357" s="1">
        <v>212754</v>
      </c>
      <c r="H357" s="63">
        <v>45654</v>
      </c>
      <c r="I357" s="63">
        <v>45830</v>
      </c>
      <c r="J357" s="1">
        <v>176</v>
      </c>
      <c r="K357" s="1">
        <v>2.9</v>
      </c>
      <c r="L357" s="1" t="s">
        <v>49</v>
      </c>
      <c r="M357" s="1" t="s">
        <v>42</v>
      </c>
      <c r="N357" s="1" t="str">
        <f t="shared" si="5"/>
        <v>Normal</v>
      </c>
    </row>
    <row r="358" spans="1:14" x14ac:dyDescent="0.25">
      <c r="A358" s="1" t="s">
        <v>918</v>
      </c>
      <c r="B358" s="1" t="s">
        <v>59</v>
      </c>
      <c r="C358" s="1" t="s">
        <v>279</v>
      </c>
      <c r="D358" s="1" t="s">
        <v>16</v>
      </c>
      <c r="E358" s="1" t="s">
        <v>17</v>
      </c>
      <c r="F358" s="1" t="s">
        <v>18</v>
      </c>
      <c r="G358" s="1">
        <v>844566</v>
      </c>
      <c r="H358" s="63">
        <v>45297</v>
      </c>
      <c r="I358" s="63">
        <v>45384</v>
      </c>
      <c r="J358" s="1">
        <v>87</v>
      </c>
      <c r="K358" s="1"/>
      <c r="L358" s="1" t="s">
        <v>96</v>
      </c>
      <c r="M358" s="1" t="s">
        <v>69</v>
      </c>
      <c r="N358" s="1" t="str">
        <f t="shared" si="5"/>
        <v>Normal</v>
      </c>
    </row>
    <row r="359" spans="1:14" x14ac:dyDescent="0.25">
      <c r="A359" s="1" t="s">
        <v>920</v>
      </c>
      <c r="B359" s="1" t="s">
        <v>59</v>
      </c>
      <c r="C359" s="1" t="s">
        <v>544</v>
      </c>
      <c r="D359" s="1" t="s">
        <v>39</v>
      </c>
      <c r="E359" s="1" t="s">
        <v>72</v>
      </c>
      <c r="F359" s="1" t="s">
        <v>27</v>
      </c>
      <c r="G359" s="1">
        <v>371462</v>
      </c>
      <c r="H359" s="63">
        <v>45440</v>
      </c>
      <c r="J359" s="1"/>
      <c r="K359" s="1">
        <v>8.5</v>
      </c>
      <c r="L359" s="1" t="s">
        <v>49</v>
      </c>
      <c r="M359" s="1" t="s">
        <v>107</v>
      </c>
      <c r="N359" s="1" t="str">
        <f t="shared" si="5"/>
        <v>Normal</v>
      </c>
    </row>
    <row r="360" spans="1:14" x14ac:dyDescent="0.25">
      <c r="A360" s="1" t="s">
        <v>922</v>
      </c>
      <c r="B360" s="1" t="s">
        <v>80</v>
      </c>
      <c r="C360" s="1" t="s">
        <v>625</v>
      </c>
      <c r="D360" s="1" t="s">
        <v>67</v>
      </c>
      <c r="E360" s="1" t="s">
        <v>72</v>
      </c>
      <c r="F360" s="1" t="s">
        <v>27</v>
      </c>
      <c r="G360" s="1">
        <v>127411</v>
      </c>
      <c r="H360" s="63">
        <v>45269</v>
      </c>
      <c r="J360" s="1"/>
      <c r="K360" s="1">
        <v>4.5999999999999996</v>
      </c>
      <c r="L360" s="1" t="s">
        <v>49</v>
      </c>
      <c r="M360" s="1" t="s">
        <v>21</v>
      </c>
      <c r="N360" s="1" t="str">
        <f t="shared" si="5"/>
        <v>Normal</v>
      </c>
    </row>
    <row r="361" spans="1:14" x14ac:dyDescent="0.25">
      <c r="A361" s="1" t="s">
        <v>923</v>
      </c>
      <c r="B361" s="1" t="s">
        <v>44</v>
      </c>
      <c r="C361" s="1" t="s">
        <v>616</v>
      </c>
      <c r="D361" s="1" t="s">
        <v>46</v>
      </c>
      <c r="E361" s="1" t="s">
        <v>26</v>
      </c>
      <c r="F361" s="1" t="s">
        <v>40</v>
      </c>
      <c r="G361" s="1">
        <v>388150</v>
      </c>
      <c r="H361" s="63">
        <v>44974</v>
      </c>
      <c r="I361" s="63">
        <v>45088</v>
      </c>
      <c r="J361" s="1">
        <v>114</v>
      </c>
      <c r="K361" s="1">
        <v>22.7</v>
      </c>
      <c r="L361" s="1" t="s">
        <v>20</v>
      </c>
      <c r="M361" s="1" t="s">
        <v>35</v>
      </c>
      <c r="N361" s="1" t="str">
        <f t="shared" si="5"/>
        <v>Normal</v>
      </c>
    </row>
    <row r="362" spans="1:14" x14ac:dyDescent="0.25">
      <c r="A362" s="1" t="s">
        <v>924</v>
      </c>
      <c r="B362" s="1" t="s">
        <v>65</v>
      </c>
      <c r="C362" s="1" t="s">
        <v>614</v>
      </c>
      <c r="D362" s="1" t="s">
        <v>67</v>
      </c>
      <c r="E362" s="1" t="s">
        <v>47</v>
      </c>
      <c r="F362" s="1" t="s">
        <v>33</v>
      </c>
      <c r="G362" s="1">
        <v>16614</v>
      </c>
      <c r="H362" s="63">
        <v>44989</v>
      </c>
      <c r="J362" s="1"/>
      <c r="K362" s="1"/>
      <c r="L362" s="1" t="s">
        <v>20</v>
      </c>
      <c r="M362" s="1" t="s">
        <v>35</v>
      </c>
      <c r="N362" s="1" t="str">
        <f t="shared" si="5"/>
        <v>Normal</v>
      </c>
    </row>
    <row r="363" spans="1:14" x14ac:dyDescent="0.25">
      <c r="A363" s="1" t="s">
        <v>925</v>
      </c>
      <c r="B363" s="1" t="s">
        <v>75</v>
      </c>
      <c r="C363" s="1" t="s">
        <v>381</v>
      </c>
      <c r="D363" s="1" t="s">
        <v>39</v>
      </c>
      <c r="E363" s="1" t="s">
        <v>4845</v>
      </c>
      <c r="F363" s="1" t="s">
        <v>33</v>
      </c>
      <c r="G363" s="1">
        <v>120355</v>
      </c>
      <c r="H363" s="63">
        <v>45533</v>
      </c>
      <c r="J363" s="1"/>
      <c r="K363" s="1">
        <v>4</v>
      </c>
      <c r="L363" s="1" t="s">
        <v>49</v>
      </c>
      <c r="M363" s="1" t="s">
        <v>149</v>
      </c>
      <c r="N363" s="1" t="str">
        <f t="shared" si="5"/>
        <v>Normal</v>
      </c>
    </row>
    <row r="364" spans="1:14" x14ac:dyDescent="0.25">
      <c r="A364" s="1" t="s">
        <v>927</v>
      </c>
      <c r="B364" s="1" t="s">
        <v>109</v>
      </c>
      <c r="C364" s="1" t="s">
        <v>928</v>
      </c>
      <c r="D364" s="1" t="s">
        <v>16</v>
      </c>
      <c r="E364" s="1" t="s">
        <v>72</v>
      </c>
      <c r="F364" s="1" t="s">
        <v>27</v>
      </c>
      <c r="G364" s="1">
        <v>56550</v>
      </c>
      <c r="H364" s="63">
        <v>45570</v>
      </c>
      <c r="J364" s="1"/>
      <c r="K364" s="1"/>
      <c r="L364" s="1" t="s">
        <v>96</v>
      </c>
      <c r="M364" s="1" t="s">
        <v>42</v>
      </c>
      <c r="N364" s="1" t="str">
        <f t="shared" si="5"/>
        <v>Normal</v>
      </c>
    </row>
    <row r="365" spans="1:14" x14ac:dyDescent="0.25">
      <c r="A365" s="1" t="s">
        <v>929</v>
      </c>
      <c r="B365" s="1" t="s">
        <v>98</v>
      </c>
      <c r="C365" s="1" t="s">
        <v>620</v>
      </c>
      <c r="D365" s="1" t="s">
        <v>67</v>
      </c>
      <c r="E365" s="1" t="s">
        <v>100</v>
      </c>
      <c r="F365" s="1" t="s">
        <v>129</v>
      </c>
      <c r="G365" s="1">
        <v>252937</v>
      </c>
      <c r="H365" s="63">
        <v>45638</v>
      </c>
      <c r="J365" s="1"/>
      <c r="K365" s="1"/>
      <c r="L365" s="1" t="s">
        <v>20</v>
      </c>
      <c r="M365" s="1" t="s">
        <v>42</v>
      </c>
      <c r="N365" s="1" t="str">
        <f t="shared" si="5"/>
        <v>Normal</v>
      </c>
    </row>
    <row r="366" spans="1:14" x14ac:dyDescent="0.25">
      <c r="A366" s="1" t="s">
        <v>931</v>
      </c>
      <c r="B366" s="1" t="s">
        <v>23</v>
      </c>
      <c r="C366" s="1" t="s">
        <v>932</v>
      </c>
      <c r="D366" s="1" t="s">
        <v>67</v>
      </c>
      <c r="E366" s="1" t="s">
        <v>26</v>
      </c>
      <c r="F366" s="1" t="s">
        <v>33</v>
      </c>
      <c r="G366" s="1">
        <v>219576</v>
      </c>
      <c r="H366" s="63">
        <v>45205</v>
      </c>
      <c r="J366" s="1"/>
      <c r="K366" s="1">
        <v>3.4</v>
      </c>
      <c r="L366" s="1" t="s">
        <v>49</v>
      </c>
      <c r="M366" s="1" t="s">
        <v>21</v>
      </c>
      <c r="N366" s="1" t="str">
        <f t="shared" si="5"/>
        <v>Normal</v>
      </c>
    </row>
    <row r="367" spans="1:14" x14ac:dyDescent="0.25">
      <c r="A367" s="1" t="s">
        <v>934</v>
      </c>
      <c r="B367" s="1" t="s">
        <v>37</v>
      </c>
      <c r="C367" s="1" t="s">
        <v>505</v>
      </c>
      <c r="D367" s="1" t="s">
        <v>67</v>
      </c>
      <c r="E367" s="1" t="s">
        <v>77</v>
      </c>
      <c r="F367" s="1" t="s">
        <v>33</v>
      </c>
      <c r="G367" s="1">
        <v>442318</v>
      </c>
      <c r="H367" s="63">
        <v>45179</v>
      </c>
      <c r="J367" s="1"/>
      <c r="K367" s="1">
        <v>7.9</v>
      </c>
      <c r="L367" s="1" t="s">
        <v>20</v>
      </c>
      <c r="M367" s="1" t="s">
        <v>102</v>
      </c>
      <c r="N367" s="1" t="str">
        <f t="shared" si="5"/>
        <v>Normal</v>
      </c>
    </row>
    <row r="368" spans="1:14" x14ac:dyDescent="0.25">
      <c r="A368" s="1" t="s">
        <v>935</v>
      </c>
      <c r="B368" s="1" t="s">
        <v>4829</v>
      </c>
      <c r="C368" s="1" t="s">
        <v>558</v>
      </c>
      <c r="D368" s="1" t="s">
        <v>46</v>
      </c>
      <c r="E368" s="1" t="s">
        <v>72</v>
      </c>
      <c r="F368" s="1" t="s">
        <v>40</v>
      </c>
      <c r="G368" s="1">
        <v>317426</v>
      </c>
      <c r="H368" s="63">
        <v>44973</v>
      </c>
      <c r="I368" s="63">
        <v>45065</v>
      </c>
      <c r="J368" s="1">
        <v>92</v>
      </c>
      <c r="K368" s="1">
        <v>23.4</v>
      </c>
      <c r="L368" s="1" t="s">
        <v>49</v>
      </c>
      <c r="M368" s="1" t="s">
        <v>35</v>
      </c>
      <c r="N368" s="1" t="str">
        <f t="shared" si="5"/>
        <v>Normal</v>
      </c>
    </row>
    <row r="369" spans="1:14" x14ac:dyDescent="0.25">
      <c r="A369" s="1" t="s">
        <v>936</v>
      </c>
      <c r="B369" s="1" t="s">
        <v>104</v>
      </c>
      <c r="C369" s="1" t="s">
        <v>433</v>
      </c>
      <c r="D369" s="1" t="s">
        <v>46</v>
      </c>
      <c r="E369" s="1" t="s">
        <v>77</v>
      </c>
      <c r="F369" s="1" t="s">
        <v>53</v>
      </c>
      <c r="G369" s="1">
        <v>213136</v>
      </c>
      <c r="H369" s="63">
        <v>45687</v>
      </c>
      <c r="J369" s="1"/>
      <c r="K369" s="1"/>
      <c r="L369" s="1" t="s">
        <v>49</v>
      </c>
      <c r="M369" s="1" t="s">
        <v>63</v>
      </c>
      <c r="N369" s="1" t="str">
        <f t="shared" si="5"/>
        <v>Normal</v>
      </c>
    </row>
    <row r="370" spans="1:14" x14ac:dyDescent="0.25">
      <c r="A370" s="1" t="s">
        <v>938</v>
      </c>
      <c r="B370" s="1" t="s">
        <v>80</v>
      </c>
      <c r="C370" s="1" t="s">
        <v>939</v>
      </c>
      <c r="D370" s="1" t="s">
        <v>25</v>
      </c>
      <c r="E370" s="1" t="s">
        <v>94</v>
      </c>
      <c r="F370" s="1" t="s">
        <v>18</v>
      </c>
      <c r="G370" s="1">
        <v>278128</v>
      </c>
      <c r="H370" s="63">
        <v>45713</v>
      </c>
      <c r="I370" s="63">
        <v>45844</v>
      </c>
      <c r="J370" s="1">
        <v>131</v>
      </c>
      <c r="K370" s="1">
        <v>3.8</v>
      </c>
      <c r="L370" s="1" t="s">
        <v>29</v>
      </c>
      <c r="M370" s="1" t="s">
        <v>63</v>
      </c>
      <c r="N370" s="1" t="str">
        <f t="shared" si="5"/>
        <v>Normal</v>
      </c>
    </row>
    <row r="371" spans="1:14" x14ac:dyDescent="0.25">
      <c r="A371" s="1" t="s">
        <v>940</v>
      </c>
      <c r="B371" s="1" t="s">
        <v>14</v>
      </c>
      <c r="C371" s="1" t="s">
        <v>157</v>
      </c>
      <c r="D371" s="1" t="s">
        <v>39</v>
      </c>
      <c r="E371" s="1" t="s">
        <v>61</v>
      </c>
      <c r="F371" s="1" t="s">
        <v>40</v>
      </c>
      <c r="G371" s="1">
        <v>341107</v>
      </c>
      <c r="H371" s="63">
        <v>45278</v>
      </c>
      <c r="I371" s="63">
        <v>45450</v>
      </c>
      <c r="J371" s="1">
        <v>172</v>
      </c>
      <c r="K371" s="1">
        <v>0.1</v>
      </c>
      <c r="L371" s="1" t="s">
        <v>20</v>
      </c>
      <c r="M371" s="1" t="s">
        <v>21</v>
      </c>
      <c r="N371" s="1" t="str">
        <f t="shared" si="5"/>
        <v>Normal</v>
      </c>
    </row>
    <row r="372" spans="1:14" x14ac:dyDescent="0.25">
      <c r="A372" s="1" t="s">
        <v>941</v>
      </c>
      <c r="B372" s="1" t="s">
        <v>173</v>
      </c>
      <c r="C372" s="1" t="s">
        <v>387</v>
      </c>
      <c r="D372" s="1" t="s">
        <v>90</v>
      </c>
      <c r="E372" s="1" t="s">
        <v>94</v>
      </c>
      <c r="F372" s="1" t="s">
        <v>129</v>
      </c>
      <c r="G372" s="1">
        <v>70282</v>
      </c>
      <c r="H372" s="63">
        <v>45047</v>
      </c>
      <c r="J372" s="1"/>
      <c r="K372" s="1">
        <v>7.5</v>
      </c>
      <c r="L372" s="1" t="s">
        <v>96</v>
      </c>
      <c r="M372" s="1" t="s">
        <v>30</v>
      </c>
      <c r="N372" s="1" t="str">
        <f t="shared" si="5"/>
        <v>Normal</v>
      </c>
    </row>
    <row r="373" spans="1:14" x14ac:dyDescent="0.25">
      <c r="A373" s="1" t="s">
        <v>943</v>
      </c>
      <c r="B373" s="1" t="s">
        <v>109</v>
      </c>
      <c r="C373" s="1" t="s">
        <v>944</v>
      </c>
      <c r="D373" s="1" t="s">
        <v>16</v>
      </c>
      <c r="E373" s="1" t="s">
        <v>72</v>
      </c>
      <c r="F373" s="1" t="s">
        <v>40</v>
      </c>
      <c r="G373" s="1">
        <v>159822</v>
      </c>
      <c r="H373" s="63">
        <v>44943</v>
      </c>
      <c r="I373" s="63">
        <v>45073</v>
      </c>
      <c r="J373" s="1">
        <v>130</v>
      </c>
      <c r="K373" s="1">
        <v>14.6</v>
      </c>
      <c r="L373" s="1" t="s">
        <v>29</v>
      </c>
      <c r="M373" s="1" t="s">
        <v>35</v>
      </c>
      <c r="N373" s="1" t="str">
        <f t="shared" si="5"/>
        <v>Normal</v>
      </c>
    </row>
    <row r="374" spans="1:14" x14ac:dyDescent="0.25">
      <c r="A374" s="1" t="s">
        <v>945</v>
      </c>
      <c r="B374" s="1" t="s">
        <v>23</v>
      </c>
      <c r="C374" s="1" t="s">
        <v>946</v>
      </c>
      <c r="D374" s="1" t="s">
        <v>16</v>
      </c>
      <c r="E374" s="1" t="s">
        <v>17</v>
      </c>
      <c r="F374" s="1" t="s">
        <v>53</v>
      </c>
      <c r="G374" s="1">
        <v>328151</v>
      </c>
      <c r="H374" s="63">
        <v>45370</v>
      </c>
      <c r="J374" s="1"/>
      <c r="K374" s="1">
        <v>6.5</v>
      </c>
      <c r="L374" s="1" t="s">
        <v>20</v>
      </c>
      <c r="M374" s="1" t="s">
        <v>69</v>
      </c>
      <c r="N374" s="1" t="str">
        <f t="shared" si="5"/>
        <v>Normal</v>
      </c>
    </row>
    <row r="375" spans="1:14" x14ac:dyDescent="0.25">
      <c r="A375" s="1" t="s">
        <v>947</v>
      </c>
      <c r="B375" s="1" t="s">
        <v>127</v>
      </c>
      <c r="C375" s="1" t="s">
        <v>583</v>
      </c>
      <c r="D375" s="1" t="s">
        <v>46</v>
      </c>
      <c r="E375" s="1" t="s">
        <v>94</v>
      </c>
      <c r="F375" s="1" t="s">
        <v>40</v>
      </c>
      <c r="G375" s="1">
        <v>128341</v>
      </c>
      <c r="H375" s="63">
        <v>45343</v>
      </c>
      <c r="I375" s="63">
        <v>45366</v>
      </c>
      <c r="J375" s="1">
        <v>23</v>
      </c>
      <c r="K375" s="1">
        <v>23.9</v>
      </c>
      <c r="L375" s="1" t="s">
        <v>20</v>
      </c>
      <c r="M375" s="1" t="s">
        <v>69</v>
      </c>
      <c r="N375" s="1" t="str">
        <f t="shared" si="5"/>
        <v>Normal</v>
      </c>
    </row>
    <row r="376" spans="1:14" x14ac:dyDescent="0.25">
      <c r="A376" s="1" t="s">
        <v>949</v>
      </c>
      <c r="B376" s="1" t="s">
        <v>23</v>
      </c>
      <c r="C376" s="1" t="s">
        <v>208</v>
      </c>
      <c r="D376" s="1" t="s">
        <v>67</v>
      </c>
      <c r="E376" s="1" t="s">
        <v>26</v>
      </c>
      <c r="F376" s="1" t="s">
        <v>33</v>
      </c>
      <c r="G376" s="1">
        <v>201122</v>
      </c>
      <c r="H376" s="63">
        <v>45173</v>
      </c>
      <c r="J376" s="1"/>
      <c r="K376" s="1">
        <v>11.9</v>
      </c>
      <c r="L376" s="1" t="s">
        <v>49</v>
      </c>
      <c r="M376" s="1" t="s">
        <v>102</v>
      </c>
      <c r="N376" s="1" t="str">
        <f t="shared" si="5"/>
        <v>Normal</v>
      </c>
    </row>
    <row r="377" spans="1:14" x14ac:dyDescent="0.25">
      <c r="A377" s="1" t="s">
        <v>951</v>
      </c>
      <c r="B377" s="1" t="s">
        <v>104</v>
      </c>
      <c r="C377" s="1" t="s">
        <v>141</v>
      </c>
      <c r="D377" s="1" t="s">
        <v>25</v>
      </c>
      <c r="E377" s="1" t="s">
        <v>77</v>
      </c>
      <c r="F377" s="1" t="s">
        <v>18</v>
      </c>
      <c r="G377" s="1">
        <v>280537</v>
      </c>
      <c r="H377" s="63">
        <v>45316</v>
      </c>
      <c r="I377" s="63">
        <v>45342</v>
      </c>
      <c r="J377" s="1">
        <v>26</v>
      </c>
      <c r="K377" s="1">
        <v>0.4</v>
      </c>
      <c r="L377" s="1" t="s">
        <v>29</v>
      </c>
      <c r="M377" s="1" t="s">
        <v>69</v>
      </c>
      <c r="N377" s="1" t="str">
        <f t="shared" si="5"/>
        <v>Normal</v>
      </c>
    </row>
    <row r="378" spans="1:14" x14ac:dyDescent="0.25">
      <c r="A378" s="1" t="s">
        <v>952</v>
      </c>
      <c r="B378" s="1" t="s">
        <v>84</v>
      </c>
      <c r="C378" s="1" t="s">
        <v>478</v>
      </c>
      <c r="D378" s="1" t="s">
        <v>25</v>
      </c>
      <c r="E378" s="1" t="s">
        <v>100</v>
      </c>
      <c r="F378" s="1" t="s">
        <v>129</v>
      </c>
      <c r="G378" s="1">
        <v>476399</v>
      </c>
      <c r="H378" s="63">
        <v>45531</v>
      </c>
      <c r="J378" s="1"/>
      <c r="K378" s="1">
        <v>9.1999999999999993</v>
      </c>
      <c r="L378" s="1" t="s">
        <v>20</v>
      </c>
      <c r="M378" s="1" t="s">
        <v>149</v>
      </c>
      <c r="N378" s="1" t="str">
        <f t="shared" si="5"/>
        <v>Normal</v>
      </c>
    </row>
    <row r="379" spans="1:14" x14ac:dyDescent="0.25">
      <c r="A379" s="1" t="s">
        <v>954</v>
      </c>
      <c r="B379" s="1" t="s">
        <v>59</v>
      </c>
      <c r="C379" s="1" t="s">
        <v>364</v>
      </c>
      <c r="D379" s="1" t="s">
        <v>90</v>
      </c>
      <c r="E379" s="1" t="s">
        <v>47</v>
      </c>
      <c r="F379" s="1" t="s">
        <v>40</v>
      </c>
      <c r="G379" s="1">
        <v>148918</v>
      </c>
      <c r="H379" s="63">
        <v>45718</v>
      </c>
      <c r="I379" s="63">
        <v>45828</v>
      </c>
      <c r="J379" s="1">
        <v>110</v>
      </c>
      <c r="K379" s="1">
        <v>17.100000000000001</v>
      </c>
      <c r="L379" s="1" t="s">
        <v>29</v>
      </c>
      <c r="M379" s="1" t="s">
        <v>63</v>
      </c>
      <c r="N379" s="1" t="str">
        <f t="shared" si="5"/>
        <v>Normal</v>
      </c>
    </row>
    <row r="380" spans="1:14" x14ac:dyDescent="0.25">
      <c r="A380" s="1" t="s">
        <v>956</v>
      </c>
      <c r="B380" s="1" t="s">
        <v>98</v>
      </c>
      <c r="C380" s="1" t="s">
        <v>957</v>
      </c>
      <c r="D380" s="1" t="s">
        <v>39</v>
      </c>
      <c r="E380" s="1" t="s">
        <v>94</v>
      </c>
      <c r="F380" s="1" t="s">
        <v>40</v>
      </c>
      <c r="G380" s="1">
        <v>183921</v>
      </c>
      <c r="H380" s="63">
        <v>45603</v>
      </c>
      <c r="I380" s="63">
        <v>45656</v>
      </c>
      <c r="J380" s="1">
        <v>53</v>
      </c>
      <c r="K380" s="1">
        <v>4.2</v>
      </c>
      <c r="L380" s="1" t="s">
        <v>29</v>
      </c>
      <c r="M380" s="1" t="s">
        <v>42</v>
      </c>
      <c r="N380" s="1" t="str">
        <f t="shared" si="5"/>
        <v>Normal</v>
      </c>
    </row>
    <row r="381" spans="1:14" x14ac:dyDescent="0.25">
      <c r="A381" s="1" t="s">
        <v>959</v>
      </c>
      <c r="B381" s="1" t="s">
        <v>44</v>
      </c>
      <c r="C381" s="1" t="s">
        <v>415</v>
      </c>
      <c r="D381" s="1" t="s">
        <v>46</v>
      </c>
      <c r="E381" s="1" t="s">
        <v>72</v>
      </c>
      <c r="F381" s="1" t="s">
        <v>33</v>
      </c>
      <c r="G381" s="1">
        <v>430111</v>
      </c>
      <c r="H381" s="63">
        <v>44969</v>
      </c>
      <c r="J381" s="1"/>
      <c r="K381" s="1"/>
      <c r="L381" s="1" t="s">
        <v>49</v>
      </c>
      <c r="M381" s="1" t="s">
        <v>35</v>
      </c>
      <c r="N381" s="1" t="str">
        <f t="shared" si="5"/>
        <v>Normal</v>
      </c>
    </row>
    <row r="382" spans="1:14" x14ac:dyDescent="0.25">
      <c r="A382" s="1" t="s">
        <v>961</v>
      </c>
      <c r="B382" s="1" t="s">
        <v>44</v>
      </c>
      <c r="C382" s="1" t="s">
        <v>261</v>
      </c>
      <c r="D382" s="1" t="s">
        <v>39</v>
      </c>
      <c r="E382" s="1" t="s">
        <v>77</v>
      </c>
      <c r="F382" s="1" t="s">
        <v>129</v>
      </c>
      <c r="G382" s="1">
        <v>380531</v>
      </c>
      <c r="H382" s="63">
        <v>45146</v>
      </c>
      <c r="J382" s="1"/>
      <c r="K382" s="1">
        <v>10.5</v>
      </c>
      <c r="L382" s="1" t="s">
        <v>96</v>
      </c>
      <c r="M382" s="1" t="s">
        <v>102</v>
      </c>
      <c r="N382" s="1" t="str">
        <f t="shared" si="5"/>
        <v>Normal</v>
      </c>
    </row>
    <row r="383" spans="1:14" x14ac:dyDescent="0.25">
      <c r="A383" s="1" t="s">
        <v>962</v>
      </c>
      <c r="B383" s="1" t="s">
        <v>84</v>
      </c>
      <c r="C383" s="1" t="s">
        <v>132</v>
      </c>
      <c r="D383" s="1" t="s">
        <v>67</v>
      </c>
      <c r="E383" s="1" t="s">
        <v>47</v>
      </c>
      <c r="F383" s="1" t="s">
        <v>129</v>
      </c>
      <c r="G383" s="1">
        <v>35853</v>
      </c>
      <c r="H383" s="63">
        <v>45195</v>
      </c>
      <c r="J383" s="1"/>
      <c r="K383" s="1">
        <v>1.3</v>
      </c>
      <c r="L383" s="1" t="s">
        <v>29</v>
      </c>
      <c r="M383" s="1" t="s">
        <v>102</v>
      </c>
      <c r="N383" s="1" t="str">
        <f t="shared" si="5"/>
        <v>Normal</v>
      </c>
    </row>
    <row r="384" spans="1:14" x14ac:dyDescent="0.25">
      <c r="A384" s="1" t="s">
        <v>964</v>
      </c>
      <c r="B384" s="1" t="s">
        <v>104</v>
      </c>
      <c r="C384" s="1" t="s">
        <v>273</v>
      </c>
      <c r="D384" s="1" t="s">
        <v>46</v>
      </c>
      <c r="E384" s="1" t="s">
        <v>17</v>
      </c>
      <c r="F384" s="1" t="s">
        <v>129</v>
      </c>
      <c r="G384" s="1">
        <v>482655</v>
      </c>
      <c r="H384" s="63">
        <v>45032</v>
      </c>
      <c r="J384" s="1"/>
      <c r="K384" s="1"/>
      <c r="L384" s="1" t="s">
        <v>96</v>
      </c>
      <c r="M384" s="1" t="s">
        <v>30</v>
      </c>
      <c r="N384" s="1" t="str">
        <f t="shared" si="5"/>
        <v>Normal</v>
      </c>
    </row>
    <row r="385" spans="1:14" x14ac:dyDescent="0.25">
      <c r="A385" s="1" t="s">
        <v>966</v>
      </c>
      <c r="B385" s="1" t="s">
        <v>59</v>
      </c>
      <c r="C385" s="1" t="s">
        <v>967</v>
      </c>
      <c r="D385" s="1" t="s">
        <v>16</v>
      </c>
      <c r="E385" s="1" t="s">
        <v>61</v>
      </c>
      <c r="F385" s="1" t="s">
        <v>129</v>
      </c>
      <c r="G385" s="1">
        <v>278783</v>
      </c>
      <c r="H385" s="63">
        <v>45514</v>
      </c>
      <c r="J385" s="1"/>
      <c r="K385" s="1">
        <v>11</v>
      </c>
      <c r="L385" s="1" t="s">
        <v>49</v>
      </c>
      <c r="M385" s="1" t="s">
        <v>149</v>
      </c>
      <c r="N385" s="1" t="str">
        <f t="shared" si="5"/>
        <v>Normal</v>
      </c>
    </row>
    <row r="386" spans="1:14" x14ac:dyDescent="0.25">
      <c r="A386" s="1" t="s">
        <v>969</v>
      </c>
      <c r="B386" s="1" t="s">
        <v>14</v>
      </c>
      <c r="C386" s="1" t="s">
        <v>564</v>
      </c>
      <c r="D386" s="1" t="s">
        <v>16</v>
      </c>
      <c r="E386" s="1" t="s">
        <v>17</v>
      </c>
      <c r="F386" s="1" t="s">
        <v>129</v>
      </c>
      <c r="G386" s="1">
        <v>292000</v>
      </c>
      <c r="H386" s="63">
        <v>45640</v>
      </c>
      <c r="J386" s="1"/>
      <c r="K386" s="1"/>
      <c r="L386" s="1" t="s">
        <v>96</v>
      </c>
      <c r="M386" s="1" t="s">
        <v>42</v>
      </c>
      <c r="N386" s="1" t="str">
        <f t="shared" ref="N386:N449" si="6">IF(G386&gt;$R$5,"High Outlier",IF(G386&lt;$R$6,"Low Outlier","Normal"))</f>
        <v>Normal</v>
      </c>
    </row>
    <row r="387" spans="1:14" x14ac:dyDescent="0.25">
      <c r="A387" s="1" t="s">
        <v>971</v>
      </c>
      <c r="B387" s="1" t="s">
        <v>88</v>
      </c>
      <c r="C387" s="1" t="s">
        <v>972</v>
      </c>
      <c r="D387" s="1" t="s">
        <v>46</v>
      </c>
      <c r="E387" s="1" t="s">
        <v>100</v>
      </c>
      <c r="F387" s="1" t="s">
        <v>27</v>
      </c>
      <c r="G387" s="1">
        <v>184544</v>
      </c>
      <c r="H387" s="63">
        <v>45056</v>
      </c>
      <c r="J387" s="1"/>
      <c r="K387" s="1">
        <v>11.8</v>
      </c>
      <c r="L387" s="1" t="s">
        <v>96</v>
      </c>
      <c r="M387" s="1" t="s">
        <v>30</v>
      </c>
      <c r="N387" s="1" t="str">
        <f t="shared" si="6"/>
        <v>Normal</v>
      </c>
    </row>
    <row r="388" spans="1:14" x14ac:dyDescent="0.25">
      <c r="A388" s="1" t="s">
        <v>973</v>
      </c>
      <c r="B388" s="1" t="s">
        <v>37</v>
      </c>
      <c r="C388" s="1" t="s">
        <v>89</v>
      </c>
      <c r="D388" s="1" t="s">
        <v>67</v>
      </c>
      <c r="E388" s="1" t="s">
        <v>94</v>
      </c>
      <c r="F388" s="1" t="s">
        <v>129</v>
      </c>
      <c r="G388" s="1">
        <v>411571</v>
      </c>
      <c r="H388" s="63">
        <v>44939</v>
      </c>
      <c r="J388" s="1"/>
      <c r="K388" s="1">
        <v>5.9</v>
      </c>
      <c r="L388" s="1" t="s">
        <v>29</v>
      </c>
      <c r="M388" s="1" t="s">
        <v>35</v>
      </c>
      <c r="N388" s="1" t="str">
        <f t="shared" si="6"/>
        <v>Normal</v>
      </c>
    </row>
    <row r="389" spans="1:14" x14ac:dyDescent="0.25">
      <c r="A389" s="1" t="s">
        <v>975</v>
      </c>
      <c r="B389" s="1" t="s">
        <v>173</v>
      </c>
      <c r="C389" s="1" t="s">
        <v>521</v>
      </c>
      <c r="D389" s="1" t="s">
        <v>90</v>
      </c>
      <c r="E389" s="1" t="s">
        <v>94</v>
      </c>
      <c r="F389" s="1" t="s">
        <v>53</v>
      </c>
      <c r="G389" s="1">
        <v>433966</v>
      </c>
      <c r="H389" s="63">
        <v>44954</v>
      </c>
      <c r="J389" s="1"/>
      <c r="K389" s="1">
        <v>0.1</v>
      </c>
      <c r="L389" s="1" t="s">
        <v>49</v>
      </c>
      <c r="M389" s="1" t="s">
        <v>35</v>
      </c>
      <c r="N389" s="1" t="str">
        <f t="shared" si="6"/>
        <v>Normal</v>
      </c>
    </row>
    <row r="390" spans="1:14" x14ac:dyDescent="0.25">
      <c r="A390" s="1" t="s">
        <v>976</v>
      </c>
      <c r="B390" s="1" t="s">
        <v>59</v>
      </c>
      <c r="C390" s="1" t="s">
        <v>977</v>
      </c>
      <c r="D390" s="1" t="s">
        <v>90</v>
      </c>
      <c r="E390" s="1" t="s">
        <v>47</v>
      </c>
      <c r="F390" s="1" t="s">
        <v>40</v>
      </c>
      <c r="G390" s="1">
        <v>385164</v>
      </c>
      <c r="H390" s="63">
        <v>44975</v>
      </c>
      <c r="I390" s="63">
        <v>45063</v>
      </c>
      <c r="J390" s="1">
        <v>88</v>
      </c>
      <c r="K390" s="1">
        <v>15</v>
      </c>
      <c r="L390" s="1" t="s">
        <v>20</v>
      </c>
      <c r="M390" s="1" t="s">
        <v>35</v>
      </c>
      <c r="N390" s="1" t="str">
        <f t="shared" si="6"/>
        <v>Normal</v>
      </c>
    </row>
    <row r="391" spans="1:14" x14ac:dyDescent="0.25">
      <c r="A391" s="1" t="s">
        <v>979</v>
      </c>
      <c r="B391" s="1" t="s">
        <v>65</v>
      </c>
      <c r="C391" s="1" t="s">
        <v>980</v>
      </c>
      <c r="D391" s="1" t="s">
        <v>25</v>
      </c>
      <c r="E391" s="1" t="s">
        <v>47</v>
      </c>
      <c r="F391" s="1" t="s">
        <v>33</v>
      </c>
      <c r="G391" s="1">
        <v>449693</v>
      </c>
      <c r="H391" s="63">
        <v>45470</v>
      </c>
      <c r="J391" s="1"/>
      <c r="K391" s="1">
        <v>1.2</v>
      </c>
      <c r="L391" s="1" t="s">
        <v>29</v>
      </c>
      <c r="M391" s="1" t="s">
        <v>107</v>
      </c>
      <c r="N391" s="1" t="str">
        <f t="shared" si="6"/>
        <v>Normal</v>
      </c>
    </row>
    <row r="392" spans="1:14" x14ac:dyDescent="0.25">
      <c r="A392" s="1" t="s">
        <v>982</v>
      </c>
      <c r="B392" s="1" t="s">
        <v>88</v>
      </c>
      <c r="C392" s="1" t="s">
        <v>983</v>
      </c>
      <c r="D392" s="1" t="s">
        <v>90</v>
      </c>
      <c r="E392" s="1" t="s">
        <v>72</v>
      </c>
      <c r="F392" s="1" t="s">
        <v>27</v>
      </c>
      <c r="G392" s="1">
        <v>246801</v>
      </c>
      <c r="H392" s="63">
        <v>45452</v>
      </c>
      <c r="J392" s="1"/>
      <c r="K392" s="1">
        <v>2.4</v>
      </c>
      <c r="L392" s="1" t="s">
        <v>29</v>
      </c>
      <c r="M392" s="1" t="s">
        <v>107</v>
      </c>
      <c r="N392" s="1" t="str">
        <f t="shared" si="6"/>
        <v>Normal</v>
      </c>
    </row>
    <row r="393" spans="1:14" x14ac:dyDescent="0.25">
      <c r="A393" s="1" t="s">
        <v>985</v>
      </c>
      <c r="B393" s="1" t="s">
        <v>75</v>
      </c>
      <c r="C393" s="1" t="s">
        <v>361</v>
      </c>
      <c r="D393" s="1" t="s">
        <v>39</v>
      </c>
      <c r="E393" s="1" t="s">
        <v>17</v>
      </c>
      <c r="F393" s="1" t="s">
        <v>53</v>
      </c>
      <c r="G393" s="1">
        <v>248356</v>
      </c>
      <c r="H393" s="63">
        <v>45044</v>
      </c>
      <c r="J393" s="1"/>
      <c r="K393" s="1">
        <v>2.9</v>
      </c>
      <c r="L393" s="1" t="s">
        <v>96</v>
      </c>
      <c r="M393" s="1" t="s">
        <v>30</v>
      </c>
      <c r="N393" s="1" t="str">
        <f t="shared" si="6"/>
        <v>Normal</v>
      </c>
    </row>
    <row r="394" spans="1:14" x14ac:dyDescent="0.25">
      <c r="A394" s="1" t="s">
        <v>986</v>
      </c>
      <c r="B394" s="1" t="s">
        <v>44</v>
      </c>
      <c r="C394" s="1" t="s">
        <v>987</v>
      </c>
      <c r="D394" s="1" t="s">
        <v>25</v>
      </c>
      <c r="E394" s="1" t="s">
        <v>77</v>
      </c>
      <c r="F394" s="1" t="s">
        <v>40</v>
      </c>
      <c r="G394" s="1">
        <v>312272</v>
      </c>
      <c r="H394" s="63">
        <v>45076</v>
      </c>
      <c r="I394" s="63">
        <v>45153</v>
      </c>
      <c r="J394" s="1">
        <v>77</v>
      </c>
      <c r="K394" s="1">
        <v>16.2</v>
      </c>
      <c r="L394" s="1" t="s">
        <v>29</v>
      </c>
      <c r="M394" s="1" t="s">
        <v>30</v>
      </c>
      <c r="N394" s="1" t="str">
        <f t="shared" si="6"/>
        <v>Normal</v>
      </c>
    </row>
    <row r="395" spans="1:14" x14ac:dyDescent="0.25">
      <c r="A395" s="1" t="s">
        <v>988</v>
      </c>
      <c r="B395" s="1" t="s">
        <v>37</v>
      </c>
      <c r="C395" s="1" t="s">
        <v>189</v>
      </c>
      <c r="D395" s="1" t="s">
        <v>46</v>
      </c>
      <c r="E395" s="1" t="s">
        <v>77</v>
      </c>
      <c r="F395" s="1" t="s">
        <v>33</v>
      </c>
      <c r="G395" s="1">
        <v>11749</v>
      </c>
      <c r="H395" s="63">
        <v>45269</v>
      </c>
      <c r="J395" s="1"/>
      <c r="K395" s="1">
        <v>11.4</v>
      </c>
      <c r="L395" s="1" t="s">
        <v>96</v>
      </c>
      <c r="M395" s="1" t="s">
        <v>21</v>
      </c>
      <c r="N395" s="1" t="str">
        <f t="shared" si="6"/>
        <v>Normal</v>
      </c>
    </row>
    <row r="396" spans="1:14" x14ac:dyDescent="0.25">
      <c r="A396" s="1" t="s">
        <v>989</v>
      </c>
      <c r="B396" s="1" t="s">
        <v>84</v>
      </c>
      <c r="C396" s="1" t="s">
        <v>539</v>
      </c>
      <c r="D396" s="1" t="s">
        <v>67</v>
      </c>
      <c r="E396" s="1" t="s">
        <v>26</v>
      </c>
      <c r="F396" s="1" t="s">
        <v>40</v>
      </c>
      <c r="G396" s="1">
        <v>460919</v>
      </c>
      <c r="H396" s="63">
        <v>44937</v>
      </c>
      <c r="I396" s="63">
        <v>45033</v>
      </c>
      <c r="J396" s="1">
        <v>96</v>
      </c>
      <c r="K396" s="1">
        <v>5.2</v>
      </c>
      <c r="L396" s="1" t="s">
        <v>29</v>
      </c>
      <c r="M396" s="1" t="s">
        <v>35</v>
      </c>
      <c r="N396" s="1" t="str">
        <f t="shared" si="6"/>
        <v>Normal</v>
      </c>
    </row>
    <row r="397" spans="1:14" x14ac:dyDescent="0.25">
      <c r="A397" s="1" t="s">
        <v>990</v>
      </c>
      <c r="B397" s="1" t="s">
        <v>23</v>
      </c>
      <c r="C397" s="1" t="s">
        <v>132</v>
      </c>
      <c r="D397" s="1" t="s">
        <v>25</v>
      </c>
      <c r="E397" s="1" t="s">
        <v>47</v>
      </c>
      <c r="F397" s="1" t="s">
        <v>18</v>
      </c>
      <c r="G397" s="1">
        <v>344478</v>
      </c>
      <c r="H397" s="63">
        <v>45123</v>
      </c>
      <c r="I397" s="63">
        <v>45275</v>
      </c>
      <c r="J397" s="1">
        <v>152</v>
      </c>
      <c r="K397" s="1"/>
      <c r="L397" s="1" t="s">
        <v>29</v>
      </c>
      <c r="M397" s="1" t="s">
        <v>102</v>
      </c>
      <c r="N397" s="1" t="str">
        <f t="shared" si="6"/>
        <v>Normal</v>
      </c>
    </row>
    <row r="398" spans="1:14" x14ac:dyDescent="0.25">
      <c r="A398" s="1" t="s">
        <v>992</v>
      </c>
      <c r="B398" s="1" t="s">
        <v>98</v>
      </c>
      <c r="C398" s="1" t="s">
        <v>502</v>
      </c>
      <c r="D398" s="1" t="s">
        <v>39</v>
      </c>
      <c r="E398" s="1" t="s">
        <v>4845</v>
      </c>
      <c r="F398" s="1" t="s">
        <v>33</v>
      </c>
      <c r="G398" s="1">
        <v>1591455</v>
      </c>
      <c r="H398" s="63">
        <v>45712</v>
      </c>
      <c r="J398" s="1"/>
      <c r="K398" s="1"/>
      <c r="L398" s="1" t="s">
        <v>29</v>
      </c>
      <c r="M398" s="1" t="s">
        <v>63</v>
      </c>
      <c r="N398" s="1" t="str">
        <f t="shared" si="6"/>
        <v>High Outlier</v>
      </c>
    </row>
    <row r="399" spans="1:14" x14ac:dyDescent="0.25">
      <c r="A399" s="1" t="s">
        <v>994</v>
      </c>
      <c r="B399" s="1" t="s">
        <v>65</v>
      </c>
      <c r="C399" s="1" t="s">
        <v>587</v>
      </c>
      <c r="D399" s="1" t="s">
        <v>46</v>
      </c>
      <c r="E399" s="1" t="s">
        <v>17</v>
      </c>
      <c r="F399" s="1" t="s">
        <v>53</v>
      </c>
      <c r="G399" s="1">
        <v>149595</v>
      </c>
      <c r="H399" s="63">
        <v>45258</v>
      </c>
      <c r="J399" s="1"/>
      <c r="K399" s="1">
        <v>10.3</v>
      </c>
      <c r="L399" s="1" t="s">
        <v>96</v>
      </c>
      <c r="M399" s="1" t="s">
        <v>21</v>
      </c>
      <c r="N399" s="1" t="str">
        <f t="shared" si="6"/>
        <v>Normal</v>
      </c>
    </row>
    <row r="400" spans="1:14" x14ac:dyDescent="0.25">
      <c r="A400" s="1" t="s">
        <v>996</v>
      </c>
      <c r="B400" s="1" t="s">
        <v>80</v>
      </c>
      <c r="C400" s="1" t="s">
        <v>237</v>
      </c>
      <c r="D400" s="1" t="s">
        <v>16</v>
      </c>
      <c r="E400" s="1" t="s">
        <v>47</v>
      </c>
      <c r="F400" s="1" t="s">
        <v>18</v>
      </c>
      <c r="G400" s="1">
        <v>96367</v>
      </c>
      <c r="H400" s="63">
        <v>45470</v>
      </c>
      <c r="I400" s="63">
        <v>45636</v>
      </c>
      <c r="J400" s="1">
        <v>166</v>
      </c>
      <c r="K400" s="1">
        <v>12.4</v>
      </c>
      <c r="L400" s="1" t="s">
        <v>20</v>
      </c>
      <c r="M400" s="1" t="s">
        <v>107</v>
      </c>
      <c r="N400" s="1" t="str">
        <f t="shared" si="6"/>
        <v>Normal</v>
      </c>
    </row>
    <row r="401" spans="1:14" x14ac:dyDescent="0.25">
      <c r="A401" s="1" t="s">
        <v>997</v>
      </c>
      <c r="B401" s="1" t="s">
        <v>98</v>
      </c>
      <c r="C401" s="1" t="s">
        <v>502</v>
      </c>
      <c r="D401" s="1" t="s">
        <v>90</v>
      </c>
      <c r="E401" s="1" t="s">
        <v>77</v>
      </c>
      <c r="F401" s="1" t="s">
        <v>40</v>
      </c>
      <c r="G401" s="1">
        <v>278062</v>
      </c>
      <c r="H401" s="63">
        <v>45317</v>
      </c>
      <c r="I401" s="63">
        <v>45497</v>
      </c>
      <c r="J401" s="1">
        <v>180</v>
      </c>
      <c r="K401" s="1">
        <v>16.8</v>
      </c>
      <c r="L401" s="1" t="s">
        <v>29</v>
      </c>
      <c r="M401" s="1" t="s">
        <v>69</v>
      </c>
      <c r="N401" s="1" t="str">
        <f t="shared" si="6"/>
        <v>Normal</v>
      </c>
    </row>
    <row r="402" spans="1:14" x14ac:dyDescent="0.25">
      <c r="A402" s="1" t="s">
        <v>998</v>
      </c>
      <c r="B402" s="1" t="s">
        <v>88</v>
      </c>
      <c r="C402" s="1" t="s">
        <v>151</v>
      </c>
      <c r="D402" s="1" t="s">
        <v>39</v>
      </c>
      <c r="E402" s="1" t="s">
        <v>94</v>
      </c>
      <c r="F402" s="1" t="s">
        <v>33</v>
      </c>
      <c r="G402" s="1">
        <v>375563</v>
      </c>
      <c r="H402" s="63">
        <v>45555</v>
      </c>
      <c r="J402" s="1"/>
      <c r="K402" s="1"/>
      <c r="L402" s="1" t="s">
        <v>29</v>
      </c>
      <c r="M402" s="1" t="s">
        <v>149</v>
      </c>
      <c r="N402" s="1" t="str">
        <f t="shared" si="6"/>
        <v>Normal</v>
      </c>
    </row>
    <row r="403" spans="1:14" x14ac:dyDescent="0.25">
      <c r="A403" s="1" t="s">
        <v>1000</v>
      </c>
      <c r="B403" s="1" t="s">
        <v>88</v>
      </c>
      <c r="C403" s="1" t="s">
        <v>877</v>
      </c>
      <c r="D403" s="1" t="s">
        <v>46</v>
      </c>
      <c r="E403" s="1" t="s">
        <v>61</v>
      </c>
      <c r="F403" s="1" t="s">
        <v>129</v>
      </c>
      <c r="G403" s="1">
        <v>166750</v>
      </c>
      <c r="H403" s="63">
        <v>45021</v>
      </c>
      <c r="J403" s="1"/>
      <c r="K403" s="1"/>
      <c r="L403" s="1" t="s">
        <v>20</v>
      </c>
      <c r="M403" s="1" t="s">
        <v>30</v>
      </c>
      <c r="N403" s="1" t="str">
        <f t="shared" si="6"/>
        <v>Normal</v>
      </c>
    </row>
    <row r="404" spans="1:14" x14ac:dyDescent="0.25">
      <c r="A404" s="1" t="s">
        <v>1002</v>
      </c>
      <c r="B404" s="1" t="s">
        <v>173</v>
      </c>
      <c r="C404" s="1" t="s">
        <v>174</v>
      </c>
      <c r="D404" s="1" t="s">
        <v>46</v>
      </c>
      <c r="E404" s="1" t="s">
        <v>72</v>
      </c>
      <c r="F404" s="1" t="s">
        <v>33</v>
      </c>
      <c r="G404" s="1">
        <v>207879</v>
      </c>
      <c r="H404" s="63">
        <v>45436</v>
      </c>
      <c r="J404" s="1"/>
      <c r="K404" s="1">
        <v>6.5</v>
      </c>
      <c r="L404" s="1" t="s">
        <v>29</v>
      </c>
      <c r="M404" s="1" t="s">
        <v>107</v>
      </c>
      <c r="N404" s="1" t="str">
        <f t="shared" si="6"/>
        <v>Normal</v>
      </c>
    </row>
    <row r="405" spans="1:14" x14ac:dyDescent="0.25">
      <c r="A405" s="1" t="s">
        <v>1004</v>
      </c>
      <c r="B405" s="1" t="s">
        <v>59</v>
      </c>
      <c r="C405" s="1" t="s">
        <v>583</v>
      </c>
      <c r="D405" s="1" t="s">
        <v>90</v>
      </c>
      <c r="E405" s="1" t="s">
        <v>47</v>
      </c>
      <c r="F405" s="1" t="s">
        <v>33</v>
      </c>
      <c r="G405" s="1">
        <v>15034</v>
      </c>
      <c r="H405" s="63">
        <v>45041</v>
      </c>
      <c r="J405" s="1"/>
      <c r="K405" s="1">
        <v>10.8</v>
      </c>
      <c r="L405" s="1" t="s">
        <v>29</v>
      </c>
      <c r="M405" s="1" t="s">
        <v>30</v>
      </c>
      <c r="N405" s="1" t="str">
        <f t="shared" si="6"/>
        <v>Normal</v>
      </c>
    </row>
    <row r="406" spans="1:14" x14ac:dyDescent="0.25">
      <c r="A406" s="1" t="s">
        <v>1006</v>
      </c>
      <c r="B406" s="1" t="s">
        <v>65</v>
      </c>
      <c r="C406" s="1" t="s">
        <v>71</v>
      </c>
      <c r="D406" s="1" t="s">
        <v>16</v>
      </c>
      <c r="E406" s="1" t="s">
        <v>94</v>
      </c>
      <c r="F406" s="1" t="s">
        <v>33</v>
      </c>
      <c r="G406" s="1">
        <v>337736</v>
      </c>
      <c r="H406" s="63">
        <v>45375</v>
      </c>
      <c r="J406" s="1"/>
      <c r="K406" s="1">
        <v>5.8</v>
      </c>
      <c r="L406" s="1" t="s">
        <v>29</v>
      </c>
      <c r="M406" s="1" t="s">
        <v>69</v>
      </c>
      <c r="N406" s="1" t="str">
        <f t="shared" si="6"/>
        <v>Normal</v>
      </c>
    </row>
    <row r="407" spans="1:14" x14ac:dyDescent="0.25">
      <c r="A407" s="1" t="s">
        <v>1008</v>
      </c>
      <c r="B407" s="1" t="s">
        <v>75</v>
      </c>
      <c r="C407" s="1" t="s">
        <v>1009</v>
      </c>
      <c r="D407" s="1" t="s">
        <v>25</v>
      </c>
      <c r="E407" s="1" t="s">
        <v>77</v>
      </c>
      <c r="F407" s="1" t="s">
        <v>53</v>
      </c>
      <c r="G407" s="1">
        <v>395016</v>
      </c>
      <c r="H407" s="63">
        <v>44982</v>
      </c>
      <c r="J407" s="1"/>
      <c r="K407" s="1">
        <v>9.6</v>
      </c>
      <c r="L407" s="1" t="s">
        <v>96</v>
      </c>
      <c r="M407" s="1" t="s">
        <v>35</v>
      </c>
      <c r="N407" s="1" t="str">
        <f t="shared" si="6"/>
        <v>Normal</v>
      </c>
    </row>
    <row r="408" spans="1:14" x14ac:dyDescent="0.25">
      <c r="A408" s="1" t="s">
        <v>1011</v>
      </c>
      <c r="B408" s="1" t="s">
        <v>23</v>
      </c>
      <c r="C408" s="1" t="s">
        <v>372</v>
      </c>
      <c r="D408" s="1" t="s">
        <v>39</v>
      </c>
      <c r="E408" s="1" t="s">
        <v>94</v>
      </c>
      <c r="F408" s="1" t="s">
        <v>18</v>
      </c>
      <c r="G408" s="1">
        <v>340981</v>
      </c>
      <c r="H408" s="63">
        <v>45614</v>
      </c>
      <c r="I408" s="63">
        <v>45632</v>
      </c>
      <c r="J408" s="1">
        <v>18</v>
      </c>
      <c r="K408" s="1">
        <v>0.6</v>
      </c>
      <c r="L408" s="1" t="s">
        <v>96</v>
      </c>
      <c r="M408" s="1" t="s">
        <v>42</v>
      </c>
      <c r="N408" s="1" t="str">
        <f t="shared" si="6"/>
        <v>Normal</v>
      </c>
    </row>
    <row r="409" spans="1:14" x14ac:dyDescent="0.25">
      <c r="A409" s="1" t="s">
        <v>1013</v>
      </c>
      <c r="B409" s="1" t="s">
        <v>4829</v>
      </c>
      <c r="C409" s="1" t="s">
        <v>625</v>
      </c>
      <c r="D409" s="1" t="s">
        <v>25</v>
      </c>
      <c r="E409" s="1" t="s">
        <v>77</v>
      </c>
      <c r="F409" s="1" t="s">
        <v>33</v>
      </c>
      <c r="G409" s="1">
        <v>248797</v>
      </c>
      <c r="H409" s="63">
        <v>45077</v>
      </c>
      <c r="J409" s="1"/>
      <c r="K409" s="1">
        <v>3.8</v>
      </c>
      <c r="L409" s="1" t="s">
        <v>29</v>
      </c>
      <c r="M409" s="1" t="s">
        <v>30</v>
      </c>
      <c r="N409" s="1" t="str">
        <f t="shared" si="6"/>
        <v>Normal</v>
      </c>
    </row>
    <row r="410" spans="1:14" x14ac:dyDescent="0.25">
      <c r="A410" s="1" t="s">
        <v>1015</v>
      </c>
      <c r="B410" s="1" t="s">
        <v>127</v>
      </c>
      <c r="C410" s="1" t="s">
        <v>454</v>
      </c>
      <c r="D410" s="1" t="s">
        <v>67</v>
      </c>
      <c r="E410" s="1" t="s">
        <v>72</v>
      </c>
      <c r="F410" s="1" t="s">
        <v>40</v>
      </c>
      <c r="G410" s="1">
        <v>32004</v>
      </c>
      <c r="H410" s="63">
        <v>45098</v>
      </c>
      <c r="I410" s="63">
        <v>45274</v>
      </c>
      <c r="J410" s="1">
        <v>176</v>
      </c>
      <c r="K410" s="1">
        <v>5.0999999999999996</v>
      </c>
      <c r="L410" s="1" t="s">
        <v>49</v>
      </c>
      <c r="M410" s="1" t="s">
        <v>30</v>
      </c>
      <c r="N410" s="1" t="str">
        <f t="shared" si="6"/>
        <v>Normal</v>
      </c>
    </row>
    <row r="411" spans="1:14" x14ac:dyDescent="0.25">
      <c r="A411" s="1" t="s">
        <v>1017</v>
      </c>
      <c r="B411" s="1" t="s">
        <v>65</v>
      </c>
      <c r="C411" s="1" t="s">
        <v>1018</v>
      </c>
      <c r="D411" s="1" t="s">
        <v>46</v>
      </c>
      <c r="E411" s="1" t="s">
        <v>26</v>
      </c>
      <c r="F411" s="1" t="s">
        <v>33</v>
      </c>
      <c r="G411" s="1">
        <v>319334</v>
      </c>
      <c r="H411" s="63">
        <v>45542</v>
      </c>
      <c r="J411" s="1"/>
      <c r="K411" s="1"/>
      <c r="L411" s="1" t="s">
        <v>29</v>
      </c>
      <c r="M411" s="1" t="s">
        <v>149</v>
      </c>
      <c r="N411" s="1" t="str">
        <f t="shared" si="6"/>
        <v>Normal</v>
      </c>
    </row>
    <row r="412" spans="1:14" x14ac:dyDescent="0.25">
      <c r="A412" s="1" t="s">
        <v>1020</v>
      </c>
      <c r="B412" s="1" t="s">
        <v>88</v>
      </c>
      <c r="C412" s="1" t="s">
        <v>1021</v>
      </c>
      <c r="D412" s="1" t="s">
        <v>90</v>
      </c>
      <c r="E412" s="1" t="s">
        <v>100</v>
      </c>
      <c r="F412" s="1" t="s">
        <v>53</v>
      </c>
      <c r="G412" s="1">
        <v>89412</v>
      </c>
      <c r="H412" s="63">
        <v>45046</v>
      </c>
      <c r="J412" s="1"/>
      <c r="K412" s="1">
        <v>1.3</v>
      </c>
      <c r="L412" s="1" t="s">
        <v>29</v>
      </c>
      <c r="M412" s="1" t="s">
        <v>30</v>
      </c>
      <c r="N412" s="1" t="str">
        <f t="shared" si="6"/>
        <v>Normal</v>
      </c>
    </row>
    <row r="413" spans="1:14" x14ac:dyDescent="0.25">
      <c r="A413" s="1" t="s">
        <v>1023</v>
      </c>
      <c r="B413" s="1" t="s">
        <v>104</v>
      </c>
      <c r="C413" s="1" t="s">
        <v>596</v>
      </c>
      <c r="D413" s="1" t="s">
        <v>46</v>
      </c>
      <c r="E413" s="1" t="s">
        <v>100</v>
      </c>
      <c r="F413" s="1" t="s">
        <v>129</v>
      </c>
      <c r="G413" s="1">
        <v>35316</v>
      </c>
      <c r="H413" s="63">
        <v>45464</v>
      </c>
      <c r="J413" s="1"/>
      <c r="K413" s="1">
        <v>8.6999999999999993</v>
      </c>
      <c r="L413" s="1" t="s">
        <v>20</v>
      </c>
      <c r="M413" s="1" t="s">
        <v>107</v>
      </c>
      <c r="N413" s="1" t="str">
        <f t="shared" si="6"/>
        <v>Normal</v>
      </c>
    </row>
    <row r="414" spans="1:14" x14ac:dyDescent="0.25">
      <c r="A414" s="1" t="s">
        <v>1025</v>
      </c>
      <c r="B414" s="1" t="s">
        <v>84</v>
      </c>
      <c r="C414" s="1" t="s">
        <v>261</v>
      </c>
      <c r="D414" s="1" t="s">
        <v>16</v>
      </c>
      <c r="E414" s="1" t="s">
        <v>72</v>
      </c>
      <c r="F414" s="1" t="s">
        <v>53</v>
      </c>
      <c r="G414" s="1">
        <v>279648</v>
      </c>
      <c r="H414" s="63">
        <v>45222</v>
      </c>
      <c r="J414" s="1"/>
      <c r="K414" s="1">
        <v>11</v>
      </c>
      <c r="L414" s="1" t="s">
        <v>29</v>
      </c>
      <c r="M414" s="1" t="s">
        <v>21</v>
      </c>
      <c r="N414" s="1" t="str">
        <f t="shared" si="6"/>
        <v>Normal</v>
      </c>
    </row>
    <row r="415" spans="1:14" x14ac:dyDescent="0.25">
      <c r="A415" s="1" t="s">
        <v>1027</v>
      </c>
      <c r="B415" s="1" t="s">
        <v>109</v>
      </c>
      <c r="C415" s="1" t="s">
        <v>1028</v>
      </c>
      <c r="D415" s="1" t="s">
        <v>25</v>
      </c>
      <c r="E415" s="1" t="s">
        <v>72</v>
      </c>
      <c r="F415" s="1" t="s">
        <v>40</v>
      </c>
      <c r="G415" s="1">
        <v>337652</v>
      </c>
      <c r="H415" s="63">
        <v>45062</v>
      </c>
      <c r="I415" s="63">
        <v>45139</v>
      </c>
      <c r="J415" s="1">
        <v>77</v>
      </c>
      <c r="K415" s="1">
        <v>2.8</v>
      </c>
      <c r="L415" s="1" t="s">
        <v>20</v>
      </c>
      <c r="M415" s="1" t="s">
        <v>30</v>
      </c>
      <c r="N415" s="1" t="str">
        <f t="shared" si="6"/>
        <v>Normal</v>
      </c>
    </row>
    <row r="416" spans="1:14" x14ac:dyDescent="0.25">
      <c r="A416" s="1" t="s">
        <v>1030</v>
      </c>
      <c r="B416" s="1" t="s">
        <v>59</v>
      </c>
      <c r="C416" s="1" t="s">
        <v>195</v>
      </c>
      <c r="D416" s="1" t="s">
        <v>16</v>
      </c>
      <c r="E416" s="1" t="s">
        <v>72</v>
      </c>
      <c r="F416" s="1" t="s">
        <v>129</v>
      </c>
      <c r="G416" s="1">
        <v>340759</v>
      </c>
      <c r="H416" s="63">
        <v>45621</v>
      </c>
      <c r="J416" s="1"/>
      <c r="K416" s="1">
        <v>13.9</v>
      </c>
      <c r="L416" s="1" t="s">
        <v>29</v>
      </c>
      <c r="M416" s="1" t="s">
        <v>42</v>
      </c>
      <c r="N416" s="1" t="str">
        <f t="shared" si="6"/>
        <v>Normal</v>
      </c>
    </row>
    <row r="417" spans="1:14" x14ac:dyDescent="0.25">
      <c r="A417" s="1" t="s">
        <v>1031</v>
      </c>
      <c r="B417" s="1" t="s">
        <v>37</v>
      </c>
      <c r="C417" s="1" t="s">
        <v>1009</v>
      </c>
      <c r="D417" s="1" t="s">
        <v>16</v>
      </c>
      <c r="E417" s="1" t="s">
        <v>47</v>
      </c>
      <c r="F417" s="1" t="s">
        <v>33</v>
      </c>
      <c r="G417" s="1">
        <v>489202</v>
      </c>
      <c r="H417" s="63">
        <v>45599</v>
      </c>
      <c r="J417" s="1"/>
      <c r="K417" s="1"/>
      <c r="L417" s="1" t="s">
        <v>96</v>
      </c>
      <c r="M417" s="1" t="s">
        <v>42</v>
      </c>
      <c r="N417" s="1" t="str">
        <f t="shared" si="6"/>
        <v>Normal</v>
      </c>
    </row>
    <row r="418" spans="1:14" x14ac:dyDescent="0.25">
      <c r="A418" s="1" t="s">
        <v>1033</v>
      </c>
      <c r="B418" s="1" t="s">
        <v>59</v>
      </c>
      <c r="C418" s="1" t="s">
        <v>110</v>
      </c>
      <c r="D418" s="1" t="s">
        <v>67</v>
      </c>
      <c r="E418" s="1" t="s">
        <v>100</v>
      </c>
      <c r="F418" s="1" t="s">
        <v>27</v>
      </c>
      <c r="G418" s="1">
        <v>284717</v>
      </c>
      <c r="H418" s="63">
        <v>45196</v>
      </c>
      <c r="J418" s="1"/>
      <c r="K418" s="1"/>
      <c r="L418" s="1" t="s">
        <v>29</v>
      </c>
      <c r="M418" s="1" t="s">
        <v>102</v>
      </c>
      <c r="N418" s="1" t="str">
        <f t="shared" si="6"/>
        <v>Normal</v>
      </c>
    </row>
    <row r="419" spans="1:14" x14ac:dyDescent="0.25">
      <c r="A419" s="1" t="s">
        <v>1035</v>
      </c>
      <c r="B419" s="1" t="s">
        <v>37</v>
      </c>
      <c r="C419" s="1" t="s">
        <v>686</v>
      </c>
      <c r="D419" s="1" t="s">
        <v>67</v>
      </c>
      <c r="E419" s="1" t="s">
        <v>17</v>
      </c>
      <c r="F419" s="1" t="s">
        <v>33</v>
      </c>
      <c r="G419" s="1">
        <v>157274</v>
      </c>
      <c r="H419" s="63">
        <v>45700</v>
      </c>
      <c r="J419" s="1"/>
      <c r="K419" s="1"/>
      <c r="L419" s="1" t="s">
        <v>96</v>
      </c>
      <c r="M419" s="1" t="s">
        <v>63</v>
      </c>
      <c r="N419" s="1" t="str">
        <f t="shared" si="6"/>
        <v>Normal</v>
      </c>
    </row>
    <row r="420" spans="1:14" x14ac:dyDescent="0.25">
      <c r="A420" s="1" t="s">
        <v>1037</v>
      </c>
      <c r="B420" s="1" t="s">
        <v>109</v>
      </c>
      <c r="C420" s="1" t="s">
        <v>561</v>
      </c>
      <c r="D420" s="1" t="s">
        <v>46</v>
      </c>
      <c r="E420" s="1" t="s">
        <v>61</v>
      </c>
      <c r="F420" s="1" t="s">
        <v>129</v>
      </c>
      <c r="G420" s="1">
        <v>309184</v>
      </c>
      <c r="H420" s="63">
        <v>45616</v>
      </c>
      <c r="J420" s="1"/>
      <c r="K420" s="1">
        <v>5.8</v>
      </c>
      <c r="L420" s="1" t="s">
        <v>29</v>
      </c>
      <c r="M420" s="1" t="s">
        <v>42</v>
      </c>
      <c r="N420" s="1" t="str">
        <f t="shared" si="6"/>
        <v>Normal</v>
      </c>
    </row>
    <row r="421" spans="1:14" x14ac:dyDescent="0.25">
      <c r="A421" s="1" t="s">
        <v>1038</v>
      </c>
      <c r="B421" s="1" t="s">
        <v>80</v>
      </c>
      <c r="C421" s="1" t="s">
        <v>160</v>
      </c>
      <c r="D421" s="1" t="s">
        <v>25</v>
      </c>
      <c r="E421" s="1" t="s">
        <v>17</v>
      </c>
      <c r="F421" s="1" t="s">
        <v>129</v>
      </c>
      <c r="G421" s="1">
        <v>466808</v>
      </c>
      <c r="H421" s="63">
        <v>45429</v>
      </c>
      <c r="J421" s="1"/>
      <c r="K421" s="1"/>
      <c r="L421" s="1" t="s">
        <v>20</v>
      </c>
      <c r="M421" s="1" t="s">
        <v>107</v>
      </c>
      <c r="N421" s="1" t="str">
        <f t="shared" si="6"/>
        <v>Normal</v>
      </c>
    </row>
    <row r="422" spans="1:14" x14ac:dyDescent="0.25">
      <c r="A422" s="1" t="s">
        <v>1040</v>
      </c>
      <c r="B422" s="1" t="s">
        <v>173</v>
      </c>
      <c r="C422" s="1" t="s">
        <v>343</v>
      </c>
      <c r="D422" s="1" t="s">
        <v>25</v>
      </c>
      <c r="E422" s="1" t="s">
        <v>77</v>
      </c>
      <c r="F422" s="1" t="s">
        <v>33</v>
      </c>
      <c r="G422" s="1">
        <v>189879</v>
      </c>
      <c r="H422" s="63">
        <v>45527</v>
      </c>
      <c r="J422" s="1"/>
      <c r="K422" s="1">
        <v>5.6</v>
      </c>
      <c r="L422" s="1" t="s">
        <v>96</v>
      </c>
      <c r="M422" s="1" t="s">
        <v>149</v>
      </c>
      <c r="N422" s="1" t="str">
        <f t="shared" si="6"/>
        <v>Normal</v>
      </c>
    </row>
    <row r="423" spans="1:14" x14ac:dyDescent="0.25">
      <c r="A423" s="1" t="s">
        <v>1042</v>
      </c>
      <c r="B423" s="1" t="s">
        <v>44</v>
      </c>
      <c r="C423" s="1" t="s">
        <v>1043</v>
      </c>
      <c r="D423" s="1" t="s">
        <v>90</v>
      </c>
      <c r="E423" s="1" t="s">
        <v>26</v>
      </c>
      <c r="F423" s="1" t="s">
        <v>40</v>
      </c>
      <c r="G423" s="1">
        <v>182871</v>
      </c>
      <c r="H423" s="63">
        <v>45704</v>
      </c>
      <c r="I423" s="63">
        <v>45865</v>
      </c>
      <c r="J423" s="1">
        <v>161</v>
      </c>
      <c r="K423" s="1">
        <v>7.7</v>
      </c>
      <c r="L423" s="1" t="s">
        <v>96</v>
      </c>
      <c r="M423" s="1" t="s">
        <v>63</v>
      </c>
      <c r="N423" s="1" t="str">
        <f t="shared" si="6"/>
        <v>Normal</v>
      </c>
    </row>
    <row r="424" spans="1:14" x14ac:dyDescent="0.25">
      <c r="A424" s="1" t="s">
        <v>1045</v>
      </c>
      <c r="B424" s="1" t="s">
        <v>109</v>
      </c>
      <c r="C424" s="1" t="s">
        <v>316</v>
      </c>
      <c r="D424" s="1" t="s">
        <v>25</v>
      </c>
      <c r="E424" s="1" t="s">
        <v>72</v>
      </c>
      <c r="F424" s="1" t="s">
        <v>33</v>
      </c>
      <c r="G424" s="1">
        <v>319507</v>
      </c>
      <c r="H424" s="63">
        <v>45035</v>
      </c>
      <c r="J424" s="1"/>
      <c r="K424" s="1"/>
      <c r="L424" s="1" t="s">
        <v>96</v>
      </c>
      <c r="M424" s="1" t="s">
        <v>30</v>
      </c>
      <c r="N424" s="1" t="str">
        <f t="shared" si="6"/>
        <v>Normal</v>
      </c>
    </row>
    <row r="425" spans="1:14" x14ac:dyDescent="0.25">
      <c r="A425" s="1" t="s">
        <v>1047</v>
      </c>
      <c r="B425" s="1" t="s">
        <v>104</v>
      </c>
      <c r="C425" s="1" t="s">
        <v>699</v>
      </c>
      <c r="D425" s="1" t="s">
        <v>67</v>
      </c>
      <c r="E425" s="1" t="s">
        <v>100</v>
      </c>
      <c r="F425" s="1" t="s">
        <v>129</v>
      </c>
      <c r="G425" s="1">
        <v>178290</v>
      </c>
      <c r="H425" s="63">
        <v>45110</v>
      </c>
      <c r="J425" s="1"/>
      <c r="K425" s="1"/>
      <c r="L425" s="1" t="s">
        <v>96</v>
      </c>
      <c r="M425" s="1" t="s">
        <v>102</v>
      </c>
      <c r="N425" s="1" t="str">
        <f t="shared" si="6"/>
        <v>Normal</v>
      </c>
    </row>
    <row r="426" spans="1:14" x14ac:dyDescent="0.25">
      <c r="A426" s="1" t="s">
        <v>1049</v>
      </c>
      <c r="B426" s="1" t="s">
        <v>23</v>
      </c>
      <c r="C426" s="1" t="s">
        <v>1050</v>
      </c>
      <c r="D426" s="1" t="s">
        <v>16</v>
      </c>
      <c r="E426" s="1" t="s">
        <v>4845</v>
      </c>
      <c r="F426" s="1" t="s">
        <v>27</v>
      </c>
      <c r="G426" s="1">
        <v>25737</v>
      </c>
      <c r="H426" s="63">
        <v>45072</v>
      </c>
      <c r="J426" s="1"/>
      <c r="K426" s="1"/>
      <c r="L426" s="1" t="s">
        <v>49</v>
      </c>
      <c r="M426" s="1" t="s">
        <v>30</v>
      </c>
      <c r="N426" s="1" t="str">
        <f t="shared" si="6"/>
        <v>Normal</v>
      </c>
    </row>
    <row r="427" spans="1:14" x14ac:dyDescent="0.25">
      <c r="A427" s="1" t="s">
        <v>1051</v>
      </c>
      <c r="B427" s="1" t="s">
        <v>44</v>
      </c>
      <c r="C427" s="1" t="s">
        <v>603</v>
      </c>
      <c r="D427" s="1" t="s">
        <v>90</v>
      </c>
      <c r="E427" s="1" t="s">
        <v>100</v>
      </c>
      <c r="F427" s="1" t="s">
        <v>33</v>
      </c>
      <c r="G427" s="1">
        <v>295436</v>
      </c>
      <c r="H427" s="63">
        <v>45600</v>
      </c>
      <c r="J427" s="1"/>
      <c r="K427" s="1">
        <v>0</v>
      </c>
      <c r="L427" s="1" t="s">
        <v>49</v>
      </c>
      <c r="M427" s="1" t="s">
        <v>42</v>
      </c>
      <c r="N427" s="1" t="str">
        <f t="shared" si="6"/>
        <v>Normal</v>
      </c>
    </row>
    <row r="428" spans="1:14" x14ac:dyDescent="0.25">
      <c r="A428" s="1" t="s">
        <v>1053</v>
      </c>
      <c r="B428" s="1" t="s">
        <v>37</v>
      </c>
      <c r="C428" s="1" t="s">
        <v>420</v>
      </c>
      <c r="D428" s="1" t="s">
        <v>46</v>
      </c>
      <c r="E428" s="1" t="s">
        <v>47</v>
      </c>
      <c r="F428" s="1" t="s">
        <v>33</v>
      </c>
      <c r="G428" s="1">
        <v>414485</v>
      </c>
      <c r="H428" s="63">
        <v>45714</v>
      </c>
      <c r="J428" s="1"/>
      <c r="K428" s="1"/>
      <c r="L428" s="1" t="s">
        <v>49</v>
      </c>
      <c r="M428" s="1" t="s">
        <v>63</v>
      </c>
      <c r="N428" s="1" t="str">
        <f t="shared" si="6"/>
        <v>Normal</v>
      </c>
    </row>
    <row r="429" spans="1:14" x14ac:dyDescent="0.25">
      <c r="A429" s="1" t="s">
        <v>1054</v>
      </c>
      <c r="B429" s="1" t="s">
        <v>98</v>
      </c>
      <c r="C429" s="1" t="s">
        <v>328</v>
      </c>
      <c r="D429" s="1" t="s">
        <v>39</v>
      </c>
      <c r="E429" s="1" t="s">
        <v>72</v>
      </c>
      <c r="F429" s="1" t="s">
        <v>18</v>
      </c>
      <c r="G429" s="1">
        <v>211869</v>
      </c>
      <c r="H429" s="63">
        <v>45415</v>
      </c>
      <c r="I429" s="63">
        <v>45470</v>
      </c>
      <c r="J429" s="1">
        <v>55</v>
      </c>
      <c r="K429" s="1">
        <v>1</v>
      </c>
      <c r="L429" s="1" t="s">
        <v>96</v>
      </c>
      <c r="M429" s="1" t="s">
        <v>107</v>
      </c>
      <c r="N429" s="1" t="str">
        <f t="shared" si="6"/>
        <v>Normal</v>
      </c>
    </row>
    <row r="430" spans="1:14" x14ac:dyDescent="0.25">
      <c r="A430" s="1" t="s">
        <v>1056</v>
      </c>
      <c r="B430" s="1" t="s">
        <v>23</v>
      </c>
      <c r="C430" s="1" t="s">
        <v>1057</v>
      </c>
      <c r="D430" s="1" t="s">
        <v>46</v>
      </c>
      <c r="E430" s="1" t="s">
        <v>72</v>
      </c>
      <c r="F430" s="1" t="s">
        <v>33</v>
      </c>
      <c r="G430" s="1">
        <v>72511</v>
      </c>
      <c r="H430" s="63">
        <v>45473</v>
      </c>
      <c r="J430" s="1"/>
      <c r="K430" s="1">
        <v>6.9</v>
      </c>
      <c r="L430" s="1" t="s">
        <v>49</v>
      </c>
      <c r="M430" s="1" t="s">
        <v>107</v>
      </c>
      <c r="N430" s="1" t="str">
        <f t="shared" si="6"/>
        <v>Normal</v>
      </c>
    </row>
    <row r="431" spans="1:14" x14ac:dyDescent="0.25">
      <c r="A431" s="1" t="s">
        <v>1058</v>
      </c>
      <c r="B431" s="1" t="s">
        <v>88</v>
      </c>
      <c r="C431" s="1" t="s">
        <v>720</v>
      </c>
      <c r="D431" s="1" t="s">
        <v>16</v>
      </c>
      <c r="E431" s="1" t="s">
        <v>17</v>
      </c>
      <c r="F431" s="1" t="s">
        <v>53</v>
      </c>
      <c r="G431" s="1">
        <v>300303</v>
      </c>
      <c r="H431" s="63">
        <v>45707</v>
      </c>
      <c r="J431" s="1"/>
      <c r="K431" s="1">
        <v>3.3</v>
      </c>
      <c r="L431" s="1" t="s">
        <v>20</v>
      </c>
      <c r="M431" s="1" t="s">
        <v>63</v>
      </c>
      <c r="N431" s="1" t="str">
        <f t="shared" si="6"/>
        <v>Normal</v>
      </c>
    </row>
    <row r="432" spans="1:14" x14ac:dyDescent="0.25">
      <c r="A432" s="1" t="s">
        <v>1060</v>
      </c>
      <c r="B432" s="1" t="s">
        <v>44</v>
      </c>
      <c r="C432" s="1" t="s">
        <v>862</v>
      </c>
      <c r="D432" s="1" t="s">
        <v>16</v>
      </c>
      <c r="E432" s="1" t="s">
        <v>47</v>
      </c>
      <c r="F432" s="1" t="s">
        <v>33</v>
      </c>
      <c r="G432" s="1">
        <v>66288</v>
      </c>
      <c r="H432" s="63">
        <v>45357</v>
      </c>
      <c r="J432" s="1"/>
      <c r="K432" s="1">
        <v>14.4</v>
      </c>
      <c r="L432" s="1" t="s">
        <v>29</v>
      </c>
      <c r="M432" s="1" t="s">
        <v>69</v>
      </c>
      <c r="N432" s="1" t="str">
        <f t="shared" si="6"/>
        <v>Normal</v>
      </c>
    </row>
    <row r="433" spans="1:14" x14ac:dyDescent="0.25">
      <c r="A433" s="1" t="s">
        <v>1061</v>
      </c>
      <c r="B433" s="1" t="s">
        <v>4829</v>
      </c>
      <c r="C433" s="1" t="s">
        <v>189</v>
      </c>
      <c r="D433" s="1" t="s">
        <v>46</v>
      </c>
      <c r="E433" s="1" t="s">
        <v>94</v>
      </c>
      <c r="F433" s="1" t="s">
        <v>27</v>
      </c>
      <c r="G433" s="1">
        <v>35041</v>
      </c>
      <c r="H433" s="63">
        <v>45207</v>
      </c>
      <c r="J433" s="1"/>
      <c r="K433" s="1">
        <v>8</v>
      </c>
      <c r="L433" s="1" t="s">
        <v>20</v>
      </c>
      <c r="M433" s="1" t="s">
        <v>21</v>
      </c>
      <c r="N433" s="1" t="str">
        <f t="shared" si="6"/>
        <v>Normal</v>
      </c>
    </row>
    <row r="434" spans="1:14" x14ac:dyDescent="0.25">
      <c r="A434" s="1" t="s">
        <v>1063</v>
      </c>
      <c r="B434" s="1" t="s">
        <v>84</v>
      </c>
      <c r="C434" s="1" t="s">
        <v>1064</v>
      </c>
      <c r="D434" s="1" t="s">
        <v>16</v>
      </c>
      <c r="E434" s="1" t="s">
        <v>17</v>
      </c>
      <c r="F434" s="1" t="s">
        <v>129</v>
      </c>
      <c r="G434" s="1">
        <v>481779</v>
      </c>
      <c r="H434" s="63">
        <v>45545</v>
      </c>
      <c r="J434" s="1"/>
      <c r="K434" s="1">
        <v>3.1</v>
      </c>
      <c r="L434" s="1" t="s">
        <v>96</v>
      </c>
      <c r="M434" s="1" t="s">
        <v>149</v>
      </c>
      <c r="N434" s="1" t="str">
        <f t="shared" si="6"/>
        <v>Normal</v>
      </c>
    </row>
    <row r="435" spans="1:14" x14ac:dyDescent="0.25">
      <c r="A435" s="1" t="s">
        <v>1065</v>
      </c>
      <c r="B435" s="1" t="s">
        <v>44</v>
      </c>
      <c r="C435" s="1" t="s">
        <v>732</v>
      </c>
      <c r="D435" s="1" t="s">
        <v>25</v>
      </c>
      <c r="E435" s="1" t="s">
        <v>26</v>
      </c>
      <c r="F435" s="1" t="s">
        <v>129</v>
      </c>
      <c r="G435" s="1">
        <v>26597</v>
      </c>
      <c r="H435" s="63">
        <v>45071</v>
      </c>
      <c r="J435" s="1"/>
      <c r="K435" s="1">
        <v>13.5</v>
      </c>
      <c r="L435" s="1" t="s">
        <v>96</v>
      </c>
      <c r="M435" s="1" t="s">
        <v>30</v>
      </c>
      <c r="N435" s="1" t="str">
        <f t="shared" si="6"/>
        <v>Normal</v>
      </c>
    </row>
    <row r="436" spans="1:14" x14ac:dyDescent="0.25">
      <c r="A436" s="1" t="s">
        <v>1067</v>
      </c>
      <c r="B436" s="1" t="s">
        <v>4829</v>
      </c>
      <c r="C436" s="1" t="s">
        <v>679</v>
      </c>
      <c r="D436" s="1" t="s">
        <v>25</v>
      </c>
      <c r="E436" s="1" t="s">
        <v>17</v>
      </c>
      <c r="F436" s="1" t="s">
        <v>18</v>
      </c>
      <c r="G436" s="1">
        <v>87782</v>
      </c>
      <c r="H436" s="63">
        <v>45582</v>
      </c>
      <c r="I436" s="63">
        <v>45710</v>
      </c>
      <c r="J436" s="1">
        <v>128</v>
      </c>
      <c r="K436" s="1">
        <v>9.1999999999999993</v>
      </c>
      <c r="L436" s="1" t="s">
        <v>29</v>
      </c>
      <c r="M436" s="1" t="s">
        <v>42</v>
      </c>
      <c r="N436" s="1" t="str">
        <f t="shared" si="6"/>
        <v>Normal</v>
      </c>
    </row>
    <row r="437" spans="1:14" x14ac:dyDescent="0.25">
      <c r="A437" s="1" t="s">
        <v>1069</v>
      </c>
      <c r="B437" s="1" t="s">
        <v>23</v>
      </c>
      <c r="C437" s="1" t="s">
        <v>1070</v>
      </c>
      <c r="D437" s="1" t="s">
        <v>90</v>
      </c>
      <c r="E437" s="1" t="s">
        <v>72</v>
      </c>
      <c r="F437" s="1" t="s">
        <v>129</v>
      </c>
      <c r="G437" s="1">
        <v>280341</v>
      </c>
      <c r="H437" s="63">
        <v>45142</v>
      </c>
      <c r="J437" s="1"/>
      <c r="K437" s="1"/>
      <c r="L437" s="1" t="s">
        <v>29</v>
      </c>
      <c r="M437" s="1" t="s">
        <v>102</v>
      </c>
      <c r="N437" s="1" t="str">
        <f t="shared" si="6"/>
        <v>Normal</v>
      </c>
    </row>
    <row r="438" spans="1:14" x14ac:dyDescent="0.25">
      <c r="A438" s="1" t="s">
        <v>1071</v>
      </c>
      <c r="B438" s="1" t="s">
        <v>14</v>
      </c>
      <c r="C438" s="1" t="s">
        <v>1072</v>
      </c>
      <c r="D438" s="1" t="s">
        <v>39</v>
      </c>
      <c r="E438" s="1" t="s">
        <v>61</v>
      </c>
      <c r="F438" s="1" t="s">
        <v>33</v>
      </c>
      <c r="G438" s="1">
        <v>376532</v>
      </c>
      <c r="H438" s="63">
        <v>45196</v>
      </c>
      <c r="J438" s="1"/>
      <c r="K438" s="1"/>
      <c r="L438" s="1" t="s">
        <v>49</v>
      </c>
      <c r="M438" s="1" t="s">
        <v>102</v>
      </c>
      <c r="N438" s="1" t="str">
        <f t="shared" si="6"/>
        <v>Normal</v>
      </c>
    </row>
    <row r="439" spans="1:14" x14ac:dyDescent="0.25">
      <c r="A439" s="1" t="s">
        <v>1073</v>
      </c>
      <c r="B439" s="1" t="s">
        <v>173</v>
      </c>
      <c r="C439" s="1" t="s">
        <v>1074</v>
      </c>
      <c r="D439" s="1" t="s">
        <v>90</v>
      </c>
      <c r="E439" s="1" t="s">
        <v>47</v>
      </c>
      <c r="F439" s="1" t="s">
        <v>33</v>
      </c>
      <c r="G439" s="1">
        <v>185450</v>
      </c>
      <c r="H439" s="63">
        <v>45554</v>
      </c>
      <c r="J439" s="1"/>
      <c r="K439" s="1">
        <v>6.1</v>
      </c>
      <c r="L439" s="1" t="s">
        <v>96</v>
      </c>
      <c r="M439" s="1" t="s">
        <v>149</v>
      </c>
      <c r="N439" s="1" t="str">
        <f t="shared" si="6"/>
        <v>Normal</v>
      </c>
    </row>
    <row r="440" spans="1:14" x14ac:dyDescent="0.25">
      <c r="A440" s="1" t="s">
        <v>1076</v>
      </c>
      <c r="B440" s="1" t="s">
        <v>104</v>
      </c>
      <c r="C440" s="1" t="s">
        <v>1077</v>
      </c>
      <c r="D440" s="1" t="s">
        <v>39</v>
      </c>
      <c r="E440" s="1" t="s">
        <v>26</v>
      </c>
      <c r="F440" s="1" t="s">
        <v>33</v>
      </c>
      <c r="G440" s="1">
        <v>495231</v>
      </c>
      <c r="H440" s="63">
        <v>45254</v>
      </c>
      <c r="J440" s="1"/>
      <c r="K440" s="1"/>
      <c r="L440" s="1" t="s">
        <v>29</v>
      </c>
      <c r="M440" s="1" t="s">
        <v>21</v>
      </c>
      <c r="N440" s="1" t="str">
        <f t="shared" si="6"/>
        <v>Normal</v>
      </c>
    </row>
    <row r="441" spans="1:14" x14ac:dyDescent="0.25">
      <c r="A441" s="1" t="s">
        <v>1079</v>
      </c>
      <c r="B441" s="1" t="s">
        <v>37</v>
      </c>
      <c r="C441" s="1" t="s">
        <v>433</v>
      </c>
      <c r="D441" s="1" t="s">
        <v>39</v>
      </c>
      <c r="E441" s="1" t="s">
        <v>77</v>
      </c>
      <c r="F441" s="1" t="s">
        <v>18</v>
      </c>
      <c r="G441" s="1">
        <v>106639</v>
      </c>
      <c r="H441" s="63">
        <v>45271</v>
      </c>
      <c r="I441" s="63">
        <v>45360</v>
      </c>
      <c r="J441" s="1">
        <v>89</v>
      </c>
      <c r="K441" s="1">
        <v>5.9</v>
      </c>
      <c r="L441" s="1" t="s">
        <v>49</v>
      </c>
      <c r="M441" s="1" t="s">
        <v>21</v>
      </c>
      <c r="N441" s="1" t="str">
        <f t="shared" si="6"/>
        <v>Normal</v>
      </c>
    </row>
    <row r="442" spans="1:14" x14ac:dyDescent="0.25">
      <c r="A442" s="1" t="s">
        <v>1080</v>
      </c>
      <c r="B442" s="1" t="s">
        <v>75</v>
      </c>
      <c r="C442" s="1" t="s">
        <v>686</v>
      </c>
      <c r="D442" s="1" t="s">
        <v>90</v>
      </c>
      <c r="E442" s="1" t="s">
        <v>17</v>
      </c>
      <c r="F442" s="1" t="s">
        <v>129</v>
      </c>
      <c r="G442" s="1">
        <v>158544</v>
      </c>
      <c r="H442" s="63">
        <v>45387</v>
      </c>
      <c r="J442" s="1"/>
      <c r="K442" s="1">
        <v>7.8</v>
      </c>
      <c r="L442" s="1" t="s">
        <v>20</v>
      </c>
      <c r="M442" s="1" t="s">
        <v>107</v>
      </c>
      <c r="N442" s="1" t="str">
        <f t="shared" si="6"/>
        <v>Normal</v>
      </c>
    </row>
    <row r="443" spans="1:14" x14ac:dyDescent="0.25">
      <c r="A443" s="1" t="s">
        <v>1082</v>
      </c>
      <c r="B443" s="1" t="s">
        <v>59</v>
      </c>
      <c r="C443" s="1" t="s">
        <v>1083</v>
      </c>
      <c r="D443" s="1" t="s">
        <v>25</v>
      </c>
      <c r="E443" s="1" t="s">
        <v>72</v>
      </c>
      <c r="F443" s="1" t="s">
        <v>53</v>
      </c>
      <c r="G443" s="1">
        <v>434677</v>
      </c>
      <c r="H443" s="63">
        <v>44932</v>
      </c>
      <c r="J443" s="1"/>
      <c r="K443" s="1">
        <v>5.4</v>
      </c>
      <c r="L443" s="1" t="s">
        <v>96</v>
      </c>
      <c r="M443" s="1" t="s">
        <v>35</v>
      </c>
      <c r="N443" s="1" t="str">
        <f t="shared" si="6"/>
        <v>Normal</v>
      </c>
    </row>
    <row r="444" spans="1:14" x14ac:dyDescent="0.25">
      <c r="A444" s="1" t="s">
        <v>1084</v>
      </c>
      <c r="B444" s="1" t="s">
        <v>4829</v>
      </c>
      <c r="C444" s="1" t="s">
        <v>110</v>
      </c>
      <c r="D444" s="1" t="s">
        <v>46</v>
      </c>
      <c r="E444" s="1" t="s">
        <v>17</v>
      </c>
      <c r="F444" s="1" t="s">
        <v>40</v>
      </c>
      <c r="G444" s="1">
        <v>202967</v>
      </c>
      <c r="H444" s="63">
        <v>45701</v>
      </c>
      <c r="I444" s="63">
        <v>45844</v>
      </c>
      <c r="J444" s="1">
        <v>143</v>
      </c>
      <c r="K444" s="1">
        <v>4.8</v>
      </c>
      <c r="L444" s="1" t="s">
        <v>96</v>
      </c>
      <c r="M444" s="1" t="s">
        <v>63</v>
      </c>
      <c r="N444" s="1" t="str">
        <f t="shared" si="6"/>
        <v>Normal</v>
      </c>
    </row>
    <row r="445" spans="1:14" x14ac:dyDescent="0.25">
      <c r="A445" s="1" t="s">
        <v>1086</v>
      </c>
      <c r="B445" s="1" t="s">
        <v>23</v>
      </c>
      <c r="C445" s="1" t="s">
        <v>1087</v>
      </c>
      <c r="D445" s="1" t="s">
        <v>16</v>
      </c>
      <c r="E445" s="1" t="s">
        <v>72</v>
      </c>
      <c r="F445" s="1" t="s">
        <v>40</v>
      </c>
      <c r="G445" s="1">
        <v>452042</v>
      </c>
      <c r="H445" s="63">
        <v>45332</v>
      </c>
      <c r="I445" s="63">
        <v>45492</v>
      </c>
      <c r="J445" s="1">
        <v>160</v>
      </c>
      <c r="K445" s="1">
        <v>9</v>
      </c>
      <c r="L445" s="1" t="s">
        <v>49</v>
      </c>
      <c r="M445" s="1" t="s">
        <v>69</v>
      </c>
      <c r="N445" s="1" t="str">
        <f t="shared" si="6"/>
        <v>Normal</v>
      </c>
    </row>
    <row r="446" spans="1:14" x14ac:dyDescent="0.25">
      <c r="A446" s="1" t="s">
        <v>1089</v>
      </c>
      <c r="B446" s="1" t="s">
        <v>59</v>
      </c>
      <c r="C446" s="1" t="s">
        <v>1090</v>
      </c>
      <c r="D446" s="1" t="s">
        <v>90</v>
      </c>
      <c r="E446" s="1" t="s">
        <v>72</v>
      </c>
      <c r="F446" s="1" t="s">
        <v>40</v>
      </c>
      <c r="G446" s="1">
        <v>173402</v>
      </c>
      <c r="H446" s="63">
        <v>45037</v>
      </c>
      <c r="I446" s="63">
        <v>45141</v>
      </c>
      <c r="J446" s="1">
        <v>104</v>
      </c>
      <c r="K446" s="1">
        <v>14.8</v>
      </c>
      <c r="L446" s="1" t="s">
        <v>29</v>
      </c>
      <c r="M446" s="1" t="s">
        <v>30</v>
      </c>
      <c r="N446" s="1" t="str">
        <f t="shared" si="6"/>
        <v>Normal</v>
      </c>
    </row>
    <row r="447" spans="1:14" x14ac:dyDescent="0.25">
      <c r="A447" s="1" t="s">
        <v>1092</v>
      </c>
      <c r="B447" s="1" t="s">
        <v>104</v>
      </c>
      <c r="C447" s="1" t="s">
        <v>364</v>
      </c>
      <c r="D447" s="1" t="s">
        <v>67</v>
      </c>
      <c r="E447" s="1" t="s">
        <v>61</v>
      </c>
      <c r="F447" s="1" t="s">
        <v>129</v>
      </c>
      <c r="G447" s="1">
        <v>199843</v>
      </c>
      <c r="H447" s="63">
        <v>45087</v>
      </c>
      <c r="J447" s="1"/>
      <c r="K447" s="1">
        <v>12.6</v>
      </c>
      <c r="L447" s="1" t="s">
        <v>29</v>
      </c>
      <c r="M447" s="1" t="s">
        <v>30</v>
      </c>
      <c r="N447" s="1" t="str">
        <f t="shared" si="6"/>
        <v>Normal</v>
      </c>
    </row>
    <row r="448" spans="1:14" x14ac:dyDescent="0.25">
      <c r="A448" s="1" t="s">
        <v>1094</v>
      </c>
      <c r="B448" s="1" t="s">
        <v>59</v>
      </c>
      <c r="C448" s="1" t="s">
        <v>1095</v>
      </c>
      <c r="D448" s="1" t="s">
        <v>25</v>
      </c>
      <c r="E448" s="1" t="s">
        <v>17</v>
      </c>
      <c r="F448" s="1" t="s">
        <v>40</v>
      </c>
      <c r="G448" s="1">
        <v>42155</v>
      </c>
      <c r="H448" s="63">
        <v>45178</v>
      </c>
      <c r="I448" s="63">
        <v>45240</v>
      </c>
      <c r="J448" s="1">
        <v>62</v>
      </c>
      <c r="K448" s="1">
        <v>10.8</v>
      </c>
      <c r="L448" s="1" t="s">
        <v>49</v>
      </c>
      <c r="M448" s="1" t="s">
        <v>102</v>
      </c>
      <c r="N448" s="1" t="str">
        <f t="shared" si="6"/>
        <v>Normal</v>
      </c>
    </row>
    <row r="449" spans="1:14" x14ac:dyDescent="0.25">
      <c r="A449" s="1" t="s">
        <v>1097</v>
      </c>
      <c r="B449" s="1" t="s">
        <v>104</v>
      </c>
      <c r="C449" s="1" t="s">
        <v>339</v>
      </c>
      <c r="D449" s="1" t="s">
        <v>25</v>
      </c>
      <c r="E449" s="1" t="s">
        <v>26</v>
      </c>
      <c r="F449" s="1" t="s">
        <v>40</v>
      </c>
      <c r="G449" s="1">
        <v>400358</v>
      </c>
      <c r="H449" s="63">
        <v>45607</v>
      </c>
      <c r="I449" s="63">
        <v>45686</v>
      </c>
      <c r="J449" s="1">
        <v>79</v>
      </c>
      <c r="K449" s="1">
        <v>16.3</v>
      </c>
      <c r="L449" s="1" t="s">
        <v>29</v>
      </c>
      <c r="M449" s="1" t="s">
        <v>42</v>
      </c>
      <c r="N449" s="1" t="str">
        <f t="shared" si="6"/>
        <v>Normal</v>
      </c>
    </row>
    <row r="450" spans="1:14" x14ac:dyDescent="0.25">
      <c r="A450" s="1" t="s">
        <v>1099</v>
      </c>
      <c r="B450" s="1" t="s">
        <v>88</v>
      </c>
      <c r="C450" s="1" t="s">
        <v>862</v>
      </c>
      <c r="D450" s="1" t="s">
        <v>90</v>
      </c>
      <c r="E450" s="1" t="s">
        <v>94</v>
      </c>
      <c r="F450" s="1" t="s">
        <v>27</v>
      </c>
      <c r="G450" s="1">
        <v>35269</v>
      </c>
      <c r="H450" s="63">
        <v>45452</v>
      </c>
      <c r="J450" s="1"/>
      <c r="K450" s="1">
        <v>5.9</v>
      </c>
      <c r="L450" s="1" t="s">
        <v>20</v>
      </c>
      <c r="M450" s="1" t="s">
        <v>107</v>
      </c>
      <c r="N450" s="1" t="str">
        <f t="shared" ref="N450:N513" si="7">IF(G450&gt;$R$5,"High Outlier",IF(G450&lt;$R$6,"Low Outlier","Normal"))</f>
        <v>Normal</v>
      </c>
    </row>
    <row r="451" spans="1:14" x14ac:dyDescent="0.25">
      <c r="A451" s="1" t="s">
        <v>1100</v>
      </c>
      <c r="B451" s="1" t="s">
        <v>59</v>
      </c>
      <c r="C451" s="1" t="s">
        <v>147</v>
      </c>
      <c r="D451" s="1" t="s">
        <v>90</v>
      </c>
      <c r="E451" s="1" t="s">
        <v>47</v>
      </c>
      <c r="F451" s="1" t="s">
        <v>53</v>
      </c>
      <c r="G451" s="1">
        <v>241172</v>
      </c>
      <c r="H451" s="63">
        <v>45257</v>
      </c>
      <c r="J451" s="1"/>
      <c r="K451" s="1">
        <v>3.2</v>
      </c>
      <c r="L451" s="1" t="s">
        <v>20</v>
      </c>
      <c r="M451" s="1" t="s">
        <v>21</v>
      </c>
      <c r="N451" s="1" t="str">
        <f t="shared" si="7"/>
        <v>Normal</v>
      </c>
    </row>
    <row r="452" spans="1:14" x14ac:dyDescent="0.25">
      <c r="A452" s="1" t="s">
        <v>1102</v>
      </c>
      <c r="B452" s="1" t="s">
        <v>98</v>
      </c>
      <c r="C452" s="1" t="s">
        <v>1070</v>
      </c>
      <c r="D452" s="1" t="s">
        <v>46</v>
      </c>
      <c r="E452" s="1" t="s">
        <v>17</v>
      </c>
      <c r="F452" s="1" t="s">
        <v>40</v>
      </c>
      <c r="G452" s="1">
        <v>92529</v>
      </c>
      <c r="H452" s="63">
        <v>45046</v>
      </c>
      <c r="I452" s="63">
        <v>45138</v>
      </c>
      <c r="J452" s="1">
        <v>92</v>
      </c>
      <c r="K452" s="1">
        <v>22.2</v>
      </c>
      <c r="L452" s="1" t="s">
        <v>29</v>
      </c>
      <c r="M452" s="1" t="s">
        <v>30</v>
      </c>
      <c r="N452" s="1" t="str">
        <f t="shared" si="7"/>
        <v>Normal</v>
      </c>
    </row>
    <row r="453" spans="1:14" x14ac:dyDescent="0.25">
      <c r="A453" s="1" t="s">
        <v>1103</v>
      </c>
      <c r="B453" s="1" t="s">
        <v>59</v>
      </c>
      <c r="C453" s="1" t="s">
        <v>813</v>
      </c>
      <c r="D453" s="1" t="s">
        <v>67</v>
      </c>
      <c r="E453" s="1" t="s">
        <v>77</v>
      </c>
      <c r="F453" s="1" t="s">
        <v>18</v>
      </c>
      <c r="G453" s="1">
        <v>489127</v>
      </c>
      <c r="H453" s="63">
        <v>45674</v>
      </c>
      <c r="I453" s="63">
        <v>45693</v>
      </c>
      <c r="J453" s="1">
        <v>19</v>
      </c>
      <c r="K453" s="1">
        <v>4.5999999999999996</v>
      </c>
      <c r="L453" s="1" t="s">
        <v>20</v>
      </c>
      <c r="M453" s="1" t="s">
        <v>63</v>
      </c>
      <c r="N453" s="1" t="str">
        <f t="shared" si="7"/>
        <v>Normal</v>
      </c>
    </row>
    <row r="454" spans="1:14" x14ac:dyDescent="0.25">
      <c r="A454" s="1" t="s">
        <v>1105</v>
      </c>
      <c r="B454" s="1" t="s">
        <v>75</v>
      </c>
      <c r="C454" s="1" t="s">
        <v>1106</v>
      </c>
      <c r="D454" s="1" t="s">
        <v>90</v>
      </c>
      <c r="E454" s="1" t="s">
        <v>100</v>
      </c>
      <c r="F454" s="1" t="s">
        <v>40</v>
      </c>
      <c r="G454" s="1">
        <v>156882</v>
      </c>
      <c r="H454" s="63">
        <v>45245</v>
      </c>
      <c r="I454" s="63">
        <v>45354</v>
      </c>
      <c r="J454" s="1">
        <v>109</v>
      </c>
      <c r="K454" s="1">
        <v>13.4</v>
      </c>
      <c r="L454" s="1" t="s">
        <v>96</v>
      </c>
      <c r="M454" s="1" t="s">
        <v>21</v>
      </c>
      <c r="N454" s="1" t="str">
        <f t="shared" si="7"/>
        <v>Normal</v>
      </c>
    </row>
    <row r="455" spans="1:14" x14ac:dyDescent="0.25">
      <c r="A455" s="1" t="s">
        <v>1108</v>
      </c>
      <c r="B455" s="1" t="s">
        <v>80</v>
      </c>
      <c r="C455" s="1" t="s">
        <v>912</v>
      </c>
      <c r="D455" s="1" t="s">
        <v>39</v>
      </c>
      <c r="E455" s="1" t="s">
        <v>47</v>
      </c>
      <c r="F455" s="1" t="s">
        <v>40</v>
      </c>
      <c r="G455" s="1">
        <v>896630</v>
      </c>
      <c r="H455" s="63">
        <v>45373</v>
      </c>
      <c r="I455" s="63">
        <v>45498</v>
      </c>
      <c r="J455" s="1">
        <v>125</v>
      </c>
      <c r="K455" s="1">
        <v>16.7</v>
      </c>
      <c r="L455" s="1" t="s">
        <v>20</v>
      </c>
      <c r="M455" s="1" t="s">
        <v>69</v>
      </c>
      <c r="N455" s="1" t="str">
        <f t="shared" si="7"/>
        <v>Normal</v>
      </c>
    </row>
    <row r="456" spans="1:14" x14ac:dyDescent="0.25">
      <c r="A456" s="1" t="s">
        <v>1109</v>
      </c>
      <c r="B456" s="1" t="s">
        <v>173</v>
      </c>
      <c r="C456" s="1" t="s">
        <v>849</v>
      </c>
      <c r="D456" s="1" t="s">
        <v>46</v>
      </c>
      <c r="E456" s="1" t="s">
        <v>26</v>
      </c>
      <c r="F456" s="1" t="s">
        <v>53</v>
      </c>
      <c r="G456" s="1">
        <v>276659</v>
      </c>
      <c r="H456" s="63">
        <v>45569</v>
      </c>
      <c r="J456" s="1"/>
      <c r="K456" s="1">
        <v>7.6</v>
      </c>
      <c r="L456" s="1" t="s">
        <v>20</v>
      </c>
      <c r="M456" s="1" t="s">
        <v>42</v>
      </c>
      <c r="N456" s="1" t="str">
        <f t="shared" si="7"/>
        <v>Normal</v>
      </c>
    </row>
    <row r="457" spans="1:14" x14ac:dyDescent="0.25">
      <c r="A457" s="1" t="s">
        <v>1111</v>
      </c>
      <c r="B457" s="1" t="s">
        <v>109</v>
      </c>
      <c r="C457" s="1" t="s">
        <v>1112</v>
      </c>
      <c r="D457" s="1" t="s">
        <v>16</v>
      </c>
      <c r="E457" s="1" t="s">
        <v>47</v>
      </c>
      <c r="F457" s="1" t="s">
        <v>129</v>
      </c>
      <c r="G457" s="1">
        <v>346119</v>
      </c>
      <c r="H457" s="63">
        <v>45051</v>
      </c>
      <c r="J457" s="1"/>
      <c r="K457" s="1">
        <v>12.6</v>
      </c>
      <c r="L457" s="1" t="s">
        <v>96</v>
      </c>
      <c r="M457" s="1" t="s">
        <v>30</v>
      </c>
      <c r="N457" s="1" t="str">
        <f t="shared" si="7"/>
        <v>Normal</v>
      </c>
    </row>
    <row r="458" spans="1:14" x14ac:dyDescent="0.25">
      <c r="A458" s="1" t="s">
        <v>1114</v>
      </c>
      <c r="B458" s="1" t="s">
        <v>23</v>
      </c>
      <c r="C458" s="1" t="s">
        <v>110</v>
      </c>
      <c r="D458" s="1" t="s">
        <v>16</v>
      </c>
      <c r="E458" s="1" t="s">
        <v>26</v>
      </c>
      <c r="F458" s="1" t="s">
        <v>18</v>
      </c>
      <c r="G458" s="1">
        <v>35706</v>
      </c>
      <c r="H458" s="63">
        <v>45109</v>
      </c>
      <c r="I458" s="63">
        <v>45165</v>
      </c>
      <c r="J458" s="1">
        <v>56</v>
      </c>
      <c r="K458" s="1">
        <v>9.1999999999999993</v>
      </c>
      <c r="L458" s="1" t="s">
        <v>29</v>
      </c>
      <c r="M458" s="1" t="s">
        <v>102</v>
      </c>
      <c r="N458" s="1" t="str">
        <f t="shared" si="7"/>
        <v>Normal</v>
      </c>
    </row>
    <row r="459" spans="1:14" x14ac:dyDescent="0.25">
      <c r="A459" s="1" t="s">
        <v>1116</v>
      </c>
      <c r="B459" s="1" t="s">
        <v>44</v>
      </c>
      <c r="C459" s="1" t="s">
        <v>536</v>
      </c>
      <c r="D459" s="1" t="s">
        <v>39</v>
      </c>
      <c r="E459" s="1" t="s">
        <v>17</v>
      </c>
      <c r="F459" s="1" t="s">
        <v>27</v>
      </c>
      <c r="G459" s="1">
        <v>279651</v>
      </c>
      <c r="H459" s="63">
        <v>45347</v>
      </c>
      <c r="J459" s="1"/>
      <c r="K459" s="1">
        <v>1.9</v>
      </c>
      <c r="L459" s="1" t="s">
        <v>29</v>
      </c>
      <c r="M459" s="1" t="s">
        <v>69</v>
      </c>
      <c r="N459" s="1" t="str">
        <f t="shared" si="7"/>
        <v>Normal</v>
      </c>
    </row>
    <row r="460" spans="1:14" x14ac:dyDescent="0.25">
      <c r="A460" s="1" t="s">
        <v>1117</v>
      </c>
      <c r="B460" s="1" t="s">
        <v>37</v>
      </c>
      <c r="C460" s="1" t="s">
        <v>177</v>
      </c>
      <c r="D460" s="1" t="s">
        <v>16</v>
      </c>
      <c r="E460" s="1" t="s">
        <v>72</v>
      </c>
      <c r="F460" s="1" t="s">
        <v>40</v>
      </c>
      <c r="G460" s="1">
        <v>176717</v>
      </c>
      <c r="H460" s="63">
        <v>45001</v>
      </c>
      <c r="I460" s="63">
        <v>45065</v>
      </c>
      <c r="J460" s="1">
        <v>64</v>
      </c>
      <c r="K460" s="1">
        <v>15.5</v>
      </c>
      <c r="L460" s="1" t="s">
        <v>20</v>
      </c>
      <c r="M460" s="1" t="s">
        <v>35</v>
      </c>
      <c r="N460" s="1" t="str">
        <f t="shared" si="7"/>
        <v>Normal</v>
      </c>
    </row>
    <row r="461" spans="1:14" x14ac:dyDescent="0.25">
      <c r="A461" s="1" t="s">
        <v>1119</v>
      </c>
      <c r="B461" s="1" t="s">
        <v>84</v>
      </c>
      <c r="C461" s="1" t="s">
        <v>287</v>
      </c>
      <c r="D461" s="1" t="s">
        <v>16</v>
      </c>
      <c r="E461" s="1" t="s">
        <v>94</v>
      </c>
      <c r="F461" s="1" t="s">
        <v>129</v>
      </c>
      <c r="G461" s="1">
        <v>354336</v>
      </c>
      <c r="H461" s="63">
        <v>45440</v>
      </c>
      <c r="J461" s="1"/>
      <c r="K461" s="1">
        <v>5.8</v>
      </c>
      <c r="L461" s="1" t="s">
        <v>96</v>
      </c>
      <c r="M461" s="1" t="s">
        <v>107</v>
      </c>
      <c r="N461" s="1" t="str">
        <f t="shared" si="7"/>
        <v>Normal</v>
      </c>
    </row>
    <row r="462" spans="1:14" x14ac:dyDescent="0.25">
      <c r="A462" s="1" t="s">
        <v>1120</v>
      </c>
      <c r="B462" s="1" t="s">
        <v>37</v>
      </c>
      <c r="C462" s="1" t="s">
        <v>1121</v>
      </c>
      <c r="D462" s="1" t="s">
        <v>16</v>
      </c>
      <c r="E462" s="1" t="s">
        <v>47</v>
      </c>
      <c r="F462" s="1" t="s">
        <v>18</v>
      </c>
      <c r="G462" s="1">
        <v>219263</v>
      </c>
      <c r="H462" s="63">
        <v>45548</v>
      </c>
      <c r="I462" s="63">
        <v>45650</v>
      </c>
      <c r="J462" s="1">
        <v>102</v>
      </c>
      <c r="K462" s="1"/>
      <c r="L462" s="1" t="s">
        <v>96</v>
      </c>
      <c r="M462" s="1" t="s">
        <v>149</v>
      </c>
      <c r="N462" s="1" t="str">
        <f t="shared" si="7"/>
        <v>Normal</v>
      </c>
    </row>
    <row r="463" spans="1:14" x14ac:dyDescent="0.25">
      <c r="A463" s="1" t="s">
        <v>1123</v>
      </c>
      <c r="B463" s="1" t="s">
        <v>88</v>
      </c>
      <c r="C463" s="1" t="s">
        <v>157</v>
      </c>
      <c r="D463" s="1" t="s">
        <v>39</v>
      </c>
      <c r="E463" s="1" t="s">
        <v>61</v>
      </c>
      <c r="F463" s="1" t="s">
        <v>53</v>
      </c>
      <c r="G463" s="1">
        <v>229480</v>
      </c>
      <c r="H463" s="63">
        <v>45494</v>
      </c>
      <c r="J463" s="1"/>
      <c r="K463" s="1">
        <v>10.7</v>
      </c>
      <c r="L463" s="1" t="s">
        <v>96</v>
      </c>
      <c r="M463" s="1" t="s">
        <v>149</v>
      </c>
      <c r="N463" s="1" t="str">
        <f t="shared" si="7"/>
        <v>Normal</v>
      </c>
    </row>
    <row r="464" spans="1:14" x14ac:dyDescent="0.25">
      <c r="A464" s="1" t="s">
        <v>1124</v>
      </c>
      <c r="B464" s="1" t="s">
        <v>75</v>
      </c>
      <c r="C464" s="1" t="s">
        <v>1125</v>
      </c>
      <c r="D464" s="1" t="s">
        <v>90</v>
      </c>
      <c r="E464" s="1" t="s">
        <v>47</v>
      </c>
      <c r="F464" s="1" t="s">
        <v>33</v>
      </c>
      <c r="G464" s="1">
        <v>367969</v>
      </c>
      <c r="H464" s="63">
        <v>44932</v>
      </c>
      <c r="J464" s="1"/>
      <c r="K464" s="1">
        <v>8.8000000000000007</v>
      </c>
      <c r="L464" s="1" t="s">
        <v>96</v>
      </c>
      <c r="M464" s="1" t="s">
        <v>35</v>
      </c>
      <c r="N464" s="1" t="str">
        <f t="shared" si="7"/>
        <v>Normal</v>
      </c>
    </row>
    <row r="465" spans="1:14" x14ac:dyDescent="0.25">
      <c r="A465" s="1" t="s">
        <v>1126</v>
      </c>
      <c r="B465" s="1" t="s">
        <v>104</v>
      </c>
      <c r="C465" s="1" t="s">
        <v>24</v>
      </c>
      <c r="D465" s="1" t="s">
        <v>90</v>
      </c>
      <c r="E465" s="1" t="s">
        <v>17</v>
      </c>
      <c r="F465" s="1" t="s">
        <v>40</v>
      </c>
      <c r="G465" s="1">
        <v>279535</v>
      </c>
      <c r="H465" s="63">
        <v>45298</v>
      </c>
      <c r="I465" s="63">
        <v>45474</v>
      </c>
      <c r="J465" s="1">
        <v>176</v>
      </c>
      <c r="K465" s="1">
        <v>2.2999999999999998</v>
      </c>
      <c r="L465" s="1" t="s">
        <v>20</v>
      </c>
      <c r="M465" s="1" t="s">
        <v>69</v>
      </c>
      <c r="N465" s="1" t="str">
        <f t="shared" si="7"/>
        <v>Normal</v>
      </c>
    </row>
    <row r="466" spans="1:14" x14ac:dyDescent="0.25">
      <c r="A466" s="1" t="s">
        <v>1128</v>
      </c>
      <c r="B466" s="1" t="s">
        <v>88</v>
      </c>
      <c r="C466" s="1" t="s">
        <v>1129</v>
      </c>
      <c r="D466" s="1" t="s">
        <v>90</v>
      </c>
      <c r="E466" s="1" t="s">
        <v>4845</v>
      </c>
      <c r="F466" s="1" t="s">
        <v>129</v>
      </c>
      <c r="G466" s="1">
        <v>240872</v>
      </c>
      <c r="H466" s="63">
        <v>45309</v>
      </c>
      <c r="J466" s="1"/>
      <c r="K466" s="1"/>
      <c r="L466" s="1" t="s">
        <v>29</v>
      </c>
      <c r="M466" s="1" t="s">
        <v>69</v>
      </c>
      <c r="N466" s="1" t="str">
        <f t="shared" si="7"/>
        <v>Normal</v>
      </c>
    </row>
    <row r="467" spans="1:14" x14ac:dyDescent="0.25">
      <c r="A467" s="1" t="s">
        <v>1130</v>
      </c>
      <c r="B467" s="1" t="s">
        <v>109</v>
      </c>
      <c r="C467" s="1" t="s">
        <v>528</v>
      </c>
      <c r="D467" s="1" t="s">
        <v>25</v>
      </c>
      <c r="E467" s="1" t="s">
        <v>77</v>
      </c>
      <c r="F467" s="1" t="s">
        <v>40</v>
      </c>
      <c r="G467" s="1">
        <v>480728</v>
      </c>
      <c r="H467" s="63">
        <v>45603</v>
      </c>
      <c r="I467" s="63">
        <v>45747</v>
      </c>
      <c r="J467" s="1">
        <v>144</v>
      </c>
      <c r="K467" s="1">
        <v>11.3</v>
      </c>
      <c r="L467" s="1" t="s">
        <v>96</v>
      </c>
      <c r="M467" s="1" t="s">
        <v>42</v>
      </c>
      <c r="N467" s="1" t="str">
        <f t="shared" si="7"/>
        <v>Normal</v>
      </c>
    </row>
    <row r="468" spans="1:14" x14ac:dyDescent="0.25">
      <c r="A468" s="1" t="s">
        <v>1131</v>
      </c>
      <c r="B468" s="1" t="s">
        <v>59</v>
      </c>
      <c r="C468" s="1" t="s">
        <v>518</v>
      </c>
      <c r="D468" s="1" t="s">
        <v>46</v>
      </c>
      <c r="E468" s="1" t="s">
        <v>4845</v>
      </c>
      <c r="F468" s="1" t="s">
        <v>129</v>
      </c>
      <c r="G468" s="1">
        <v>341275</v>
      </c>
      <c r="H468" s="63">
        <v>45111</v>
      </c>
      <c r="J468" s="1"/>
      <c r="K468" s="1"/>
      <c r="L468" s="1" t="s">
        <v>49</v>
      </c>
      <c r="M468" s="1" t="s">
        <v>102</v>
      </c>
      <c r="N468" s="1" t="str">
        <f t="shared" si="7"/>
        <v>Normal</v>
      </c>
    </row>
    <row r="469" spans="1:14" x14ac:dyDescent="0.25">
      <c r="A469" s="1" t="s">
        <v>1133</v>
      </c>
      <c r="B469" s="1" t="s">
        <v>127</v>
      </c>
      <c r="C469" s="1" t="s">
        <v>284</v>
      </c>
      <c r="D469" s="1" t="s">
        <v>39</v>
      </c>
      <c r="E469" s="1" t="s">
        <v>94</v>
      </c>
      <c r="F469" s="1" t="s">
        <v>40</v>
      </c>
      <c r="G469" s="1">
        <v>293258</v>
      </c>
      <c r="H469" s="63">
        <v>44960</v>
      </c>
      <c r="I469" s="63">
        <v>45116</v>
      </c>
      <c r="J469" s="1">
        <v>156</v>
      </c>
      <c r="K469" s="1">
        <v>24.7</v>
      </c>
      <c r="L469" s="1" t="s">
        <v>49</v>
      </c>
      <c r="M469" s="1" t="s">
        <v>35</v>
      </c>
      <c r="N469" s="1" t="str">
        <f t="shared" si="7"/>
        <v>Normal</v>
      </c>
    </row>
    <row r="470" spans="1:14" x14ac:dyDescent="0.25">
      <c r="A470" s="1" t="s">
        <v>1135</v>
      </c>
      <c r="B470" s="1" t="s">
        <v>104</v>
      </c>
      <c r="C470" s="1" t="s">
        <v>1136</v>
      </c>
      <c r="D470" s="1" t="s">
        <v>90</v>
      </c>
      <c r="E470" s="1" t="s">
        <v>47</v>
      </c>
      <c r="F470" s="1" t="s">
        <v>40</v>
      </c>
      <c r="G470" s="1">
        <v>115031</v>
      </c>
      <c r="H470" s="63">
        <v>45515</v>
      </c>
      <c r="I470" s="63">
        <v>45620</v>
      </c>
      <c r="J470" s="1">
        <v>105</v>
      </c>
      <c r="K470" s="1">
        <v>17.899999999999999</v>
      </c>
      <c r="L470" s="1" t="s">
        <v>29</v>
      </c>
      <c r="M470" s="1" t="s">
        <v>149</v>
      </c>
      <c r="N470" s="1" t="str">
        <f t="shared" si="7"/>
        <v>Normal</v>
      </c>
    </row>
    <row r="471" spans="1:14" x14ac:dyDescent="0.25">
      <c r="A471" s="1" t="s">
        <v>1138</v>
      </c>
      <c r="B471" s="1" t="s">
        <v>65</v>
      </c>
      <c r="C471" s="1" t="s">
        <v>539</v>
      </c>
      <c r="D471" s="1" t="s">
        <v>25</v>
      </c>
      <c r="E471" s="1" t="s">
        <v>26</v>
      </c>
      <c r="F471" s="1" t="s">
        <v>40</v>
      </c>
      <c r="G471" s="1">
        <v>472633</v>
      </c>
      <c r="H471" s="63">
        <v>45426</v>
      </c>
      <c r="I471" s="63">
        <v>45448</v>
      </c>
      <c r="J471" s="1">
        <v>22</v>
      </c>
      <c r="K471" s="1">
        <v>2.8</v>
      </c>
      <c r="L471" s="1" t="s">
        <v>20</v>
      </c>
      <c r="M471" s="1" t="s">
        <v>107</v>
      </c>
      <c r="N471" s="1" t="str">
        <f t="shared" si="7"/>
        <v>Normal</v>
      </c>
    </row>
    <row r="472" spans="1:14" x14ac:dyDescent="0.25">
      <c r="A472" s="1" t="s">
        <v>1139</v>
      </c>
      <c r="B472" s="1" t="s">
        <v>173</v>
      </c>
      <c r="C472" s="1" t="s">
        <v>442</v>
      </c>
      <c r="D472" s="1" t="s">
        <v>25</v>
      </c>
      <c r="E472" s="1" t="s">
        <v>17</v>
      </c>
      <c r="F472" s="1" t="s">
        <v>27</v>
      </c>
      <c r="G472" s="1">
        <v>377759</v>
      </c>
      <c r="H472" s="63">
        <v>44985</v>
      </c>
      <c r="J472" s="1"/>
      <c r="K472" s="1">
        <v>10.3</v>
      </c>
      <c r="L472" s="1" t="s">
        <v>96</v>
      </c>
      <c r="M472" s="1" t="s">
        <v>35</v>
      </c>
      <c r="N472" s="1" t="str">
        <f t="shared" si="7"/>
        <v>Normal</v>
      </c>
    </row>
    <row r="473" spans="1:14" x14ac:dyDescent="0.25">
      <c r="A473" s="1" t="s">
        <v>1141</v>
      </c>
      <c r="B473" s="1" t="s">
        <v>14</v>
      </c>
      <c r="C473" s="1" t="s">
        <v>1142</v>
      </c>
      <c r="D473" s="1" t="s">
        <v>16</v>
      </c>
      <c r="E473" s="1" t="s">
        <v>17</v>
      </c>
      <c r="F473" s="1" t="s">
        <v>129</v>
      </c>
      <c r="G473" s="1">
        <v>237928</v>
      </c>
      <c r="H473" s="63">
        <v>45071</v>
      </c>
      <c r="J473" s="1"/>
      <c r="K473" s="1">
        <v>12.7</v>
      </c>
      <c r="L473" s="1" t="s">
        <v>96</v>
      </c>
      <c r="M473" s="1" t="s">
        <v>30</v>
      </c>
      <c r="N473" s="1" t="str">
        <f t="shared" si="7"/>
        <v>Normal</v>
      </c>
    </row>
    <row r="474" spans="1:14" x14ac:dyDescent="0.25">
      <c r="A474" s="1" t="s">
        <v>1143</v>
      </c>
      <c r="B474" s="1" t="s">
        <v>88</v>
      </c>
      <c r="C474" s="1" t="s">
        <v>1144</v>
      </c>
      <c r="D474" s="1" t="s">
        <v>39</v>
      </c>
      <c r="E474" s="1" t="s">
        <v>77</v>
      </c>
      <c r="F474" s="1" t="s">
        <v>33</v>
      </c>
      <c r="G474" s="1">
        <v>187605</v>
      </c>
      <c r="H474" s="63">
        <v>45087</v>
      </c>
      <c r="J474" s="1"/>
      <c r="K474" s="1">
        <v>9.6</v>
      </c>
      <c r="L474" s="1" t="s">
        <v>20</v>
      </c>
      <c r="M474" s="1" t="s">
        <v>30</v>
      </c>
      <c r="N474" s="1" t="str">
        <f t="shared" si="7"/>
        <v>Normal</v>
      </c>
    </row>
    <row r="475" spans="1:14" x14ac:dyDescent="0.25">
      <c r="A475" s="1" t="s">
        <v>1145</v>
      </c>
      <c r="B475" s="1" t="s">
        <v>84</v>
      </c>
      <c r="C475" s="1" t="s">
        <v>502</v>
      </c>
      <c r="D475" s="1" t="s">
        <v>67</v>
      </c>
      <c r="E475" s="1" t="s">
        <v>77</v>
      </c>
      <c r="F475" s="1" t="s">
        <v>27</v>
      </c>
      <c r="G475" s="1">
        <v>69045</v>
      </c>
      <c r="H475" s="63">
        <v>45359</v>
      </c>
      <c r="J475" s="1"/>
      <c r="K475" s="1">
        <v>3.6</v>
      </c>
      <c r="L475" s="1" t="s">
        <v>49</v>
      </c>
      <c r="M475" s="1" t="s">
        <v>69</v>
      </c>
      <c r="N475" s="1" t="str">
        <f t="shared" si="7"/>
        <v>Normal</v>
      </c>
    </row>
    <row r="476" spans="1:14" x14ac:dyDescent="0.25">
      <c r="A476" s="1" t="s">
        <v>1146</v>
      </c>
      <c r="B476" s="1" t="s">
        <v>44</v>
      </c>
      <c r="C476" s="1" t="s">
        <v>1147</v>
      </c>
      <c r="D476" s="1" t="s">
        <v>90</v>
      </c>
      <c r="E476" s="1" t="s">
        <v>100</v>
      </c>
      <c r="F476" s="1" t="s">
        <v>18</v>
      </c>
      <c r="G476" s="1">
        <v>335459</v>
      </c>
      <c r="H476" s="63">
        <v>45510</v>
      </c>
      <c r="I476" s="63">
        <v>45610</v>
      </c>
      <c r="J476" s="1">
        <v>100</v>
      </c>
      <c r="K476" s="1"/>
      <c r="L476" s="1" t="s">
        <v>20</v>
      </c>
      <c r="M476" s="1" t="s">
        <v>149</v>
      </c>
      <c r="N476" s="1" t="str">
        <f t="shared" si="7"/>
        <v>Normal</v>
      </c>
    </row>
    <row r="477" spans="1:14" x14ac:dyDescent="0.25">
      <c r="A477" s="1" t="s">
        <v>1149</v>
      </c>
      <c r="B477" s="1" t="s">
        <v>104</v>
      </c>
      <c r="C477" s="1" t="s">
        <v>466</v>
      </c>
      <c r="D477" s="1" t="s">
        <v>39</v>
      </c>
      <c r="E477" s="1" t="s">
        <v>47</v>
      </c>
      <c r="F477" s="1" t="s">
        <v>129</v>
      </c>
      <c r="G477" s="1">
        <v>238659</v>
      </c>
      <c r="H477" s="63">
        <v>44964</v>
      </c>
      <c r="J477" s="1"/>
      <c r="K477" s="1"/>
      <c r="L477" s="1" t="s">
        <v>96</v>
      </c>
      <c r="M477" s="1" t="s">
        <v>35</v>
      </c>
      <c r="N477" s="1" t="str">
        <f t="shared" si="7"/>
        <v>Normal</v>
      </c>
    </row>
    <row r="478" spans="1:14" x14ac:dyDescent="0.25">
      <c r="A478" s="1" t="s">
        <v>1150</v>
      </c>
      <c r="B478" s="1" t="s">
        <v>59</v>
      </c>
      <c r="C478" s="1" t="s">
        <v>1151</v>
      </c>
      <c r="D478" s="1" t="s">
        <v>67</v>
      </c>
      <c r="E478" s="1" t="s">
        <v>100</v>
      </c>
      <c r="F478" s="1" t="s">
        <v>53</v>
      </c>
      <c r="G478" s="1">
        <v>218143</v>
      </c>
      <c r="H478" s="63">
        <v>45278</v>
      </c>
      <c r="J478" s="1"/>
      <c r="K478" s="1">
        <v>12.6</v>
      </c>
      <c r="L478" s="1" t="s">
        <v>20</v>
      </c>
      <c r="M478" s="1" t="s">
        <v>21</v>
      </c>
      <c r="N478" s="1" t="str">
        <f t="shared" si="7"/>
        <v>Normal</v>
      </c>
    </row>
    <row r="479" spans="1:14" x14ac:dyDescent="0.25">
      <c r="A479" s="1" t="s">
        <v>1152</v>
      </c>
      <c r="B479" s="1" t="s">
        <v>14</v>
      </c>
      <c r="C479" s="1" t="s">
        <v>1153</v>
      </c>
      <c r="D479" s="1" t="s">
        <v>46</v>
      </c>
      <c r="E479" s="1" t="s">
        <v>61</v>
      </c>
      <c r="F479" s="1" t="s">
        <v>53</v>
      </c>
      <c r="G479" s="1">
        <v>455136</v>
      </c>
      <c r="H479" s="63">
        <v>45063</v>
      </c>
      <c r="J479" s="1"/>
      <c r="K479" s="1">
        <v>10.199999999999999</v>
      </c>
      <c r="L479" s="1" t="s">
        <v>49</v>
      </c>
      <c r="M479" s="1" t="s">
        <v>30</v>
      </c>
      <c r="N479" s="1" t="str">
        <f t="shared" si="7"/>
        <v>Normal</v>
      </c>
    </row>
    <row r="480" spans="1:14" x14ac:dyDescent="0.25">
      <c r="A480" s="1" t="s">
        <v>1155</v>
      </c>
      <c r="B480" s="1" t="s">
        <v>104</v>
      </c>
      <c r="C480" s="1" t="s">
        <v>800</v>
      </c>
      <c r="D480" s="1" t="s">
        <v>39</v>
      </c>
      <c r="E480" s="1" t="s">
        <v>77</v>
      </c>
      <c r="F480" s="1" t="s">
        <v>27</v>
      </c>
      <c r="G480" s="1">
        <v>335811</v>
      </c>
      <c r="H480" s="63">
        <v>45361</v>
      </c>
      <c r="J480" s="1"/>
      <c r="K480" s="1"/>
      <c r="L480" s="1" t="s">
        <v>20</v>
      </c>
      <c r="M480" s="1" t="s">
        <v>69</v>
      </c>
      <c r="N480" s="1" t="str">
        <f t="shared" si="7"/>
        <v>Normal</v>
      </c>
    </row>
    <row r="481" spans="1:14" x14ac:dyDescent="0.25">
      <c r="A481" s="1" t="s">
        <v>1156</v>
      </c>
      <c r="B481" s="1" t="s">
        <v>84</v>
      </c>
      <c r="C481" s="1" t="s">
        <v>1157</v>
      </c>
      <c r="D481" s="1" t="s">
        <v>46</v>
      </c>
      <c r="E481" s="1" t="s">
        <v>26</v>
      </c>
      <c r="F481" s="1" t="s">
        <v>33</v>
      </c>
      <c r="G481" s="1">
        <v>231081</v>
      </c>
      <c r="H481" s="63">
        <v>45658</v>
      </c>
      <c r="J481" s="1"/>
      <c r="K481" s="1">
        <v>12.6</v>
      </c>
      <c r="L481" s="1" t="s">
        <v>20</v>
      </c>
      <c r="M481" s="1" t="s">
        <v>63</v>
      </c>
      <c r="N481" s="1" t="str">
        <f t="shared" si="7"/>
        <v>Normal</v>
      </c>
    </row>
    <row r="482" spans="1:14" x14ac:dyDescent="0.25">
      <c r="A482" s="1" t="s">
        <v>1159</v>
      </c>
      <c r="B482" s="1" t="s">
        <v>88</v>
      </c>
      <c r="C482" s="1" t="s">
        <v>71</v>
      </c>
      <c r="D482" s="1" t="s">
        <v>67</v>
      </c>
      <c r="E482" s="1" t="s">
        <v>72</v>
      </c>
      <c r="F482" s="1" t="s">
        <v>40</v>
      </c>
      <c r="G482" s="1">
        <v>433642</v>
      </c>
      <c r="H482" s="63">
        <v>45659</v>
      </c>
      <c r="I482" s="63">
        <v>45804</v>
      </c>
      <c r="J482" s="1">
        <v>145</v>
      </c>
      <c r="K482" s="1">
        <v>17.8</v>
      </c>
      <c r="L482" s="1" t="s">
        <v>29</v>
      </c>
      <c r="M482" s="1" t="s">
        <v>63</v>
      </c>
      <c r="N482" s="1" t="str">
        <f t="shared" si="7"/>
        <v>Normal</v>
      </c>
    </row>
    <row r="483" spans="1:14" x14ac:dyDescent="0.25">
      <c r="A483" s="1" t="s">
        <v>1160</v>
      </c>
      <c r="B483" s="1" t="s">
        <v>59</v>
      </c>
      <c r="C483" s="1" t="s">
        <v>261</v>
      </c>
      <c r="D483" s="1" t="s">
        <v>16</v>
      </c>
      <c r="E483" s="1" t="s">
        <v>72</v>
      </c>
      <c r="F483" s="1" t="s">
        <v>40</v>
      </c>
      <c r="G483" s="1">
        <v>71114</v>
      </c>
      <c r="H483" s="63">
        <v>45000</v>
      </c>
      <c r="I483" s="63">
        <v>45071</v>
      </c>
      <c r="J483" s="1">
        <v>71</v>
      </c>
      <c r="K483" s="1">
        <v>8.4</v>
      </c>
      <c r="L483" s="1" t="s">
        <v>29</v>
      </c>
      <c r="M483" s="1" t="s">
        <v>35</v>
      </c>
      <c r="N483" s="1" t="str">
        <f t="shared" si="7"/>
        <v>Normal</v>
      </c>
    </row>
    <row r="484" spans="1:14" x14ac:dyDescent="0.25">
      <c r="A484" s="1" t="s">
        <v>1162</v>
      </c>
      <c r="B484" s="1" t="s">
        <v>4829</v>
      </c>
      <c r="C484" s="1" t="s">
        <v>616</v>
      </c>
      <c r="D484" s="1" t="s">
        <v>25</v>
      </c>
      <c r="E484" s="1" t="s">
        <v>100</v>
      </c>
      <c r="F484" s="1" t="s">
        <v>33</v>
      </c>
      <c r="G484" s="1">
        <v>246396</v>
      </c>
      <c r="H484" s="63">
        <v>45515</v>
      </c>
      <c r="J484" s="1"/>
      <c r="K484" s="1">
        <v>13.2</v>
      </c>
      <c r="L484" s="1" t="s">
        <v>49</v>
      </c>
      <c r="M484" s="1" t="s">
        <v>149</v>
      </c>
      <c r="N484" s="1" t="str">
        <f t="shared" si="7"/>
        <v>Normal</v>
      </c>
    </row>
    <row r="485" spans="1:14" x14ac:dyDescent="0.25">
      <c r="A485" s="1" t="s">
        <v>1163</v>
      </c>
      <c r="B485" s="1" t="s">
        <v>65</v>
      </c>
      <c r="C485" s="1" t="s">
        <v>818</v>
      </c>
      <c r="D485" s="1" t="s">
        <v>16</v>
      </c>
      <c r="E485" s="1" t="s">
        <v>61</v>
      </c>
      <c r="F485" s="1" t="s">
        <v>40</v>
      </c>
      <c r="G485" s="1">
        <v>179876</v>
      </c>
      <c r="H485" s="63">
        <v>45509</v>
      </c>
      <c r="I485" s="63">
        <v>45534</v>
      </c>
      <c r="J485" s="1">
        <v>25</v>
      </c>
      <c r="K485" s="1">
        <v>1.4</v>
      </c>
      <c r="L485" s="1" t="s">
        <v>29</v>
      </c>
      <c r="M485" s="1" t="s">
        <v>149</v>
      </c>
      <c r="N485" s="1" t="str">
        <f t="shared" si="7"/>
        <v>Normal</v>
      </c>
    </row>
    <row r="486" spans="1:14" x14ac:dyDescent="0.25">
      <c r="A486" s="1" t="s">
        <v>1164</v>
      </c>
      <c r="B486" s="1" t="s">
        <v>59</v>
      </c>
      <c r="C486" s="1" t="s">
        <v>1165</v>
      </c>
      <c r="D486" s="1" t="s">
        <v>25</v>
      </c>
      <c r="E486" s="1" t="s">
        <v>61</v>
      </c>
      <c r="F486" s="1" t="s">
        <v>40</v>
      </c>
      <c r="G486" s="1">
        <v>261898</v>
      </c>
      <c r="H486" s="63">
        <v>45385</v>
      </c>
      <c r="I486" s="63">
        <v>45534</v>
      </c>
      <c r="J486" s="1">
        <v>149</v>
      </c>
      <c r="K486" s="1">
        <v>19.8</v>
      </c>
      <c r="L486" s="1" t="s">
        <v>49</v>
      </c>
      <c r="M486" s="1" t="s">
        <v>107</v>
      </c>
      <c r="N486" s="1" t="str">
        <f t="shared" si="7"/>
        <v>Normal</v>
      </c>
    </row>
    <row r="487" spans="1:14" x14ac:dyDescent="0.25">
      <c r="A487" s="1" t="s">
        <v>1167</v>
      </c>
      <c r="B487" s="1" t="s">
        <v>84</v>
      </c>
      <c r="C487" s="1" t="s">
        <v>869</v>
      </c>
      <c r="D487" s="1" t="s">
        <v>39</v>
      </c>
      <c r="E487" s="1" t="s">
        <v>94</v>
      </c>
      <c r="F487" s="1" t="s">
        <v>18</v>
      </c>
      <c r="G487" s="1">
        <v>456898</v>
      </c>
      <c r="H487" s="63">
        <v>45625</v>
      </c>
      <c r="I487" s="63">
        <v>45732</v>
      </c>
      <c r="J487" s="1">
        <v>107</v>
      </c>
      <c r="K487" s="1">
        <v>6.6</v>
      </c>
      <c r="L487" s="1" t="s">
        <v>96</v>
      </c>
      <c r="M487" s="1" t="s">
        <v>42</v>
      </c>
      <c r="N487" s="1" t="str">
        <f t="shared" si="7"/>
        <v>Normal</v>
      </c>
    </row>
    <row r="488" spans="1:14" x14ac:dyDescent="0.25">
      <c r="A488" s="1" t="s">
        <v>1169</v>
      </c>
      <c r="B488" s="1" t="s">
        <v>59</v>
      </c>
      <c r="C488" s="1" t="s">
        <v>1170</v>
      </c>
      <c r="D488" s="1" t="s">
        <v>67</v>
      </c>
      <c r="E488" s="1" t="s">
        <v>77</v>
      </c>
      <c r="F488" s="1" t="s">
        <v>129</v>
      </c>
      <c r="G488" s="1">
        <v>494705</v>
      </c>
      <c r="H488" s="63">
        <v>45517</v>
      </c>
      <c r="J488" s="1"/>
      <c r="K488" s="1"/>
      <c r="L488" s="1" t="s">
        <v>49</v>
      </c>
      <c r="M488" s="1" t="s">
        <v>149</v>
      </c>
      <c r="N488" s="1" t="str">
        <f t="shared" si="7"/>
        <v>Normal</v>
      </c>
    </row>
    <row r="489" spans="1:14" x14ac:dyDescent="0.25">
      <c r="A489" s="1" t="s">
        <v>1171</v>
      </c>
      <c r="B489" s="1" t="s">
        <v>173</v>
      </c>
      <c r="C489" s="1" t="s">
        <v>1172</v>
      </c>
      <c r="D489" s="1" t="s">
        <v>46</v>
      </c>
      <c r="E489" s="1" t="s">
        <v>17</v>
      </c>
      <c r="F489" s="1" t="s">
        <v>129</v>
      </c>
      <c r="G489" s="1">
        <v>403402</v>
      </c>
      <c r="H489" s="63">
        <v>45421</v>
      </c>
      <c r="J489" s="1"/>
      <c r="K489" s="1">
        <v>9.3000000000000007</v>
      </c>
      <c r="L489" s="1" t="s">
        <v>96</v>
      </c>
      <c r="M489" s="1" t="s">
        <v>107</v>
      </c>
      <c r="N489" s="1" t="str">
        <f t="shared" si="7"/>
        <v>Normal</v>
      </c>
    </row>
    <row r="490" spans="1:14" x14ac:dyDescent="0.25">
      <c r="A490" s="1" t="s">
        <v>1174</v>
      </c>
      <c r="B490" s="1" t="s">
        <v>65</v>
      </c>
      <c r="C490" s="1" t="s">
        <v>415</v>
      </c>
      <c r="D490" s="1" t="s">
        <v>46</v>
      </c>
      <c r="E490" s="1" t="s">
        <v>77</v>
      </c>
      <c r="F490" s="1" t="s">
        <v>53</v>
      </c>
      <c r="G490" s="1">
        <v>104888</v>
      </c>
      <c r="H490" s="63">
        <v>45587</v>
      </c>
      <c r="J490" s="1"/>
      <c r="K490" s="1"/>
      <c r="L490" s="1" t="s">
        <v>29</v>
      </c>
      <c r="M490" s="1" t="s">
        <v>42</v>
      </c>
      <c r="N490" s="1" t="str">
        <f t="shared" si="7"/>
        <v>Normal</v>
      </c>
    </row>
    <row r="491" spans="1:14" x14ac:dyDescent="0.25">
      <c r="A491" s="1" t="s">
        <v>1175</v>
      </c>
      <c r="B491" s="1" t="s">
        <v>173</v>
      </c>
      <c r="C491" s="1" t="s">
        <v>180</v>
      </c>
      <c r="D491" s="1" t="s">
        <v>46</v>
      </c>
      <c r="E491" s="1" t="s">
        <v>47</v>
      </c>
      <c r="F491" s="1" t="s">
        <v>129</v>
      </c>
      <c r="G491" s="1">
        <v>79235</v>
      </c>
      <c r="H491" s="63">
        <v>45336</v>
      </c>
      <c r="J491" s="1"/>
      <c r="K491" s="1">
        <v>10.199999999999999</v>
      </c>
      <c r="L491" s="1" t="s">
        <v>29</v>
      </c>
      <c r="M491" s="1" t="s">
        <v>69</v>
      </c>
      <c r="N491" s="1" t="str">
        <f t="shared" si="7"/>
        <v>Normal</v>
      </c>
    </row>
    <row r="492" spans="1:14" x14ac:dyDescent="0.25">
      <c r="A492" s="1" t="s">
        <v>1177</v>
      </c>
      <c r="B492" s="1" t="s">
        <v>80</v>
      </c>
      <c r="C492" s="1" t="s">
        <v>1178</v>
      </c>
      <c r="D492" s="1" t="s">
        <v>67</v>
      </c>
      <c r="E492" s="1" t="s">
        <v>47</v>
      </c>
      <c r="F492" s="1" t="s">
        <v>27</v>
      </c>
      <c r="G492" s="1">
        <v>267215</v>
      </c>
      <c r="H492" s="63">
        <v>44981</v>
      </c>
      <c r="J492" s="1"/>
      <c r="K492" s="1">
        <v>2.2000000000000002</v>
      </c>
      <c r="L492" s="1" t="s">
        <v>96</v>
      </c>
      <c r="M492" s="1" t="s">
        <v>35</v>
      </c>
      <c r="N492" s="1" t="str">
        <f t="shared" si="7"/>
        <v>Normal</v>
      </c>
    </row>
    <row r="493" spans="1:14" x14ac:dyDescent="0.25">
      <c r="A493" s="1" t="s">
        <v>1179</v>
      </c>
      <c r="B493" s="1" t="s">
        <v>14</v>
      </c>
      <c r="C493" s="1" t="s">
        <v>186</v>
      </c>
      <c r="D493" s="1" t="s">
        <v>16</v>
      </c>
      <c r="E493" s="1" t="s">
        <v>100</v>
      </c>
      <c r="F493" s="1" t="s">
        <v>40</v>
      </c>
      <c r="G493" s="1">
        <v>34808</v>
      </c>
      <c r="H493" s="63">
        <v>45218</v>
      </c>
      <c r="I493" s="63">
        <v>45349</v>
      </c>
      <c r="J493" s="1">
        <v>131</v>
      </c>
      <c r="K493" s="1">
        <v>15.5</v>
      </c>
      <c r="L493" s="1" t="s">
        <v>29</v>
      </c>
      <c r="M493" s="1" t="s">
        <v>21</v>
      </c>
      <c r="N493" s="1" t="str">
        <f t="shared" si="7"/>
        <v>Normal</v>
      </c>
    </row>
    <row r="494" spans="1:14" x14ac:dyDescent="0.25">
      <c r="A494" s="1" t="s">
        <v>1180</v>
      </c>
      <c r="B494" s="1" t="s">
        <v>4829</v>
      </c>
      <c r="C494" s="1" t="s">
        <v>944</v>
      </c>
      <c r="D494" s="1" t="s">
        <v>90</v>
      </c>
      <c r="E494" s="1" t="s">
        <v>26</v>
      </c>
      <c r="F494" s="1" t="s">
        <v>40</v>
      </c>
      <c r="G494" s="1">
        <v>70365</v>
      </c>
      <c r="H494" s="63">
        <v>45072</v>
      </c>
      <c r="I494" s="63">
        <v>45165</v>
      </c>
      <c r="J494" s="1">
        <v>93</v>
      </c>
      <c r="K494" s="1">
        <v>19.399999999999999</v>
      </c>
      <c r="L494" s="1" t="s">
        <v>20</v>
      </c>
      <c r="M494" s="1" t="s">
        <v>30</v>
      </c>
      <c r="N494" s="1" t="str">
        <f t="shared" si="7"/>
        <v>Normal</v>
      </c>
    </row>
    <row r="495" spans="1:14" x14ac:dyDescent="0.25">
      <c r="A495" s="1" t="s">
        <v>1181</v>
      </c>
      <c r="B495" s="1" t="s">
        <v>59</v>
      </c>
      <c r="C495" s="1" t="s">
        <v>536</v>
      </c>
      <c r="D495" s="1" t="s">
        <v>90</v>
      </c>
      <c r="E495" s="1" t="s">
        <v>77</v>
      </c>
      <c r="F495" s="1" t="s">
        <v>40</v>
      </c>
      <c r="G495" s="1">
        <v>29232</v>
      </c>
      <c r="H495" s="63">
        <v>45337</v>
      </c>
      <c r="I495" s="63">
        <v>45453</v>
      </c>
      <c r="J495" s="1">
        <v>116</v>
      </c>
      <c r="K495" s="1">
        <v>6.8</v>
      </c>
      <c r="L495" s="1" t="s">
        <v>49</v>
      </c>
      <c r="M495" s="1" t="s">
        <v>69</v>
      </c>
      <c r="N495" s="1" t="str">
        <f t="shared" si="7"/>
        <v>Normal</v>
      </c>
    </row>
    <row r="496" spans="1:14" x14ac:dyDescent="0.25">
      <c r="A496" s="1" t="s">
        <v>1182</v>
      </c>
      <c r="B496" s="1" t="s">
        <v>98</v>
      </c>
      <c r="C496" s="1" t="s">
        <v>849</v>
      </c>
      <c r="D496" s="1" t="s">
        <v>90</v>
      </c>
      <c r="E496" s="1" t="s">
        <v>77</v>
      </c>
      <c r="F496" s="1" t="s">
        <v>40</v>
      </c>
      <c r="G496" s="1">
        <v>154406</v>
      </c>
      <c r="H496" s="63">
        <v>45064</v>
      </c>
      <c r="I496" s="63">
        <v>45198</v>
      </c>
      <c r="J496" s="1">
        <v>134</v>
      </c>
      <c r="K496" s="1">
        <v>17.399999999999999</v>
      </c>
      <c r="L496" s="1" t="s">
        <v>49</v>
      </c>
      <c r="M496" s="1" t="s">
        <v>30</v>
      </c>
      <c r="N496" s="1" t="str">
        <f t="shared" si="7"/>
        <v>Normal</v>
      </c>
    </row>
    <row r="497" spans="1:14" x14ac:dyDescent="0.25">
      <c r="A497" s="1" t="s">
        <v>1184</v>
      </c>
      <c r="B497" s="1" t="s">
        <v>80</v>
      </c>
      <c r="C497" s="1" t="s">
        <v>1185</v>
      </c>
      <c r="D497" s="1" t="s">
        <v>39</v>
      </c>
      <c r="E497" s="1" t="s">
        <v>94</v>
      </c>
      <c r="F497" s="1" t="s">
        <v>53</v>
      </c>
      <c r="G497" s="1">
        <v>245914</v>
      </c>
      <c r="H497" s="63">
        <v>44957</v>
      </c>
      <c r="J497" s="1"/>
      <c r="K497" s="1">
        <v>5.6</v>
      </c>
      <c r="L497" s="1" t="s">
        <v>29</v>
      </c>
      <c r="M497" s="1" t="s">
        <v>35</v>
      </c>
      <c r="N497" s="1" t="str">
        <f t="shared" si="7"/>
        <v>Normal</v>
      </c>
    </row>
    <row r="498" spans="1:14" x14ac:dyDescent="0.25">
      <c r="A498" s="1" t="s">
        <v>1187</v>
      </c>
      <c r="B498" s="1" t="s">
        <v>104</v>
      </c>
      <c r="C498" s="1" t="s">
        <v>113</v>
      </c>
      <c r="D498" s="1" t="s">
        <v>25</v>
      </c>
      <c r="E498" s="1" t="s">
        <v>47</v>
      </c>
      <c r="F498" s="1" t="s">
        <v>129</v>
      </c>
      <c r="G498" s="1">
        <v>1219562</v>
      </c>
      <c r="H498" s="63">
        <v>45028</v>
      </c>
      <c r="J498" s="1"/>
      <c r="K498" s="1">
        <v>5.7</v>
      </c>
      <c r="L498" s="1" t="s">
        <v>20</v>
      </c>
      <c r="M498" s="1" t="s">
        <v>30</v>
      </c>
      <c r="N498" s="1" t="str">
        <f t="shared" si="7"/>
        <v>High Outlier</v>
      </c>
    </row>
    <row r="499" spans="1:14" x14ac:dyDescent="0.25">
      <c r="A499" s="1" t="s">
        <v>1189</v>
      </c>
      <c r="B499" s="1" t="s">
        <v>104</v>
      </c>
      <c r="C499" s="1" t="s">
        <v>944</v>
      </c>
      <c r="D499" s="1" t="s">
        <v>25</v>
      </c>
      <c r="E499" s="1" t="s">
        <v>26</v>
      </c>
      <c r="F499" s="1" t="s">
        <v>27</v>
      </c>
      <c r="G499" s="1">
        <v>411651</v>
      </c>
      <c r="H499" s="63">
        <v>45121</v>
      </c>
      <c r="J499" s="1"/>
      <c r="K499" s="1">
        <v>11.8</v>
      </c>
      <c r="L499" s="1" t="s">
        <v>49</v>
      </c>
      <c r="M499" s="1" t="s">
        <v>102</v>
      </c>
      <c r="N499" s="1" t="str">
        <f t="shared" si="7"/>
        <v>Normal</v>
      </c>
    </row>
    <row r="500" spans="1:14" x14ac:dyDescent="0.25">
      <c r="A500" s="1" t="s">
        <v>1190</v>
      </c>
      <c r="B500" s="1" t="s">
        <v>80</v>
      </c>
      <c r="C500" s="1" t="s">
        <v>1191</v>
      </c>
      <c r="D500" s="1" t="s">
        <v>46</v>
      </c>
      <c r="E500" s="1" t="s">
        <v>61</v>
      </c>
      <c r="F500" s="1" t="s">
        <v>33</v>
      </c>
      <c r="G500" s="1">
        <v>125218</v>
      </c>
      <c r="H500" s="63">
        <v>45635</v>
      </c>
      <c r="J500" s="1"/>
      <c r="K500" s="1"/>
      <c r="L500" s="1" t="s">
        <v>20</v>
      </c>
      <c r="M500" s="1" t="s">
        <v>42</v>
      </c>
      <c r="N500" s="1" t="str">
        <f t="shared" si="7"/>
        <v>Normal</v>
      </c>
    </row>
    <row r="501" spans="1:14" x14ac:dyDescent="0.25">
      <c r="A501" s="1" t="s">
        <v>1193</v>
      </c>
      <c r="B501" s="1" t="s">
        <v>98</v>
      </c>
      <c r="C501" s="1" t="s">
        <v>898</v>
      </c>
      <c r="D501" s="1" t="s">
        <v>67</v>
      </c>
      <c r="E501" s="1" t="s">
        <v>100</v>
      </c>
      <c r="F501" s="1" t="s">
        <v>129</v>
      </c>
      <c r="G501" s="1">
        <v>366848</v>
      </c>
      <c r="H501" s="63">
        <v>45074</v>
      </c>
      <c r="J501" s="1"/>
      <c r="K501" s="1"/>
      <c r="L501" s="1" t="s">
        <v>29</v>
      </c>
      <c r="M501" s="1" t="s">
        <v>30</v>
      </c>
      <c r="N501" s="1" t="str">
        <f t="shared" si="7"/>
        <v>Normal</v>
      </c>
    </row>
    <row r="502" spans="1:14" x14ac:dyDescent="0.25">
      <c r="A502" s="1" t="s">
        <v>1195</v>
      </c>
      <c r="B502" s="1" t="s">
        <v>88</v>
      </c>
      <c r="C502" s="1" t="s">
        <v>513</v>
      </c>
      <c r="D502" s="1" t="s">
        <v>67</v>
      </c>
      <c r="E502" s="1" t="s">
        <v>100</v>
      </c>
      <c r="F502" s="1" t="s">
        <v>33</v>
      </c>
      <c r="G502" s="1">
        <v>278729</v>
      </c>
      <c r="H502" s="63">
        <v>44968</v>
      </c>
      <c r="J502" s="1"/>
      <c r="K502" s="1">
        <v>14</v>
      </c>
      <c r="L502" s="1" t="s">
        <v>20</v>
      </c>
      <c r="M502" s="1" t="s">
        <v>35</v>
      </c>
      <c r="N502" s="1" t="str">
        <f t="shared" si="7"/>
        <v>Normal</v>
      </c>
    </row>
    <row r="503" spans="1:14" x14ac:dyDescent="0.25">
      <c r="A503" s="1" t="s">
        <v>1197</v>
      </c>
      <c r="B503" s="1" t="s">
        <v>44</v>
      </c>
      <c r="C503" s="1" t="s">
        <v>831</v>
      </c>
      <c r="D503" s="1" t="s">
        <v>39</v>
      </c>
      <c r="E503" s="1" t="s">
        <v>17</v>
      </c>
      <c r="F503" s="1" t="s">
        <v>40</v>
      </c>
      <c r="G503" s="1">
        <v>1419979</v>
      </c>
      <c r="H503" s="63">
        <v>45109</v>
      </c>
      <c r="I503" s="63">
        <v>45241</v>
      </c>
      <c r="J503" s="1">
        <v>132</v>
      </c>
      <c r="K503" s="1">
        <v>18</v>
      </c>
      <c r="L503" s="1" t="s">
        <v>96</v>
      </c>
      <c r="M503" s="1" t="s">
        <v>102</v>
      </c>
      <c r="N503" s="1" t="str">
        <f t="shared" si="7"/>
        <v>High Outlier</v>
      </c>
    </row>
    <row r="504" spans="1:14" x14ac:dyDescent="0.25">
      <c r="A504" s="1" t="s">
        <v>1198</v>
      </c>
      <c r="B504" s="1" t="s">
        <v>75</v>
      </c>
      <c r="C504" s="1" t="s">
        <v>180</v>
      </c>
      <c r="D504" s="1" t="s">
        <v>39</v>
      </c>
      <c r="E504" s="1" t="s">
        <v>72</v>
      </c>
      <c r="F504" s="1" t="s">
        <v>53</v>
      </c>
      <c r="G504" s="1">
        <v>49327</v>
      </c>
      <c r="H504" s="63">
        <v>45306</v>
      </c>
      <c r="J504" s="1"/>
      <c r="K504" s="1">
        <v>9.8000000000000007</v>
      </c>
      <c r="L504" s="1" t="s">
        <v>96</v>
      </c>
      <c r="M504" s="1" t="s">
        <v>69</v>
      </c>
      <c r="N504" s="1" t="str">
        <f t="shared" si="7"/>
        <v>Normal</v>
      </c>
    </row>
    <row r="505" spans="1:14" x14ac:dyDescent="0.25">
      <c r="A505" s="1" t="s">
        <v>1200</v>
      </c>
      <c r="B505" s="1" t="s">
        <v>75</v>
      </c>
      <c r="C505" s="1" t="s">
        <v>596</v>
      </c>
      <c r="D505" s="1" t="s">
        <v>39</v>
      </c>
      <c r="E505" s="1" t="s">
        <v>47</v>
      </c>
      <c r="F505" s="1" t="s">
        <v>53</v>
      </c>
      <c r="G505" s="1">
        <v>433821</v>
      </c>
      <c r="H505" s="63">
        <v>45350</v>
      </c>
      <c r="J505" s="1"/>
      <c r="K505" s="1">
        <v>0.1</v>
      </c>
      <c r="L505" s="1" t="s">
        <v>20</v>
      </c>
      <c r="M505" s="1" t="s">
        <v>69</v>
      </c>
      <c r="N505" s="1" t="str">
        <f t="shared" si="7"/>
        <v>Normal</v>
      </c>
    </row>
    <row r="506" spans="1:14" x14ac:dyDescent="0.25">
      <c r="A506" s="1" t="s">
        <v>1202</v>
      </c>
      <c r="B506" s="1" t="s">
        <v>23</v>
      </c>
      <c r="C506" s="1" t="s">
        <v>1021</v>
      </c>
      <c r="D506" s="1" t="s">
        <v>16</v>
      </c>
      <c r="E506" s="1" t="s">
        <v>100</v>
      </c>
      <c r="F506" s="1" t="s">
        <v>40</v>
      </c>
      <c r="G506" s="1">
        <v>145086</v>
      </c>
      <c r="H506" s="63">
        <v>45499</v>
      </c>
      <c r="I506" s="63">
        <v>45563</v>
      </c>
      <c r="J506" s="1">
        <v>64</v>
      </c>
      <c r="K506" s="1">
        <v>19.100000000000001</v>
      </c>
      <c r="L506" s="1" t="s">
        <v>20</v>
      </c>
      <c r="M506" s="1" t="s">
        <v>149</v>
      </c>
      <c r="N506" s="1" t="str">
        <f t="shared" si="7"/>
        <v>Normal</v>
      </c>
    </row>
    <row r="507" spans="1:14" x14ac:dyDescent="0.25">
      <c r="A507" s="1" t="s">
        <v>1203</v>
      </c>
      <c r="B507" s="1" t="s">
        <v>4829</v>
      </c>
      <c r="C507" s="1" t="s">
        <v>1204</v>
      </c>
      <c r="D507" s="1" t="s">
        <v>90</v>
      </c>
      <c r="E507" s="1" t="s">
        <v>47</v>
      </c>
      <c r="F507" s="1" t="s">
        <v>33</v>
      </c>
      <c r="G507" s="1">
        <v>346869</v>
      </c>
      <c r="H507" s="63">
        <v>44969</v>
      </c>
      <c r="J507" s="1"/>
      <c r="K507" s="1"/>
      <c r="L507" s="1" t="s">
        <v>49</v>
      </c>
      <c r="M507" s="1" t="s">
        <v>35</v>
      </c>
      <c r="N507" s="1" t="str">
        <f t="shared" si="7"/>
        <v>Normal</v>
      </c>
    </row>
    <row r="508" spans="1:14" x14ac:dyDescent="0.25">
      <c r="A508" s="1" t="s">
        <v>1205</v>
      </c>
      <c r="B508" s="1" t="s">
        <v>109</v>
      </c>
      <c r="C508" s="1" t="s">
        <v>818</v>
      </c>
      <c r="D508" s="1" t="s">
        <v>90</v>
      </c>
      <c r="E508" s="1" t="s">
        <v>47</v>
      </c>
      <c r="F508" s="1" t="s">
        <v>33</v>
      </c>
      <c r="G508" s="1">
        <v>369019</v>
      </c>
      <c r="H508" s="63">
        <v>44948</v>
      </c>
      <c r="J508" s="1"/>
      <c r="K508" s="1"/>
      <c r="L508" s="1" t="s">
        <v>96</v>
      </c>
      <c r="M508" s="1" t="s">
        <v>35</v>
      </c>
      <c r="N508" s="1" t="str">
        <f t="shared" si="7"/>
        <v>Normal</v>
      </c>
    </row>
    <row r="509" spans="1:14" x14ac:dyDescent="0.25">
      <c r="A509" s="1" t="s">
        <v>1207</v>
      </c>
      <c r="B509" s="1" t="s">
        <v>88</v>
      </c>
      <c r="C509" s="1" t="s">
        <v>679</v>
      </c>
      <c r="D509" s="1" t="s">
        <v>25</v>
      </c>
      <c r="E509" s="1" t="s">
        <v>94</v>
      </c>
      <c r="F509" s="1" t="s">
        <v>53</v>
      </c>
      <c r="G509" s="1">
        <v>169774</v>
      </c>
      <c r="H509" s="63">
        <v>45667</v>
      </c>
      <c r="J509" s="1"/>
      <c r="K509" s="1">
        <v>4.0999999999999996</v>
      </c>
      <c r="L509" s="1" t="s">
        <v>29</v>
      </c>
      <c r="M509" s="1" t="s">
        <v>63</v>
      </c>
      <c r="N509" s="1" t="str">
        <f t="shared" si="7"/>
        <v>Normal</v>
      </c>
    </row>
    <row r="510" spans="1:14" x14ac:dyDescent="0.25">
      <c r="A510" s="1" t="s">
        <v>1209</v>
      </c>
      <c r="B510" s="1" t="s">
        <v>84</v>
      </c>
      <c r="C510" s="1" t="s">
        <v>160</v>
      </c>
      <c r="D510" s="1" t="s">
        <v>67</v>
      </c>
      <c r="E510" s="1" t="s">
        <v>77</v>
      </c>
      <c r="F510" s="1" t="s">
        <v>53</v>
      </c>
      <c r="G510" s="1">
        <v>270263</v>
      </c>
      <c r="H510" s="63">
        <v>45004</v>
      </c>
      <c r="J510" s="1"/>
      <c r="K510" s="1">
        <v>7.2</v>
      </c>
      <c r="L510" s="1" t="s">
        <v>49</v>
      </c>
      <c r="M510" s="1" t="s">
        <v>35</v>
      </c>
      <c r="N510" s="1" t="str">
        <f t="shared" si="7"/>
        <v>Normal</v>
      </c>
    </row>
    <row r="511" spans="1:14" x14ac:dyDescent="0.25">
      <c r="A511" s="1" t="s">
        <v>1211</v>
      </c>
      <c r="B511" s="1" t="s">
        <v>65</v>
      </c>
      <c r="C511" s="1" t="s">
        <v>247</v>
      </c>
      <c r="D511" s="1" t="s">
        <v>25</v>
      </c>
      <c r="E511" s="1" t="s">
        <v>61</v>
      </c>
      <c r="F511" s="1" t="s">
        <v>33</v>
      </c>
      <c r="G511" s="1">
        <v>230399</v>
      </c>
      <c r="H511" s="63">
        <v>45166</v>
      </c>
      <c r="J511" s="1"/>
      <c r="K511" s="1"/>
      <c r="L511" s="1" t="s">
        <v>20</v>
      </c>
      <c r="M511" s="1" t="s">
        <v>102</v>
      </c>
      <c r="N511" s="1" t="str">
        <f t="shared" si="7"/>
        <v>Normal</v>
      </c>
    </row>
    <row r="512" spans="1:14" x14ac:dyDescent="0.25">
      <c r="A512" s="1" t="s">
        <v>1213</v>
      </c>
      <c r="B512" s="1" t="s">
        <v>88</v>
      </c>
      <c r="C512" s="1" t="s">
        <v>343</v>
      </c>
      <c r="D512" s="1" t="s">
        <v>25</v>
      </c>
      <c r="E512" s="1" t="s">
        <v>77</v>
      </c>
      <c r="F512" s="1" t="s">
        <v>33</v>
      </c>
      <c r="G512" s="1">
        <v>345184</v>
      </c>
      <c r="H512" s="63">
        <v>45105</v>
      </c>
      <c r="J512" s="1"/>
      <c r="K512" s="1">
        <v>8.6999999999999993</v>
      </c>
      <c r="L512" s="1" t="s">
        <v>49</v>
      </c>
      <c r="M512" s="1" t="s">
        <v>30</v>
      </c>
      <c r="N512" s="1" t="str">
        <f t="shared" si="7"/>
        <v>Normal</v>
      </c>
    </row>
    <row r="513" spans="1:14" x14ac:dyDescent="0.25">
      <c r="A513" s="1" t="s">
        <v>1215</v>
      </c>
      <c r="B513" s="1" t="s">
        <v>173</v>
      </c>
      <c r="C513" s="1" t="s">
        <v>859</v>
      </c>
      <c r="D513" s="1" t="s">
        <v>25</v>
      </c>
      <c r="E513" s="1" t="s">
        <v>94</v>
      </c>
      <c r="F513" s="1" t="s">
        <v>33</v>
      </c>
      <c r="G513" s="1">
        <v>399857</v>
      </c>
      <c r="H513" s="63">
        <v>45662</v>
      </c>
      <c r="J513" s="1"/>
      <c r="K513" s="1"/>
      <c r="L513" s="1" t="s">
        <v>49</v>
      </c>
      <c r="M513" s="1" t="s">
        <v>63</v>
      </c>
      <c r="N513" s="1" t="str">
        <f t="shared" si="7"/>
        <v>Normal</v>
      </c>
    </row>
    <row r="514" spans="1:14" x14ac:dyDescent="0.25">
      <c r="A514" s="1" t="s">
        <v>1217</v>
      </c>
      <c r="B514" s="1" t="s">
        <v>127</v>
      </c>
      <c r="C514" s="1" t="s">
        <v>442</v>
      </c>
      <c r="D514" s="1" t="s">
        <v>16</v>
      </c>
      <c r="E514" s="1" t="s">
        <v>61</v>
      </c>
      <c r="F514" s="1" t="s">
        <v>27</v>
      </c>
      <c r="G514" s="1">
        <v>143147</v>
      </c>
      <c r="H514" s="63">
        <v>45543</v>
      </c>
      <c r="J514" s="1"/>
      <c r="K514" s="1">
        <v>7.3</v>
      </c>
      <c r="L514" s="1" t="s">
        <v>20</v>
      </c>
      <c r="M514" s="1" t="s">
        <v>149</v>
      </c>
      <c r="N514" s="1" t="str">
        <f t="shared" ref="N514:N577" si="8">IF(G514&gt;$R$5,"High Outlier",IF(G514&lt;$R$6,"Low Outlier","Normal"))</f>
        <v>Normal</v>
      </c>
    </row>
    <row r="515" spans="1:14" x14ac:dyDescent="0.25">
      <c r="A515" s="1" t="s">
        <v>1219</v>
      </c>
      <c r="B515" s="1" t="s">
        <v>75</v>
      </c>
      <c r="C515" s="1" t="s">
        <v>1009</v>
      </c>
      <c r="D515" s="1" t="s">
        <v>39</v>
      </c>
      <c r="E515" s="1" t="s">
        <v>72</v>
      </c>
      <c r="F515" s="1" t="s">
        <v>53</v>
      </c>
      <c r="G515" s="1">
        <v>454108</v>
      </c>
      <c r="H515" s="63">
        <v>45520</v>
      </c>
      <c r="J515" s="1"/>
      <c r="K515" s="1"/>
      <c r="L515" s="1" t="s">
        <v>29</v>
      </c>
      <c r="M515" s="1" t="s">
        <v>149</v>
      </c>
      <c r="N515" s="1" t="str">
        <f t="shared" si="8"/>
        <v>Normal</v>
      </c>
    </row>
    <row r="516" spans="1:14" x14ac:dyDescent="0.25">
      <c r="A516" s="1" t="s">
        <v>1221</v>
      </c>
      <c r="B516" s="1" t="s">
        <v>104</v>
      </c>
      <c r="C516" s="1" t="s">
        <v>454</v>
      </c>
      <c r="D516" s="1" t="s">
        <v>16</v>
      </c>
      <c r="E516" s="1" t="s">
        <v>17</v>
      </c>
      <c r="F516" s="1" t="s">
        <v>33</v>
      </c>
      <c r="G516" s="1">
        <v>135907</v>
      </c>
      <c r="H516" s="63">
        <v>45308</v>
      </c>
      <c r="J516" s="1"/>
      <c r="K516" s="1">
        <v>9.9</v>
      </c>
      <c r="L516" s="1" t="s">
        <v>20</v>
      </c>
      <c r="M516" s="1" t="s">
        <v>69</v>
      </c>
      <c r="N516" s="1" t="str">
        <f t="shared" si="8"/>
        <v>Normal</v>
      </c>
    </row>
    <row r="517" spans="1:14" x14ac:dyDescent="0.25">
      <c r="A517" s="1" t="s">
        <v>1222</v>
      </c>
      <c r="B517" s="1" t="s">
        <v>65</v>
      </c>
      <c r="C517" s="1" t="s">
        <v>539</v>
      </c>
      <c r="D517" s="1" t="s">
        <v>25</v>
      </c>
      <c r="E517" s="1" t="s">
        <v>72</v>
      </c>
      <c r="F517" s="1" t="s">
        <v>40</v>
      </c>
      <c r="G517" s="1">
        <v>393004</v>
      </c>
      <c r="H517" s="63">
        <v>45545</v>
      </c>
      <c r="I517" s="63">
        <v>45723</v>
      </c>
      <c r="J517" s="1">
        <v>178</v>
      </c>
      <c r="K517" s="1">
        <v>22.1</v>
      </c>
      <c r="L517" s="1" t="s">
        <v>29</v>
      </c>
      <c r="M517" s="1" t="s">
        <v>149</v>
      </c>
      <c r="N517" s="1" t="str">
        <f t="shared" si="8"/>
        <v>Normal</v>
      </c>
    </row>
    <row r="518" spans="1:14" x14ac:dyDescent="0.25">
      <c r="A518" s="1" t="s">
        <v>1223</v>
      </c>
      <c r="B518" s="1" t="s">
        <v>44</v>
      </c>
      <c r="C518" s="1" t="s">
        <v>699</v>
      </c>
      <c r="D518" s="1" t="s">
        <v>90</v>
      </c>
      <c r="E518" s="1" t="s">
        <v>94</v>
      </c>
      <c r="F518" s="1" t="s">
        <v>53</v>
      </c>
      <c r="G518" s="1">
        <v>105642</v>
      </c>
      <c r="H518" s="63">
        <v>45070</v>
      </c>
      <c r="J518" s="1"/>
      <c r="K518" s="1">
        <v>11.2</v>
      </c>
      <c r="L518" s="1" t="s">
        <v>49</v>
      </c>
      <c r="M518" s="1" t="s">
        <v>30</v>
      </c>
      <c r="N518" s="1" t="str">
        <f t="shared" si="8"/>
        <v>Normal</v>
      </c>
    </row>
    <row r="519" spans="1:14" x14ac:dyDescent="0.25">
      <c r="A519" s="1" t="s">
        <v>1224</v>
      </c>
      <c r="B519" s="1" t="s">
        <v>14</v>
      </c>
      <c r="C519" s="1" t="s">
        <v>1225</v>
      </c>
      <c r="D519" s="1" t="s">
        <v>39</v>
      </c>
      <c r="E519" s="1" t="s">
        <v>17</v>
      </c>
      <c r="F519" s="1" t="s">
        <v>18</v>
      </c>
      <c r="G519" s="1">
        <v>207023</v>
      </c>
      <c r="H519" s="63">
        <v>45438</v>
      </c>
      <c r="I519" s="63">
        <v>45460</v>
      </c>
      <c r="J519" s="1">
        <v>22</v>
      </c>
      <c r="K519" s="1"/>
      <c r="L519" s="1" t="s">
        <v>49</v>
      </c>
      <c r="M519" s="1" t="s">
        <v>107</v>
      </c>
      <c r="N519" s="1" t="str">
        <f t="shared" si="8"/>
        <v>Normal</v>
      </c>
    </row>
    <row r="520" spans="1:14" x14ac:dyDescent="0.25">
      <c r="A520" s="1" t="s">
        <v>1227</v>
      </c>
      <c r="B520" s="1" t="s">
        <v>109</v>
      </c>
      <c r="C520" s="1" t="s">
        <v>544</v>
      </c>
      <c r="D520" s="1" t="s">
        <v>90</v>
      </c>
      <c r="E520" s="1" t="s">
        <v>100</v>
      </c>
      <c r="F520" s="1" t="s">
        <v>40</v>
      </c>
      <c r="G520" s="1">
        <v>214988</v>
      </c>
      <c r="H520" s="63">
        <v>45007</v>
      </c>
      <c r="I520" s="63">
        <v>45092</v>
      </c>
      <c r="J520" s="1">
        <v>85</v>
      </c>
      <c r="K520" s="1">
        <v>15.3</v>
      </c>
      <c r="L520" s="1" t="s">
        <v>96</v>
      </c>
      <c r="M520" s="1" t="s">
        <v>35</v>
      </c>
      <c r="N520" s="1" t="str">
        <f t="shared" si="8"/>
        <v>Normal</v>
      </c>
    </row>
    <row r="521" spans="1:14" x14ac:dyDescent="0.25">
      <c r="A521" s="1" t="s">
        <v>1229</v>
      </c>
      <c r="B521" s="1" t="s">
        <v>98</v>
      </c>
      <c r="C521" s="1" t="s">
        <v>1077</v>
      </c>
      <c r="D521" s="1" t="s">
        <v>39</v>
      </c>
      <c r="E521" s="1" t="s">
        <v>72</v>
      </c>
      <c r="F521" s="1" t="s">
        <v>33</v>
      </c>
      <c r="G521" s="1">
        <v>298438</v>
      </c>
      <c r="H521" s="63">
        <v>45383</v>
      </c>
      <c r="J521" s="1"/>
      <c r="K521" s="1">
        <v>9.6</v>
      </c>
      <c r="L521" s="1" t="s">
        <v>29</v>
      </c>
      <c r="M521" s="1" t="s">
        <v>107</v>
      </c>
      <c r="N521" s="1" t="str">
        <f t="shared" si="8"/>
        <v>Normal</v>
      </c>
    </row>
    <row r="522" spans="1:14" x14ac:dyDescent="0.25">
      <c r="A522" s="1" t="s">
        <v>1231</v>
      </c>
      <c r="B522" s="1" t="s">
        <v>173</v>
      </c>
      <c r="C522" s="1" t="s">
        <v>696</v>
      </c>
      <c r="D522" s="1" t="s">
        <v>90</v>
      </c>
      <c r="E522" s="1" t="s">
        <v>72</v>
      </c>
      <c r="F522" s="1" t="s">
        <v>18</v>
      </c>
      <c r="G522" s="1">
        <v>477342</v>
      </c>
      <c r="H522" s="63">
        <v>45370</v>
      </c>
      <c r="I522" s="63">
        <v>45404</v>
      </c>
      <c r="J522" s="1">
        <v>34</v>
      </c>
      <c r="K522" s="1">
        <v>9.5</v>
      </c>
      <c r="L522" s="1" t="s">
        <v>49</v>
      </c>
      <c r="M522" s="1" t="s">
        <v>69</v>
      </c>
      <c r="N522" s="1" t="str">
        <f t="shared" si="8"/>
        <v>Normal</v>
      </c>
    </row>
    <row r="523" spans="1:14" x14ac:dyDescent="0.25">
      <c r="A523" s="1" t="s">
        <v>1232</v>
      </c>
      <c r="B523" s="1" t="s">
        <v>37</v>
      </c>
      <c r="C523" s="1" t="s">
        <v>138</v>
      </c>
      <c r="D523" s="1" t="s">
        <v>90</v>
      </c>
      <c r="E523" s="1" t="s">
        <v>100</v>
      </c>
      <c r="F523" s="1" t="s">
        <v>53</v>
      </c>
      <c r="G523" s="1">
        <v>374780</v>
      </c>
      <c r="H523" s="63">
        <v>45324</v>
      </c>
      <c r="J523" s="1"/>
      <c r="K523" s="1"/>
      <c r="L523" s="1" t="s">
        <v>49</v>
      </c>
      <c r="M523" s="1" t="s">
        <v>69</v>
      </c>
      <c r="N523" s="1" t="str">
        <f t="shared" si="8"/>
        <v>Normal</v>
      </c>
    </row>
    <row r="524" spans="1:14" x14ac:dyDescent="0.25">
      <c r="A524" s="1" t="s">
        <v>1234</v>
      </c>
      <c r="B524" s="1" t="s">
        <v>104</v>
      </c>
      <c r="C524" s="1" t="s">
        <v>1235</v>
      </c>
      <c r="D524" s="1" t="s">
        <v>39</v>
      </c>
      <c r="E524" s="1" t="s">
        <v>47</v>
      </c>
      <c r="F524" s="1" t="s">
        <v>40</v>
      </c>
      <c r="G524" s="1">
        <v>203201</v>
      </c>
      <c r="H524" s="63">
        <v>45228</v>
      </c>
      <c r="I524" s="63">
        <v>45352</v>
      </c>
      <c r="J524" s="1">
        <v>124</v>
      </c>
      <c r="K524" s="1">
        <v>1.8</v>
      </c>
      <c r="L524" s="1" t="s">
        <v>96</v>
      </c>
      <c r="M524" s="1" t="s">
        <v>21</v>
      </c>
      <c r="N524" s="1" t="str">
        <f t="shared" si="8"/>
        <v>Normal</v>
      </c>
    </row>
    <row r="525" spans="1:14" x14ac:dyDescent="0.25">
      <c r="A525" s="1" t="s">
        <v>1236</v>
      </c>
      <c r="B525" s="1" t="s">
        <v>104</v>
      </c>
      <c r="C525" s="1" t="s">
        <v>790</v>
      </c>
      <c r="D525" s="1" t="s">
        <v>46</v>
      </c>
      <c r="E525" s="1" t="s">
        <v>47</v>
      </c>
      <c r="F525" s="1" t="s">
        <v>40</v>
      </c>
      <c r="G525" s="1">
        <v>363868</v>
      </c>
      <c r="H525" s="63">
        <v>45398</v>
      </c>
      <c r="I525" s="63">
        <v>45499</v>
      </c>
      <c r="J525" s="1">
        <v>101</v>
      </c>
      <c r="K525" s="1">
        <v>24.1</v>
      </c>
      <c r="L525" s="1" t="s">
        <v>20</v>
      </c>
      <c r="M525" s="1" t="s">
        <v>107</v>
      </c>
      <c r="N525" s="1" t="str">
        <f t="shared" si="8"/>
        <v>Normal</v>
      </c>
    </row>
    <row r="526" spans="1:14" x14ac:dyDescent="0.25">
      <c r="A526" s="1" t="s">
        <v>1237</v>
      </c>
      <c r="B526" s="1" t="s">
        <v>80</v>
      </c>
      <c r="C526" s="1" t="s">
        <v>693</v>
      </c>
      <c r="D526" s="1" t="s">
        <v>16</v>
      </c>
      <c r="E526" s="1" t="s">
        <v>4845</v>
      </c>
      <c r="F526" s="1" t="s">
        <v>129</v>
      </c>
      <c r="G526" s="1">
        <v>101757</v>
      </c>
      <c r="H526" s="63">
        <v>45730</v>
      </c>
      <c r="J526" s="1"/>
      <c r="K526" s="1"/>
      <c r="L526" s="1" t="s">
        <v>96</v>
      </c>
      <c r="M526" s="1" t="s">
        <v>63</v>
      </c>
      <c r="N526" s="1" t="str">
        <f t="shared" si="8"/>
        <v>Normal</v>
      </c>
    </row>
    <row r="527" spans="1:14" x14ac:dyDescent="0.25">
      <c r="A527" s="1" t="s">
        <v>1239</v>
      </c>
      <c r="B527" s="1" t="s">
        <v>88</v>
      </c>
      <c r="C527" s="1" t="s">
        <v>105</v>
      </c>
      <c r="D527" s="1" t="s">
        <v>25</v>
      </c>
      <c r="E527" s="1" t="s">
        <v>72</v>
      </c>
      <c r="F527" s="1" t="s">
        <v>40</v>
      </c>
      <c r="G527" s="1">
        <v>155313</v>
      </c>
      <c r="H527" s="63">
        <v>45583</v>
      </c>
      <c r="I527" s="63">
        <v>45617</v>
      </c>
      <c r="J527" s="1">
        <v>34</v>
      </c>
      <c r="K527" s="1">
        <v>0.8</v>
      </c>
      <c r="L527" s="1" t="s">
        <v>20</v>
      </c>
      <c r="M527" s="1" t="s">
        <v>42</v>
      </c>
      <c r="N527" s="1" t="str">
        <f t="shared" si="8"/>
        <v>Normal</v>
      </c>
    </row>
    <row r="528" spans="1:14" x14ac:dyDescent="0.25">
      <c r="A528" s="1" t="s">
        <v>1241</v>
      </c>
      <c r="B528" s="1" t="s">
        <v>44</v>
      </c>
      <c r="C528" s="1" t="s">
        <v>574</v>
      </c>
      <c r="D528" s="1" t="s">
        <v>67</v>
      </c>
      <c r="E528" s="1" t="s">
        <v>17</v>
      </c>
      <c r="F528" s="1" t="s">
        <v>53</v>
      </c>
      <c r="G528" s="1">
        <v>258377</v>
      </c>
      <c r="H528" s="63">
        <v>45444</v>
      </c>
      <c r="J528" s="1"/>
      <c r="K528" s="1"/>
      <c r="L528" s="1" t="s">
        <v>96</v>
      </c>
      <c r="M528" s="1" t="s">
        <v>107</v>
      </c>
      <c r="N528" s="1" t="str">
        <f t="shared" si="8"/>
        <v>Normal</v>
      </c>
    </row>
    <row r="529" spans="1:14" x14ac:dyDescent="0.25">
      <c r="A529" s="1" t="s">
        <v>1242</v>
      </c>
      <c r="B529" s="1" t="s">
        <v>109</v>
      </c>
      <c r="C529" s="1" t="s">
        <v>590</v>
      </c>
      <c r="D529" s="1" t="s">
        <v>25</v>
      </c>
      <c r="E529" s="1" t="s">
        <v>77</v>
      </c>
      <c r="F529" s="1" t="s">
        <v>18</v>
      </c>
      <c r="G529" s="1">
        <v>129316</v>
      </c>
      <c r="H529" s="63">
        <v>45694</v>
      </c>
      <c r="I529" s="63">
        <v>45762</v>
      </c>
      <c r="J529" s="1">
        <v>68</v>
      </c>
      <c r="K529" s="1">
        <v>7.7</v>
      </c>
      <c r="L529" s="1" t="s">
        <v>20</v>
      </c>
      <c r="M529" s="1" t="s">
        <v>63</v>
      </c>
      <c r="N529" s="1" t="str">
        <f t="shared" si="8"/>
        <v>Normal</v>
      </c>
    </row>
    <row r="530" spans="1:14" x14ac:dyDescent="0.25">
      <c r="A530" s="1" t="s">
        <v>1243</v>
      </c>
      <c r="B530" s="1" t="s">
        <v>127</v>
      </c>
      <c r="C530" s="1" t="s">
        <v>644</v>
      </c>
      <c r="D530" s="1" t="s">
        <v>39</v>
      </c>
      <c r="E530" s="1" t="s">
        <v>77</v>
      </c>
      <c r="F530" s="1" t="s">
        <v>18</v>
      </c>
      <c r="G530" s="1">
        <v>481825</v>
      </c>
      <c r="H530" s="63">
        <v>45530</v>
      </c>
      <c r="I530" s="63">
        <v>45580</v>
      </c>
      <c r="J530" s="1">
        <v>50</v>
      </c>
      <c r="K530" s="1">
        <v>12.5</v>
      </c>
      <c r="L530" s="1" t="s">
        <v>29</v>
      </c>
      <c r="M530" s="1" t="s">
        <v>149</v>
      </c>
      <c r="N530" s="1" t="str">
        <f t="shared" si="8"/>
        <v>Normal</v>
      </c>
    </row>
    <row r="531" spans="1:14" x14ac:dyDescent="0.25">
      <c r="A531" s="1" t="s">
        <v>1245</v>
      </c>
      <c r="B531" s="1" t="s">
        <v>109</v>
      </c>
      <c r="C531" s="1" t="s">
        <v>1178</v>
      </c>
      <c r="D531" s="1" t="s">
        <v>16</v>
      </c>
      <c r="E531" s="1" t="s">
        <v>100</v>
      </c>
      <c r="F531" s="1" t="s">
        <v>40</v>
      </c>
      <c r="G531" s="1">
        <v>175025</v>
      </c>
      <c r="H531" s="63">
        <v>45273</v>
      </c>
      <c r="I531" s="63">
        <v>45433</v>
      </c>
      <c r="J531" s="1">
        <v>160</v>
      </c>
      <c r="K531" s="1">
        <v>10.3</v>
      </c>
      <c r="L531" s="1" t="s">
        <v>20</v>
      </c>
      <c r="M531" s="1" t="s">
        <v>21</v>
      </c>
      <c r="N531" s="1" t="str">
        <f t="shared" si="8"/>
        <v>Normal</v>
      </c>
    </row>
    <row r="532" spans="1:14" x14ac:dyDescent="0.25">
      <c r="A532" s="1" t="s">
        <v>1247</v>
      </c>
      <c r="B532" s="1" t="s">
        <v>109</v>
      </c>
      <c r="C532" s="1" t="s">
        <v>1248</v>
      </c>
      <c r="D532" s="1" t="s">
        <v>67</v>
      </c>
      <c r="E532" s="1" t="s">
        <v>26</v>
      </c>
      <c r="F532" s="1" t="s">
        <v>33</v>
      </c>
      <c r="G532" s="1">
        <v>203697</v>
      </c>
      <c r="H532" s="63">
        <v>45218</v>
      </c>
      <c r="J532" s="1"/>
      <c r="K532" s="1"/>
      <c r="L532" s="1" t="s">
        <v>96</v>
      </c>
      <c r="M532" s="1" t="s">
        <v>21</v>
      </c>
      <c r="N532" s="1" t="str">
        <f t="shared" si="8"/>
        <v>Normal</v>
      </c>
    </row>
    <row r="533" spans="1:14" x14ac:dyDescent="0.25">
      <c r="A533" s="1" t="s">
        <v>1249</v>
      </c>
      <c r="B533" s="1" t="s">
        <v>37</v>
      </c>
      <c r="C533" s="1" t="s">
        <v>195</v>
      </c>
      <c r="D533" s="1" t="s">
        <v>90</v>
      </c>
      <c r="E533" s="1" t="s">
        <v>94</v>
      </c>
      <c r="F533" s="1" t="s">
        <v>40</v>
      </c>
      <c r="G533" s="1">
        <v>299691</v>
      </c>
      <c r="H533" s="63">
        <v>45567</v>
      </c>
      <c r="I533" s="63">
        <v>45702</v>
      </c>
      <c r="J533" s="1">
        <v>135</v>
      </c>
      <c r="K533" s="1">
        <v>5.2</v>
      </c>
      <c r="L533" s="1" t="s">
        <v>20</v>
      </c>
      <c r="M533" s="1" t="s">
        <v>42</v>
      </c>
      <c r="N533" s="1" t="str">
        <f t="shared" si="8"/>
        <v>Normal</v>
      </c>
    </row>
    <row r="534" spans="1:14" x14ac:dyDescent="0.25">
      <c r="A534" s="1" t="s">
        <v>1251</v>
      </c>
      <c r="B534" s="1" t="s">
        <v>84</v>
      </c>
      <c r="C534" s="1" t="s">
        <v>321</v>
      </c>
      <c r="D534" s="1" t="s">
        <v>67</v>
      </c>
      <c r="E534" s="1" t="s">
        <v>26</v>
      </c>
      <c r="F534" s="1" t="s">
        <v>33</v>
      </c>
      <c r="G534" s="1">
        <v>292190</v>
      </c>
      <c r="H534" s="63">
        <v>45160</v>
      </c>
      <c r="J534" s="1"/>
      <c r="K534" s="1">
        <v>4.7</v>
      </c>
      <c r="L534" s="1" t="s">
        <v>96</v>
      </c>
      <c r="M534" s="1" t="s">
        <v>102</v>
      </c>
      <c r="N534" s="1" t="str">
        <f t="shared" si="8"/>
        <v>Normal</v>
      </c>
    </row>
    <row r="535" spans="1:14" x14ac:dyDescent="0.25">
      <c r="A535" s="1" t="s">
        <v>1253</v>
      </c>
      <c r="B535" s="1" t="s">
        <v>4829</v>
      </c>
      <c r="C535" s="1" t="s">
        <v>917</v>
      </c>
      <c r="D535" s="1" t="s">
        <v>39</v>
      </c>
      <c r="E535" s="1" t="s">
        <v>72</v>
      </c>
      <c r="F535" s="1" t="s">
        <v>53</v>
      </c>
      <c r="G535" s="1">
        <v>214153</v>
      </c>
      <c r="H535" s="63">
        <v>45116</v>
      </c>
      <c r="J535" s="1"/>
      <c r="K535" s="1"/>
      <c r="L535" s="1" t="s">
        <v>29</v>
      </c>
      <c r="M535" s="1" t="s">
        <v>102</v>
      </c>
      <c r="N535" s="1" t="str">
        <f t="shared" si="8"/>
        <v>Normal</v>
      </c>
    </row>
    <row r="536" spans="1:14" x14ac:dyDescent="0.25">
      <c r="A536" s="1" t="s">
        <v>1254</v>
      </c>
      <c r="B536" s="1" t="s">
        <v>88</v>
      </c>
      <c r="C536" s="1" t="s">
        <v>944</v>
      </c>
      <c r="D536" s="1" t="s">
        <v>25</v>
      </c>
      <c r="E536" s="1" t="s">
        <v>100</v>
      </c>
      <c r="F536" s="1" t="s">
        <v>40</v>
      </c>
      <c r="G536" s="1">
        <v>238505</v>
      </c>
      <c r="H536" s="63">
        <v>45442</v>
      </c>
      <c r="I536" s="63">
        <v>45588</v>
      </c>
      <c r="J536" s="1">
        <v>146</v>
      </c>
      <c r="K536" s="1">
        <v>9.8000000000000007</v>
      </c>
      <c r="L536" s="1" t="s">
        <v>49</v>
      </c>
      <c r="M536" s="1" t="s">
        <v>107</v>
      </c>
      <c r="N536" s="1" t="str">
        <f t="shared" si="8"/>
        <v>Normal</v>
      </c>
    </row>
    <row r="537" spans="1:14" x14ac:dyDescent="0.25">
      <c r="A537" s="1" t="s">
        <v>1255</v>
      </c>
      <c r="B537" s="1" t="s">
        <v>173</v>
      </c>
      <c r="C537" s="1" t="s">
        <v>423</v>
      </c>
      <c r="D537" s="1" t="s">
        <v>16</v>
      </c>
      <c r="E537" s="1" t="s">
        <v>72</v>
      </c>
      <c r="F537" s="1" t="s">
        <v>53</v>
      </c>
      <c r="G537" s="1">
        <v>381243</v>
      </c>
      <c r="H537" s="63">
        <v>45420</v>
      </c>
      <c r="J537" s="1"/>
      <c r="K537" s="1">
        <v>11.4</v>
      </c>
      <c r="L537" s="1" t="s">
        <v>96</v>
      </c>
      <c r="M537" s="1" t="s">
        <v>107</v>
      </c>
      <c r="N537" s="1" t="str">
        <f t="shared" si="8"/>
        <v>Normal</v>
      </c>
    </row>
    <row r="538" spans="1:14" x14ac:dyDescent="0.25">
      <c r="A538" s="1" t="s">
        <v>1257</v>
      </c>
      <c r="B538" s="1" t="s">
        <v>23</v>
      </c>
      <c r="C538" s="1" t="s">
        <v>1258</v>
      </c>
      <c r="D538" s="1" t="s">
        <v>67</v>
      </c>
      <c r="E538" s="1" t="s">
        <v>100</v>
      </c>
      <c r="F538" s="1" t="s">
        <v>33</v>
      </c>
      <c r="G538" s="1">
        <v>163902</v>
      </c>
      <c r="H538" s="63">
        <v>44929</v>
      </c>
      <c r="J538" s="1"/>
      <c r="K538" s="1">
        <v>11.1</v>
      </c>
      <c r="L538" s="1" t="s">
        <v>29</v>
      </c>
      <c r="M538" s="1" t="s">
        <v>35</v>
      </c>
      <c r="N538" s="1" t="str">
        <f t="shared" si="8"/>
        <v>Normal</v>
      </c>
    </row>
    <row r="539" spans="1:14" x14ac:dyDescent="0.25">
      <c r="A539" s="1" t="s">
        <v>1260</v>
      </c>
      <c r="B539" s="1" t="s">
        <v>104</v>
      </c>
      <c r="C539" s="1" t="s">
        <v>564</v>
      </c>
      <c r="D539" s="1" t="s">
        <v>67</v>
      </c>
      <c r="E539" s="1" t="s">
        <v>72</v>
      </c>
      <c r="F539" s="1" t="s">
        <v>40</v>
      </c>
      <c r="G539" s="1">
        <v>494893</v>
      </c>
      <c r="H539" s="63">
        <v>45088</v>
      </c>
      <c r="I539" s="63">
        <v>45110</v>
      </c>
      <c r="J539" s="1">
        <v>22</v>
      </c>
      <c r="K539" s="1">
        <v>2.9</v>
      </c>
      <c r="L539" s="1" t="s">
        <v>29</v>
      </c>
      <c r="M539" s="1" t="s">
        <v>30</v>
      </c>
      <c r="N539" s="1" t="str">
        <f t="shared" si="8"/>
        <v>Normal</v>
      </c>
    </row>
    <row r="540" spans="1:14" x14ac:dyDescent="0.25">
      <c r="A540" s="1" t="s">
        <v>1262</v>
      </c>
      <c r="B540" s="1" t="s">
        <v>75</v>
      </c>
      <c r="C540" s="1" t="s">
        <v>486</v>
      </c>
      <c r="D540" s="1" t="s">
        <v>16</v>
      </c>
      <c r="E540" s="1" t="s">
        <v>4845</v>
      </c>
      <c r="F540" s="1" t="s">
        <v>18</v>
      </c>
      <c r="G540" s="1">
        <v>185137</v>
      </c>
      <c r="H540" s="63">
        <v>45304</v>
      </c>
      <c r="I540" s="63">
        <v>45438</v>
      </c>
      <c r="J540" s="1">
        <v>134</v>
      </c>
      <c r="K540" s="1">
        <v>7.5</v>
      </c>
      <c r="L540" s="1" t="s">
        <v>20</v>
      </c>
      <c r="M540" s="1" t="s">
        <v>69</v>
      </c>
      <c r="N540" s="1" t="str">
        <f t="shared" si="8"/>
        <v>Normal</v>
      </c>
    </row>
    <row r="541" spans="1:14" x14ac:dyDescent="0.25">
      <c r="A541" s="1" t="s">
        <v>1263</v>
      </c>
      <c r="B541" s="1" t="s">
        <v>44</v>
      </c>
      <c r="C541" s="1" t="s">
        <v>436</v>
      </c>
      <c r="D541" s="1" t="s">
        <v>39</v>
      </c>
      <c r="E541" s="1" t="s">
        <v>100</v>
      </c>
      <c r="F541" s="1" t="s">
        <v>53</v>
      </c>
      <c r="G541" s="1">
        <v>226464</v>
      </c>
      <c r="H541" s="63">
        <v>45101</v>
      </c>
      <c r="J541" s="1"/>
      <c r="K541" s="1">
        <v>7.7</v>
      </c>
      <c r="L541" s="1" t="s">
        <v>49</v>
      </c>
      <c r="M541" s="1" t="s">
        <v>30</v>
      </c>
      <c r="N541" s="1" t="str">
        <f t="shared" si="8"/>
        <v>Normal</v>
      </c>
    </row>
    <row r="542" spans="1:14" x14ac:dyDescent="0.25">
      <c r="A542" s="1" t="s">
        <v>1265</v>
      </c>
      <c r="B542" s="1" t="s">
        <v>98</v>
      </c>
      <c r="C542" s="1" t="s">
        <v>442</v>
      </c>
      <c r="D542" s="1" t="s">
        <v>90</v>
      </c>
      <c r="E542" s="1" t="s">
        <v>77</v>
      </c>
      <c r="F542" s="1" t="s">
        <v>18</v>
      </c>
      <c r="G542" s="1">
        <v>485495</v>
      </c>
      <c r="H542" s="63">
        <v>45262</v>
      </c>
      <c r="I542" s="63">
        <v>45307</v>
      </c>
      <c r="J542" s="1">
        <v>45</v>
      </c>
      <c r="K542" s="1">
        <v>7</v>
      </c>
      <c r="L542" s="1" t="s">
        <v>49</v>
      </c>
      <c r="M542" s="1" t="s">
        <v>21</v>
      </c>
      <c r="N542" s="1" t="str">
        <f t="shared" si="8"/>
        <v>Normal</v>
      </c>
    </row>
    <row r="543" spans="1:14" x14ac:dyDescent="0.25">
      <c r="A543" s="1" t="s">
        <v>1267</v>
      </c>
      <c r="B543" s="1" t="s">
        <v>109</v>
      </c>
      <c r="C543" s="1" t="s">
        <v>471</v>
      </c>
      <c r="D543" s="1" t="s">
        <v>90</v>
      </c>
      <c r="E543" s="1" t="s">
        <v>17</v>
      </c>
      <c r="F543" s="1" t="s">
        <v>33</v>
      </c>
      <c r="G543" s="1">
        <v>330655</v>
      </c>
      <c r="H543" s="63">
        <v>45373</v>
      </c>
      <c r="J543" s="1"/>
      <c r="K543" s="1">
        <v>9</v>
      </c>
      <c r="L543" s="1" t="s">
        <v>96</v>
      </c>
      <c r="M543" s="1" t="s">
        <v>69</v>
      </c>
      <c r="N543" s="1" t="str">
        <f t="shared" si="8"/>
        <v>Normal</v>
      </c>
    </row>
    <row r="544" spans="1:14" x14ac:dyDescent="0.25">
      <c r="A544" s="1" t="s">
        <v>1268</v>
      </c>
      <c r="B544" s="1" t="s">
        <v>59</v>
      </c>
      <c r="C544" s="1" t="s">
        <v>946</v>
      </c>
      <c r="D544" s="1" t="s">
        <v>16</v>
      </c>
      <c r="E544" s="1" t="s">
        <v>26</v>
      </c>
      <c r="F544" s="1" t="s">
        <v>33</v>
      </c>
      <c r="G544" s="1">
        <v>223268</v>
      </c>
      <c r="H544" s="63">
        <v>45651</v>
      </c>
      <c r="J544" s="1"/>
      <c r="K544" s="1">
        <v>6.5</v>
      </c>
      <c r="L544" s="1" t="s">
        <v>49</v>
      </c>
      <c r="M544" s="1" t="s">
        <v>42</v>
      </c>
      <c r="N544" s="1" t="str">
        <f t="shared" si="8"/>
        <v>Normal</v>
      </c>
    </row>
    <row r="545" spans="1:14" x14ac:dyDescent="0.25">
      <c r="A545" s="1" t="s">
        <v>1269</v>
      </c>
      <c r="B545" s="1" t="s">
        <v>84</v>
      </c>
      <c r="C545" s="1" t="s">
        <v>906</v>
      </c>
      <c r="D545" s="1" t="s">
        <v>46</v>
      </c>
      <c r="E545" s="1" t="s">
        <v>94</v>
      </c>
      <c r="F545" s="1" t="s">
        <v>40</v>
      </c>
      <c r="G545" s="1">
        <v>164744</v>
      </c>
      <c r="H545" s="63">
        <v>45461</v>
      </c>
      <c r="I545" s="63">
        <v>45622</v>
      </c>
      <c r="J545" s="1">
        <v>161</v>
      </c>
      <c r="K545" s="1">
        <v>16.7</v>
      </c>
      <c r="L545" s="1" t="s">
        <v>49</v>
      </c>
      <c r="M545" s="1" t="s">
        <v>107</v>
      </c>
      <c r="N545" s="1" t="str">
        <f t="shared" si="8"/>
        <v>Normal</v>
      </c>
    </row>
    <row r="546" spans="1:14" x14ac:dyDescent="0.25">
      <c r="A546" s="1" t="s">
        <v>1271</v>
      </c>
      <c r="B546" s="1" t="s">
        <v>109</v>
      </c>
      <c r="C546" s="1" t="s">
        <v>119</v>
      </c>
      <c r="D546" s="1" t="s">
        <v>39</v>
      </c>
      <c r="E546" s="1" t="s">
        <v>100</v>
      </c>
      <c r="F546" s="1" t="s">
        <v>40</v>
      </c>
      <c r="G546" s="1">
        <v>1443027</v>
      </c>
      <c r="H546" s="63">
        <v>45570</v>
      </c>
      <c r="I546" s="63">
        <v>45744</v>
      </c>
      <c r="J546" s="1">
        <v>174</v>
      </c>
      <c r="K546" s="1">
        <v>16.899999999999999</v>
      </c>
      <c r="L546" s="1" t="s">
        <v>96</v>
      </c>
      <c r="M546" s="1" t="s">
        <v>42</v>
      </c>
      <c r="N546" s="1" t="str">
        <f t="shared" si="8"/>
        <v>High Outlier</v>
      </c>
    </row>
    <row r="547" spans="1:14" x14ac:dyDescent="0.25">
      <c r="A547" s="1" t="s">
        <v>1272</v>
      </c>
      <c r="B547" s="1" t="s">
        <v>44</v>
      </c>
      <c r="C547" s="1" t="s">
        <v>596</v>
      </c>
      <c r="D547" s="1" t="s">
        <v>90</v>
      </c>
      <c r="E547" s="1" t="s">
        <v>72</v>
      </c>
      <c r="F547" s="1" t="s">
        <v>27</v>
      </c>
      <c r="G547" s="1">
        <v>78039</v>
      </c>
      <c r="H547" s="63">
        <v>44959</v>
      </c>
      <c r="J547" s="1"/>
      <c r="K547" s="1">
        <v>3</v>
      </c>
      <c r="L547" s="1" t="s">
        <v>96</v>
      </c>
      <c r="M547" s="1" t="s">
        <v>35</v>
      </c>
      <c r="N547" s="1" t="str">
        <f t="shared" si="8"/>
        <v>Normal</v>
      </c>
    </row>
    <row r="548" spans="1:14" x14ac:dyDescent="0.25">
      <c r="A548" s="1" t="s">
        <v>1274</v>
      </c>
      <c r="B548" s="1" t="s">
        <v>173</v>
      </c>
      <c r="C548" s="1" t="s">
        <v>620</v>
      </c>
      <c r="D548" s="1" t="s">
        <v>46</v>
      </c>
      <c r="E548" s="1" t="s">
        <v>26</v>
      </c>
      <c r="F548" s="1" t="s">
        <v>53</v>
      </c>
      <c r="G548" s="1">
        <v>71213</v>
      </c>
      <c r="H548" s="63">
        <v>45404</v>
      </c>
      <c r="J548" s="1"/>
      <c r="K548" s="1">
        <v>14.5</v>
      </c>
      <c r="L548" s="1" t="s">
        <v>29</v>
      </c>
      <c r="M548" s="1" t="s">
        <v>107</v>
      </c>
      <c r="N548" s="1" t="str">
        <f t="shared" si="8"/>
        <v>Normal</v>
      </c>
    </row>
    <row r="549" spans="1:14" x14ac:dyDescent="0.25">
      <c r="A549" s="1" t="s">
        <v>1275</v>
      </c>
      <c r="B549" s="1" t="s">
        <v>98</v>
      </c>
      <c r="C549" s="1" t="s">
        <v>1153</v>
      </c>
      <c r="D549" s="1" t="s">
        <v>39</v>
      </c>
      <c r="E549" s="1" t="s">
        <v>100</v>
      </c>
      <c r="F549" s="1" t="s">
        <v>18</v>
      </c>
      <c r="G549" s="1">
        <v>289552</v>
      </c>
      <c r="H549" s="63">
        <v>45318</v>
      </c>
      <c r="I549" s="63">
        <v>45337</v>
      </c>
      <c r="J549" s="1">
        <v>19</v>
      </c>
      <c r="K549" s="1">
        <v>10.9</v>
      </c>
      <c r="L549" s="1" t="s">
        <v>96</v>
      </c>
      <c r="M549" s="1" t="s">
        <v>69</v>
      </c>
      <c r="N549" s="1" t="str">
        <f t="shared" si="8"/>
        <v>Normal</v>
      </c>
    </row>
    <row r="550" spans="1:14" x14ac:dyDescent="0.25">
      <c r="A550" s="1" t="s">
        <v>1277</v>
      </c>
      <c r="B550" s="1" t="s">
        <v>127</v>
      </c>
      <c r="C550" s="1" t="s">
        <v>1278</v>
      </c>
      <c r="D550" s="1" t="s">
        <v>16</v>
      </c>
      <c r="E550" s="1" t="s">
        <v>100</v>
      </c>
      <c r="F550" s="1" t="s">
        <v>129</v>
      </c>
      <c r="G550" s="1">
        <v>372216</v>
      </c>
      <c r="H550" s="63">
        <v>45036</v>
      </c>
      <c r="J550" s="1"/>
      <c r="K550" s="1">
        <v>10.4</v>
      </c>
      <c r="L550" s="1" t="s">
        <v>20</v>
      </c>
      <c r="M550" s="1" t="s">
        <v>30</v>
      </c>
      <c r="N550" s="1" t="str">
        <f t="shared" si="8"/>
        <v>Normal</v>
      </c>
    </row>
    <row r="551" spans="1:14" x14ac:dyDescent="0.25">
      <c r="A551" s="1" t="s">
        <v>1280</v>
      </c>
      <c r="B551" s="1" t="s">
        <v>59</v>
      </c>
      <c r="C551" s="1" t="s">
        <v>1129</v>
      </c>
      <c r="D551" s="1" t="s">
        <v>67</v>
      </c>
      <c r="E551" s="1" t="s">
        <v>100</v>
      </c>
      <c r="F551" s="1" t="s">
        <v>18</v>
      </c>
      <c r="G551" s="1">
        <v>399974</v>
      </c>
      <c r="H551" s="63">
        <v>44957</v>
      </c>
      <c r="I551" s="63">
        <v>45100</v>
      </c>
      <c r="J551" s="1">
        <v>143</v>
      </c>
      <c r="K551" s="1"/>
      <c r="L551" s="1" t="s">
        <v>96</v>
      </c>
      <c r="M551" s="1" t="s">
        <v>35</v>
      </c>
      <c r="N551" s="1" t="str">
        <f t="shared" si="8"/>
        <v>Normal</v>
      </c>
    </row>
    <row r="552" spans="1:14" x14ac:dyDescent="0.25">
      <c r="A552" s="1" t="s">
        <v>1281</v>
      </c>
      <c r="B552" s="1" t="s">
        <v>80</v>
      </c>
      <c r="C552" s="1" t="s">
        <v>497</v>
      </c>
      <c r="D552" s="1" t="s">
        <v>46</v>
      </c>
      <c r="E552" s="1" t="s">
        <v>17</v>
      </c>
      <c r="F552" s="1" t="s">
        <v>53</v>
      </c>
      <c r="G552" s="1">
        <v>90382</v>
      </c>
      <c r="H552" s="63">
        <v>45166</v>
      </c>
      <c r="J552" s="1"/>
      <c r="K552" s="1"/>
      <c r="L552" s="1" t="s">
        <v>49</v>
      </c>
      <c r="M552" s="1" t="s">
        <v>102</v>
      </c>
      <c r="N552" s="1" t="str">
        <f t="shared" si="8"/>
        <v>Normal</v>
      </c>
    </row>
    <row r="553" spans="1:14" x14ac:dyDescent="0.25">
      <c r="A553" s="1" t="s">
        <v>1282</v>
      </c>
      <c r="B553" s="1" t="s">
        <v>44</v>
      </c>
      <c r="C553" s="1" t="s">
        <v>1283</v>
      </c>
      <c r="D553" s="1" t="s">
        <v>25</v>
      </c>
      <c r="E553" s="1" t="s">
        <v>72</v>
      </c>
      <c r="F553" s="1" t="s">
        <v>33</v>
      </c>
      <c r="G553" s="1">
        <v>299308</v>
      </c>
      <c r="H553" s="63">
        <v>45220</v>
      </c>
      <c r="J553" s="1"/>
      <c r="K553" s="1"/>
      <c r="L553" s="1" t="s">
        <v>49</v>
      </c>
      <c r="M553" s="1" t="s">
        <v>21</v>
      </c>
      <c r="N553" s="1" t="str">
        <f t="shared" si="8"/>
        <v>Normal</v>
      </c>
    </row>
    <row r="554" spans="1:14" x14ac:dyDescent="0.25">
      <c r="A554" s="1" t="s">
        <v>1285</v>
      </c>
      <c r="B554" s="1" t="s">
        <v>109</v>
      </c>
      <c r="C554" s="1" t="s">
        <v>676</v>
      </c>
      <c r="D554" s="1" t="s">
        <v>39</v>
      </c>
      <c r="E554" s="1" t="s">
        <v>17</v>
      </c>
      <c r="F554" s="1" t="s">
        <v>40</v>
      </c>
      <c r="G554" s="1">
        <v>151164</v>
      </c>
      <c r="H554" s="63">
        <v>45486</v>
      </c>
      <c r="I554" s="63">
        <v>45648</v>
      </c>
      <c r="J554" s="1">
        <v>162</v>
      </c>
      <c r="K554" s="1">
        <v>24.5</v>
      </c>
      <c r="L554" s="1" t="s">
        <v>20</v>
      </c>
      <c r="M554" s="1" t="s">
        <v>149</v>
      </c>
      <c r="N554" s="1" t="str">
        <f t="shared" si="8"/>
        <v>Normal</v>
      </c>
    </row>
    <row r="555" spans="1:14" x14ac:dyDescent="0.25">
      <c r="A555" s="1" t="s">
        <v>1287</v>
      </c>
      <c r="B555" s="1" t="s">
        <v>98</v>
      </c>
      <c r="C555" s="1" t="s">
        <v>460</v>
      </c>
      <c r="D555" s="1" t="s">
        <v>90</v>
      </c>
      <c r="E555" s="1" t="s">
        <v>72</v>
      </c>
      <c r="F555" s="1" t="s">
        <v>18</v>
      </c>
      <c r="G555" s="1">
        <v>90389</v>
      </c>
      <c r="H555" s="63">
        <v>45313</v>
      </c>
      <c r="I555" s="63">
        <v>45412</v>
      </c>
      <c r="J555" s="1">
        <v>99</v>
      </c>
      <c r="K555" s="1">
        <v>6.6</v>
      </c>
      <c r="L555" s="1" t="s">
        <v>49</v>
      </c>
      <c r="M555" s="1" t="s">
        <v>69</v>
      </c>
      <c r="N555" s="1" t="str">
        <f t="shared" si="8"/>
        <v>Normal</v>
      </c>
    </row>
    <row r="556" spans="1:14" x14ac:dyDescent="0.25">
      <c r="A556" s="1" t="s">
        <v>1288</v>
      </c>
      <c r="B556" s="1" t="s">
        <v>104</v>
      </c>
      <c r="C556" s="1" t="s">
        <v>1153</v>
      </c>
      <c r="D556" s="1" t="s">
        <v>25</v>
      </c>
      <c r="E556" s="1" t="s">
        <v>61</v>
      </c>
      <c r="F556" s="1" t="s">
        <v>18</v>
      </c>
      <c r="G556" s="1">
        <v>468072</v>
      </c>
      <c r="H556" s="63">
        <v>45645</v>
      </c>
      <c r="I556" s="63">
        <v>45729</v>
      </c>
      <c r="J556" s="1">
        <v>84</v>
      </c>
      <c r="K556" s="1">
        <v>13.5</v>
      </c>
      <c r="L556" s="1" t="s">
        <v>96</v>
      </c>
      <c r="M556" s="1" t="s">
        <v>42</v>
      </c>
      <c r="N556" s="1" t="str">
        <f t="shared" si="8"/>
        <v>Normal</v>
      </c>
    </row>
    <row r="557" spans="1:14" x14ac:dyDescent="0.25">
      <c r="A557" s="1" t="s">
        <v>1290</v>
      </c>
      <c r="B557" s="1" t="s">
        <v>75</v>
      </c>
      <c r="C557" s="1" t="s">
        <v>676</v>
      </c>
      <c r="D557" s="1" t="s">
        <v>39</v>
      </c>
      <c r="E557" s="1" t="s">
        <v>4845</v>
      </c>
      <c r="F557" s="1" t="s">
        <v>33</v>
      </c>
      <c r="G557" s="1">
        <v>1208311</v>
      </c>
      <c r="H557" s="63">
        <v>45705</v>
      </c>
      <c r="J557" s="1"/>
      <c r="K557" s="1">
        <v>2.7</v>
      </c>
      <c r="L557" s="1" t="s">
        <v>96</v>
      </c>
      <c r="M557" s="1" t="s">
        <v>63</v>
      </c>
      <c r="N557" s="1" t="str">
        <f t="shared" si="8"/>
        <v>High Outlier</v>
      </c>
    </row>
    <row r="558" spans="1:14" x14ac:dyDescent="0.25">
      <c r="A558" s="1" t="s">
        <v>1292</v>
      </c>
      <c r="B558" s="1" t="s">
        <v>104</v>
      </c>
      <c r="C558" s="1" t="s">
        <v>555</v>
      </c>
      <c r="D558" s="1" t="s">
        <v>39</v>
      </c>
      <c r="E558" s="1" t="s">
        <v>17</v>
      </c>
      <c r="F558" s="1" t="s">
        <v>129</v>
      </c>
      <c r="G558" s="1">
        <v>220130</v>
      </c>
      <c r="H558" s="63">
        <v>45686</v>
      </c>
      <c r="J558" s="1"/>
      <c r="K558" s="1">
        <v>6</v>
      </c>
      <c r="L558" s="1" t="s">
        <v>20</v>
      </c>
      <c r="M558" s="1" t="s">
        <v>63</v>
      </c>
      <c r="N558" s="1" t="str">
        <f t="shared" si="8"/>
        <v>Normal</v>
      </c>
    </row>
    <row r="559" spans="1:14" x14ac:dyDescent="0.25">
      <c r="A559" s="1" t="s">
        <v>1293</v>
      </c>
      <c r="B559" s="1" t="s">
        <v>75</v>
      </c>
      <c r="C559" s="1" t="s">
        <v>237</v>
      </c>
      <c r="D559" s="1" t="s">
        <v>67</v>
      </c>
      <c r="E559" s="1" t="s">
        <v>72</v>
      </c>
      <c r="F559" s="1" t="s">
        <v>129</v>
      </c>
      <c r="G559" s="1">
        <v>223630</v>
      </c>
      <c r="H559" s="63">
        <v>45634</v>
      </c>
      <c r="J559" s="1"/>
      <c r="K559" s="1">
        <v>11.3</v>
      </c>
      <c r="L559" s="1" t="s">
        <v>20</v>
      </c>
      <c r="M559" s="1" t="s">
        <v>42</v>
      </c>
      <c r="N559" s="1" t="str">
        <f t="shared" si="8"/>
        <v>Normal</v>
      </c>
    </row>
    <row r="560" spans="1:14" x14ac:dyDescent="0.25">
      <c r="A560" s="1" t="s">
        <v>1295</v>
      </c>
      <c r="B560" s="1" t="s">
        <v>14</v>
      </c>
      <c r="C560" s="1" t="s">
        <v>775</v>
      </c>
      <c r="D560" s="1" t="s">
        <v>67</v>
      </c>
      <c r="E560" s="1" t="s">
        <v>72</v>
      </c>
      <c r="F560" s="1" t="s">
        <v>129</v>
      </c>
      <c r="G560" s="1">
        <v>165039</v>
      </c>
      <c r="H560" s="63">
        <v>45282</v>
      </c>
      <c r="J560" s="1"/>
      <c r="K560" s="1">
        <v>4.5999999999999996</v>
      </c>
      <c r="L560" s="1" t="s">
        <v>96</v>
      </c>
      <c r="M560" s="1" t="s">
        <v>21</v>
      </c>
      <c r="N560" s="1" t="str">
        <f t="shared" si="8"/>
        <v>Normal</v>
      </c>
    </row>
    <row r="561" spans="1:14" x14ac:dyDescent="0.25">
      <c r="A561" s="1" t="s">
        <v>1297</v>
      </c>
      <c r="B561" s="1" t="s">
        <v>84</v>
      </c>
      <c r="C561" s="1" t="s">
        <v>654</v>
      </c>
      <c r="D561" s="1" t="s">
        <v>25</v>
      </c>
      <c r="E561" s="1" t="s">
        <v>77</v>
      </c>
      <c r="F561" s="1" t="s">
        <v>27</v>
      </c>
      <c r="G561" s="1">
        <v>323641</v>
      </c>
      <c r="H561" s="63">
        <v>45721</v>
      </c>
      <c r="J561" s="1"/>
      <c r="K561" s="1">
        <v>8.1999999999999993</v>
      </c>
      <c r="L561" s="1" t="s">
        <v>20</v>
      </c>
      <c r="M561" s="1" t="s">
        <v>63</v>
      </c>
      <c r="N561" s="1" t="str">
        <f t="shared" si="8"/>
        <v>Normal</v>
      </c>
    </row>
    <row r="562" spans="1:14" x14ac:dyDescent="0.25">
      <c r="A562" s="1" t="s">
        <v>1298</v>
      </c>
      <c r="B562" s="1" t="s">
        <v>109</v>
      </c>
      <c r="C562" s="1" t="s">
        <v>1299</v>
      </c>
      <c r="D562" s="1" t="s">
        <v>39</v>
      </c>
      <c r="E562" s="1" t="s">
        <v>77</v>
      </c>
      <c r="F562" s="1" t="s">
        <v>53</v>
      </c>
      <c r="G562" s="1">
        <v>1419993</v>
      </c>
      <c r="H562" s="63">
        <v>45732</v>
      </c>
      <c r="J562" s="1"/>
      <c r="K562" s="1">
        <v>4.4000000000000004</v>
      </c>
      <c r="L562" s="1" t="s">
        <v>49</v>
      </c>
      <c r="M562" s="1" t="s">
        <v>63</v>
      </c>
      <c r="N562" s="1" t="str">
        <f t="shared" si="8"/>
        <v>High Outlier</v>
      </c>
    </row>
    <row r="563" spans="1:14" x14ac:dyDescent="0.25">
      <c r="A563" s="1" t="s">
        <v>1300</v>
      </c>
      <c r="B563" s="1" t="s">
        <v>127</v>
      </c>
      <c r="C563" s="1" t="s">
        <v>598</v>
      </c>
      <c r="D563" s="1" t="s">
        <v>46</v>
      </c>
      <c r="E563" s="1" t="s">
        <v>17</v>
      </c>
      <c r="F563" s="1" t="s">
        <v>40</v>
      </c>
      <c r="G563" s="1">
        <v>56862</v>
      </c>
      <c r="H563" s="63">
        <v>45566</v>
      </c>
      <c r="I563" s="63">
        <v>45694</v>
      </c>
      <c r="J563" s="1">
        <v>128</v>
      </c>
      <c r="K563" s="1">
        <v>18</v>
      </c>
      <c r="L563" s="1" t="s">
        <v>96</v>
      </c>
      <c r="M563" s="1" t="s">
        <v>42</v>
      </c>
      <c r="N563" s="1" t="str">
        <f t="shared" si="8"/>
        <v>Normal</v>
      </c>
    </row>
    <row r="564" spans="1:14" x14ac:dyDescent="0.25">
      <c r="A564" s="1" t="s">
        <v>1302</v>
      </c>
      <c r="B564" s="1" t="s">
        <v>98</v>
      </c>
      <c r="C564" s="1" t="s">
        <v>372</v>
      </c>
      <c r="D564" s="1" t="s">
        <v>16</v>
      </c>
      <c r="E564" s="1" t="s">
        <v>26</v>
      </c>
      <c r="F564" s="1" t="s">
        <v>40</v>
      </c>
      <c r="G564" s="1">
        <v>199469</v>
      </c>
      <c r="H564" s="63">
        <v>45530</v>
      </c>
      <c r="I564" s="63">
        <v>45680</v>
      </c>
      <c r="J564" s="1">
        <v>150</v>
      </c>
      <c r="K564" s="1">
        <v>6</v>
      </c>
      <c r="L564" s="1" t="s">
        <v>49</v>
      </c>
      <c r="M564" s="1" t="s">
        <v>149</v>
      </c>
      <c r="N564" s="1" t="str">
        <f t="shared" si="8"/>
        <v>Normal</v>
      </c>
    </row>
    <row r="565" spans="1:14" x14ac:dyDescent="0.25">
      <c r="A565" s="1" t="s">
        <v>1303</v>
      </c>
      <c r="B565" s="1" t="s">
        <v>4829</v>
      </c>
      <c r="C565" s="1" t="s">
        <v>135</v>
      </c>
      <c r="D565" s="1" t="s">
        <v>39</v>
      </c>
      <c r="E565" s="1" t="s">
        <v>100</v>
      </c>
      <c r="F565" s="1" t="s">
        <v>33</v>
      </c>
      <c r="G565" s="1">
        <v>222577</v>
      </c>
      <c r="H565" s="63">
        <v>45122</v>
      </c>
      <c r="J565" s="1"/>
      <c r="K565" s="1">
        <v>9</v>
      </c>
      <c r="L565" s="1" t="s">
        <v>49</v>
      </c>
      <c r="M565" s="1" t="s">
        <v>102</v>
      </c>
      <c r="N565" s="1" t="str">
        <f t="shared" si="8"/>
        <v>Normal</v>
      </c>
    </row>
    <row r="566" spans="1:14" x14ac:dyDescent="0.25">
      <c r="A566" s="1" t="s">
        <v>1305</v>
      </c>
      <c r="B566" s="1" t="s">
        <v>84</v>
      </c>
      <c r="C566" s="1" t="s">
        <v>987</v>
      </c>
      <c r="D566" s="1" t="s">
        <v>16</v>
      </c>
      <c r="E566" s="1" t="s">
        <v>94</v>
      </c>
      <c r="F566" s="1" t="s">
        <v>40</v>
      </c>
      <c r="G566" s="1">
        <v>320458</v>
      </c>
      <c r="H566" s="63">
        <v>45728</v>
      </c>
      <c r="I566" s="63">
        <v>45856</v>
      </c>
      <c r="J566" s="1">
        <v>128</v>
      </c>
      <c r="K566" s="1">
        <v>8.1</v>
      </c>
      <c r="L566" s="1" t="s">
        <v>49</v>
      </c>
      <c r="M566" s="1" t="s">
        <v>63</v>
      </c>
      <c r="N566" s="1" t="str">
        <f t="shared" si="8"/>
        <v>Normal</v>
      </c>
    </row>
    <row r="567" spans="1:14" x14ac:dyDescent="0.25">
      <c r="A567" s="1" t="s">
        <v>1307</v>
      </c>
      <c r="B567" s="1" t="s">
        <v>127</v>
      </c>
      <c r="C567" s="1" t="s">
        <v>1308</v>
      </c>
      <c r="D567" s="1" t="s">
        <v>25</v>
      </c>
      <c r="E567" s="1" t="s">
        <v>72</v>
      </c>
      <c r="F567" s="1" t="s">
        <v>129</v>
      </c>
      <c r="G567" s="1">
        <v>252748</v>
      </c>
      <c r="H567" s="63">
        <v>45019</v>
      </c>
      <c r="J567" s="1"/>
      <c r="K567" s="1"/>
      <c r="L567" s="1" t="s">
        <v>49</v>
      </c>
      <c r="M567" s="1" t="s">
        <v>30</v>
      </c>
      <c r="N567" s="1" t="str">
        <f t="shared" si="8"/>
        <v>Normal</v>
      </c>
    </row>
    <row r="568" spans="1:14" x14ac:dyDescent="0.25">
      <c r="A568" s="1" t="s">
        <v>1309</v>
      </c>
      <c r="B568" s="1" t="s">
        <v>127</v>
      </c>
      <c r="C568" s="1" t="s">
        <v>912</v>
      </c>
      <c r="D568" s="1" t="s">
        <v>16</v>
      </c>
      <c r="E568" s="1" t="s">
        <v>17</v>
      </c>
      <c r="F568" s="1" t="s">
        <v>27</v>
      </c>
      <c r="G568" s="1">
        <v>468672</v>
      </c>
      <c r="H568" s="63">
        <v>45223</v>
      </c>
      <c r="J568" s="1"/>
      <c r="K568" s="1">
        <v>0.2</v>
      </c>
      <c r="L568" s="1" t="s">
        <v>29</v>
      </c>
      <c r="M568" s="1" t="s">
        <v>21</v>
      </c>
      <c r="N568" s="1" t="str">
        <f t="shared" si="8"/>
        <v>Normal</v>
      </c>
    </row>
    <row r="569" spans="1:14" x14ac:dyDescent="0.25">
      <c r="A569" s="1" t="s">
        <v>1311</v>
      </c>
      <c r="B569" s="1" t="s">
        <v>65</v>
      </c>
      <c r="C569" s="1" t="s">
        <v>1151</v>
      </c>
      <c r="D569" s="1" t="s">
        <v>90</v>
      </c>
      <c r="E569" s="1" t="s">
        <v>100</v>
      </c>
      <c r="F569" s="1" t="s">
        <v>33</v>
      </c>
      <c r="G569" s="1">
        <v>365115</v>
      </c>
      <c r="H569" s="63">
        <v>45526</v>
      </c>
      <c r="J569" s="1"/>
      <c r="K569" s="1">
        <v>8.4</v>
      </c>
      <c r="L569" s="1" t="s">
        <v>20</v>
      </c>
      <c r="M569" s="1" t="s">
        <v>149</v>
      </c>
      <c r="N569" s="1" t="str">
        <f t="shared" si="8"/>
        <v>Normal</v>
      </c>
    </row>
    <row r="570" spans="1:14" x14ac:dyDescent="0.25">
      <c r="A570" s="1" t="s">
        <v>1312</v>
      </c>
      <c r="B570" s="1" t="s">
        <v>23</v>
      </c>
      <c r="C570" s="1" t="s">
        <v>917</v>
      </c>
      <c r="D570" s="1" t="s">
        <v>46</v>
      </c>
      <c r="E570" s="1" t="s">
        <v>72</v>
      </c>
      <c r="F570" s="1" t="s">
        <v>33</v>
      </c>
      <c r="G570" s="1">
        <v>103014</v>
      </c>
      <c r="H570" s="63">
        <v>45185</v>
      </c>
      <c r="J570" s="1"/>
      <c r="K570" s="1"/>
      <c r="L570" s="1" t="s">
        <v>20</v>
      </c>
      <c r="M570" s="1" t="s">
        <v>102</v>
      </c>
      <c r="N570" s="1" t="str">
        <f t="shared" si="8"/>
        <v>Normal</v>
      </c>
    </row>
    <row r="571" spans="1:14" x14ac:dyDescent="0.25">
      <c r="A571" s="1" t="s">
        <v>1313</v>
      </c>
      <c r="B571" s="1" t="s">
        <v>98</v>
      </c>
      <c r="C571" s="1" t="s">
        <v>1072</v>
      </c>
      <c r="D571" s="1" t="s">
        <v>25</v>
      </c>
      <c r="E571" s="1" t="s">
        <v>17</v>
      </c>
      <c r="F571" s="1" t="s">
        <v>53</v>
      </c>
      <c r="G571" s="1">
        <v>72254</v>
      </c>
      <c r="H571" s="63">
        <v>45667</v>
      </c>
      <c r="J571" s="1"/>
      <c r="K571" s="1">
        <v>12.5</v>
      </c>
      <c r="L571" s="1" t="s">
        <v>96</v>
      </c>
      <c r="M571" s="1" t="s">
        <v>63</v>
      </c>
      <c r="N571" s="1" t="str">
        <f t="shared" si="8"/>
        <v>Normal</v>
      </c>
    </row>
    <row r="572" spans="1:14" x14ac:dyDescent="0.25">
      <c r="A572" s="1" t="s">
        <v>1314</v>
      </c>
      <c r="B572" s="1" t="s">
        <v>127</v>
      </c>
      <c r="C572" s="1" t="s">
        <v>1204</v>
      </c>
      <c r="D572" s="1" t="s">
        <v>16</v>
      </c>
      <c r="E572" s="1" t="s">
        <v>26</v>
      </c>
      <c r="F572" s="1" t="s">
        <v>33</v>
      </c>
      <c r="G572" s="1">
        <v>385572</v>
      </c>
      <c r="H572" s="63">
        <v>45480</v>
      </c>
      <c r="J572" s="1"/>
      <c r="K572" s="1">
        <v>0.1</v>
      </c>
      <c r="L572" s="1" t="s">
        <v>96</v>
      </c>
      <c r="M572" s="1" t="s">
        <v>149</v>
      </c>
      <c r="N572" s="1" t="str">
        <f t="shared" si="8"/>
        <v>Normal</v>
      </c>
    </row>
    <row r="573" spans="1:14" x14ac:dyDescent="0.25">
      <c r="A573" s="1" t="s">
        <v>1316</v>
      </c>
      <c r="B573" s="1" t="s">
        <v>75</v>
      </c>
      <c r="C573" s="1" t="s">
        <v>420</v>
      </c>
      <c r="D573" s="1" t="s">
        <v>16</v>
      </c>
      <c r="E573" s="1" t="s">
        <v>77</v>
      </c>
      <c r="F573" s="1" t="s">
        <v>33</v>
      </c>
      <c r="G573" s="1">
        <v>374713</v>
      </c>
      <c r="H573" s="63">
        <v>45022</v>
      </c>
      <c r="J573" s="1"/>
      <c r="K573" s="1">
        <v>1.4</v>
      </c>
      <c r="L573" s="1" t="s">
        <v>20</v>
      </c>
      <c r="M573" s="1" t="s">
        <v>30</v>
      </c>
      <c r="N573" s="1" t="str">
        <f t="shared" si="8"/>
        <v>Normal</v>
      </c>
    </row>
    <row r="574" spans="1:14" x14ac:dyDescent="0.25">
      <c r="A574" s="1" t="s">
        <v>1318</v>
      </c>
      <c r="B574" s="1" t="s">
        <v>59</v>
      </c>
      <c r="C574" s="1" t="s">
        <v>598</v>
      </c>
      <c r="D574" s="1" t="s">
        <v>16</v>
      </c>
      <c r="E574" s="1" t="s">
        <v>77</v>
      </c>
      <c r="F574" s="1" t="s">
        <v>40</v>
      </c>
      <c r="G574" s="1">
        <v>325072</v>
      </c>
      <c r="H574" s="63">
        <v>45626</v>
      </c>
      <c r="I574" s="63">
        <v>45737</v>
      </c>
      <c r="J574" s="1">
        <v>111</v>
      </c>
      <c r="K574" s="1">
        <v>10.1</v>
      </c>
      <c r="L574" s="1" t="s">
        <v>29</v>
      </c>
      <c r="M574" s="1" t="s">
        <v>42</v>
      </c>
      <c r="N574" s="1" t="str">
        <f t="shared" si="8"/>
        <v>Normal</v>
      </c>
    </row>
    <row r="575" spans="1:14" x14ac:dyDescent="0.25">
      <c r="A575" s="1" t="s">
        <v>1320</v>
      </c>
      <c r="B575" s="1" t="s">
        <v>127</v>
      </c>
      <c r="C575" s="1" t="s">
        <v>622</v>
      </c>
      <c r="D575" s="1" t="s">
        <v>25</v>
      </c>
      <c r="E575" s="1" t="s">
        <v>94</v>
      </c>
      <c r="F575" s="1" t="s">
        <v>40</v>
      </c>
      <c r="G575" s="1">
        <v>471884</v>
      </c>
      <c r="H575" s="63">
        <v>44964</v>
      </c>
      <c r="I575" s="63">
        <v>45116</v>
      </c>
      <c r="J575" s="1">
        <v>152</v>
      </c>
      <c r="K575" s="1">
        <v>18.100000000000001</v>
      </c>
      <c r="L575" s="1" t="s">
        <v>29</v>
      </c>
      <c r="M575" s="1" t="s">
        <v>35</v>
      </c>
      <c r="N575" s="1" t="str">
        <f t="shared" si="8"/>
        <v>Normal</v>
      </c>
    </row>
    <row r="576" spans="1:14" x14ac:dyDescent="0.25">
      <c r="A576" s="1" t="s">
        <v>1321</v>
      </c>
      <c r="B576" s="1" t="s">
        <v>75</v>
      </c>
      <c r="C576" s="1" t="s">
        <v>650</v>
      </c>
      <c r="D576" s="1" t="s">
        <v>39</v>
      </c>
      <c r="E576" s="1" t="s">
        <v>72</v>
      </c>
      <c r="F576" s="1" t="s">
        <v>53</v>
      </c>
      <c r="G576" s="1">
        <v>25981</v>
      </c>
      <c r="H576" s="63">
        <v>45037</v>
      </c>
      <c r="J576" s="1"/>
      <c r="K576" s="1">
        <v>14.6</v>
      </c>
      <c r="L576" s="1" t="s">
        <v>20</v>
      </c>
      <c r="M576" s="1" t="s">
        <v>30</v>
      </c>
      <c r="N576" s="1" t="str">
        <f t="shared" si="8"/>
        <v>Normal</v>
      </c>
    </row>
    <row r="577" spans="1:14" x14ac:dyDescent="0.25">
      <c r="A577" s="1" t="s">
        <v>1322</v>
      </c>
      <c r="B577" s="1" t="s">
        <v>37</v>
      </c>
      <c r="C577" s="1" t="s">
        <v>334</v>
      </c>
      <c r="D577" s="1" t="s">
        <v>46</v>
      </c>
      <c r="E577" s="1" t="s">
        <v>61</v>
      </c>
      <c r="F577" s="1" t="s">
        <v>18</v>
      </c>
      <c r="G577" s="1">
        <v>198107</v>
      </c>
      <c r="H577" s="63">
        <v>45292</v>
      </c>
      <c r="I577" s="63">
        <v>45347</v>
      </c>
      <c r="J577" s="1">
        <v>55</v>
      </c>
      <c r="K577" s="1">
        <v>12.9</v>
      </c>
      <c r="L577" s="1" t="s">
        <v>96</v>
      </c>
      <c r="M577" s="1" t="s">
        <v>69</v>
      </c>
      <c r="N577" s="1" t="str">
        <f t="shared" si="8"/>
        <v>Normal</v>
      </c>
    </row>
    <row r="578" spans="1:14" x14ac:dyDescent="0.25">
      <c r="A578" s="1" t="s">
        <v>1324</v>
      </c>
      <c r="B578" s="1" t="s">
        <v>37</v>
      </c>
      <c r="C578" s="1" t="s">
        <v>346</v>
      </c>
      <c r="D578" s="1" t="s">
        <v>67</v>
      </c>
      <c r="E578" s="1" t="s">
        <v>100</v>
      </c>
      <c r="F578" s="1" t="s">
        <v>33</v>
      </c>
      <c r="G578" s="1">
        <v>446198</v>
      </c>
      <c r="H578" s="63">
        <v>45733</v>
      </c>
      <c r="J578" s="1"/>
      <c r="K578" s="1">
        <v>7</v>
      </c>
      <c r="L578" s="1" t="s">
        <v>96</v>
      </c>
      <c r="M578" s="1" t="s">
        <v>63</v>
      </c>
      <c r="N578" s="1" t="str">
        <f t="shared" ref="N578:N641" si="9">IF(G578&gt;$R$5,"High Outlier",IF(G578&lt;$R$6,"Low Outlier","Normal"))</f>
        <v>Normal</v>
      </c>
    </row>
    <row r="579" spans="1:14" x14ac:dyDescent="0.25">
      <c r="A579" s="1" t="s">
        <v>1326</v>
      </c>
      <c r="B579" s="1" t="s">
        <v>14</v>
      </c>
      <c r="C579" s="1" t="s">
        <v>76</v>
      </c>
      <c r="D579" s="1" t="s">
        <v>16</v>
      </c>
      <c r="E579" s="1" t="s">
        <v>47</v>
      </c>
      <c r="F579" s="1" t="s">
        <v>33</v>
      </c>
      <c r="G579" s="1">
        <v>197213</v>
      </c>
      <c r="H579" s="63">
        <v>45265</v>
      </c>
      <c r="J579" s="1"/>
      <c r="K579" s="1"/>
      <c r="L579" s="1" t="s">
        <v>49</v>
      </c>
      <c r="M579" s="1" t="s">
        <v>21</v>
      </c>
      <c r="N579" s="1" t="str">
        <f t="shared" si="9"/>
        <v>Normal</v>
      </c>
    </row>
    <row r="580" spans="1:14" x14ac:dyDescent="0.25">
      <c r="A580" s="1" t="s">
        <v>1327</v>
      </c>
      <c r="B580" s="1" t="s">
        <v>65</v>
      </c>
      <c r="C580" s="1" t="s">
        <v>420</v>
      </c>
      <c r="D580" s="1" t="s">
        <v>90</v>
      </c>
      <c r="E580" s="1" t="s">
        <v>61</v>
      </c>
      <c r="F580" s="1" t="s">
        <v>33</v>
      </c>
      <c r="G580" s="1">
        <v>255162</v>
      </c>
      <c r="H580" s="63">
        <v>45455</v>
      </c>
      <c r="J580" s="1"/>
      <c r="K580" s="1">
        <v>6.5</v>
      </c>
      <c r="L580" s="1" t="s">
        <v>96</v>
      </c>
      <c r="M580" s="1" t="s">
        <v>107</v>
      </c>
      <c r="N580" s="1" t="str">
        <f t="shared" si="9"/>
        <v>Normal</v>
      </c>
    </row>
    <row r="581" spans="1:14" x14ac:dyDescent="0.25">
      <c r="A581" s="1" t="s">
        <v>1329</v>
      </c>
      <c r="B581" s="1" t="s">
        <v>4829</v>
      </c>
      <c r="C581" s="1" t="s">
        <v>1050</v>
      </c>
      <c r="D581" s="1" t="s">
        <v>46</v>
      </c>
      <c r="E581" s="1" t="s">
        <v>100</v>
      </c>
      <c r="F581" s="1" t="s">
        <v>129</v>
      </c>
      <c r="G581" s="1">
        <v>363231</v>
      </c>
      <c r="H581" s="63">
        <v>45489</v>
      </c>
      <c r="J581" s="1"/>
      <c r="K581" s="1">
        <v>5.5</v>
      </c>
      <c r="L581" s="1" t="s">
        <v>96</v>
      </c>
      <c r="M581" s="1" t="s">
        <v>149</v>
      </c>
      <c r="N581" s="1" t="str">
        <f t="shared" si="9"/>
        <v>Normal</v>
      </c>
    </row>
    <row r="582" spans="1:14" x14ac:dyDescent="0.25">
      <c r="A582" s="1" t="s">
        <v>1330</v>
      </c>
      <c r="B582" s="1" t="s">
        <v>88</v>
      </c>
      <c r="C582" s="1" t="s">
        <v>227</v>
      </c>
      <c r="D582" s="1" t="s">
        <v>25</v>
      </c>
      <c r="E582" s="1" t="s">
        <v>100</v>
      </c>
      <c r="F582" s="1" t="s">
        <v>40</v>
      </c>
      <c r="G582" s="1">
        <v>116637</v>
      </c>
      <c r="H582" s="63">
        <v>45387</v>
      </c>
      <c r="I582" s="63">
        <v>45475</v>
      </c>
      <c r="J582" s="1">
        <v>88</v>
      </c>
      <c r="K582" s="1">
        <v>24.9</v>
      </c>
      <c r="L582" s="1" t="s">
        <v>29</v>
      </c>
      <c r="M582" s="1" t="s">
        <v>107</v>
      </c>
      <c r="N582" s="1" t="str">
        <f t="shared" si="9"/>
        <v>Normal</v>
      </c>
    </row>
    <row r="583" spans="1:14" x14ac:dyDescent="0.25">
      <c r="A583" s="1" t="s">
        <v>1331</v>
      </c>
      <c r="B583" s="1" t="s">
        <v>98</v>
      </c>
      <c r="C583" s="1" t="s">
        <v>295</v>
      </c>
      <c r="D583" s="1" t="s">
        <v>16</v>
      </c>
      <c r="E583" s="1" t="s">
        <v>77</v>
      </c>
      <c r="F583" s="1" t="s">
        <v>53</v>
      </c>
      <c r="G583" s="1">
        <v>96840</v>
      </c>
      <c r="H583" s="63">
        <v>45560</v>
      </c>
      <c r="J583" s="1"/>
      <c r="K583" s="1">
        <v>3.4</v>
      </c>
      <c r="L583" s="1" t="s">
        <v>29</v>
      </c>
      <c r="M583" s="1" t="s">
        <v>149</v>
      </c>
      <c r="N583" s="1" t="str">
        <f t="shared" si="9"/>
        <v>Normal</v>
      </c>
    </row>
    <row r="584" spans="1:14" x14ac:dyDescent="0.25">
      <c r="A584" s="1" t="s">
        <v>1333</v>
      </c>
      <c r="B584" s="1" t="s">
        <v>127</v>
      </c>
      <c r="C584" s="1" t="s">
        <v>1334</v>
      </c>
      <c r="D584" s="1" t="s">
        <v>16</v>
      </c>
      <c r="E584" s="1" t="s">
        <v>77</v>
      </c>
      <c r="F584" s="1" t="s">
        <v>33</v>
      </c>
      <c r="G584" s="1">
        <v>478947</v>
      </c>
      <c r="H584" s="63">
        <v>45518</v>
      </c>
      <c r="J584" s="1"/>
      <c r="K584" s="1"/>
      <c r="L584" s="1" t="s">
        <v>20</v>
      </c>
      <c r="M584" s="1" t="s">
        <v>149</v>
      </c>
      <c r="N584" s="1" t="str">
        <f t="shared" si="9"/>
        <v>Normal</v>
      </c>
    </row>
    <row r="585" spans="1:14" x14ac:dyDescent="0.25">
      <c r="A585" s="1" t="s">
        <v>1336</v>
      </c>
      <c r="B585" s="1" t="s">
        <v>75</v>
      </c>
      <c r="C585" s="1" t="s">
        <v>932</v>
      </c>
      <c r="D585" s="1" t="s">
        <v>39</v>
      </c>
      <c r="E585" s="1" t="s">
        <v>100</v>
      </c>
      <c r="F585" s="1" t="s">
        <v>129</v>
      </c>
      <c r="G585" s="1">
        <v>251317</v>
      </c>
      <c r="H585" s="63">
        <v>45301</v>
      </c>
      <c r="J585" s="1"/>
      <c r="K585" s="1"/>
      <c r="L585" s="1" t="s">
        <v>49</v>
      </c>
      <c r="M585" s="1" t="s">
        <v>69</v>
      </c>
      <c r="N585" s="1" t="str">
        <f t="shared" si="9"/>
        <v>Normal</v>
      </c>
    </row>
    <row r="586" spans="1:14" x14ac:dyDescent="0.25">
      <c r="A586" s="1" t="s">
        <v>1338</v>
      </c>
      <c r="B586" s="1" t="s">
        <v>84</v>
      </c>
      <c r="C586" s="1" t="s">
        <v>1339</v>
      </c>
      <c r="D586" s="1" t="s">
        <v>39</v>
      </c>
      <c r="E586" s="1" t="s">
        <v>47</v>
      </c>
      <c r="F586" s="1" t="s">
        <v>40</v>
      </c>
      <c r="G586" s="1">
        <v>99042</v>
      </c>
      <c r="H586" s="63">
        <v>45082</v>
      </c>
      <c r="I586" s="63">
        <v>45105</v>
      </c>
      <c r="J586" s="1">
        <v>23</v>
      </c>
      <c r="K586" s="1">
        <v>8.4</v>
      </c>
      <c r="L586" s="1" t="s">
        <v>29</v>
      </c>
      <c r="M586" s="1" t="s">
        <v>30</v>
      </c>
      <c r="N586" s="1" t="str">
        <f t="shared" si="9"/>
        <v>Normal</v>
      </c>
    </row>
    <row r="587" spans="1:14" x14ac:dyDescent="0.25">
      <c r="A587" s="1" t="s">
        <v>1340</v>
      </c>
      <c r="B587" s="1" t="s">
        <v>98</v>
      </c>
      <c r="C587" s="1" t="s">
        <v>564</v>
      </c>
      <c r="D587" s="1" t="s">
        <v>46</v>
      </c>
      <c r="E587" s="1" t="s">
        <v>61</v>
      </c>
      <c r="F587" s="1" t="s">
        <v>40</v>
      </c>
      <c r="G587" s="1">
        <v>307976</v>
      </c>
      <c r="H587" s="63">
        <v>44979</v>
      </c>
      <c r="I587" s="63">
        <v>45115</v>
      </c>
      <c r="J587" s="1">
        <v>136</v>
      </c>
      <c r="K587" s="1">
        <v>21</v>
      </c>
      <c r="L587" s="1" t="s">
        <v>20</v>
      </c>
      <c r="M587" s="1" t="s">
        <v>35</v>
      </c>
      <c r="N587" s="1" t="str">
        <f t="shared" si="9"/>
        <v>Normal</v>
      </c>
    </row>
    <row r="588" spans="1:14" x14ac:dyDescent="0.25">
      <c r="A588" s="1" t="s">
        <v>1342</v>
      </c>
      <c r="B588" s="1" t="s">
        <v>88</v>
      </c>
      <c r="C588" s="1" t="s">
        <v>831</v>
      </c>
      <c r="D588" s="1" t="s">
        <v>46</v>
      </c>
      <c r="E588" s="1" t="s">
        <v>17</v>
      </c>
      <c r="F588" s="1" t="s">
        <v>33</v>
      </c>
      <c r="G588" s="1">
        <v>336120</v>
      </c>
      <c r="H588" s="63">
        <v>45329</v>
      </c>
      <c r="J588" s="1"/>
      <c r="K588" s="1"/>
      <c r="L588" s="1" t="s">
        <v>20</v>
      </c>
      <c r="M588" s="1" t="s">
        <v>69</v>
      </c>
      <c r="N588" s="1" t="str">
        <f t="shared" si="9"/>
        <v>Normal</v>
      </c>
    </row>
    <row r="589" spans="1:14" x14ac:dyDescent="0.25">
      <c r="A589" s="1" t="s">
        <v>1343</v>
      </c>
      <c r="B589" s="1" t="s">
        <v>65</v>
      </c>
      <c r="C589" s="1" t="s">
        <v>71</v>
      </c>
      <c r="D589" s="1" t="s">
        <v>67</v>
      </c>
      <c r="E589" s="1" t="s">
        <v>72</v>
      </c>
      <c r="F589" s="1" t="s">
        <v>33</v>
      </c>
      <c r="G589" s="1">
        <v>331117</v>
      </c>
      <c r="H589" s="63">
        <v>45131</v>
      </c>
      <c r="J589" s="1"/>
      <c r="K589" s="1">
        <v>7.7</v>
      </c>
      <c r="L589" s="1" t="s">
        <v>96</v>
      </c>
      <c r="M589" s="1" t="s">
        <v>102</v>
      </c>
      <c r="N589" s="1" t="str">
        <f t="shared" si="9"/>
        <v>Normal</v>
      </c>
    </row>
    <row r="590" spans="1:14" x14ac:dyDescent="0.25">
      <c r="A590" s="1" t="s">
        <v>1345</v>
      </c>
      <c r="B590" s="1" t="s">
        <v>75</v>
      </c>
      <c r="C590" s="1" t="s">
        <v>874</v>
      </c>
      <c r="D590" s="1" t="s">
        <v>46</v>
      </c>
      <c r="E590" s="1" t="s">
        <v>77</v>
      </c>
      <c r="F590" s="1" t="s">
        <v>53</v>
      </c>
      <c r="G590" s="1">
        <v>89773</v>
      </c>
      <c r="H590" s="63">
        <v>45707</v>
      </c>
      <c r="J590" s="1"/>
      <c r="K590" s="1">
        <v>12</v>
      </c>
      <c r="L590" s="1" t="s">
        <v>20</v>
      </c>
      <c r="M590" s="1" t="s">
        <v>63</v>
      </c>
      <c r="N590" s="1" t="str">
        <f t="shared" si="9"/>
        <v>Normal</v>
      </c>
    </row>
    <row r="591" spans="1:14" x14ac:dyDescent="0.25">
      <c r="A591" s="1" t="s">
        <v>1346</v>
      </c>
      <c r="B591" s="1" t="s">
        <v>88</v>
      </c>
      <c r="C591" s="1" t="s">
        <v>521</v>
      </c>
      <c r="D591" s="1" t="s">
        <v>39</v>
      </c>
      <c r="E591" s="1" t="s">
        <v>47</v>
      </c>
      <c r="F591" s="1" t="s">
        <v>40</v>
      </c>
      <c r="G591" s="1">
        <v>310047</v>
      </c>
      <c r="H591" s="63">
        <v>45609</v>
      </c>
      <c r="I591" s="63">
        <v>45683</v>
      </c>
      <c r="J591" s="1">
        <v>74</v>
      </c>
      <c r="K591" s="1">
        <v>4.5</v>
      </c>
      <c r="L591" s="1" t="s">
        <v>96</v>
      </c>
      <c r="M591" s="1" t="s">
        <v>42</v>
      </c>
      <c r="N591" s="1" t="str">
        <f t="shared" si="9"/>
        <v>Normal</v>
      </c>
    </row>
    <row r="592" spans="1:14" x14ac:dyDescent="0.25">
      <c r="A592" s="1" t="s">
        <v>1348</v>
      </c>
      <c r="B592" s="1" t="s">
        <v>80</v>
      </c>
      <c r="C592" s="1" t="s">
        <v>244</v>
      </c>
      <c r="D592" s="1" t="s">
        <v>90</v>
      </c>
      <c r="E592" s="1" t="s">
        <v>61</v>
      </c>
      <c r="F592" s="1" t="s">
        <v>18</v>
      </c>
      <c r="G592" s="1">
        <v>1744701</v>
      </c>
      <c r="H592" s="63">
        <v>45138</v>
      </c>
      <c r="I592" s="63">
        <v>45183</v>
      </c>
      <c r="J592" s="1">
        <v>45</v>
      </c>
      <c r="K592" s="1">
        <v>11</v>
      </c>
      <c r="L592" s="1" t="s">
        <v>29</v>
      </c>
      <c r="M592" s="1" t="s">
        <v>102</v>
      </c>
      <c r="N592" s="1" t="str">
        <f t="shared" si="9"/>
        <v>High Outlier</v>
      </c>
    </row>
    <row r="593" spans="1:14" x14ac:dyDescent="0.25">
      <c r="A593" s="1" t="s">
        <v>1349</v>
      </c>
      <c r="B593" s="1" t="s">
        <v>44</v>
      </c>
      <c r="C593" s="1" t="s">
        <v>892</v>
      </c>
      <c r="D593" s="1" t="s">
        <v>39</v>
      </c>
      <c r="E593" s="1" t="s">
        <v>4845</v>
      </c>
      <c r="F593" s="1" t="s">
        <v>129</v>
      </c>
      <c r="G593" s="1">
        <v>20695</v>
      </c>
      <c r="H593" s="63">
        <v>44989</v>
      </c>
      <c r="J593" s="1"/>
      <c r="K593" s="1"/>
      <c r="L593" s="1" t="s">
        <v>49</v>
      </c>
      <c r="M593" s="1" t="s">
        <v>35</v>
      </c>
      <c r="N593" s="1" t="str">
        <f t="shared" si="9"/>
        <v>Normal</v>
      </c>
    </row>
    <row r="594" spans="1:14" x14ac:dyDescent="0.25">
      <c r="A594" s="1" t="s">
        <v>1350</v>
      </c>
      <c r="B594" s="1" t="s">
        <v>37</v>
      </c>
      <c r="C594" s="1" t="s">
        <v>110</v>
      </c>
      <c r="D594" s="1" t="s">
        <v>16</v>
      </c>
      <c r="E594" s="1" t="s">
        <v>72</v>
      </c>
      <c r="F594" s="1" t="s">
        <v>33</v>
      </c>
      <c r="G594" s="1">
        <v>390228</v>
      </c>
      <c r="H594" s="63">
        <v>45523</v>
      </c>
      <c r="J594" s="1"/>
      <c r="K594" s="1">
        <v>1</v>
      </c>
      <c r="L594" s="1" t="s">
        <v>49</v>
      </c>
      <c r="M594" s="1" t="s">
        <v>149</v>
      </c>
      <c r="N594" s="1" t="str">
        <f t="shared" si="9"/>
        <v>Normal</v>
      </c>
    </row>
    <row r="595" spans="1:14" x14ac:dyDescent="0.25">
      <c r="A595" s="1" t="s">
        <v>1351</v>
      </c>
      <c r="B595" s="1" t="s">
        <v>23</v>
      </c>
      <c r="C595" s="1" t="s">
        <v>1352</v>
      </c>
      <c r="D595" s="1" t="s">
        <v>39</v>
      </c>
      <c r="E595" s="1" t="s">
        <v>61</v>
      </c>
      <c r="F595" s="1" t="s">
        <v>18</v>
      </c>
      <c r="G595" s="1">
        <v>211674</v>
      </c>
      <c r="H595" s="63">
        <v>45156</v>
      </c>
      <c r="I595" s="63">
        <v>45223</v>
      </c>
      <c r="J595" s="1">
        <v>67</v>
      </c>
      <c r="K595" s="1">
        <v>9.9</v>
      </c>
      <c r="L595" s="1" t="s">
        <v>49</v>
      </c>
      <c r="M595" s="1" t="s">
        <v>102</v>
      </c>
      <c r="N595" s="1" t="str">
        <f t="shared" si="9"/>
        <v>Normal</v>
      </c>
    </row>
    <row r="596" spans="1:14" x14ac:dyDescent="0.25">
      <c r="A596" s="1" t="s">
        <v>1353</v>
      </c>
      <c r="B596" s="1" t="s">
        <v>98</v>
      </c>
      <c r="C596" s="1" t="s">
        <v>1354</v>
      </c>
      <c r="D596" s="1" t="s">
        <v>25</v>
      </c>
      <c r="E596" s="1" t="s">
        <v>47</v>
      </c>
      <c r="F596" s="1" t="s">
        <v>129</v>
      </c>
      <c r="G596" s="1">
        <v>24372</v>
      </c>
      <c r="H596" s="63">
        <v>44970</v>
      </c>
      <c r="J596" s="1"/>
      <c r="K596" s="1">
        <v>3.4</v>
      </c>
      <c r="L596" s="1" t="s">
        <v>29</v>
      </c>
      <c r="M596" s="1" t="s">
        <v>35</v>
      </c>
      <c r="N596" s="1" t="str">
        <f t="shared" si="9"/>
        <v>Normal</v>
      </c>
    </row>
    <row r="597" spans="1:14" x14ac:dyDescent="0.25">
      <c r="A597" s="1" t="s">
        <v>1356</v>
      </c>
      <c r="B597" s="1" t="s">
        <v>98</v>
      </c>
      <c r="C597" s="1" t="s">
        <v>430</v>
      </c>
      <c r="D597" s="1" t="s">
        <v>67</v>
      </c>
      <c r="E597" s="1" t="s">
        <v>94</v>
      </c>
      <c r="F597" s="1" t="s">
        <v>27</v>
      </c>
      <c r="G597" s="1">
        <v>224675</v>
      </c>
      <c r="H597" s="63">
        <v>45206</v>
      </c>
      <c r="J597" s="1"/>
      <c r="K597" s="1">
        <v>6.2</v>
      </c>
      <c r="L597" s="1" t="s">
        <v>29</v>
      </c>
      <c r="M597" s="1" t="s">
        <v>21</v>
      </c>
      <c r="N597" s="1" t="str">
        <f t="shared" si="9"/>
        <v>Normal</v>
      </c>
    </row>
    <row r="598" spans="1:14" x14ac:dyDescent="0.25">
      <c r="A598" s="1" t="s">
        <v>1358</v>
      </c>
      <c r="B598" s="1" t="s">
        <v>59</v>
      </c>
      <c r="C598" s="1" t="s">
        <v>892</v>
      </c>
      <c r="D598" s="1" t="s">
        <v>25</v>
      </c>
      <c r="E598" s="1" t="s">
        <v>17</v>
      </c>
      <c r="F598" s="1" t="s">
        <v>129</v>
      </c>
      <c r="G598" s="1">
        <v>230842</v>
      </c>
      <c r="H598" s="63">
        <v>45424</v>
      </c>
      <c r="J598" s="1"/>
      <c r="K598" s="1">
        <v>12.1</v>
      </c>
      <c r="L598" s="1" t="s">
        <v>29</v>
      </c>
      <c r="M598" s="1" t="s">
        <v>107</v>
      </c>
      <c r="N598" s="1" t="str">
        <f t="shared" si="9"/>
        <v>Normal</v>
      </c>
    </row>
    <row r="599" spans="1:14" x14ac:dyDescent="0.25">
      <c r="A599" s="1" t="s">
        <v>1360</v>
      </c>
      <c r="B599" s="1" t="s">
        <v>98</v>
      </c>
      <c r="C599" s="1" t="s">
        <v>972</v>
      </c>
      <c r="D599" s="1" t="s">
        <v>46</v>
      </c>
      <c r="E599" s="1" t="s">
        <v>61</v>
      </c>
      <c r="F599" s="1" t="s">
        <v>40</v>
      </c>
      <c r="G599" s="1">
        <v>128695</v>
      </c>
      <c r="H599" s="63">
        <v>45473</v>
      </c>
      <c r="I599" s="63">
        <v>45653</v>
      </c>
      <c r="J599" s="1">
        <v>180</v>
      </c>
      <c r="K599" s="1">
        <v>7.4</v>
      </c>
      <c r="L599" s="1" t="s">
        <v>49</v>
      </c>
      <c r="M599" s="1" t="s">
        <v>107</v>
      </c>
      <c r="N599" s="1" t="str">
        <f t="shared" si="9"/>
        <v>Normal</v>
      </c>
    </row>
    <row r="600" spans="1:14" x14ac:dyDescent="0.25">
      <c r="A600" s="1" t="s">
        <v>1361</v>
      </c>
      <c r="B600" s="1" t="s">
        <v>75</v>
      </c>
      <c r="C600" s="1" t="s">
        <v>906</v>
      </c>
      <c r="D600" s="1" t="s">
        <v>46</v>
      </c>
      <c r="E600" s="1" t="s">
        <v>94</v>
      </c>
      <c r="F600" s="1" t="s">
        <v>40</v>
      </c>
      <c r="G600" s="1">
        <v>348203</v>
      </c>
      <c r="H600" s="63">
        <v>45310</v>
      </c>
      <c r="I600" s="63">
        <v>45452</v>
      </c>
      <c r="J600" s="1">
        <v>142</v>
      </c>
      <c r="K600" s="1">
        <v>4.5</v>
      </c>
      <c r="L600" s="1" t="s">
        <v>49</v>
      </c>
      <c r="M600" s="1" t="s">
        <v>69</v>
      </c>
      <c r="N600" s="1" t="str">
        <f t="shared" si="9"/>
        <v>Normal</v>
      </c>
    </row>
    <row r="601" spans="1:14" x14ac:dyDescent="0.25">
      <c r="A601" s="1" t="s">
        <v>1363</v>
      </c>
      <c r="B601" s="1" t="s">
        <v>98</v>
      </c>
      <c r="C601" s="1" t="s">
        <v>1364</v>
      </c>
      <c r="D601" s="1" t="s">
        <v>25</v>
      </c>
      <c r="E601" s="1" t="s">
        <v>77</v>
      </c>
      <c r="F601" s="1" t="s">
        <v>33</v>
      </c>
      <c r="G601" s="1">
        <v>327507</v>
      </c>
      <c r="H601" s="63">
        <v>45680</v>
      </c>
      <c r="J601" s="1"/>
      <c r="K601" s="1">
        <v>9.1</v>
      </c>
      <c r="L601" s="1" t="s">
        <v>96</v>
      </c>
      <c r="M601" s="1" t="s">
        <v>63</v>
      </c>
      <c r="N601" s="1" t="str">
        <f t="shared" si="9"/>
        <v>Normal</v>
      </c>
    </row>
    <row r="602" spans="1:14" x14ac:dyDescent="0.25">
      <c r="A602" s="1" t="s">
        <v>1366</v>
      </c>
      <c r="B602" s="1" t="s">
        <v>80</v>
      </c>
      <c r="C602" s="1" t="s">
        <v>596</v>
      </c>
      <c r="D602" s="1" t="s">
        <v>16</v>
      </c>
      <c r="E602" s="1" t="s">
        <v>17</v>
      </c>
      <c r="F602" s="1" t="s">
        <v>129</v>
      </c>
      <c r="G602" s="1">
        <v>468580</v>
      </c>
      <c r="H602" s="63">
        <v>45100</v>
      </c>
      <c r="J602" s="1"/>
      <c r="K602" s="1"/>
      <c r="L602" s="1" t="s">
        <v>96</v>
      </c>
      <c r="M602" s="1" t="s">
        <v>30</v>
      </c>
      <c r="N602" s="1" t="str">
        <f t="shared" si="9"/>
        <v>Normal</v>
      </c>
    </row>
    <row r="603" spans="1:14" x14ac:dyDescent="0.25">
      <c r="A603" s="1" t="s">
        <v>1368</v>
      </c>
      <c r="B603" s="1" t="s">
        <v>44</v>
      </c>
      <c r="C603" s="1" t="s">
        <v>747</v>
      </c>
      <c r="D603" s="1" t="s">
        <v>46</v>
      </c>
      <c r="E603" s="1" t="s">
        <v>94</v>
      </c>
      <c r="F603" s="1" t="s">
        <v>129</v>
      </c>
      <c r="G603" s="1">
        <v>226296</v>
      </c>
      <c r="H603" s="63">
        <v>45033</v>
      </c>
      <c r="J603" s="1"/>
      <c r="K603" s="1"/>
      <c r="L603" s="1" t="s">
        <v>96</v>
      </c>
      <c r="M603" s="1" t="s">
        <v>30</v>
      </c>
      <c r="N603" s="1" t="str">
        <f t="shared" si="9"/>
        <v>Normal</v>
      </c>
    </row>
    <row r="604" spans="1:14" x14ac:dyDescent="0.25">
      <c r="A604" s="1" t="s">
        <v>1369</v>
      </c>
      <c r="B604" s="1" t="s">
        <v>88</v>
      </c>
      <c r="C604" s="1" t="s">
        <v>957</v>
      </c>
      <c r="D604" s="1" t="s">
        <v>16</v>
      </c>
      <c r="E604" s="1" t="s">
        <v>61</v>
      </c>
      <c r="F604" s="1" t="s">
        <v>129</v>
      </c>
      <c r="G604" s="1">
        <v>327702</v>
      </c>
      <c r="H604" s="63">
        <v>45513</v>
      </c>
      <c r="J604" s="1"/>
      <c r="K604" s="1">
        <v>14.5</v>
      </c>
      <c r="L604" s="1" t="s">
        <v>49</v>
      </c>
      <c r="M604" s="1" t="s">
        <v>149</v>
      </c>
      <c r="N604" s="1" t="str">
        <f t="shared" si="9"/>
        <v>Normal</v>
      </c>
    </row>
    <row r="605" spans="1:14" x14ac:dyDescent="0.25">
      <c r="A605" s="1" t="s">
        <v>1370</v>
      </c>
      <c r="B605" s="1" t="s">
        <v>44</v>
      </c>
      <c r="C605" s="1" t="s">
        <v>813</v>
      </c>
      <c r="D605" s="1" t="s">
        <v>90</v>
      </c>
      <c r="E605" s="1" t="s">
        <v>100</v>
      </c>
      <c r="F605" s="1" t="s">
        <v>18</v>
      </c>
      <c r="G605" s="1">
        <v>105930</v>
      </c>
      <c r="H605" s="63">
        <v>45063</v>
      </c>
      <c r="I605" s="63">
        <v>45127</v>
      </c>
      <c r="J605" s="1">
        <v>64</v>
      </c>
      <c r="K605" s="1"/>
      <c r="L605" s="1" t="s">
        <v>49</v>
      </c>
      <c r="M605" s="1" t="s">
        <v>30</v>
      </c>
      <c r="N605" s="1" t="str">
        <f t="shared" si="9"/>
        <v>Normal</v>
      </c>
    </row>
    <row r="606" spans="1:14" x14ac:dyDescent="0.25">
      <c r="A606" s="1" t="s">
        <v>1371</v>
      </c>
      <c r="B606" s="1" t="s">
        <v>75</v>
      </c>
      <c r="C606" s="1" t="s">
        <v>644</v>
      </c>
      <c r="D606" s="1" t="s">
        <v>39</v>
      </c>
      <c r="E606" s="1" t="s">
        <v>17</v>
      </c>
      <c r="F606" s="1" t="s">
        <v>40</v>
      </c>
      <c r="G606" s="1">
        <v>174665</v>
      </c>
      <c r="H606" s="63">
        <v>45075</v>
      </c>
      <c r="I606" s="63">
        <v>45227</v>
      </c>
      <c r="J606" s="1">
        <v>152</v>
      </c>
      <c r="K606" s="1">
        <v>9.3000000000000007</v>
      </c>
      <c r="L606" s="1" t="s">
        <v>96</v>
      </c>
      <c r="M606" s="1" t="s">
        <v>30</v>
      </c>
      <c r="N606" s="1" t="str">
        <f t="shared" si="9"/>
        <v>Normal</v>
      </c>
    </row>
    <row r="607" spans="1:14" x14ac:dyDescent="0.25">
      <c r="A607" s="1" t="s">
        <v>1372</v>
      </c>
      <c r="B607" s="1" t="s">
        <v>14</v>
      </c>
      <c r="C607" s="1" t="s">
        <v>442</v>
      </c>
      <c r="D607" s="1" t="s">
        <v>25</v>
      </c>
      <c r="E607" s="1" t="s">
        <v>17</v>
      </c>
      <c r="F607" s="1" t="s">
        <v>129</v>
      </c>
      <c r="G607" s="1">
        <v>343024</v>
      </c>
      <c r="H607" s="63">
        <v>45001</v>
      </c>
      <c r="J607" s="1"/>
      <c r="K607" s="1"/>
      <c r="L607" s="1" t="s">
        <v>20</v>
      </c>
      <c r="M607" s="1" t="s">
        <v>35</v>
      </c>
      <c r="N607" s="1" t="str">
        <f t="shared" si="9"/>
        <v>Normal</v>
      </c>
    </row>
    <row r="608" spans="1:14" x14ac:dyDescent="0.25">
      <c r="A608" s="1" t="s">
        <v>1373</v>
      </c>
      <c r="B608" s="1" t="s">
        <v>98</v>
      </c>
      <c r="C608" s="1" t="s">
        <v>838</v>
      </c>
      <c r="D608" s="1" t="s">
        <v>39</v>
      </c>
      <c r="E608" s="1" t="s">
        <v>100</v>
      </c>
      <c r="F608" s="1" t="s">
        <v>129</v>
      </c>
      <c r="G608" s="1">
        <v>194687</v>
      </c>
      <c r="H608" s="63">
        <v>45128</v>
      </c>
      <c r="J608" s="1"/>
      <c r="K608" s="1">
        <v>0.6</v>
      </c>
      <c r="L608" s="1" t="s">
        <v>96</v>
      </c>
      <c r="M608" s="1" t="s">
        <v>102</v>
      </c>
      <c r="N608" s="1" t="str">
        <f t="shared" si="9"/>
        <v>Normal</v>
      </c>
    </row>
    <row r="609" spans="1:14" x14ac:dyDescent="0.25">
      <c r="A609" s="1" t="s">
        <v>1374</v>
      </c>
      <c r="B609" s="1" t="s">
        <v>80</v>
      </c>
      <c r="C609" s="1" t="s">
        <v>45</v>
      </c>
      <c r="D609" s="1" t="s">
        <v>16</v>
      </c>
      <c r="E609" s="1" t="s">
        <v>26</v>
      </c>
      <c r="F609" s="1" t="s">
        <v>40</v>
      </c>
      <c r="G609" s="1">
        <v>89575</v>
      </c>
      <c r="H609" s="63">
        <v>45687</v>
      </c>
      <c r="I609" s="63">
        <v>45829</v>
      </c>
      <c r="J609" s="1">
        <v>142</v>
      </c>
      <c r="K609" s="1">
        <v>17.399999999999999</v>
      </c>
      <c r="L609" s="1" t="s">
        <v>20</v>
      </c>
      <c r="M609" s="1" t="s">
        <v>63</v>
      </c>
      <c r="N609" s="1" t="str">
        <f t="shared" si="9"/>
        <v>Normal</v>
      </c>
    </row>
    <row r="610" spans="1:14" x14ac:dyDescent="0.25">
      <c r="A610" s="1" t="s">
        <v>1375</v>
      </c>
      <c r="B610" s="1" t="s">
        <v>37</v>
      </c>
      <c r="C610" s="1" t="s">
        <v>208</v>
      </c>
      <c r="D610" s="1" t="s">
        <v>25</v>
      </c>
      <c r="E610" s="1" t="s">
        <v>94</v>
      </c>
      <c r="F610" s="1" t="s">
        <v>129</v>
      </c>
      <c r="G610" s="1">
        <v>268446</v>
      </c>
      <c r="H610" s="63">
        <v>45297</v>
      </c>
      <c r="J610" s="1"/>
      <c r="K610" s="1"/>
      <c r="L610" s="1" t="s">
        <v>49</v>
      </c>
      <c r="M610" s="1" t="s">
        <v>69</v>
      </c>
      <c r="N610" s="1" t="str">
        <f t="shared" si="9"/>
        <v>Normal</v>
      </c>
    </row>
    <row r="611" spans="1:14" x14ac:dyDescent="0.25">
      <c r="A611" s="1" t="s">
        <v>1376</v>
      </c>
      <c r="B611" s="1" t="s">
        <v>80</v>
      </c>
      <c r="C611" s="1" t="s">
        <v>1377</v>
      </c>
      <c r="D611" s="1" t="s">
        <v>67</v>
      </c>
      <c r="E611" s="1" t="s">
        <v>17</v>
      </c>
      <c r="F611" s="1" t="s">
        <v>53</v>
      </c>
      <c r="G611" s="1">
        <v>48973</v>
      </c>
      <c r="H611" s="63">
        <v>45485</v>
      </c>
      <c r="J611" s="1"/>
      <c r="K611" s="1"/>
      <c r="L611" s="1" t="s">
        <v>96</v>
      </c>
      <c r="M611" s="1" t="s">
        <v>149</v>
      </c>
      <c r="N611" s="1" t="str">
        <f t="shared" si="9"/>
        <v>Normal</v>
      </c>
    </row>
    <row r="612" spans="1:14" x14ac:dyDescent="0.25">
      <c r="A612" s="1" t="s">
        <v>1379</v>
      </c>
      <c r="B612" s="1" t="s">
        <v>14</v>
      </c>
      <c r="C612" s="1" t="s">
        <v>162</v>
      </c>
      <c r="D612" s="1" t="s">
        <v>39</v>
      </c>
      <c r="E612" s="1" t="s">
        <v>26</v>
      </c>
      <c r="F612" s="1" t="s">
        <v>27</v>
      </c>
      <c r="G612" s="1">
        <v>335462</v>
      </c>
      <c r="H612" s="63">
        <v>45080</v>
      </c>
      <c r="J612" s="1"/>
      <c r="K612" s="1">
        <v>10.5</v>
      </c>
      <c r="L612" s="1" t="s">
        <v>96</v>
      </c>
      <c r="M612" s="1" t="s">
        <v>30</v>
      </c>
      <c r="N612" s="1" t="str">
        <f t="shared" si="9"/>
        <v>Normal</v>
      </c>
    </row>
    <row r="613" spans="1:14" x14ac:dyDescent="0.25">
      <c r="A613" s="1" t="s">
        <v>1381</v>
      </c>
      <c r="B613" s="1" t="s">
        <v>84</v>
      </c>
      <c r="C613" s="1" t="s">
        <v>186</v>
      </c>
      <c r="D613" s="1" t="s">
        <v>46</v>
      </c>
      <c r="E613" s="1" t="s">
        <v>77</v>
      </c>
      <c r="F613" s="1" t="s">
        <v>18</v>
      </c>
      <c r="G613" s="1">
        <v>452376</v>
      </c>
      <c r="H613" s="63">
        <v>44974</v>
      </c>
      <c r="I613" s="63">
        <v>45148</v>
      </c>
      <c r="J613" s="1">
        <v>174</v>
      </c>
      <c r="K613" s="1">
        <v>14.9</v>
      </c>
      <c r="L613" s="1" t="s">
        <v>96</v>
      </c>
      <c r="M613" s="1" t="s">
        <v>35</v>
      </c>
      <c r="N613" s="1" t="str">
        <f t="shared" si="9"/>
        <v>Normal</v>
      </c>
    </row>
    <row r="614" spans="1:14" x14ac:dyDescent="0.25">
      <c r="A614" s="1" t="s">
        <v>1382</v>
      </c>
      <c r="B614" s="1" t="s">
        <v>75</v>
      </c>
      <c r="C614" s="1" t="s">
        <v>316</v>
      </c>
      <c r="D614" s="1" t="s">
        <v>25</v>
      </c>
      <c r="E614" s="1" t="s">
        <v>61</v>
      </c>
      <c r="F614" s="1" t="s">
        <v>18</v>
      </c>
      <c r="G614" s="1">
        <v>470136</v>
      </c>
      <c r="H614" s="63">
        <v>45059</v>
      </c>
      <c r="I614" s="63">
        <v>45196</v>
      </c>
      <c r="J614" s="1">
        <v>137</v>
      </c>
      <c r="K614" s="1"/>
      <c r="L614" s="1" t="s">
        <v>96</v>
      </c>
      <c r="M614" s="1" t="s">
        <v>30</v>
      </c>
      <c r="N614" s="1" t="str">
        <f t="shared" si="9"/>
        <v>Normal</v>
      </c>
    </row>
    <row r="615" spans="1:14" x14ac:dyDescent="0.25">
      <c r="A615" s="1" t="s">
        <v>1384</v>
      </c>
      <c r="B615" s="1" t="s">
        <v>104</v>
      </c>
      <c r="C615" s="1" t="s">
        <v>255</v>
      </c>
      <c r="D615" s="1" t="s">
        <v>39</v>
      </c>
      <c r="E615" s="1" t="s">
        <v>72</v>
      </c>
      <c r="F615" s="1" t="s">
        <v>40</v>
      </c>
      <c r="G615" s="1">
        <v>482126</v>
      </c>
      <c r="H615" s="63">
        <v>44931</v>
      </c>
      <c r="I615" s="63">
        <v>45081</v>
      </c>
      <c r="J615" s="1">
        <v>150</v>
      </c>
      <c r="K615" s="1">
        <v>12.4</v>
      </c>
      <c r="L615" s="1" t="s">
        <v>96</v>
      </c>
      <c r="M615" s="1" t="s">
        <v>35</v>
      </c>
      <c r="N615" s="1" t="str">
        <f t="shared" si="9"/>
        <v>Normal</v>
      </c>
    </row>
    <row r="616" spans="1:14" x14ac:dyDescent="0.25">
      <c r="A616" s="1" t="s">
        <v>1385</v>
      </c>
      <c r="B616" s="1" t="s">
        <v>65</v>
      </c>
      <c r="C616" s="1" t="s">
        <v>1172</v>
      </c>
      <c r="D616" s="1" t="s">
        <v>46</v>
      </c>
      <c r="E616" s="1" t="s">
        <v>72</v>
      </c>
      <c r="F616" s="1" t="s">
        <v>33</v>
      </c>
      <c r="G616" s="1">
        <v>252968</v>
      </c>
      <c r="H616" s="63">
        <v>45359</v>
      </c>
      <c r="J616" s="1"/>
      <c r="K616" s="1"/>
      <c r="L616" s="1" t="s">
        <v>29</v>
      </c>
      <c r="M616" s="1" t="s">
        <v>69</v>
      </c>
      <c r="N616" s="1" t="str">
        <f t="shared" si="9"/>
        <v>Normal</v>
      </c>
    </row>
    <row r="617" spans="1:14" x14ac:dyDescent="0.25">
      <c r="A617" s="1" t="s">
        <v>1386</v>
      </c>
      <c r="B617" s="1" t="s">
        <v>59</v>
      </c>
      <c r="C617" s="1" t="s">
        <v>141</v>
      </c>
      <c r="D617" s="1" t="s">
        <v>39</v>
      </c>
      <c r="E617" s="1" t="s">
        <v>100</v>
      </c>
      <c r="F617" s="1" t="s">
        <v>40</v>
      </c>
      <c r="G617" s="1">
        <v>84826</v>
      </c>
      <c r="H617" s="63">
        <v>45348</v>
      </c>
      <c r="I617" s="63">
        <v>45471</v>
      </c>
      <c r="J617" s="1">
        <v>123</v>
      </c>
      <c r="K617" s="1">
        <v>24.9</v>
      </c>
      <c r="L617" s="1" t="s">
        <v>96</v>
      </c>
      <c r="M617" s="1" t="s">
        <v>69</v>
      </c>
      <c r="N617" s="1" t="str">
        <f t="shared" si="9"/>
        <v>Normal</v>
      </c>
    </row>
    <row r="618" spans="1:14" x14ac:dyDescent="0.25">
      <c r="A618" s="1" t="s">
        <v>1388</v>
      </c>
      <c r="B618" s="1" t="s">
        <v>104</v>
      </c>
      <c r="C618" s="1" t="s">
        <v>279</v>
      </c>
      <c r="D618" s="1" t="s">
        <v>90</v>
      </c>
      <c r="E618" s="1" t="s">
        <v>17</v>
      </c>
      <c r="F618" s="1" t="s">
        <v>33</v>
      </c>
      <c r="G618" s="1">
        <v>34920</v>
      </c>
      <c r="H618" s="63">
        <v>45514</v>
      </c>
      <c r="J618" s="1"/>
      <c r="K618" s="1"/>
      <c r="L618" s="1" t="s">
        <v>96</v>
      </c>
      <c r="M618" s="1" t="s">
        <v>149</v>
      </c>
      <c r="N618" s="1" t="str">
        <f t="shared" si="9"/>
        <v>Normal</v>
      </c>
    </row>
    <row r="619" spans="1:14" x14ac:dyDescent="0.25">
      <c r="A619" s="1" t="s">
        <v>1389</v>
      </c>
      <c r="B619" s="1" t="s">
        <v>104</v>
      </c>
      <c r="C619" s="1" t="s">
        <v>1278</v>
      </c>
      <c r="D619" s="1" t="s">
        <v>46</v>
      </c>
      <c r="E619" s="1" t="s">
        <v>61</v>
      </c>
      <c r="F619" s="1" t="s">
        <v>27</v>
      </c>
      <c r="G619" s="1">
        <v>89128</v>
      </c>
      <c r="H619" s="63">
        <v>45628</v>
      </c>
      <c r="J619" s="1"/>
      <c r="K619" s="1">
        <v>7.7</v>
      </c>
      <c r="L619" s="1" t="s">
        <v>20</v>
      </c>
      <c r="M619" s="1" t="s">
        <v>42</v>
      </c>
      <c r="N619" s="1" t="str">
        <f t="shared" si="9"/>
        <v>Normal</v>
      </c>
    </row>
    <row r="620" spans="1:14" x14ac:dyDescent="0.25">
      <c r="A620" s="1" t="s">
        <v>1390</v>
      </c>
      <c r="B620" s="1" t="s">
        <v>80</v>
      </c>
      <c r="C620" s="1" t="s">
        <v>358</v>
      </c>
      <c r="D620" s="1" t="s">
        <v>67</v>
      </c>
      <c r="E620" s="1" t="s">
        <v>47</v>
      </c>
      <c r="F620" s="1" t="s">
        <v>27</v>
      </c>
      <c r="G620" s="1">
        <v>138833</v>
      </c>
      <c r="H620" s="63">
        <v>45704</v>
      </c>
      <c r="J620" s="1"/>
      <c r="K620" s="1"/>
      <c r="L620" s="1" t="s">
        <v>29</v>
      </c>
      <c r="M620" s="1" t="s">
        <v>63</v>
      </c>
      <c r="N620" s="1" t="str">
        <f t="shared" si="9"/>
        <v>Normal</v>
      </c>
    </row>
    <row r="621" spans="1:14" x14ac:dyDescent="0.25">
      <c r="A621" s="1" t="s">
        <v>1391</v>
      </c>
      <c r="B621" s="1" t="s">
        <v>14</v>
      </c>
      <c r="C621" s="1" t="s">
        <v>782</v>
      </c>
      <c r="D621" s="1" t="s">
        <v>46</v>
      </c>
      <c r="E621" s="1" t="s">
        <v>26</v>
      </c>
      <c r="F621" s="1" t="s">
        <v>40</v>
      </c>
      <c r="G621" s="1">
        <v>455079</v>
      </c>
      <c r="H621" s="63">
        <v>45720</v>
      </c>
      <c r="I621" s="63">
        <v>45755</v>
      </c>
      <c r="J621" s="1">
        <v>35</v>
      </c>
      <c r="K621" s="1">
        <v>15.2</v>
      </c>
      <c r="L621" s="1" t="s">
        <v>20</v>
      </c>
      <c r="M621" s="1" t="s">
        <v>63</v>
      </c>
      <c r="N621" s="1" t="str">
        <f t="shared" si="9"/>
        <v>Normal</v>
      </c>
    </row>
    <row r="622" spans="1:14" x14ac:dyDescent="0.25">
      <c r="A622" s="1" t="s">
        <v>1392</v>
      </c>
      <c r="B622" s="1" t="s">
        <v>98</v>
      </c>
      <c r="C622" s="1" t="s">
        <v>132</v>
      </c>
      <c r="D622" s="1" t="s">
        <v>25</v>
      </c>
      <c r="E622" s="1" t="s">
        <v>100</v>
      </c>
      <c r="F622" s="1" t="s">
        <v>129</v>
      </c>
      <c r="G622" s="1">
        <v>188014</v>
      </c>
      <c r="H622" s="63">
        <v>45359</v>
      </c>
      <c r="J622" s="1"/>
      <c r="K622" s="1">
        <v>14.5</v>
      </c>
      <c r="L622" s="1" t="s">
        <v>49</v>
      </c>
      <c r="M622" s="1" t="s">
        <v>69</v>
      </c>
      <c r="N622" s="1" t="str">
        <f t="shared" si="9"/>
        <v>Normal</v>
      </c>
    </row>
    <row r="623" spans="1:14" x14ac:dyDescent="0.25">
      <c r="A623" s="1" t="s">
        <v>1393</v>
      </c>
      <c r="B623" s="1" t="s">
        <v>88</v>
      </c>
      <c r="C623" s="1" t="s">
        <v>364</v>
      </c>
      <c r="D623" s="1" t="s">
        <v>46</v>
      </c>
      <c r="E623" s="1" t="s">
        <v>72</v>
      </c>
      <c r="F623" s="1" t="s">
        <v>129</v>
      </c>
      <c r="G623" s="1">
        <v>245606</v>
      </c>
      <c r="H623" s="63">
        <v>45196</v>
      </c>
      <c r="J623" s="1"/>
      <c r="K623" s="1">
        <v>8.1</v>
      </c>
      <c r="L623" s="1" t="s">
        <v>20</v>
      </c>
      <c r="M623" s="1" t="s">
        <v>102</v>
      </c>
      <c r="N623" s="1" t="str">
        <f t="shared" si="9"/>
        <v>Normal</v>
      </c>
    </row>
    <row r="624" spans="1:14" x14ac:dyDescent="0.25">
      <c r="A624" s="1" t="s">
        <v>1394</v>
      </c>
      <c r="B624" s="1" t="s">
        <v>65</v>
      </c>
      <c r="C624" s="1" t="s">
        <v>258</v>
      </c>
      <c r="D624" s="1" t="s">
        <v>46</v>
      </c>
      <c r="E624" s="1" t="s">
        <v>26</v>
      </c>
      <c r="F624" s="1" t="s">
        <v>33</v>
      </c>
      <c r="G624" s="1">
        <v>90630</v>
      </c>
      <c r="H624" s="63">
        <v>45153</v>
      </c>
      <c r="J624" s="1"/>
      <c r="K624" s="1">
        <v>6.2</v>
      </c>
      <c r="L624" s="1" t="s">
        <v>96</v>
      </c>
      <c r="M624" s="1" t="s">
        <v>102</v>
      </c>
      <c r="N624" s="1" t="str">
        <f t="shared" si="9"/>
        <v>Normal</v>
      </c>
    </row>
    <row r="625" spans="1:14" x14ac:dyDescent="0.25">
      <c r="A625" s="1" t="s">
        <v>1396</v>
      </c>
      <c r="B625" s="1" t="s">
        <v>88</v>
      </c>
      <c r="C625" s="1" t="s">
        <v>1397</v>
      </c>
      <c r="D625" s="1" t="s">
        <v>39</v>
      </c>
      <c r="E625" s="1" t="s">
        <v>94</v>
      </c>
      <c r="F625" s="1" t="s">
        <v>27</v>
      </c>
      <c r="G625" s="1">
        <v>401520</v>
      </c>
      <c r="H625" s="63">
        <v>45595</v>
      </c>
      <c r="J625" s="1"/>
      <c r="K625" s="1"/>
      <c r="L625" s="1" t="s">
        <v>20</v>
      </c>
      <c r="M625" s="1" t="s">
        <v>42</v>
      </c>
      <c r="N625" s="1" t="str">
        <f t="shared" si="9"/>
        <v>Normal</v>
      </c>
    </row>
    <row r="626" spans="1:14" x14ac:dyDescent="0.25">
      <c r="A626" s="1" t="s">
        <v>1399</v>
      </c>
      <c r="B626" s="1" t="s">
        <v>37</v>
      </c>
      <c r="C626" s="1" t="s">
        <v>279</v>
      </c>
      <c r="D626" s="1" t="s">
        <v>90</v>
      </c>
      <c r="E626" s="1" t="s">
        <v>17</v>
      </c>
      <c r="F626" s="1" t="s">
        <v>53</v>
      </c>
      <c r="G626" s="1">
        <v>395890</v>
      </c>
      <c r="H626" s="63">
        <v>45118</v>
      </c>
      <c r="J626" s="1"/>
      <c r="K626" s="1">
        <v>10.7</v>
      </c>
      <c r="L626" s="1" t="s">
        <v>49</v>
      </c>
      <c r="M626" s="1" t="s">
        <v>102</v>
      </c>
      <c r="N626" s="1" t="str">
        <f t="shared" si="9"/>
        <v>Normal</v>
      </c>
    </row>
    <row r="627" spans="1:14" x14ac:dyDescent="0.25">
      <c r="A627" s="1" t="s">
        <v>1401</v>
      </c>
      <c r="B627" s="1" t="s">
        <v>98</v>
      </c>
      <c r="C627" s="1" t="s">
        <v>85</v>
      </c>
      <c r="D627" s="1" t="s">
        <v>25</v>
      </c>
      <c r="E627" s="1" t="s">
        <v>72</v>
      </c>
      <c r="F627" s="1" t="s">
        <v>40</v>
      </c>
      <c r="G627" s="1">
        <v>322078</v>
      </c>
      <c r="H627" s="63">
        <v>45571</v>
      </c>
      <c r="I627" s="63">
        <v>45675</v>
      </c>
      <c r="J627" s="1">
        <v>104</v>
      </c>
      <c r="K627" s="1">
        <v>7.1</v>
      </c>
      <c r="L627" s="1" t="s">
        <v>49</v>
      </c>
      <c r="M627" s="1" t="s">
        <v>42</v>
      </c>
      <c r="N627" s="1" t="str">
        <f t="shared" si="9"/>
        <v>Normal</v>
      </c>
    </row>
    <row r="628" spans="1:14" x14ac:dyDescent="0.25">
      <c r="A628" s="1" t="s">
        <v>1403</v>
      </c>
      <c r="B628" s="1" t="s">
        <v>59</v>
      </c>
      <c r="C628" s="1" t="s">
        <v>420</v>
      </c>
      <c r="D628" s="1" t="s">
        <v>90</v>
      </c>
      <c r="E628" s="1" t="s">
        <v>72</v>
      </c>
      <c r="F628" s="1" t="s">
        <v>53</v>
      </c>
      <c r="G628" s="1">
        <v>193667</v>
      </c>
      <c r="H628" s="63">
        <v>45204</v>
      </c>
      <c r="J628" s="1"/>
      <c r="K628" s="1">
        <v>2.1</v>
      </c>
      <c r="L628" s="1" t="s">
        <v>49</v>
      </c>
      <c r="M628" s="1" t="s">
        <v>21</v>
      </c>
      <c r="N628" s="1" t="str">
        <f t="shared" si="9"/>
        <v>Normal</v>
      </c>
    </row>
    <row r="629" spans="1:14" x14ac:dyDescent="0.25">
      <c r="A629" s="1" t="s">
        <v>1404</v>
      </c>
      <c r="B629" s="1" t="s">
        <v>84</v>
      </c>
      <c r="C629" s="1" t="s">
        <v>1354</v>
      </c>
      <c r="D629" s="1" t="s">
        <v>67</v>
      </c>
      <c r="E629" s="1" t="s">
        <v>26</v>
      </c>
      <c r="F629" s="1" t="s">
        <v>53</v>
      </c>
      <c r="G629" s="1">
        <v>242818</v>
      </c>
      <c r="H629" s="63">
        <v>45236</v>
      </c>
      <c r="J629" s="1"/>
      <c r="K629" s="1">
        <v>14.6</v>
      </c>
      <c r="L629" s="1" t="s">
        <v>96</v>
      </c>
      <c r="M629" s="1" t="s">
        <v>21</v>
      </c>
      <c r="N629" s="1" t="str">
        <f t="shared" si="9"/>
        <v>Normal</v>
      </c>
    </row>
    <row r="630" spans="1:14" x14ac:dyDescent="0.25">
      <c r="A630" s="1" t="s">
        <v>1406</v>
      </c>
      <c r="B630" s="1" t="s">
        <v>14</v>
      </c>
      <c r="C630" s="1" t="s">
        <v>186</v>
      </c>
      <c r="D630" s="1" t="s">
        <v>46</v>
      </c>
      <c r="E630" s="1" t="s">
        <v>100</v>
      </c>
      <c r="F630" s="1" t="s">
        <v>27</v>
      </c>
      <c r="G630" s="1">
        <v>346611</v>
      </c>
      <c r="H630" s="63">
        <v>45396</v>
      </c>
      <c r="J630" s="1"/>
      <c r="K630" s="1">
        <v>13.5</v>
      </c>
      <c r="L630" s="1" t="s">
        <v>29</v>
      </c>
      <c r="M630" s="1" t="s">
        <v>107</v>
      </c>
      <c r="N630" s="1" t="str">
        <f t="shared" si="9"/>
        <v>Normal</v>
      </c>
    </row>
    <row r="631" spans="1:14" x14ac:dyDescent="0.25">
      <c r="A631" s="1" t="s">
        <v>1408</v>
      </c>
      <c r="B631" s="1" t="s">
        <v>109</v>
      </c>
      <c r="C631" s="1" t="s">
        <v>898</v>
      </c>
      <c r="D631" s="1" t="s">
        <v>90</v>
      </c>
      <c r="E631" s="1" t="s">
        <v>17</v>
      </c>
      <c r="F631" s="1" t="s">
        <v>129</v>
      </c>
      <c r="G631" s="1">
        <v>105268</v>
      </c>
      <c r="H631" s="63">
        <v>45089</v>
      </c>
      <c r="J631" s="1"/>
      <c r="K631" s="1">
        <v>8.1999999999999993</v>
      </c>
      <c r="L631" s="1" t="s">
        <v>20</v>
      </c>
      <c r="M631" s="1" t="s">
        <v>30</v>
      </c>
      <c r="N631" s="1" t="str">
        <f t="shared" si="9"/>
        <v>Normal</v>
      </c>
    </row>
    <row r="632" spans="1:14" x14ac:dyDescent="0.25">
      <c r="A632" s="1" t="s">
        <v>1409</v>
      </c>
      <c r="B632" s="1" t="s">
        <v>23</v>
      </c>
      <c r="C632" s="1" t="s">
        <v>1410</v>
      </c>
      <c r="D632" s="1" t="s">
        <v>67</v>
      </c>
      <c r="E632" s="1" t="s">
        <v>72</v>
      </c>
      <c r="F632" s="1" t="s">
        <v>53</v>
      </c>
      <c r="G632" s="1">
        <v>66805</v>
      </c>
      <c r="H632" s="63">
        <v>45333</v>
      </c>
      <c r="J632" s="1"/>
      <c r="K632" s="1"/>
      <c r="L632" s="1" t="s">
        <v>49</v>
      </c>
      <c r="M632" s="1" t="s">
        <v>69</v>
      </c>
      <c r="N632" s="1" t="str">
        <f t="shared" si="9"/>
        <v>Normal</v>
      </c>
    </row>
    <row r="633" spans="1:14" x14ac:dyDescent="0.25">
      <c r="A633" s="1" t="s">
        <v>1412</v>
      </c>
      <c r="B633" s="1" t="s">
        <v>98</v>
      </c>
      <c r="C633" s="1" t="s">
        <v>144</v>
      </c>
      <c r="D633" s="1" t="s">
        <v>25</v>
      </c>
      <c r="E633" s="1" t="s">
        <v>100</v>
      </c>
      <c r="F633" s="1" t="s">
        <v>40</v>
      </c>
      <c r="G633" s="1">
        <v>234610</v>
      </c>
      <c r="H633" s="63">
        <v>44974</v>
      </c>
      <c r="I633" s="63">
        <v>44999</v>
      </c>
      <c r="J633" s="1">
        <v>25</v>
      </c>
      <c r="K633" s="1">
        <v>3.2</v>
      </c>
      <c r="L633" s="1" t="s">
        <v>49</v>
      </c>
      <c r="M633" s="1" t="s">
        <v>35</v>
      </c>
      <c r="N633" s="1" t="str">
        <f t="shared" si="9"/>
        <v>Normal</v>
      </c>
    </row>
    <row r="634" spans="1:14" x14ac:dyDescent="0.25">
      <c r="A634" s="1" t="s">
        <v>1414</v>
      </c>
      <c r="B634" s="1" t="s">
        <v>65</v>
      </c>
      <c r="C634" s="1" t="s">
        <v>1415</v>
      </c>
      <c r="D634" s="1" t="s">
        <v>25</v>
      </c>
      <c r="E634" s="1" t="s">
        <v>100</v>
      </c>
      <c r="F634" s="1" t="s">
        <v>18</v>
      </c>
      <c r="G634" s="1">
        <v>148395</v>
      </c>
      <c r="H634" s="63">
        <v>45351</v>
      </c>
      <c r="I634" s="63">
        <v>45423</v>
      </c>
      <c r="J634" s="1">
        <v>72</v>
      </c>
      <c r="K634" s="1">
        <v>0.5</v>
      </c>
      <c r="L634" s="1" t="s">
        <v>49</v>
      </c>
      <c r="M634" s="1" t="s">
        <v>69</v>
      </c>
      <c r="N634" s="1" t="str">
        <f t="shared" si="9"/>
        <v>Normal</v>
      </c>
    </row>
    <row r="635" spans="1:14" x14ac:dyDescent="0.25">
      <c r="A635" s="1" t="s">
        <v>1417</v>
      </c>
      <c r="B635" s="1" t="s">
        <v>173</v>
      </c>
      <c r="C635" s="1" t="s">
        <v>457</v>
      </c>
      <c r="D635" s="1" t="s">
        <v>67</v>
      </c>
      <c r="E635" s="1" t="s">
        <v>100</v>
      </c>
      <c r="F635" s="1" t="s">
        <v>40</v>
      </c>
      <c r="G635" s="1">
        <v>436243</v>
      </c>
      <c r="H635" s="63">
        <v>45598</v>
      </c>
      <c r="I635" s="63">
        <v>45715</v>
      </c>
      <c r="J635" s="1">
        <v>117</v>
      </c>
      <c r="K635" s="1">
        <v>18.5</v>
      </c>
      <c r="L635" s="1" t="s">
        <v>49</v>
      </c>
      <c r="M635" s="1" t="s">
        <v>42</v>
      </c>
      <c r="N635" s="1" t="str">
        <f t="shared" si="9"/>
        <v>Normal</v>
      </c>
    </row>
    <row r="636" spans="1:14" x14ac:dyDescent="0.25">
      <c r="A636" s="1" t="s">
        <v>1419</v>
      </c>
      <c r="B636" s="1" t="s">
        <v>88</v>
      </c>
      <c r="C636" s="1" t="s">
        <v>614</v>
      </c>
      <c r="D636" s="1" t="s">
        <v>67</v>
      </c>
      <c r="E636" s="1" t="s">
        <v>26</v>
      </c>
      <c r="F636" s="1" t="s">
        <v>18</v>
      </c>
      <c r="G636" s="1">
        <v>187540</v>
      </c>
      <c r="H636" s="63">
        <v>45340</v>
      </c>
      <c r="I636" s="63">
        <v>45386</v>
      </c>
      <c r="J636" s="1">
        <v>46</v>
      </c>
      <c r="K636" s="1">
        <v>6.4</v>
      </c>
      <c r="L636" s="1" t="s">
        <v>49</v>
      </c>
      <c r="M636" s="1" t="s">
        <v>69</v>
      </c>
      <c r="N636" s="1" t="str">
        <f t="shared" si="9"/>
        <v>Normal</v>
      </c>
    </row>
    <row r="637" spans="1:14" x14ac:dyDescent="0.25">
      <c r="A637" s="1" t="s">
        <v>1420</v>
      </c>
      <c r="B637" s="1" t="s">
        <v>4829</v>
      </c>
      <c r="C637" s="1" t="s">
        <v>720</v>
      </c>
      <c r="D637" s="1" t="s">
        <v>16</v>
      </c>
      <c r="E637" s="1" t="s">
        <v>47</v>
      </c>
      <c r="F637" s="1" t="s">
        <v>33</v>
      </c>
      <c r="G637" s="1">
        <v>438009</v>
      </c>
      <c r="H637" s="63">
        <v>44987</v>
      </c>
      <c r="J637" s="1"/>
      <c r="K637" s="1">
        <v>3.7</v>
      </c>
      <c r="L637" s="1" t="s">
        <v>20</v>
      </c>
      <c r="M637" s="1" t="s">
        <v>35</v>
      </c>
      <c r="N637" s="1" t="str">
        <f t="shared" si="9"/>
        <v>Normal</v>
      </c>
    </row>
    <row r="638" spans="1:14" x14ac:dyDescent="0.25">
      <c r="A638" s="1" t="s">
        <v>1422</v>
      </c>
      <c r="B638" s="1" t="s">
        <v>84</v>
      </c>
      <c r="C638" s="1" t="s">
        <v>85</v>
      </c>
      <c r="D638" s="1" t="s">
        <v>39</v>
      </c>
      <c r="E638" s="1" t="s">
        <v>26</v>
      </c>
      <c r="F638" s="1" t="s">
        <v>33</v>
      </c>
      <c r="G638" s="1">
        <v>200090</v>
      </c>
      <c r="H638" s="63">
        <v>45379</v>
      </c>
      <c r="J638" s="1"/>
      <c r="K638" s="1">
        <v>13.3</v>
      </c>
      <c r="L638" s="1" t="s">
        <v>49</v>
      </c>
      <c r="M638" s="1" t="s">
        <v>69</v>
      </c>
      <c r="N638" s="1" t="str">
        <f t="shared" si="9"/>
        <v>Normal</v>
      </c>
    </row>
    <row r="639" spans="1:14" x14ac:dyDescent="0.25">
      <c r="A639" s="1" t="s">
        <v>1423</v>
      </c>
      <c r="B639" s="1" t="s">
        <v>75</v>
      </c>
      <c r="C639" s="1" t="s">
        <v>325</v>
      </c>
      <c r="D639" s="1" t="s">
        <v>67</v>
      </c>
      <c r="E639" s="1" t="s">
        <v>26</v>
      </c>
      <c r="F639" s="1" t="s">
        <v>53</v>
      </c>
      <c r="G639" s="1">
        <v>156695</v>
      </c>
      <c r="H639" s="63">
        <v>45434</v>
      </c>
      <c r="J639" s="1"/>
      <c r="K639" s="1">
        <v>6.6</v>
      </c>
      <c r="L639" s="1" t="s">
        <v>20</v>
      </c>
      <c r="M639" s="1" t="s">
        <v>107</v>
      </c>
      <c r="N639" s="1" t="str">
        <f t="shared" si="9"/>
        <v>Normal</v>
      </c>
    </row>
    <row r="640" spans="1:14" x14ac:dyDescent="0.25">
      <c r="A640" s="1" t="s">
        <v>1424</v>
      </c>
      <c r="B640" s="1" t="s">
        <v>14</v>
      </c>
      <c r="C640" s="1" t="s">
        <v>128</v>
      </c>
      <c r="D640" s="1" t="s">
        <v>46</v>
      </c>
      <c r="E640" s="1" t="s">
        <v>72</v>
      </c>
      <c r="F640" s="1" t="s">
        <v>27</v>
      </c>
      <c r="G640" s="1">
        <v>327889</v>
      </c>
      <c r="H640" s="63">
        <v>45137</v>
      </c>
      <c r="J640" s="1"/>
      <c r="K640" s="1">
        <v>3.6</v>
      </c>
      <c r="L640" s="1" t="s">
        <v>96</v>
      </c>
      <c r="M640" s="1" t="s">
        <v>102</v>
      </c>
      <c r="N640" s="1" t="str">
        <f t="shared" si="9"/>
        <v>Normal</v>
      </c>
    </row>
    <row r="641" spans="1:14" x14ac:dyDescent="0.25">
      <c r="A641" s="1" t="s">
        <v>1426</v>
      </c>
      <c r="B641" s="1" t="s">
        <v>37</v>
      </c>
      <c r="C641" s="1" t="s">
        <v>390</v>
      </c>
      <c r="D641" s="1" t="s">
        <v>67</v>
      </c>
      <c r="E641" s="1" t="s">
        <v>72</v>
      </c>
      <c r="F641" s="1" t="s">
        <v>129</v>
      </c>
      <c r="G641" s="1">
        <v>147438</v>
      </c>
      <c r="H641" s="63">
        <v>44986</v>
      </c>
      <c r="J641" s="1"/>
      <c r="K641" s="1">
        <v>5.8</v>
      </c>
      <c r="L641" s="1" t="s">
        <v>29</v>
      </c>
      <c r="M641" s="1" t="s">
        <v>35</v>
      </c>
      <c r="N641" s="1" t="str">
        <f t="shared" si="9"/>
        <v>Normal</v>
      </c>
    </row>
    <row r="642" spans="1:14" x14ac:dyDescent="0.25">
      <c r="A642" s="1" t="s">
        <v>1428</v>
      </c>
      <c r="B642" s="1" t="s">
        <v>37</v>
      </c>
      <c r="C642" s="1" t="s">
        <v>862</v>
      </c>
      <c r="D642" s="1" t="s">
        <v>39</v>
      </c>
      <c r="E642" s="1" t="s">
        <v>100</v>
      </c>
      <c r="F642" s="1" t="s">
        <v>40</v>
      </c>
      <c r="G642" s="1">
        <v>85696</v>
      </c>
      <c r="H642" s="63">
        <v>45525</v>
      </c>
      <c r="I642" s="63">
        <v>45541</v>
      </c>
      <c r="J642" s="1">
        <v>16</v>
      </c>
      <c r="K642" s="1">
        <v>1.8</v>
      </c>
      <c r="L642" s="1" t="s">
        <v>49</v>
      </c>
      <c r="M642" s="1" t="s">
        <v>149</v>
      </c>
      <c r="N642" s="1" t="str">
        <f t="shared" ref="N642:N705" si="10">IF(G642&gt;$R$5,"High Outlier",IF(G642&lt;$R$6,"Low Outlier","Normal"))</f>
        <v>Normal</v>
      </c>
    </row>
    <row r="643" spans="1:14" x14ac:dyDescent="0.25">
      <c r="A643" s="1" t="s">
        <v>1430</v>
      </c>
      <c r="B643" s="1" t="s">
        <v>84</v>
      </c>
      <c r="C643" s="1" t="s">
        <v>165</v>
      </c>
      <c r="D643" s="1" t="s">
        <v>67</v>
      </c>
      <c r="E643" s="1" t="s">
        <v>94</v>
      </c>
      <c r="F643" s="1" t="s">
        <v>27</v>
      </c>
      <c r="G643" s="1">
        <v>486983</v>
      </c>
      <c r="H643" s="63">
        <v>44980</v>
      </c>
      <c r="J643" s="1"/>
      <c r="K643" s="1">
        <v>2.8</v>
      </c>
      <c r="L643" s="1" t="s">
        <v>29</v>
      </c>
      <c r="M643" s="1" t="s">
        <v>35</v>
      </c>
      <c r="N643" s="1" t="str">
        <f t="shared" si="10"/>
        <v>Normal</v>
      </c>
    </row>
    <row r="644" spans="1:14" x14ac:dyDescent="0.25">
      <c r="A644" s="1" t="s">
        <v>1431</v>
      </c>
      <c r="B644" s="1" t="s">
        <v>14</v>
      </c>
      <c r="C644" s="1" t="s">
        <v>160</v>
      </c>
      <c r="D644" s="1" t="s">
        <v>90</v>
      </c>
      <c r="E644" s="1" t="s">
        <v>100</v>
      </c>
      <c r="F644" s="1" t="s">
        <v>40</v>
      </c>
      <c r="G644" s="1">
        <v>74527</v>
      </c>
      <c r="H644" s="63">
        <v>44972</v>
      </c>
      <c r="I644" s="63">
        <v>45013</v>
      </c>
      <c r="J644" s="1">
        <v>41</v>
      </c>
      <c r="K644" s="1">
        <v>2.6</v>
      </c>
      <c r="L644" s="1" t="s">
        <v>20</v>
      </c>
      <c r="M644" s="1" t="s">
        <v>35</v>
      </c>
      <c r="N644" s="1" t="str">
        <f t="shared" si="10"/>
        <v>Normal</v>
      </c>
    </row>
    <row r="645" spans="1:14" x14ac:dyDescent="0.25">
      <c r="A645" s="1" t="s">
        <v>1433</v>
      </c>
      <c r="B645" s="1" t="s">
        <v>98</v>
      </c>
      <c r="C645" s="1" t="s">
        <v>313</v>
      </c>
      <c r="D645" s="1" t="s">
        <v>46</v>
      </c>
      <c r="E645" s="1" t="s">
        <v>94</v>
      </c>
      <c r="F645" s="1" t="s">
        <v>40</v>
      </c>
      <c r="G645" s="1">
        <v>415397</v>
      </c>
      <c r="H645" s="63">
        <v>45483</v>
      </c>
      <c r="I645" s="63">
        <v>45550</v>
      </c>
      <c r="J645" s="1">
        <v>67</v>
      </c>
      <c r="K645" s="1">
        <v>18.8</v>
      </c>
      <c r="L645" s="1" t="s">
        <v>20</v>
      </c>
      <c r="M645" s="1" t="s">
        <v>149</v>
      </c>
      <c r="N645" s="1" t="str">
        <f t="shared" si="10"/>
        <v>Normal</v>
      </c>
    </row>
    <row r="646" spans="1:14" x14ac:dyDescent="0.25">
      <c r="A646" s="1" t="s">
        <v>1434</v>
      </c>
      <c r="B646" s="1" t="s">
        <v>37</v>
      </c>
      <c r="C646" s="1" t="s">
        <v>775</v>
      </c>
      <c r="D646" s="1" t="s">
        <v>67</v>
      </c>
      <c r="E646" s="1" t="s">
        <v>17</v>
      </c>
      <c r="F646" s="1" t="s">
        <v>27</v>
      </c>
      <c r="G646" s="1">
        <v>409519</v>
      </c>
      <c r="H646" s="63">
        <v>45529</v>
      </c>
      <c r="J646" s="1"/>
      <c r="K646" s="1"/>
      <c r="L646" s="1" t="s">
        <v>20</v>
      </c>
      <c r="M646" s="1" t="s">
        <v>149</v>
      </c>
      <c r="N646" s="1" t="str">
        <f t="shared" si="10"/>
        <v>Normal</v>
      </c>
    </row>
    <row r="647" spans="1:14" x14ac:dyDescent="0.25">
      <c r="A647" s="1" t="s">
        <v>1436</v>
      </c>
      <c r="B647" s="1" t="s">
        <v>23</v>
      </c>
      <c r="C647" s="1" t="s">
        <v>598</v>
      </c>
      <c r="D647" s="1" t="s">
        <v>46</v>
      </c>
      <c r="E647" s="1" t="s">
        <v>17</v>
      </c>
      <c r="F647" s="1" t="s">
        <v>33</v>
      </c>
      <c r="G647" s="1">
        <v>438813</v>
      </c>
      <c r="H647" s="63">
        <v>45413</v>
      </c>
      <c r="J647" s="1"/>
      <c r="K647" s="1">
        <v>2.4</v>
      </c>
      <c r="L647" s="1" t="s">
        <v>49</v>
      </c>
      <c r="M647" s="1" t="s">
        <v>107</v>
      </c>
      <c r="N647" s="1" t="str">
        <f t="shared" si="10"/>
        <v>Normal</v>
      </c>
    </row>
    <row r="648" spans="1:14" x14ac:dyDescent="0.25">
      <c r="A648" s="1" t="s">
        <v>1438</v>
      </c>
      <c r="B648" s="1" t="s">
        <v>88</v>
      </c>
      <c r="C648" s="1" t="s">
        <v>622</v>
      </c>
      <c r="D648" s="1" t="s">
        <v>39</v>
      </c>
      <c r="E648" s="1" t="s">
        <v>72</v>
      </c>
      <c r="F648" s="1" t="s">
        <v>18</v>
      </c>
      <c r="G648" s="1">
        <v>483038</v>
      </c>
      <c r="H648" s="63">
        <v>45551</v>
      </c>
      <c r="I648" s="63">
        <v>45677</v>
      </c>
      <c r="J648" s="1">
        <v>126</v>
      </c>
      <c r="K648" s="1">
        <v>8.1999999999999993</v>
      </c>
      <c r="L648" s="1" t="s">
        <v>29</v>
      </c>
      <c r="M648" s="1" t="s">
        <v>149</v>
      </c>
      <c r="N648" s="1" t="str">
        <f t="shared" si="10"/>
        <v>Normal</v>
      </c>
    </row>
    <row r="649" spans="1:14" x14ac:dyDescent="0.25">
      <c r="A649" s="1" t="s">
        <v>1440</v>
      </c>
      <c r="B649" s="1" t="s">
        <v>104</v>
      </c>
      <c r="C649" s="1" t="s">
        <v>574</v>
      </c>
      <c r="D649" s="1" t="s">
        <v>39</v>
      </c>
      <c r="E649" s="1" t="s">
        <v>17</v>
      </c>
      <c r="F649" s="1" t="s">
        <v>27</v>
      </c>
      <c r="G649" s="1">
        <v>45317</v>
      </c>
      <c r="H649" s="63">
        <v>45739</v>
      </c>
      <c r="J649" s="1"/>
      <c r="K649" s="1"/>
      <c r="L649" s="1" t="s">
        <v>96</v>
      </c>
      <c r="M649" s="1" t="s">
        <v>63</v>
      </c>
      <c r="N649" s="1" t="str">
        <f t="shared" si="10"/>
        <v>Normal</v>
      </c>
    </row>
    <row r="650" spans="1:14" x14ac:dyDescent="0.25">
      <c r="A650" s="1" t="s">
        <v>1441</v>
      </c>
      <c r="B650" s="1" t="s">
        <v>109</v>
      </c>
      <c r="C650" s="1" t="s">
        <v>967</v>
      </c>
      <c r="D650" s="1" t="s">
        <v>67</v>
      </c>
      <c r="E650" s="1" t="s">
        <v>47</v>
      </c>
      <c r="F650" s="1" t="s">
        <v>27</v>
      </c>
      <c r="G650" s="1">
        <v>301601</v>
      </c>
      <c r="H650" s="63">
        <v>45032</v>
      </c>
      <c r="J650" s="1"/>
      <c r="K650" s="1">
        <v>1.9</v>
      </c>
      <c r="L650" s="1" t="s">
        <v>49</v>
      </c>
      <c r="M650" s="1" t="s">
        <v>30</v>
      </c>
      <c r="N650" s="1" t="str">
        <f t="shared" si="10"/>
        <v>Normal</v>
      </c>
    </row>
    <row r="651" spans="1:14" x14ac:dyDescent="0.25">
      <c r="A651" s="1" t="s">
        <v>1442</v>
      </c>
      <c r="B651" s="1" t="s">
        <v>59</v>
      </c>
      <c r="C651" s="1" t="s">
        <v>912</v>
      </c>
      <c r="D651" s="1" t="s">
        <v>67</v>
      </c>
      <c r="E651" s="1" t="s">
        <v>17</v>
      </c>
      <c r="F651" s="1" t="s">
        <v>40</v>
      </c>
      <c r="G651" s="1">
        <v>83149</v>
      </c>
      <c r="H651" s="63">
        <v>45482</v>
      </c>
      <c r="I651" s="63">
        <v>45611</v>
      </c>
      <c r="J651" s="1">
        <v>129</v>
      </c>
      <c r="K651" s="1">
        <v>24.7</v>
      </c>
      <c r="L651" s="1" t="s">
        <v>20</v>
      </c>
      <c r="M651" s="1" t="s">
        <v>149</v>
      </c>
      <c r="N651" s="1" t="str">
        <f t="shared" si="10"/>
        <v>Normal</v>
      </c>
    </row>
    <row r="652" spans="1:14" x14ac:dyDescent="0.25">
      <c r="A652" s="1" t="s">
        <v>1444</v>
      </c>
      <c r="B652" s="1" t="s">
        <v>4829</v>
      </c>
      <c r="C652" s="1" t="s">
        <v>1147</v>
      </c>
      <c r="D652" s="1" t="s">
        <v>16</v>
      </c>
      <c r="E652" s="1" t="s">
        <v>77</v>
      </c>
      <c r="F652" s="1" t="s">
        <v>53</v>
      </c>
      <c r="G652" s="1">
        <v>490153</v>
      </c>
      <c r="H652" s="63">
        <v>45038</v>
      </c>
      <c r="J652" s="1"/>
      <c r="K652" s="1">
        <v>7</v>
      </c>
      <c r="L652" s="1" t="s">
        <v>20</v>
      </c>
      <c r="M652" s="1" t="s">
        <v>30</v>
      </c>
      <c r="N652" s="1" t="str">
        <f t="shared" si="10"/>
        <v>Normal</v>
      </c>
    </row>
    <row r="653" spans="1:14" x14ac:dyDescent="0.25">
      <c r="A653" s="1" t="s">
        <v>1445</v>
      </c>
      <c r="B653" s="1" t="s">
        <v>88</v>
      </c>
      <c r="C653" s="1" t="s">
        <v>539</v>
      </c>
      <c r="D653" s="1" t="s">
        <v>16</v>
      </c>
      <c r="E653" s="1" t="s">
        <v>61</v>
      </c>
      <c r="F653" s="1" t="s">
        <v>33</v>
      </c>
      <c r="G653" s="1">
        <v>345449</v>
      </c>
      <c r="H653" s="63">
        <v>45476</v>
      </c>
      <c r="J653" s="1"/>
      <c r="K653" s="1">
        <v>13.1</v>
      </c>
      <c r="L653" s="1" t="s">
        <v>20</v>
      </c>
      <c r="M653" s="1" t="s">
        <v>149</v>
      </c>
      <c r="N653" s="1" t="str">
        <f t="shared" si="10"/>
        <v>Normal</v>
      </c>
    </row>
    <row r="654" spans="1:14" x14ac:dyDescent="0.25">
      <c r="A654" s="1" t="s">
        <v>1447</v>
      </c>
      <c r="B654" s="1" t="s">
        <v>127</v>
      </c>
      <c r="C654" s="1" t="s">
        <v>45</v>
      </c>
      <c r="D654" s="1" t="s">
        <v>16</v>
      </c>
      <c r="E654" s="1" t="s">
        <v>77</v>
      </c>
      <c r="F654" s="1" t="s">
        <v>27</v>
      </c>
      <c r="G654" s="1">
        <v>205263</v>
      </c>
      <c r="H654" s="63">
        <v>45351</v>
      </c>
      <c r="J654" s="1"/>
      <c r="K654" s="1">
        <v>5.4</v>
      </c>
      <c r="L654" s="1" t="s">
        <v>29</v>
      </c>
      <c r="M654" s="1" t="s">
        <v>69</v>
      </c>
      <c r="N654" s="1" t="str">
        <f t="shared" si="10"/>
        <v>Normal</v>
      </c>
    </row>
    <row r="655" spans="1:14" x14ac:dyDescent="0.25">
      <c r="A655" s="1" t="s">
        <v>1448</v>
      </c>
      <c r="B655" s="1" t="s">
        <v>59</v>
      </c>
      <c r="C655" s="1" t="s">
        <v>1112</v>
      </c>
      <c r="D655" s="1" t="s">
        <v>39</v>
      </c>
      <c r="E655" s="1" t="s">
        <v>4845</v>
      </c>
      <c r="F655" s="1" t="s">
        <v>40</v>
      </c>
      <c r="G655" s="1">
        <v>221854</v>
      </c>
      <c r="H655" s="63">
        <v>45345</v>
      </c>
      <c r="I655" s="63">
        <v>45450</v>
      </c>
      <c r="J655" s="1">
        <v>105</v>
      </c>
      <c r="K655" s="1">
        <v>3.5</v>
      </c>
      <c r="L655" s="1" t="s">
        <v>20</v>
      </c>
      <c r="M655" s="1" t="s">
        <v>69</v>
      </c>
      <c r="N655" s="1" t="str">
        <f t="shared" si="10"/>
        <v>Normal</v>
      </c>
    </row>
    <row r="656" spans="1:14" x14ac:dyDescent="0.25">
      <c r="A656" s="1" t="s">
        <v>1449</v>
      </c>
      <c r="B656" s="1" t="s">
        <v>65</v>
      </c>
      <c r="C656" s="1" t="s">
        <v>561</v>
      </c>
      <c r="D656" s="1" t="s">
        <v>67</v>
      </c>
      <c r="E656" s="1" t="s">
        <v>26</v>
      </c>
      <c r="F656" s="1" t="s">
        <v>129</v>
      </c>
      <c r="G656" s="1">
        <v>285049</v>
      </c>
      <c r="H656" s="63">
        <v>45068</v>
      </c>
      <c r="J656" s="1"/>
      <c r="K656" s="1">
        <v>10.5</v>
      </c>
      <c r="L656" s="1" t="s">
        <v>96</v>
      </c>
      <c r="M656" s="1" t="s">
        <v>30</v>
      </c>
      <c r="N656" s="1" t="str">
        <f t="shared" si="10"/>
        <v>Normal</v>
      </c>
    </row>
    <row r="657" spans="1:14" x14ac:dyDescent="0.25">
      <c r="A657" s="1" t="s">
        <v>1450</v>
      </c>
      <c r="B657" s="1" t="s">
        <v>80</v>
      </c>
      <c r="C657" s="1" t="s">
        <v>1415</v>
      </c>
      <c r="D657" s="1" t="s">
        <v>90</v>
      </c>
      <c r="E657" s="1" t="s">
        <v>94</v>
      </c>
      <c r="F657" s="1" t="s">
        <v>40</v>
      </c>
      <c r="G657" s="1">
        <v>110850</v>
      </c>
      <c r="H657" s="63">
        <v>45684</v>
      </c>
      <c r="I657" s="63">
        <v>45699</v>
      </c>
      <c r="J657" s="1">
        <v>15</v>
      </c>
      <c r="K657" s="1">
        <v>20.399999999999999</v>
      </c>
      <c r="L657" s="1" t="s">
        <v>29</v>
      </c>
      <c r="M657" s="1" t="s">
        <v>63</v>
      </c>
      <c r="N657" s="1" t="str">
        <f t="shared" si="10"/>
        <v>Normal</v>
      </c>
    </row>
    <row r="658" spans="1:14" x14ac:dyDescent="0.25">
      <c r="A658" s="1" t="s">
        <v>1452</v>
      </c>
      <c r="B658" s="1" t="s">
        <v>37</v>
      </c>
      <c r="C658" s="1" t="s">
        <v>471</v>
      </c>
      <c r="D658" s="1" t="s">
        <v>16</v>
      </c>
      <c r="E658" s="1" t="s">
        <v>61</v>
      </c>
      <c r="F658" s="1" t="s">
        <v>53</v>
      </c>
      <c r="G658" s="1">
        <v>291312</v>
      </c>
      <c r="H658" s="63">
        <v>45302</v>
      </c>
      <c r="J658" s="1"/>
      <c r="K658" s="1"/>
      <c r="L658" s="1" t="s">
        <v>49</v>
      </c>
      <c r="M658" s="1" t="s">
        <v>69</v>
      </c>
      <c r="N658" s="1" t="str">
        <f t="shared" si="10"/>
        <v>Normal</v>
      </c>
    </row>
    <row r="659" spans="1:14" x14ac:dyDescent="0.25">
      <c r="A659" s="1" t="s">
        <v>1454</v>
      </c>
      <c r="B659" s="1" t="s">
        <v>84</v>
      </c>
      <c r="C659" s="1" t="s">
        <v>1455</v>
      </c>
      <c r="D659" s="1" t="s">
        <v>25</v>
      </c>
      <c r="E659" s="1" t="s">
        <v>61</v>
      </c>
      <c r="F659" s="1" t="s">
        <v>40</v>
      </c>
      <c r="G659" s="1">
        <v>232669</v>
      </c>
      <c r="H659" s="63">
        <v>45645</v>
      </c>
      <c r="I659" s="63">
        <v>45687</v>
      </c>
      <c r="J659" s="1">
        <v>42</v>
      </c>
      <c r="K659" s="1">
        <v>1.8</v>
      </c>
      <c r="L659" s="1" t="s">
        <v>29</v>
      </c>
      <c r="M659" s="1" t="s">
        <v>42</v>
      </c>
      <c r="N659" s="1" t="str">
        <f t="shared" si="10"/>
        <v>Normal</v>
      </c>
    </row>
    <row r="660" spans="1:14" x14ac:dyDescent="0.25">
      <c r="A660" s="1" t="s">
        <v>1456</v>
      </c>
      <c r="B660" s="1" t="s">
        <v>65</v>
      </c>
      <c r="C660" s="1" t="s">
        <v>1457</v>
      </c>
      <c r="D660" s="1" t="s">
        <v>46</v>
      </c>
      <c r="E660" s="1" t="s">
        <v>47</v>
      </c>
      <c r="F660" s="1" t="s">
        <v>18</v>
      </c>
      <c r="G660" s="1">
        <v>90296</v>
      </c>
      <c r="H660" s="63">
        <v>45085</v>
      </c>
      <c r="I660" s="63">
        <v>45202</v>
      </c>
      <c r="J660" s="1">
        <v>117</v>
      </c>
      <c r="K660" s="1"/>
      <c r="L660" s="1" t="s">
        <v>29</v>
      </c>
      <c r="M660" s="1" t="s">
        <v>30</v>
      </c>
      <c r="N660" s="1" t="str">
        <f t="shared" si="10"/>
        <v>Normal</v>
      </c>
    </row>
    <row r="661" spans="1:14" x14ac:dyDescent="0.25">
      <c r="A661" s="1" t="s">
        <v>1459</v>
      </c>
      <c r="B661" s="1" t="s">
        <v>4829</v>
      </c>
      <c r="C661" s="1" t="s">
        <v>1299</v>
      </c>
      <c r="D661" s="1" t="s">
        <v>46</v>
      </c>
      <c r="E661" s="1" t="s">
        <v>47</v>
      </c>
      <c r="F661" s="1" t="s">
        <v>27</v>
      </c>
      <c r="G661" s="1">
        <v>227492</v>
      </c>
      <c r="H661" s="63">
        <v>45716</v>
      </c>
      <c r="J661" s="1"/>
      <c r="K661" s="1">
        <v>10.6</v>
      </c>
      <c r="L661" s="1" t="s">
        <v>96</v>
      </c>
      <c r="M661" s="1" t="s">
        <v>63</v>
      </c>
      <c r="N661" s="1" t="str">
        <f t="shared" si="10"/>
        <v>Normal</v>
      </c>
    </row>
    <row r="662" spans="1:14" x14ac:dyDescent="0.25">
      <c r="A662" s="1" t="s">
        <v>1460</v>
      </c>
      <c r="B662" s="1" t="s">
        <v>84</v>
      </c>
      <c r="C662" s="1" t="s">
        <v>1018</v>
      </c>
      <c r="D662" s="1" t="s">
        <v>16</v>
      </c>
      <c r="E662" s="1" t="s">
        <v>77</v>
      </c>
      <c r="F662" s="1" t="s">
        <v>40</v>
      </c>
      <c r="G662" s="1">
        <v>113819</v>
      </c>
      <c r="H662" s="63">
        <v>45441</v>
      </c>
      <c r="I662" s="63">
        <v>45484</v>
      </c>
      <c r="J662" s="1">
        <v>43</v>
      </c>
      <c r="K662" s="1">
        <v>20.399999999999999</v>
      </c>
      <c r="L662" s="1" t="s">
        <v>29</v>
      </c>
      <c r="M662" s="1" t="s">
        <v>107</v>
      </c>
      <c r="N662" s="1" t="str">
        <f t="shared" si="10"/>
        <v>Normal</v>
      </c>
    </row>
    <row r="663" spans="1:14" x14ac:dyDescent="0.25">
      <c r="A663" s="1" t="s">
        <v>1461</v>
      </c>
      <c r="B663" s="1" t="s">
        <v>59</v>
      </c>
      <c r="C663" s="1" t="s">
        <v>1462</v>
      </c>
      <c r="D663" s="1" t="s">
        <v>90</v>
      </c>
      <c r="E663" s="1" t="s">
        <v>72</v>
      </c>
      <c r="F663" s="1" t="s">
        <v>33</v>
      </c>
      <c r="G663" s="1">
        <v>349896</v>
      </c>
      <c r="H663" s="63">
        <v>45411</v>
      </c>
      <c r="J663" s="1"/>
      <c r="K663" s="1">
        <v>1.8</v>
      </c>
      <c r="L663" s="1" t="s">
        <v>49</v>
      </c>
      <c r="M663" s="1" t="s">
        <v>107</v>
      </c>
      <c r="N663" s="1" t="str">
        <f t="shared" si="10"/>
        <v>Normal</v>
      </c>
    </row>
    <row r="664" spans="1:14" x14ac:dyDescent="0.25">
      <c r="A664" s="1" t="s">
        <v>1463</v>
      </c>
      <c r="B664" s="1" t="s">
        <v>37</v>
      </c>
      <c r="C664" s="1" t="s">
        <v>135</v>
      </c>
      <c r="D664" s="1" t="s">
        <v>39</v>
      </c>
      <c r="E664" s="1" t="s">
        <v>100</v>
      </c>
      <c r="F664" s="1" t="s">
        <v>18</v>
      </c>
      <c r="G664" s="1">
        <v>128861</v>
      </c>
      <c r="H664" s="63">
        <v>45615</v>
      </c>
      <c r="I664" s="63">
        <v>45687</v>
      </c>
      <c r="J664" s="1">
        <v>72</v>
      </c>
      <c r="K664" s="1">
        <v>10.7</v>
      </c>
      <c r="L664" s="1" t="s">
        <v>20</v>
      </c>
      <c r="M664" s="1" t="s">
        <v>42</v>
      </c>
      <c r="N664" s="1" t="str">
        <f t="shared" si="10"/>
        <v>Normal</v>
      </c>
    </row>
    <row r="665" spans="1:14" x14ac:dyDescent="0.25">
      <c r="A665" s="1" t="s">
        <v>1465</v>
      </c>
      <c r="B665" s="1" t="s">
        <v>59</v>
      </c>
      <c r="C665" s="1" t="s">
        <v>364</v>
      </c>
      <c r="D665" s="1" t="s">
        <v>16</v>
      </c>
      <c r="E665" s="1" t="s">
        <v>61</v>
      </c>
      <c r="F665" s="1" t="s">
        <v>129</v>
      </c>
      <c r="G665" s="1">
        <v>264856</v>
      </c>
      <c r="H665" s="63">
        <v>45669</v>
      </c>
      <c r="J665" s="1"/>
      <c r="K665" s="1">
        <v>9.1999999999999993</v>
      </c>
      <c r="L665" s="1" t="s">
        <v>20</v>
      </c>
      <c r="M665" s="1" t="s">
        <v>63</v>
      </c>
      <c r="N665" s="1" t="str">
        <f t="shared" si="10"/>
        <v>Normal</v>
      </c>
    </row>
    <row r="666" spans="1:14" x14ac:dyDescent="0.25">
      <c r="A666" s="1" t="s">
        <v>1467</v>
      </c>
      <c r="B666" s="1" t="s">
        <v>104</v>
      </c>
      <c r="C666" s="1" t="s">
        <v>273</v>
      </c>
      <c r="D666" s="1" t="s">
        <v>39</v>
      </c>
      <c r="E666" s="1" t="s">
        <v>94</v>
      </c>
      <c r="F666" s="1" t="s">
        <v>18</v>
      </c>
      <c r="G666" s="1">
        <v>264788</v>
      </c>
      <c r="H666" s="63">
        <v>45281</v>
      </c>
      <c r="I666" s="63">
        <v>45379</v>
      </c>
      <c r="J666" s="1">
        <v>98</v>
      </c>
      <c r="K666" s="1"/>
      <c r="L666" s="1" t="s">
        <v>29</v>
      </c>
      <c r="M666" s="1" t="s">
        <v>21</v>
      </c>
      <c r="N666" s="1" t="str">
        <f t="shared" si="10"/>
        <v>Normal</v>
      </c>
    </row>
    <row r="667" spans="1:14" x14ac:dyDescent="0.25">
      <c r="A667" s="1" t="s">
        <v>1469</v>
      </c>
      <c r="B667" s="1" t="s">
        <v>59</v>
      </c>
      <c r="C667" s="1" t="s">
        <v>1470</v>
      </c>
      <c r="D667" s="1" t="s">
        <v>67</v>
      </c>
      <c r="E667" s="1" t="s">
        <v>72</v>
      </c>
      <c r="F667" s="1" t="s">
        <v>129</v>
      </c>
      <c r="G667" s="1">
        <v>90298</v>
      </c>
      <c r="H667" s="63">
        <v>45284</v>
      </c>
      <c r="J667" s="1"/>
      <c r="K667" s="1">
        <v>6.1</v>
      </c>
      <c r="L667" s="1" t="s">
        <v>29</v>
      </c>
      <c r="M667" s="1" t="s">
        <v>21</v>
      </c>
      <c r="N667" s="1" t="str">
        <f t="shared" si="10"/>
        <v>Normal</v>
      </c>
    </row>
    <row r="668" spans="1:14" x14ac:dyDescent="0.25">
      <c r="A668" s="1" t="s">
        <v>1472</v>
      </c>
      <c r="B668" s="1" t="s">
        <v>88</v>
      </c>
      <c r="C668" s="1" t="s">
        <v>361</v>
      </c>
      <c r="D668" s="1" t="s">
        <v>67</v>
      </c>
      <c r="E668" s="1" t="s">
        <v>47</v>
      </c>
      <c r="F668" s="1" t="s">
        <v>53</v>
      </c>
      <c r="G668" s="1">
        <v>419316</v>
      </c>
      <c r="H668" s="63">
        <v>45421</v>
      </c>
      <c r="J668" s="1"/>
      <c r="K668" s="1"/>
      <c r="L668" s="1" t="s">
        <v>96</v>
      </c>
      <c r="M668" s="1" t="s">
        <v>107</v>
      </c>
      <c r="N668" s="1" t="str">
        <f t="shared" si="10"/>
        <v>Normal</v>
      </c>
    </row>
    <row r="669" spans="1:14" x14ac:dyDescent="0.25">
      <c r="A669" s="1" t="s">
        <v>1473</v>
      </c>
      <c r="B669" s="1" t="s">
        <v>127</v>
      </c>
      <c r="C669" s="1" t="s">
        <v>598</v>
      </c>
      <c r="D669" s="1" t="s">
        <v>25</v>
      </c>
      <c r="E669" s="1" t="s">
        <v>100</v>
      </c>
      <c r="F669" s="1" t="s">
        <v>129</v>
      </c>
      <c r="G669" s="1">
        <v>62633</v>
      </c>
      <c r="H669" s="63">
        <v>45503</v>
      </c>
      <c r="J669" s="1"/>
      <c r="K669" s="1">
        <v>8.1999999999999993</v>
      </c>
      <c r="L669" s="1" t="s">
        <v>96</v>
      </c>
      <c r="M669" s="1" t="s">
        <v>149</v>
      </c>
      <c r="N669" s="1" t="str">
        <f t="shared" si="10"/>
        <v>Normal</v>
      </c>
    </row>
    <row r="670" spans="1:14" x14ac:dyDescent="0.25">
      <c r="A670" s="1" t="s">
        <v>1474</v>
      </c>
      <c r="B670" s="1" t="s">
        <v>88</v>
      </c>
      <c r="C670" s="1" t="s">
        <v>406</v>
      </c>
      <c r="D670" s="1" t="s">
        <v>16</v>
      </c>
      <c r="E670" s="1" t="s">
        <v>26</v>
      </c>
      <c r="F670" s="1" t="s">
        <v>40</v>
      </c>
      <c r="G670" s="1">
        <v>422706</v>
      </c>
      <c r="H670" s="63">
        <v>45481</v>
      </c>
      <c r="I670" s="63">
        <v>45547</v>
      </c>
      <c r="J670" s="1">
        <v>66</v>
      </c>
      <c r="K670" s="1">
        <v>12.1</v>
      </c>
      <c r="L670" s="1" t="s">
        <v>20</v>
      </c>
      <c r="M670" s="1" t="s">
        <v>149</v>
      </c>
      <c r="N670" s="1" t="str">
        <f t="shared" si="10"/>
        <v>Normal</v>
      </c>
    </row>
    <row r="671" spans="1:14" x14ac:dyDescent="0.25">
      <c r="A671" s="1" t="s">
        <v>1476</v>
      </c>
      <c r="B671" s="1" t="s">
        <v>80</v>
      </c>
      <c r="C671" s="1" t="s">
        <v>667</v>
      </c>
      <c r="D671" s="1" t="s">
        <v>39</v>
      </c>
      <c r="E671" s="1" t="s">
        <v>77</v>
      </c>
      <c r="F671" s="1" t="s">
        <v>53</v>
      </c>
      <c r="G671" s="1">
        <v>388925</v>
      </c>
      <c r="H671" s="63">
        <v>45580</v>
      </c>
      <c r="J671" s="1"/>
      <c r="K671" s="1">
        <v>3.7</v>
      </c>
      <c r="L671" s="1" t="s">
        <v>49</v>
      </c>
      <c r="M671" s="1" t="s">
        <v>42</v>
      </c>
      <c r="N671" s="1" t="str">
        <f t="shared" si="10"/>
        <v>Normal</v>
      </c>
    </row>
    <row r="672" spans="1:14" x14ac:dyDescent="0.25">
      <c r="A672" s="1" t="s">
        <v>1478</v>
      </c>
      <c r="B672" s="1" t="s">
        <v>14</v>
      </c>
      <c r="C672" s="1" t="s">
        <v>1479</v>
      </c>
      <c r="D672" s="1" t="s">
        <v>90</v>
      </c>
      <c r="E672" s="1" t="s">
        <v>26</v>
      </c>
      <c r="F672" s="1" t="s">
        <v>53</v>
      </c>
      <c r="G672" s="1">
        <v>217633</v>
      </c>
      <c r="H672" s="63">
        <v>45025</v>
      </c>
      <c r="J672" s="1"/>
      <c r="K672" s="1">
        <v>0.1</v>
      </c>
      <c r="L672" s="1" t="s">
        <v>49</v>
      </c>
      <c r="M672" s="1" t="s">
        <v>30</v>
      </c>
      <c r="N672" s="1" t="str">
        <f t="shared" si="10"/>
        <v>Normal</v>
      </c>
    </row>
    <row r="673" spans="1:14" x14ac:dyDescent="0.25">
      <c r="A673" s="1" t="s">
        <v>1481</v>
      </c>
      <c r="B673" s="1" t="s">
        <v>98</v>
      </c>
      <c r="C673" s="1" t="s">
        <v>352</v>
      </c>
      <c r="D673" s="1" t="s">
        <v>46</v>
      </c>
      <c r="E673" s="1" t="s">
        <v>17</v>
      </c>
      <c r="F673" s="1" t="s">
        <v>129</v>
      </c>
      <c r="G673" s="1">
        <v>110895</v>
      </c>
      <c r="H673" s="63">
        <v>45105</v>
      </c>
      <c r="J673" s="1"/>
      <c r="K673" s="1">
        <v>5.5</v>
      </c>
      <c r="L673" s="1" t="s">
        <v>96</v>
      </c>
      <c r="M673" s="1" t="s">
        <v>30</v>
      </c>
      <c r="N673" s="1" t="str">
        <f t="shared" si="10"/>
        <v>Normal</v>
      </c>
    </row>
    <row r="674" spans="1:14" x14ac:dyDescent="0.25">
      <c r="A674" s="1" t="s">
        <v>1482</v>
      </c>
      <c r="B674" s="1" t="s">
        <v>59</v>
      </c>
      <c r="C674" s="1" t="s">
        <v>1248</v>
      </c>
      <c r="D674" s="1" t="s">
        <v>39</v>
      </c>
      <c r="E674" s="1" t="s">
        <v>26</v>
      </c>
      <c r="F674" s="1" t="s">
        <v>129</v>
      </c>
      <c r="G674" s="1">
        <v>104916</v>
      </c>
      <c r="H674" s="63">
        <v>45180</v>
      </c>
      <c r="J674" s="1"/>
      <c r="K674" s="1"/>
      <c r="L674" s="1" t="s">
        <v>96</v>
      </c>
      <c r="M674" s="1" t="s">
        <v>102</v>
      </c>
      <c r="N674" s="1" t="str">
        <f t="shared" si="10"/>
        <v>Normal</v>
      </c>
    </row>
    <row r="675" spans="1:14" x14ac:dyDescent="0.25">
      <c r="A675" s="1" t="s">
        <v>1484</v>
      </c>
      <c r="B675" s="1" t="s">
        <v>84</v>
      </c>
      <c r="C675" s="1" t="s">
        <v>144</v>
      </c>
      <c r="D675" s="1" t="s">
        <v>25</v>
      </c>
      <c r="E675" s="1" t="s">
        <v>61</v>
      </c>
      <c r="F675" s="1" t="s">
        <v>18</v>
      </c>
      <c r="G675" s="1">
        <v>243009</v>
      </c>
      <c r="H675" s="63">
        <v>45112</v>
      </c>
      <c r="I675" s="63">
        <v>45245</v>
      </c>
      <c r="J675" s="1">
        <v>133</v>
      </c>
      <c r="K675" s="1">
        <v>8.5</v>
      </c>
      <c r="L675" s="1" t="s">
        <v>96</v>
      </c>
      <c r="M675" s="1" t="s">
        <v>102</v>
      </c>
      <c r="N675" s="1" t="str">
        <f t="shared" si="10"/>
        <v>Normal</v>
      </c>
    </row>
    <row r="676" spans="1:14" x14ac:dyDescent="0.25">
      <c r="A676" s="1" t="s">
        <v>1486</v>
      </c>
      <c r="B676" s="1" t="s">
        <v>173</v>
      </c>
      <c r="C676" s="1" t="s">
        <v>885</v>
      </c>
      <c r="D676" s="1" t="s">
        <v>25</v>
      </c>
      <c r="E676" s="1" t="s">
        <v>100</v>
      </c>
      <c r="F676" s="1" t="s">
        <v>27</v>
      </c>
      <c r="G676" s="1">
        <v>98289</v>
      </c>
      <c r="H676" s="63">
        <v>44928</v>
      </c>
      <c r="J676" s="1"/>
      <c r="K676" s="1">
        <v>1.5</v>
      </c>
      <c r="L676" s="1" t="s">
        <v>20</v>
      </c>
      <c r="M676" s="1" t="s">
        <v>35</v>
      </c>
      <c r="N676" s="1" t="str">
        <f t="shared" si="10"/>
        <v>Normal</v>
      </c>
    </row>
    <row r="677" spans="1:14" x14ac:dyDescent="0.25">
      <c r="A677" s="1" t="s">
        <v>1488</v>
      </c>
      <c r="B677" s="1" t="s">
        <v>80</v>
      </c>
      <c r="C677" s="1" t="s">
        <v>983</v>
      </c>
      <c r="D677" s="1" t="s">
        <v>39</v>
      </c>
      <c r="E677" s="1" t="s">
        <v>72</v>
      </c>
      <c r="F677" s="1" t="s">
        <v>27</v>
      </c>
      <c r="G677" s="1">
        <v>71111</v>
      </c>
      <c r="H677" s="63">
        <v>44985</v>
      </c>
      <c r="J677" s="1"/>
      <c r="K677" s="1">
        <v>13.7</v>
      </c>
      <c r="L677" s="1" t="s">
        <v>96</v>
      </c>
      <c r="M677" s="1" t="s">
        <v>35</v>
      </c>
      <c r="N677" s="1" t="str">
        <f t="shared" si="10"/>
        <v>Normal</v>
      </c>
    </row>
    <row r="678" spans="1:14" x14ac:dyDescent="0.25">
      <c r="A678" s="1" t="s">
        <v>1489</v>
      </c>
      <c r="B678" s="1" t="s">
        <v>109</v>
      </c>
      <c r="C678" s="1" t="s">
        <v>292</v>
      </c>
      <c r="D678" s="1" t="s">
        <v>90</v>
      </c>
      <c r="E678" s="1" t="s">
        <v>77</v>
      </c>
      <c r="F678" s="1" t="s">
        <v>40</v>
      </c>
      <c r="G678" s="1">
        <v>111301</v>
      </c>
      <c r="H678" s="63">
        <v>45237</v>
      </c>
      <c r="I678" s="63">
        <v>45348</v>
      </c>
      <c r="J678" s="1">
        <v>111</v>
      </c>
      <c r="K678" s="1">
        <v>15.6</v>
      </c>
      <c r="L678" s="1" t="s">
        <v>20</v>
      </c>
      <c r="M678" s="1" t="s">
        <v>21</v>
      </c>
      <c r="N678" s="1" t="str">
        <f t="shared" si="10"/>
        <v>Normal</v>
      </c>
    </row>
    <row r="679" spans="1:14" x14ac:dyDescent="0.25">
      <c r="A679" s="1" t="s">
        <v>1491</v>
      </c>
      <c r="B679" s="1" t="s">
        <v>173</v>
      </c>
      <c r="C679" s="1" t="s">
        <v>1157</v>
      </c>
      <c r="D679" s="1" t="s">
        <v>39</v>
      </c>
      <c r="E679" s="1" t="s">
        <v>72</v>
      </c>
      <c r="F679" s="1" t="s">
        <v>33</v>
      </c>
      <c r="G679" s="1">
        <v>26848</v>
      </c>
      <c r="H679" s="63">
        <v>45290</v>
      </c>
      <c r="J679" s="1"/>
      <c r="K679" s="1">
        <v>3.7</v>
      </c>
      <c r="L679" s="1" t="s">
        <v>20</v>
      </c>
      <c r="M679" s="1" t="s">
        <v>21</v>
      </c>
      <c r="N679" s="1" t="str">
        <f t="shared" si="10"/>
        <v>Normal</v>
      </c>
    </row>
    <row r="680" spans="1:14" x14ac:dyDescent="0.25">
      <c r="A680" s="1" t="s">
        <v>1493</v>
      </c>
      <c r="B680" s="1" t="s">
        <v>44</v>
      </c>
      <c r="C680" s="1" t="s">
        <v>420</v>
      </c>
      <c r="D680" s="1" t="s">
        <v>46</v>
      </c>
      <c r="E680" s="1" t="s">
        <v>26</v>
      </c>
      <c r="F680" s="1" t="s">
        <v>18</v>
      </c>
      <c r="G680" s="1">
        <v>371590</v>
      </c>
      <c r="H680" s="63">
        <v>45683</v>
      </c>
      <c r="I680" s="63">
        <v>45791</v>
      </c>
      <c r="J680" s="1">
        <v>108</v>
      </c>
      <c r="K680" s="1">
        <v>14</v>
      </c>
      <c r="L680" s="1" t="s">
        <v>29</v>
      </c>
      <c r="M680" s="1" t="s">
        <v>63</v>
      </c>
      <c r="N680" s="1" t="str">
        <f t="shared" si="10"/>
        <v>Normal</v>
      </c>
    </row>
    <row r="681" spans="1:14" x14ac:dyDescent="0.25">
      <c r="A681" s="1" t="s">
        <v>1495</v>
      </c>
      <c r="B681" s="1" t="s">
        <v>37</v>
      </c>
      <c r="C681" s="1" t="s">
        <v>1496</v>
      </c>
      <c r="D681" s="1" t="s">
        <v>16</v>
      </c>
      <c r="E681" s="1" t="s">
        <v>61</v>
      </c>
      <c r="F681" s="1" t="s">
        <v>18</v>
      </c>
      <c r="G681" s="1">
        <v>271730</v>
      </c>
      <c r="H681" s="63">
        <v>45214</v>
      </c>
      <c r="I681" s="63">
        <v>45321</v>
      </c>
      <c r="J681" s="1">
        <v>107</v>
      </c>
      <c r="K681" s="1">
        <v>4.2</v>
      </c>
      <c r="L681" s="1" t="s">
        <v>49</v>
      </c>
      <c r="M681" s="1" t="s">
        <v>21</v>
      </c>
      <c r="N681" s="1" t="str">
        <f t="shared" si="10"/>
        <v>Normal</v>
      </c>
    </row>
    <row r="682" spans="1:14" x14ac:dyDescent="0.25">
      <c r="A682" s="1" t="s">
        <v>1497</v>
      </c>
      <c r="B682" s="1" t="s">
        <v>104</v>
      </c>
      <c r="C682" s="1" t="s">
        <v>1462</v>
      </c>
      <c r="D682" s="1" t="s">
        <v>90</v>
      </c>
      <c r="E682" s="1" t="s">
        <v>72</v>
      </c>
      <c r="F682" s="1" t="s">
        <v>33</v>
      </c>
      <c r="G682" s="1">
        <v>64345</v>
      </c>
      <c r="H682" s="63">
        <v>45214</v>
      </c>
      <c r="J682" s="1"/>
      <c r="K682" s="1"/>
      <c r="L682" s="1" t="s">
        <v>49</v>
      </c>
      <c r="M682" s="1" t="s">
        <v>21</v>
      </c>
      <c r="N682" s="1" t="str">
        <f t="shared" si="10"/>
        <v>Normal</v>
      </c>
    </row>
    <row r="683" spans="1:14" x14ac:dyDescent="0.25">
      <c r="A683" s="1" t="s">
        <v>1498</v>
      </c>
      <c r="B683" s="1" t="s">
        <v>23</v>
      </c>
      <c r="C683" s="1" t="s">
        <v>869</v>
      </c>
      <c r="D683" s="1" t="s">
        <v>67</v>
      </c>
      <c r="E683" s="1" t="s">
        <v>77</v>
      </c>
      <c r="F683" s="1" t="s">
        <v>40</v>
      </c>
      <c r="G683" s="1">
        <v>386714</v>
      </c>
      <c r="H683" s="63">
        <v>45331</v>
      </c>
      <c r="I683" s="63">
        <v>45511</v>
      </c>
      <c r="J683" s="1">
        <v>180</v>
      </c>
      <c r="K683" s="1">
        <v>4.3</v>
      </c>
      <c r="L683" s="1" t="s">
        <v>29</v>
      </c>
      <c r="M683" s="1" t="s">
        <v>69</v>
      </c>
      <c r="N683" s="1" t="str">
        <f t="shared" si="10"/>
        <v>Normal</v>
      </c>
    </row>
    <row r="684" spans="1:14" x14ac:dyDescent="0.25">
      <c r="A684" s="1" t="s">
        <v>1500</v>
      </c>
      <c r="B684" s="1" t="s">
        <v>88</v>
      </c>
      <c r="C684" s="1" t="s">
        <v>983</v>
      </c>
      <c r="D684" s="1" t="s">
        <v>67</v>
      </c>
      <c r="E684" s="1" t="s">
        <v>4845</v>
      </c>
      <c r="F684" s="1" t="s">
        <v>40</v>
      </c>
      <c r="G684" s="1">
        <v>283693</v>
      </c>
      <c r="H684" s="63">
        <v>45028</v>
      </c>
      <c r="I684" s="63">
        <v>45112</v>
      </c>
      <c r="J684" s="1">
        <v>84</v>
      </c>
      <c r="K684" s="1">
        <v>12.9</v>
      </c>
      <c r="L684" s="1" t="s">
        <v>49</v>
      </c>
      <c r="M684" s="1" t="s">
        <v>30</v>
      </c>
      <c r="N684" s="1" t="str">
        <f t="shared" si="10"/>
        <v>Normal</v>
      </c>
    </row>
    <row r="685" spans="1:14" x14ac:dyDescent="0.25">
      <c r="A685" s="1" t="s">
        <v>1501</v>
      </c>
      <c r="B685" s="1" t="s">
        <v>59</v>
      </c>
      <c r="C685" s="1" t="s">
        <v>119</v>
      </c>
      <c r="D685" s="1" t="s">
        <v>46</v>
      </c>
      <c r="E685" s="1" t="s">
        <v>72</v>
      </c>
      <c r="F685" s="1" t="s">
        <v>33</v>
      </c>
      <c r="G685" s="1">
        <v>325517</v>
      </c>
      <c r="H685" s="63">
        <v>45149</v>
      </c>
      <c r="J685" s="1"/>
      <c r="K685" s="1"/>
      <c r="L685" s="1" t="s">
        <v>96</v>
      </c>
      <c r="M685" s="1" t="s">
        <v>102</v>
      </c>
      <c r="N685" s="1" t="str">
        <f t="shared" si="10"/>
        <v>Normal</v>
      </c>
    </row>
    <row r="686" spans="1:14" x14ac:dyDescent="0.25">
      <c r="A686" s="1" t="s">
        <v>1503</v>
      </c>
      <c r="B686" s="1" t="s">
        <v>44</v>
      </c>
      <c r="C686" s="1" t="s">
        <v>831</v>
      </c>
      <c r="D686" s="1" t="s">
        <v>46</v>
      </c>
      <c r="E686" s="1" t="s">
        <v>47</v>
      </c>
      <c r="F686" s="1" t="s">
        <v>33</v>
      </c>
      <c r="G686" s="1">
        <v>128091</v>
      </c>
      <c r="H686" s="63">
        <v>45244</v>
      </c>
      <c r="J686" s="1"/>
      <c r="K686" s="1"/>
      <c r="L686" s="1" t="s">
        <v>20</v>
      </c>
      <c r="M686" s="1" t="s">
        <v>21</v>
      </c>
      <c r="N686" s="1" t="str">
        <f t="shared" si="10"/>
        <v>Normal</v>
      </c>
    </row>
    <row r="687" spans="1:14" x14ac:dyDescent="0.25">
      <c r="A687" s="1" t="s">
        <v>1505</v>
      </c>
      <c r="B687" s="1" t="s">
        <v>84</v>
      </c>
      <c r="C687" s="1" t="s">
        <v>220</v>
      </c>
      <c r="D687" s="1" t="s">
        <v>90</v>
      </c>
      <c r="E687" s="1" t="s">
        <v>26</v>
      </c>
      <c r="F687" s="1" t="s">
        <v>40</v>
      </c>
      <c r="G687" s="1">
        <v>312200</v>
      </c>
      <c r="H687" s="63">
        <v>45653</v>
      </c>
      <c r="I687" s="63">
        <v>45699</v>
      </c>
      <c r="J687" s="1">
        <v>46</v>
      </c>
      <c r="K687" s="1">
        <v>4.5</v>
      </c>
      <c r="L687" s="1" t="s">
        <v>49</v>
      </c>
      <c r="M687" s="1" t="s">
        <v>42</v>
      </c>
      <c r="N687" s="1" t="str">
        <f t="shared" si="10"/>
        <v>Normal</v>
      </c>
    </row>
    <row r="688" spans="1:14" x14ac:dyDescent="0.25">
      <c r="A688" s="1" t="s">
        <v>1507</v>
      </c>
      <c r="B688" s="1" t="s">
        <v>23</v>
      </c>
      <c r="C688" s="1" t="s">
        <v>426</v>
      </c>
      <c r="D688" s="1" t="s">
        <v>39</v>
      </c>
      <c r="E688" s="1" t="s">
        <v>100</v>
      </c>
      <c r="F688" s="1" t="s">
        <v>18</v>
      </c>
      <c r="G688" s="1">
        <v>419053</v>
      </c>
      <c r="H688" s="63">
        <v>45596</v>
      </c>
      <c r="I688" s="63">
        <v>45673</v>
      </c>
      <c r="J688" s="1">
        <v>77</v>
      </c>
      <c r="K688" s="1">
        <v>4</v>
      </c>
      <c r="L688" s="1" t="s">
        <v>96</v>
      </c>
      <c r="M688" s="1" t="s">
        <v>42</v>
      </c>
      <c r="N688" s="1" t="str">
        <f t="shared" si="10"/>
        <v>Normal</v>
      </c>
    </row>
    <row r="689" spans="1:14" x14ac:dyDescent="0.25">
      <c r="A689" s="1" t="s">
        <v>1509</v>
      </c>
      <c r="B689" s="1" t="s">
        <v>84</v>
      </c>
      <c r="C689" s="1" t="s">
        <v>466</v>
      </c>
      <c r="D689" s="1" t="s">
        <v>46</v>
      </c>
      <c r="E689" s="1" t="s">
        <v>47</v>
      </c>
      <c r="F689" s="1" t="s">
        <v>33</v>
      </c>
      <c r="G689" s="1">
        <v>90060</v>
      </c>
      <c r="H689" s="63">
        <v>45287</v>
      </c>
      <c r="J689" s="1"/>
      <c r="K689" s="1">
        <v>8.5</v>
      </c>
      <c r="L689" s="1" t="s">
        <v>20</v>
      </c>
      <c r="M689" s="1" t="s">
        <v>21</v>
      </c>
      <c r="N689" s="1" t="str">
        <f t="shared" si="10"/>
        <v>Normal</v>
      </c>
    </row>
    <row r="690" spans="1:14" x14ac:dyDescent="0.25">
      <c r="A690" s="1" t="s">
        <v>1510</v>
      </c>
      <c r="B690" s="1" t="s">
        <v>88</v>
      </c>
      <c r="C690" s="1" t="s">
        <v>699</v>
      </c>
      <c r="D690" s="1" t="s">
        <v>25</v>
      </c>
      <c r="E690" s="1" t="s">
        <v>17</v>
      </c>
      <c r="F690" s="1" t="s">
        <v>40</v>
      </c>
      <c r="G690" s="1">
        <v>200610</v>
      </c>
      <c r="H690" s="63">
        <v>45335</v>
      </c>
      <c r="I690" s="63">
        <v>45510</v>
      </c>
      <c r="J690" s="1">
        <v>175</v>
      </c>
      <c r="K690" s="1">
        <v>8.1999999999999993</v>
      </c>
      <c r="L690" s="1" t="s">
        <v>96</v>
      </c>
      <c r="M690" s="1" t="s">
        <v>69</v>
      </c>
      <c r="N690" s="1" t="str">
        <f t="shared" si="10"/>
        <v>Normal</v>
      </c>
    </row>
    <row r="691" spans="1:14" x14ac:dyDescent="0.25">
      <c r="A691" s="1" t="s">
        <v>1511</v>
      </c>
      <c r="B691" s="1" t="s">
        <v>109</v>
      </c>
      <c r="C691" s="1" t="s">
        <v>189</v>
      </c>
      <c r="D691" s="1" t="s">
        <v>90</v>
      </c>
      <c r="E691" s="1" t="s">
        <v>17</v>
      </c>
      <c r="F691" s="1" t="s">
        <v>53</v>
      </c>
      <c r="G691" s="1">
        <v>308545</v>
      </c>
      <c r="H691" s="63">
        <v>45328</v>
      </c>
      <c r="J691" s="1"/>
      <c r="K691" s="1"/>
      <c r="L691" s="1" t="s">
        <v>20</v>
      </c>
      <c r="M691" s="1" t="s">
        <v>69</v>
      </c>
      <c r="N691" s="1" t="str">
        <f t="shared" si="10"/>
        <v>Normal</v>
      </c>
    </row>
    <row r="692" spans="1:14" x14ac:dyDescent="0.25">
      <c r="A692" s="1" t="s">
        <v>1513</v>
      </c>
      <c r="B692" s="1" t="s">
        <v>14</v>
      </c>
      <c r="C692" s="1" t="s">
        <v>972</v>
      </c>
      <c r="D692" s="1" t="s">
        <v>67</v>
      </c>
      <c r="E692" s="1" t="s">
        <v>94</v>
      </c>
      <c r="F692" s="1" t="s">
        <v>18</v>
      </c>
      <c r="G692" s="1">
        <v>159784</v>
      </c>
      <c r="H692" s="63">
        <v>45464</v>
      </c>
      <c r="I692" s="63">
        <v>45640</v>
      </c>
      <c r="J692" s="1">
        <v>176</v>
      </c>
      <c r="K692" s="1"/>
      <c r="L692" s="1" t="s">
        <v>20</v>
      </c>
      <c r="M692" s="1" t="s">
        <v>107</v>
      </c>
      <c r="N692" s="1" t="str">
        <f t="shared" si="10"/>
        <v>Normal</v>
      </c>
    </row>
    <row r="693" spans="1:14" x14ac:dyDescent="0.25">
      <c r="A693" s="1" t="s">
        <v>1514</v>
      </c>
      <c r="B693" s="1" t="s">
        <v>88</v>
      </c>
      <c r="C693" s="1" t="s">
        <v>1258</v>
      </c>
      <c r="D693" s="1" t="s">
        <v>90</v>
      </c>
      <c r="E693" s="1" t="s">
        <v>17</v>
      </c>
      <c r="F693" s="1" t="s">
        <v>18</v>
      </c>
      <c r="G693" s="1">
        <v>153360</v>
      </c>
      <c r="H693" s="63">
        <v>45197</v>
      </c>
      <c r="I693" s="63">
        <v>45302</v>
      </c>
      <c r="J693" s="1">
        <v>105</v>
      </c>
      <c r="K693" s="1">
        <v>12.3</v>
      </c>
      <c r="L693" s="1" t="s">
        <v>29</v>
      </c>
      <c r="M693" s="1" t="s">
        <v>102</v>
      </c>
      <c r="N693" s="1" t="str">
        <f t="shared" si="10"/>
        <v>Normal</v>
      </c>
    </row>
    <row r="694" spans="1:14" x14ac:dyDescent="0.25">
      <c r="A694" s="1" t="s">
        <v>1516</v>
      </c>
      <c r="B694" s="1" t="s">
        <v>59</v>
      </c>
      <c r="C694" s="1" t="s">
        <v>85</v>
      </c>
      <c r="D694" s="1" t="s">
        <v>90</v>
      </c>
      <c r="E694" s="1" t="s">
        <v>17</v>
      </c>
      <c r="F694" s="1" t="s">
        <v>40</v>
      </c>
      <c r="G694" s="1">
        <v>368486</v>
      </c>
      <c r="H694" s="63">
        <v>45094</v>
      </c>
      <c r="I694" s="63">
        <v>45133</v>
      </c>
      <c r="J694" s="1">
        <v>39</v>
      </c>
      <c r="K694" s="1">
        <v>13.5</v>
      </c>
      <c r="L694" s="1" t="s">
        <v>20</v>
      </c>
      <c r="M694" s="1" t="s">
        <v>30</v>
      </c>
      <c r="N694" s="1" t="str">
        <f t="shared" si="10"/>
        <v>Normal</v>
      </c>
    </row>
    <row r="695" spans="1:14" x14ac:dyDescent="0.25">
      <c r="A695" s="1" t="s">
        <v>1517</v>
      </c>
      <c r="B695" s="1" t="s">
        <v>37</v>
      </c>
      <c r="C695" s="1" t="s">
        <v>1518</v>
      </c>
      <c r="D695" s="1" t="s">
        <v>67</v>
      </c>
      <c r="E695" s="1" t="s">
        <v>26</v>
      </c>
      <c r="F695" s="1" t="s">
        <v>53</v>
      </c>
      <c r="G695" s="1">
        <v>219243</v>
      </c>
      <c r="H695" s="63">
        <v>45257</v>
      </c>
      <c r="J695" s="1"/>
      <c r="K695" s="1">
        <v>11.8</v>
      </c>
      <c r="L695" s="1" t="s">
        <v>20</v>
      </c>
      <c r="M695" s="1" t="s">
        <v>21</v>
      </c>
      <c r="N695" s="1" t="str">
        <f t="shared" si="10"/>
        <v>Normal</v>
      </c>
    </row>
    <row r="696" spans="1:14" x14ac:dyDescent="0.25">
      <c r="A696" s="1" t="s">
        <v>1519</v>
      </c>
      <c r="B696" s="1" t="s">
        <v>4829</v>
      </c>
      <c r="C696" s="1" t="s">
        <v>303</v>
      </c>
      <c r="D696" s="1" t="s">
        <v>39</v>
      </c>
      <c r="E696" s="1" t="s">
        <v>17</v>
      </c>
      <c r="F696" s="1" t="s">
        <v>33</v>
      </c>
      <c r="G696" s="1">
        <v>338034</v>
      </c>
      <c r="H696" s="63">
        <v>44994</v>
      </c>
      <c r="J696" s="1"/>
      <c r="K696" s="1">
        <v>6.2</v>
      </c>
      <c r="L696" s="1" t="s">
        <v>49</v>
      </c>
      <c r="M696" s="1" t="s">
        <v>35</v>
      </c>
      <c r="N696" s="1" t="str">
        <f t="shared" si="10"/>
        <v>Normal</v>
      </c>
    </row>
    <row r="697" spans="1:14" x14ac:dyDescent="0.25">
      <c r="A697" s="1" t="s">
        <v>1520</v>
      </c>
      <c r="B697" s="1" t="s">
        <v>109</v>
      </c>
      <c r="C697" s="1" t="s">
        <v>213</v>
      </c>
      <c r="D697" s="1" t="s">
        <v>39</v>
      </c>
      <c r="E697" s="1" t="s">
        <v>77</v>
      </c>
      <c r="F697" s="1" t="s">
        <v>40</v>
      </c>
      <c r="G697" s="1">
        <v>44452</v>
      </c>
      <c r="H697" s="63">
        <v>45254</v>
      </c>
      <c r="I697" s="63">
        <v>45387</v>
      </c>
      <c r="J697" s="1">
        <v>133</v>
      </c>
      <c r="K697" s="1">
        <v>23.6</v>
      </c>
      <c r="L697" s="1" t="s">
        <v>96</v>
      </c>
      <c r="M697" s="1" t="s">
        <v>21</v>
      </c>
      <c r="N697" s="1" t="str">
        <f t="shared" si="10"/>
        <v>Normal</v>
      </c>
    </row>
    <row r="698" spans="1:14" x14ac:dyDescent="0.25">
      <c r="A698" s="1" t="s">
        <v>1521</v>
      </c>
      <c r="B698" s="1" t="s">
        <v>65</v>
      </c>
      <c r="C698" s="1" t="s">
        <v>679</v>
      </c>
      <c r="D698" s="1" t="s">
        <v>39</v>
      </c>
      <c r="E698" s="1" t="s">
        <v>94</v>
      </c>
      <c r="F698" s="1" t="s">
        <v>40</v>
      </c>
      <c r="G698" s="1">
        <v>82176</v>
      </c>
      <c r="H698" s="63">
        <v>45097</v>
      </c>
      <c r="I698" s="63">
        <v>45146</v>
      </c>
      <c r="J698" s="1">
        <v>49</v>
      </c>
      <c r="K698" s="1">
        <v>20.100000000000001</v>
      </c>
      <c r="L698" s="1" t="s">
        <v>20</v>
      </c>
      <c r="M698" s="1" t="s">
        <v>30</v>
      </c>
      <c r="N698" s="1" t="str">
        <f t="shared" si="10"/>
        <v>Normal</v>
      </c>
    </row>
    <row r="699" spans="1:14" x14ac:dyDescent="0.25">
      <c r="A699" s="1" t="s">
        <v>1523</v>
      </c>
      <c r="B699" s="1" t="s">
        <v>104</v>
      </c>
      <c r="C699" s="1" t="s">
        <v>381</v>
      </c>
      <c r="D699" s="1" t="s">
        <v>67</v>
      </c>
      <c r="E699" s="1" t="s">
        <v>61</v>
      </c>
      <c r="F699" s="1" t="s">
        <v>33</v>
      </c>
      <c r="G699" s="1">
        <v>125285</v>
      </c>
      <c r="H699" s="63">
        <v>45544</v>
      </c>
      <c r="J699" s="1"/>
      <c r="K699" s="1"/>
      <c r="L699" s="1" t="s">
        <v>29</v>
      </c>
      <c r="M699" s="1" t="s">
        <v>149</v>
      </c>
      <c r="N699" s="1" t="str">
        <f t="shared" si="10"/>
        <v>Normal</v>
      </c>
    </row>
    <row r="700" spans="1:14" x14ac:dyDescent="0.25">
      <c r="A700" s="1" t="s">
        <v>1525</v>
      </c>
      <c r="B700" s="1" t="s">
        <v>88</v>
      </c>
      <c r="C700" s="1" t="s">
        <v>1526</v>
      </c>
      <c r="D700" s="1" t="s">
        <v>67</v>
      </c>
      <c r="E700" s="1" t="s">
        <v>61</v>
      </c>
      <c r="F700" s="1" t="s">
        <v>129</v>
      </c>
      <c r="G700" s="1">
        <v>401023</v>
      </c>
      <c r="H700" s="63">
        <v>45039</v>
      </c>
      <c r="J700" s="1"/>
      <c r="K700" s="1">
        <v>10.6</v>
      </c>
      <c r="L700" s="1" t="s">
        <v>49</v>
      </c>
      <c r="M700" s="1" t="s">
        <v>30</v>
      </c>
      <c r="N700" s="1" t="str">
        <f t="shared" si="10"/>
        <v>Normal</v>
      </c>
    </row>
    <row r="701" spans="1:14" x14ac:dyDescent="0.25">
      <c r="A701" s="1" t="s">
        <v>1528</v>
      </c>
      <c r="B701" s="1" t="s">
        <v>14</v>
      </c>
      <c r="C701" s="1" t="s">
        <v>331</v>
      </c>
      <c r="D701" s="1" t="s">
        <v>16</v>
      </c>
      <c r="E701" s="1" t="s">
        <v>26</v>
      </c>
      <c r="F701" s="1" t="s">
        <v>27</v>
      </c>
      <c r="G701" s="1">
        <v>234132</v>
      </c>
      <c r="H701" s="63">
        <v>45260</v>
      </c>
      <c r="J701" s="1"/>
      <c r="K701" s="1">
        <v>8.4</v>
      </c>
      <c r="L701" s="1" t="s">
        <v>29</v>
      </c>
      <c r="M701" s="1" t="s">
        <v>21</v>
      </c>
      <c r="N701" s="1" t="str">
        <f t="shared" si="10"/>
        <v>Normal</v>
      </c>
    </row>
    <row r="702" spans="1:14" x14ac:dyDescent="0.25">
      <c r="A702" s="1" t="s">
        <v>1529</v>
      </c>
      <c r="B702" s="1" t="s">
        <v>84</v>
      </c>
      <c r="C702" s="1" t="s">
        <v>625</v>
      </c>
      <c r="D702" s="1" t="s">
        <v>67</v>
      </c>
      <c r="E702" s="1" t="s">
        <v>100</v>
      </c>
      <c r="F702" s="1" t="s">
        <v>40</v>
      </c>
      <c r="G702" s="1">
        <v>137837</v>
      </c>
      <c r="H702" s="63">
        <v>45258</v>
      </c>
      <c r="I702" s="63">
        <v>45341</v>
      </c>
      <c r="J702" s="1">
        <v>83</v>
      </c>
      <c r="K702" s="1">
        <v>22.5</v>
      </c>
      <c r="L702" s="1" t="s">
        <v>96</v>
      </c>
      <c r="M702" s="1" t="s">
        <v>21</v>
      </c>
      <c r="N702" s="1" t="str">
        <f t="shared" si="10"/>
        <v>Normal</v>
      </c>
    </row>
    <row r="703" spans="1:14" x14ac:dyDescent="0.25">
      <c r="A703" s="1" t="s">
        <v>1530</v>
      </c>
      <c r="B703" s="1" t="s">
        <v>65</v>
      </c>
      <c r="C703" s="1" t="s">
        <v>1095</v>
      </c>
      <c r="D703" s="1" t="s">
        <v>16</v>
      </c>
      <c r="E703" s="1" t="s">
        <v>94</v>
      </c>
      <c r="F703" s="1" t="s">
        <v>33</v>
      </c>
      <c r="G703" s="1">
        <v>183365</v>
      </c>
      <c r="H703" s="63">
        <v>44981</v>
      </c>
      <c r="J703" s="1"/>
      <c r="K703" s="1">
        <v>6.1</v>
      </c>
      <c r="L703" s="1" t="s">
        <v>96</v>
      </c>
      <c r="M703" s="1" t="s">
        <v>35</v>
      </c>
      <c r="N703" s="1" t="str">
        <f t="shared" si="10"/>
        <v>Normal</v>
      </c>
    </row>
    <row r="704" spans="1:14" x14ac:dyDescent="0.25">
      <c r="A704" s="1" t="s">
        <v>1531</v>
      </c>
      <c r="B704" s="1" t="s">
        <v>104</v>
      </c>
      <c r="C704" s="1" t="s">
        <v>944</v>
      </c>
      <c r="D704" s="1" t="s">
        <v>67</v>
      </c>
      <c r="E704" s="1" t="s">
        <v>100</v>
      </c>
      <c r="F704" s="1" t="s">
        <v>27</v>
      </c>
      <c r="G704" s="1">
        <v>116944</v>
      </c>
      <c r="H704" s="63">
        <v>45234</v>
      </c>
      <c r="J704" s="1"/>
      <c r="K704" s="1"/>
      <c r="L704" s="1" t="s">
        <v>49</v>
      </c>
      <c r="M704" s="1" t="s">
        <v>21</v>
      </c>
      <c r="N704" s="1" t="str">
        <f t="shared" si="10"/>
        <v>Normal</v>
      </c>
    </row>
    <row r="705" spans="1:14" x14ac:dyDescent="0.25">
      <c r="A705" s="1" t="s">
        <v>1533</v>
      </c>
      <c r="B705" s="1" t="s">
        <v>14</v>
      </c>
      <c r="C705" s="1" t="s">
        <v>705</v>
      </c>
      <c r="D705" s="1" t="s">
        <v>16</v>
      </c>
      <c r="E705" s="1" t="s">
        <v>17</v>
      </c>
      <c r="F705" s="1" t="s">
        <v>40</v>
      </c>
      <c r="G705" s="1">
        <v>53362</v>
      </c>
      <c r="H705" s="63">
        <v>45689</v>
      </c>
      <c r="I705" s="63">
        <v>45836</v>
      </c>
      <c r="J705" s="1">
        <v>147</v>
      </c>
      <c r="K705" s="1">
        <v>15.6</v>
      </c>
      <c r="L705" s="1" t="s">
        <v>49</v>
      </c>
      <c r="M705" s="1" t="s">
        <v>63</v>
      </c>
      <c r="N705" s="1" t="str">
        <f t="shared" si="10"/>
        <v>Normal</v>
      </c>
    </row>
    <row r="706" spans="1:14" x14ac:dyDescent="0.25">
      <c r="A706" s="1" t="s">
        <v>1535</v>
      </c>
      <c r="B706" s="1" t="s">
        <v>173</v>
      </c>
      <c r="C706" s="1" t="s">
        <v>555</v>
      </c>
      <c r="D706" s="1" t="s">
        <v>39</v>
      </c>
      <c r="E706" s="1" t="s">
        <v>26</v>
      </c>
      <c r="F706" s="1" t="s">
        <v>129</v>
      </c>
      <c r="G706" s="1">
        <v>465789</v>
      </c>
      <c r="H706" s="63">
        <v>45573</v>
      </c>
      <c r="J706" s="1"/>
      <c r="K706" s="1"/>
      <c r="L706" s="1" t="s">
        <v>49</v>
      </c>
      <c r="M706" s="1" t="s">
        <v>42</v>
      </c>
      <c r="N706" s="1" t="str">
        <f t="shared" ref="N706:N769" si="11">IF(G706&gt;$R$5,"High Outlier",IF(G706&lt;$R$6,"Low Outlier","Normal"))</f>
        <v>Normal</v>
      </c>
    </row>
    <row r="707" spans="1:14" x14ac:dyDescent="0.25">
      <c r="A707" s="1" t="s">
        <v>1536</v>
      </c>
      <c r="B707" s="1" t="s">
        <v>37</v>
      </c>
      <c r="C707" s="1" t="s">
        <v>838</v>
      </c>
      <c r="D707" s="1" t="s">
        <v>16</v>
      </c>
      <c r="E707" s="1" t="s">
        <v>4845</v>
      </c>
      <c r="F707" s="1" t="s">
        <v>40</v>
      </c>
      <c r="G707" s="1">
        <v>106406</v>
      </c>
      <c r="H707" s="63">
        <v>45269</v>
      </c>
      <c r="I707" s="63">
        <v>45417</v>
      </c>
      <c r="J707" s="1">
        <v>148</v>
      </c>
      <c r="K707" s="1">
        <v>21.9</v>
      </c>
      <c r="L707" s="1" t="s">
        <v>96</v>
      </c>
      <c r="M707" s="1" t="s">
        <v>21</v>
      </c>
      <c r="N707" s="1" t="str">
        <f t="shared" si="11"/>
        <v>Normal</v>
      </c>
    </row>
    <row r="708" spans="1:14" x14ac:dyDescent="0.25">
      <c r="A708" s="1" t="s">
        <v>1537</v>
      </c>
      <c r="B708" s="1" t="s">
        <v>44</v>
      </c>
      <c r="C708" s="1" t="s">
        <v>66</v>
      </c>
      <c r="D708" s="1" t="s">
        <v>16</v>
      </c>
      <c r="E708" s="1" t="s">
        <v>72</v>
      </c>
      <c r="F708" s="1" t="s">
        <v>53</v>
      </c>
      <c r="G708" s="1">
        <v>326977</v>
      </c>
      <c r="H708" s="63">
        <v>45596</v>
      </c>
      <c r="J708" s="1"/>
      <c r="K708" s="1">
        <v>5.5</v>
      </c>
      <c r="L708" s="1" t="s">
        <v>29</v>
      </c>
      <c r="M708" s="1" t="s">
        <v>42</v>
      </c>
      <c r="N708" s="1" t="str">
        <f t="shared" si="11"/>
        <v>Normal</v>
      </c>
    </row>
    <row r="709" spans="1:14" x14ac:dyDescent="0.25">
      <c r="A709" s="1" t="s">
        <v>1538</v>
      </c>
      <c r="B709" s="1" t="s">
        <v>14</v>
      </c>
      <c r="C709" s="1" t="s">
        <v>939</v>
      </c>
      <c r="D709" s="1" t="s">
        <v>67</v>
      </c>
      <c r="E709" s="1" t="s">
        <v>100</v>
      </c>
      <c r="F709" s="1" t="s">
        <v>129</v>
      </c>
      <c r="G709" s="1">
        <v>295779</v>
      </c>
      <c r="H709" s="63">
        <v>45408</v>
      </c>
      <c r="J709" s="1"/>
      <c r="K709" s="1"/>
      <c r="L709" s="1" t="s">
        <v>96</v>
      </c>
      <c r="M709" s="1" t="s">
        <v>107</v>
      </c>
      <c r="N709" s="1" t="str">
        <f t="shared" si="11"/>
        <v>Normal</v>
      </c>
    </row>
    <row r="710" spans="1:14" x14ac:dyDescent="0.25">
      <c r="A710" s="1" t="s">
        <v>1539</v>
      </c>
      <c r="B710" s="1" t="s">
        <v>59</v>
      </c>
      <c r="C710" s="1" t="s">
        <v>574</v>
      </c>
      <c r="D710" s="1" t="s">
        <v>16</v>
      </c>
      <c r="E710" s="1" t="s">
        <v>47</v>
      </c>
      <c r="F710" s="1" t="s">
        <v>129</v>
      </c>
      <c r="G710" s="1">
        <v>186700</v>
      </c>
      <c r="H710" s="63">
        <v>45271</v>
      </c>
      <c r="J710" s="1"/>
      <c r="K710" s="1">
        <v>5.6</v>
      </c>
      <c r="L710" s="1" t="s">
        <v>49</v>
      </c>
      <c r="M710" s="1" t="s">
        <v>21</v>
      </c>
      <c r="N710" s="1" t="str">
        <f t="shared" si="11"/>
        <v>Normal</v>
      </c>
    </row>
    <row r="711" spans="1:14" x14ac:dyDescent="0.25">
      <c r="A711" s="1" t="s">
        <v>1540</v>
      </c>
      <c r="B711" s="1" t="s">
        <v>75</v>
      </c>
      <c r="C711" s="1" t="s">
        <v>119</v>
      </c>
      <c r="D711" s="1" t="s">
        <v>16</v>
      </c>
      <c r="E711" s="1" t="s">
        <v>100</v>
      </c>
      <c r="F711" s="1" t="s">
        <v>18</v>
      </c>
      <c r="G711" s="1">
        <v>319610</v>
      </c>
      <c r="H711" s="63">
        <v>44971</v>
      </c>
      <c r="I711" s="63">
        <v>45067</v>
      </c>
      <c r="J711" s="1">
        <v>96</v>
      </c>
      <c r="K711" s="1">
        <v>8.4</v>
      </c>
      <c r="L711" s="1" t="s">
        <v>49</v>
      </c>
      <c r="M711" s="1" t="s">
        <v>35</v>
      </c>
      <c r="N711" s="1" t="str">
        <f t="shared" si="11"/>
        <v>Normal</v>
      </c>
    </row>
    <row r="712" spans="1:14" x14ac:dyDescent="0.25">
      <c r="A712" s="1" t="s">
        <v>1542</v>
      </c>
      <c r="B712" s="1" t="s">
        <v>59</v>
      </c>
      <c r="C712" s="1" t="s">
        <v>24</v>
      </c>
      <c r="D712" s="1" t="s">
        <v>25</v>
      </c>
      <c r="E712" s="1" t="s">
        <v>77</v>
      </c>
      <c r="F712" s="1" t="s">
        <v>33</v>
      </c>
      <c r="G712" s="1">
        <v>161131</v>
      </c>
      <c r="H712" s="63">
        <v>45228</v>
      </c>
      <c r="J712" s="1"/>
      <c r="K712" s="1"/>
      <c r="L712" s="1" t="s">
        <v>49</v>
      </c>
      <c r="M712" s="1" t="s">
        <v>21</v>
      </c>
      <c r="N712" s="1" t="str">
        <f t="shared" si="11"/>
        <v>Normal</v>
      </c>
    </row>
    <row r="713" spans="1:14" x14ac:dyDescent="0.25">
      <c r="A713" s="1" t="s">
        <v>1543</v>
      </c>
      <c r="B713" s="1" t="s">
        <v>127</v>
      </c>
      <c r="C713" s="1" t="s">
        <v>767</v>
      </c>
      <c r="D713" s="1" t="s">
        <v>67</v>
      </c>
      <c r="E713" s="1" t="s">
        <v>100</v>
      </c>
      <c r="F713" s="1" t="s">
        <v>27</v>
      </c>
      <c r="G713" s="1">
        <v>138885</v>
      </c>
      <c r="H713" s="63">
        <v>45747</v>
      </c>
      <c r="J713" s="1"/>
      <c r="K713" s="1">
        <v>0.2</v>
      </c>
      <c r="L713" s="1" t="s">
        <v>49</v>
      </c>
      <c r="M713" s="1" t="s">
        <v>63</v>
      </c>
      <c r="N713" s="1" t="str">
        <f t="shared" si="11"/>
        <v>Normal</v>
      </c>
    </row>
    <row r="714" spans="1:14" x14ac:dyDescent="0.25">
      <c r="A714" s="1" t="s">
        <v>1545</v>
      </c>
      <c r="B714" s="1" t="s">
        <v>127</v>
      </c>
      <c r="C714" s="1" t="s">
        <v>521</v>
      </c>
      <c r="D714" s="1" t="s">
        <v>46</v>
      </c>
      <c r="E714" s="1" t="s">
        <v>94</v>
      </c>
      <c r="F714" s="1" t="s">
        <v>40</v>
      </c>
      <c r="G714" s="1">
        <v>181419</v>
      </c>
      <c r="H714" s="63">
        <v>45563</v>
      </c>
      <c r="I714" s="63">
        <v>45737</v>
      </c>
      <c r="J714" s="1">
        <v>174</v>
      </c>
      <c r="K714" s="1">
        <v>1.9</v>
      </c>
      <c r="L714" s="1" t="s">
        <v>20</v>
      </c>
      <c r="M714" s="1" t="s">
        <v>149</v>
      </c>
      <c r="N714" s="1" t="str">
        <f t="shared" si="11"/>
        <v>Normal</v>
      </c>
    </row>
    <row r="715" spans="1:14" x14ac:dyDescent="0.25">
      <c r="A715" s="1" t="s">
        <v>1547</v>
      </c>
      <c r="B715" s="1" t="s">
        <v>14</v>
      </c>
      <c r="C715" s="1" t="s">
        <v>433</v>
      </c>
      <c r="D715" s="1" t="s">
        <v>39</v>
      </c>
      <c r="E715" s="1" t="s">
        <v>94</v>
      </c>
      <c r="F715" s="1" t="s">
        <v>129</v>
      </c>
      <c r="G715" s="1">
        <v>247141</v>
      </c>
      <c r="H715" s="63">
        <v>45324</v>
      </c>
      <c r="J715" s="1"/>
      <c r="K715" s="1">
        <v>7</v>
      </c>
      <c r="L715" s="1" t="s">
        <v>20</v>
      </c>
      <c r="M715" s="1" t="s">
        <v>69</v>
      </c>
      <c r="N715" s="1" t="str">
        <f t="shared" si="11"/>
        <v>Normal</v>
      </c>
    </row>
    <row r="716" spans="1:14" x14ac:dyDescent="0.25">
      <c r="A716" s="1" t="s">
        <v>1548</v>
      </c>
      <c r="B716" s="1" t="s">
        <v>65</v>
      </c>
      <c r="C716" s="1" t="s">
        <v>1549</v>
      </c>
      <c r="D716" s="1" t="s">
        <v>90</v>
      </c>
      <c r="E716" s="1" t="s">
        <v>94</v>
      </c>
      <c r="F716" s="1" t="s">
        <v>53</v>
      </c>
      <c r="G716" s="1">
        <v>109690</v>
      </c>
      <c r="H716" s="63">
        <v>45422</v>
      </c>
      <c r="J716" s="1"/>
      <c r="K716" s="1">
        <v>11.6</v>
      </c>
      <c r="L716" s="1" t="s">
        <v>96</v>
      </c>
      <c r="M716" s="1" t="s">
        <v>107</v>
      </c>
      <c r="N716" s="1" t="str">
        <f t="shared" si="11"/>
        <v>Normal</v>
      </c>
    </row>
    <row r="717" spans="1:14" x14ac:dyDescent="0.25">
      <c r="A717" s="1" t="s">
        <v>1551</v>
      </c>
      <c r="B717" s="1" t="s">
        <v>23</v>
      </c>
      <c r="C717" s="1" t="s">
        <v>423</v>
      </c>
      <c r="D717" s="1" t="s">
        <v>90</v>
      </c>
      <c r="E717" s="1" t="s">
        <v>47</v>
      </c>
      <c r="F717" s="1" t="s">
        <v>18</v>
      </c>
      <c r="G717" s="1">
        <v>317711</v>
      </c>
      <c r="H717" s="63">
        <v>45693</v>
      </c>
      <c r="I717" s="63">
        <v>45746</v>
      </c>
      <c r="J717" s="1">
        <v>53</v>
      </c>
      <c r="K717" s="1">
        <v>10.8</v>
      </c>
      <c r="L717" s="1" t="s">
        <v>49</v>
      </c>
      <c r="M717" s="1" t="s">
        <v>63</v>
      </c>
      <c r="N717" s="1" t="str">
        <f t="shared" si="11"/>
        <v>Normal</v>
      </c>
    </row>
    <row r="718" spans="1:14" x14ac:dyDescent="0.25">
      <c r="A718" s="1" t="s">
        <v>1553</v>
      </c>
      <c r="B718" s="1" t="s">
        <v>88</v>
      </c>
      <c r="C718" s="1" t="s">
        <v>1554</v>
      </c>
      <c r="D718" s="1" t="s">
        <v>67</v>
      </c>
      <c r="E718" s="1" t="s">
        <v>61</v>
      </c>
      <c r="F718" s="1" t="s">
        <v>53</v>
      </c>
      <c r="G718" s="1">
        <v>497875</v>
      </c>
      <c r="H718" s="63">
        <v>45433</v>
      </c>
      <c r="J718" s="1"/>
      <c r="K718" s="1">
        <v>12.2</v>
      </c>
      <c r="L718" s="1" t="s">
        <v>96</v>
      </c>
      <c r="M718" s="1" t="s">
        <v>107</v>
      </c>
      <c r="N718" s="1" t="str">
        <f t="shared" si="11"/>
        <v>Normal</v>
      </c>
    </row>
    <row r="719" spans="1:14" x14ac:dyDescent="0.25">
      <c r="A719" s="1" t="s">
        <v>1555</v>
      </c>
      <c r="B719" s="1" t="s">
        <v>23</v>
      </c>
      <c r="C719" s="1" t="s">
        <v>747</v>
      </c>
      <c r="D719" s="1" t="s">
        <v>16</v>
      </c>
      <c r="E719" s="1" t="s">
        <v>17</v>
      </c>
      <c r="F719" s="1" t="s">
        <v>18</v>
      </c>
      <c r="G719" s="1">
        <v>392101</v>
      </c>
      <c r="H719" s="63">
        <v>45538</v>
      </c>
      <c r="I719" s="63">
        <v>45639</v>
      </c>
      <c r="J719" s="1">
        <v>101</v>
      </c>
      <c r="K719" s="1"/>
      <c r="L719" s="1" t="s">
        <v>49</v>
      </c>
      <c r="M719" s="1" t="s">
        <v>149</v>
      </c>
      <c r="N719" s="1" t="str">
        <f t="shared" si="11"/>
        <v>Normal</v>
      </c>
    </row>
    <row r="720" spans="1:14" x14ac:dyDescent="0.25">
      <c r="A720" s="1" t="s">
        <v>1557</v>
      </c>
      <c r="B720" s="1" t="s">
        <v>88</v>
      </c>
      <c r="C720" s="1" t="s">
        <v>1558</v>
      </c>
      <c r="D720" s="1" t="s">
        <v>39</v>
      </c>
      <c r="E720" s="1" t="s">
        <v>17</v>
      </c>
      <c r="F720" s="1" t="s">
        <v>40</v>
      </c>
      <c r="G720" s="1">
        <v>376827</v>
      </c>
      <c r="H720" s="63">
        <v>45747</v>
      </c>
      <c r="I720" s="63">
        <v>45802</v>
      </c>
      <c r="J720" s="1">
        <v>55</v>
      </c>
      <c r="K720" s="1">
        <v>14.2</v>
      </c>
      <c r="L720" s="1" t="s">
        <v>20</v>
      </c>
      <c r="M720" s="1" t="s">
        <v>63</v>
      </c>
      <c r="N720" s="1" t="str">
        <f t="shared" si="11"/>
        <v>Normal</v>
      </c>
    </row>
    <row r="721" spans="1:14" x14ac:dyDescent="0.25">
      <c r="A721" s="1" t="s">
        <v>1560</v>
      </c>
      <c r="B721" s="1" t="s">
        <v>84</v>
      </c>
      <c r="C721" s="1" t="s">
        <v>1354</v>
      </c>
      <c r="D721" s="1" t="s">
        <v>25</v>
      </c>
      <c r="E721" s="1" t="s">
        <v>72</v>
      </c>
      <c r="F721" s="1" t="s">
        <v>40</v>
      </c>
      <c r="G721" s="1">
        <v>234885</v>
      </c>
      <c r="H721" s="63">
        <v>44935</v>
      </c>
      <c r="I721" s="63">
        <v>45109</v>
      </c>
      <c r="J721" s="1">
        <v>174</v>
      </c>
      <c r="K721" s="1">
        <v>3</v>
      </c>
      <c r="L721" s="1" t="s">
        <v>29</v>
      </c>
      <c r="M721" s="1" t="s">
        <v>35</v>
      </c>
      <c r="N721" s="1" t="str">
        <f t="shared" si="11"/>
        <v>Normal</v>
      </c>
    </row>
    <row r="722" spans="1:14" x14ac:dyDescent="0.25">
      <c r="A722" s="1" t="s">
        <v>1562</v>
      </c>
      <c r="B722" s="1" t="s">
        <v>14</v>
      </c>
      <c r="C722" s="1" t="s">
        <v>596</v>
      </c>
      <c r="D722" s="1" t="s">
        <v>25</v>
      </c>
      <c r="E722" s="1" t="s">
        <v>72</v>
      </c>
      <c r="F722" s="1" t="s">
        <v>129</v>
      </c>
      <c r="G722" s="1">
        <v>366160</v>
      </c>
      <c r="H722" s="63">
        <v>45705</v>
      </c>
      <c r="J722" s="1"/>
      <c r="K722" s="1">
        <v>3.5</v>
      </c>
      <c r="L722" s="1" t="s">
        <v>29</v>
      </c>
      <c r="M722" s="1" t="s">
        <v>63</v>
      </c>
      <c r="N722" s="1" t="str">
        <f t="shared" si="11"/>
        <v>Normal</v>
      </c>
    </row>
    <row r="723" spans="1:14" x14ac:dyDescent="0.25">
      <c r="A723" s="1" t="s">
        <v>1563</v>
      </c>
      <c r="B723" s="1" t="s">
        <v>65</v>
      </c>
      <c r="C723" s="1" t="s">
        <v>862</v>
      </c>
      <c r="D723" s="1" t="s">
        <v>16</v>
      </c>
      <c r="E723" s="1" t="s">
        <v>47</v>
      </c>
      <c r="F723" s="1" t="s">
        <v>40</v>
      </c>
      <c r="G723" s="1">
        <v>245902</v>
      </c>
      <c r="H723" s="63">
        <v>45198</v>
      </c>
      <c r="I723" s="63">
        <v>45300</v>
      </c>
      <c r="J723" s="1">
        <v>102</v>
      </c>
      <c r="K723" s="1">
        <v>21.8</v>
      </c>
      <c r="L723" s="1" t="s">
        <v>29</v>
      </c>
      <c r="M723" s="1" t="s">
        <v>102</v>
      </c>
      <c r="N723" s="1" t="str">
        <f t="shared" si="11"/>
        <v>Normal</v>
      </c>
    </row>
    <row r="724" spans="1:14" x14ac:dyDescent="0.25">
      <c r="A724" s="1" t="s">
        <v>1564</v>
      </c>
      <c r="B724" s="1" t="s">
        <v>75</v>
      </c>
      <c r="C724" s="1" t="s">
        <v>433</v>
      </c>
      <c r="D724" s="1" t="s">
        <v>16</v>
      </c>
      <c r="E724" s="1" t="s">
        <v>77</v>
      </c>
      <c r="F724" s="1" t="s">
        <v>129</v>
      </c>
      <c r="G724" s="1">
        <v>266319</v>
      </c>
      <c r="H724" s="63">
        <v>45682</v>
      </c>
      <c r="J724" s="1"/>
      <c r="K724" s="1">
        <v>10.6</v>
      </c>
      <c r="L724" s="1" t="s">
        <v>96</v>
      </c>
      <c r="M724" s="1" t="s">
        <v>63</v>
      </c>
      <c r="N724" s="1" t="str">
        <f t="shared" si="11"/>
        <v>Normal</v>
      </c>
    </row>
    <row r="725" spans="1:14" x14ac:dyDescent="0.25">
      <c r="A725" s="1" t="s">
        <v>1565</v>
      </c>
      <c r="B725" s="1" t="s">
        <v>109</v>
      </c>
      <c r="C725" s="1" t="s">
        <v>1566</v>
      </c>
      <c r="D725" s="1" t="s">
        <v>46</v>
      </c>
      <c r="E725" s="1" t="s">
        <v>72</v>
      </c>
      <c r="F725" s="1" t="s">
        <v>18</v>
      </c>
      <c r="G725" s="1">
        <v>250427</v>
      </c>
      <c r="H725" s="63">
        <v>45705</v>
      </c>
      <c r="I725" s="63">
        <v>45807</v>
      </c>
      <c r="J725" s="1">
        <v>102</v>
      </c>
      <c r="K725" s="1"/>
      <c r="L725" s="1" t="s">
        <v>29</v>
      </c>
      <c r="M725" s="1" t="s">
        <v>63</v>
      </c>
      <c r="N725" s="1" t="str">
        <f t="shared" si="11"/>
        <v>Normal</v>
      </c>
    </row>
    <row r="726" spans="1:14" x14ac:dyDescent="0.25">
      <c r="A726" s="1" t="s">
        <v>1567</v>
      </c>
      <c r="B726" s="1" t="s">
        <v>84</v>
      </c>
      <c r="C726" s="1" t="s">
        <v>218</v>
      </c>
      <c r="D726" s="1" t="s">
        <v>25</v>
      </c>
      <c r="E726" s="1" t="s">
        <v>61</v>
      </c>
      <c r="F726" s="1" t="s">
        <v>40</v>
      </c>
      <c r="G726" s="1">
        <v>90476</v>
      </c>
      <c r="H726" s="63">
        <v>45109</v>
      </c>
      <c r="I726" s="63">
        <v>45179</v>
      </c>
      <c r="J726" s="1">
        <v>70</v>
      </c>
      <c r="K726" s="1">
        <v>22.3</v>
      </c>
      <c r="L726" s="1" t="s">
        <v>29</v>
      </c>
      <c r="M726" s="1" t="s">
        <v>102</v>
      </c>
      <c r="N726" s="1" t="str">
        <f t="shared" si="11"/>
        <v>Normal</v>
      </c>
    </row>
    <row r="727" spans="1:14" x14ac:dyDescent="0.25">
      <c r="A727" s="1" t="s">
        <v>1568</v>
      </c>
      <c r="B727" s="1" t="s">
        <v>84</v>
      </c>
      <c r="C727" s="1" t="s">
        <v>724</v>
      </c>
      <c r="D727" s="1" t="s">
        <v>46</v>
      </c>
      <c r="E727" s="1" t="s">
        <v>94</v>
      </c>
      <c r="F727" s="1" t="s">
        <v>33</v>
      </c>
      <c r="G727" s="1">
        <v>490228</v>
      </c>
      <c r="H727" s="63">
        <v>45346</v>
      </c>
      <c r="J727" s="1"/>
      <c r="K727" s="1">
        <v>4.7</v>
      </c>
      <c r="L727" s="1" t="s">
        <v>29</v>
      </c>
      <c r="M727" s="1" t="s">
        <v>69</v>
      </c>
      <c r="N727" s="1" t="str">
        <f t="shared" si="11"/>
        <v>Normal</v>
      </c>
    </row>
    <row r="728" spans="1:14" x14ac:dyDescent="0.25">
      <c r="A728" s="1" t="s">
        <v>1569</v>
      </c>
      <c r="B728" s="1" t="s">
        <v>127</v>
      </c>
      <c r="C728" s="1" t="s">
        <v>574</v>
      </c>
      <c r="D728" s="1" t="s">
        <v>16</v>
      </c>
      <c r="E728" s="1" t="s">
        <v>94</v>
      </c>
      <c r="F728" s="1" t="s">
        <v>40</v>
      </c>
      <c r="G728" s="1">
        <v>284449</v>
      </c>
      <c r="H728" s="63">
        <v>45097</v>
      </c>
      <c r="I728" s="63">
        <v>45240</v>
      </c>
      <c r="J728" s="1">
        <v>143</v>
      </c>
      <c r="K728" s="1">
        <v>3.2</v>
      </c>
      <c r="L728" s="1" t="s">
        <v>96</v>
      </c>
      <c r="M728" s="1" t="s">
        <v>30</v>
      </c>
      <c r="N728" s="1" t="str">
        <f t="shared" si="11"/>
        <v>Normal</v>
      </c>
    </row>
    <row r="729" spans="1:14" x14ac:dyDescent="0.25">
      <c r="A729" s="1" t="s">
        <v>1570</v>
      </c>
      <c r="B729" s="1" t="s">
        <v>84</v>
      </c>
      <c r="C729" s="1" t="s">
        <v>583</v>
      </c>
      <c r="D729" s="1" t="s">
        <v>39</v>
      </c>
      <c r="E729" s="1" t="s">
        <v>100</v>
      </c>
      <c r="F729" s="1" t="s">
        <v>18</v>
      </c>
      <c r="G729" s="1">
        <v>264290</v>
      </c>
      <c r="H729" s="63">
        <v>45199</v>
      </c>
      <c r="I729" s="63">
        <v>45277</v>
      </c>
      <c r="J729" s="1">
        <v>78</v>
      </c>
      <c r="K729" s="1">
        <v>2.6</v>
      </c>
      <c r="L729" s="1" t="s">
        <v>29</v>
      </c>
      <c r="M729" s="1" t="s">
        <v>102</v>
      </c>
      <c r="N729" s="1" t="str">
        <f t="shared" si="11"/>
        <v>Normal</v>
      </c>
    </row>
    <row r="730" spans="1:14" x14ac:dyDescent="0.25">
      <c r="A730" s="1" t="s">
        <v>1572</v>
      </c>
      <c r="B730" s="1" t="s">
        <v>127</v>
      </c>
      <c r="C730" s="1" t="s">
        <v>168</v>
      </c>
      <c r="D730" s="1" t="s">
        <v>39</v>
      </c>
      <c r="E730" s="1" t="s">
        <v>72</v>
      </c>
      <c r="F730" s="1" t="s">
        <v>129</v>
      </c>
      <c r="G730" s="1">
        <v>228997</v>
      </c>
      <c r="H730" s="63">
        <v>44958</v>
      </c>
      <c r="J730" s="1"/>
      <c r="K730" s="1"/>
      <c r="L730" s="1" t="s">
        <v>29</v>
      </c>
      <c r="M730" s="1" t="s">
        <v>35</v>
      </c>
      <c r="N730" s="1" t="str">
        <f t="shared" si="11"/>
        <v>Normal</v>
      </c>
    </row>
    <row r="731" spans="1:14" x14ac:dyDescent="0.25">
      <c r="A731" s="1" t="s">
        <v>1573</v>
      </c>
      <c r="B731" s="1" t="s">
        <v>104</v>
      </c>
      <c r="C731" s="1" t="s">
        <v>15</v>
      </c>
      <c r="D731" s="1" t="s">
        <v>16</v>
      </c>
      <c r="E731" s="1" t="s">
        <v>77</v>
      </c>
      <c r="F731" s="1" t="s">
        <v>40</v>
      </c>
      <c r="G731" s="1">
        <v>155378</v>
      </c>
      <c r="H731" s="63">
        <v>45318</v>
      </c>
      <c r="I731" s="63">
        <v>45432</v>
      </c>
      <c r="J731" s="1">
        <v>114</v>
      </c>
      <c r="K731" s="1">
        <v>1.5</v>
      </c>
      <c r="L731" s="1" t="s">
        <v>49</v>
      </c>
      <c r="M731" s="1" t="s">
        <v>69</v>
      </c>
      <c r="N731" s="1" t="str">
        <f t="shared" si="11"/>
        <v>Normal</v>
      </c>
    </row>
    <row r="732" spans="1:14" x14ac:dyDescent="0.25">
      <c r="A732" s="1" t="s">
        <v>1575</v>
      </c>
      <c r="B732" s="1" t="s">
        <v>23</v>
      </c>
      <c r="C732" s="1" t="s">
        <v>622</v>
      </c>
      <c r="D732" s="1" t="s">
        <v>39</v>
      </c>
      <c r="E732" s="1" t="s">
        <v>100</v>
      </c>
      <c r="F732" s="1" t="s">
        <v>40</v>
      </c>
      <c r="G732" s="1">
        <v>199857</v>
      </c>
      <c r="H732" s="63">
        <v>45027</v>
      </c>
      <c r="I732" s="63">
        <v>45146</v>
      </c>
      <c r="J732" s="1">
        <v>119</v>
      </c>
      <c r="K732" s="1">
        <v>3.9</v>
      </c>
      <c r="L732" s="1" t="s">
        <v>49</v>
      </c>
      <c r="M732" s="1" t="s">
        <v>30</v>
      </c>
      <c r="N732" s="1" t="str">
        <f t="shared" si="11"/>
        <v>Normal</v>
      </c>
    </row>
    <row r="733" spans="1:14" x14ac:dyDescent="0.25">
      <c r="A733" s="1" t="s">
        <v>1577</v>
      </c>
      <c r="B733" s="1" t="s">
        <v>88</v>
      </c>
      <c r="C733" s="1" t="s">
        <v>99</v>
      </c>
      <c r="D733" s="1" t="s">
        <v>90</v>
      </c>
      <c r="E733" s="1" t="s">
        <v>94</v>
      </c>
      <c r="F733" s="1" t="s">
        <v>33</v>
      </c>
      <c r="G733" s="1">
        <v>323970</v>
      </c>
      <c r="H733" s="63">
        <v>45666</v>
      </c>
      <c r="J733" s="1"/>
      <c r="K733" s="1">
        <v>0.1</v>
      </c>
      <c r="L733" s="1" t="s">
        <v>29</v>
      </c>
      <c r="M733" s="1" t="s">
        <v>63</v>
      </c>
      <c r="N733" s="1" t="str">
        <f t="shared" si="11"/>
        <v>Normal</v>
      </c>
    </row>
    <row r="734" spans="1:14" x14ac:dyDescent="0.25">
      <c r="A734" s="1" t="s">
        <v>1579</v>
      </c>
      <c r="B734" s="1" t="s">
        <v>75</v>
      </c>
      <c r="C734" s="1" t="s">
        <v>165</v>
      </c>
      <c r="D734" s="1" t="s">
        <v>90</v>
      </c>
      <c r="E734" s="1" t="s">
        <v>4845</v>
      </c>
      <c r="F734" s="1" t="s">
        <v>18</v>
      </c>
      <c r="G734" s="1">
        <v>217127</v>
      </c>
      <c r="H734" s="63">
        <v>45050</v>
      </c>
      <c r="I734" s="63">
        <v>45124</v>
      </c>
      <c r="J734" s="1">
        <v>74</v>
      </c>
      <c r="K734" s="1"/>
      <c r="L734" s="1" t="s">
        <v>20</v>
      </c>
      <c r="M734" s="1" t="s">
        <v>30</v>
      </c>
      <c r="N734" s="1" t="str">
        <f t="shared" si="11"/>
        <v>Normal</v>
      </c>
    </row>
    <row r="735" spans="1:14" x14ac:dyDescent="0.25">
      <c r="A735" s="1" t="s">
        <v>1581</v>
      </c>
      <c r="B735" s="1" t="s">
        <v>127</v>
      </c>
      <c r="C735" s="1" t="s">
        <v>1582</v>
      </c>
      <c r="D735" s="1" t="s">
        <v>46</v>
      </c>
      <c r="E735" s="1" t="s">
        <v>94</v>
      </c>
      <c r="F735" s="1" t="s">
        <v>40</v>
      </c>
      <c r="G735" s="1">
        <v>214509</v>
      </c>
      <c r="H735" s="63">
        <v>45075</v>
      </c>
      <c r="I735" s="63">
        <v>45225</v>
      </c>
      <c r="J735" s="1">
        <v>150</v>
      </c>
      <c r="K735" s="1">
        <v>0.3</v>
      </c>
      <c r="L735" s="1" t="s">
        <v>20</v>
      </c>
      <c r="M735" s="1" t="s">
        <v>30</v>
      </c>
      <c r="N735" s="1" t="str">
        <f t="shared" si="11"/>
        <v>Normal</v>
      </c>
    </row>
    <row r="736" spans="1:14" x14ac:dyDescent="0.25">
      <c r="A736" s="1" t="s">
        <v>1583</v>
      </c>
      <c r="B736" s="1" t="s">
        <v>14</v>
      </c>
      <c r="C736" s="1" t="s">
        <v>603</v>
      </c>
      <c r="D736" s="1" t="s">
        <v>46</v>
      </c>
      <c r="E736" s="1" t="s">
        <v>100</v>
      </c>
      <c r="F736" s="1" t="s">
        <v>53</v>
      </c>
      <c r="G736" s="1">
        <v>368986</v>
      </c>
      <c r="H736" s="63">
        <v>45309</v>
      </c>
      <c r="J736" s="1"/>
      <c r="K736" s="1"/>
      <c r="L736" s="1" t="s">
        <v>20</v>
      </c>
      <c r="M736" s="1" t="s">
        <v>69</v>
      </c>
      <c r="N736" s="1" t="str">
        <f t="shared" si="11"/>
        <v>Normal</v>
      </c>
    </row>
    <row r="737" spans="1:14" x14ac:dyDescent="0.25">
      <c r="A737" s="1" t="s">
        <v>1584</v>
      </c>
      <c r="B737" s="1" t="s">
        <v>75</v>
      </c>
      <c r="C737" s="1" t="s">
        <v>782</v>
      </c>
      <c r="D737" s="1" t="s">
        <v>46</v>
      </c>
      <c r="E737" s="1" t="s">
        <v>26</v>
      </c>
      <c r="F737" s="1" t="s">
        <v>27</v>
      </c>
      <c r="G737" s="1">
        <v>238543</v>
      </c>
      <c r="H737" s="63">
        <v>45681</v>
      </c>
      <c r="J737" s="1"/>
      <c r="K737" s="1">
        <v>9.6999999999999993</v>
      </c>
      <c r="L737" s="1" t="s">
        <v>96</v>
      </c>
      <c r="M737" s="1" t="s">
        <v>63</v>
      </c>
      <c r="N737" s="1" t="str">
        <f t="shared" si="11"/>
        <v>Normal</v>
      </c>
    </row>
    <row r="738" spans="1:14" x14ac:dyDescent="0.25">
      <c r="A738" s="1" t="s">
        <v>1586</v>
      </c>
      <c r="B738" s="1" t="s">
        <v>88</v>
      </c>
      <c r="C738" s="1" t="s">
        <v>1125</v>
      </c>
      <c r="D738" s="1" t="s">
        <v>90</v>
      </c>
      <c r="E738" s="1" t="s">
        <v>47</v>
      </c>
      <c r="F738" s="1" t="s">
        <v>40</v>
      </c>
      <c r="G738" s="1">
        <v>203032</v>
      </c>
      <c r="H738" s="63">
        <v>45593</v>
      </c>
      <c r="I738" s="63">
        <v>45706</v>
      </c>
      <c r="J738" s="1">
        <v>113</v>
      </c>
      <c r="K738" s="1">
        <v>18.399999999999999</v>
      </c>
      <c r="L738" s="1" t="s">
        <v>29</v>
      </c>
      <c r="M738" s="1" t="s">
        <v>42</v>
      </c>
      <c r="N738" s="1" t="str">
        <f t="shared" si="11"/>
        <v>Normal</v>
      </c>
    </row>
    <row r="739" spans="1:14" x14ac:dyDescent="0.25">
      <c r="A739" s="1" t="s">
        <v>1588</v>
      </c>
      <c r="B739" s="1" t="s">
        <v>84</v>
      </c>
      <c r="C739" s="1" t="s">
        <v>536</v>
      </c>
      <c r="D739" s="1" t="s">
        <v>46</v>
      </c>
      <c r="E739" s="1" t="s">
        <v>77</v>
      </c>
      <c r="F739" s="1" t="s">
        <v>33</v>
      </c>
      <c r="G739" s="1">
        <v>302206</v>
      </c>
      <c r="H739" s="63">
        <v>45663</v>
      </c>
      <c r="J739" s="1"/>
      <c r="K739" s="1">
        <v>1.8</v>
      </c>
      <c r="L739" s="1" t="s">
        <v>29</v>
      </c>
      <c r="M739" s="1" t="s">
        <v>63</v>
      </c>
      <c r="N739" s="1" t="str">
        <f t="shared" si="11"/>
        <v>Normal</v>
      </c>
    </row>
    <row r="740" spans="1:14" x14ac:dyDescent="0.25">
      <c r="A740" s="1" t="s">
        <v>1590</v>
      </c>
      <c r="B740" s="1" t="s">
        <v>37</v>
      </c>
      <c r="C740" s="1" t="s">
        <v>1070</v>
      </c>
      <c r="D740" s="1" t="s">
        <v>90</v>
      </c>
      <c r="E740" s="1" t="s">
        <v>94</v>
      </c>
      <c r="F740" s="1" t="s">
        <v>33</v>
      </c>
      <c r="G740" s="1">
        <v>150311</v>
      </c>
      <c r="H740" s="63">
        <v>44982</v>
      </c>
      <c r="J740" s="1"/>
      <c r="K740" s="1">
        <v>10.9</v>
      </c>
      <c r="L740" s="1" t="s">
        <v>49</v>
      </c>
      <c r="M740" s="1" t="s">
        <v>35</v>
      </c>
      <c r="N740" s="1" t="str">
        <f t="shared" si="11"/>
        <v>Normal</v>
      </c>
    </row>
    <row r="741" spans="1:14" x14ac:dyDescent="0.25">
      <c r="A741" s="1" t="s">
        <v>1591</v>
      </c>
      <c r="B741" s="1" t="s">
        <v>98</v>
      </c>
      <c r="C741" s="1" t="s">
        <v>775</v>
      </c>
      <c r="D741" s="1" t="s">
        <v>25</v>
      </c>
      <c r="E741" s="1" t="s">
        <v>77</v>
      </c>
      <c r="F741" s="1" t="s">
        <v>40</v>
      </c>
      <c r="G741" s="1">
        <v>132151</v>
      </c>
      <c r="H741" s="63">
        <v>44964</v>
      </c>
      <c r="I741" s="63">
        <v>45015</v>
      </c>
      <c r="J741" s="1">
        <v>51</v>
      </c>
      <c r="K741" s="1">
        <v>0.5</v>
      </c>
      <c r="L741" s="1" t="s">
        <v>96</v>
      </c>
      <c r="M741" s="1" t="s">
        <v>35</v>
      </c>
      <c r="N741" s="1" t="str">
        <f t="shared" si="11"/>
        <v>Normal</v>
      </c>
    </row>
    <row r="742" spans="1:14" x14ac:dyDescent="0.25">
      <c r="A742" s="1" t="s">
        <v>1593</v>
      </c>
      <c r="B742" s="1" t="s">
        <v>88</v>
      </c>
      <c r="C742" s="1" t="s">
        <v>865</v>
      </c>
      <c r="D742" s="1" t="s">
        <v>39</v>
      </c>
      <c r="E742" s="1" t="s">
        <v>72</v>
      </c>
      <c r="F742" s="1" t="s">
        <v>53</v>
      </c>
      <c r="G742" s="1">
        <v>473977</v>
      </c>
      <c r="H742" s="63">
        <v>45036</v>
      </c>
      <c r="J742" s="1"/>
      <c r="K742" s="1">
        <v>8.6</v>
      </c>
      <c r="L742" s="1" t="s">
        <v>96</v>
      </c>
      <c r="M742" s="1" t="s">
        <v>30</v>
      </c>
      <c r="N742" s="1" t="str">
        <f t="shared" si="11"/>
        <v>Normal</v>
      </c>
    </row>
    <row r="743" spans="1:14" x14ac:dyDescent="0.25">
      <c r="A743" s="1" t="s">
        <v>1594</v>
      </c>
      <c r="B743" s="1" t="s">
        <v>98</v>
      </c>
      <c r="C743" s="1" t="s">
        <v>1074</v>
      </c>
      <c r="D743" s="1" t="s">
        <v>46</v>
      </c>
      <c r="E743" s="1" t="s">
        <v>17</v>
      </c>
      <c r="F743" s="1" t="s">
        <v>27</v>
      </c>
      <c r="G743" s="1">
        <v>134894</v>
      </c>
      <c r="H743" s="63">
        <v>45581</v>
      </c>
      <c r="J743" s="1"/>
      <c r="K743" s="1">
        <v>2.2000000000000002</v>
      </c>
      <c r="L743" s="1" t="s">
        <v>29</v>
      </c>
      <c r="M743" s="1" t="s">
        <v>42</v>
      </c>
      <c r="N743" s="1" t="str">
        <f t="shared" si="11"/>
        <v>Normal</v>
      </c>
    </row>
    <row r="744" spans="1:14" x14ac:dyDescent="0.25">
      <c r="A744" s="1" t="s">
        <v>1596</v>
      </c>
      <c r="B744" s="1" t="s">
        <v>65</v>
      </c>
      <c r="C744" s="1" t="s">
        <v>122</v>
      </c>
      <c r="D744" s="1" t="s">
        <v>90</v>
      </c>
      <c r="E744" s="1" t="s">
        <v>4845</v>
      </c>
      <c r="F744" s="1" t="s">
        <v>18</v>
      </c>
      <c r="G744" s="1">
        <v>281099</v>
      </c>
      <c r="H744" s="63">
        <v>44977</v>
      </c>
      <c r="I744" s="63">
        <v>45139</v>
      </c>
      <c r="J744" s="1">
        <v>162</v>
      </c>
      <c r="K744" s="1"/>
      <c r="L744" s="1" t="s">
        <v>96</v>
      </c>
      <c r="M744" s="1" t="s">
        <v>35</v>
      </c>
      <c r="N744" s="1" t="str">
        <f t="shared" si="11"/>
        <v>Normal</v>
      </c>
    </row>
    <row r="745" spans="1:14" x14ac:dyDescent="0.25">
      <c r="A745" s="1" t="s">
        <v>1598</v>
      </c>
      <c r="B745" s="1" t="s">
        <v>37</v>
      </c>
      <c r="C745" s="1" t="s">
        <v>250</v>
      </c>
      <c r="D745" s="1" t="s">
        <v>16</v>
      </c>
      <c r="E745" s="1" t="s">
        <v>17</v>
      </c>
      <c r="F745" s="1" t="s">
        <v>129</v>
      </c>
      <c r="G745" s="1">
        <v>277559</v>
      </c>
      <c r="H745" s="63">
        <v>45092</v>
      </c>
      <c r="J745" s="1"/>
      <c r="K745" s="1">
        <v>11.1</v>
      </c>
      <c r="L745" s="1" t="s">
        <v>49</v>
      </c>
      <c r="M745" s="1" t="s">
        <v>30</v>
      </c>
      <c r="N745" s="1" t="str">
        <f t="shared" si="11"/>
        <v>Normal</v>
      </c>
    </row>
    <row r="746" spans="1:14" x14ac:dyDescent="0.25">
      <c r="A746" s="1" t="s">
        <v>1599</v>
      </c>
      <c r="B746" s="1" t="s">
        <v>84</v>
      </c>
      <c r="C746" s="1" t="s">
        <v>813</v>
      </c>
      <c r="D746" s="1" t="s">
        <v>16</v>
      </c>
      <c r="E746" s="1" t="s">
        <v>26</v>
      </c>
      <c r="F746" s="1" t="s">
        <v>129</v>
      </c>
      <c r="G746" s="1">
        <v>193896</v>
      </c>
      <c r="H746" s="63">
        <v>44964</v>
      </c>
      <c r="J746" s="1"/>
      <c r="K746" s="1"/>
      <c r="L746" s="1" t="s">
        <v>96</v>
      </c>
      <c r="M746" s="1" t="s">
        <v>35</v>
      </c>
      <c r="N746" s="1" t="str">
        <f t="shared" si="11"/>
        <v>Normal</v>
      </c>
    </row>
    <row r="747" spans="1:14" x14ac:dyDescent="0.25">
      <c r="A747" s="1" t="s">
        <v>1600</v>
      </c>
      <c r="B747" s="1" t="s">
        <v>98</v>
      </c>
      <c r="C747" s="1" t="s">
        <v>1248</v>
      </c>
      <c r="D747" s="1" t="s">
        <v>90</v>
      </c>
      <c r="E747" s="1" t="s">
        <v>72</v>
      </c>
      <c r="F747" s="1" t="s">
        <v>27</v>
      </c>
      <c r="G747" s="1">
        <v>181830</v>
      </c>
      <c r="H747" s="63">
        <v>45065</v>
      </c>
      <c r="J747" s="1"/>
      <c r="K747" s="1">
        <v>4.5</v>
      </c>
      <c r="L747" s="1" t="s">
        <v>29</v>
      </c>
      <c r="M747" s="1" t="s">
        <v>30</v>
      </c>
      <c r="N747" s="1" t="str">
        <f t="shared" si="11"/>
        <v>Normal</v>
      </c>
    </row>
    <row r="748" spans="1:14" x14ac:dyDescent="0.25">
      <c r="A748" s="1" t="s">
        <v>1602</v>
      </c>
      <c r="B748" s="1" t="s">
        <v>84</v>
      </c>
      <c r="C748" s="1" t="s">
        <v>287</v>
      </c>
      <c r="D748" s="1" t="s">
        <v>25</v>
      </c>
      <c r="E748" s="1" t="s">
        <v>17</v>
      </c>
      <c r="F748" s="1" t="s">
        <v>33</v>
      </c>
      <c r="G748" s="1">
        <v>155886</v>
      </c>
      <c r="H748" s="63">
        <v>45557</v>
      </c>
      <c r="J748" s="1"/>
      <c r="K748" s="1">
        <v>4.7</v>
      </c>
      <c r="L748" s="1" t="s">
        <v>29</v>
      </c>
      <c r="M748" s="1" t="s">
        <v>149</v>
      </c>
      <c r="N748" s="1" t="str">
        <f t="shared" si="11"/>
        <v>Normal</v>
      </c>
    </row>
    <row r="749" spans="1:14" x14ac:dyDescent="0.25">
      <c r="A749" s="1" t="s">
        <v>1603</v>
      </c>
      <c r="B749" s="1" t="s">
        <v>44</v>
      </c>
      <c r="C749" s="1" t="s">
        <v>449</v>
      </c>
      <c r="D749" s="1" t="s">
        <v>46</v>
      </c>
      <c r="E749" s="1" t="s">
        <v>26</v>
      </c>
      <c r="F749" s="1" t="s">
        <v>40</v>
      </c>
      <c r="G749" s="1">
        <v>357963</v>
      </c>
      <c r="H749" s="63">
        <v>45342</v>
      </c>
      <c r="I749" s="63">
        <v>45400</v>
      </c>
      <c r="J749" s="1">
        <v>58</v>
      </c>
      <c r="K749" s="1">
        <v>24.7</v>
      </c>
      <c r="L749" s="1" t="s">
        <v>20</v>
      </c>
      <c r="M749" s="1" t="s">
        <v>69</v>
      </c>
      <c r="N749" s="1" t="str">
        <f t="shared" si="11"/>
        <v>Normal</v>
      </c>
    </row>
    <row r="750" spans="1:14" x14ac:dyDescent="0.25">
      <c r="A750" s="1" t="s">
        <v>1604</v>
      </c>
      <c r="B750" s="1" t="s">
        <v>23</v>
      </c>
      <c r="C750" s="1" t="s">
        <v>292</v>
      </c>
      <c r="D750" s="1" t="s">
        <v>46</v>
      </c>
      <c r="E750" s="1" t="s">
        <v>94</v>
      </c>
      <c r="F750" s="1" t="s">
        <v>27</v>
      </c>
      <c r="G750" s="1">
        <v>51705</v>
      </c>
      <c r="H750" s="63">
        <v>45551</v>
      </c>
      <c r="J750" s="1"/>
      <c r="K750" s="1">
        <v>8.3000000000000007</v>
      </c>
      <c r="L750" s="1" t="s">
        <v>20</v>
      </c>
      <c r="M750" s="1" t="s">
        <v>149</v>
      </c>
      <c r="N750" s="1" t="str">
        <f t="shared" si="11"/>
        <v>Normal</v>
      </c>
    </row>
    <row r="751" spans="1:14" x14ac:dyDescent="0.25">
      <c r="A751" s="1" t="s">
        <v>1605</v>
      </c>
      <c r="B751" s="1" t="s">
        <v>88</v>
      </c>
      <c r="C751" s="1" t="s">
        <v>423</v>
      </c>
      <c r="D751" s="1" t="s">
        <v>25</v>
      </c>
      <c r="E751" s="1" t="s">
        <v>72</v>
      </c>
      <c r="F751" s="1" t="s">
        <v>40</v>
      </c>
      <c r="G751" s="1">
        <v>57685</v>
      </c>
      <c r="H751" s="63">
        <v>45255</v>
      </c>
      <c r="I751" s="63">
        <v>45404</v>
      </c>
      <c r="J751" s="1">
        <v>149</v>
      </c>
      <c r="K751" s="1">
        <v>17.600000000000001</v>
      </c>
      <c r="L751" s="1" t="s">
        <v>20</v>
      </c>
      <c r="M751" s="1" t="s">
        <v>21</v>
      </c>
      <c r="N751" s="1" t="str">
        <f t="shared" si="11"/>
        <v>Normal</v>
      </c>
    </row>
    <row r="752" spans="1:14" x14ac:dyDescent="0.25">
      <c r="A752" s="1" t="s">
        <v>1607</v>
      </c>
      <c r="B752" s="1" t="s">
        <v>109</v>
      </c>
      <c r="C752" s="1" t="s">
        <v>980</v>
      </c>
      <c r="D752" s="1" t="s">
        <v>90</v>
      </c>
      <c r="E752" s="1" t="s">
        <v>47</v>
      </c>
      <c r="F752" s="1" t="s">
        <v>33</v>
      </c>
      <c r="G752" s="1">
        <v>422560</v>
      </c>
      <c r="H752" s="63">
        <v>45470</v>
      </c>
      <c r="J752" s="1"/>
      <c r="K752" s="1"/>
      <c r="L752" s="1" t="s">
        <v>96</v>
      </c>
      <c r="M752" s="1" t="s">
        <v>107</v>
      </c>
      <c r="N752" s="1" t="str">
        <f t="shared" si="11"/>
        <v>Normal</v>
      </c>
    </row>
    <row r="753" spans="1:14" x14ac:dyDescent="0.25">
      <c r="A753" s="1" t="s">
        <v>1608</v>
      </c>
      <c r="B753" s="1" t="s">
        <v>173</v>
      </c>
      <c r="C753" s="1" t="s">
        <v>267</v>
      </c>
      <c r="D753" s="1" t="s">
        <v>39</v>
      </c>
      <c r="E753" s="1" t="s">
        <v>94</v>
      </c>
      <c r="F753" s="1" t="s">
        <v>53</v>
      </c>
      <c r="G753" s="1">
        <v>188185</v>
      </c>
      <c r="H753" s="63">
        <v>45619</v>
      </c>
      <c r="J753" s="1"/>
      <c r="K753" s="1">
        <v>3</v>
      </c>
      <c r="L753" s="1" t="s">
        <v>96</v>
      </c>
      <c r="M753" s="1" t="s">
        <v>42</v>
      </c>
      <c r="N753" s="1" t="str">
        <f t="shared" si="11"/>
        <v>Normal</v>
      </c>
    </row>
    <row r="754" spans="1:14" x14ac:dyDescent="0.25">
      <c r="A754" s="1" t="s">
        <v>1610</v>
      </c>
      <c r="B754" s="1" t="s">
        <v>98</v>
      </c>
      <c r="C754" s="1" t="s">
        <v>1136</v>
      </c>
      <c r="D754" s="1" t="s">
        <v>90</v>
      </c>
      <c r="E754" s="1" t="s">
        <v>47</v>
      </c>
      <c r="F754" s="1" t="s">
        <v>33</v>
      </c>
      <c r="G754" s="1">
        <v>184982</v>
      </c>
      <c r="H754" s="63">
        <v>45679</v>
      </c>
      <c r="J754" s="1"/>
      <c r="K754" s="1"/>
      <c r="L754" s="1" t="s">
        <v>96</v>
      </c>
      <c r="M754" s="1" t="s">
        <v>63</v>
      </c>
      <c r="N754" s="1" t="str">
        <f t="shared" si="11"/>
        <v>Normal</v>
      </c>
    </row>
    <row r="755" spans="1:14" x14ac:dyDescent="0.25">
      <c r="A755" s="1" t="s">
        <v>1612</v>
      </c>
      <c r="B755" s="1" t="s">
        <v>44</v>
      </c>
      <c r="C755" s="1" t="s">
        <v>972</v>
      </c>
      <c r="D755" s="1" t="s">
        <v>67</v>
      </c>
      <c r="E755" s="1" t="s">
        <v>72</v>
      </c>
      <c r="F755" s="1" t="s">
        <v>27</v>
      </c>
      <c r="G755" s="1">
        <v>218124</v>
      </c>
      <c r="H755" s="63">
        <v>45082</v>
      </c>
      <c r="J755" s="1"/>
      <c r="K755" s="1"/>
      <c r="L755" s="1" t="s">
        <v>96</v>
      </c>
      <c r="M755" s="1" t="s">
        <v>30</v>
      </c>
      <c r="N755" s="1" t="str">
        <f t="shared" si="11"/>
        <v>Normal</v>
      </c>
    </row>
    <row r="756" spans="1:14" x14ac:dyDescent="0.25">
      <c r="A756" s="1" t="s">
        <v>1613</v>
      </c>
      <c r="B756" s="1" t="s">
        <v>59</v>
      </c>
      <c r="C756" s="1" t="s">
        <v>1028</v>
      </c>
      <c r="D756" s="1" t="s">
        <v>25</v>
      </c>
      <c r="E756" s="1" t="s">
        <v>26</v>
      </c>
      <c r="F756" s="1" t="s">
        <v>33</v>
      </c>
      <c r="G756" s="1">
        <v>94808</v>
      </c>
      <c r="H756" s="63">
        <v>45038</v>
      </c>
      <c r="J756" s="1"/>
      <c r="K756" s="1">
        <v>7.2</v>
      </c>
      <c r="L756" s="1" t="s">
        <v>29</v>
      </c>
      <c r="M756" s="1" t="s">
        <v>30</v>
      </c>
      <c r="N756" s="1" t="str">
        <f t="shared" si="11"/>
        <v>Normal</v>
      </c>
    </row>
    <row r="757" spans="1:14" x14ac:dyDescent="0.25">
      <c r="A757" s="1" t="s">
        <v>1614</v>
      </c>
      <c r="B757" s="1" t="s">
        <v>14</v>
      </c>
      <c r="C757" s="1" t="s">
        <v>625</v>
      </c>
      <c r="D757" s="1" t="s">
        <v>16</v>
      </c>
      <c r="E757" s="1" t="s">
        <v>26</v>
      </c>
      <c r="F757" s="1" t="s">
        <v>129</v>
      </c>
      <c r="G757" s="1">
        <v>311351</v>
      </c>
      <c r="H757" s="63">
        <v>45542</v>
      </c>
      <c r="J757" s="1"/>
      <c r="K757" s="1">
        <v>9.6</v>
      </c>
      <c r="L757" s="1" t="s">
        <v>29</v>
      </c>
      <c r="M757" s="1" t="s">
        <v>149</v>
      </c>
      <c r="N757" s="1" t="str">
        <f t="shared" si="11"/>
        <v>Normal</v>
      </c>
    </row>
    <row r="758" spans="1:14" x14ac:dyDescent="0.25">
      <c r="A758" s="1" t="s">
        <v>1615</v>
      </c>
      <c r="B758" s="1" t="s">
        <v>98</v>
      </c>
      <c r="C758" s="1" t="s">
        <v>874</v>
      </c>
      <c r="D758" s="1" t="s">
        <v>46</v>
      </c>
      <c r="E758" s="1" t="s">
        <v>47</v>
      </c>
      <c r="F758" s="1" t="s">
        <v>33</v>
      </c>
      <c r="G758" s="1">
        <v>478589</v>
      </c>
      <c r="H758" s="63">
        <v>45493</v>
      </c>
      <c r="J758" s="1"/>
      <c r="K758" s="1">
        <v>8.4</v>
      </c>
      <c r="L758" s="1" t="s">
        <v>20</v>
      </c>
      <c r="M758" s="1" t="s">
        <v>149</v>
      </c>
      <c r="N758" s="1" t="str">
        <f t="shared" si="11"/>
        <v>Normal</v>
      </c>
    </row>
    <row r="759" spans="1:14" x14ac:dyDescent="0.25">
      <c r="A759" s="1" t="s">
        <v>1617</v>
      </c>
      <c r="B759" s="1" t="s">
        <v>173</v>
      </c>
      <c r="C759" s="1" t="s">
        <v>138</v>
      </c>
      <c r="D759" s="1" t="s">
        <v>90</v>
      </c>
      <c r="E759" s="1" t="s">
        <v>17</v>
      </c>
      <c r="F759" s="1" t="s">
        <v>129</v>
      </c>
      <c r="G759" s="1">
        <v>412868</v>
      </c>
      <c r="H759" s="63">
        <v>45310</v>
      </c>
      <c r="J759" s="1"/>
      <c r="K759" s="1">
        <v>8.1999999999999993</v>
      </c>
      <c r="L759" s="1" t="s">
        <v>96</v>
      </c>
      <c r="M759" s="1" t="s">
        <v>69</v>
      </c>
      <c r="N759" s="1" t="str">
        <f t="shared" si="11"/>
        <v>Normal</v>
      </c>
    </row>
    <row r="760" spans="1:14" x14ac:dyDescent="0.25">
      <c r="A760" s="1" t="s">
        <v>1618</v>
      </c>
      <c r="B760" s="1" t="s">
        <v>88</v>
      </c>
      <c r="C760" s="1" t="s">
        <v>1352</v>
      </c>
      <c r="D760" s="1" t="s">
        <v>39</v>
      </c>
      <c r="E760" s="1" t="s">
        <v>72</v>
      </c>
      <c r="F760" s="1" t="s">
        <v>129</v>
      </c>
      <c r="G760" s="1">
        <v>108997</v>
      </c>
      <c r="H760" s="63">
        <v>45096</v>
      </c>
      <c r="J760" s="1"/>
      <c r="K760" s="1"/>
      <c r="L760" s="1" t="s">
        <v>49</v>
      </c>
      <c r="M760" s="1" t="s">
        <v>30</v>
      </c>
      <c r="N760" s="1" t="str">
        <f t="shared" si="11"/>
        <v>Normal</v>
      </c>
    </row>
    <row r="761" spans="1:14" x14ac:dyDescent="0.25">
      <c r="A761" s="1" t="s">
        <v>1620</v>
      </c>
      <c r="B761" s="1" t="s">
        <v>173</v>
      </c>
      <c r="C761" s="1" t="s">
        <v>987</v>
      </c>
      <c r="D761" s="1" t="s">
        <v>46</v>
      </c>
      <c r="E761" s="1" t="s">
        <v>17</v>
      </c>
      <c r="F761" s="1" t="s">
        <v>33</v>
      </c>
      <c r="G761" s="1">
        <v>69592</v>
      </c>
      <c r="H761" s="63">
        <v>45361</v>
      </c>
      <c r="J761" s="1"/>
      <c r="K761" s="1">
        <v>7.4</v>
      </c>
      <c r="L761" s="1" t="s">
        <v>20</v>
      </c>
      <c r="M761" s="1" t="s">
        <v>69</v>
      </c>
      <c r="N761" s="1" t="str">
        <f t="shared" si="11"/>
        <v>Normal</v>
      </c>
    </row>
    <row r="762" spans="1:14" x14ac:dyDescent="0.25">
      <c r="A762" s="1" t="s">
        <v>1621</v>
      </c>
      <c r="B762" s="1" t="s">
        <v>65</v>
      </c>
      <c r="C762" s="1" t="s">
        <v>325</v>
      </c>
      <c r="D762" s="1" t="s">
        <v>90</v>
      </c>
      <c r="E762" s="1" t="s">
        <v>17</v>
      </c>
      <c r="F762" s="1" t="s">
        <v>27</v>
      </c>
      <c r="G762" s="1">
        <v>394132</v>
      </c>
      <c r="H762" s="63">
        <v>45575</v>
      </c>
      <c r="J762" s="1"/>
      <c r="K762" s="1"/>
      <c r="L762" s="1" t="s">
        <v>49</v>
      </c>
      <c r="M762" s="1" t="s">
        <v>42</v>
      </c>
      <c r="N762" s="1" t="str">
        <f t="shared" si="11"/>
        <v>Normal</v>
      </c>
    </row>
    <row r="763" spans="1:14" x14ac:dyDescent="0.25">
      <c r="A763" s="1" t="s">
        <v>1622</v>
      </c>
      <c r="B763" s="1" t="s">
        <v>80</v>
      </c>
      <c r="C763" s="1" t="s">
        <v>303</v>
      </c>
      <c r="D763" s="1" t="s">
        <v>46</v>
      </c>
      <c r="E763" s="1" t="s">
        <v>94</v>
      </c>
      <c r="F763" s="1" t="s">
        <v>18</v>
      </c>
      <c r="G763" s="1">
        <v>479641</v>
      </c>
      <c r="H763" s="63">
        <v>45312</v>
      </c>
      <c r="I763" s="63">
        <v>45485</v>
      </c>
      <c r="J763" s="1">
        <v>173</v>
      </c>
      <c r="K763" s="1"/>
      <c r="L763" s="1" t="s">
        <v>20</v>
      </c>
      <c r="M763" s="1" t="s">
        <v>69</v>
      </c>
      <c r="N763" s="1" t="str">
        <f t="shared" si="11"/>
        <v>Normal</v>
      </c>
    </row>
    <row r="764" spans="1:14" x14ac:dyDescent="0.25">
      <c r="A764" s="1" t="s">
        <v>1624</v>
      </c>
      <c r="B764" s="1" t="s">
        <v>173</v>
      </c>
      <c r="C764" s="1" t="s">
        <v>105</v>
      </c>
      <c r="D764" s="1" t="s">
        <v>39</v>
      </c>
      <c r="E764" s="1" t="s">
        <v>61</v>
      </c>
      <c r="F764" s="1" t="s">
        <v>53</v>
      </c>
      <c r="G764" s="1">
        <v>305973</v>
      </c>
      <c r="H764" s="63">
        <v>45291</v>
      </c>
      <c r="J764" s="1"/>
      <c r="K764" s="1">
        <v>6.4</v>
      </c>
      <c r="L764" s="1" t="s">
        <v>49</v>
      </c>
      <c r="M764" s="1" t="s">
        <v>21</v>
      </c>
      <c r="N764" s="1" t="str">
        <f t="shared" si="11"/>
        <v>Normal</v>
      </c>
    </row>
    <row r="765" spans="1:14" x14ac:dyDescent="0.25">
      <c r="A765" s="1" t="s">
        <v>1626</v>
      </c>
      <c r="B765" s="1" t="s">
        <v>88</v>
      </c>
      <c r="C765" s="1" t="s">
        <v>1142</v>
      </c>
      <c r="D765" s="1" t="s">
        <v>46</v>
      </c>
      <c r="E765" s="1" t="s">
        <v>77</v>
      </c>
      <c r="F765" s="1" t="s">
        <v>40</v>
      </c>
      <c r="G765" s="1">
        <v>282645</v>
      </c>
      <c r="H765" s="63">
        <v>45549</v>
      </c>
      <c r="I765" s="63">
        <v>45671</v>
      </c>
      <c r="J765" s="1">
        <v>122</v>
      </c>
      <c r="K765" s="1">
        <v>14.5</v>
      </c>
      <c r="L765" s="1" t="s">
        <v>96</v>
      </c>
      <c r="M765" s="1" t="s">
        <v>149</v>
      </c>
      <c r="N765" s="1" t="str">
        <f t="shared" si="11"/>
        <v>Normal</v>
      </c>
    </row>
    <row r="766" spans="1:14" x14ac:dyDescent="0.25">
      <c r="A766" s="1" t="s">
        <v>1628</v>
      </c>
      <c r="B766" s="1" t="s">
        <v>104</v>
      </c>
      <c r="C766" s="1" t="s">
        <v>205</v>
      </c>
      <c r="D766" s="1" t="s">
        <v>25</v>
      </c>
      <c r="E766" s="1" t="s">
        <v>94</v>
      </c>
      <c r="F766" s="1" t="s">
        <v>53</v>
      </c>
      <c r="G766" s="1">
        <v>303493</v>
      </c>
      <c r="H766" s="63">
        <v>45122</v>
      </c>
      <c r="J766" s="1"/>
      <c r="K766" s="1"/>
      <c r="L766" s="1" t="s">
        <v>96</v>
      </c>
      <c r="M766" s="1" t="s">
        <v>102</v>
      </c>
      <c r="N766" s="1" t="str">
        <f t="shared" si="11"/>
        <v>Normal</v>
      </c>
    </row>
    <row r="767" spans="1:14" x14ac:dyDescent="0.25">
      <c r="A767" s="1" t="s">
        <v>1629</v>
      </c>
      <c r="B767" s="1" t="s">
        <v>23</v>
      </c>
      <c r="C767" s="1" t="s">
        <v>625</v>
      </c>
      <c r="D767" s="1" t="s">
        <v>16</v>
      </c>
      <c r="E767" s="1" t="s">
        <v>17</v>
      </c>
      <c r="F767" s="1" t="s">
        <v>33</v>
      </c>
      <c r="G767" s="1">
        <v>143999</v>
      </c>
      <c r="H767" s="63">
        <v>45479</v>
      </c>
      <c r="J767" s="1"/>
      <c r="K767" s="1">
        <v>1</v>
      </c>
      <c r="L767" s="1" t="s">
        <v>49</v>
      </c>
      <c r="M767" s="1" t="s">
        <v>149</v>
      </c>
      <c r="N767" s="1" t="str">
        <f t="shared" si="11"/>
        <v>Normal</v>
      </c>
    </row>
    <row r="768" spans="1:14" x14ac:dyDescent="0.25">
      <c r="A768" s="1" t="s">
        <v>1631</v>
      </c>
      <c r="B768" s="1" t="s">
        <v>173</v>
      </c>
      <c r="C768" s="1" t="s">
        <v>1566</v>
      </c>
      <c r="D768" s="1" t="s">
        <v>25</v>
      </c>
      <c r="E768" s="1" t="s">
        <v>94</v>
      </c>
      <c r="F768" s="1" t="s">
        <v>40</v>
      </c>
      <c r="G768" s="1">
        <v>270035</v>
      </c>
      <c r="H768" s="63">
        <v>45098</v>
      </c>
      <c r="I768" s="63">
        <v>45253</v>
      </c>
      <c r="J768" s="1">
        <v>155</v>
      </c>
      <c r="K768" s="1">
        <v>24.1</v>
      </c>
      <c r="L768" s="1" t="s">
        <v>20</v>
      </c>
      <c r="M768" s="1" t="s">
        <v>30</v>
      </c>
      <c r="N768" s="1" t="str">
        <f t="shared" si="11"/>
        <v>Normal</v>
      </c>
    </row>
    <row r="769" spans="1:14" x14ac:dyDescent="0.25">
      <c r="A769" s="1" t="s">
        <v>1632</v>
      </c>
      <c r="B769" s="1" t="s">
        <v>44</v>
      </c>
      <c r="C769" s="1" t="s">
        <v>912</v>
      </c>
      <c r="D769" s="1" t="s">
        <v>16</v>
      </c>
      <c r="E769" s="1" t="s">
        <v>47</v>
      </c>
      <c r="F769" s="1" t="s">
        <v>40</v>
      </c>
      <c r="G769" s="1">
        <v>256648</v>
      </c>
      <c r="H769" s="63">
        <v>45634</v>
      </c>
      <c r="I769" s="63">
        <v>45673</v>
      </c>
      <c r="J769" s="1">
        <v>39</v>
      </c>
      <c r="K769" s="1">
        <v>12.9</v>
      </c>
      <c r="L769" s="1" t="s">
        <v>96</v>
      </c>
      <c r="M769" s="1" t="s">
        <v>42</v>
      </c>
      <c r="N769" s="1" t="str">
        <f t="shared" si="11"/>
        <v>Normal</v>
      </c>
    </row>
    <row r="770" spans="1:14" x14ac:dyDescent="0.25">
      <c r="A770" s="1" t="s">
        <v>1633</v>
      </c>
      <c r="B770" s="1" t="s">
        <v>14</v>
      </c>
      <c r="C770" s="1" t="s">
        <v>800</v>
      </c>
      <c r="D770" s="1" t="s">
        <v>39</v>
      </c>
      <c r="E770" s="1" t="s">
        <v>61</v>
      </c>
      <c r="F770" s="1" t="s">
        <v>18</v>
      </c>
      <c r="G770" s="1">
        <v>216032</v>
      </c>
      <c r="H770" s="63">
        <v>45188</v>
      </c>
      <c r="I770" s="63">
        <v>45280</v>
      </c>
      <c r="J770" s="1">
        <v>92</v>
      </c>
      <c r="K770" s="1"/>
      <c r="L770" s="1" t="s">
        <v>29</v>
      </c>
      <c r="M770" s="1" t="s">
        <v>102</v>
      </c>
      <c r="N770" s="1" t="str">
        <f t="shared" ref="N770:N833" si="12">IF(G770&gt;$R$5,"High Outlier",IF(G770&lt;$R$6,"Low Outlier","Normal"))</f>
        <v>Normal</v>
      </c>
    </row>
    <row r="771" spans="1:14" x14ac:dyDescent="0.25">
      <c r="A771" s="1" t="s">
        <v>1635</v>
      </c>
      <c r="B771" s="1" t="s">
        <v>65</v>
      </c>
      <c r="C771" s="1" t="s">
        <v>261</v>
      </c>
      <c r="D771" s="1" t="s">
        <v>46</v>
      </c>
      <c r="E771" s="1" t="s">
        <v>61</v>
      </c>
      <c r="F771" s="1" t="s">
        <v>129</v>
      </c>
      <c r="G771" s="1">
        <v>146467</v>
      </c>
      <c r="H771" s="63">
        <v>45431</v>
      </c>
      <c r="J771" s="1"/>
      <c r="K771" s="1">
        <v>14</v>
      </c>
      <c r="L771" s="1" t="s">
        <v>29</v>
      </c>
      <c r="M771" s="1" t="s">
        <v>107</v>
      </c>
      <c r="N771" s="1" t="str">
        <f t="shared" si="12"/>
        <v>Normal</v>
      </c>
    </row>
    <row r="772" spans="1:14" x14ac:dyDescent="0.25">
      <c r="A772" s="1" t="s">
        <v>1636</v>
      </c>
      <c r="B772" s="1" t="s">
        <v>84</v>
      </c>
      <c r="C772" s="1" t="s">
        <v>1582</v>
      </c>
      <c r="D772" s="1" t="s">
        <v>25</v>
      </c>
      <c r="E772" s="1" t="s">
        <v>77</v>
      </c>
      <c r="F772" s="1" t="s">
        <v>27</v>
      </c>
      <c r="G772" s="1">
        <v>416294</v>
      </c>
      <c r="H772" s="63">
        <v>45622</v>
      </c>
      <c r="J772" s="1"/>
      <c r="K772" s="1">
        <v>9.5</v>
      </c>
      <c r="L772" s="1" t="s">
        <v>29</v>
      </c>
      <c r="M772" s="1" t="s">
        <v>42</v>
      </c>
      <c r="N772" s="1" t="str">
        <f t="shared" si="12"/>
        <v>Normal</v>
      </c>
    </row>
    <row r="773" spans="1:14" x14ac:dyDescent="0.25">
      <c r="A773" s="1" t="s">
        <v>1638</v>
      </c>
      <c r="B773" s="1" t="s">
        <v>23</v>
      </c>
      <c r="C773" s="1" t="s">
        <v>1204</v>
      </c>
      <c r="D773" s="1" t="s">
        <v>46</v>
      </c>
      <c r="E773" s="1" t="s">
        <v>17</v>
      </c>
      <c r="F773" s="1" t="s">
        <v>40</v>
      </c>
      <c r="G773" s="1">
        <v>87018</v>
      </c>
      <c r="H773" s="63">
        <v>45598</v>
      </c>
      <c r="I773" s="63">
        <v>45625</v>
      </c>
      <c r="J773" s="1">
        <v>27</v>
      </c>
      <c r="K773" s="1">
        <v>16.399999999999999</v>
      </c>
      <c r="L773" s="1" t="s">
        <v>29</v>
      </c>
      <c r="M773" s="1" t="s">
        <v>42</v>
      </c>
      <c r="N773" s="1" t="str">
        <f t="shared" si="12"/>
        <v>Normal</v>
      </c>
    </row>
    <row r="774" spans="1:14" x14ac:dyDescent="0.25">
      <c r="A774" s="1" t="s">
        <v>1639</v>
      </c>
      <c r="B774" s="1" t="s">
        <v>75</v>
      </c>
      <c r="C774" s="1" t="s">
        <v>227</v>
      </c>
      <c r="D774" s="1" t="s">
        <v>90</v>
      </c>
      <c r="E774" s="1" t="s">
        <v>4845</v>
      </c>
      <c r="F774" s="1" t="s">
        <v>18</v>
      </c>
      <c r="G774" s="1">
        <v>496316</v>
      </c>
      <c r="H774" s="63">
        <v>45549</v>
      </c>
      <c r="I774" s="63">
        <v>45725</v>
      </c>
      <c r="J774" s="1">
        <v>176</v>
      </c>
      <c r="K774" s="1">
        <v>2.6</v>
      </c>
      <c r="L774" s="1" t="s">
        <v>96</v>
      </c>
      <c r="M774" s="1" t="s">
        <v>149</v>
      </c>
      <c r="N774" s="1" t="str">
        <f t="shared" si="12"/>
        <v>Normal</v>
      </c>
    </row>
    <row r="775" spans="1:14" x14ac:dyDescent="0.25">
      <c r="A775" s="1" t="s">
        <v>1641</v>
      </c>
      <c r="B775" s="1" t="s">
        <v>44</v>
      </c>
      <c r="C775" s="1" t="s">
        <v>699</v>
      </c>
      <c r="D775" s="1" t="s">
        <v>67</v>
      </c>
      <c r="E775" s="1" t="s">
        <v>47</v>
      </c>
      <c r="F775" s="1" t="s">
        <v>53</v>
      </c>
      <c r="G775" s="1">
        <v>269510</v>
      </c>
      <c r="H775" s="63">
        <v>45371</v>
      </c>
      <c r="J775" s="1"/>
      <c r="K775" s="1"/>
      <c r="L775" s="1" t="s">
        <v>20</v>
      </c>
      <c r="M775" s="1" t="s">
        <v>69</v>
      </c>
      <c r="N775" s="1" t="str">
        <f t="shared" si="12"/>
        <v>Normal</v>
      </c>
    </row>
    <row r="776" spans="1:14" x14ac:dyDescent="0.25">
      <c r="A776" s="1" t="s">
        <v>1642</v>
      </c>
      <c r="B776" s="1" t="s">
        <v>37</v>
      </c>
      <c r="C776" s="1" t="s">
        <v>676</v>
      </c>
      <c r="D776" s="1" t="s">
        <v>25</v>
      </c>
      <c r="E776" s="1" t="s">
        <v>72</v>
      </c>
      <c r="F776" s="1" t="s">
        <v>53</v>
      </c>
      <c r="G776" s="1">
        <v>469379</v>
      </c>
      <c r="H776" s="63">
        <v>45039</v>
      </c>
      <c r="J776" s="1"/>
      <c r="K776" s="1">
        <v>3.6</v>
      </c>
      <c r="L776" s="1" t="s">
        <v>29</v>
      </c>
      <c r="M776" s="1" t="s">
        <v>30</v>
      </c>
      <c r="N776" s="1" t="str">
        <f t="shared" si="12"/>
        <v>Normal</v>
      </c>
    </row>
    <row r="777" spans="1:14" x14ac:dyDescent="0.25">
      <c r="A777" s="1" t="s">
        <v>1643</v>
      </c>
      <c r="B777" s="1" t="s">
        <v>75</v>
      </c>
      <c r="C777" s="1" t="s">
        <v>518</v>
      </c>
      <c r="D777" s="1" t="s">
        <v>67</v>
      </c>
      <c r="E777" s="1" t="s">
        <v>72</v>
      </c>
      <c r="F777" s="1" t="s">
        <v>27</v>
      </c>
      <c r="G777" s="1">
        <v>225336</v>
      </c>
      <c r="H777" s="63">
        <v>45277</v>
      </c>
      <c r="J777" s="1"/>
      <c r="K777" s="1"/>
      <c r="L777" s="1" t="s">
        <v>20</v>
      </c>
      <c r="M777" s="1" t="s">
        <v>21</v>
      </c>
      <c r="N777" s="1" t="str">
        <f t="shared" si="12"/>
        <v>Normal</v>
      </c>
    </row>
    <row r="778" spans="1:14" x14ac:dyDescent="0.25">
      <c r="A778" s="1" t="s">
        <v>1645</v>
      </c>
      <c r="B778" s="1" t="s">
        <v>104</v>
      </c>
      <c r="C778" s="1" t="s">
        <v>355</v>
      </c>
      <c r="D778" s="1" t="s">
        <v>25</v>
      </c>
      <c r="E778" s="1" t="s">
        <v>100</v>
      </c>
      <c r="F778" s="1" t="s">
        <v>53</v>
      </c>
      <c r="G778" s="1">
        <v>411518</v>
      </c>
      <c r="H778" s="63">
        <v>45409</v>
      </c>
      <c r="J778" s="1"/>
      <c r="K778" s="1"/>
      <c r="L778" s="1" t="s">
        <v>20</v>
      </c>
      <c r="M778" s="1" t="s">
        <v>107</v>
      </c>
      <c r="N778" s="1" t="str">
        <f t="shared" si="12"/>
        <v>Normal</v>
      </c>
    </row>
    <row r="779" spans="1:14" x14ac:dyDescent="0.25">
      <c r="A779" s="1" t="s">
        <v>1647</v>
      </c>
      <c r="B779" s="1" t="s">
        <v>88</v>
      </c>
      <c r="C779" s="1" t="s">
        <v>614</v>
      </c>
      <c r="D779" s="1" t="s">
        <v>90</v>
      </c>
      <c r="E779" s="1" t="s">
        <v>47</v>
      </c>
      <c r="F779" s="1" t="s">
        <v>129</v>
      </c>
      <c r="G779" s="1">
        <v>29564</v>
      </c>
      <c r="H779" s="63">
        <v>45293</v>
      </c>
      <c r="J779" s="1"/>
      <c r="K779" s="1"/>
      <c r="L779" s="1" t="s">
        <v>96</v>
      </c>
      <c r="M779" s="1" t="s">
        <v>69</v>
      </c>
      <c r="N779" s="1" t="str">
        <f t="shared" si="12"/>
        <v>Normal</v>
      </c>
    </row>
    <row r="780" spans="1:14" x14ac:dyDescent="0.25">
      <c r="A780" s="1" t="s">
        <v>1649</v>
      </c>
      <c r="B780" s="1" t="s">
        <v>75</v>
      </c>
      <c r="C780" s="1" t="s">
        <v>539</v>
      </c>
      <c r="D780" s="1" t="s">
        <v>16</v>
      </c>
      <c r="E780" s="1" t="s">
        <v>72</v>
      </c>
      <c r="F780" s="1" t="s">
        <v>40</v>
      </c>
      <c r="G780" s="1">
        <v>306455</v>
      </c>
      <c r="H780" s="63">
        <v>45266</v>
      </c>
      <c r="I780" s="63">
        <v>45296</v>
      </c>
      <c r="J780" s="1">
        <v>30</v>
      </c>
      <c r="K780" s="1">
        <v>14.6</v>
      </c>
      <c r="L780" s="1" t="s">
        <v>96</v>
      </c>
      <c r="M780" s="1" t="s">
        <v>21</v>
      </c>
      <c r="N780" s="1" t="str">
        <f t="shared" si="12"/>
        <v>Normal</v>
      </c>
    </row>
    <row r="781" spans="1:14" x14ac:dyDescent="0.25">
      <c r="A781" s="1" t="s">
        <v>1650</v>
      </c>
      <c r="B781" s="1" t="s">
        <v>98</v>
      </c>
      <c r="C781" s="1" t="s">
        <v>654</v>
      </c>
      <c r="D781" s="1" t="s">
        <v>90</v>
      </c>
      <c r="E781" s="1" t="s">
        <v>47</v>
      </c>
      <c r="F781" s="1" t="s">
        <v>27</v>
      </c>
      <c r="G781" s="1">
        <v>436059</v>
      </c>
      <c r="H781" s="63">
        <v>45562</v>
      </c>
      <c r="J781" s="1"/>
      <c r="K781" s="1">
        <v>4.3</v>
      </c>
      <c r="L781" s="1" t="s">
        <v>96</v>
      </c>
      <c r="M781" s="1" t="s">
        <v>149</v>
      </c>
      <c r="N781" s="1" t="str">
        <f t="shared" si="12"/>
        <v>Normal</v>
      </c>
    </row>
    <row r="782" spans="1:14" x14ac:dyDescent="0.25">
      <c r="A782" s="1" t="s">
        <v>1652</v>
      </c>
      <c r="B782" s="1" t="s">
        <v>84</v>
      </c>
      <c r="C782" s="1" t="s">
        <v>321</v>
      </c>
      <c r="D782" s="1" t="s">
        <v>25</v>
      </c>
      <c r="E782" s="1" t="s">
        <v>4845</v>
      </c>
      <c r="F782" s="1" t="s">
        <v>33</v>
      </c>
      <c r="G782" s="1">
        <v>481266</v>
      </c>
      <c r="H782" s="63">
        <v>45378</v>
      </c>
      <c r="J782" s="1"/>
      <c r="K782" s="1"/>
      <c r="L782" s="1" t="s">
        <v>20</v>
      </c>
      <c r="M782" s="1" t="s">
        <v>69</v>
      </c>
      <c r="N782" s="1" t="str">
        <f t="shared" si="12"/>
        <v>Normal</v>
      </c>
    </row>
    <row r="783" spans="1:14" x14ac:dyDescent="0.25">
      <c r="A783" s="1" t="s">
        <v>1653</v>
      </c>
      <c r="B783" s="1" t="s">
        <v>59</v>
      </c>
      <c r="C783" s="1" t="s">
        <v>361</v>
      </c>
      <c r="D783" s="1" t="s">
        <v>16</v>
      </c>
      <c r="E783" s="1" t="s">
        <v>72</v>
      </c>
      <c r="F783" s="1" t="s">
        <v>129</v>
      </c>
      <c r="G783" s="1">
        <v>405043</v>
      </c>
      <c r="H783" s="63">
        <v>45397</v>
      </c>
      <c r="J783" s="1"/>
      <c r="K783" s="1">
        <v>12.1</v>
      </c>
      <c r="L783" s="1" t="s">
        <v>49</v>
      </c>
      <c r="M783" s="1" t="s">
        <v>107</v>
      </c>
      <c r="N783" s="1" t="str">
        <f t="shared" si="12"/>
        <v>Normal</v>
      </c>
    </row>
    <row r="784" spans="1:14" x14ac:dyDescent="0.25">
      <c r="A784" s="1" t="s">
        <v>1655</v>
      </c>
      <c r="B784" s="1" t="s">
        <v>59</v>
      </c>
      <c r="C784" s="1" t="s">
        <v>384</v>
      </c>
      <c r="D784" s="1" t="s">
        <v>16</v>
      </c>
      <c r="E784" s="1" t="s">
        <v>26</v>
      </c>
      <c r="F784" s="1" t="s">
        <v>53</v>
      </c>
      <c r="G784" s="1">
        <v>302967</v>
      </c>
      <c r="H784" s="63">
        <v>45501</v>
      </c>
      <c r="J784" s="1"/>
      <c r="K784" s="1"/>
      <c r="L784" s="1" t="s">
        <v>49</v>
      </c>
      <c r="M784" s="1" t="s">
        <v>149</v>
      </c>
      <c r="N784" s="1" t="str">
        <f t="shared" si="12"/>
        <v>Normal</v>
      </c>
    </row>
    <row r="785" spans="1:14" x14ac:dyDescent="0.25">
      <c r="A785" s="1" t="s">
        <v>1657</v>
      </c>
      <c r="B785" s="1" t="s">
        <v>173</v>
      </c>
      <c r="C785" s="1" t="s">
        <v>906</v>
      </c>
      <c r="D785" s="1" t="s">
        <v>46</v>
      </c>
      <c r="E785" s="1" t="s">
        <v>61</v>
      </c>
      <c r="F785" s="1" t="s">
        <v>18</v>
      </c>
      <c r="G785" s="1">
        <v>241692</v>
      </c>
      <c r="H785" s="63">
        <v>45552</v>
      </c>
      <c r="I785" s="63">
        <v>45727</v>
      </c>
      <c r="J785" s="1">
        <v>175</v>
      </c>
      <c r="K785" s="1"/>
      <c r="L785" s="1" t="s">
        <v>96</v>
      </c>
      <c r="M785" s="1" t="s">
        <v>149</v>
      </c>
      <c r="N785" s="1" t="str">
        <f t="shared" si="12"/>
        <v>Normal</v>
      </c>
    </row>
    <row r="786" spans="1:14" x14ac:dyDescent="0.25">
      <c r="A786" s="1" t="s">
        <v>1658</v>
      </c>
      <c r="B786" s="1" t="s">
        <v>65</v>
      </c>
      <c r="C786" s="1" t="s">
        <v>882</v>
      </c>
      <c r="D786" s="1" t="s">
        <v>67</v>
      </c>
      <c r="E786" s="1" t="s">
        <v>47</v>
      </c>
      <c r="F786" s="1" t="s">
        <v>33</v>
      </c>
      <c r="G786" s="1">
        <v>344535</v>
      </c>
      <c r="H786" s="63">
        <v>45662</v>
      </c>
      <c r="J786" s="1"/>
      <c r="K786" s="1"/>
      <c r="L786" s="1" t="s">
        <v>29</v>
      </c>
      <c r="M786" s="1" t="s">
        <v>63</v>
      </c>
      <c r="N786" s="1" t="str">
        <f t="shared" si="12"/>
        <v>Normal</v>
      </c>
    </row>
    <row r="787" spans="1:14" x14ac:dyDescent="0.25">
      <c r="A787" s="1" t="s">
        <v>1659</v>
      </c>
      <c r="B787" s="1" t="s">
        <v>109</v>
      </c>
      <c r="C787" s="1" t="s">
        <v>15</v>
      </c>
      <c r="D787" s="1" t="s">
        <v>46</v>
      </c>
      <c r="E787" s="1" t="s">
        <v>77</v>
      </c>
      <c r="F787" s="1" t="s">
        <v>33</v>
      </c>
      <c r="G787" s="1">
        <v>384313</v>
      </c>
      <c r="H787" s="63">
        <v>45742</v>
      </c>
      <c r="J787" s="1"/>
      <c r="K787" s="1">
        <v>6.5</v>
      </c>
      <c r="L787" s="1" t="s">
        <v>20</v>
      </c>
      <c r="M787" s="1" t="s">
        <v>63</v>
      </c>
      <c r="N787" s="1" t="str">
        <f t="shared" si="12"/>
        <v>Normal</v>
      </c>
    </row>
    <row r="788" spans="1:14" x14ac:dyDescent="0.25">
      <c r="A788" s="1" t="s">
        <v>1660</v>
      </c>
      <c r="B788" s="1" t="s">
        <v>127</v>
      </c>
      <c r="C788" s="1" t="s">
        <v>313</v>
      </c>
      <c r="D788" s="1" t="s">
        <v>25</v>
      </c>
      <c r="E788" s="1" t="s">
        <v>94</v>
      </c>
      <c r="F788" s="1" t="s">
        <v>18</v>
      </c>
      <c r="G788" s="1">
        <v>390955</v>
      </c>
      <c r="H788" s="63">
        <v>45461</v>
      </c>
      <c r="I788" s="63">
        <v>45527</v>
      </c>
      <c r="J788" s="1">
        <v>66</v>
      </c>
      <c r="K788" s="1"/>
      <c r="L788" s="1" t="s">
        <v>49</v>
      </c>
      <c r="M788" s="1" t="s">
        <v>107</v>
      </c>
      <c r="N788" s="1" t="str">
        <f t="shared" si="12"/>
        <v>Normal</v>
      </c>
    </row>
    <row r="789" spans="1:14" x14ac:dyDescent="0.25">
      <c r="A789" s="1" t="s">
        <v>1661</v>
      </c>
      <c r="B789" s="1" t="s">
        <v>14</v>
      </c>
      <c r="C789" s="1" t="s">
        <v>328</v>
      </c>
      <c r="D789" s="1" t="s">
        <v>39</v>
      </c>
      <c r="E789" s="1" t="s">
        <v>26</v>
      </c>
      <c r="F789" s="1" t="s">
        <v>40</v>
      </c>
      <c r="G789" s="1">
        <v>246390</v>
      </c>
      <c r="H789" s="63">
        <v>45111</v>
      </c>
      <c r="I789" s="63">
        <v>45202</v>
      </c>
      <c r="J789" s="1">
        <v>91</v>
      </c>
      <c r="K789" s="1">
        <v>4.5</v>
      </c>
      <c r="L789" s="1" t="s">
        <v>96</v>
      </c>
      <c r="M789" s="1" t="s">
        <v>102</v>
      </c>
      <c r="N789" s="1" t="str">
        <f t="shared" si="12"/>
        <v>Normal</v>
      </c>
    </row>
    <row r="790" spans="1:14" x14ac:dyDescent="0.25">
      <c r="A790" s="1" t="s">
        <v>1663</v>
      </c>
      <c r="B790" s="1" t="s">
        <v>75</v>
      </c>
      <c r="C790" s="1" t="s">
        <v>430</v>
      </c>
      <c r="D790" s="1" t="s">
        <v>46</v>
      </c>
      <c r="E790" s="1" t="s">
        <v>17</v>
      </c>
      <c r="F790" s="1" t="s">
        <v>53</v>
      </c>
      <c r="G790" s="1">
        <v>33949</v>
      </c>
      <c r="H790" s="63">
        <v>45527</v>
      </c>
      <c r="J790" s="1"/>
      <c r="K790" s="1">
        <v>1</v>
      </c>
      <c r="L790" s="1" t="s">
        <v>49</v>
      </c>
      <c r="M790" s="1" t="s">
        <v>149</v>
      </c>
      <c r="N790" s="1" t="str">
        <f t="shared" si="12"/>
        <v>Normal</v>
      </c>
    </row>
    <row r="791" spans="1:14" x14ac:dyDescent="0.25">
      <c r="A791" s="1" t="s">
        <v>1664</v>
      </c>
      <c r="B791" s="1" t="s">
        <v>75</v>
      </c>
      <c r="C791" s="1" t="s">
        <v>292</v>
      </c>
      <c r="D791" s="1" t="s">
        <v>90</v>
      </c>
      <c r="E791" s="1" t="s">
        <v>4845</v>
      </c>
      <c r="F791" s="1" t="s">
        <v>53</v>
      </c>
      <c r="G791" s="1">
        <v>54639</v>
      </c>
      <c r="H791" s="63">
        <v>45662</v>
      </c>
      <c r="J791" s="1"/>
      <c r="K791" s="1">
        <v>0.7</v>
      </c>
      <c r="L791" s="1" t="s">
        <v>29</v>
      </c>
      <c r="M791" s="1" t="s">
        <v>63</v>
      </c>
      <c r="N791" s="1" t="str">
        <f t="shared" si="12"/>
        <v>Normal</v>
      </c>
    </row>
    <row r="792" spans="1:14" x14ac:dyDescent="0.25">
      <c r="A792" s="1" t="s">
        <v>1665</v>
      </c>
      <c r="B792" s="1" t="s">
        <v>23</v>
      </c>
      <c r="C792" s="1" t="s">
        <v>1136</v>
      </c>
      <c r="D792" s="1" t="s">
        <v>46</v>
      </c>
      <c r="E792" s="1" t="s">
        <v>17</v>
      </c>
      <c r="F792" s="1" t="s">
        <v>53</v>
      </c>
      <c r="G792" s="1">
        <v>24721</v>
      </c>
      <c r="H792" s="63">
        <v>45697</v>
      </c>
      <c r="J792" s="1"/>
      <c r="K792" s="1"/>
      <c r="L792" s="1" t="s">
        <v>49</v>
      </c>
      <c r="M792" s="1" t="s">
        <v>63</v>
      </c>
      <c r="N792" s="1" t="str">
        <f t="shared" si="12"/>
        <v>Normal</v>
      </c>
    </row>
    <row r="793" spans="1:14" x14ac:dyDescent="0.25">
      <c r="A793" s="1" t="s">
        <v>1667</v>
      </c>
      <c r="B793" s="1" t="s">
        <v>84</v>
      </c>
      <c r="C793" s="1" t="s">
        <v>174</v>
      </c>
      <c r="D793" s="1" t="s">
        <v>16</v>
      </c>
      <c r="E793" s="1" t="s">
        <v>94</v>
      </c>
      <c r="F793" s="1" t="s">
        <v>18</v>
      </c>
      <c r="G793" s="1">
        <v>117062</v>
      </c>
      <c r="H793" s="63">
        <v>44992</v>
      </c>
      <c r="I793" s="63">
        <v>45143</v>
      </c>
      <c r="J793" s="1">
        <v>151</v>
      </c>
      <c r="K793" s="1">
        <v>7.1</v>
      </c>
      <c r="L793" s="1" t="s">
        <v>20</v>
      </c>
      <c r="M793" s="1" t="s">
        <v>35</v>
      </c>
      <c r="N793" s="1" t="str">
        <f t="shared" si="12"/>
        <v>Normal</v>
      </c>
    </row>
    <row r="794" spans="1:14" x14ac:dyDescent="0.25">
      <c r="A794" s="1" t="s">
        <v>1668</v>
      </c>
      <c r="B794" s="1" t="s">
        <v>98</v>
      </c>
      <c r="C794" s="1" t="s">
        <v>1074</v>
      </c>
      <c r="D794" s="1" t="s">
        <v>25</v>
      </c>
      <c r="E794" s="1" t="s">
        <v>4845</v>
      </c>
      <c r="F794" s="1" t="s">
        <v>40</v>
      </c>
      <c r="G794" s="1">
        <v>338895</v>
      </c>
      <c r="H794" s="63">
        <v>45493</v>
      </c>
      <c r="I794" s="63">
        <v>45548</v>
      </c>
      <c r="J794" s="1">
        <v>55</v>
      </c>
      <c r="K794" s="1">
        <v>5.0999999999999996</v>
      </c>
      <c r="L794" s="1" t="s">
        <v>96</v>
      </c>
      <c r="M794" s="1" t="s">
        <v>149</v>
      </c>
      <c r="N794" s="1" t="str">
        <f t="shared" si="12"/>
        <v>Normal</v>
      </c>
    </row>
    <row r="795" spans="1:14" x14ac:dyDescent="0.25">
      <c r="A795" s="1" t="s">
        <v>1669</v>
      </c>
      <c r="B795" s="1" t="s">
        <v>14</v>
      </c>
      <c r="C795" s="1" t="s">
        <v>316</v>
      </c>
      <c r="D795" s="1" t="s">
        <v>39</v>
      </c>
      <c r="E795" s="1" t="s">
        <v>26</v>
      </c>
      <c r="F795" s="1" t="s">
        <v>40</v>
      </c>
      <c r="G795" s="1">
        <v>127582</v>
      </c>
      <c r="H795" s="63">
        <v>45134</v>
      </c>
      <c r="I795" s="63">
        <v>45209</v>
      </c>
      <c r="J795" s="1">
        <v>75</v>
      </c>
      <c r="K795" s="1">
        <v>12</v>
      </c>
      <c r="L795" s="1" t="s">
        <v>49</v>
      </c>
      <c r="M795" s="1" t="s">
        <v>102</v>
      </c>
      <c r="N795" s="1" t="str">
        <f t="shared" si="12"/>
        <v>Normal</v>
      </c>
    </row>
    <row r="796" spans="1:14" x14ac:dyDescent="0.25">
      <c r="A796" s="1" t="s">
        <v>1671</v>
      </c>
      <c r="B796" s="1" t="s">
        <v>14</v>
      </c>
      <c r="C796" s="1" t="s">
        <v>284</v>
      </c>
      <c r="D796" s="1" t="s">
        <v>46</v>
      </c>
      <c r="E796" s="1" t="s">
        <v>47</v>
      </c>
      <c r="F796" s="1" t="s">
        <v>129</v>
      </c>
      <c r="G796" s="1">
        <v>164094</v>
      </c>
      <c r="H796" s="63">
        <v>45424</v>
      </c>
      <c r="J796" s="1"/>
      <c r="K796" s="1"/>
      <c r="L796" s="1" t="s">
        <v>20</v>
      </c>
      <c r="M796" s="1" t="s">
        <v>107</v>
      </c>
      <c r="N796" s="1" t="str">
        <f t="shared" si="12"/>
        <v>Normal</v>
      </c>
    </row>
    <row r="797" spans="1:14" x14ac:dyDescent="0.25">
      <c r="A797" s="1" t="s">
        <v>1672</v>
      </c>
      <c r="B797" s="1" t="s">
        <v>75</v>
      </c>
      <c r="C797" s="1" t="s">
        <v>583</v>
      </c>
      <c r="D797" s="1" t="s">
        <v>39</v>
      </c>
      <c r="E797" s="1" t="s">
        <v>47</v>
      </c>
      <c r="F797" s="1" t="s">
        <v>27</v>
      </c>
      <c r="G797" s="1">
        <v>382498</v>
      </c>
      <c r="H797" s="63">
        <v>45078</v>
      </c>
      <c r="J797" s="1"/>
      <c r="K797" s="1">
        <v>14.4</v>
      </c>
      <c r="L797" s="1" t="s">
        <v>20</v>
      </c>
      <c r="M797" s="1" t="s">
        <v>30</v>
      </c>
      <c r="N797" s="1" t="str">
        <f t="shared" si="12"/>
        <v>Normal</v>
      </c>
    </row>
    <row r="798" spans="1:14" x14ac:dyDescent="0.25">
      <c r="A798" s="1" t="s">
        <v>1673</v>
      </c>
      <c r="B798" s="1" t="s">
        <v>59</v>
      </c>
      <c r="C798" s="1" t="s">
        <v>711</v>
      </c>
      <c r="D798" s="1" t="s">
        <v>90</v>
      </c>
      <c r="E798" s="1" t="s">
        <v>100</v>
      </c>
      <c r="F798" s="1" t="s">
        <v>27</v>
      </c>
      <c r="G798" s="1">
        <v>109622</v>
      </c>
      <c r="H798" s="63">
        <v>44992</v>
      </c>
      <c r="J798" s="1"/>
      <c r="K798" s="1"/>
      <c r="L798" s="1" t="s">
        <v>49</v>
      </c>
      <c r="M798" s="1" t="s">
        <v>35</v>
      </c>
      <c r="N798" s="1" t="str">
        <f t="shared" si="12"/>
        <v>Normal</v>
      </c>
    </row>
    <row r="799" spans="1:14" x14ac:dyDescent="0.25">
      <c r="A799" s="1" t="s">
        <v>1674</v>
      </c>
      <c r="B799" s="1" t="s">
        <v>37</v>
      </c>
      <c r="C799" s="1" t="s">
        <v>132</v>
      </c>
      <c r="D799" s="1" t="s">
        <v>16</v>
      </c>
      <c r="E799" s="1" t="s">
        <v>17</v>
      </c>
      <c r="F799" s="1" t="s">
        <v>129</v>
      </c>
      <c r="G799" s="1">
        <v>286439</v>
      </c>
      <c r="H799" s="63">
        <v>45410</v>
      </c>
      <c r="J799" s="1"/>
      <c r="K799" s="1">
        <v>2.4</v>
      </c>
      <c r="L799" s="1" t="s">
        <v>20</v>
      </c>
      <c r="M799" s="1" t="s">
        <v>107</v>
      </c>
      <c r="N799" s="1" t="str">
        <f t="shared" si="12"/>
        <v>Normal</v>
      </c>
    </row>
    <row r="800" spans="1:14" x14ac:dyDescent="0.25">
      <c r="A800" s="1" t="s">
        <v>1676</v>
      </c>
      <c r="B800" s="1" t="s">
        <v>65</v>
      </c>
      <c r="C800" s="1" t="s">
        <v>343</v>
      </c>
      <c r="D800" s="1" t="s">
        <v>67</v>
      </c>
      <c r="E800" s="1" t="s">
        <v>100</v>
      </c>
      <c r="F800" s="1" t="s">
        <v>33</v>
      </c>
      <c r="G800" s="1">
        <v>21741</v>
      </c>
      <c r="H800" s="63">
        <v>44962</v>
      </c>
      <c r="J800" s="1"/>
      <c r="K800" s="1">
        <v>13.5</v>
      </c>
      <c r="L800" s="1" t="s">
        <v>49</v>
      </c>
      <c r="M800" s="1" t="s">
        <v>35</v>
      </c>
      <c r="N800" s="1" t="str">
        <f t="shared" si="12"/>
        <v>Normal</v>
      </c>
    </row>
    <row r="801" spans="1:14" x14ac:dyDescent="0.25">
      <c r="A801" s="1" t="s">
        <v>1678</v>
      </c>
      <c r="B801" s="1" t="s">
        <v>109</v>
      </c>
      <c r="C801" s="1" t="s">
        <v>423</v>
      </c>
      <c r="D801" s="1" t="s">
        <v>25</v>
      </c>
      <c r="E801" s="1" t="s">
        <v>100</v>
      </c>
      <c r="F801" s="1" t="s">
        <v>53</v>
      </c>
      <c r="G801" s="1">
        <v>250796</v>
      </c>
      <c r="H801" s="63">
        <v>45692</v>
      </c>
      <c r="J801" s="1"/>
      <c r="K801" s="1">
        <v>8.8000000000000007</v>
      </c>
      <c r="L801" s="1" t="s">
        <v>20</v>
      </c>
      <c r="M801" s="1" t="s">
        <v>63</v>
      </c>
      <c r="N801" s="1" t="str">
        <f t="shared" si="12"/>
        <v>Normal</v>
      </c>
    </row>
    <row r="802" spans="1:14" x14ac:dyDescent="0.25">
      <c r="A802" s="1" t="s">
        <v>1680</v>
      </c>
      <c r="B802" s="1" t="s">
        <v>23</v>
      </c>
      <c r="C802" s="1" t="s">
        <v>186</v>
      </c>
      <c r="D802" s="1" t="s">
        <v>39</v>
      </c>
      <c r="E802" s="1" t="s">
        <v>94</v>
      </c>
      <c r="F802" s="1" t="s">
        <v>129</v>
      </c>
      <c r="G802" s="1">
        <v>307840</v>
      </c>
      <c r="H802" s="63">
        <v>45117</v>
      </c>
      <c r="J802" s="1"/>
      <c r="K802" s="1">
        <v>12.7</v>
      </c>
      <c r="L802" s="1" t="s">
        <v>20</v>
      </c>
      <c r="M802" s="1" t="s">
        <v>102</v>
      </c>
      <c r="N802" s="1" t="str">
        <f t="shared" si="12"/>
        <v>Normal</v>
      </c>
    </row>
    <row r="803" spans="1:14" x14ac:dyDescent="0.25">
      <c r="A803" s="1" t="s">
        <v>1682</v>
      </c>
      <c r="B803" s="1" t="s">
        <v>109</v>
      </c>
      <c r="C803" s="1" t="s">
        <v>483</v>
      </c>
      <c r="D803" s="1" t="s">
        <v>39</v>
      </c>
      <c r="E803" s="1" t="s">
        <v>100</v>
      </c>
      <c r="F803" s="1" t="s">
        <v>40</v>
      </c>
      <c r="G803" s="1">
        <v>160723</v>
      </c>
      <c r="H803" s="63">
        <v>45598</v>
      </c>
      <c r="I803" s="63">
        <v>45675</v>
      </c>
      <c r="J803" s="1">
        <v>77</v>
      </c>
      <c r="K803" s="1">
        <v>14.8</v>
      </c>
      <c r="L803" s="1" t="s">
        <v>96</v>
      </c>
      <c r="M803" s="1" t="s">
        <v>42</v>
      </c>
      <c r="N803" s="1" t="str">
        <f t="shared" si="12"/>
        <v>Normal</v>
      </c>
    </row>
    <row r="804" spans="1:14" x14ac:dyDescent="0.25">
      <c r="A804" s="1" t="s">
        <v>1683</v>
      </c>
      <c r="B804" s="1" t="s">
        <v>98</v>
      </c>
      <c r="C804" s="1" t="s">
        <v>165</v>
      </c>
      <c r="D804" s="1" t="s">
        <v>39</v>
      </c>
      <c r="E804" s="1" t="s">
        <v>4845</v>
      </c>
      <c r="F804" s="1" t="s">
        <v>33</v>
      </c>
      <c r="G804" s="1">
        <v>201377</v>
      </c>
      <c r="H804" s="63">
        <v>45742</v>
      </c>
      <c r="J804" s="1"/>
      <c r="K804" s="1">
        <v>1.9</v>
      </c>
      <c r="L804" s="1" t="s">
        <v>29</v>
      </c>
      <c r="M804" s="1" t="s">
        <v>63</v>
      </c>
      <c r="N804" s="1" t="str">
        <f t="shared" si="12"/>
        <v>Normal</v>
      </c>
    </row>
    <row r="805" spans="1:14" x14ac:dyDescent="0.25">
      <c r="A805" s="1" t="s">
        <v>1684</v>
      </c>
      <c r="B805" s="1" t="s">
        <v>75</v>
      </c>
      <c r="C805" s="1" t="s">
        <v>122</v>
      </c>
      <c r="D805" s="1" t="s">
        <v>25</v>
      </c>
      <c r="E805" s="1" t="s">
        <v>47</v>
      </c>
      <c r="F805" s="1" t="s">
        <v>129</v>
      </c>
      <c r="G805" s="1">
        <v>365574</v>
      </c>
      <c r="H805" s="63">
        <v>45255</v>
      </c>
      <c r="J805" s="1"/>
      <c r="K805" s="1"/>
      <c r="L805" s="1" t="s">
        <v>96</v>
      </c>
      <c r="M805" s="1" t="s">
        <v>21</v>
      </c>
      <c r="N805" s="1" t="str">
        <f t="shared" si="12"/>
        <v>Normal</v>
      </c>
    </row>
    <row r="806" spans="1:14" x14ac:dyDescent="0.25">
      <c r="A806" s="1" t="s">
        <v>1685</v>
      </c>
      <c r="B806" s="1" t="s">
        <v>109</v>
      </c>
      <c r="C806" s="1" t="s">
        <v>1339</v>
      </c>
      <c r="D806" s="1" t="s">
        <v>90</v>
      </c>
      <c r="E806" s="1" t="s">
        <v>61</v>
      </c>
      <c r="F806" s="1" t="s">
        <v>18</v>
      </c>
      <c r="G806" s="1">
        <v>252076</v>
      </c>
      <c r="H806" s="63">
        <v>45075</v>
      </c>
      <c r="I806" s="63">
        <v>45114</v>
      </c>
      <c r="J806" s="1">
        <v>39</v>
      </c>
      <c r="K806" s="1">
        <v>6.6</v>
      </c>
      <c r="L806" s="1" t="s">
        <v>96</v>
      </c>
      <c r="M806" s="1" t="s">
        <v>30</v>
      </c>
      <c r="N806" s="1" t="str">
        <f t="shared" si="12"/>
        <v>Normal</v>
      </c>
    </row>
    <row r="807" spans="1:14" x14ac:dyDescent="0.25">
      <c r="A807" s="1" t="s">
        <v>1686</v>
      </c>
      <c r="B807" s="1" t="s">
        <v>109</v>
      </c>
      <c r="C807" s="1" t="s">
        <v>205</v>
      </c>
      <c r="D807" s="1" t="s">
        <v>90</v>
      </c>
      <c r="E807" s="1" t="s">
        <v>47</v>
      </c>
      <c r="F807" s="1" t="s">
        <v>129</v>
      </c>
      <c r="G807" s="1">
        <v>205779</v>
      </c>
      <c r="H807" s="63">
        <v>45188</v>
      </c>
      <c r="J807" s="1"/>
      <c r="K807" s="1"/>
      <c r="L807" s="1" t="s">
        <v>49</v>
      </c>
      <c r="M807" s="1" t="s">
        <v>102</v>
      </c>
      <c r="N807" s="1" t="str">
        <f t="shared" si="12"/>
        <v>Normal</v>
      </c>
    </row>
    <row r="808" spans="1:14" x14ac:dyDescent="0.25">
      <c r="A808" s="1" t="s">
        <v>1688</v>
      </c>
      <c r="B808" s="1" t="s">
        <v>84</v>
      </c>
      <c r="C808" s="1" t="s">
        <v>439</v>
      </c>
      <c r="D808" s="1" t="s">
        <v>39</v>
      </c>
      <c r="E808" s="1" t="s">
        <v>77</v>
      </c>
      <c r="F808" s="1" t="s">
        <v>129</v>
      </c>
      <c r="G808" s="1">
        <v>993083</v>
      </c>
      <c r="H808" s="63">
        <v>45690</v>
      </c>
      <c r="J808" s="1"/>
      <c r="K808" s="1">
        <v>13.1</v>
      </c>
      <c r="L808" s="1" t="s">
        <v>20</v>
      </c>
      <c r="M808" s="1" t="s">
        <v>63</v>
      </c>
      <c r="N808" s="1" t="str">
        <f t="shared" si="12"/>
        <v>High Outlier</v>
      </c>
    </row>
    <row r="809" spans="1:14" x14ac:dyDescent="0.25">
      <c r="A809" s="1" t="s">
        <v>1690</v>
      </c>
      <c r="B809" s="1" t="s">
        <v>88</v>
      </c>
      <c r="C809" s="1" t="s">
        <v>1691</v>
      </c>
      <c r="D809" s="1" t="s">
        <v>46</v>
      </c>
      <c r="E809" s="1" t="s">
        <v>61</v>
      </c>
      <c r="F809" s="1" t="s">
        <v>53</v>
      </c>
      <c r="G809" s="1">
        <v>142979</v>
      </c>
      <c r="H809" s="63">
        <v>45378</v>
      </c>
      <c r="J809" s="1"/>
      <c r="K809" s="1">
        <v>1</v>
      </c>
      <c r="L809" s="1" t="s">
        <v>20</v>
      </c>
      <c r="M809" s="1" t="s">
        <v>69</v>
      </c>
      <c r="N809" s="1" t="str">
        <f t="shared" si="12"/>
        <v>Normal</v>
      </c>
    </row>
    <row r="810" spans="1:14" x14ac:dyDescent="0.25">
      <c r="A810" s="1" t="s">
        <v>1692</v>
      </c>
      <c r="B810" s="1" t="s">
        <v>98</v>
      </c>
      <c r="C810" s="1" t="s">
        <v>110</v>
      </c>
      <c r="D810" s="1" t="s">
        <v>46</v>
      </c>
      <c r="E810" s="1" t="s">
        <v>17</v>
      </c>
      <c r="F810" s="1" t="s">
        <v>53</v>
      </c>
      <c r="G810" s="1">
        <v>78693</v>
      </c>
      <c r="H810" s="63">
        <v>45352</v>
      </c>
      <c r="J810" s="1"/>
      <c r="K810" s="1">
        <v>10.7</v>
      </c>
      <c r="L810" s="1" t="s">
        <v>96</v>
      </c>
      <c r="M810" s="1" t="s">
        <v>69</v>
      </c>
      <c r="N810" s="1" t="str">
        <f t="shared" si="12"/>
        <v>Normal</v>
      </c>
    </row>
    <row r="811" spans="1:14" x14ac:dyDescent="0.25">
      <c r="A811" s="1" t="s">
        <v>1693</v>
      </c>
      <c r="B811" s="1" t="s">
        <v>84</v>
      </c>
      <c r="C811" s="1" t="s">
        <v>213</v>
      </c>
      <c r="D811" s="1" t="s">
        <v>90</v>
      </c>
      <c r="E811" s="1" t="s">
        <v>100</v>
      </c>
      <c r="F811" s="1" t="s">
        <v>129</v>
      </c>
      <c r="G811" s="1">
        <v>304564</v>
      </c>
      <c r="H811" s="63">
        <v>45178</v>
      </c>
      <c r="J811" s="1"/>
      <c r="K811" s="1">
        <v>4.9000000000000004</v>
      </c>
      <c r="L811" s="1" t="s">
        <v>49</v>
      </c>
      <c r="M811" s="1" t="s">
        <v>102</v>
      </c>
      <c r="N811" s="1" t="str">
        <f t="shared" si="12"/>
        <v>Normal</v>
      </c>
    </row>
    <row r="812" spans="1:14" x14ac:dyDescent="0.25">
      <c r="A812" s="1" t="s">
        <v>1694</v>
      </c>
      <c r="B812" s="1" t="s">
        <v>98</v>
      </c>
      <c r="C812" s="1" t="s">
        <v>183</v>
      </c>
      <c r="D812" s="1" t="s">
        <v>90</v>
      </c>
      <c r="E812" s="1" t="s">
        <v>94</v>
      </c>
      <c r="F812" s="1" t="s">
        <v>40</v>
      </c>
      <c r="G812" s="1">
        <v>336343</v>
      </c>
      <c r="H812" s="63">
        <v>45146</v>
      </c>
      <c r="I812" s="63">
        <v>45200</v>
      </c>
      <c r="J812" s="1">
        <v>54</v>
      </c>
      <c r="K812" s="1">
        <v>21.6</v>
      </c>
      <c r="L812" s="1" t="s">
        <v>29</v>
      </c>
      <c r="M812" s="1" t="s">
        <v>102</v>
      </c>
      <c r="N812" s="1" t="str">
        <f t="shared" si="12"/>
        <v>Normal</v>
      </c>
    </row>
    <row r="813" spans="1:14" x14ac:dyDescent="0.25">
      <c r="A813" s="1" t="s">
        <v>1695</v>
      </c>
      <c r="B813" s="1" t="s">
        <v>104</v>
      </c>
      <c r="C813" s="1" t="s">
        <v>113</v>
      </c>
      <c r="D813" s="1" t="s">
        <v>25</v>
      </c>
      <c r="E813" s="1" t="s">
        <v>47</v>
      </c>
      <c r="F813" s="1" t="s">
        <v>53</v>
      </c>
      <c r="G813" s="1">
        <v>494444</v>
      </c>
      <c r="H813" s="63">
        <v>45652</v>
      </c>
      <c r="J813" s="1"/>
      <c r="K813" s="1">
        <v>11.8</v>
      </c>
      <c r="L813" s="1" t="s">
        <v>49</v>
      </c>
      <c r="M813" s="1" t="s">
        <v>42</v>
      </c>
      <c r="N813" s="1" t="str">
        <f t="shared" si="12"/>
        <v>Normal</v>
      </c>
    </row>
    <row r="814" spans="1:14" x14ac:dyDescent="0.25">
      <c r="A814" s="1" t="s">
        <v>1696</v>
      </c>
      <c r="B814" s="1" t="s">
        <v>59</v>
      </c>
      <c r="C814" s="1" t="s">
        <v>528</v>
      </c>
      <c r="D814" s="1" t="s">
        <v>25</v>
      </c>
      <c r="E814" s="1" t="s">
        <v>26</v>
      </c>
      <c r="F814" s="1" t="s">
        <v>33</v>
      </c>
      <c r="G814" s="1">
        <v>174537</v>
      </c>
      <c r="H814" s="63">
        <v>45736</v>
      </c>
      <c r="J814" s="1"/>
      <c r="K814" s="1">
        <v>7.1</v>
      </c>
      <c r="L814" s="1" t="s">
        <v>49</v>
      </c>
      <c r="M814" s="1" t="s">
        <v>63</v>
      </c>
      <c r="N814" s="1" t="str">
        <f t="shared" si="12"/>
        <v>Normal</v>
      </c>
    </row>
    <row r="815" spans="1:14" x14ac:dyDescent="0.25">
      <c r="A815" s="1" t="s">
        <v>1697</v>
      </c>
      <c r="B815" s="1" t="s">
        <v>109</v>
      </c>
      <c r="C815" s="1" t="s">
        <v>433</v>
      </c>
      <c r="D815" s="1" t="s">
        <v>16</v>
      </c>
      <c r="E815" s="1" t="s">
        <v>47</v>
      </c>
      <c r="F815" s="1" t="s">
        <v>33</v>
      </c>
      <c r="G815" s="1">
        <v>472256</v>
      </c>
      <c r="H815" s="63">
        <v>45637</v>
      </c>
      <c r="J815" s="1"/>
      <c r="K815" s="1"/>
      <c r="L815" s="1" t="s">
        <v>29</v>
      </c>
      <c r="M815" s="1" t="s">
        <v>42</v>
      </c>
      <c r="N815" s="1" t="str">
        <f t="shared" si="12"/>
        <v>Normal</v>
      </c>
    </row>
    <row r="816" spans="1:14" x14ac:dyDescent="0.25">
      <c r="A816" s="1" t="s">
        <v>1699</v>
      </c>
      <c r="B816" s="1" t="s">
        <v>109</v>
      </c>
      <c r="C816" s="1" t="s">
        <v>24</v>
      </c>
      <c r="D816" s="1" t="s">
        <v>67</v>
      </c>
      <c r="E816" s="1" t="s">
        <v>77</v>
      </c>
      <c r="F816" s="1" t="s">
        <v>40</v>
      </c>
      <c r="G816" s="1">
        <v>135885</v>
      </c>
      <c r="H816" s="63">
        <v>45394</v>
      </c>
      <c r="I816" s="63">
        <v>45423</v>
      </c>
      <c r="J816" s="1">
        <v>29</v>
      </c>
      <c r="K816" s="1">
        <v>20.100000000000001</v>
      </c>
      <c r="L816" s="1" t="s">
        <v>20</v>
      </c>
      <c r="M816" s="1" t="s">
        <v>107</v>
      </c>
      <c r="N816" s="1" t="str">
        <f t="shared" si="12"/>
        <v>Normal</v>
      </c>
    </row>
    <row r="817" spans="1:14" x14ac:dyDescent="0.25">
      <c r="A817" s="1" t="s">
        <v>1700</v>
      </c>
      <c r="B817" s="1" t="s">
        <v>127</v>
      </c>
      <c r="C817" s="1" t="s">
        <v>862</v>
      </c>
      <c r="D817" s="1" t="s">
        <v>67</v>
      </c>
      <c r="E817" s="1" t="s">
        <v>47</v>
      </c>
      <c r="F817" s="1" t="s">
        <v>53</v>
      </c>
      <c r="G817" s="1">
        <v>471492</v>
      </c>
      <c r="H817" s="63">
        <v>45664</v>
      </c>
      <c r="J817" s="1"/>
      <c r="K817" s="1"/>
      <c r="L817" s="1" t="s">
        <v>96</v>
      </c>
      <c r="M817" s="1" t="s">
        <v>63</v>
      </c>
      <c r="N817" s="1" t="str">
        <f t="shared" si="12"/>
        <v>Normal</v>
      </c>
    </row>
    <row r="818" spans="1:14" x14ac:dyDescent="0.25">
      <c r="A818" s="1" t="s">
        <v>1702</v>
      </c>
      <c r="B818" s="1" t="s">
        <v>98</v>
      </c>
      <c r="C818" s="1" t="s">
        <v>558</v>
      </c>
      <c r="D818" s="1" t="s">
        <v>90</v>
      </c>
      <c r="E818" s="1" t="s">
        <v>72</v>
      </c>
      <c r="F818" s="1" t="s">
        <v>129</v>
      </c>
      <c r="G818" s="1">
        <v>220822</v>
      </c>
      <c r="H818" s="63">
        <v>45096</v>
      </c>
      <c r="J818" s="1"/>
      <c r="K818" s="1">
        <v>9</v>
      </c>
      <c r="L818" s="1" t="s">
        <v>29</v>
      </c>
      <c r="M818" s="1" t="s">
        <v>30</v>
      </c>
      <c r="N818" s="1" t="str">
        <f t="shared" si="12"/>
        <v>Normal</v>
      </c>
    </row>
    <row r="819" spans="1:14" x14ac:dyDescent="0.25">
      <c r="A819" s="1" t="s">
        <v>1703</v>
      </c>
      <c r="B819" s="1" t="s">
        <v>173</v>
      </c>
      <c r="C819" s="1" t="s">
        <v>325</v>
      </c>
      <c r="D819" s="1" t="s">
        <v>39</v>
      </c>
      <c r="E819" s="1" t="s">
        <v>47</v>
      </c>
      <c r="F819" s="1" t="s">
        <v>129</v>
      </c>
      <c r="G819" s="1">
        <v>423644</v>
      </c>
      <c r="H819" s="63">
        <v>45050</v>
      </c>
      <c r="J819" s="1"/>
      <c r="K819" s="1">
        <v>8.4</v>
      </c>
      <c r="L819" s="1" t="s">
        <v>49</v>
      </c>
      <c r="M819" s="1" t="s">
        <v>30</v>
      </c>
      <c r="N819" s="1" t="str">
        <f t="shared" si="12"/>
        <v>Normal</v>
      </c>
    </row>
    <row r="820" spans="1:14" x14ac:dyDescent="0.25">
      <c r="A820" s="1" t="s">
        <v>1704</v>
      </c>
      <c r="B820" s="1" t="s">
        <v>37</v>
      </c>
      <c r="C820" s="1" t="s">
        <v>390</v>
      </c>
      <c r="D820" s="1" t="s">
        <v>90</v>
      </c>
      <c r="E820" s="1" t="s">
        <v>100</v>
      </c>
      <c r="F820" s="1" t="s">
        <v>53</v>
      </c>
      <c r="G820" s="1">
        <v>269518</v>
      </c>
      <c r="H820" s="63">
        <v>45562</v>
      </c>
      <c r="J820" s="1"/>
      <c r="K820" s="1">
        <v>8.1</v>
      </c>
      <c r="L820" s="1" t="s">
        <v>29</v>
      </c>
      <c r="M820" s="1" t="s">
        <v>149</v>
      </c>
      <c r="N820" s="1" t="str">
        <f t="shared" si="12"/>
        <v>Normal</v>
      </c>
    </row>
    <row r="821" spans="1:14" x14ac:dyDescent="0.25">
      <c r="A821" s="1" t="s">
        <v>1705</v>
      </c>
      <c r="B821" s="1" t="s">
        <v>88</v>
      </c>
      <c r="C821" s="1" t="s">
        <v>132</v>
      </c>
      <c r="D821" s="1" t="s">
        <v>39</v>
      </c>
      <c r="E821" s="1" t="s">
        <v>47</v>
      </c>
      <c r="F821" s="1" t="s">
        <v>40</v>
      </c>
      <c r="G821" s="1">
        <v>447090</v>
      </c>
      <c r="H821" s="63">
        <v>45707</v>
      </c>
      <c r="I821" s="63">
        <v>45757</v>
      </c>
      <c r="J821" s="1">
        <v>50</v>
      </c>
      <c r="K821" s="1">
        <v>11.5</v>
      </c>
      <c r="L821" s="1" t="s">
        <v>20</v>
      </c>
      <c r="M821" s="1" t="s">
        <v>63</v>
      </c>
      <c r="N821" s="1" t="str">
        <f t="shared" si="12"/>
        <v>Normal</v>
      </c>
    </row>
    <row r="822" spans="1:14" x14ac:dyDescent="0.25">
      <c r="A822" s="1" t="s">
        <v>1706</v>
      </c>
      <c r="B822" s="1" t="s">
        <v>84</v>
      </c>
      <c r="C822" s="1" t="s">
        <v>635</v>
      </c>
      <c r="D822" s="1" t="s">
        <v>25</v>
      </c>
      <c r="E822" s="1" t="s">
        <v>77</v>
      </c>
      <c r="F822" s="1" t="s">
        <v>18</v>
      </c>
      <c r="G822" s="1">
        <v>268608</v>
      </c>
      <c r="H822" s="63">
        <v>45016</v>
      </c>
      <c r="I822" s="63">
        <v>45071</v>
      </c>
      <c r="J822" s="1">
        <v>55</v>
      </c>
      <c r="K822" s="1">
        <v>1.8</v>
      </c>
      <c r="L822" s="1" t="s">
        <v>49</v>
      </c>
      <c r="M822" s="1" t="s">
        <v>35</v>
      </c>
      <c r="N822" s="1" t="str">
        <f t="shared" si="12"/>
        <v>Normal</v>
      </c>
    </row>
    <row r="823" spans="1:14" x14ac:dyDescent="0.25">
      <c r="A823" s="1" t="s">
        <v>1707</v>
      </c>
      <c r="B823" s="1" t="s">
        <v>75</v>
      </c>
      <c r="C823" s="1" t="s">
        <v>85</v>
      </c>
      <c r="D823" s="1" t="s">
        <v>16</v>
      </c>
      <c r="E823" s="1" t="s">
        <v>26</v>
      </c>
      <c r="F823" s="1" t="s">
        <v>18</v>
      </c>
      <c r="G823" s="1">
        <v>98716</v>
      </c>
      <c r="H823" s="63">
        <v>45527</v>
      </c>
      <c r="I823" s="63">
        <v>45635</v>
      </c>
      <c r="J823" s="1">
        <v>108</v>
      </c>
      <c r="K823" s="1">
        <v>14.1</v>
      </c>
      <c r="L823" s="1" t="s">
        <v>96</v>
      </c>
      <c r="M823" s="1" t="s">
        <v>149</v>
      </c>
      <c r="N823" s="1" t="str">
        <f t="shared" si="12"/>
        <v>Normal</v>
      </c>
    </row>
    <row r="824" spans="1:14" x14ac:dyDescent="0.25">
      <c r="A824" s="1" t="s">
        <v>1708</v>
      </c>
      <c r="B824" s="1" t="s">
        <v>23</v>
      </c>
      <c r="C824" s="1" t="s">
        <v>1021</v>
      </c>
      <c r="D824" s="1" t="s">
        <v>16</v>
      </c>
      <c r="E824" s="1" t="s">
        <v>77</v>
      </c>
      <c r="F824" s="1" t="s">
        <v>129</v>
      </c>
      <c r="G824" s="1">
        <v>156291</v>
      </c>
      <c r="H824" s="63">
        <v>45711</v>
      </c>
      <c r="J824" s="1"/>
      <c r="K824" s="1">
        <v>1.7</v>
      </c>
      <c r="L824" s="1" t="s">
        <v>96</v>
      </c>
      <c r="M824" s="1" t="s">
        <v>63</v>
      </c>
      <c r="N824" s="1" t="str">
        <f t="shared" si="12"/>
        <v>Normal</v>
      </c>
    </row>
    <row r="825" spans="1:14" x14ac:dyDescent="0.25">
      <c r="A825" s="1" t="s">
        <v>1710</v>
      </c>
      <c r="B825" s="1" t="s">
        <v>75</v>
      </c>
      <c r="C825" s="1" t="s">
        <v>76</v>
      </c>
      <c r="D825" s="1" t="s">
        <v>67</v>
      </c>
      <c r="E825" s="1" t="s">
        <v>94</v>
      </c>
      <c r="F825" s="1" t="s">
        <v>33</v>
      </c>
      <c r="G825" s="1">
        <v>315275</v>
      </c>
      <c r="H825" s="63">
        <v>44971</v>
      </c>
      <c r="J825" s="1"/>
      <c r="K825" s="1">
        <v>8.5</v>
      </c>
      <c r="L825" s="1" t="s">
        <v>29</v>
      </c>
      <c r="M825" s="1" t="s">
        <v>35</v>
      </c>
      <c r="N825" s="1" t="str">
        <f t="shared" si="12"/>
        <v>Normal</v>
      </c>
    </row>
    <row r="826" spans="1:14" x14ac:dyDescent="0.25">
      <c r="A826" s="1" t="s">
        <v>1712</v>
      </c>
      <c r="B826" s="1" t="s">
        <v>23</v>
      </c>
      <c r="C826" s="1" t="s">
        <v>737</v>
      </c>
      <c r="D826" s="1" t="s">
        <v>46</v>
      </c>
      <c r="E826" s="1" t="s">
        <v>94</v>
      </c>
      <c r="F826" s="1" t="s">
        <v>129</v>
      </c>
      <c r="G826" s="1">
        <v>222128</v>
      </c>
      <c r="H826" s="63">
        <v>45646</v>
      </c>
      <c r="J826" s="1"/>
      <c r="K826" s="1">
        <v>4.3</v>
      </c>
      <c r="L826" s="1" t="s">
        <v>20</v>
      </c>
      <c r="M826" s="1" t="s">
        <v>42</v>
      </c>
      <c r="N826" s="1" t="str">
        <f t="shared" si="12"/>
        <v>Normal</v>
      </c>
    </row>
    <row r="827" spans="1:14" x14ac:dyDescent="0.25">
      <c r="A827" s="1" t="s">
        <v>1714</v>
      </c>
      <c r="B827" s="1" t="s">
        <v>104</v>
      </c>
      <c r="C827" s="1" t="s">
        <v>308</v>
      </c>
      <c r="D827" s="1" t="s">
        <v>46</v>
      </c>
      <c r="E827" s="1" t="s">
        <v>47</v>
      </c>
      <c r="F827" s="1" t="s">
        <v>27</v>
      </c>
      <c r="G827" s="1">
        <v>305623</v>
      </c>
      <c r="H827" s="63">
        <v>45646</v>
      </c>
      <c r="J827" s="1"/>
      <c r="K827" s="1">
        <v>12.5</v>
      </c>
      <c r="L827" s="1" t="s">
        <v>49</v>
      </c>
      <c r="M827" s="1" t="s">
        <v>42</v>
      </c>
      <c r="N827" s="1" t="str">
        <f t="shared" si="12"/>
        <v>Normal</v>
      </c>
    </row>
    <row r="828" spans="1:14" x14ac:dyDescent="0.25">
      <c r="A828" s="1" t="s">
        <v>1715</v>
      </c>
      <c r="B828" s="1" t="s">
        <v>104</v>
      </c>
      <c r="C828" s="1" t="s">
        <v>720</v>
      </c>
      <c r="D828" s="1" t="s">
        <v>46</v>
      </c>
      <c r="E828" s="1" t="s">
        <v>72</v>
      </c>
      <c r="F828" s="1" t="s">
        <v>27</v>
      </c>
      <c r="G828" s="1">
        <v>203684</v>
      </c>
      <c r="H828" s="63">
        <v>45104</v>
      </c>
      <c r="J828" s="1"/>
      <c r="K828" s="1">
        <v>0.7</v>
      </c>
      <c r="L828" s="1" t="s">
        <v>96</v>
      </c>
      <c r="M828" s="1" t="s">
        <v>30</v>
      </c>
      <c r="N828" s="1" t="str">
        <f t="shared" si="12"/>
        <v>Normal</v>
      </c>
    </row>
    <row r="829" spans="1:14" x14ac:dyDescent="0.25">
      <c r="A829" s="1" t="s">
        <v>1717</v>
      </c>
      <c r="B829" s="1" t="s">
        <v>104</v>
      </c>
      <c r="C829" s="1" t="s">
        <v>261</v>
      </c>
      <c r="D829" s="1" t="s">
        <v>25</v>
      </c>
      <c r="E829" s="1" t="s">
        <v>47</v>
      </c>
      <c r="F829" s="1" t="s">
        <v>40</v>
      </c>
      <c r="G829" s="1">
        <v>10714</v>
      </c>
      <c r="H829" s="63">
        <v>44999</v>
      </c>
      <c r="I829" s="63">
        <v>45112</v>
      </c>
      <c r="J829" s="1">
        <v>113</v>
      </c>
      <c r="K829" s="1">
        <v>8.3000000000000007</v>
      </c>
      <c r="L829" s="1" t="s">
        <v>96</v>
      </c>
      <c r="M829" s="1" t="s">
        <v>35</v>
      </c>
      <c r="N829" s="1" t="str">
        <f t="shared" si="12"/>
        <v>Normal</v>
      </c>
    </row>
    <row r="830" spans="1:14" x14ac:dyDescent="0.25">
      <c r="A830" s="1" t="s">
        <v>1719</v>
      </c>
      <c r="B830" s="1" t="s">
        <v>98</v>
      </c>
      <c r="C830" s="1" t="s">
        <v>1043</v>
      </c>
      <c r="D830" s="1" t="s">
        <v>46</v>
      </c>
      <c r="E830" s="1" t="s">
        <v>47</v>
      </c>
      <c r="F830" s="1" t="s">
        <v>53</v>
      </c>
      <c r="G830" s="1">
        <v>229215</v>
      </c>
      <c r="H830" s="63">
        <v>45262</v>
      </c>
      <c r="J830" s="1"/>
      <c r="K830" s="1">
        <v>8.9</v>
      </c>
      <c r="L830" s="1" t="s">
        <v>49</v>
      </c>
      <c r="M830" s="1" t="s">
        <v>21</v>
      </c>
      <c r="N830" s="1" t="str">
        <f t="shared" si="12"/>
        <v>Normal</v>
      </c>
    </row>
    <row r="831" spans="1:14" x14ac:dyDescent="0.25">
      <c r="A831" s="1" t="s">
        <v>1720</v>
      </c>
      <c r="B831" s="1" t="s">
        <v>127</v>
      </c>
      <c r="C831" s="1" t="s">
        <v>1170</v>
      </c>
      <c r="D831" s="1" t="s">
        <v>25</v>
      </c>
      <c r="E831" s="1" t="s">
        <v>77</v>
      </c>
      <c r="F831" s="1" t="s">
        <v>18</v>
      </c>
      <c r="G831" s="1">
        <v>34379</v>
      </c>
      <c r="H831" s="63">
        <v>45707</v>
      </c>
      <c r="I831" s="63">
        <v>45875</v>
      </c>
      <c r="J831" s="1">
        <v>168</v>
      </c>
      <c r="K831" s="1"/>
      <c r="L831" s="1" t="s">
        <v>49</v>
      </c>
      <c r="M831" s="1" t="s">
        <v>63</v>
      </c>
      <c r="N831" s="1" t="str">
        <f t="shared" si="12"/>
        <v>Normal</v>
      </c>
    </row>
    <row r="832" spans="1:14" x14ac:dyDescent="0.25">
      <c r="A832" s="1" t="s">
        <v>1721</v>
      </c>
      <c r="B832" s="1" t="s">
        <v>104</v>
      </c>
      <c r="C832" s="1" t="s">
        <v>598</v>
      </c>
      <c r="D832" s="1" t="s">
        <v>25</v>
      </c>
      <c r="E832" s="1" t="s">
        <v>94</v>
      </c>
      <c r="F832" s="1" t="s">
        <v>27</v>
      </c>
      <c r="G832" s="1">
        <v>229664</v>
      </c>
      <c r="H832" s="63">
        <v>45440</v>
      </c>
      <c r="J832" s="1"/>
      <c r="K832" s="1">
        <v>8.1999999999999993</v>
      </c>
      <c r="L832" s="1" t="s">
        <v>96</v>
      </c>
      <c r="M832" s="1" t="s">
        <v>107</v>
      </c>
      <c r="N832" s="1" t="str">
        <f t="shared" si="12"/>
        <v>Normal</v>
      </c>
    </row>
    <row r="833" spans="1:14" x14ac:dyDescent="0.25">
      <c r="A833" s="1" t="s">
        <v>1722</v>
      </c>
      <c r="B833" s="1" t="s">
        <v>173</v>
      </c>
      <c r="C833" s="1" t="s">
        <v>147</v>
      </c>
      <c r="D833" s="1" t="s">
        <v>46</v>
      </c>
      <c r="E833" s="1" t="s">
        <v>26</v>
      </c>
      <c r="F833" s="1" t="s">
        <v>40</v>
      </c>
      <c r="G833" s="1">
        <v>140402</v>
      </c>
      <c r="H833" s="63">
        <v>45020</v>
      </c>
      <c r="I833" s="63">
        <v>45193</v>
      </c>
      <c r="J833" s="1">
        <v>173</v>
      </c>
      <c r="K833" s="1">
        <v>24.2</v>
      </c>
      <c r="L833" s="1" t="s">
        <v>96</v>
      </c>
      <c r="M833" s="1" t="s">
        <v>30</v>
      </c>
      <c r="N833" s="1" t="str">
        <f t="shared" si="12"/>
        <v>Normal</v>
      </c>
    </row>
    <row r="834" spans="1:14" x14ac:dyDescent="0.25">
      <c r="A834" s="1" t="s">
        <v>1724</v>
      </c>
      <c r="B834" s="1" t="s">
        <v>127</v>
      </c>
      <c r="C834" s="1" t="s">
        <v>45</v>
      </c>
      <c r="D834" s="1" t="s">
        <v>90</v>
      </c>
      <c r="E834" s="1" t="s">
        <v>61</v>
      </c>
      <c r="F834" s="1" t="s">
        <v>129</v>
      </c>
      <c r="G834" s="1">
        <v>420264</v>
      </c>
      <c r="H834" s="63">
        <v>45713</v>
      </c>
      <c r="J834" s="1"/>
      <c r="K834" s="1"/>
      <c r="L834" s="1" t="s">
        <v>96</v>
      </c>
      <c r="M834" s="1" t="s">
        <v>63</v>
      </c>
      <c r="N834" s="1" t="str">
        <f t="shared" ref="N834:N897" si="13">IF(G834&gt;$R$5,"High Outlier",IF(G834&lt;$R$6,"Low Outlier","Normal"))</f>
        <v>Normal</v>
      </c>
    </row>
    <row r="835" spans="1:14" x14ac:dyDescent="0.25">
      <c r="A835" s="1" t="s">
        <v>1725</v>
      </c>
      <c r="B835" s="1" t="s">
        <v>65</v>
      </c>
      <c r="C835" s="1" t="s">
        <v>983</v>
      </c>
      <c r="D835" s="1" t="s">
        <v>46</v>
      </c>
      <c r="E835" s="1" t="s">
        <v>47</v>
      </c>
      <c r="F835" s="1" t="s">
        <v>53</v>
      </c>
      <c r="G835" s="1">
        <v>205813</v>
      </c>
      <c r="H835" s="63">
        <v>45664</v>
      </c>
      <c r="J835" s="1"/>
      <c r="K835" s="1">
        <v>2.9</v>
      </c>
      <c r="L835" s="1" t="s">
        <v>49</v>
      </c>
      <c r="M835" s="1" t="s">
        <v>63</v>
      </c>
      <c r="N835" s="1" t="str">
        <f t="shared" si="13"/>
        <v>Normal</v>
      </c>
    </row>
    <row r="836" spans="1:14" x14ac:dyDescent="0.25">
      <c r="A836" s="1" t="s">
        <v>1726</v>
      </c>
      <c r="B836" s="1" t="s">
        <v>84</v>
      </c>
      <c r="C836" s="1" t="s">
        <v>1415</v>
      </c>
      <c r="D836" s="1" t="s">
        <v>46</v>
      </c>
      <c r="E836" s="1" t="s">
        <v>72</v>
      </c>
      <c r="F836" s="1" t="s">
        <v>27</v>
      </c>
      <c r="G836" s="1">
        <v>213842</v>
      </c>
      <c r="H836" s="63">
        <v>45405</v>
      </c>
      <c r="J836" s="1"/>
      <c r="K836" s="1"/>
      <c r="L836" s="1" t="s">
        <v>96</v>
      </c>
      <c r="M836" s="1" t="s">
        <v>107</v>
      </c>
      <c r="N836" s="1" t="str">
        <f t="shared" si="13"/>
        <v>Normal</v>
      </c>
    </row>
    <row r="837" spans="1:14" x14ac:dyDescent="0.25">
      <c r="A837" s="1" t="s">
        <v>1727</v>
      </c>
      <c r="B837" s="1" t="s">
        <v>80</v>
      </c>
      <c r="C837" s="1" t="s">
        <v>693</v>
      </c>
      <c r="D837" s="1" t="s">
        <v>39</v>
      </c>
      <c r="E837" s="1" t="s">
        <v>77</v>
      </c>
      <c r="F837" s="1" t="s">
        <v>33</v>
      </c>
      <c r="G837" s="1">
        <v>370430</v>
      </c>
      <c r="H837" s="63">
        <v>45262</v>
      </c>
      <c r="J837" s="1"/>
      <c r="K837" s="1"/>
      <c r="L837" s="1" t="s">
        <v>20</v>
      </c>
      <c r="M837" s="1" t="s">
        <v>21</v>
      </c>
      <c r="N837" s="1" t="str">
        <f t="shared" si="13"/>
        <v>Normal</v>
      </c>
    </row>
    <row r="838" spans="1:14" x14ac:dyDescent="0.25">
      <c r="A838" s="1" t="s">
        <v>1728</v>
      </c>
      <c r="B838" s="1" t="s">
        <v>44</v>
      </c>
      <c r="C838" s="1" t="s">
        <v>423</v>
      </c>
      <c r="D838" s="1" t="s">
        <v>46</v>
      </c>
      <c r="E838" s="1" t="s">
        <v>77</v>
      </c>
      <c r="F838" s="1" t="s">
        <v>27</v>
      </c>
      <c r="G838" s="1">
        <v>223722</v>
      </c>
      <c r="H838" s="63">
        <v>45440</v>
      </c>
      <c r="J838" s="1"/>
      <c r="K838" s="1"/>
      <c r="L838" s="1" t="s">
        <v>29</v>
      </c>
      <c r="M838" s="1" t="s">
        <v>107</v>
      </c>
      <c r="N838" s="1" t="str">
        <f t="shared" si="13"/>
        <v>Normal</v>
      </c>
    </row>
    <row r="839" spans="1:14" x14ac:dyDescent="0.25">
      <c r="A839" s="1" t="s">
        <v>1729</v>
      </c>
      <c r="B839" s="1" t="s">
        <v>84</v>
      </c>
      <c r="C839" s="1" t="s">
        <v>939</v>
      </c>
      <c r="D839" s="1" t="s">
        <v>67</v>
      </c>
      <c r="E839" s="1" t="s">
        <v>26</v>
      </c>
      <c r="F839" s="1" t="s">
        <v>27</v>
      </c>
      <c r="G839" s="1">
        <v>37362</v>
      </c>
      <c r="H839" s="63">
        <v>45377</v>
      </c>
      <c r="J839" s="1"/>
      <c r="K839" s="1">
        <v>6.4</v>
      </c>
      <c r="L839" s="1" t="s">
        <v>49</v>
      </c>
      <c r="M839" s="1" t="s">
        <v>69</v>
      </c>
      <c r="N839" s="1" t="str">
        <f t="shared" si="13"/>
        <v>Normal</v>
      </c>
    </row>
    <row r="840" spans="1:14" x14ac:dyDescent="0.25">
      <c r="A840" s="1" t="s">
        <v>1731</v>
      </c>
      <c r="B840" s="1" t="s">
        <v>37</v>
      </c>
      <c r="C840" s="1" t="s">
        <v>1397</v>
      </c>
      <c r="D840" s="1" t="s">
        <v>90</v>
      </c>
      <c r="E840" s="1" t="s">
        <v>100</v>
      </c>
      <c r="F840" s="1" t="s">
        <v>53</v>
      </c>
      <c r="G840" s="1">
        <v>238493</v>
      </c>
      <c r="H840" s="63">
        <v>45257</v>
      </c>
      <c r="J840" s="1"/>
      <c r="K840" s="1"/>
      <c r="L840" s="1" t="s">
        <v>29</v>
      </c>
      <c r="M840" s="1" t="s">
        <v>21</v>
      </c>
      <c r="N840" s="1" t="str">
        <f t="shared" si="13"/>
        <v>Normal</v>
      </c>
    </row>
    <row r="841" spans="1:14" x14ac:dyDescent="0.25">
      <c r="A841" s="1" t="s">
        <v>1732</v>
      </c>
      <c r="B841" s="1" t="s">
        <v>23</v>
      </c>
      <c r="C841" s="1" t="s">
        <v>66</v>
      </c>
      <c r="D841" s="1" t="s">
        <v>90</v>
      </c>
      <c r="E841" s="1" t="s">
        <v>47</v>
      </c>
      <c r="F841" s="1" t="s">
        <v>40</v>
      </c>
      <c r="G841" s="1">
        <v>246422</v>
      </c>
      <c r="H841" s="63">
        <v>45308</v>
      </c>
      <c r="I841" s="63">
        <v>45434</v>
      </c>
      <c r="J841" s="1">
        <v>126</v>
      </c>
      <c r="K841" s="1">
        <v>3</v>
      </c>
      <c r="L841" s="1" t="s">
        <v>49</v>
      </c>
      <c r="M841" s="1" t="s">
        <v>69</v>
      </c>
      <c r="N841" s="1" t="str">
        <f t="shared" si="13"/>
        <v>Normal</v>
      </c>
    </row>
    <row r="842" spans="1:14" x14ac:dyDescent="0.25">
      <c r="A842" s="1" t="s">
        <v>1733</v>
      </c>
      <c r="B842" s="1" t="s">
        <v>59</v>
      </c>
      <c r="C842" s="1" t="s">
        <v>32</v>
      </c>
      <c r="D842" s="1" t="s">
        <v>67</v>
      </c>
      <c r="E842" s="1" t="s">
        <v>100</v>
      </c>
      <c r="F842" s="1" t="s">
        <v>53</v>
      </c>
      <c r="G842" s="1">
        <v>139534</v>
      </c>
      <c r="H842" s="63">
        <v>45046</v>
      </c>
      <c r="J842" s="1"/>
      <c r="K842" s="1"/>
      <c r="L842" s="1" t="s">
        <v>49</v>
      </c>
      <c r="M842" s="1" t="s">
        <v>30</v>
      </c>
      <c r="N842" s="1" t="str">
        <f t="shared" si="13"/>
        <v>Normal</v>
      </c>
    </row>
    <row r="843" spans="1:14" x14ac:dyDescent="0.25">
      <c r="A843" s="1" t="s">
        <v>1734</v>
      </c>
      <c r="B843" s="1" t="s">
        <v>59</v>
      </c>
      <c r="C843" s="1" t="s">
        <v>1083</v>
      </c>
      <c r="D843" s="1" t="s">
        <v>46</v>
      </c>
      <c r="E843" s="1" t="s">
        <v>61</v>
      </c>
      <c r="F843" s="1" t="s">
        <v>33</v>
      </c>
      <c r="G843" s="1">
        <v>458892</v>
      </c>
      <c r="H843" s="63">
        <v>44993</v>
      </c>
      <c r="J843" s="1"/>
      <c r="K843" s="1">
        <v>4.8</v>
      </c>
      <c r="L843" s="1" t="s">
        <v>96</v>
      </c>
      <c r="M843" s="1" t="s">
        <v>35</v>
      </c>
      <c r="N843" s="1" t="str">
        <f t="shared" si="13"/>
        <v>Normal</v>
      </c>
    </row>
    <row r="844" spans="1:14" x14ac:dyDescent="0.25">
      <c r="A844" s="1" t="s">
        <v>1736</v>
      </c>
      <c r="B844" s="1" t="s">
        <v>84</v>
      </c>
      <c r="C844" s="1" t="s">
        <v>539</v>
      </c>
      <c r="D844" s="1" t="s">
        <v>39</v>
      </c>
      <c r="E844" s="1" t="s">
        <v>94</v>
      </c>
      <c r="F844" s="1" t="s">
        <v>33</v>
      </c>
      <c r="G844" s="1">
        <v>111386</v>
      </c>
      <c r="H844" s="63">
        <v>45546</v>
      </c>
      <c r="J844" s="1"/>
      <c r="K844" s="1">
        <v>13</v>
      </c>
      <c r="L844" s="1" t="s">
        <v>49</v>
      </c>
      <c r="M844" s="1" t="s">
        <v>149</v>
      </c>
      <c r="N844" s="1" t="str">
        <f t="shared" si="13"/>
        <v>Normal</v>
      </c>
    </row>
    <row r="845" spans="1:14" x14ac:dyDescent="0.25">
      <c r="A845" s="1" t="s">
        <v>1738</v>
      </c>
      <c r="B845" s="1" t="s">
        <v>59</v>
      </c>
      <c r="C845" s="1" t="s">
        <v>1121</v>
      </c>
      <c r="D845" s="1" t="s">
        <v>39</v>
      </c>
      <c r="E845" s="1" t="s">
        <v>72</v>
      </c>
      <c r="F845" s="1" t="s">
        <v>129</v>
      </c>
      <c r="G845" s="1">
        <v>419685</v>
      </c>
      <c r="H845" s="63">
        <v>45735</v>
      </c>
      <c r="J845" s="1"/>
      <c r="K845" s="1"/>
      <c r="L845" s="1" t="s">
        <v>96</v>
      </c>
      <c r="M845" s="1" t="s">
        <v>63</v>
      </c>
      <c r="N845" s="1" t="str">
        <f t="shared" si="13"/>
        <v>Normal</v>
      </c>
    </row>
    <row r="846" spans="1:14" x14ac:dyDescent="0.25">
      <c r="A846" s="1" t="s">
        <v>1739</v>
      </c>
      <c r="B846" s="1" t="s">
        <v>44</v>
      </c>
      <c r="C846" s="1" t="s">
        <v>433</v>
      </c>
      <c r="D846" s="1" t="s">
        <v>90</v>
      </c>
      <c r="E846" s="1" t="s">
        <v>77</v>
      </c>
      <c r="F846" s="1" t="s">
        <v>33</v>
      </c>
      <c r="G846" s="1">
        <v>273956</v>
      </c>
      <c r="H846" s="63">
        <v>45082</v>
      </c>
      <c r="J846" s="1"/>
      <c r="K846" s="1">
        <v>10.3</v>
      </c>
      <c r="L846" s="1" t="s">
        <v>20</v>
      </c>
      <c r="M846" s="1" t="s">
        <v>30</v>
      </c>
      <c r="N846" s="1" t="str">
        <f t="shared" si="13"/>
        <v>Normal</v>
      </c>
    </row>
    <row r="847" spans="1:14" x14ac:dyDescent="0.25">
      <c r="A847" s="1" t="s">
        <v>1740</v>
      </c>
      <c r="B847" s="1" t="s">
        <v>75</v>
      </c>
      <c r="C847" s="1" t="s">
        <v>208</v>
      </c>
      <c r="D847" s="1" t="s">
        <v>90</v>
      </c>
      <c r="E847" s="1" t="s">
        <v>47</v>
      </c>
      <c r="F847" s="1" t="s">
        <v>129</v>
      </c>
      <c r="G847" s="1">
        <v>320000</v>
      </c>
      <c r="H847" s="63">
        <v>45070</v>
      </c>
      <c r="J847" s="1"/>
      <c r="K847" s="1">
        <v>3.9</v>
      </c>
      <c r="L847" s="1" t="s">
        <v>29</v>
      </c>
      <c r="M847" s="1" t="s">
        <v>30</v>
      </c>
      <c r="N847" s="1" t="str">
        <f t="shared" si="13"/>
        <v>Normal</v>
      </c>
    </row>
    <row r="848" spans="1:14" x14ac:dyDescent="0.25">
      <c r="A848" s="1" t="s">
        <v>1741</v>
      </c>
      <c r="B848" s="1" t="s">
        <v>14</v>
      </c>
      <c r="C848" s="1" t="s">
        <v>1742</v>
      </c>
      <c r="D848" s="1" t="s">
        <v>46</v>
      </c>
      <c r="E848" s="1" t="s">
        <v>100</v>
      </c>
      <c r="F848" s="1" t="s">
        <v>40</v>
      </c>
      <c r="G848" s="1">
        <v>499075</v>
      </c>
      <c r="H848" s="63">
        <v>45564</v>
      </c>
      <c r="I848" s="63">
        <v>45689</v>
      </c>
      <c r="J848" s="1">
        <v>125</v>
      </c>
      <c r="K848" s="1">
        <v>11.7</v>
      </c>
      <c r="L848" s="1" t="s">
        <v>96</v>
      </c>
      <c r="M848" s="1" t="s">
        <v>149</v>
      </c>
      <c r="N848" s="1" t="str">
        <f t="shared" si="13"/>
        <v>Normal</v>
      </c>
    </row>
    <row r="849" spans="1:14" x14ac:dyDescent="0.25">
      <c r="A849" s="1" t="s">
        <v>1743</v>
      </c>
      <c r="B849" s="1" t="s">
        <v>80</v>
      </c>
      <c r="C849" s="1" t="s">
        <v>358</v>
      </c>
      <c r="D849" s="1" t="s">
        <v>25</v>
      </c>
      <c r="E849" s="1" t="s">
        <v>61</v>
      </c>
      <c r="F849" s="1" t="s">
        <v>40</v>
      </c>
      <c r="G849" s="1">
        <v>487021</v>
      </c>
      <c r="H849" s="63">
        <v>45097</v>
      </c>
      <c r="I849" s="63">
        <v>45235</v>
      </c>
      <c r="J849" s="1">
        <v>138</v>
      </c>
      <c r="K849" s="1">
        <v>23.2</v>
      </c>
      <c r="L849" s="1" t="s">
        <v>96</v>
      </c>
      <c r="M849" s="1" t="s">
        <v>30</v>
      </c>
      <c r="N849" s="1" t="str">
        <f t="shared" si="13"/>
        <v>Normal</v>
      </c>
    </row>
    <row r="850" spans="1:14" x14ac:dyDescent="0.25">
      <c r="A850" s="1" t="s">
        <v>1744</v>
      </c>
      <c r="B850" s="1" t="s">
        <v>127</v>
      </c>
      <c r="C850" s="1" t="s">
        <v>60</v>
      </c>
      <c r="D850" s="1" t="s">
        <v>16</v>
      </c>
      <c r="E850" s="1" t="s">
        <v>94</v>
      </c>
      <c r="F850" s="1" t="s">
        <v>40</v>
      </c>
      <c r="G850" s="1">
        <v>410997</v>
      </c>
      <c r="H850" s="63">
        <v>45338</v>
      </c>
      <c r="I850" s="63">
        <v>45466</v>
      </c>
      <c r="J850" s="1">
        <v>128</v>
      </c>
      <c r="K850" s="1">
        <v>9.8000000000000007</v>
      </c>
      <c r="L850" s="1" t="s">
        <v>29</v>
      </c>
      <c r="M850" s="1" t="s">
        <v>69</v>
      </c>
      <c r="N850" s="1" t="str">
        <f t="shared" si="13"/>
        <v>Normal</v>
      </c>
    </row>
    <row r="851" spans="1:14" x14ac:dyDescent="0.25">
      <c r="A851" s="1" t="s">
        <v>1746</v>
      </c>
      <c r="B851" s="1" t="s">
        <v>109</v>
      </c>
      <c r="C851" s="1" t="s">
        <v>66</v>
      </c>
      <c r="D851" s="1" t="s">
        <v>25</v>
      </c>
      <c r="E851" s="1" t="s">
        <v>77</v>
      </c>
      <c r="F851" s="1" t="s">
        <v>40</v>
      </c>
      <c r="G851" s="1">
        <v>425448</v>
      </c>
      <c r="H851" s="63">
        <v>44980</v>
      </c>
      <c r="I851" s="63">
        <v>45063</v>
      </c>
      <c r="J851" s="1">
        <v>83</v>
      </c>
      <c r="K851" s="1">
        <v>16.600000000000001</v>
      </c>
      <c r="L851" s="1" t="s">
        <v>49</v>
      </c>
      <c r="M851" s="1" t="s">
        <v>35</v>
      </c>
      <c r="N851" s="1" t="str">
        <f t="shared" si="13"/>
        <v>Normal</v>
      </c>
    </row>
    <row r="852" spans="1:14" x14ac:dyDescent="0.25">
      <c r="A852" s="1" t="s">
        <v>1747</v>
      </c>
      <c r="B852" s="1" t="s">
        <v>127</v>
      </c>
      <c r="C852" s="1" t="s">
        <v>471</v>
      </c>
      <c r="D852" s="1" t="s">
        <v>39</v>
      </c>
      <c r="E852" s="1" t="s">
        <v>72</v>
      </c>
      <c r="F852" s="1" t="s">
        <v>53</v>
      </c>
      <c r="G852" s="1">
        <v>453582</v>
      </c>
      <c r="H852" s="63">
        <v>45416</v>
      </c>
      <c r="J852" s="1"/>
      <c r="K852" s="1">
        <v>11.2</v>
      </c>
      <c r="L852" s="1" t="s">
        <v>96</v>
      </c>
      <c r="M852" s="1" t="s">
        <v>107</v>
      </c>
      <c r="N852" s="1" t="str">
        <f t="shared" si="13"/>
        <v>Normal</v>
      </c>
    </row>
    <row r="853" spans="1:14" x14ac:dyDescent="0.25">
      <c r="A853" s="1" t="s">
        <v>1749</v>
      </c>
      <c r="B853" s="1" t="s">
        <v>80</v>
      </c>
      <c r="C853" s="1" t="s">
        <v>708</v>
      </c>
      <c r="D853" s="1" t="s">
        <v>39</v>
      </c>
      <c r="E853" s="1" t="s">
        <v>100</v>
      </c>
      <c r="F853" s="1" t="s">
        <v>53</v>
      </c>
      <c r="G853" s="1">
        <v>59161</v>
      </c>
      <c r="H853" s="63">
        <v>45264</v>
      </c>
      <c r="J853" s="1"/>
      <c r="K853" s="1">
        <v>9.4</v>
      </c>
      <c r="L853" s="1" t="s">
        <v>29</v>
      </c>
      <c r="M853" s="1" t="s">
        <v>21</v>
      </c>
      <c r="N853" s="1" t="str">
        <f t="shared" si="13"/>
        <v>Normal</v>
      </c>
    </row>
    <row r="854" spans="1:14" x14ac:dyDescent="0.25">
      <c r="A854" s="1" t="s">
        <v>1751</v>
      </c>
      <c r="B854" s="1" t="s">
        <v>98</v>
      </c>
      <c r="C854" s="1" t="s">
        <v>859</v>
      </c>
      <c r="D854" s="1" t="s">
        <v>39</v>
      </c>
      <c r="E854" s="1" t="s">
        <v>47</v>
      </c>
      <c r="F854" s="1" t="s">
        <v>40</v>
      </c>
      <c r="G854" s="1">
        <v>25739</v>
      </c>
      <c r="H854" s="63">
        <v>45141</v>
      </c>
      <c r="I854" s="63">
        <v>45319</v>
      </c>
      <c r="J854" s="1">
        <v>178</v>
      </c>
      <c r="K854" s="1">
        <v>9.6</v>
      </c>
      <c r="L854" s="1" t="s">
        <v>29</v>
      </c>
      <c r="M854" s="1" t="s">
        <v>102</v>
      </c>
      <c r="N854" s="1" t="str">
        <f t="shared" si="13"/>
        <v>Normal</v>
      </c>
    </row>
    <row r="855" spans="1:14" x14ac:dyDescent="0.25">
      <c r="A855" s="1" t="s">
        <v>1753</v>
      </c>
      <c r="B855" s="1" t="s">
        <v>37</v>
      </c>
      <c r="C855" s="1" t="s">
        <v>141</v>
      </c>
      <c r="D855" s="1" t="s">
        <v>67</v>
      </c>
      <c r="E855" s="1" t="s">
        <v>94</v>
      </c>
      <c r="F855" s="1" t="s">
        <v>53</v>
      </c>
      <c r="G855" s="1">
        <v>80628</v>
      </c>
      <c r="H855" s="63">
        <v>45418</v>
      </c>
      <c r="J855" s="1"/>
      <c r="K855" s="1">
        <v>3.3</v>
      </c>
      <c r="L855" s="1" t="s">
        <v>29</v>
      </c>
      <c r="M855" s="1" t="s">
        <v>107</v>
      </c>
      <c r="N855" s="1" t="str">
        <f t="shared" si="13"/>
        <v>Normal</v>
      </c>
    </row>
    <row r="856" spans="1:14" x14ac:dyDescent="0.25">
      <c r="A856" s="1" t="s">
        <v>1755</v>
      </c>
      <c r="B856" s="1" t="s">
        <v>173</v>
      </c>
      <c r="C856" s="1" t="s">
        <v>1121</v>
      </c>
      <c r="D856" s="1" t="s">
        <v>39</v>
      </c>
      <c r="E856" s="1" t="s">
        <v>72</v>
      </c>
      <c r="F856" s="1" t="s">
        <v>129</v>
      </c>
      <c r="G856" s="1">
        <v>138115</v>
      </c>
      <c r="H856" s="63">
        <v>45584</v>
      </c>
      <c r="J856" s="1"/>
      <c r="K856" s="1"/>
      <c r="L856" s="1" t="s">
        <v>96</v>
      </c>
      <c r="M856" s="1" t="s">
        <v>42</v>
      </c>
      <c r="N856" s="1" t="str">
        <f t="shared" si="13"/>
        <v>Normal</v>
      </c>
    </row>
    <row r="857" spans="1:14" x14ac:dyDescent="0.25">
      <c r="A857" s="1" t="s">
        <v>1757</v>
      </c>
      <c r="B857" s="1" t="s">
        <v>127</v>
      </c>
      <c r="C857" s="1" t="s">
        <v>622</v>
      </c>
      <c r="D857" s="1" t="s">
        <v>67</v>
      </c>
      <c r="E857" s="1" t="s">
        <v>77</v>
      </c>
      <c r="F857" s="1" t="s">
        <v>40</v>
      </c>
      <c r="G857" s="1">
        <v>221825</v>
      </c>
      <c r="H857" s="63">
        <v>45016</v>
      </c>
      <c r="I857" s="63">
        <v>45147</v>
      </c>
      <c r="J857" s="1">
        <v>131</v>
      </c>
      <c r="K857" s="1">
        <v>4.5</v>
      </c>
      <c r="L857" s="1" t="s">
        <v>49</v>
      </c>
      <c r="M857" s="1" t="s">
        <v>35</v>
      </c>
      <c r="N857" s="1" t="str">
        <f t="shared" si="13"/>
        <v>Normal</v>
      </c>
    </row>
    <row r="858" spans="1:14" x14ac:dyDescent="0.25">
      <c r="A858" s="1" t="s">
        <v>1758</v>
      </c>
      <c r="B858" s="1" t="s">
        <v>104</v>
      </c>
      <c r="C858" s="1" t="s">
        <v>364</v>
      </c>
      <c r="D858" s="1" t="s">
        <v>16</v>
      </c>
      <c r="E858" s="1" t="s">
        <v>47</v>
      </c>
      <c r="F858" s="1" t="s">
        <v>40</v>
      </c>
      <c r="G858" s="1">
        <v>70724</v>
      </c>
      <c r="H858" s="63">
        <v>45727</v>
      </c>
      <c r="I858" s="63">
        <v>45768</v>
      </c>
      <c r="J858" s="1">
        <v>41</v>
      </c>
      <c r="K858" s="1">
        <v>23.4</v>
      </c>
      <c r="L858" s="1" t="s">
        <v>49</v>
      </c>
      <c r="M858" s="1" t="s">
        <v>63</v>
      </c>
      <c r="N858" s="1" t="str">
        <f t="shared" si="13"/>
        <v>Normal</v>
      </c>
    </row>
    <row r="859" spans="1:14" x14ac:dyDescent="0.25">
      <c r="A859" s="1" t="s">
        <v>1760</v>
      </c>
      <c r="B859" s="1" t="s">
        <v>4829</v>
      </c>
      <c r="C859" s="1" t="s">
        <v>521</v>
      </c>
      <c r="D859" s="1" t="s">
        <v>16</v>
      </c>
      <c r="E859" s="1" t="s">
        <v>47</v>
      </c>
      <c r="F859" s="1" t="s">
        <v>40</v>
      </c>
      <c r="G859" s="1">
        <v>142582</v>
      </c>
      <c r="H859" s="63">
        <v>45746</v>
      </c>
      <c r="I859" s="63">
        <v>45821</v>
      </c>
      <c r="J859" s="1">
        <v>75</v>
      </c>
      <c r="K859" s="1">
        <v>8.1</v>
      </c>
      <c r="L859" s="1" t="s">
        <v>20</v>
      </c>
      <c r="M859" s="1" t="s">
        <v>63</v>
      </c>
      <c r="N859" s="1" t="str">
        <f t="shared" si="13"/>
        <v>Normal</v>
      </c>
    </row>
    <row r="860" spans="1:14" x14ac:dyDescent="0.25">
      <c r="A860" s="1" t="s">
        <v>1762</v>
      </c>
      <c r="B860" s="1" t="s">
        <v>37</v>
      </c>
      <c r="C860" s="1" t="s">
        <v>1043</v>
      </c>
      <c r="D860" s="1" t="s">
        <v>16</v>
      </c>
      <c r="E860" s="1" t="s">
        <v>47</v>
      </c>
      <c r="F860" s="1" t="s">
        <v>129</v>
      </c>
      <c r="G860" s="1">
        <v>118400</v>
      </c>
      <c r="H860" s="63">
        <v>45521</v>
      </c>
      <c r="J860" s="1"/>
      <c r="K860" s="1">
        <v>8.1</v>
      </c>
      <c r="L860" s="1" t="s">
        <v>29</v>
      </c>
      <c r="M860" s="1" t="s">
        <v>149</v>
      </c>
      <c r="N860" s="1" t="str">
        <f t="shared" si="13"/>
        <v>Normal</v>
      </c>
    </row>
    <row r="861" spans="1:14" x14ac:dyDescent="0.25">
      <c r="A861" s="1" t="s">
        <v>1764</v>
      </c>
      <c r="B861" s="1" t="s">
        <v>88</v>
      </c>
      <c r="C861" s="1" t="s">
        <v>724</v>
      </c>
      <c r="D861" s="1" t="s">
        <v>39</v>
      </c>
      <c r="E861" s="1" t="s">
        <v>47</v>
      </c>
      <c r="F861" s="1" t="s">
        <v>129</v>
      </c>
      <c r="G861" s="1">
        <v>273535</v>
      </c>
      <c r="H861" s="63">
        <v>45665</v>
      </c>
      <c r="J861" s="1"/>
      <c r="K861" s="1">
        <v>13.7</v>
      </c>
      <c r="L861" s="1" t="s">
        <v>20</v>
      </c>
      <c r="M861" s="1" t="s">
        <v>63</v>
      </c>
      <c r="N861" s="1" t="str">
        <f t="shared" si="13"/>
        <v>Normal</v>
      </c>
    </row>
    <row r="862" spans="1:14" x14ac:dyDescent="0.25">
      <c r="A862" s="1" t="s">
        <v>1765</v>
      </c>
      <c r="B862" s="1" t="s">
        <v>65</v>
      </c>
      <c r="C862" s="1" t="s">
        <v>805</v>
      </c>
      <c r="D862" s="1" t="s">
        <v>39</v>
      </c>
      <c r="E862" s="1" t="s">
        <v>77</v>
      </c>
      <c r="F862" s="1" t="s">
        <v>129</v>
      </c>
      <c r="G862" s="1">
        <v>66441</v>
      </c>
      <c r="H862" s="63">
        <v>45131</v>
      </c>
      <c r="J862" s="1"/>
      <c r="K862" s="1"/>
      <c r="L862" s="1" t="s">
        <v>96</v>
      </c>
      <c r="M862" s="1" t="s">
        <v>102</v>
      </c>
      <c r="N862" s="1" t="str">
        <f t="shared" si="13"/>
        <v>Normal</v>
      </c>
    </row>
    <row r="863" spans="1:14" x14ac:dyDescent="0.25">
      <c r="A863" s="1" t="s">
        <v>1766</v>
      </c>
      <c r="B863" s="1" t="s">
        <v>23</v>
      </c>
      <c r="C863" s="1" t="s">
        <v>885</v>
      </c>
      <c r="D863" s="1" t="s">
        <v>90</v>
      </c>
      <c r="E863" s="1" t="s">
        <v>72</v>
      </c>
      <c r="F863" s="1" t="s">
        <v>33</v>
      </c>
      <c r="G863" s="1">
        <v>187228</v>
      </c>
      <c r="H863" s="63">
        <v>45215</v>
      </c>
      <c r="J863" s="1"/>
      <c r="K863" s="1">
        <v>12.7</v>
      </c>
      <c r="L863" s="1" t="s">
        <v>96</v>
      </c>
      <c r="M863" s="1" t="s">
        <v>21</v>
      </c>
      <c r="N863" s="1" t="str">
        <f t="shared" si="13"/>
        <v>Normal</v>
      </c>
    </row>
    <row r="864" spans="1:14" x14ac:dyDescent="0.25">
      <c r="A864" s="1" t="s">
        <v>1768</v>
      </c>
      <c r="B864" s="1" t="s">
        <v>44</v>
      </c>
      <c r="C864" s="1" t="s">
        <v>292</v>
      </c>
      <c r="D864" s="1" t="s">
        <v>67</v>
      </c>
      <c r="E864" s="1" t="s">
        <v>77</v>
      </c>
      <c r="F864" s="1" t="s">
        <v>40</v>
      </c>
      <c r="G864" s="1">
        <v>222954</v>
      </c>
      <c r="H864" s="63">
        <v>45526</v>
      </c>
      <c r="I864" s="63">
        <v>45556</v>
      </c>
      <c r="J864" s="1">
        <v>30</v>
      </c>
      <c r="K864" s="1">
        <v>16.600000000000001</v>
      </c>
      <c r="L864" s="1" t="s">
        <v>20</v>
      </c>
      <c r="M864" s="1" t="s">
        <v>149</v>
      </c>
      <c r="N864" s="1" t="str">
        <f t="shared" si="13"/>
        <v>Normal</v>
      </c>
    </row>
    <row r="865" spans="1:14" x14ac:dyDescent="0.25">
      <c r="A865" s="1" t="s">
        <v>1769</v>
      </c>
      <c r="B865" s="1" t="s">
        <v>23</v>
      </c>
      <c r="C865" s="1" t="s">
        <v>454</v>
      </c>
      <c r="D865" s="1" t="s">
        <v>39</v>
      </c>
      <c r="E865" s="1" t="s">
        <v>17</v>
      </c>
      <c r="F865" s="1" t="s">
        <v>40</v>
      </c>
      <c r="G865" s="1">
        <v>55016</v>
      </c>
      <c r="H865" s="63">
        <v>45262</v>
      </c>
      <c r="I865" s="63">
        <v>45424</v>
      </c>
      <c r="J865" s="1">
        <v>162</v>
      </c>
      <c r="K865" s="1">
        <v>16</v>
      </c>
      <c r="L865" s="1" t="s">
        <v>29</v>
      </c>
      <c r="M865" s="1" t="s">
        <v>21</v>
      </c>
      <c r="N865" s="1" t="str">
        <f t="shared" si="13"/>
        <v>Normal</v>
      </c>
    </row>
    <row r="866" spans="1:14" x14ac:dyDescent="0.25">
      <c r="A866" s="1" t="s">
        <v>1770</v>
      </c>
      <c r="B866" s="1" t="s">
        <v>14</v>
      </c>
      <c r="C866" s="1" t="s">
        <v>390</v>
      </c>
      <c r="D866" s="1" t="s">
        <v>16</v>
      </c>
      <c r="E866" s="1" t="s">
        <v>94</v>
      </c>
      <c r="F866" s="1" t="s">
        <v>53</v>
      </c>
      <c r="G866" s="1">
        <v>368755</v>
      </c>
      <c r="H866" s="63">
        <v>45112</v>
      </c>
      <c r="J866" s="1"/>
      <c r="K866" s="1">
        <v>1.8</v>
      </c>
      <c r="L866" s="1" t="s">
        <v>20</v>
      </c>
      <c r="M866" s="1" t="s">
        <v>102</v>
      </c>
      <c r="N866" s="1" t="str">
        <f t="shared" si="13"/>
        <v>Normal</v>
      </c>
    </row>
    <row r="867" spans="1:14" x14ac:dyDescent="0.25">
      <c r="A867" s="1" t="s">
        <v>1771</v>
      </c>
      <c r="B867" s="1" t="s">
        <v>84</v>
      </c>
      <c r="C867" s="1" t="s">
        <v>528</v>
      </c>
      <c r="D867" s="1" t="s">
        <v>67</v>
      </c>
      <c r="E867" s="1" t="s">
        <v>100</v>
      </c>
      <c r="F867" s="1" t="s">
        <v>129</v>
      </c>
      <c r="G867" s="1">
        <v>110892</v>
      </c>
      <c r="H867" s="63">
        <v>45623</v>
      </c>
      <c r="J867" s="1"/>
      <c r="K867" s="1">
        <v>3.6</v>
      </c>
      <c r="L867" s="1" t="s">
        <v>20</v>
      </c>
      <c r="M867" s="1" t="s">
        <v>42</v>
      </c>
      <c r="N867" s="1" t="str">
        <f t="shared" si="13"/>
        <v>Normal</v>
      </c>
    </row>
    <row r="868" spans="1:14" x14ac:dyDescent="0.25">
      <c r="A868" s="1" t="s">
        <v>1772</v>
      </c>
      <c r="B868" s="1" t="s">
        <v>109</v>
      </c>
      <c r="C868" s="1" t="s">
        <v>433</v>
      </c>
      <c r="D868" s="1" t="s">
        <v>16</v>
      </c>
      <c r="E868" s="1" t="s">
        <v>94</v>
      </c>
      <c r="F868" s="1" t="s">
        <v>27</v>
      </c>
      <c r="G868" s="1">
        <v>235059</v>
      </c>
      <c r="H868" s="63">
        <v>45529</v>
      </c>
      <c r="J868" s="1"/>
      <c r="K868" s="1">
        <v>8.1999999999999993</v>
      </c>
      <c r="L868" s="1" t="s">
        <v>49</v>
      </c>
      <c r="M868" s="1" t="s">
        <v>149</v>
      </c>
      <c r="N868" s="1" t="str">
        <f t="shared" si="13"/>
        <v>Normal</v>
      </c>
    </row>
    <row r="869" spans="1:14" x14ac:dyDescent="0.25">
      <c r="A869" s="1" t="s">
        <v>1773</v>
      </c>
      <c r="B869" s="1" t="s">
        <v>14</v>
      </c>
      <c r="C869" s="1" t="s">
        <v>987</v>
      </c>
      <c r="D869" s="1" t="s">
        <v>46</v>
      </c>
      <c r="E869" s="1" t="s">
        <v>100</v>
      </c>
      <c r="F869" s="1" t="s">
        <v>40</v>
      </c>
      <c r="G869" s="1">
        <v>57430</v>
      </c>
      <c r="H869" s="63">
        <v>45520</v>
      </c>
      <c r="I869" s="63">
        <v>45549</v>
      </c>
      <c r="J869" s="1">
        <v>29</v>
      </c>
      <c r="K869" s="1">
        <v>8.3000000000000007</v>
      </c>
      <c r="L869" s="1" t="s">
        <v>20</v>
      </c>
      <c r="M869" s="1" t="s">
        <v>149</v>
      </c>
      <c r="N869" s="1" t="str">
        <f t="shared" si="13"/>
        <v>Normal</v>
      </c>
    </row>
    <row r="870" spans="1:14" x14ac:dyDescent="0.25">
      <c r="A870" s="1" t="s">
        <v>1774</v>
      </c>
      <c r="B870" s="1" t="s">
        <v>109</v>
      </c>
      <c r="C870" s="1" t="s">
        <v>1057</v>
      </c>
      <c r="D870" s="1" t="s">
        <v>16</v>
      </c>
      <c r="E870" s="1" t="s">
        <v>94</v>
      </c>
      <c r="F870" s="1" t="s">
        <v>33</v>
      </c>
      <c r="G870" s="1">
        <v>429450</v>
      </c>
      <c r="H870" s="63">
        <v>45503</v>
      </c>
      <c r="J870" s="1"/>
      <c r="K870" s="1"/>
      <c r="L870" s="1" t="s">
        <v>29</v>
      </c>
      <c r="M870" s="1" t="s">
        <v>149</v>
      </c>
      <c r="N870" s="1" t="str">
        <f t="shared" si="13"/>
        <v>Normal</v>
      </c>
    </row>
    <row r="871" spans="1:14" x14ac:dyDescent="0.25">
      <c r="A871" s="1" t="s">
        <v>1775</v>
      </c>
      <c r="B871" s="1" t="s">
        <v>14</v>
      </c>
      <c r="C871" s="1" t="s">
        <v>1776</v>
      </c>
      <c r="D871" s="1" t="s">
        <v>90</v>
      </c>
      <c r="E871" s="1" t="s">
        <v>17</v>
      </c>
      <c r="F871" s="1" t="s">
        <v>40</v>
      </c>
      <c r="G871" s="1">
        <v>478999</v>
      </c>
      <c r="H871" s="63">
        <v>45550</v>
      </c>
      <c r="I871" s="63">
        <v>45664</v>
      </c>
      <c r="J871" s="1">
        <v>114</v>
      </c>
      <c r="K871" s="1">
        <v>0.8</v>
      </c>
      <c r="L871" s="1" t="s">
        <v>96</v>
      </c>
      <c r="M871" s="1" t="s">
        <v>149</v>
      </c>
      <c r="N871" s="1" t="str">
        <f t="shared" si="13"/>
        <v>Normal</v>
      </c>
    </row>
    <row r="872" spans="1:14" x14ac:dyDescent="0.25">
      <c r="A872" s="1" t="s">
        <v>1778</v>
      </c>
      <c r="B872" s="1" t="s">
        <v>98</v>
      </c>
      <c r="C872" s="1" t="s">
        <v>513</v>
      </c>
      <c r="D872" s="1" t="s">
        <v>46</v>
      </c>
      <c r="E872" s="1" t="s">
        <v>47</v>
      </c>
      <c r="F872" s="1" t="s">
        <v>27</v>
      </c>
      <c r="G872" s="1">
        <v>118240</v>
      </c>
      <c r="H872" s="63">
        <v>45610</v>
      </c>
      <c r="J872" s="1"/>
      <c r="K872" s="1">
        <v>2.6</v>
      </c>
      <c r="L872" s="1" t="s">
        <v>29</v>
      </c>
      <c r="M872" s="1" t="s">
        <v>42</v>
      </c>
      <c r="N872" s="1" t="str">
        <f t="shared" si="13"/>
        <v>Normal</v>
      </c>
    </row>
    <row r="873" spans="1:14" x14ac:dyDescent="0.25">
      <c r="A873" s="1" t="s">
        <v>1780</v>
      </c>
      <c r="B873" s="1" t="s">
        <v>84</v>
      </c>
      <c r="C873" s="1" t="s">
        <v>544</v>
      </c>
      <c r="D873" s="1" t="s">
        <v>16</v>
      </c>
      <c r="E873" s="1" t="s">
        <v>17</v>
      </c>
      <c r="F873" s="1" t="s">
        <v>18</v>
      </c>
      <c r="G873" s="1">
        <v>344311</v>
      </c>
      <c r="H873" s="63">
        <v>45681</v>
      </c>
      <c r="I873" s="63">
        <v>45791</v>
      </c>
      <c r="J873" s="1">
        <v>110</v>
      </c>
      <c r="K873" s="1"/>
      <c r="L873" s="1" t="s">
        <v>29</v>
      </c>
      <c r="M873" s="1" t="s">
        <v>63</v>
      </c>
      <c r="N873" s="1" t="str">
        <f t="shared" si="13"/>
        <v>Normal</v>
      </c>
    </row>
    <row r="874" spans="1:14" x14ac:dyDescent="0.25">
      <c r="A874" s="1" t="s">
        <v>1782</v>
      </c>
      <c r="B874" s="1" t="s">
        <v>127</v>
      </c>
      <c r="C874" s="1" t="s">
        <v>1050</v>
      </c>
      <c r="D874" s="1" t="s">
        <v>67</v>
      </c>
      <c r="E874" s="1" t="s">
        <v>47</v>
      </c>
      <c r="F874" s="1" t="s">
        <v>27</v>
      </c>
      <c r="G874" s="1">
        <v>110907</v>
      </c>
      <c r="H874" s="63">
        <v>45071</v>
      </c>
      <c r="J874" s="1"/>
      <c r="K874" s="1"/>
      <c r="L874" s="1" t="s">
        <v>29</v>
      </c>
      <c r="M874" s="1" t="s">
        <v>30</v>
      </c>
      <c r="N874" s="1" t="str">
        <f t="shared" si="13"/>
        <v>Normal</v>
      </c>
    </row>
    <row r="875" spans="1:14" x14ac:dyDescent="0.25">
      <c r="A875" s="1" t="s">
        <v>1783</v>
      </c>
      <c r="B875" s="1" t="s">
        <v>44</v>
      </c>
      <c r="C875" s="1" t="s">
        <v>708</v>
      </c>
      <c r="D875" s="1" t="s">
        <v>39</v>
      </c>
      <c r="E875" s="1" t="s">
        <v>77</v>
      </c>
      <c r="F875" s="1" t="s">
        <v>53</v>
      </c>
      <c r="G875" s="1">
        <v>305509</v>
      </c>
      <c r="H875" s="63">
        <v>45358</v>
      </c>
      <c r="J875" s="1"/>
      <c r="K875" s="1">
        <v>9.9</v>
      </c>
      <c r="L875" s="1" t="s">
        <v>29</v>
      </c>
      <c r="M875" s="1" t="s">
        <v>69</v>
      </c>
      <c r="N875" s="1" t="str">
        <f t="shared" si="13"/>
        <v>Normal</v>
      </c>
    </row>
    <row r="876" spans="1:14" x14ac:dyDescent="0.25">
      <c r="A876" s="1" t="s">
        <v>1785</v>
      </c>
      <c r="B876" s="1" t="s">
        <v>109</v>
      </c>
      <c r="C876" s="1" t="s">
        <v>1283</v>
      </c>
      <c r="D876" s="1" t="s">
        <v>67</v>
      </c>
      <c r="E876" s="1" t="s">
        <v>94</v>
      </c>
      <c r="F876" s="1" t="s">
        <v>40</v>
      </c>
      <c r="G876" s="1">
        <v>456898</v>
      </c>
      <c r="H876" s="63">
        <v>45263</v>
      </c>
      <c r="I876" s="63">
        <v>45355</v>
      </c>
      <c r="J876" s="1">
        <v>92</v>
      </c>
      <c r="K876" s="1">
        <v>12.5</v>
      </c>
      <c r="L876" s="1" t="s">
        <v>20</v>
      </c>
      <c r="M876" s="1" t="s">
        <v>21</v>
      </c>
      <c r="N876" s="1" t="str">
        <f t="shared" si="13"/>
        <v>Normal</v>
      </c>
    </row>
    <row r="877" spans="1:14" x14ac:dyDescent="0.25">
      <c r="A877" s="1" t="s">
        <v>1787</v>
      </c>
      <c r="B877" s="1" t="s">
        <v>173</v>
      </c>
      <c r="C877" s="1" t="s">
        <v>1021</v>
      </c>
      <c r="D877" s="1" t="s">
        <v>16</v>
      </c>
      <c r="E877" s="1" t="s">
        <v>47</v>
      </c>
      <c r="F877" s="1" t="s">
        <v>40</v>
      </c>
      <c r="G877" s="1">
        <v>63262</v>
      </c>
      <c r="H877" s="63">
        <v>45414</v>
      </c>
      <c r="I877" s="63">
        <v>45593</v>
      </c>
      <c r="J877" s="1">
        <v>179</v>
      </c>
      <c r="K877" s="1">
        <v>12.4</v>
      </c>
      <c r="L877" s="1" t="s">
        <v>49</v>
      </c>
      <c r="M877" s="1" t="s">
        <v>107</v>
      </c>
      <c r="N877" s="1" t="str">
        <f t="shared" si="13"/>
        <v>Normal</v>
      </c>
    </row>
    <row r="878" spans="1:14" x14ac:dyDescent="0.25">
      <c r="A878" s="1" t="s">
        <v>1789</v>
      </c>
      <c r="B878" s="1" t="s">
        <v>80</v>
      </c>
      <c r="C878" s="1" t="s">
        <v>76</v>
      </c>
      <c r="D878" s="1" t="s">
        <v>67</v>
      </c>
      <c r="E878" s="1" t="s">
        <v>17</v>
      </c>
      <c r="F878" s="1" t="s">
        <v>40</v>
      </c>
      <c r="G878" s="1">
        <v>153168</v>
      </c>
      <c r="H878" s="63">
        <v>45501</v>
      </c>
      <c r="I878" s="63">
        <v>45654</v>
      </c>
      <c r="J878" s="1">
        <v>153</v>
      </c>
      <c r="K878" s="1">
        <v>16.399999999999999</v>
      </c>
      <c r="L878" s="1" t="s">
        <v>96</v>
      </c>
      <c r="M878" s="1" t="s">
        <v>149</v>
      </c>
      <c r="N878" s="1" t="str">
        <f t="shared" si="13"/>
        <v>Normal</v>
      </c>
    </row>
    <row r="879" spans="1:14" x14ac:dyDescent="0.25">
      <c r="A879" s="1" t="s">
        <v>1790</v>
      </c>
      <c r="B879" s="1" t="s">
        <v>44</v>
      </c>
      <c r="C879" s="1" t="s">
        <v>1776</v>
      </c>
      <c r="D879" s="1" t="s">
        <v>25</v>
      </c>
      <c r="E879" s="1" t="s">
        <v>47</v>
      </c>
      <c r="F879" s="1" t="s">
        <v>40</v>
      </c>
      <c r="G879" s="1">
        <v>123091</v>
      </c>
      <c r="H879" s="63">
        <v>45648</v>
      </c>
      <c r="I879" s="63">
        <v>45759</v>
      </c>
      <c r="J879" s="1">
        <v>111</v>
      </c>
      <c r="K879" s="1">
        <v>20.3</v>
      </c>
      <c r="L879" s="1" t="s">
        <v>29</v>
      </c>
      <c r="M879" s="1" t="s">
        <v>42</v>
      </c>
      <c r="N879" s="1" t="str">
        <f t="shared" si="13"/>
        <v>Normal</v>
      </c>
    </row>
    <row r="880" spans="1:14" x14ac:dyDescent="0.25">
      <c r="A880" s="1" t="s">
        <v>1792</v>
      </c>
      <c r="B880" s="1" t="s">
        <v>23</v>
      </c>
      <c r="C880" s="1" t="s">
        <v>1526</v>
      </c>
      <c r="D880" s="1" t="s">
        <v>67</v>
      </c>
      <c r="E880" s="1" t="s">
        <v>17</v>
      </c>
      <c r="F880" s="1" t="s">
        <v>53</v>
      </c>
      <c r="G880" s="1">
        <v>31079</v>
      </c>
      <c r="H880" s="63">
        <v>45182</v>
      </c>
      <c r="J880" s="1"/>
      <c r="K880" s="1">
        <v>11.2</v>
      </c>
      <c r="L880" s="1" t="s">
        <v>20</v>
      </c>
      <c r="M880" s="1" t="s">
        <v>102</v>
      </c>
      <c r="N880" s="1" t="str">
        <f t="shared" si="13"/>
        <v>Normal</v>
      </c>
    </row>
    <row r="881" spans="1:14" x14ac:dyDescent="0.25">
      <c r="A881" s="1" t="s">
        <v>1794</v>
      </c>
      <c r="B881" s="1" t="s">
        <v>98</v>
      </c>
      <c r="C881" s="1" t="s">
        <v>1106</v>
      </c>
      <c r="D881" s="1" t="s">
        <v>67</v>
      </c>
      <c r="E881" s="1" t="s">
        <v>61</v>
      </c>
      <c r="F881" s="1" t="s">
        <v>27</v>
      </c>
      <c r="G881" s="1">
        <v>446384</v>
      </c>
      <c r="H881" s="63">
        <v>45218</v>
      </c>
      <c r="J881" s="1"/>
      <c r="K881" s="1"/>
      <c r="L881" s="1" t="s">
        <v>29</v>
      </c>
      <c r="M881" s="1" t="s">
        <v>21</v>
      </c>
      <c r="N881" s="1" t="str">
        <f t="shared" si="13"/>
        <v>Normal</v>
      </c>
    </row>
    <row r="882" spans="1:14" x14ac:dyDescent="0.25">
      <c r="A882" s="1" t="s">
        <v>1795</v>
      </c>
      <c r="B882" s="1" t="s">
        <v>14</v>
      </c>
      <c r="C882" s="1" t="s">
        <v>536</v>
      </c>
      <c r="D882" s="1" t="s">
        <v>90</v>
      </c>
      <c r="E882" s="1" t="s">
        <v>61</v>
      </c>
      <c r="F882" s="1" t="s">
        <v>40</v>
      </c>
      <c r="G882" s="1">
        <v>64102</v>
      </c>
      <c r="H882" s="63">
        <v>45067</v>
      </c>
      <c r="I882" s="63">
        <v>45141</v>
      </c>
      <c r="J882" s="1">
        <v>74</v>
      </c>
      <c r="K882" s="1">
        <v>1.1000000000000001</v>
      </c>
      <c r="L882" s="1" t="s">
        <v>20</v>
      </c>
      <c r="M882" s="1" t="s">
        <v>30</v>
      </c>
      <c r="N882" s="1" t="str">
        <f t="shared" si="13"/>
        <v>Normal</v>
      </c>
    </row>
    <row r="883" spans="1:14" x14ac:dyDescent="0.25">
      <c r="A883" s="1" t="s">
        <v>1797</v>
      </c>
      <c r="B883" s="1" t="s">
        <v>109</v>
      </c>
      <c r="C883" s="1" t="s">
        <v>295</v>
      </c>
      <c r="D883" s="1" t="s">
        <v>46</v>
      </c>
      <c r="E883" s="1" t="s">
        <v>26</v>
      </c>
      <c r="F883" s="1" t="s">
        <v>27</v>
      </c>
      <c r="G883" s="1">
        <v>90721</v>
      </c>
      <c r="H883" s="63">
        <v>45594</v>
      </c>
      <c r="J883" s="1"/>
      <c r="K883" s="1">
        <v>12.1</v>
      </c>
      <c r="L883" s="1" t="s">
        <v>96</v>
      </c>
      <c r="M883" s="1" t="s">
        <v>42</v>
      </c>
      <c r="N883" s="1" t="str">
        <f t="shared" si="13"/>
        <v>Normal</v>
      </c>
    </row>
    <row r="884" spans="1:14" x14ac:dyDescent="0.25">
      <c r="A884" s="1" t="s">
        <v>1798</v>
      </c>
      <c r="B884" s="1" t="s">
        <v>98</v>
      </c>
      <c r="C884" s="1" t="s">
        <v>1278</v>
      </c>
      <c r="D884" s="1" t="s">
        <v>25</v>
      </c>
      <c r="E884" s="1" t="s">
        <v>47</v>
      </c>
      <c r="F884" s="1" t="s">
        <v>18</v>
      </c>
      <c r="G884" s="1">
        <v>471152</v>
      </c>
      <c r="H884" s="63">
        <v>45195</v>
      </c>
      <c r="I884" s="63">
        <v>45320</v>
      </c>
      <c r="J884" s="1">
        <v>125</v>
      </c>
      <c r="K884" s="1">
        <v>2.7</v>
      </c>
      <c r="L884" s="1" t="s">
        <v>96</v>
      </c>
      <c r="M884" s="1" t="s">
        <v>102</v>
      </c>
      <c r="N884" s="1" t="str">
        <f t="shared" si="13"/>
        <v>Normal</v>
      </c>
    </row>
    <row r="885" spans="1:14" x14ac:dyDescent="0.25">
      <c r="A885" s="1" t="s">
        <v>1799</v>
      </c>
      <c r="B885" s="1" t="s">
        <v>127</v>
      </c>
      <c r="C885" s="1" t="s">
        <v>430</v>
      </c>
      <c r="D885" s="1" t="s">
        <v>46</v>
      </c>
      <c r="E885" s="1" t="s">
        <v>72</v>
      </c>
      <c r="F885" s="1" t="s">
        <v>53</v>
      </c>
      <c r="G885" s="1">
        <v>343540</v>
      </c>
      <c r="H885" s="63">
        <v>45416</v>
      </c>
      <c r="J885" s="1"/>
      <c r="K885" s="1">
        <v>4.8</v>
      </c>
      <c r="L885" s="1" t="s">
        <v>49</v>
      </c>
      <c r="M885" s="1" t="s">
        <v>107</v>
      </c>
      <c r="N885" s="1" t="str">
        <f t="shared" si="13"/>
        <v>Normal</v>
      </c>
    </row>
    <row r="886" spans="1:14" x14ac:dyDescent="0.25">
      <c r="A886" s="1" t="s">
        <v>1800</v>
      </c>
      <c r="B886" s="1" t="s">
        <v>173</v>
      </c>
      <c r="C886" s="1" t="s">
        <v>292</v>
      </c>
      <c r="D886" s="1" t="s">
        <v>16</v>
      </c>
      <c r="E886" s="1" t="s">
        <v>94</v>
      </c>
      <c r="F886" s="1" t="s">
        <v>53</v>
      </c>
      <c r="G886" s="1">
        <v>274671</v>
      </c>
      <c r="H886" s="63">
        <v>45252</v>
      </c>
      <c r="J886" s="1"/>
      <c r="K886" s="1">
        <v>13.3</v>
      </c>
      <c r="L886" s="1" t="s">
        <v>49</v>
      </c>
      <c r="M886" s="1" t="s">
        <v>21</v>
      </c>
      <c r="N886" s="1" t="str">
        <f t="shared" si="13"/>
        <v>Normal</v>
      </c>
    </row>
    <row r="887" spans="1:14" x14ac:dyDescent="0.25">
      <c r="A887" s="1" t="s">
        <v>1802</v>
      </c>
      <c r="B887" s="1" t="s">
        <v>104</v>
      </c>
      <c r="C887" s="1" t="s">
        <v>676</v>
      </c>
      <c r="D887" s="1" t="s">
        <v>39</v>
      </c>
      <c r="E887" s="1" t="s">
        <v>61</v>
      </c>
      <c r="F887" s="1" t="s">
        <v>33</v>
      </c>
      <c r="G887" s="1">
        <v>17135</v>
      </c>
      <c r="H887" s="63">
        <v>45320</v>
      </c>
      <c r="J887" s="1"/>
      <c r="K887" s="1">
        <v>1.1000000000000001</v>
      </c>
      <c r="L887" s="1" t="s">
        <v>96</v>
      </c>
      <c r="M887" s="1" t="s">
        <v>69</v>
      </c>
      <c r="N887" s="1" t="str">
        <f t="shared" si="13"/>
        <v>Normal</v>
      </c>
    </row>
    <row r="888" spans="1:14" x14ac:dyDescent="0.25">
      <c r="A888" s="1" t="s">
        <v>1804</v>
      </c>
      <c r="B888" s="1" t="s">
        <v>37</v>
      </c>
      <c r="C888" s="1" t="s">
        <v>247</v>
      </c>
      <c r="D888" s="1" t="s">
        <v>46</v>
      </c>
      <c r="E888" s="1" t="s">
        <v>94</v>
      </c>
      <c r="F888" s="1" t="s">
        <v>33</v>
      </c>
      <c r="G888" s="1">
        <v>315803</v>
      </c>
      <c r="H888" s="63">
        <v>45056</v>
      </c>
      <c r="J888" s="1"/>
      <c r="K888" s="1">
        <v>10.1</v>
      </c>
      <c r="L888" s="1" t="s">
        <v>29</v>
      </c>
      <c r="M888" s="1" t="s">
        <v>30</v>
      </c>
      <c r="N888" s="1" t="str">
        <f t="shared" si="13"/>
        <v>Normal</v>
      </c>
    </row>
    <row r="889" spans="1:14" x14ac:dyDescent="0.25">
      <c r="A889" s="1" t="s">
        <v>1805</v>
      </c>
      <c r="B889" s="1" t="s">
        <v>37</v>
      </c>
      <c r="C889" s="1" t="s">
        <v>300</v>
      </c>
      <c r="D889" s="1" t="s">
        <v>90</v>
      </c>
      <c r="E889" s="1" t="s">
        <v>17</v>
      </c>
      <c r="F889" s="1" t="s">
        <v>129</v>
      </c>
      <c r="G889" s="1">
        <v>131064</v>
      </c>
      <c r="H889" s="63">
        <v>45294</v>
      </c>
      <c r="J889" s="1"/>
      <c r="K889" s="1">
        <v>1.2</v>
      </c>
      <c r="L889" s="1" t="s">
        <v>29</v>
      </c>
      <c r="M889" s="1" t="s">
        <v>69</v>
      </c>
      <c r="N889" s="1" t="str">
        <f t="shared" si="13"/>
        <v>Normal</v>
      </c>
    </row>
    <row r="890" spans="1:14" x14ac:dyDescent="0.25">
      <c r="A890" s="1" t="s">
        <v>1807</v>
      </c>
      <c r="B890" s="1" t="s">
        <v>98</v>
      </c>
      <c r="C890" s="1" t="s">
        <v>782</v>
      </c>
      <c r="D890" s="1" t="s">
        <v>39</v>
      </c>
      <c r="E890" s="1" t="s">
        <v>94</v>
      </c>
      <c r="F890" s="1" t="s">
        <v>40</v>
      </c>
      <c r="G890" s="1">
        <v>391636</v>
      </c>
      <c r="H890" s="63">
        <v>45180</v>
      </c>
      <c r="I890" s="63">
        <v>45355</v>
      </c>
      <c r="J890" s="1">
        <v>175</v>
      </c>
      <c r="K890" s="1">
        <v>2.7</v>
      </c>
      <c r="L890" s="1" t="s">
        <v>20</v>
      </c>
      <c r="M890" s="1" t="s">
        <v>102</v>
      </c>
      <c r="N890" s="1" t="str">
        <f t="shared" si="13"/>
        <v>Normal</v>
      </c>
    </row>
    <row r="891" spans="1:14" x14ac:dyDescent="0.25">
      <c r="A891" s="1" t="s">
        <v>1808</v>
      </c>
      <c r="B891" s="1" t="s">
        <v>44</v>
      </c>
      <c r="C891" s="1" t="s">
        <v>1776</v>
      </c>
      <c r="D891" s="1" t="s">
        <v>46</v>
      </c>
      <c r="E891" s="1" t="s">
        <v>94</v>
      </c>
      <c r="F891" s="1" t="s">
        <v>53</v>
      </c>
      <c r="G891" s="1">
        <v>203948</v>
      </c>
      <c r="H891" s="63">
        <v>45376</v>
      </c>
      <c r="J891" s="1"/>
      <c r="K891" s="1">
        <v>3.7</v>
      </c>
      <c r="L891" s="1" t="s">
        <v>29</v>
      </c>
      <c r="M891" s="1" t="s">
        <v>69</v>
      </c>
      <c r="N891" s="1" t="str">
        <f t="shared" si="13"/>
        <v>Normal</v>
      </c>
    </row>
    <row r="892" spans="1:14" x14ac:dyDescent="0.25">
      <c r="A892" s="1" t="s">
        <v>1810</v>
      </c>
      <c r="B892" s="1" t="s">
        <v>98</v>
      </c>
      <c r="C892" s="1" t="s">
        <v>343</v>
      </c>
      <c r="D892" s="1" t="s">
        <v>90</v>
      </c>
      <c r="E892" s="1" t="s">
        <v>94</v>
      </c>
      <c r="F892" s="1" t="s">
        <v>40</v>
      </c>
      <c r="G892" s="1">
        <v>156119</v>
      </c>
      <c r="H892" s="63">
        <v>45637</v>
      </c>
      <c r="I892" s="63">
        <v>45657</v>
      </c>
      <c r="J892" s="1">
        <v>20</v>
      </c>
      <c r="K892" s="1">
        <v>13.4</v>
      </c>
      <c r="L892" s="1" t="s">
        <v>96</v>
      </c>
      <c r="M892" s="1" t="s">
        <v>42</v>
      </c>
      <c r="N892" s="1" t="str">
        <f t="shared" si="13"/>
        <v>Normal</v>
      </c>
    </row>
    <row r="893" spans="1:14" x14ac:dyDescent="0.25">
      <c r="A893" s="1" t="s">
        <v>1811</v>
      </c>
      <c r="B893" s="1" t="s">
        <v>127</v>
      </c>
      <c r="C893" s="1" t="s">
        <v>1812</v>
      </c>
      <c r="D893" s="1" t="s">
        <v>16</v>
      </c>
      <c r="E893" s="1" t="s">
        <v>72</v>
      </c>
      <c r="F893" s="1" t="s">
        <v>18</v>
      </c>
      <c r="G893" s="1">
        <v>366544</v>
      </c>
      <c r="H893" s="63">
        <v>45327</v>
      </c>
      <c r="I893" s="63">
        <v>45475</v>
      </c>
      <c r="J893" s="1">
        <v>148</v>
      </c>
      <c r="K893" s="1">
        <v>1.1000000000000001</v>
      </c>
      <c r="L893" s="1" t="s">
        <v>20</v>
      </c>
      <c r="M893" s="1" t="s">
        <v>69</v>
      </c>
      <c r="N893" s="1" t="str">
        <f t="shared" si="13"/>
        <v>Normal</v>
      </c>
    </row>
    <row r="894" spans="1:14" x14ac:dyDescent="0.25">
      <c r="A894" s="1" t="s">
        <v>1813</v>
      </c>
      <c r="B894" s="1" t="s">
        <v>127</v>
      </c>
      <c r="C894" s="1" t="s">
        <v>767</v>
      </c>
      <c r="D894" s="1" t="s">
        <v>46</v>
      </c>
      <c r="E894" s="1" t="s">
        <v>61</v>
      </c>
      <c r="F894" s="1" t="s">
        <v>33</v>
      </c>
      <c r="G894" s="1">
        <v>331523</v>
      </c>
      <c r="H894" s="63">
        <v>45124</v>
      </c>
      <c r="J894" s="1"/>
      <c r="K894" s="1"/>
      <c r="L894" s="1" t="s">
        <v>29</v>
      </c>
      <c r="M894" s="1" t="s">
        <v>102</v>
      </c>
      <c r="N894" s="1" t="str">
        <f t="shared" si="13"/>
        <v>Normal</v>
      </c>
    </row>
    <row r="895" spans="1:14" x14ac:dyDescent="0.25">
      <c r="A895" s="1" t="s">
        <v>1814</v>
      </c>
      <c r="B895" s="1" t="s">
        <v>65</v>
      </c>
      <c r="C895" s="1" t="s">
        <v>457</v>
      </c>
      <c r="D895" s="1" t="s">
        <v>90</v>
      </c>
      <c r="E895" s="1" t="s">
        <v>77</v>
      </c>
      <c r="F895" s="1" t="s">
        <v>40</v>
      </c>
      <c r="G895" s="1">
        <v>107968</v>
      </c>
      <c r="H895" s="63">
        <v>45712</v>
      </c>
      <c r="I895" s="63">
        <v>45756</v>
      </c>
      <c r="J895" s="1">
        <v>44</v>
      </c>
      <c r="K895" s="1">
        <v>24.9</v>
      </c>
      <c r="L895" s="1" t="s">
        <v>29</v>
      </c>
      <c r="M895" s="1" t="s">
        <v>63</v>
      </c>
      <c r="N895" s="1" t="str">
        <f t="shared" si="13"/>
        <v>Normal</v>
      </c>
    </row>
    <row r="896" spans="1:14" x14ac:dyDescent="0.25">
      <c r="A896" s="1" t="s">
        <v>1815</v>
      </c>
      <c r="B896" s="1" t="s">
        <v>109</v>
      </c>
      <c r="C896" s="1" t="s">
        <v>1165</v>
      </c>
      <c r="D896" s="1" t="s">
        <v>39</v>
      </c>
      <c r="E896" s="1" t="s">
        <v>61</v>
      </c>
      <c r="F896" s="1" t="s">
        <v>18</v>
      </c>
      <c r="G896" s="1">
        <v>34681</v>
      </c>
      <c r="H896" s="63">
        <v>45062</v>
      </c>
      <c r="I896" s="63">
        <v>45133</v>
      </c>
      <c r="J896" s="1">
        <v>71</v>
      </c>
      <c r="K896" s="1">
        <v>2.2000000000000002</v>
      </c>
      <c r="L896" s="1" t="s">
        <v>20</v>
      </c>
      <c r="M896" s="1" t="s">
        <v>30</v>
      </c>
      <c r="N896" s="1" t="str">
        <f t="shared" si="13"/>
        <v>Normal</v>
      </c>
    </row>
    <row r="897" spans="1:14" x14ac:dyDescent="0.25">
      <c r="A897" s="1" t="s">
        <v>1816</v>
      </c>
      <c r="B897" s="1" t="s">
        <v>173</v>
      </c>
      <c r="C897" s="1" t="s">
        <v>1172</v>
      </c>
      <c r="D897" s="1" t="s">
        <v>46</v>
      </c>
      <c r="E897" s="1" t="s">
        <v>94</v>
      </c>
      <c r="F897" s="1" t="s">
        <v>40</v>
      </c>
      <c r="G897" s="1">
        <v>20352</v>
      </c>
      <c r="H897" s="63">
        <v>45476</v>
      </c>
      <c r="I897" s="63">
        <v>45626</v>
      </c>
      <c r="J897" s="1">
        <v>150</v>
      </c>
      <c r="K897" s="1">
        <v>13</v>
      </c>
      <c r="L897" s="1" t="s">
        <v>96</v>
      </c>
      <c r="M897" s="1" t="s">
        <v>149</v>
      </c>
      <c r="N897" s="1" t="str">
        <f t="shared" si="13"/>
        <v>Normal</v>
      </c>
    </row>
    <row r="898" spans="1:14" x14ac:dyDescent="0.25">
      <c r="A898" s="1" t="s">
        <v>1817</v>
      </c>
      <c r="B898" s="1" t="s">
        <v>104</v>
      </c>
      <c r="C898" s="1" t="s">
        <v>1470</v>
      </c>
      <c r="D898" s="1" t="s">
        <v>46</v>
      </c>
      <c r="E898" s="1" t="s">
        <v>61</v>
      </c>
      <c r="F898" s="1" t="s">
        <v>129</v>
      </c>
      <c r="G898" s="1">
        <v>154857</v>
      </c>
      <c r="H898" s="63">
        <v>45036</v>
      </c>
      <c r="J898" s="1"/>
      <c r="K898" s="1">
        <v>8.6</v>
      </c>
      <c r="L898" s="1" t="s">
        <v>20</v>
      </c>
      <c r="M898" s="1" t="s">
        <v>30</v>
      </c>
      <c r="N898" s="1" t="str">
        <f t="shared" ref="N898:N961" si="14">IF(G898&gt;$R$5,"High Outlier",IF(G898&lt;$R$6,"Low Outlier","Normal"))</f>
        <v>Normal</v>
      </c>
    </row>
    <row r="899" spans="1:14" x14ac:dyDescent="0.25">
      <c r="A899" s="1" t="s">
        <v>1819</v>
      </c>
      <c r="B899" s="1" t="s">
        <v>84</v>
      </c>
      <c r="C899" s="1" t="s">
        <v>1021</v>
      </c>
      <c r="D899" s="1" t="s">
        <v>90</v>
      </c>
      <c r="E899" s="1" t="s">
        <v>72</v>
      </c>
      <c r="F899" s="1" t="s">
        <v>129</v>
      </c>
      <c r="G899" s="1">
        <v>464984</v>
      </c>
      <c r="H899" s="63">
        <v>45052</v>
      </c>
      <c r="J899" s="1"/>
      <c r="K899" s="1"/>
      <c r="L899" s="1" t="s">
        <v>49</v>
      </c>
      <c r="M899" s="1" t="s">
        <v>30</v>
      </c>
      <c r="N899" s="1" t="str">
        <f t="shared" si="14"/>
        <v>Normal</v>
      </c>
    </row>
    <row r="900" spans="1:14" x14ac:dyDescent="0.25">
      <c r="A900" s="1" t="s">
        <v>1820</v>
      </c>
      <c r="B900" s="1" t="s">
        <v>65</v>
      </c>
      <c r="C900" s="1" t="s">
        <v>539</v>
      </c>
      <c r="D900" s="1" t="s">
        <v>25</v>
      </c>
      <c r="E900" s="1" t="s">
        <v>17</v>
      </c>
      <c r="F900" s="1" t="s">
        <v>40</v>
      </c>
      <c r="G900" s="1">
        <v>149439</v>
      </c>
      <c r="H900" s="63">
        <v>45282</v>
      </c>
      <c r="I900" s="63">
        <v>45459</v>
      </c>
      <c r="J900" s="1">
        <v>177</v>
      </c>
      <c r="K900" s="1">
        <v>12</v>
      </c>
      <c r="L900" s="1" t="s">
        <v>49</v>
      </c>
      <c r="M900" s="1" t="s">
        <v>21</v>
      </c>
      <c r="N900" s="1" t="str">
        <f t="shared" si="14"/>
        <v>Normal</v>
      </c>
    </row>
    <row r="901" spans="1:14" x14ac:dyDescent="0.25">
      <c r="A901" s="1" t="s">
        <v>1821</v>
      </c>
      <c r="B901" s="1" t="s">
        <v>37</v>
      </c>
      <c r="C901" s="1" t="s">
        <v>334</v>
      </c>
      <c r="D901" s="1" t="s">
        <v>16</v>
      </c>
      <c r="E901" s="1" t="s">
        <v>94</v>
      </c>
      <c r="F901" s="1" t="s">
        <v>27</v>
      </c>
      <c r="G901" s="1">
        <v>224870</v>
      </c>
      <c r="H901" s="63">
        <v>45094</v>
      </c>
      <c r="J901" s="1"/>
      <c r="K901" s="1">
        <v>14.1</v>
      </c>
      <c r="L901" s="1" t="s">
        <v>29</v>
      </c>
      <c r="M901" s="1" t="s">
        <v>30</v>
      </c>
      <c r="N901" s="1" t="str">
        <f t="shared" si="14"/>
        <v>Normal</v>
      </c>
    </row>
    <row r="902" spans="1:14" x14ac:dyDescent="0.25">
      <c r="A902" s="1" t="s">
        <v>1822</v>
      </c>
      <c r="B902" s="1" t="s">
        <v>80</v>
      </c>
      <c r="C902" s="1" t="s">
        <v>244</v>
      </c>
      <c r="D902" s="1" t="s">
        <v>67</v>
      </c>
      <c r="E902" s="1" t="s">
        <v>72</v>
      </c>
      <c r="F902" s="1" t="s">
        <v>33</v>
      </c>
      <c r="G902" s="1">
        <v>121183</v>
      </c>
      <c r="H902" s="63">
        <v>45441</v>
      </c>
      <c r="J902" s="1"/>
      <c r="K902" s="1">
        <v>6.5</v>
      </c>
      <c r="L902" s="1" t="s">
        <v>20</v>
      </c>
      <c r="M902" s="1" t="s">
        <v>107</v>
      </c>
      <c r="N902" s="1" t="str">
        <f t="shared" si="14"/>
        <v>Normal</v>
      </c>
    </row>
    <row r="903" spans="1:14" x14ac:dyDescent="0.25">
      <c r="A903" s="1" t="s">
        <v>1823</v>
      </c>
      <c r="B903" s="1" t="s">
        <v>59</v>
      </c>
      <c r="C903" s="1" t="s">
        <v>270</v>
      </c>
      <c r="D903" s="1" t="s">
        <v>25</v>
      </c>
      <c r="E903" s="1" t="s">
        <v>26</v>
      </c>
      <c r="F903" s="1" t="s">
        <v>40</v>
      </c>
      <c r="G903" s="1">
        <v>208372</v>
      </c>
      <c r="H903" s="63">
        <v>45619</v>
      </c>
      <c r="I903" s="63">
        <v>45787</v>
      </c>
      <c r="J903" s="1">
        <v>168</v>
      </c>
      <c r="K903" s="1">
        <v>7.6</v>
      </c>
      <c r="L903" s="1" t="s">
        <v>20</v>
      </c>
      <c r="M903" s="1" t="s">
        <v>42</v>
      </c>
      <c r="N903" s="1" t="str">
        <f t="shared" si="14"/>
        <v>Normal</v>
      </c>
    </row>
    <row r="904" spans="1:14" x14ac:dyDescent="0.25">
      <c r="A904" s="1" t="s">
        <v>1824</v>
      </c>
      <c r="B904" s="1" t="s">
        <v>109</v>
      </c>
      <c r="C904" s="1" t="s">
        <v>574</v>
      </c>
      <c r="D904" s="1" t="s">
        <v>90</v>
      </c>
      <c r="E904" s="1" t="s">
        <v>61</v>
      </c>
      <c r="F904" s="1" t="s">
        <v>53</v>
      </c>
      <c r="G904" s="1">
        <v>464967</v>
      </c>
      <c r="H904" s="63">
        <v>45563</v>
      </c>
      <c r="J904" s="1"/>
      <c r="K904" s="1">
        <v>4.4000000000000004</v>
      </c>
      <c r="L904" s="1" t="s">
        <v>49</v>
      </c>
      <c r="M904" s="1" t="s">
        <v>149</v>
      </c>
      <c r="N904" s="1" t="str">
        <f t="shared" si="14"/>
        <v>Normal</v>
      </c>
    </row>
    <row r="905" spans="1:14" x14ac:dyDescent="0.25">
      <c r="A905" s="1" t="s">
        <v>1825</v>
      </c>
      <c r="B905" s="1" t="s">
        <v>44</v>
      </c>
      <c r="C905" s="1" t="s">
        <v>735</v>
      </c>
      <c r="D905" s="1" t="s">
        <v>39</v>
      </c>
      <c r="E905" s="1" t="s">
        <v>17</v>
      </c>
      <c r="F905" s="1" t="s">
        <v>18</v>
      </c>
      <c r="G905" s="1">
        <v>187732</v>
      </c>
      <c r="H905" s="63">
        <v>45613</v>
      </c>
      <c r="I905" s="63">
        <v>45741</v>
      </c>
      <c r="J905" s="1">
        <v>128</v>
      </c>
      <c r="K905" s="1">
        <v>9.6999999999999993</v>
      </c>
      <c r="L905" s="1" t="s">
        <v>96</v>
      </c>
      <c r="M905" s="1" t="s">
        <v>42</v>
      </c>
      <c r="N905" s="1" t="str">
        <f t="shared" si="14"/>
        <v>Normal</v>
      </c>
    </row>
    <row r="906" spans="1:14" x14ac:dyDescent="0.25">
      <c r="A906" s="1" t="s">
        <v>1826</v>
      </c>
      <c r="B906" s="1" t="s">
        <v>59</v>
      </c>
      <c r="C906" s="1" t="s">
        <v>1153</v>
      </c>
      <c r="D906" s="1" t="s">
        <v>90</v>
      </c>
      <c r="E906" s="1" t="s">
        <v>61</v>
      </c>
      <c r="F906" s="1" t="s">
        <v>40</v>
      </c>
      <c r="G906" s="1">
        <v>45254</v>
      </c>
      <c r="H906" s="63">
        <v>44977</v>
      </c>
      <c r="I906" s="63">
        <v>45004</v>
      </c>
      <c r="J906" s="1">
        <v>27</v>
      </c>
      <c r="K906" s="1">
        <v>24.9</v>
      </c>
      <c r="L906" s="1" t="s">
        <v>20</v>
      </c>
      <c r="M906" s="1" t="s">
        <v>35</v>
      </c>
      <c r="N906" s="1" t="str">
        <f t="shared" si="14"/>
        <v>Normal</v>
      </c>
    </row>
    <row r="907" spans="1:14" x14ac:dyDescent="0.25">
      <c r="A907" s="1" t="s">
        <v>1827</v>
      </c>
      <c r="B907" s="1" t="s">
        <v>104</v>
      </c>
      <c r="C907" s="1" t="s">
        <v>247</v>
      </c>
      <c r="D907" s="1" t="s">
        <v>16</v>
      </c>
      <c r="E907" s="1" t="s">
        <v>94</v>
      </c>
      <c r="F907" s="1" t="s">
        <v>40</v>
      </c>
      <c r="G907" s="1">
        <v>470989</v>
      </c>
      <c r="H907" s="63">
        <v>45046</v>
      </c>
      <c r="I907" s="63">
        <v>45173</v>
      </c>
      <c r="J907" s="1">
        <v>127</v>
      </c>
      <c r="K907" s="1">
        <v>2.5</v>
      </c>
      <c r="L907" s="1" t="s">
        <v>49</v>
      </c>
      <c r="M907" s="1" t="s">
        <v>30</v>
      </c>
      <c r="N907" s="1" t="str">
        <f t="shared" si="14"/>
        <v>Normal</v>
      </c>
    </row>
    <row r="908" spans="1:14" x14ac:dyDescent="0.25">
      <c r="A908" s="1" t="s">
        <v>1828</v>
      </c>
      <c r="B908" s="1" t="s">
        <v>65</v>
      </c>
      <c r="C908" s="1" t="s">
        <v>168</v>
      </c>
      <c r="D908" s="1" t="s">
        <v>67</v>
      </c>
      <c r="E908" s="1" t="s">
        <v>26</v>
      </c>
      <c r="F908" s="1" t="s">
        <v>129</v>
      </c>
      <c r="G908" s="1">
        <v>419255</v>
      </c>
      <c r="H908" s="63">
        <v>45489</v>
      </c>
      <c r="J908" s="1"/>
      <c r="K908" s="1">
        <v>11.6</v>
      </c>
      <c r="L908" s="1" t="s">
        <v>20</v>
      </c>
      <c r="M908" s="1" t="s">
        <v>149</v>
      </c>
      <c r="N908" s="1" t="str">
        <f t="shared" si="14"/>
        <v>Normal</v>
      </c>
    </row>
    <row r="909" spans="1:14" x14ac:dyDescent="0.25">
      <c r="A909" s="1" t="s">
        <v>1829</v>
      </c>
      <c r="B909" s="1" t="s">
        <v>37</v>
      </c>
      <c r="C909" s="1" t="s">
        <v>224</v>
      </c>
      <c r="D909" s="1" t="s">
        <v>46</v>
      </c>
      <c r="E909" s="1" t="s">
        <v>72</v>
      </c>
      <c r="F909" s="1" t="s">
        <v>40</v>
      </c>
      <c r="G909" s="1">
        <v>337804</v>
      </c>
      <c r="H909" s="63">
        <v>45662</v>
      </c>
      <c r="I909" s="63">
        <v>45733</v>
      </c>
      <c r="J909" s="1">
        <v>71</v>
      </c>
      <c r="K909" s="1">
        <v>12.3</v>
      </c>
      <c r="L909" s="1" t="s">
        <v>49</v>
      </c>
      <c r="M909" s="1" t="s">
        <v>63</v>
      </c>
      <c r="N909" s="1" t="str">
        <f t="shared" si="14"/>
        <v>Normal</v>
      </c>
    </row>
    <row r="910" spans="1:14" x14ac:dyDescent="0.25">
      <c r="A910" s="1" t="s">
        <v>1830</v>
      </c>
      <c r="B910" s="1" t="s">
        <v>104</v>
      </c>
      <c r="C910" s="1" t="s">
        <v>1136</v>
      </c>
      <c r="D910" s="1" t="s">
        <v>67</v>
      </c>
      <c r="E910" s="1" t="s">
        <v>47</v>
      </c>
      <c r="F910" s="1" t="s">
        <v>33</v>
      </c>
      <c r="G910" s="1">
        <v>491441</v>
      </c>
      <c r="H910" s="63">
        <v>45514</v>
      </c>
      <c r="J910" s="1"/>
      <c r="K910" s="1">
        <v>3.3</v>
      </c>
      <c r="L910" s="1" t="s">
        <v>49</v>
      </c>
      <c r="M910" s="1" t="s">
        <v>149</v>
      </c>
      <c r="N910" s="1" t="str">
        <f t="shared" si="14"/>
        <v>Normal</v>
      </c>
    </row>
    <row r="911" spans="1:14" x14ac:dyDescent="0.25">
      <c r="A911" s="1" t="s">
        <v>1831</v>
      </c>
      <c r="B911" s="1" t="s">
        <v>104</v>
      </c>
      <c r="C911" s="1" t="s">
        <v>270</v>
      </c>
      <c r="D911" s="1" t="s">
        <v>39</v>
      </c>
      <c r="E911" s="1" t="s">
        <v>94</v>
      </c>
      <c r="F911" s="1" t="s">
        <v>40</v>
      </c>
      <c r="G911" s="1">
        <v>104016</v>
      </c>
      <c r="H911" s="63">
        <v>45163</v>
      </c>
      <c r="I911" s="63">
        <v>45259</v>
      </c>
      <c r="J911" s="1">
        <v>96</v>
      </c>
      <c r="K911" s="1">
        <v>15.3</v>
      </c>
      <c r="L911" s="1" t="s">
        <v>29</v>
      </c>
      <c r="M911" s="1" t="s">
        <v>102</v>
      </c>
      <c r="N911" s="1" t="str">
        <f t="shared" si="14"/>
        <v>Normal</v>
      </c>
    </row>
    <row r="912" spans="1:14" x14ac:dyDescent="0.25">
      <c r="A912" s="1" t="s">
        <v>1833</v>
      </c>
      <c r="B912" s="1" t="s">
        <v>14</v>
      </c>
      <c r="C912" s="1" t="s">
        <v>1170</v>
      </c>
      <c r="D912" s="1" t="s">
        <v>16</v>
      </c>
      <c r="E912" s="1" t="s">
        <v>72</v>
      </c>
      <c r="F912" s="1" t="s">
        <v>53</v>
      </c>
      <c r="G912" s="1">
        <v>1883359</v>
      </c>
      <c r="H912" s="63">
        <v>45515</v>
      </c>
      <c r="J912" s="1"/>
      <c r="K912" s="1"/>
      <c r="L912" s="1" t="s">
        <v>20</v>
      </c>
      <c r="M912" s="1" t="s">
        <v>149</v>
      </c>
      <c r="N912" s="1" t="str">
        <f t="shared" si="14"/>
        <v>High Outlier</v>
      </c>
    </row>
    <row r="913" spans="1:14" x14ac:dyDescent="0.25">
      <c r="A913" s="1" t="s">
        <v>1834</v>
      </c>
      <c r="B913" s="1" t="s">
        <v>44</v>
      </c>
      <c r="C913" s="1" t="s">
        <v>590</v>
      </c>
      <c r="D913" s="1" t="s">
        <v>46</v>
      </c>
      <c r="E913" s="1" t="s">
        <v>61</v>
      </c>
      <c r="F913" s="1" t="s">
        <v>53</v>
      </c>
      <c r="G913" s="1">
        <v>102823</v>
      </c>
      <c r="H913" s="63">
        <v>45737</v>
      </c>
      <c r="J913" s="1"/>
      <c r="K913" s="1">
        <v>6.3</v>
      </c>
      <c r="L913" s="1" t="s">
        <v>20</v>
      </c>
      <c r="M913" s="1" t="s">
        <v>63</v>
      </c>
      <c r="N913" s="1" t="str">
        <f t="shared" si="14"/>
        <v>Normal</v>
      </c>
    </row>
    <row r="914" spans="1:14" x14ac:dyDescent="0.25">
      <c r="A914" s="1" t="s">
        <v>1836</v>
      </c>
      <c r="B914" s="1" t="s">
        <v>173</v>
      </c>
      <c r="C914" s="1" t="s">
        <v>859</v>
      </c>
      <c r="D914" s="1" t="s">
        <v>39</v>
      </c>
      <c r="E914" s="1" t="s">
        <v>26</v>
      </c>
      <c r="F914" s="1" t="s">
        <v>40</v>
      </c>
      <c r="G914" s="1">
        <v>110998</v>
      </c>
      <c r="H914" s="63">
        <v>45129</v>
      </c>
      <c r="I914" s="63">
        <v>45270</v>
      </c>
      <c r="J914" s="1">
        <v>141</v>
      </c>
      <c r="K914" s="1">
        <v>4.7</v>
      </c>
      <c r="L914" s="1" t="s">
        <v>49</v>
      </c>
      <c r="M914" s="1" t="s">
        <v>102</v>
      </c>
      <c r="N914" s="1" t="str">
        <f t="shared" si="14"/>
        <v>Normal</v>
      </c>
    </row>
    <row r="915" spans="1:14" x14ac:dyDescent="0.25">
      <c r="A915" s="1" t="s">
        <v>1837</v>
      </c>
      <c r="B915" s="1" t="s">
        <v>65</v>
      </c>
      <c r="C915" s="1" t="s">
        <v>1204</v>
      </c>
      <c r="D915" s="1" t="s">
        <v>39</v>
      </c>
      <c r="E915" s="1" t="s">
        <v>26</v>
      </c>
      <c r="F915" s="1" t="s">
        <v>53</v>
      </c>
      <c r="G915" s="1">
        <v>417062</v>
      </c>
      <c r="H915" s="63">
        <v>45375</v>
      </c>
      <c r="J915" s="1"/>
      <c r="K915" s="1"/>
      <c r="L915" s="1" t="s">
        <v>20</v>
      </c>
      <c r="M915" s="1" t="s">
        <v>69</v>
      </c>
      <c r="N915" s="1" t="str">
        <f t="shared" si="14"/>
        <v>Normal</v>
      </c>
    </row>
    <row r="916" spans="1:14" x14ac:dyDescent="0.25">
      <c r="A916" s="1" t="s">
        <v>1838</v>
      </c>
      <c r="B916" s="1" t="s">
        <v>104</v>
      </c>
      <c r="C916" s="1" t="s">
        <v>483</v>
      </c>
      <c r="D916" s="1" t="s">
        <v>90</v>
      </c>
      <c r="E916" s="1" t="s">
        <v>100</v>
      </c>
      <c r="F916" s="1" t="s">
        <v>27</v>
      </c>
      <c r="G916" s="1">
        <v>92676</v>
      </c>
      <c r="H916" s="63">
        <v>44935</v>
      </c>
      <c r="J916" s="1"/>
      <c r="K916" s="1">
        <v>15</v>
      </c>
      <c r="L916" s="1" t="s">
        <v>20</v>
      </c>
      <c r="M916" s="1" t="s">
        <v>35</v>
      </c>
      <c r="N916" s="1" t="str">
        <f t="shared" si="14"/>
        <v>Normal</v>
      </c>
    </row>
    <row r="917" spans="1:14" x14ac:dyDescent="0.25">
      <c r="A917" s="1" t="s">
        <v>1839</v>
      </c>
      <c r="B917" s="1" t="s">
        <v>65</v>
      </c>
      <c r="C917" s="1" t="s">
        <v>662</v>
      </c>
      <c r="D917" s="1" t="s">
        <v>46</v>
      </c>
      <c r="E917" s="1" t="s">
        <v>72</v>
      </c>
      <c r="F917" s="1" t="s">
        <v>53</v>
      </c>
      <c r="G917" s="1">
        <v>1482318</v>
      </c>
      <c r="H917" s="63">
        <v>45519</v>
      </c>
      <c r="J917" s="1"/>
      <c r="K917" s="1">
        <v>5.4</v>
      </c>
      <c r="L917" s="1" t="s">
        <v>49</v>
      </c>
      <c r="M917" s="1" t="s">
        <v>149</v>
      </c>
      <c r="N917" s="1" t="str">
        <f t="shared" si="14"/>
        <v>High Outlier</v>
      </c>
    </row>
    <row r="918" spans="1:14" x14ac:dyDescent="0.25">
      <c r="A918" s="1" t="s">
        <v>1841</v>
      </c>
      <c r="B918" s="1" t="s">
        <v>173</v>
      </c>
      <c r="C918" s="1" t="s">
        <v>1842</v>
      </c>
      <c r="D918" s="1" t="s">
        <v>67</v>
      </c>
      <c r="E918" s="1" t="s">
        <v>77</v>
      </c>
      <c r="F918" s="1" t="s">
        <v>129</v>
      </c>
      <c r="G918" s="1">
        <v>421778</v>
      </c>
      <c r="H918" s="63">
        <v>45124</v>
      </c>
      <c r="J918" s="1"/>
      <c r="K918" s="1"/>
      <c r="L918" s="1" t="s">
        <v>96</v>
      </c>
      <c r="M918" s="1" t="s">
        <v>102</v>
      </c>
      <c r="N918" s="1" t="str">
        <f t="shared" si="14"/>
        <v>Normal</v>
      </c>
    </row>
    <row r="919" spans="1:14" x14ac:dyDescent="0.25">
      <c r="A919" s="1" t="s">
        <v>1843</v>
      </c>
      <c r="B919" s="1" t="s">
        <v>109</v>
      </c>
      <c r="C919" s="1" t="s">
        <v>561</v>
      </c>
      <c r="D919" s="1" t="s">
        <v>25</v>
      </c>
      <c r="E919" s="1" t="s">
        <v>77</v>
      </c>
      <c r="F919" s="1" t="s">
        <v>33</v>
      </c>
      <c r="G919" s="1">
        <v>214786</v>
      </c>
      <c r="H919" s="63">
        <v>45742</v>
      </c>
      <c r="J919" s="1"/>
      <c r="K919" s="1">
        <v>11.8</v>
      </c>
      <c r="L919" s="1" t="s">
        <v>96</v>
      </c>
      <c r="M919" s="1" t="s">
        <v>63</v>
      </c>
      <c r="N919" s="1" t="str">
        <f t="shared" si="14"/>
        <v>Normal</v>
      </c>
    </row>
    <row r="920" spans="1:14" x14ac:dyDescent="0.25">
      <c r="A920" s="1" t="s">
        <v>1844</v>
      </c>
      <c r="B920" s="1" t="s">
        <v>59</v>
      </c>
      <c r="C920" s="1" t="s">
        <v>987</v>
      </c>
      <c r="D920" s="1" t="s">
        <v>67</v>
      </c>
      <c r="E920" s="1" t="s">
        <v>77</v>
      </c>
      <c r="F920" s="1" t="s">
        <v>53</v>
      </c>
      <c r="G920" s="1">
        <v>401152</v>
      </c>
      <c r="H920" s="63">
        <v>45117</v>
      </c>
      <c r="J920" s="1"/>
      <c r="K920" s="1">
        <v>1.4</v>
      </c>
      <c r="L920" s="1" t="s">
        <v>96</v>
      </c>
      <c r="M920" s="1" t="s">
        <v>102</v>
      </c>
      <c r="N920" s="1" t="str">
        <f t="shared" si="14"/>
        <v>Normal</v>
      </c>
    </row>
    <row r="921" spans="1:14" x14ac:dyDescent="0.25">
      <c r="A921" s="1" t="s">
        <v>1845</v>
      </c>
      <c r="B921" s="1" t="s">
        <v>88</v>
      </c>
      <c r="C921" s="1" t="s">
        <v>767</v>
      </c>
      <c r="D921" s="1" t="s">
        <v>67</v>
      </c>
      <c r="E921" s="1" t="s">
        <v>72</v>
      </c>
      <c r="F921" s="1" t="s">
        <v>40</v>
      </c>
      <c r="G921" s="1">
        <v>212343</v>
      </c>
      <c r="H921" s="63">
        <v>45315</v>
      </c>
      <c r="I921" s="63">
        <v>45359</v>
      </c>
      <c r="J921" s="1">
        <v>44</v>
      </c>
      <c r="K921" s="1">
        <v>0.7</v>
      </c>
      <c r="L921" s="1" t="s">
        <v>20</v>
      </c>
      <c r="M921" s="1" t="s">
        <v>69</v>
      </c>
      <c r="N921" s="1" t="str">
        <f t="shared" si="14"/>
        <v>Normal</v>
      </c>
    </row>
    <row r="922" spans="1:14" x14ac:dyDescent="0.25">
      <c r="A922" s="1" t="s">
        <v>1847</v>
      </c>
      <c r="B922" s="1" t="s">
        <v>173</v>
      </c>
      <c r="C922" s="1" t="s">
        <v>528</v>
      </c>
      <c r="D922" s="1" t="s">
        <v>46</v>
      </c>
      <c r="E922" s="1" t="s">
        <v>77</v>
      </c>
      <c r="F922" s="1" t="s">
        <v>27</v>
      </c>
      <c r="G922" s="1">
        <v>110509</v>
      </c>
      <c r="H922" s="63">
        <v>45655</v>
      </c>
      <c r="J922" s="1"/>
      <c r="K922" s="1">
        <v>3.8</v>
      </c>
      <c r="L922" s="1" t="s">
        <v>49</v>
      </c>
      <c r="M922" s="1" t="s">
        <v>42</v>
      </c>
      <c r="N922" s="1" t="str">
        <f t="shared" si="14"/>
        <v>Normal</v>
      </c>
    </row>
    <row r="923" spans="1:14" x14ac:dyDescent="0.25">
      <c r="A923" s="1" t="s">
        <v>1848</v>
      </c>
      <c r="B923" s="1" t="s">
        <v>75</v>
      </c>
      <c r="C923" s="1" t="s">
        <v>724</v>
      </c>
      <c r="D923" s="1" t="s">
        <v>39</v>
      </c>
      <c r="E923" s="1" t="s">
        <v>100</v>
      </c>
      <c r="F923" s="1" t="s">
        <v>40</v>
      </c>
      <c r="G923" s="1">
        <v>279798</v>
      </c>
      <c r="H923" s="63">
        <v>45231</v>
      </c>
      <c r="I923" s="63">
        <v>45404</v>
      </c>
      <c r="J923" s="1">
        <v>173</v>
      </c>
      <c r="K923" s="1">
        <v>22.5</v>
      </c>
      <c r="L923" s="1" t="s">
        <v>20</v>
      </c>
      <c r="M923" s="1" t="s">
        <v>21</v>
      </c>
      <c r="N923" s="1" t="str">
        <f t="shared" si="14"/>
        <v>Normal</v>
      </c>
    </row>
    <row r="924" spans="1:14" x14ac:dyDescent="0.25">
      <c r="A924" s="1" t="s">
        <v>1850</v>
      </c>
      <c r="B924" s="1" t="s">
        <v>104</v>
      </c>
      <c r="C924" s="1" t="s">
        <v>220</v>
      </c>
      <c r="D924" s="1" t="s">
        <v>16</v>
      </c>
      <c r="E924" s="1" t="s">
        <v>61</v>
      </c>
      <c r="F924" s="1" t="s">
        <v>40</v>
      </c>
      <c r="G924" s="1">
        <v>217339</v>
      </c>
      <c r="H924" s="63">
        <v>45712</v>
      </c>
      <c r="I924" s="63">
        <v>45841</v>
      </c>
      <c r="J924" s="1">
        <v>129</v>
      </c>
      <c r="K924" s="1">
        <v>17.2</v>
      </c>
      <c r="L924" s="1" t="s">
        <v>96</v>
      </c>
      <c r="M924" s="1" t="s">
        <v>63</v>
      </c>
      <c r="N924" s="1" t="str">
        <f t="shared" si="14"/>
        <v>Normal</v>
      </c>
    </row>
    <row r="925" spans="1:14" x14ac:dyDescent="0.25">
      <c r="A925" s="1" t="s">
        <v>1851</v>
      </c>
      <c r="B925" s="1" t="s">
        <v>109</v>
      </c>
      <c r="C925" s="1" t="s">
        <v>1021</v>
      </c>
      <c r="D925" s="1" t="s">
        <v>46</v>
      </c>
      <c r="E925" s="1" t="s">
        <v>26</v>
      </c>
      <c r="F925" s="1" t="s">
        <v>33</v>
      </c>
      <c r="G925" s="1">
        <v>118047</v>
      </c>
      <c r="H925" s="63">
        <v>45288</v>
      </c>
      <c r="J925" s="1"/>
      <c r="K925" s="1">
        <v>7.4</v>
      </c>
      <c r="L925" s="1" t="s">
        <v>49</v>
      </c>
      <c r="M925" s="1" t="s">
        <v>21</v>
      </c>
      <c r="N925" s="1" t="str">
        <f t="shared" si="14"/>
        <v>Normal</v>
      </c>
    </row>
    <row r="926" spans="1:14" x14ac:dyDescent="0.25">
      <c r="A926" s="1" t="s">
        <v>1852</v>
      </c>
      <c r="B926" s="1" t="s">
        <v>37</v>
      </c>
      <c r="C926" s="1" t="s">
        <v>928</v>
      </c>
      <c r="D926" s="1" t="s">
        <v>46</v>
      </c>
      <c r="E926" s="1" t="s">
        <v>61</v>
      </c>
      <c r="F926" s="1" t="s">
        <v>18</v>
      </c>
      <c r="G926" s="1">
        <v>355990</v>
      </c>
      <c r="H926" s="63">
        <v>45747</v>
      </c>
      <c r="I926" s="63">
        <v>45834</v>
      </c>
      <c r="J926" s="1">
        <v>87</v>
      </c>
      <c r="K926" s="1"/>
      <c r="L926" s="1" t="s">
        <v>20</v>
      </c>
      <c r="M926" s="1" t="s">
        <v>63</v>
      </c>
      <c r="N926" s="1" t="str">
        <f t="shared" si="14"/>
        <v>Normal</v>
      </c>
    </row>
    <row r="927" spans="1:14" x14ac:dyDescent="0.25">
      <c r="A927" s="1" t="s">
        <v>1853</v>
      </c>
      <c r="B927" s="1" t="s">
        <v>98</v>
      </c>
      <c r="C927" s="1" t="s">
        <v>227</v>
      </c>
      <c r="D927" s="1" t="s">
        <v>16</v>
      </c>
      <c r="E927" s="1" t="s">
        <v>47</v>
      </c>
      <c r="F927" s="1" t="s">
        <v>18</v>
      </c>
      <c r="G927" s="1">
        <v>87531</v>
      </c>
      <c r="H927" s="63">
        <v>45289</v>
      </c>
      <c r="I927" s="63">
        <v>45320</v>
      </c>
      <c r="J927" s="1">
        <v>31</v>
      </c>
      <c r="K927" s="1"/>
      <c r="L927" s="1" t="s">
        <v>96</v>
      </c>
      <c r="M927" s="1" t="s">
        <v>21</v>
      </c>
      <c r="N927" s="1" t="str">
        <f t="shared" si="14"/>
        <v>Normal</v>
      </c>
    </row>
    <row r="928" spans="1:14" x14ac:dyDescent="0.25">
      <c r="A928" s="1" t="s">
        <v>1854</v>
      </c>
      <c r="B928" s="1" t="s">
        <v>75</v>
      </c>
      <c r="C928" s="1" t="s">
        <v>227</v>
      </c>
      <c r="D928" s="1" t="s">
        <v>16</v>
      </c>
      <c r="E928" s="1" t="s">
        <v>100</v>
      </c>
      <c r="F928" s="1" t="s">
        <v>129</v>
      </c>
      <c r="G928" s="1">
        <v>26436</v>
      </c>
      <c r="H928" s="63">
        <v>45689</v>
      </c>
      <c r="J928" s="1"/>
      <c r="K928" s="1">
        <v>10.8</v>
      </c>
      <c r="L928" s="1" t="s">
        <v>29</v>
      </c>
      <c r="M928" s="1" t="s">
        <v>63</v>
      </c>
      <c r="N928" s="1" t="str">
        <f t="shared" si="14"/>
        <v>Normal</v>
      </c>
    </row>
    <row r="929" spans="1:14" x14ac:dyDescent="0.25">
      <c r="A929" s="1" t="s">
        <v>1855</v>
      </c>
      <c r="B929" s="1" t="s">
        <v>37</v>
      </c>
      <c r="C929" s="1" t="s">
        <v>1157</v>
      </c>
      <c r="D929" s="1" t="s">
        <v>25</v>
      </c>
      <c r="E929" s="1" t="s">
        <v>100</v>
      </c>
      <c r="F929" s="1" t="s">
        <v>27</v>
      </c>
      <c r="G929" s="1">
        <v>390741</v>
      </c>
      <c r="H929" s="63">
        <v>44957</v>
      </c>
      <c r="J929" s="1"/>
      <c r="K929" s="1">
        <v>1.8</v>
      </c>
      <c r="L929" s="1" t="s">
        <v>49</v>
      </c>
      <c r="M929" s="1" t="s">
        <v>35</v>
      </c>
      <c r="N929" s="1" t="str">
        <f t="shared" si="14"/>
        <v>Normal</v>
      </c>
    </row>
    <row r="930" spans="1:14" x14ac:dyDescent="0.25">
      <c r="A930" s="1" t="s">
        <v>1856</v>
      </c>
      <c r="B930" s="1" t="s">
        <v>23</v>
      </c>
      <c r="C930" s="1" t="s">
        <v>141</v>
      </c>
      <c r="D930" s="1" t="s">
        <v>39</v>
      </c>
      <c r="E930" s="1" t="s">
        <v>61</v>
      </c>
      <c r="F930" s="1" t="s">
        <v>27</v>
      </c>
      <c r="G930" s="1">
        <v>146766</v>
      </c>
      <c r="H930" s="63">
        <v>45011</v>
      </c>
      <c r="J930" s="1"/>
      <c r="K930" s="1">
        <v>1.2</v>
      </c>
      <c r="L930" s="1" t="s">
        <v>29</v>
      </c>
      <c r="M930" s="1" t="s">
        <v>35</v>
      </c>
      <c r="N930" s="1" t="str">
        <f t="shared" si="14"/>
        <v>Normal</v>
      </c>
    </row>
    <row r="931" spans="1:14" x14ac:dyDescent="0.25">
      <c r="A931" s="1" t="s">
        <v>1857</v>
      </c>
      <c r="B931" s="1" t="s">
        <v>65</v>
      </c>
      <c r="C931" s="1" t="s">
        <v>119</v>
      </c>
      <c r="D931" s="1" t="s">
        <v>16</v>
      </c>
      <c r="E931" s="1" t="s">
        <v>47</v>
      </c>
      <c r="F931" s="1" t="s">
        <v>40</v>
      </c>
      <c r="G931" s="1">
        <v>440806</v>
      </c>
      <c r="H931" s="63">
        <v>45683</v>
      </c>
      <c r="I931" s="63">
        <v>45768</v>
      </c>
      <c r="J931" s="1">
        <v>85</v>
      </c>
      <c r="K931" s="1">
        <v>4.7</v>
      </c>
      <c r="L931" s="1" t="s">
        <v>29</v>
      </c>
      <c r="M931" s="1" t="s">
        <v>63</v>
      </c>
      <c r="N931" s="1" t="str">
        <f t="shared" si="14"/>
        <v>Normal</v>
      </c>
    </row>
    <row r="932" spans="1:14" x14ac:dyDescent="0.25">
      <c r="A932" s="1" t="s">
        <v>1858</v>
      </c>
      <c r="B932" s="1" t="s">
        <v>44</v>
      </c>
      <c r="C932" s="1" t="s">
        <v>1566</v>
      </c>
      <c r="D932" s="1" t="s">
        <v>25</v>
      </c>
      <c r="E932" s="1" t="s">
        <v>100</v>
      </c>
      <c r="F932" s="1" t="s">
        <v>40</v>
      </c>
      <c r="G932" s="1">
        <v>116272</v>
      </c>
      <c r="H932" s="63">
        <v>44951</v>
      </c>
      <c r="I932" s="63">
        <v>45035</v>
      </c>
      <c r="J932" s="1">
        <v>84</v>
      </c>
      <c r="K932" s="1">
        <v>4.7</v>
      </c>
      <c r="L932" s="1" t="s">
        <v>20</v>
      </c>
      <c r="M932" s="1" t="s">
        <v>35</v>
      </c>
      <c r="N932" s="1" t="str">
        <f t="shared" si="14"/>
        <v>Normal</v>
      </c>
    </row>
    <row r="933" spans="1:14" x14ac:dyDescent="0.25">
      <c r="A933" s="1" t="s">
        <v>1860</v>
      </c>
      <c r="B933" s="1" t="s">
        <v>75</v>
      </c>
      <c r="C933" s="1" t="s">
        <v>387</v>
      </c>
      <c r="D933" s="1" t="s">
        <v>39</v>
      </c>
      <c r="E933" s="1" t="s">
        <v>100</v>
      </c>
      <c r="F933" s="1" t="s">
        <v>53</v>
      </c>
      <c r="G933" s="1">
        <v>470681</v>
      </c>
      <c r="H933" s="63">
        <v>45206</v>
      </c>
      <c r="J933" s="1"/>
      <c r="K933" s="1"/>
      <c r="L933" s="1" t="s">
        <v>20</v>
      </c>
      <c r="M933" s="1" t="s">
        <v>21</v>
      </c>
      <c r="N933" s="1" t="str">
        <f t="shared" si="14"/>
        <v>Normal</v>
      </c>
    </row>
    <row r="934" spans="1:14" x14ac:dyDescent="0.25">
      <c r="A934" s="1" t="s">
        <v>1861</v>
      </c>
      <c r="B934" s="1" t="s">
        <v>173</v>
      </c>
      <c r="C934" s="1" t="s">
        <v>1043</v>
      </c>
      <c r="D934" s="1" t="s">
        <v>16</v>
      </c>
      <c r="E934" s="1" t="s">
        <v>4845</v>
      </c>
      <c r="F934" s="1" t="s">
        <v>33</v>
      </c>
      <c r="G934" s="1">
        <v>120272</v>
      </c>
      <c r="H934" s="63">
        <v>45745</v>
      </c>
      <c r="J934" s="1"/>
      <c r="K934" s="1">
        <v>7.6</v>
      </c>
      <c r="L934" s="1" t="s">
        <v>96</v>
      </c>
      <c r="M934" s="1" t="s">
        <v>63</v>
      </c>
      <c r="N934" s="1" t="str">
        <f t="shared" si="14"/>
        <v>Normal</v>
      </c>
    </row>
    <row r="935" spans="1:14" x14ac:dyDescent="0.25">
      <c r="A935" s="1" t="s">
        <v>1863</v>
      </c>
      <c r="B935" s="1" t="s">
        <v>127</v>
      </c>
      <c r="C935" s="1" t="s">
        <v>1074</v>
      </c>
      <c r="D935" s="1" t="s">
        <v>46</v>
      </c>
      <c r="E935" s="1" t="s">
        <v>4845</v>
      </c>
      <c r="F935" s="1" t="s">
        <v>53</v>
      </c>
      <c r="G935" s="1">
        <v>198227</v>
      </c>
      <c r="H935" s="63">
        <v>45479</v>
      </c>
      <c r="J935" s="1"/>
      <c r="K935" s="1">
        <v>5.5</v>
      </c>
      <c r="L935" s="1" t="s">
        <v>29</v>
      </c>
      <c r="M935" s="1" t="s">
        <v>149</v>
      </c>
      <c r="N935" s="1" t="str">
        <f t="shared" si="14"/>
        <v>Normal</v>
      </c>
    </row>
    <row r="936" spans="1:14" x14ac:dyDescent="0.25">
      <c r="A936" s="1" t="s">
        <v>1864</v>
      </c>
      <c r="B936" s="1" t="s">
        <v>80</v>
      </c>
      <c r="C936" s="1" t="s">
        <v>436</v>
      </c>
      <c r="D936" s="1" t="s">
        <v>90</v>
      </c>
      <c r="E936" s="1" t="s">
        <v>61</v>
      </c>
      <c r="F936" s="1" t="s">
        <v>129</v>
      </c>
      <c r="G936" s="1">
        <v>253459</v>
      </c>
      <c r="H936" s="63">
        <v>44956</v>
      </c>
      <c r="J936" s="1"/>
      <c r="K936" s="1">
        <v>1.9</v>
      </c>
      <c r="L936" s="1" t="s">
        <v>96</v>
      </c>
      <c r="M936" s="1" t="s">
        <v>35</v>
      </c>
      <c r="N936" s="1" t="str">
        <f t="shared" si="14"/>
        <v>Normal</v>
      </c>
    </row>
    <row r="937" spans="1:14" x14ac:dyDescent="0.25">
      <c r="A937" s="1" t="s">
        <v>1865</v>
      </c>
      <c r="B937" s="1" t="s">
        <v>14</v>
      </c>
      <c r="C937" s="1" t="s">
        <v>1866</v>
      </c>
      <c r="D937" s="1" t="s">
        <v>25</v>
      </c>
      <c r="E937" s="1" t="s">
        <v>100</v>
      </c>
      <c r="F937" s="1" t="s">
        <v>40</v>
      </c>
      <c r="G937" s="1">
        <v>255228</v>
      </c>
      <c r="H937" s="63">
        <v>45073</v>
      </c>
      <c r="I937" s="63">
        <v>45201</v>
      </c>
      <c r="J937" s="1">
        <v>128</v>
      </c>
      <c r="K937" s="1">
        <v>8.1</v>
      </c>
      <c r="L937" s="1" t="s">
        <v>96</v>
      </c>
      <c r="M937" s="1" t="s">
        <v>30</v>
      </c>
      <c r="N937" s="1" t="str">
        <f t="shared" si="14"/>
        <v>Normal</v>
      </c>
    </row>
    <row r="938" spans="1:14" x14ac:dyDescent="0.25">
      <c r="A938" s="1" t="s">
        <v>1867</v>
      </c>
      <c r="B938" s="1" t="s">
        <v>65</v>
      </c>
      <c r="C938" s="1" t="s">
        <v>56</v>
      </c>
      <c r="D938" s="1" t="s">
        <v>46</v>
      </c>
      <c r="E938" s="1" t="s">
        <v>72</v>
      </c>
      <c r="F938" s="1" t="s">
        <v>40</v>
      </c>
      <c r="G938" s="1">
        <v>425710</v>
      </c>
      <c r="H938" s="63">
        <v>45426</v>
      </c>
      <c r="I938" s="63">
        <v>45588</v>
      </c>
      <c r="J938" s="1">
        <v>162</v>
      </c>
      <c r="K938" s="1">
        <v>2.4</v>
      </c>
      <c r="L938" s="1" t="s">
        <v>49</v>
      </c>
      <c r="M938" s="1" t="s">
        <v>107</v>
      </c>
      <c r="N938" s="1" t="str">
        <f t="shared" si="14"/>
        <v>Normal</v>
      </c>
    </row>
    <row r="939" spans="1:14" x14ac:dyDescent="0.25">
      <c r="A939" s="1" t="s">
        <v>1868</v>
      </c>
      <c r="B939" s="1" t="s">
        <v>104</v>
      </c>
      <c r="C939" s="1" t="s">
        <v>1072</v>
      </c>
      <c r="D939" s="1" t="s">
        <v>25</v>
      </c>
      <c r="E939" s="1" t="s">
        <v>17</v>
      </c>
      <c r="F939" s="1" t="s">
        <v>129</v>
      </c>
      <c r="G939" s="1">
        <v>247584</v>
      </c>
      <c r="H939" s="63">
        <v>45531</v>
      </c>
      <c r="J939" s="1"/>
      <c r="K939" s="1">
        <v>5</v>
      </c>
      <c r="L939" s="1" t="s">
        <v>20</v>
      </c>
      <c r="M939" s="1" t="s">
        <v>149</v>
      </c>
      <c r="N939" s="1" t="str">
        <f t="shared" si="14"/>
        <v>Normal</v>
      </c>
    </row>
    <row r="940" spans="1:14" x14ac:dyDescent="0.25">
      <c r="A940" s="1" t="s">
        <v>1870</v>
      </c>
      <c r="B940" s="1" t="s">
        <v>44</v>
      </c>
      <c r="C940" s="1" t="s">
        <v>552</v>
      </c>
      <c r="D940" s="1" t="s">
        <v>16</v>
      </c>
      <c r="E940" s="1" t="s">
        <v>77</v>
      </c>
      <c r="F940" s="1" t="s">
        <v>18</v>
      </c>
      <c r="G940" s="1">
        <v>201433</v>
      </c>
      <c r="H940" s="63">
        <v>45629</v>
      </c>
      <c r="I940" s="63">
        <v>45751</v>
      </c>
      <c r="J940" s="1">
        <v>122</v>
      </c>
      <c r="K940" s="1">
        <v>11.8</v>
      </c>
      <c r="L940" s="1" t="s">
        <v>96</v>
      </c>
      <c r="M940" s="1" t="s">
        <v>42</v>
      </c>
      <c r="N940" s="1" t="str">
        <f t="shared" si="14"/>
        <v>Normal</v>
      </c>
    </row>
    <row r="941" spans="1:14" x14ac:dyDescent="0.25">
      <c r="A941" s="1" t="s">
        <v>1872</v>
      </c>
      <c r="B941" s="1" t="s">
        <v>44</v>
      </c>
      <c r="C941" s="1" t="s">
        <v>1299</v>
      </c>
      <c r="D941" s="1" t="s">
        <v>46</v>
      </c>
      <c r="E941" s="1" t="s">
        <v>4845</v>
      </c>
      <c r="F941" s="1" t="s">
        <v>18</v>
      </c>
      <c r="G941" s="1">
        <v>443492</v>
      </c>
      <c r="H941" s="63">
        <v>45746</v>
      </c>
      <c r="I941" s="63">
        <v>45838</v>
      </c>
      <c r="J941" s="1">
        <v>92</v>
      </c>
      <c r="K941" s="1">
        <v>10.5</v>
      </c>
      <c r="L941" s="1" t="s">
        <v>49</v>
      </c>
      <c r="M941" s="1" t="s">
        <v>63</v>
      </c>
      <c r="N941" s="1" t="str">
        <f t="shared" si="14"/>
        <v>Normal</v>
      </c>
    </row>
    <row r="942" spans="1:14" x14ac:dyDescent="0.25">
      <c r="A942" s="1" t="s">
        <v>1873</v>
      </c>
      <c r="B942" s="1" t="s">
        <v>65</v>
      </c>
      <c r="C942" s="1" t="s">
        <v>99</v>
      </c>
      <c r="D942" s="1" t="s">
        <v>16</v>
      </c>
      <c r="E942" s="1" t="s">
        <v>72</v>
      </c>
      <c r="F942" s="1" t="s">
        <v>129</v>
      </c>
      <c r="G942" s="1">
        <v>282486</v>
      </c>
      <c r="H942" s="63">
        <v>45707</v>
      </c>
      <c r="J942" s="1"/>
      <c r="K942" s="1"/>
      <c r="L942" s="1" t="s">
        <v>96</v>
      </c>
      <c r="M942" s="1" t="s">
        <v>63</v>
      </c>
      <c r="N942" s="1" t="str">
        <f t="shared" si="14"/>
        <v>Normal</v>
      </c>
    </row>
    <row r="943" spans="1:14" x14ac:dyDescent="0.25">
      <c r="A943" s="1" t="s">
        <v>1874</v>
      </c>
      <c r="B943" s="1" t="s">
        <v>14</v>
      </c>
      <c r="C943" s="1" t="s">
        <v>1121</v>
      </c>
      <c r="D943" s="1" t="s">
        <v>90</v>
      </c>
      <c r="E943" s="1" t="s">
        <v>94</v>
      </c>
      <c r="F943" s="1" t="s">
        <v>18</v>
      </c>
      <c r="G943" s="1">
        <v>171763</v>
      </c>
      <c r="H943" s="63">
        <v>44975</v>
      </c>
      <c r="I943" s="63">
        <v>45152</v>
      </c>
      <c r="J943" s="1">
        <v>177</v>
      </c>
      <c r="K943" s="1">
        <v>4</v>
      </c>
      <c r="L943" s="1" t="s">
        <v>20</v>
      </c>
      <c r="M943" s="1" t="s">
        <v>35</v>
      </c>
      <c r="N943" s="1" t="str">
        <f t="shared" si="14"/>
        <v>Normal</v>
      </c>
    </row>
    <row r="944" spans="1:14" x14ac:dyDescent="0.25">
      <c r="A944" s="1" t="s">
        <v>1875</v>
      </c>
      <c r="B944" s="1" t="s">
        <v>88</v>
      </c>
      <c r="C944" s="1" t="s">
        <v>300</v>
      </c>
      <c r="D944" s="1" t="s">
        <v>16</v>
      </c>
      <c r="E944" s="1" t="s">
        <v>61</v>
      </c>
      <c r="F944" s="1" t="s">
        <v>53</v>
      </c>
      <c r="G944" s="1">
        <v>193392</v>
      </c>
      <c r="H944" s="63">
        <v>45554</v>
      </c>
      <c r="J944" s="1"/>
      <c r="K944" s="1">
        <v>12.3</v>
      </c>
      <c r="L944" s="1" t="s">
        <v>96</v>
      </c>
      <c r="M944" s="1" t="s">
        <v>149</v>
      </c>
      <c r="N944" s="1" t="str">
        <f t="shared" si="14"/>
        <v>Normal</v>
      </c>
    </row>
    <row r="945" spans="1:14" x14ac:dyDescent="0.25">
      <c r="A945" s="1" t="s">
        <v>1876</v>
      </c>
      <c r="B945" s="1" t="s">
        <v>127</v>
      </c>
      <c r="C945" s="1" t="s">
        <v>250</v>
      </c>
      <c r="D945" s="1" t="s">
        <v>39</v>
      </c>
      <c r="E945" s="1" t="s">
        <v>77</v>
      </c>
      <c r="F945" s="1" t="s">
        <v>40</v>
      </c>
      <c r="G945" s="1">
        <v>317324</v>
      </c>
      <c r="H945" s="63">
        <v>45298</v>
      </c>
      <c r="I945" s="63">
        <v>45425</v>
      </c>
      <c r="J945" s="1">
        <v>127</v>
      </c>
      <c r="K945" s="1">
        <v>4.5</v>
      </c>
      <c r="L945" s="1" t="s">
        <v>96</v>
      </c>
      <c r="M945" s="1" t="s">
        <v>69</v>
      </c>
      <c r="N945" s="1" t="str">
        <f t="shared" si="14"/>
        <v>Normal</v>
      </c>
    </row>
    <row r="946" spans="1:14" x14ac:dyDescent="0.25">
      <c r="A946" s="1" t="s">
        <v>1877</v>
      </c>
      <c r="B946" s="1" t="s">
        <v>59</v>
      </c>
      <c r="C946" s="1" t="s">
        <v>224</v>
      </c>
      <c r="D946" s="1" t="s">
        <v>46</v>
      </c>
      <c r="E946" s="1" t="s">
        <v>26</v>
      </c>
      <c r="F946" s="1" t="s">
        <v>53</v>
      </c>
      <c r="G946" s="1">
        <v>376050</v>
      </c>
      <c r="H946" s="63">
        <v>45333</v>
      </c>
      <c r="J946" s="1"/>
      <c r="K946" s="1">
        <v>0.6</v>
      </c>
      <c r="L946" s="1" t="s">
        <v>49</v>
      </c>
      <c r="M946" s="1" t="s">
        <v>69</v>
      </c>
      <c r="N946" s="1" t="str">
        <f t="shared" si="14"/>
        <v>Normal</v>
      </c>
    </row>
    <row r="947" spans="1:14" x14ac:dyDescent="0.25">
      <c r="A947" s="1" t="s">
        <v>1878</v>
      </c>
      <c r="B947" s="1" t="s">
        <v>75</v>
      </c>
      <c r="C947" s="1" t="s">
        <v>892</v>
      </c>
      <c r="D947" s="1" t="s">
        <v>90</v>
      </c>
      <c r="E947" s="1" t="s">
        <v>94</v>
      </c>
      <c r="F947" s="1" t="s">
        <v>18</v>
      </c>
      <c r="G947" s="1">
        <v>338714</v>
      </c>
      <c r="H947" s="63">
        <v>45177</v>
      </c>
      <c r="I947" s="63">
        <v>45200</v>
      </c>
      <c r="J947" s="1">
        <v>23</v>
      </c>
      <c r="K947" s="1">
        <v>5.9</v>
      </c>
      <c r="L947" s="1" t="s">
        <v>29</v>
      </c>
      <c r="M947" s="1" t="s">
        <v>102</v>
      </c>
      <c r="N947" s="1" t="str">
        <f t="shared" si="14"/>
        <v>Normal</v>
      </c>
    </row>
    <row r="948" spans="1:14" x14ac:dyDescent="0.25">
      <c r="A948" s="1" t="s">
        <v>1880</v>
      </c>
      <c r="B948" s="1" t="s">
        <v>109</v>
      </c>
      <c r="C948" s="1" t="s">
        <v>747</v>
      </c>
      <c r="D948" s="1" t="s">
        <v>39</v>
      </c>
      <c r="E948" s="1" t="s">
        <v>100</v>
      </c>
      <c r="F948" s="1" t="s">
        <v>129</v>
      </c>
      <c r="G948" s="1">
        <v>102553</v>
      </c>
      <c r="H948" s="63">
        <v>45421</v>
      </c>
      <c r="J948" s="1"/>
      <c r="K948" s="1">
        <v>7.7</v>
      </c>
      <c r="L948" s="1" t="s">
        <v>49</v>
      </c>
      <c r="M948" s="1" t="s">
        <v>107</v>
      </c>
      <c r="N948" s="1" t="str">
        <f t="shared" si="14"/>
        <v>Normal</v>
      </c>
    </row>
    <row r="949" spans="1:14" x14ac:dyDescent="0.25">
      <c r="A949" s="1" t="s">
        <v>1881</v>
      </c>
      <c r="B949" s="1" t="s">
        <v>14</v>
      </c>
      <c r="C949" s="1" t="s">
        <v>790</v>
      </c>
      <c r="D949" s="1" t="s">
        <v>67</v>
      </c>
      <c r="E949" s="1" t="s">
        <v>77</v>
      </c>
      <c r="F949" s="1" t="s">
        <v>129</v>
      </c>
      <c r="G949" s="1">
        <v>320437</v>
      </c>
      <c r="H949" s="63">
        <v>45736</v>
      </c>
      <c r="J949" s="1"/>
      <c r="K949" s="1">
        <v>7.7</v>
      </c>
      <c r="L949" s="1" t="s">
        <v>49</v>
      </c>
      <c r="M949" s="1" t="s">
        <v>63</v>
      </c>
      <c r="N949" s="1" t="str">
        <f t="shared" si="14"/>
        <v>Normal</v>
      </c>
    </row>
    <row r="950" spans="1:14" x14ac:dyDescent="0.25">
      <c r="A950" s="1" t="s">
        <v>1882</v>
      </c>
      <c r="B950" s="1" t="s">
        <v>37</v>
      </c>
      <c r="C950" s="1" t="s">
        <v>906</v>
      </c>
      <c r="D950" s="1" t="s">
        <v>46</v>
      </c>
      <c r="E950" s="1" t="s">
        <v>77</v>
      </c>
      <c r="F950" s="1" t="s">
        <v>33</v>
      </c>
      <c r="G950" s="1">
        <v>407639</v>
      </c>
      <c r="H950" s="63">
        <v>45087</v>
      </c>
      <c r="J950" s="1"/>
      <c r="K950" s="1">
        <v>0.1</v>
      </c>
      <c r="L950" s="1" t="s">
        <v>96</v>
      </c>
      <c r="M950" s="1" t="s">
        <v>30</v>
      </c>
      <c r="N950" s="1" t="str">
        <f t="shared" si="14"/>
        <v>Normal</v>
      </c>
    </row>
    <row r="951" spans="1:14" x14ac:dyDescent="0.25">
      <c r="A951" s="1" t="s">
        <v>1884</v>
      </c>
      <c r="B951" s="1" t="s">
        <v>4829</v>
      </c>
      <c r="C951" s="1" t="s">
        <v>977</v>
      </c>
      <c r="D951" s="1" t="s">
        <v>25</v>
      </c>
      <c r="E951" s="1" t="s">
        <v>100</v>
      </c>
      <c r="F951" s="1" t="s">
        <v>27</v>
      </c>
      <c r="G951" s="1">
        <v>298680</v>
      </c>
      <c r="H951" s="63">
        <v>45314</v>
      </c>
      <c r="J951" s="1"/>
      <c r="K951" s="1">
        <v>5.2</v>
      </c>
      <c r="L951" s="1" t="s">
        <v>29</v>
      </c>
      <c r="M951" s="1" t="s">
        <v>69</v>
      </c>
      <c r="N951" s="1" t="str">
        <f t="shared" si="14"/>
        <v>Normal</v>
      </c>
    </row>
    <row r="952" spans="1:14" x14ac:dyDescent="0.25">
      <c r="A952" s="1" t="s">
        <v>1886</v>
      </c>
      <c r="B952" s="1" t="s">
        <v>127</v>
      </c>
      <c r="C952" s="1" t="s">
        <v>1050</v>
      </c>
      <c r="D952" s="1" t="s">
        <v>46</v>
      </c>
      <c r="E952" s="1" t="s">
        <v>94</v>
      </c>
      <c r="F952" s="1" t="s">
        <v>129</v>
      </c>
      <c r="G952" s="1">
        <v>35385</v>
      </c>
      <c r="H952" s="63">
        <v>44980</v>
      </c>
      <c r="J952" s="1"/>
      <c r="K952" s="1"/>
      <c r="L952" s="1" t="s">
        <v>20</v>
      </c>
      <c r="M952" s="1" t="s">
        <v>35</v>
      </c>
      <c r="N952" s="1" t="str">
        <f t="shared" si="14"/>
        <v>Normal</v>
      </c>
    </row>
    <row r="953" spans="1:14" x14ac:dyDescent="0.25">
      <c r="A953" s="1" t="s">
        <v>1887</v>
      </c>
      <c r="B953" s="1" t="s">
        <v>65</v>
      </c>
      <c r="C953" s="1" t="s">
        <v>587</v>
      </c>
      <c r="D953" s="1" t="s">
        <v>90</v>
      </c>
      <c r="E953" s="1" t="s">
        <v>61</v>
      </c>
      <c r="F953" s="1" t="s">
        <v>129</v>
      </c>
      <c r="G953" s="1">
        <v>246773</v>
      </c>
      <c r="H953" s="63">
        <v>44970</v>
      </c>
      <c r="J953" s="1"/>
      <c r="K953" s="1"/>
      <c r="L953" s="1" t="s">
        <v>20</v>
      </c>
      <c r="M953" s="1" t="s">
        <v>35</v>
      </c>
      <c r="N953" s="1" t="str">
        <f t="shared" si="14"/>
        <v>Normal</v>
      </c>
    </row>
    <row r="954" spans="1:14" x14ac:dyDescent="0.25">
      <c r="A954" s="1" t="s">
        <v>1888</v>
      </c>
      <c r="B954" s="1" t="s">
        <v>104</v>
      </c>
      <c r="C954" s="1" t="s">
        <v>208</v>
      </c>
      <c r="D954" s="1" t="s">
        <v>46</v>
      </c>
      <c r="E954" s="1" t="s">
        <v>100</v>
      </c>
      <c r="F954" s="1" t="s">
        <v>33</v>
      </c>
      <c r="G954" s="1">
        <v>473679</v>
      </c>
      <c r="H954" s="63">
        <v>45219</v>
      </c>
      <c r="J954" s="1"/>
      <c r="K954" s="1">
        <v>6.9</v>
      </c>
      <c r="L954" s="1" t="s">
        <v>96</v>
      </c>
      <c r="M954" s="1" t="s">
        <v>21</v>
      </c>
      <c r="N954" s="1" t="str">
        <f t="shared" si="14"/>
        <v>Normal</v>
      </c>
    </row>
    <row r="955" spans="1:14" x14ac:dyDescent="0.25">
      <c r="A955" s="1" t="s">
        <v>1889</v>
      </c>
      <c r="B955" s="1" t="s">
        <v>44</v>
      </c>
      <c r="C955" s="1" t="s">
        <v>1095</v>
      </c>
      <c r="D955" s="1" t="s">
        <v>25</v>
      </c>
      <c r="E955" s="1" t="s">
        <v>94</v>
      </c>
      <c r="F955" s="1" t="s">
        <v>40</v>
      </c>
      <c r="G955" s="1">
        <v>278260</v>
      </c>
      <c r="H955" s="63">
        <v>45090</v>
      </c>
      <c r="I955" s="63">
        <v>45201</v>
      </c>
      <c r="J955" s="1">
        <v>111</v>
      </c>
      <c r="K955" s="1">
        <v>1.1000000000000001</v>
      </c>
      <c r="L955" s="1" t="s">
        <v>29</v>
      </c>
      <c r="M955" s="1" t="s">
        <v>30</v>
      </c>
      <c r="N955" s="1" t="str">
        <f t="shared" si="14"/>
        <v>Normal</v>
      </c>
    </row>
    <row r="956" spans="1:14" x14ac:dyDescent="0.25">
      <c r="A956" s="1" t="s">
        <v>1891</v>
      </c>
      <c r="B956" s="1" t="s">
        <v>65</v>
      </c>
      <c r="C956" s="1" t="s">
        <v>782</v>
      </c>
      <c r="D956" s="1" t="s">
        <v>46</v>
      </c>
      <c r="E956" s="1" t="s">
        <v>94</v>
      </c>
      <c r="F956" s="1" t="s">
        <v>27</v>
      </c>
      <c r="G956" s="1">
        <v>280740</v>
      </c>
      <c r="H956" s="63">
        <v>45336</v>
      </c>
      <c r="J956" s="1"/>
      <c r="K956" s="1"/>
      <c r="L956" s="1" t="s">
        <v>49</v>
      </c>
      <c r="M956" s="1" t="s">
        <v>69</v>
      </c>
      <c r="N956" s="1" t="str">
        <f t="shared" si="14"/>
        <v>Normal</v>
      </c>
    </row>
    <row r="957" spans="1:14" x14ac:dyDescent="0.25">
      <c r="A957" s="1" t="s">
        <v>1892</v>
      </c>
      <c r="B957" s="1" t="s">
        <v>37</v>
      </c>
      <c r="C957" s="1" t="s">
        <v>381</v>
      </c>
      <c r="D957" s="1" t="s">
        <v>16</v>
      </c>
      <c r="E957" s="1" t="s">
        <v>47</v>
      </c>
      <c r="F957" s="1" t="s">
        <v>40</v>
      </c>
      <c r="G957" s="1">
        <v>307819</v>
      </c>
      <c r="H957" s="63">
        <v>45327</v>
      </c>
      <c r="I957" s="63">
        <v>45349</v>
      </c>
      <c r="J957" s="1">
        <v>22</v>
      </c>
      <c r="K957" s="1">
        <v>18.3</v>
      </c>
      <c r="L957" s="1" t="s">
        <v>29</v>
      </c>
      <c r="M957" s="1" t="s">
        <v>69</v>
      </c>
      <c r="N957" s="1" t="str">
        <f t="shared" si="14"/>
        <v>Normal</v>
      </c>
    </row>
    <row r="958" spans="1:14" x14ac:dyDescent="0.25">
      <c r="A958" s="1" t="s">
        <v>1893</v>
      </c>
      <c r="B958" s="1" t="s">
        <v>80</v>
      </c>
      <c r="C958" s="1" t="s">
        <v>15</v>
      </c>
      <c r="D958" s="1" t="s">
        <v>16</v>
      </c>
      <c r="E958" s="1" t="s">
        <v>26</v>
      </c>
      <c r="F958" s="1" t="s">
        <v>27</v>
      </c>
      <c r="G958" s="1">
        <v>223851</v>
      </c>
      <c r="H958" s="63">
        <v>45267</v>
      </c>
      <c r="J958" s="1"/>
      <c r="K958" s="1">
        <v>6.4</v>
      </c>
      <c r="L958" s="1" t="s">
        <v>20</v>
      </c>
      <c r="M958" s="1" t="s">
        <v>21</v>
      </c>
      <c r="N958" s="1" t="str">
        <f t="shared" si="14"/>
        <v>Normal</v>
      </c>
    </row>
    <row r="959" spans="1:14" x14ac:dyDescent="0.25">
      <c r="A959" s="1" t="s">
        <v>1895</v>
      </c>
      <c r="B959" s="1" t="s">
        <v>98</v>
      </c>
      <c r="C959" s="1" t="s">
        <v>430</v>
      </c>
      <c r="D959" s="1" t="s">
        <v>16</v>
      </c>
      <c r="E959" s="1" t="s">
        <v>17</v>
      </c>
      <c r="F959" s="1" t="s">
        <v>129</v>
      </c>
      <c r="G959" s="1">
        <v>128966</v>
      </c>
      <c r="H959" s="63">
        <v>45740</v>
      </c>
      <c r="J959" s="1"/>
      <c r="K959" s="1">
        <v>4.2</v>
      </c>
      <c r="L959" s="1" t="s">
        <v>20</v>
      </c>
      <c r="M959" s="1" t="s">
        <v>63</v>
      </c>
      <c r="N959" s="1" t="str">
        <f t="shared" si="14"/>
        <v>Normal</v>
      </c>
    </row>
    <row r="960" spans="1:14" x14ac:dyDescent="0.25">
      <c r="A960" s="1" t="s">
        <v>1896</v>
      </c>
      <c r="B960" s="1" t="s">
        <v>80</v>
      </c>
      <c r="C960" s="1" t="s">
        <v>805</v>
      </c>
      <c r="D960" s="1" t="s">
        <v>25</v>
      </c>
      <c r="E960" s="1" t="s">
        <v>47</v>
      </c>
      <c r="F960" s="1" t="s">
        <v>53</v>
      </c>
      <c r="G960" s="1">
        <v>490316</v>
      </c>
      <c r="H960" s="63">
        <v>44940</v>
      </c>
      <c r="J960" s="1"/>
      <c r="K960" s="1">
        <v>12.9</v>
      </c>
      <c r="L960" s="1" t="s">
        <v>49</v>
      </c>
      <c r="M960" s="1" t="s">
        <v>35</v>
      </c>
      <c r="N960" s="1" t="str">
        <f t="shared" si="14"/>
        <v>Normal</v>
      </c>
    </row>
    <row r="961" spans="1:14" x14ac:dyDescent="0.25">
      <c r="A961" s="1" t="s">
        <v>1898</v>
      </c>
      <c r="B961" s="1" t="s">
        <v>104</v>
      </c>
      <c r="C961" s="1" t="s">
        <v>1518</v>
      </c>
      <c r="D961" s="1" t="s">
        <v>39</v>
      </c>
      <c r="E961" s="1" t="s">
        <v>77</v>
      </c>
      <c r="F961" s="1" t="s">
        <v>53</v>
      </c>
      <c r="G961" s="1">
        <v>283289</v>
      </c>
      <c r="H961" s="63">
        <v>45718</v>
      </c>
      <c r="J961" s="1"/>
      <c r="K961" s="1">
        <v>1.1000000000000001</v>
      </c>
      <c r="L961" s="1" t="s">
        <v>20</v>
      </c>
      <c r="M961" s="1" t="s">
        <v>63</v>
      </c>
      <c r="N961" s="1" t="str">
        <f t="shared" si="14"/>
        <v>Normal</v>
      </c>
    </row>
    <row r="962" spans="1:14" x14ac:dyDescent="0.25">
      <c r="A962" s="1" t="s">
        <v>1899</v>
      </c>
      <c r="B962" s="1" t="s">
        <v>37</v>
      </c>
      <c r="C962" s="1" t="s">
        <v>66</v>
      </c>
      <c r="D962" s="1" t="s">
        <v>90</v>
      </c>
      <c r="E962" s="1" t="s">
        <v>94</v>
      </c>
      <c r="F962" s="1" t="s">
        <v>129</v>
      </c>
      <c r="G962" s="1">
        <v>34102</v>
      </c>
      <c r="H962" s="63">
        <v>45305</v>
      </c>
      <c r="J962" s="1"/>
      <c r="K962" s="1">
        <v>5.7</v>
      </c>
      <c r="L962" s="1" t="s">
        <v>20</v>
      </c>
      <c r="M962" s="1" t="s">
        <v>69</v>
      </c>
      <c r="N962" s="1" t="str">
        <f t="shared" ref="N962:N1025" si="15">IF(G962&gt;$R$5,"High Outlier",IF(G962&lt;$R$6,"Low Outlier","Normal"))</f>
        <v>Normal</v>
      </c>
    </row>
    <row r="963" spans="1:14" x14ac:dyDescent="0.25">
      <c r="A963" s="1" t="s">
        <v>1901</v>
      </c>
      <c r="B963" s="1" t="s">
        <v>127</v>
      </c>
      <c r="C963" s="1" t="s">
        <v>423</v>
      </c>
      <c r="D963" s="1" t="s">
        <v>25</v>
      </c>
      <c r="E963" s="1" t="s">
        <v>72</v>
      </c>
      <c r="F963" s="1" t="s">
        <v>27</v>
      </c>
      <c r="G963" s="1">
        <v>149502</v>
      </c>
      <c r="H963" s="63">
        <v>44934</v>
      </c>
      <c r="J963" s="1"/>
      <c r="K963" s="1">
        <v>10</v>
      </c>
      <c r="L963" s="1" t="s">
        <v>96</v>
      </c>
      <c r="M963" s="1" t="s">
        <v>35</v>
      </c>
      <c r="N963" s="1" t="str">
        <f t="shared" si="15"/>
        <v>Normal</v>
      </c>
    </row>
    <row r="964" spans="1:14" x14ac:dyDescent="0.25">
      <c r="A964" s="1" t="s">
        <v>1903</v>
      </c>
      <c r="B964" s="1" t="s">
        <v>23</v>
      </c>
      <c r="C964" s="1" t="s">
        <v>279</v>
      </c>
      <c r="D964" s="1" t="s">
        <v>67</v>
      </c>
      <c r="E964" s="1" t="s">
        <v>61</v>
      </c>
      <c r="F964" s="1" t="s">
        <v>40</v>
      </c>
      <c r="G964" s="1">
        <v>188852</v>
      </c>
      <c r="H964" s="63">
        <v>45559</v>
      </c>
      <c r="I964" s="63">
        <v>45592</v>
      </c>
      <c r="J964" s="1">
        <v>33</v>
      </c>
      <c r="K964" s="1">
        <v>15.7</v>
      </c>
      <c r="L964" s="1" t="s">
        <v>20</v>
      </c>
      <c r="M964" s="1" t="s">
        <v>149</v>
      </c>
      <c r="N964" s="1" t="str">
        <f t="shared" si="15"/>
        <v>Normal</v>
      </c>
    </row>
    <row r="965" spans="1:14" x14ac:dyDescent="0.25">
      <c r="A965" s="1" t="s">
        <v>1905</v>
      </c>
      <c r="B965" s="1" t="s">
        <v>109</v>
      </c>
      <c r="C965" s="1" t="s">
        <v>790</v>
      </c>
      <c r="D965" s="1" t="s">
        <v>25</v>
      </c>
      <c r="E965" s="1" t="s">
        <v>26</v>
      </c>
      <c r="F965" s="1" t="s">
        <v>33</v>
      </c>
      <c r="G965" s="1">
        <v>207542</v>
      </c>
      <c r="H965" s="63">
        <v>45275</v>
      </c>
      <c r="J965" s="1"/>
      <c r="K965" s="1">
        <v>5.6</v>
      </c>
      <c r="L965" s="1" t="s">
        <v>49</v>
      </c>
      <c r="M965" s="1" t="s">
        <v>21</v>
      </c>
      <c r="N965" s="1" t="str">
        <f t="shared" si="15"/>
        <v>Normal</v>
      </c>
    </row>
    <row r="966" spans="1:14" x14ac:dyDescent="0.25">
      <c r="A966" s="1" t="s">
        <v>1906</v>
      </c>
      <c r="B966" s="1" t="s">
        <v>98</v>
      </c>
      <c r="C966" s="1" t="s">
        <v>967</v>
      </c>
      <c r="D966" s="1" t="s">
        <v>16</v>
      </c>
      <c r="E966" s="1" t="s">
        <v>4845</v>
      </c>
      <c r="F966" s="1" t="s">
        <v>33</v>
      </c>
      <c r="G966" s="1">
        <v>229721</v>
      </c>
      <c r="H966" s="63">
        <v>45520</v>
      </c>
      <c r="J966" s="1"/>
      <c r="K966" s="1">
        <v>4.9000000000000004</v>
      </c>
      <c r="L966" s="1" t="s">
        <v>49</v>
      </c>
      <c r="M966" s="1" t="s">
        <v>149</v>
      </c>
      <c r="N966" s="1" t="str">
        <f t="shared" si="15"/>
        <v>Normal</v>
      </c>
    </row>
    <row r="967" spans="1:14" x14ac:dyDescent="0.25">
      <c r="A967" s="1" t="s">
        <v>1907</v>
      </c>
      <c r="B967" s="1" t="s">
        <v>23</v>
      </c>
      <c r="C967" s="1" t="s">
        <v>384</v>
      </c>
      <c r="D967" s="1" t="s">
        <v>16</v>
      </c>
      <c r="E967" s="1" t="s">
        <v>17</v>
      </c>
      <c r="F967" s="1" t="s">
        <v>33</v>
      </c>
      <c r="G967" s="1">
        <v>386379</v>
      </c>
      <c r="H967" s="63">
        <v>45013</v>
      </c>
      <c r="J967" s="1"/>
      <c r="K967" s="1"/>
      <c r="L967" s="1" t="s">
        <v>29</v>
      </c>
      <c r="M967" s="1" t="s">
        <v>35</v>
      </c>
      <c r="N967" s="1" t="str">
        <f t="shared" si="15"/>
        <v>Normal</v>
      </c>
    </row>
    <row r="968" spans="1:14" x14ac:dyDescent="0.25">
      <c r="A968" s="1" t="s">
        <v>1908</v>
      </c>
      <c r="B968" s="1" t="s">
        <v>173</v>
      </c>
      <c r="C968" s="1" t="s">
        <v>284</v>
      </c>
      <c r="D968" s="1" t="s">
        <v>39</v>
      </c>
      <c r="E968" s="1" t="s">
        <v>17</v>
      </c>
      <c r="F968" s="1" t="s">
        <v>27</v>
      </c>
      <c r="G968" s="1">
        <v>315729</v>
      </c>
      <c r="H968" s="63">
        <v>45374</v>
      </c>
      <c r="J968" s="1"/>
      <c r="K968" s="1">
        <v>8.5</v>
      </c>
      <c r="L968" s="1" t="s">
        <v>29</v>
      </c>
      <c r="M968" s="1" t="s">
        <v>69</v>
      </c>
      <c r="N968" s="1" t="str">
        <f t="shared" si="15"/>
        <v>Normal</v>
      </c>
    </row>
    <row r="969" spans="1:14" x14ac:dyDescent="0.25">
      <c r="A969" s="1" t="s">
        <v>1909</v>
      </c>
      <c r="B969" s="1" t="s">
        <v>44</v>
      </c>
      <c r="C969" s="1" t="s">
        <v>151</v>
      </c>
      <c r="D969" s="1" t="s">
        <v>46</v>
      </c>
      <c r="E969" s="1" t="s">
        <v>26</v>
      </c>
      <c r="F969" s="1" t="s">
        <v>33</v>
      </c>
      <c r="G969" s="1">
        <v>221859</v>
      </c>
      <c r="H969" s="63">
        <v>45058</v>
      </c>
      <c r="J969" s="1"/>
      <c r="K969" s="1"/>
      <c r="L969" s="1" t="s">
        <v>20</v>
      </c>
      <c r="M969" s="1" t="s">
        <v>30</v>
      </c>
      <c r="N969" s="1" t="str">
        <f t="shared" si="15"/>
        <v>Normal</v>
      </c>
    </row>
    <row r="970" spans="1:14" x14ac:dyDescent="0.25">
      <c r="A970" s="1" t="s">
        <v>1911</v>
      </c>
      <c r="B970" s="1" t="s">
        <v>65</v>
      </c>
      <c r="C970" s="1" t="s">
        <v>544</v>
      </c>
      <c r="D970" s="1" t="s">
        <v>39</v>
      </c>
      <c r="E970" s="1" t="s">
        <v>47</v>
      </c>
      <c r="F970" s="1" t="s">
        <v>27</v>
      </c>
      <c r="G970" s="1">
        <v>345858</v>
      </c>
      <c r="H970" s="63">
        <v>45571</v>
      </c>
      <c r="J970" s="1"/>
      <c r="K970" s="1">
        <v>10.4</v>
      </c>
      <c r="L970" s="1" t="s">
        <v>49</v>
      </c>
      <c r="M970" s="1" t="s">
        <v>42</v>
      </c>
      <c r="N970" s="1" t="str">
        <f t="shared" si="15"/>
        <v>Normal</v>
      </c>
    </row>
    <row r="971" spans="1:14" x14ac:dyDescent="0.25">
      <c r="A971" s="1" t="s">
        <v>1912</v>
      </c>
      <c r="B971" s="1" t="s">
        <v>4829</v>
      </c>
      <c r="C971" s="1" t="s">
        <v>1866</v>
      </c>
      <c r="D971" s="1" t="s">
        <v>16</v>
      </c>
      <c r="E971" s="1" t="s">
        <v>47</v>
      </c>
      <c r="F971" s="1" t="s">
        <v>129</v>
      </c>
      <c r="G971" s="1">
        <v>314145</v>
      </c>
      <c r="H971" s="63">
        <v>44939</v>
      </c>
      <c r="J971" s="1"/>
      <c r="K971" s="1"/>
      <c r="L971" s="1" t="s">
        <v>29</v>
      </c>
      <c r="M971" s="1" t="s">
        <v>35</v>
      </c>
      <c r="N971" s="1" t="str">
        <f t="shared" si="15"/>
        <v>Normal</v>
      </c>
    </row>
    <row r="972" spans="1:14" x14ac:dyDescent="0.25">
      <c r="A972" s="1" t="s">
        <v>1913</v>
      </c>
      <c r="B972" s="1" t="s">
        <v>75</v>
      </c>
      <c r="C972" s="1" t="s">
        <v>1914</v>
      </c>
      <c r="D972" s="1" t="s">
        <v>67</v>
      </c>
      <c r="E972" s="1" t="s">
        <v>61</v>
      </c>
      <c r="F972" s="1" t="s">
        <v>18</v>
      </c>
      <c r="G972" s="1">
        <v>65752</v>
      </c>
      <c r="H972" s="63">
        <v>45273</v>
      </c>
      <c r="I972" s="63">
        <v>45309</v>
      </c>
      <c r="J972" s="1">
        <v>36</v>
      </c>
      <c r="K972" s="1">
        <v>7.2</v>
      </c>
      <c r="L972" s="1" t="s">
        <v>20</v>
      </c>
      <c r="M972" s="1" t="s">
        <v>21</v>
      </c>
      <c r="N972" s="1" t="str">
        <f t="shared" si="15"/>
        <v>Normal</v>
      </c>
    </row>
    <row r="973" spans="1:14" x14ac:dyDescent="0.25">
      <c r="A973" s="1" t="s">
        <v>1916</v>
      </c>
      <c r="B973" s="1" t="s">
        <v>84</v>
      </c>
      <c r="C973" s="1" t="s">
        <v>1377</v>
      </c>
      <c r="D973" s="1" t="s">
        <v>25</v>
      </c>
      <c r="E973" s="1" t="s">
        <v>77</v>
      </c>
      <c r="F973" s="1" t="s">
        <v>18</v>
      </c>
      <c r="G973" s="1">
        <v>374722</v>
      </c>
      <c r="H973" s="63">
        <v>45228</v>
      </c>
      <c r="I973" s="63">
        <v>45362</v>
      </c>
      <c r="J973" s="1">
        <v>134</v>
      </c>
      <c r="K973" s="1">
        <v>1.1000000000000001</v>
      </c>
      <c r="L973" s="1" t="s">
        <v>49</v>
      </c>
      <c r="M973" s="1" t="s">
        <v>21</v>
      </c>
      <c r="N973" s="1" t="str">
        <f t="shared" si="15"/>
        <v>Normal</v>
      </c>
    </row>
    <row r="974" spans="1:14" x14ac:dyDescent="0.25">
      <c r="A974" s="1" t="s">
        <v>1917</v>
      </c>
      <c r="B974" s="1" t="s">
        <v>65</v>
      </c>
      <c r="C974" s="1" t="s">
        <v>818</v>
      </c>
      <c r="D974" s="1" t="s">
        <v>16</v>
      </c>
      <c r="E974" s="1" t="s">
        <v>72</v>
      </c>
      <c r="F974" s="1" t="s">
        <v>53</v>
      </c>
      <c r="G974" s="1">
        <v>154673</v>
      </c>
      <c r="H974" s="63">
        <v>45078</v>
      </c>
      <c r="J974" s="1"/>
      <c r="K974" s="1">
        <v>7.4</v>
      </c>
      <c r="L974" s="1" t="s">
        <v>96</v>
      </c>
      <c r="M974" s="1" t="s">
        <v>30</v>
      </c>
      <c r="N974" s="1" t="str">
        <f t="shared" si="15"/>
        <v>Normal</v>
      </c>
    </row>
    <row r="975" spans="1:14" x14ac:dyDescent="0.25">
      <c r="A975" s="1" t="s">
        <v>1918</v>
      </c>
      <c r="B975" s="1" t="s">
        <v>88</v>
      </c>
      <c r="C975" s="1" t="s">
        <v>809</v>
      </c>
      <c r="D975" s="1" t="s">
        <v>46</v>
      </c>
      <c r="E975" s="1" t="s">
        <v>94</v>
      </c>
      <c r="F975" s="1" t="s">
        <v>27</v>
      </c>
      <c r="G975" s="1">
        <v>132550</v>
      </c>
      <c r="H975" s="63">
        <v>45556</v>
      </c>
      <c r="J975" s="1"/>
      <c r="K975" s="1"/>
      <c r="L975" s="1" t="s">
        <v>49</v>
      </c>
      <c r="M975" s="1" t="s">
        <v>149</v>
      </c>
      <c r="N975" s="1" t="str">
        <f t="shared" si="15"/>
        <v>Normal</v>
      </c>
    </row>
    <row r="976" spans="1:14" x14ac:dyDescent="0.25">
      <c r="A976" s="1" t="s">
        <v>1920</v>
      </c>
      <c r="B976" s="1" t="s">
        <v>59</v>
      </c>
      <c r="C976" s="1" t="s">
        <v>250</v>
      </c>
      <c r="D976" s="1" t="s">
        <v>25</v>
      </c>
      <c r="E976" s="1" t="s">
        <v>94</v>
      </c>
      <c r="F976" s="1" t="s">
        <v>33</v>
      </c>
      <c r="G976" s="1">
        <v>198986</v>
      </c>
      <c r="H976" s="63">
        <v>45046</v>
      </c>
      <c r="J976" s="1"/>
      <c r="K976" s="1"/>
      <c r="L976" s="1" t="s">
        <v>96</v>
      </c>
      <c r="M976" s="1" t="s">
        <v>30</v>
      </c>
      <c r="N976" s="1" t="str">
        <f t="shared" si="15"/>
        <v>Normal</v>
      </c>
    </row>
    <row r="977" spans="1:14" x14ac:dyDescent="0.25">
      <c r="A977" s="1" t="s">
        <v>1921</v>
      </c>
      <c r="B977" s="1" t="s">
        <v>37</v>
      </c>
      <c r="C977" s="1" t="s">
        <v>1136</v>
      </c>
      <c r="D977" s="1" t="s">
        <v>46</v>
      </c>
      <c r="E977" s="1" t="s">
        <v>72</v>
      </c>
      <c r="F977" s="1" t="s">
        <v>18</v>
      </c>
      <c r="G977" s="1">
        <v>498327</v>
      </c>
      <c r="H977" s="63">
        <v>45540</v>
      </c>
      <c r="I977" s="63">
        <v>45580</v>
      </c>
      <c r="J977" s="1">
        <v>40</v>
      </c>
      <c r="K977" s="1"/>
      <c r="L977" s="1" t="s">
        <v>49</v>
      </c>
      <c r="M977" s="1" t="s">
        <v>149</v>
      </c>
      <c r="N977" s="1" t="str">
        <f t="shared" si="15"/>
        <v>Normal</v>
      </c>
    </row>
    <row r="978" spans="1:14" x14ac:dyDescent="0.25">
      <c r="A978" s="1" t="s">
        <v>1923</v>
      </c>
      <c r="B978" s="1" t="s">
        <v>59</v>
      </c>
      <c r="C978" s="1" t="s">
        <v>892</v>
      </c>
      <c r="D978" s="1" t="s">
        <v>39</v>
      </c>
      <c r="E978" s="1" t="s">
        <v>77</v>
      </c>
      <c r="F978" s="1" t="s">
        <v>33</v>
      </c>
      <c r="G978" s="1">
        <v>409826</v>
      </c>
      <c r="H978" s="63">
        <v>45330</v>
      </c>
      <c r="J978" s="1"/>
      <c r="K978" s="1">
        <v>1</v>
      </c>
      <c r="L978" s="1" t="s">
        <v>20</v>
      </c>
      <c r="M978" s="1" t="s">
        <v>69</v>
      </c>
      <c r="N978" s="1" t="str">
        <f t="shared" si="15"/>
        <v>Normal</v>
      </c>
    </row>
    <row r="979" spans="1:14" x14ac:dyDescent="0.25">
      <c r="A979" s="1" t="s">
        <v>1925</v>
      </c>
      <c r="B979" s="1" t="s">
        <v>23</v>
      </c>
      <c r="C979" s="1" t="s">
        <v>174</v>
      </c>
      <c r="D979" s="1" t="s">
        <v>46</v>
      </c>
      <c r="E979" s="1" t="s">
        <v>17</v>
      </c>
      <c r="F979" s="1" t="s">
        <v>53</v>
      </c>
      <c r="G979" s="1">
        <v>176003</v>
      </c>
      <c r="H979" s="63">
        <v>45378</v>
      </c>
      <c r="J979" s="1"/>
      <c r="K979" s="1"/>
      <c r="L979" s="1" t="s">
        <v>96</v>
      </c>
      <c r="M979" s="1" t="s">
        <v>69</v>
      </c>
      <c r="N979" s="1" t="str">
        <f t="shared" si="15"/>
        <v>Normal</v>
      </c>
    </row>
    <row r="980" spans="1:14" x14ac:dyDescent="0.25">
      <c r="A980" s="1" t="s">
        <v>1926</v>
      </c>
      <c r="B980" s="1" t="s">
        <v>104</v>
      </c>
      <c r="C980" s="1" t="s">
        <v>625</v>
      </c>
      <c r="D980" s="1" t="s">
        <v>39</v>
      </c>
      <c r="E980" s="1" t="s">
        <v>61</v>
      </c>
      <c r="F980" s="1" t="s">
        <v>53</v>
      </c>
      <c r="G980" s="1">
        <v>1090695</v>
      </c>
      <c r="H980" s="63">
        <v>45746</v>
      </c>
      <c r="J980" s="1"/>
      <c r="K980" s="1"/>
      <c r="L980" s="1" t="s">
        <v>20</v>
      </c>
      <c r="M980" s="1" t="s">
        <v>63</v>
      </c>
      <c r="N980" s="1" t="str">
        <f t="shared" si="15"/>
        <v>High Outlier</v>
      </c>
    </row>
    <row r="981" spans="1:14" x14ac:dyDescent="0.25">
      <c r="A981" s="1" t="s">
        <v>1927</v>
      </c>
      <c r="B981" s="1" t="s">
        <v>173</v>
      </c>
      <c r="C981" s="1" t="s">
        <v>478</v>
      </c>
      <c r="D981" s="1" t="s">
        <v>25</v>
      </c>
      <c r="E981" s="1" t="s">
        <v>77</v>
      </c>
      <c r="F981" s="1" t="s">
        <v>129</v>
      </c>
      <c r="G981" s="1">
        <v>25864</v>
      </c>
      <c r="H981" s="63">
        <v>45434</v>
      </c>
      <c r="J981" s="1"/>
      <c r="K981" s="1">
        <v>4.7</v>
      </c>
      <c r="L981" s="1" t="s">
        <v>96</v>
      </c>
      <c r="M981" s="1" t="s">
        <v>107</v>
      </c>
      <c r="N981" s="1" t="str">
        <f t="shared" si="15"/>
        <v>Normal</v>
      </c>
    </row>
    <row r="982" spans="1:14" x14ac:dyDescent="0.25">
      <c r="A982" s="1" t="s">
        <v>1928</v>
      </c>
      <c r="B982" s="1" t="s">
        <v>98</v>
      </c>
      <c r="C982" s="1" t="s">
        <v>852</v>
      </c>
      <c r="D982" s="1" t="s">
        <v>67</v>
      </c>
      <c r="E982" s="1" t="s">
        <v>77</v>
      </c>
      <c r="F982" s="1" t="s">
        <v>33</v>
      </c>
      <c r="G982" s="1">
        <v>323051</v>
      </c>
      <c r="H982" s="63">
        <v>45106</v>
      </c>
      <c r="J982" s="1"/>
      <c r="K982" s="1">
        <v>5.7</v>
      </c>
      <c r="L982" s="1" t="s">
        <v>20</v>
      </c>
      <c r="M982" s="1" t="s">
        <v>30</v>
      </c>
      <c r="N982" s="1" t="str">
        <f t="shared" si="15"/>
        <v>Normal</v>
      </c>
    </row>
    <row r="983" spans="1:14" x14ac:dyDescent="0.25">
      <c r="A983" s="1" t="s">
        <v>1930</v>
      </c>
      <c r="B983" s="1" t="s">
        <v>44</v>
      </c>
      <c r="C983" s="1" t="s">
        <v>119</v>
      </c>
      <c r="D983" s="1" t="s">
        <v>67</v>
      </c>
      <c r="E983" s="1" t="s">
        <v>72</v>
      </c>
      <c r="F983" s="1" t="s">
        <v>40</v>
      </c>
      <c r="G983" s="1">
        <v>479053</v>
      </c>
      <c r="H983" s="63">
        <v>45075</v>
      </c>
      <c r="I983" s="63">
        <v>45189</v>
      </c>
      <c r="J983" s="1">
        <v>114</v>
      </c>
      <c r="K983" s="1">
        <v>12</v>
      </c>
      <c r="L983" s="1" t="s">
        <v>96</v>
      </c>
      <c r="M983" s="1" t="s">
        <v>30</v>
      </c>
      <c r="N983" s="1" t="str">
        <f t="shared" si="15"/>
        <v>Normal</v>
      </c>
    </row>
    <row r="984" spans="1:14" x14ac:dyDescent="0.25">
      <c r="A984" s="1" t="s">
        <v>1931</v>
      </c>
      <c r="B984" s="1" t="s">
        <v>14</v>
      </c>
      <c r="C984" s="1" t="s">
        <v>1191</v>
      </c>
      <c r="D984" s="1" t="s">
        <v>67</v>
      </c>
      <c r="E984" s="1" t="s">
        <v>61</v>
      </c>
      <c r="F984" s="1" t="s">
        <v>129</v>
      </c>
      <c r="G984" s="1">
        <v>135182</v>
      </c>
      <c r="H984" s="63">
        <v>45030</v>
      </c>
      <c r="J984" s="1"/>
      <c r="K984" s="1">
        <v>4.0999999999999996</v>
      </c>
      <c r="L984" s="1" t="s">
        <v>20</v>
      </c>
      <c r="M984" s="1" t="s">
        <v>30</v>
      </c>
      <c r="N984" s="1" t="str">
        <f t="shared" si="15"/>
        <v>Normal</v>
      </c>
    </row>
    <row r="985" spans="1:14" x14ac:dyDescent="0.25">
      <c r="A985" s="1" t="s">
        <v>1932</v>
      </c>
      <c r="B985" s="1" t="s">
        <v>59</v>
      </c>
      <c r="C985" s="1" t="s">
        <v>917</v>
      </c>
      <c r="D985" s="1" t="s">
        <v>25</v>
      </c>
      <c r="E985" s="1" t="s">
        <v>26</v>
      </c>
      <c r="F985" s="1" t="s">
        <v>129</v>
      </c>
      <c r="G985" s="1">
        <v>359099</v>
      </c>
      <c r="H985" s="63">
        <v>45488</v>
      </c>
      <c r="J985" s="1"/>
      <c r="K985" s="1">
        <v>6.7</v>
      </c>
      <c r="L985" s="1" t="s">
        <v>29</v>
      </c>
      <c r="M985" s="1" t="s">
        <v>149</v>
      </c>
      <c r="N985" s="1" t="str">
        <f t="shared" si="15"/>
        <v>Normal</v>
      </c>
    </row>
    <row r="986" spans="1:14" x14ac:dyDescent="0.25">
      <c r="A986" s="1" t="s">
        <v>1934</v>
      </c>
      <c r="B986" s="1" t="s">
        <v>127</v>
      </c>
      <c r="C986" s="1" t="s">
        <v>313</v>
      </c>
      <c r="D986" s="1" t="s">
        <v>90</v>
      </c>
      <c r="E986" s="1" t="s">
        <v>94</v>
      </c>
      <c r="F986" s="1" t="s">
        <v>40</v>
      </c>
      <c r="G986" s="1">
        <v>424514</v>
      </c>
      <c r="H986" s="63">
        <v>44964</v>
      </c>
      <c r="I986" s="63">
        <v>45032</v>
      </c>
      <c r="J986" s="1">
        <v>68</v>
      </c>
      <c r="K986" s="1">
        <v>5.0999999999999996</v>
      </c>
      <c r="L986" s="1" t="s">
        <v>29</v>
      </c>
      <c r="M986" s="1" t="s">
        <v>35</v>
      </c>
      <c r="N986" s="1" t="str">
        <f t="shared" si="15"/>
        <v>Normal</v>
      </c>
    </row>
    <row r="987" spans="1:14" x14ac:dyDescent="0.25">
      <c r="A987" s="1" t="s">
        <v>1935</v>
      </c>
      <c r="B987" s="1" t="s">
        <v>104</v>
      </c>
      <c r="C987" s="1" t="s">
        <v>1354</v>
      </c>
      <c r="D987" s="1" t="s">
        <v>39</v>
      </c>
      <c r="E987" s="1" t="s">
        <v>17</v>
      </c>
      <c r="F987" s="1" t="s">
        <v>33</v>
      </c>
      <c r="G987" s="1">
        <v>220793</v>
      </c>
      <c r="H987" s="63">
        <v>45377</v>
      </c>
      <c r="J987" s="1"/>
      <c r="K987" s="1">
        <v>1.2</v>
      </c>
      <c r="L987" s="1" t="s">
        <v>20</v>
      </c>
      <c r="M987" s="1" t="s">
        <v>69</v>
      </c>
      <c r="N987" s="1" t="str">
        <f t="shared" si="15"/>
        <v>Normal</v>
      </c>
    </row>
    <row r="988" spans="1:14" x14ac:dyDescent="0.25">
      <c r="A988" s="1" t="s">
        <v>1936</v>
      </c>
      <c r="B988" s="1" t="s">
        <v>127</v>
      </c>
      <c r="C988" s="1" t="s">
        <v>1308</v>
      </c>
      <c r="D988" s="1" t="s">
        <v>90</v>
      </c>
      <c r="E988" s="1" t="s">
        <v>94</v>
      </c>
      <c r="F988" s="1" t="s">
        <v>33</v>
      </c>
      <c r="G988" s="1">
        <v>152328</v>
      </c>
      <c r="H988" s="63">
        <v>45323</v>
      </c>
      <c r="J988" s="1"/>
      <c r="K988" s="1">
        <v>2.2999999999999998</v>
      </c>
      <c r="L988" s="1" t="s">
        <v>29</v>
      </c>
      <c r="M988" s="1" t="s">
        <v>69</v>
      </c>
      <c r="N988" s="1" t="str">
        <f t="shared" si="15"/>
        <v>Normal</v>
      </c>
    </row>
    <row r="989" spans="1:14" x14ac:dyDescent="0.25">
      <c r="A989" s="1" t="s">
        <v>1938</v>
      </c>
      <c r="B989" s="1" t="s">
        <v>80</v>
      </c>
      <c r="C989" s="1" t="s">
        <v>662</v>
      </c>
      <c r="D989" s="1" t="s">
        <v>25</v>
      </c>
      <c r="E989" s="1" t="s">
        <v>61</v>
      </c>
      <c r="F989" s="1" t="s">
        <v>18</v>
      </c>
      <c r="G989" s="1">
        <v>461939</v>
      </c>
      <c r="H989" s="63">
        <v>45064</v>
      </c>
      <c r="I989" s="63">
        <v>45103</v>
      </c>
      <c r="J989" s="1">
        <v>39</v>
      </c>
      <c r="K989" s="1"/>
      <c r="L989" s="1" t="s">
        <v>29</v>
      </c>
      <c r="M989" s="1" t="s">
        <v>30</v>
      </c>
      <c r="N989" s="1" t="str">
        <f t="shared" si="15"/>
        <v>Normal</v>
      </c>
    </row>
    <row r="990" spans="1:14" x14ac:dyDescent="0.25">
      <c r="A990" s="1" t="s">
        <v>1939</v>
      </c>
      <c r="B990" s="1" t="s">
        <v>37</v>
      </c>
      <c r="C990" s="1" t="s">
        <v>449</v>
      </c>
      <c r="D990" s="1" t="s">
        <v>90</v>
      </c>
      <c r="E990" s="1" t="s">
        <v>94</v>
      </c>
      <c r="F990" s="1" t="s">
        <v>18</v>
      </c>
      <c r="G990" s="1">
        <v>13208</v>
      </c>
      <c r="H990" s="63">
        <v>45476</v>
      </c>
      <c r="I990" s="63">
        <v>45494</v>
      </c>
      <c r="J990" s="1">
        <v>18</v>
      </c>
      <c r="K990" s="1">
        <v>8.8000000000000007</v>
      </c>
      <c r="L990" s="1" t="s">
        <v>20</v>
      </c>
      <c r="M990" s="1" t="s">
        <v>149</v>
      </c>
      <c r="N990" s="1" t="str">
        <f t="shared" si="15"/>
        <v>Normal</v>
      </c>
    </row>
    <row r="991" spans="1:14" x14ac:dyDescent="0.25">
      <c r="A991" s="1" t="s">
        <v>1940</v>
      </c>
      <c r="B991" s="1" t="s">
        <v>109</v>
      </c>
      <c r="C991" s="1" t="s">
        <v>151</v>
      </c>
      <c r="D991" s="1" t="s">
        <v>46</v>
      </c>
      <c r="E991" s="1" t="s">
        <v>94</v>
      </c>
      <c r="F991" s="1" t="s">
        <v>40</v>
      </c>
      <c r="G991" s="1">
        <v>423092</v>
      </c>
      <c r="H991" s="63">
        <v>45709</v>
      </c>
      <c r="I991" s="63">
        <v>45853</v>
      </c>
      <c r="J991" s="1">
        <v>144</v>
      </c>
      <c r="K991" s="1">
        <v>20.7</v>
      </c>
      <c r="L991" s="1" t="s">
        <v>29</v>
      </c>
      <c r="M991" s="1" t="s">
        <v>63</v>
      </c>
      <c r="N991" s="1" t="str">
        <f t="shared" si="15"/>
        <v>Normal</v>
      </c>
    </row>
    <row r="992" spans="1:14" x14ac:dyDescent="0.25">
      <c r="A992" s="1" t="s">
        <v>1942</v>
      </c>
      <c r="B992" s="1" t="s">
        <v>59</v>
      </c>
      <c r="C992" s="1" t="s">
        <v>1352</v>
      </c>
      <c r="D992" s="1" t="s">
        <v>16</v>
      </c>
      <c r="E992" s="1" t="s">
        <v>94</v>
      </c>
      <c r="F992" s="1" t="s">
        <v>53</v>
      </c>
      <c r="G992" s="1">
        <v>33075</v>
      </c>
      <c r="H992" s="63">
        <v>45063</v>
      </c>
      <c r="J992" s="1"/>
      <c r="K992" s="1">
        <v>2.9</v>
      </c>
      <c r="L992" s="1" t="s">
        <v>20</v>
      </c>
      <c r="M992" s="1" t="s">
        <v>30</v>
      </c>
      <c r="N992" s="1" t="str">
        <f t="shared" si="15"/>
        <v>Normal</v>
      </c>
    </row>
    <row r="993" spans="1:14" x14ac:dyDescent="0.25">
      <c r="A993" s="1" t="s">
        <v>1943</v>
      </c>
      <c r="B993" s="1" t="s">
        <v>88</v>
      </c>
      <c r="C993" s="1" t="s">
        <v>614</v>
      </c>
      <c r="D993" s="1" t="s">
        <v>16</v>
      </c>
      <c r="E993" s="1" t="s">
        <v>100</v>
      </c>
      <c r="F993" s="1" t="s">
        <v>18</v>
      </c>
      <c r="G993" s="1">
        <v>405034</v>
      </c>
      <c r="H993" s="63">
        <v>45164</v>
      </c>
      <c r="I993" s="63">
        <v>45250</v>
      </c>
      <c r="J993" s="1">
        <v>86</v>
      </c>
      <c r="K993" s="1">
        <v>3.1</v>
      </c>
      <c r="L993" s="1" t="s">
        <v>29</v>
      </c>
      <c r="M993" s="1" t="s">
        <v>102</v>
      </c>
      <c r="N993" s="1" t="str">
        <f t="shared" si="15"/>
        <v>Normal</v>
      </c>
    </row>
    <row r="994" spans="1:14" x14ac:dyDescent="0.25">
      <c r="A994" s="1" t="s">
        <v>1945</v>
      </c>
      <c r="B994" s="1" t="s">
        <v>98</v>
      </c>
      <c r="C994" s="1" t="s">
        <v>267</v>
      </c>
      <c r="D994" s="1" t="s">
        <v>67</v>
      </c>
      <c r="E994" s="1" t="s">
        <v>26</v>
      </c>
      <c r="F994" s="1" t="s">
        <v>53</v>
      </c>
      <c r="G994" s="1">
        <v>475818</v>
      </c>
      <c r="H994" s="63">
        <v>45152</v>
      </c>
      <c r="J994" s="1"/>
      <c r="K994" s="1"/>
      <c r="L994" s="1" t="s">
        <v>96</v>
      </c>
      <c r="M994" s="1" t="s">
        <v>102</v>
      </c>
      <c r="N994" s="1" t="str">
        <f t="shared" si="15"/>
        <v>Normal</v>
      </c>
    </row>
    <row r="995" spans="1:14" x14ac:dyDescent="0.25">
      <c r="A995" s="1" t="s">
        <v>1947</v>
      </c>
      <c r="B995" s="1" t="s">
        <v>98</v>
      </c>
      <c r="C995" s="1" t="s">
        <v>174</v>
      </c>
      <c r="D995" s="1" t="s">
        <v>46</v>
      </c>
      <c r="E995" s="1" t="s">
        <v>26</v>
      </c>
      <c r="F995" s="1" t="s">
        <v>18</v>
      </c>
      <c r="G995" s="1">
        <v>394010</v>
      </c>
      <c r="H995" s="63">
        <v>45244</v>
      </c>
      <c r="I995" s="63">
        <v>45342</v>
      </c>
      <c r="J995" s="1">
        <v>98</v>
      </c>
      <c r="K995" s="1">
        <v>13.1</v>
      </c>
      <c r="L995" s="1" t="s">
        <v>29</v>
      </c>
      <c r="M995" s="1" t="s">
        <v>21</v>
      </c>
      <c r="N995" s="1" t="str">
        <f t="shared" si="15"/>
        <v>Normal</v>
      </c>
    </row>
    <row r="996" spans="1:14" x14ac:dyDescent="0.25">
      <c r="A996" s="1" t="s">
        <v>1948</v>
      </c>
      <c r="B996" s="1" t="s">
        <v>65</v>
      </c>
      <c r="C996" s="1" t="s">
        <v>1090</v>
      </c>
      <c r="D996" s="1" t="s">
        <v>67</v>
      </c>
      <c r="E996" s="1" t="s">
        <v>94</v>
      </c>
      <c r="F996" s="1" t="s">
        <v>53</v>
      </c>
      <c r="G996" s="1">
        <v>323646</v>
      </c>
      <c r="H996" s="63">
        <v>45191</v>
      </c>
      <c r="J996" s="1"/>
      <c r="K996" s="1"/>
      <c r="L996" s="1" t="s">
        <v>49</v>
      </c>
      <c r="M996" s="1" t="s">
        <v>102</v>
      </c>
      <c r="N996" s="1" t="str">
        <f t="shared" si="15"/>
        <v>Normal</v>
      </c>
    </row>
    <row r="997" spans="1:14" x14ac:dyDescent="0.25">
      <c r="A997" s="1" t="s">
        <v>1949</v>
      </c>
      <c r="B997" s="1" t="s">
        <v>44</v>
      </c>
      <c r="C997" s="1" t="s">
        <v>247</v>
      </c>
      <c r="D997" s="1" t="s">
        <v>90</v>
      </c>
      <c r="E997" s="1" t="s">
        <v>77</v>
      </c>
      <c r="F997" s="1" t="s">
        <v>27</v>
      </c>
      <c r="G997" s="1">
        <v>446328</v>
      </c>
      <c r="H997" s="63">
        <v>45430</v>
      </c>
      <c r="J997" s="1"/>
      <c r="K997" s="1"/>
      <c r="L997" s="1" t="s">
        <v>29</v>
      </c>
      <c r="M997" s="1" t="s">
        <v>107</v>
      </c>
      <c r="N997" s="1" t="str">
        <f t="shared" si="15"/>
        <v>Normal</v>
      </c>
    </row>
    <row r="998" spans="1:14" x14ac:dyDescent="0.25">
      <c r="A998" s="1" t="s">
        <v>1951</v>
      </c>
      <c r="B998" s="1" t="s">
        <v>65</v>
      </c>
      <c r="C998" s="1" t="s">
        <v>227</v>
      </c>
      <c r="D998" s="1" t="s">
        <v>16</v>
      </c>
      <c r="E998" s="1" t="s">
        <v>26</v>
      </c>
      <c r="F998" s="1" t="s">
        <v>40</v>
      </c>
      <c r="G998" s="1">
        <v>11617</v>
      </c>
      <c r="H998" s="63">
        <v>45642</v>
      </c>
      <c r="I998" s="63">
        <v>45759</v>
      </c>
      <c r="J998" s="1">
        <v>117</v>
      </c>
      <c r="K998" s="1">
        <v>22.2</v>
      </c>
      <c r="L998" s="1" t="s">
        <v>29</v>
      </c>
      <c r="M998" s="1" t="s">
        <v>42</v>
      </c>
      <c r="N998" s="1" t="str">
        <f t="shared" si="15"/>
        <v>Normal</v>
      </c>
    </row>
    <row r="999" spans="1:14" x14ac:dyDescent="0.25">
      <c r="A999" s="1" t="s">
        <v>1953</v>
      </c>
      <c r="B999" s="1" t="s">
        <v>88</v>
      </c>
      <c r="C999" s="1" t="s">
        <v>208</v>
      </c>
      <c r="D999" s="1" t="s">
        <v>90</v>
      </c>
      <c r="E999" s="1" t="s">
        <v>72</v>
      </c>
      <c r="F999" s="1" t="s">
        <v>53</v>
      </c>
      <c r="G999" s="1">
        <v>299552</v>
      </c>
      <c r="H999" s="63">
        <v>45464</v>
      </c>
      <c r="J999" s="1"/>
      <c r="K999" s="1"/>
      <c r="L999" s="1" t="s">
        <v>49</v>
      </c>
      <c r="M999" s="1" t="s">
        <v>107</v>
      </c>
      <c r="N999" s="1" t="str">
        <f t="shared" si="15"/>
        <v>Normal</v>
      </c>
    </row>
    <row r="1000" spans="1:14" x14ac:dyDescent="0.25">
      <c r="A1000" s="1" t="s">
        <v>1955</v>
      </c>
      <c r="B1000" s="1" t="s">
        <v>65</v>
      </c>
      <c r="C1000" s="1" t="s">
        <v>625</v>
      </c>
      <c r="D1000" s="1" t="s">
        <v>25</v>
      </c>
      <c r="E1000" s="1" t="s">
        <v>17</v>
      </c>
      <c r="F1000" s="1" t="s">
        <v>53</v>
      </c>
      <c r="G1000" s="1">
        <v>275194</v>
      </c>
      <c r="H1000" s="63">
        <v>45421</v>
      </c>
      <c r="J1000" s="1"/>
      <c r="K1000" s="1"/>
      <c r="L1000" s="1" t="s">
        <v>49</v>
      </c>
      <c r="M1000" s="1" t="s">
        <v>107</v>
      </c>
      <c r="N1000" s="1" t="str">
        <f t="shared" si="15"/>
        <v>Normal</v>
      </c>
    </row>
    <row r="1001" spans="1:14" x14ac:dyDescent="0.25">
      <c r="A1001" s="1" t="s">
        <v>1956</v>
      </c>
      <c r="B1001" s="1" t="s">
        <v>98</v>
      </c>
      <c r="C1001" s="1" t="s">
        <v>987</v>
      </c>
      <c r="D1001" s="1" t="s">
        <v>39</v>
      </c>
      <c r="E1001" s="1" t="s">
        <v>100</v>
      </c>
      <c r="F1001" s="1" t="s">
        <v>129</v>
      </c>
      <c r="G1001" s="1">
        <v>203014</v>
      </c>
      <c r="H1001" s="63">
        <v>45636</v>
      </c>
      <c r="J1001" s="1"/>
      <c r="K1001" s="1">
        <v>12.1</v>
      </c>
      <c r="L1001" s="1" t="s">
        <v>96</v>
      </c>
      <c r="M1001" s="1" t="s">
        <v>42</v>
      </c>
      <c r="N1001" s="1" t="str">
        <f t="shared" si="15"/>
        <v>Normal</v>
      </c>
    </row>
    <row r="1002" spans="1:14" x14ac:dyDescent="0.25">
      <c r="A1002" s="1" t="s">
        <v>1958</v>
      </c>
      <c r="B1002" s="1" t="s">
        <v>80</v>
      </c>
      <c r="C1002" s="1" t="s">
        <v>346</v>
      </c>
      <c r="D1002" s="1" t="s">
        <v>67</v>
      </c>
      <c r="E1002" s="1" t="s">
        <v>94</v>
      </c>
      <c r="F1002" s="1" t="s">
        <v>18</v>
      </c>
      <c r="G1002" s="1">
        <v>67070</v>
      </c>
      <c r="H1002" s="63">
        <v>45237</v>
      </c>
      <c r="I1002" s="63">
        <v>45380</v>
      </c>
      <c r="J1002" s="1">
        <v>143</v>
      </c>
      <c r="K1002" s="1">
        <v>14.9</v>
      </c>
      <c r="L1002" s="1" t="s">
        <v>29</v>
      </c>
      <c r="M1002" s="1" t="s">
        <v>21</v>
      </c>
      <c r="N1002" s="1" t="str">
        <f t="shared" si="15"/>
        <v>Normal</v>
      </c>
    </row>
    <row r="1003" spans="1:14" x14ac:dyDescent="0.25">
      <c r="A1003" s="1" t="s">
        <v>1959</v>
      </c>
      <c r="B1003" s="1" t="s">
        <v>88</v>
      </c>
      <c r="C1003" s="1" t="s">
        <v>60</v>
      </c>
      <c r="D1003" s="1" t="s">
        <v>67</v>
      </c>
      <c r="E1003" s="1" t="s">
        <v>26</v>
      </c>
      <c r="F1003" s="1" t="s">
        <v>53</v>
      </c>
      <c r="G1003" s="1">
        <v>136734</v>
      </c>
      <c r="H1003" s="63">
        <v>45654</v>
      </c>
      <c r="J1003" s="1"/>
      <c r="K1003" s="1">
        <v>1.7</v>
      </c>
      <c r="L1003" s="1" t="s">
        <v>29</v>
      </c>
      <c r="M1003" s="1" t="s">
        <v>42</v>
      </c>
      <c r="N1003" s="1" t="str">
        <f t="shared" si="15"/>
        <v>Normal</v>
      </c>
    </row>
    <row r="1004" spans="1:14" x14ac:dyDescent="0.25">
      <c r="A1004" s="1" t="s">
        <v>1960</v>
      </c>
      <c r="B1004" s="1" t="s">
        <v>65</v>
      </c>
      <c r="C1004" s="1" t="s">
        <v>747</v>
      </c>
      <c r="D1004" s="1" t="s">
        <v>90</v>
      </c>
      <c r="E1004" s="1" t="s">
        <v>47</v>
      </c>
      <c r="F1004" s="1" t="s">
        <v>40</v>
      </c>
      <c r="G1004" s="1">
        <v>297080</v>
      </c>
      <c r="H1004" s="63">
        <v>44946</v>
      </c>
      <c r="I1004" s="63">
        <v>45121</v>
      </c>
      <c r="J1004" s="1">
        <v>175</v>
      </c>
      <c r="K1004" s="1">
        <v>21.6</v>
      </c>
      <c r="L1004" s="1" t="s">
        <v>20</v>
      </c>
      <c r="M1004" s="1" t="s">
        <v>35</v>
      </c>
      <c r="N1004" s="1" t="str">
        <f t="shared" si="15"/>
        <v>Normal</v>
      </c>
    </row>
    <row r="1005" spans="1:14" x14ac:dyDescent="0.25">
      <c r="A1005" s="1" t="s">
        <v>1962</v>
      </c>
      <c r="B1005" s="1" t="s">
        <v>44</v>
      </c>
      <c r="C1005" s="1" t="s">
        <v>1083</v>
      </c>
      <c r="D1005" s="1" t="s">
        <v>67</v>
      </c>
      <c r="E1005" s="1" t="s">
        <v>100</v>
      </c>
      <c r="F1005" s="1" t="s">
        <v>40</v>
      </c>
      <c r="G1005" s="1">
        <v>493760</v>
      </c>
      <c r="H1005" s="63">
        <v>44966</v>
      </c>
      <c r="I1005" s="63">
        <v>45019</v>
      </c>
      <c r="J1005" s="1">
        <v>53</v>
      </c>
      <c r="K1005" s="1">
        <v>20.8</v>
      </c>
      <c r="L1005" s="1" t="s">
        <v>20</v>
      </c>
      <c r="M1005" s="1" t="s">
        <v>35</v>
      </c>
      <c r="N1005" s="1" t="str">
        <f t="shared" si="15"/>
        <v>Normal</v>
      </c>
    </row>
    <row r="1006" spans="1:14" x14ac:dyDescent="0.25">
      <c r="A1006" s="1" t="s">
        <v>1963</v>
      </c>
      <c r="B1006" s="1" t="s">
        <v>37</v>
      </c>
      <c r="C1006" s="1" t="s">
        <v>1087</v>
      </c>
      <c r="D1006" s="1" t="s">
        <v>90</v>
      </c>
      <c r="E1006" s="1" t="s">
        <v>17</v>
      </c>
      <c r="F1006" s="1" t="s">
        <v>40</v>
      </c>
      <c r="G1006" s="1">
        <v>35601</v>
      </c>
      <c r="H1006" s="63">
        <v>45411</v>
      </c>
      <c r="I1006" s="63">
        <v>45481</v>
      </c>
      <c r="J1006" s="1">
        <v>70</v>
      </c>
      <c r="K1006" s="1">
        <v>10.9</v>
      </c>
      <c r="L1006" s="1" t="s">
        <v>29</v>
      </c>
      <c r="M1006" s="1" t="s">
        <v>107</v>
      </c>
      <c r="N1006" s="1" t="str">
        <f t="shared" si="15"/>
        <v>Normal</v>
      </c>
    </row>
    <row r="1007" spans="1:14" x14ac:dyDescent="0.25">
      <c r="A1007" s="1" t="s">
        <v>1964</v>
      </c>
      <c r="B1007" s="1" t="s">
        <v>80</v>
      </c>
      <c r="C1007" s="1" t="s">
        <v>849</v>
      </c>
      <c r="D1007" s="1" t="s">
        <v>67</v>
      </c>
      <c r="E1007" s="1" t="s">
        <v>94</v>
      </c>
      <c r="F1007" s="1" t="s">
        <v>40</v>
      </c>
      <c r="G1007" s="1">
        <v>372970</v>
      </c>
      <c r="H1007" s="63">
        <v>45195</v>
      </c>
      <c r="I1007" s="63">
        <v>45297</v>
      </c>
      <c r="J1007" s="1">
        <v>102</v>
      </c>
      <c r="K1007" s="1">
        <v>14.9</v>
      </c>
      <c r="L1007" s="1" t="s">
        <v>29</v>
      </c>
      <c r="M1007" s="1" t="s">
        <v>102</v>
      </c>
      <c r="N1007" s="1" t="str">
        <f t="shared" si="15"/>
        <v>Normal</v>
      </c>
    </row>
    <row r="1008" spans="1:14" x14ac:dyDescent="0.25">
      <c r="A1008" s="1" t="s">
        <v>1965</v>
      </c>
      <c r="B1008" s="1" t="s">
        <v>14</v>
      </c>
      <c r="C1008" s="1" t="s">
        <v>45</v>
      </c>
      <c r="D1008" s="1" t="s">
        <v>39</v>
      </c>
      <c r="E1008" s="1" t="s">
        <v>61</v>
      </c>
      <c r="F1008" s="1" t="s">
        <v>18</v>
      </c>
      <c r="G1008" s="1">
        <v>288260</v>
      </c>
      <c r="H1008" s="63">
        <v>45491</v>
      </c>
      <c r="I1008" s="63">
        <v>45667</v>
      </c>
      <c r="J1008" s="1">
        <v>176</v>
      </c>
      <c r="K1008" s="1">
        <v>9.5</v>
      </c>
      <c r="L1008" s="1" t="s">
        <v>96</v>
      </c>
      <c r="M1008" s="1" t="s">
        <v>149</v>
      </c>
      <c r="N1008" s="1" t="str">
        <f t="shared" si="15"/>
        <v>Normal</v>
      </c>
    </row>
    <row r="1009" spans="1:14" x14ac:dyDescent="0.25">
      <c r="A1009" s="1" t="s">
        <v>1966</v>
      </c>
      <c r="B1009" s="1" t="s">
        <v>98</v>
      </c>
      <c r="C1009" s="1" t="s">
        <v>85</v>
      </c>
      <c r="D1009" s="1" t="s">
        <v>90</v>
      </c>
      <c r="E1009" s="1" t="s">
        <v>77</v>
      </c>
      <c r="F1009" s="1" t="s">
        <v>40</v>
      </c>
      <c r="G1009" s="1">
        <v>178640</v>
      </c>
      <c r="H1009" s="63">
        <v>45073</v>
      </c>
      <c r="I1009" s="63">
        <v>45114</v>
      </c>
      <c r="J1009" s="1">
        <v>41</v>
      </c>
      <c r="K1009" s="1">
        <v>0.1</v>
      </c>
      <c r="L1009" s="1" t="s">
        <v>96</v>
      </c>
      <c r="M1009" s="1" t="s">
        <v>30</v>
      </c>
      <c r="N1009" s="1" t="str">
        <f t="shared" si="15"/>
        <v>Normal</v>
      </c>
    </row>
    <row r="1010" spans="1:14" x14ac:dyDescent="0.25">
      <c r="A1010" s="1" t="s">
        <v>1967</v>
      </c>
      <c r="B1010" s="1" t="s">
        <v>84</v>
      </c>
      <c r="C1010" s="1" t="s">
        <v>693</v>
      </c>
      <c r="D1010" s="1" t="s">
        <v>39</v>
      </c>
      <c r="E1010" s="1" t="s">
        <v>61</v>
      </c>
      <c r="F1010" s="1" t="s">
        <v>27</v>
      </c>
      <c r="G1010" s="1">
        <v>183325</v>
      </c>
      <c r="H1010" s="63">
        <v>45470</v>
      </c>
      <c r="J1010" s="1"/>
      <c r="K1010" s="1">
        <v>5.3</v>
      </c>
      <c r="L1010" s="1" t="s">
        <v>29</v>
      </c>
      <c r="M1010" s="1" t="s">
        <v>107</v>
      </c>
      <c r="N1010" s="1" t="str">
        <f t="shared" si="15"/>
        <v>Normal</v>
      </c>
    </row>
    <row r="1011" spans="1:14" x14ac:dyDescent="0.25">
      <c r="A1011" s="1" t="s">
        <v>1968</v>
      </c>
      <c r="B1011" s="1" t="s">
        <v>59</v>
      </c>
      <c r="C1011" s="1" t="s">
        <v>292</v>
      </c>
      <c r="D1011" s="1" t="s">
        <v>67</v>
      </c>
      <c r="E1011" s="1" t="s">
        <v>17</v>
      </c>
      <c r="F1011" s="1" t="s">
        <v>27</v>
      </c>
      <c r="G1011" s="1">
        <v>82624</v>
      </c>
      <c r="H1011" s="63">
        <v>45260</v>
      </c>
      <c r="J1011" s="1"/>
      <c r="K1011" s="1">
        <v>5.7</v>
      </c>
      <c r="L1011" s="1" t="s">
        <v>20</v>
      </c>
      <c r="M1011" s="1" t="s">
        <v>21</v>
      </c>
      <c r="N1011" s="1" t="str">
        <f t="shared" si="15"/>
        <v>Normal</v>
      </c>
    </row>
    <row r="1012" spans="1:14" x14ac:dyDescent="0.25">
      <c r="A1012" s="1" t="s">
        <v>1969</v>
      </c>
      <c r="B1012" s="1" t="s">
        <v>14</v>
      </c>
      <c r="C1012" s="1" t="s">
        <v>147</v>
      </c>
      <c r="D1012" s="1" t="s">
        <v>67</v>
      </c>
      <c r="E1012" s="1" t="s">
        <v>77</v>
      </c>
      <c r="F1012" s="1" t="s">
        <v>129</v>
      </c>
      <c r="G1012" s="1">
        <v>393998</v>
      </c>
      <c r="H1012" s="63">
        <v>44941</v>
      </c>
      <c r="J1012" s="1"/>
      <c r="K1012" s="1">
        <v>12.6</v>
      </c>
      <c r="L1012" s="1" t="s">
        <v>20</v>
      </c>
      <c r="M1012" s="1" t="s">
        <v>35</v>
      </c>
      <c r="N1012" s="1" t="str">
        <f t="shared" si="15"/>
        <v>Normal</v>
      </c>
    </row>
    <row r="1013" spans="1:14" x14ac:dyDescent="0.25">
      <c r="A1013" s="1" t="s">
        <v>1970</v>
      </c>
      <c r="B1013" s="1" t="s">
        <v>84</v>
      </c>
      <c r="C1013" s="1" t="s">
        <v>1339</v>
      </c>
      <c r="D1013" s="1" t="s">
        <v>25</v>
      </c>
      <c r="E1013" s="1" t="s">
        <v>17</v>
      </c>
      <c r="F1013" s="1" t="s">
        <v>27</v>
      </c>
      <c r="G1013" s="1">
        <v>235181</v>
      </c>
      <c r="H1013" s="63">
        <v>45589</v>
      </c>
      <c r="J1013" s="1"/>
      <c r="K1013" s="1">
        <v>3.7</v>
      </c>
      <c r="L1013" s="1" t="s">
        <v>96</v>
      </c>
      <c r="M1013" s="1" t="s">
        <v>42</v>
      </c>
      <c r="N1013" s="1" t="str">
        <f t="shared" si="15"/>
        <v>Normal</v>
      </c>
    </row>
    <row r="1014" spans="1:14" x14ac:dyDescent="0.25">
      <c r="A1014" s="1" t="s">
        <v>1972</v>
      </c>
      <c r="B1014" s="1" t="s">
        <v>88</v>
      </c>
      <c r="C1014" s="1" t="s">
        <v>1136</v>
      </c>
      <c r="D1014" s="1" t="s">
        <v>39</v>
      </c>
      <c r="E1014" s="1" t="s">
        <v>100</v>
      </c>
      <c r="F1014" s="1" t="s">
        <v>53</v>
      </c>
      <c r="G1014" s="1">
        <v>145071</v>
      </c>
      <c r="H1014" s="63">
        <v>45613</v>
      </c>
      <c r="J1014" s="1"/>
      <c r="K1014" s="1"/>
      <c r="L1014" s="1" t="s">
        <v>20</v>
      </c>
      <c r="M1014" s="1" t="s">
        <v>42</v>
      </c>
      <c r="N1014" s="1" t="str">
        <f t="shared" si="15"/>
        <v>Normal</v>
      </c>
    </row>
    <row r="1015" spans="1:14" x14ac:dyDescent="0.25">
      <c r="A1015" s="1" t="s">
        <v>1973</v>
      </c>
      <c r="B1015" s="1" t="s">
        <v>173</v>
      </c>
      <c r="C1015" s="1" t="s">
        <v>711</v>
      </c>
      <c r="D1015" s="1" t="s">
        <v>67</v>
      </c>
      <c r="E1015" s="1" t="s">
        <v>77</v>
      </c>
      <c r="F1015" s="1" t="s">
        <v>33</v>
      </c>
      <c r="G1015" s="1">
        <v>154454</v>
      </c>
      <c r="H1015" s="63">
        <v>45632</v>
      </c>
      <c r="J1015" s="1"/>
      <c r="K1015" s="1"/>
      <c r="L1015" s="1" t="s">
        <v>96</v>
      </c>
      <c r="M1015" s="1" t="s">
        <v>42</v>
      </c>
      <c r="N1015" s="1" t="str">
        <f t="shared" si="15"/>
        <v>Normal</v>
      </c>
    </row>
    <row r="1016" spans="1:14" x14ac:dyDescent="0.25">
      <c r="A1016" s="1" t="s">
        <v>1974</v>
      </c>
      <c r="B1016" s="1" t="s">
        <v>173</v>
      </c>
      <c r="C1016" s="1" t="s">
        <v>640</v>
      </c>
      <c r="D1016" s="1" t="s">
        <v>39</v>
      </c>
      <c r="E1016" s="1" t="s">
        <v>94</v>
      </c>
      <c r="F1016" s="1" t="s">
        <v>53</v>
      </c>
      <c r="G1016" s="1">
        <v>206789</v>
      </c>
      <c r="H1016" s="63">
        <v>45696</v>
      </c>
      <c r="J1016" s="1"/>
      <c r="K1016" s="1">
        <v>14.6</v>
      </c>
      <c r="L1016" s="1" t="s">
        <v>49</v>
      </c>
      <c r="M1016" s="1" t="s">
        <v>63</v>
      </c>
      <c r="N1016" s="1" t="str">
        <f t="shared" si="15"/>
        <v>Normal</v>
      </c>
    </row>
    <row r="1017" spans="1:14" x14ac:dyDescent="0.25">
      <c r="A1017" s="1" t="s">
        <v>1975</v>
      </c>
      <c r="B1017" s="1" t="s">
        <v>88</v>
      </c>
      <c r="C1017" s="1" t="s">
        <v>1204</v>
      </c>
      <c r="D1017" s="1" t="s">
        <v>25</v>
      </c>
      <c r="E1017" s="1" t="s">
        <v>94</v>
      </c>
      <c r="F1017" s="1" t="s">
        <v>33</v>
      </c>
      <c r="G1017" s="1">
        <v>236341</v>
      </c>
      <c r="H1017" s="63">
        <v>45186</v>
      </c>
      <c r="J1017" s="1"/>
      <c r="K1017" s="1">
        <v>13.3</v>
      </c>
      <c r="L1017" s="1" t="s">
        <v>49</v>
      </c>
      <c r="M1017" s="1" t="s">
        <v>102</v>
      </c>
      <c r="N1017" s="1" t="str">
        <f t="shared" si="15"/>
        <v>Normal</v>
      </c>
    </row>
    <row r="1018" spans="1:14" x14ac:dyDescent="0.25">
      <c r="A1018" s="1" t="s">
        <v>1976</v>
      </c>
      <c r="B1018" s="1" t="s">
        <v>44</v>
      </c>
      <c r="C1018" s="1" t="s">
        <v>505</v>
      </c>
      <c r="D1018" s="1" t="s">
        <v>39</v>
      </c>
      <c r="E1018" s="1" t="s">
        <v>47</v>
      </c>
      <c r="F1018" s="1" t="s">
        <v>129</v>
      </c>
      <c r="G1018" s="1">
        <v>69212</v>
      </c>
      <c r="H1018" s="63">
        <v>45406</v>
      </c>
      <c r="J1018" s="1"/>
      <c r="K1018" s="1">
        <v>11.9</v>
      </c>
      <c r="L1018" s="1" t="s">
        <v>20</v>
      </c>
      <c r="M1018" s="1" t="s">
        <v>107</v>
      </c>
      <c r="N1018" s="1" t="str">
        <f t="shared" si="15"/>
        <v>Normal</v>
      </c>
    </row>
    <row r="1019" spans="1:14" x14ac:dyDescent="0.25">
      <c r="A1019" s="1" t="s">
        <v>1978</v>
      </c>
      <c r="B1019" s="1" t="s">
        <v>65</v>
      </c>
      <c r="C1019" s="1" t="s">
        <v>346</v>
      </c>
      <c r="D1019" s="1" t="s">
        <v>46</v>
      </c>
      <c r="E1019" s="1" t="s">
        <v>100</v>
      </c>
      <c r="F1019" s="1" t="s">
        <v>53</v>
      </c>
      <c r="G1019" s="1">
        <v>247071</v>
      </c>
      <c r="H1019" s="63">
        <v>45708</v>
      </c>
      <c r="J1019" s="1"/>
      <c r="K1019" s="1">
        <v>3.2</v>
      </c>
      <c r="L1019" s="1" t="s">
        <v>49</v>
      </c>
      <c r="M1019" s="1" t="s">
        <v>63</v>
      </c>
      <c r="N1019" s="1" t="str">
        <f t="shared" si="15"/>
        <v>Normal</v>
      </c>
    </row>
    <row r="1020" spans="1:14" x14ac:dyDescent="0.25">
      <c r="A1020" s="1" t="s">
        <v>1979</v>
      </c>
      <c r="B1020" s="1" t="s">
        <v>4829</v>
      </c>
      <c r="C1020" s="1" t="s">
        <v>308</v>
      </c>
      <c r="D1020" s="1" t="s">
        <v>67</v>
      </c>
      <c r="E1020" s="1" t="s">
        <v>17</v>
      </c>
      <c r="F1020" s="1" t="s">
        <v>33</v>
      </c>
      <c r="G1020" s="1">
        <v>236819</v>
      </c>
      <c r="H1020" s="63">
        <v>44999</v>
      </c>
      <c r="J1020" s="1"/>
      <c r="K1020" s="1">
        <v>1.9</v>
      </c>
      <c r="L1020" s="1" t="s">
        <v>29</v>
      </c>
      <c r="M1020" s="1" t="s">
        <v>35</v>
      </c>
      <c r="N1020" s="1" t="str">
        <f t="shared" si="15"/>
        <v>Normal</v>
      </c>
    </row>
    <row r="1021" spans="1:14" x14ac:dyDescent="0.25">
      <c r="A1021" s="1" t="s">
        <v>1980</v>
      </c>
      <c r="B1021" s="1" t="s">
        <v>37</v>
      </c>
      <c r="C1021" s="1" t="s">
        <v>967</v>
      </c>
      <c r="D1021" s="1" t="s">
        <v>16</v>
      </c>
      <c r="E1021" s="1" t="s">
        <v>94</v>
      </c>
      <c r="F1021" s="1" t="s">
        <v>18</v>
      </c>
      <c r="G1021" s="1">
        <v>405260</v>
      </c>
      <c r="H1021" s="63">
        <v>45083</v>
      </c>
      <c r="I1021" s="63">
        <v>45126</v>
      </c>
      <c r="J1021" s="1">
        <v>43</v>
      </c>
      <c r="K1021" s="1">
        <v>5</v>
      </c>
      <c r="L1021" s="1" t="s">
        <v>49</v>
      </c>
      <c r="M1021" s="1" t="s">
        <v>30</v>
      </c>
      <c r="N1021" s="1" t="str">
        <f t="shared" si="15"/>
        <v>Normal</v>
      </c>
    </row>
    <row r="1022" spans="1:14" x14ac:dyDescent="0.25">
      <c r="A1022" s="1" t="s">
        <v>1981</v>
      </c>
      <c r="B1022" s="1" t="s">
        <v>4829</v>
      </c>
      <c r="C1022" s="1" t="s">
        <v>300</v>
      </c>
      <c r="D1022" s="1" t="s">
        <v>67</v>
      </c>
      <c r="E1022" s="1" t="s">
        <v>94</v>
      </c>
      <c r="F1022" s="1" t="s">
        <v>53</v>
      </c>
      <c r="G1022" s="1">
        <v>367655</v>
      </c>
      <c r="H1022" s="63">
        <v>45463</v>
      </c>
      <c r="J1022" s="1"/>
      <c r="K1022" s="1">
        <v>5.4</v>
      </c>
      <c r="L1022" s="1" t="s">
        <v>20</v>
      </c>
      <c r="M1022" s="1" t="s">
        <v>107</v>
      </c>
      <c r="N1022" s="1" t="str">
        <f t="shared" si="15"/>
        <v>Normal</v>
      </c>
    </row>
    <row r="1023" spans="1:14" x14ac:dyDescent="0.25">
      <c r="A1023" s="1" t="s">
        <v>1983</v>
      </c>
      <c r="B1023" s="1" t="s">
        <v>65</v>
      </c>
      <c r="C1023" s="1" t="s">
        <v>1043</v>
      </c>
      <c r="D1023" s="1" t="s">
        <v>16</v>
      </c>
      <c r="E1023" s="1" t="s">
        <v>17</v>
      </c>
      <c r="F1023" s="1" t="s">
        <v>18</v>
      </c>
      <c r="G1023" s="1">
        <v>26056</v>
      </c>
      <c r="H1023" s="63">
        <v>45532</v>
      </c>
      <c r="I1023" s="63">
        <v>45707</v>
      </c>
      <c r="J1023" s="1">
        <v>175</v>
      </c>
      <c r="K1023" s="1">
        <v>5.0999999999999996</v>
      </c>
      <c r="L1023" s="1" t="s">
        <v>20</v>
      </c>
      <c r="M1023" s="1" t="s">
        <v>149</v>
      </c>
      <c r="N1023" s="1" t="str">
        <f t="shared" si="15"/>
        <v>Normal</v>
      </c>
    </row>
    <row r="1024" spans="1:14" x14ac:dyDescent="0.25">
      <c r="A1024" s="1" t="s">
        <v>1984</v>
      </c>
      <c r="B1024" s="1" t="s">
        <v>88</v>
      </c>
      <c r="C1024" s="1" t="s">
        <v>119</v>
      </c>
      <c r="D1024" s="1" t="s">
        <v>46</v>
      </c>
      <c r="E1024" s="1" t="s">
        <v>61</v>
      </c>
      <c r="F1024" s="1" t="s">
        <v>53</v>
      </c>
      <c r="G1024" s="1">
        <v>176590</v>
      </c>
      <c r="H1024" s="63">
        <v>45607</v>
      </c>
      <c r="J1024" s="1"/>
      <c r="K1024" s="1">
        <v>10.5</v>
      </c>
      <c r="L1024" s="1" t="s">
        <v>20</v>
      </c>
      <c r="M1024" s="1" t="s">
        <v>42</v>
      </c>
      <c r="N1024" s="1" t="str">
        <f t="shared" si="15"/>
        <v>Normal</v>
      </c>
    </row>
    <row r="1025" spans="1:14" x14ac:dyDescent="0.25">
      <c r="A1025" s="1" t="s">
        <v>1985</v>
      </c>
      <c r="B1025" s="1" t="s">
        <v>23</v>
      </c>
      <c r="C1025" s="1" t="s">
        <v>797</v>
      </c>
      <c r="D1025" s="1" t="s">
        <v>16</v>
      </c>
      <c r="E1025" s="1" t="s">
        <v>47</v>
      </c>
      <c r="F1025" s="1" t="s">
        <v>40</v>
      </c>
      <c r="G1025" s="1">
        <v>72097</v>
      </c>
      <c r="H1025" s="63">
        <v>45051</v>
      </c>
      <c r="I1025" s="63">
        <v>45165</v>
      </c>
      <c r="J1025" s="1">
        <v>114</v>
      </c>
      <c r="K1025" s="1">
        <v>0.6</v>
      </c>
      <c r="L1025" s="1" t="s">
        <v>29</v>
      </c>
      <c r="M1025" s="1" t="s">
        <v>30</v>
      </c>
      <c r="N1025" s="1" t="str">
        <f t="shared" si="15"/>
        <v>Normal</v>
      </c>
    </row>
    <row r="1026" spans="1:14" x14ac:dyDescent="0.25">
      <c r="A1026" s="1" t="s">
        <v>1986</v>
      </c>
      <c r="B1026" s="1" t="s">
        <v>109</v>
      </c>
      <c r="C1026" s="1" t="s">
        <v>977</v>
      </c>
      <c r="D1026" s="1" t="s">
        <v>25</v>
      </c>
      <c r="E1026" s="1" t="s">
        <v>77</v>
      </c>
      <c r="F1026" s="1" t="s">
        <v>53</v>
      </c>
      <c r="G1026" s="1">
        <v>106421</v>
      </c>
      <c r="H1026" s="63">
        <v>44943</v>
      </c>
      <c r="J1026" s="1"/>
      <c r="K1026" s="1"/>
      <c r="L1026" s="1" t="s">
        <v>49</v>
      </c>
      <c r="M1026" s="1" t="s">
        <v>35</v>
      </c>
      <c r="N1026" s="1" t="str">
        <f t="shared" ref="N1026:N1089" si="16">IF(G1026&gt;$R$5,"High Outlier",IF(G1026&lt;$R$6,"Low Outlier","Normal"))</f>
        <v>Normal</v>
      </c>
    </row>
    <row r="1027" spans="1:14" x14ac:dyDescent="0.25">
      <c r="A1027" s="1" t="s">
        <v>1987</v>
      </c>
      <c r="B1027" s="1" t="s">
        <v>65</v>
      </c>
      <c r="C1027" s="1" t="s">
        <v>135</v>
      </c>
      <c r="D1027" s="1" t="s">
        <v>67</v>
      </c>
      <c r="E1027" s="1" t="s">
        <v>26</v>
      </c>
      <c r="F1027" s="1" t="s">
        <v>40</v>
      </c>
      <c r="G1027" s="1">
        <v>112094</v>
      </c>
      <c r="H1027" s="63">
        <v>45033</v>
      </c>
      <c r="I1027" s="63">
        <v>45067</v>
      </c>
      <c r="J1027" s="1">
        <v>34</v>
      </c>
      <c r="K1027" s="1">
        <v>19.5</v>
      </c>
      <c r="L1027" s="1" t="s">
        <v>49</v>
      </c>
      <c r="M1027" s="1" t="s">
        <v>30</v>
      </c>
      <c r="N1027" s="1" t="str">
        <f t="shared" si="16"/>
        <v>Normal</v>
      </c>
    </row>
    <row r="1028" spans="1:14" x14ac:dyDescent="0.25">
      <c r="A1028" s="1" t="s">
        <v>1988</v>
      </c>
      <c r="B1028" s="1" t="s">
        <v>173</v>
      </c>
      <c r="C1028" s="1" t="s">
        <v>237</v>
      </c>
      <c r="D1028" s="1" t="s">
        <v>25</v>
      </c>
      <c r="E1028" s="1" t="s">
        <v>100</v>
      </c>
      <c r="F1028" s="1" t="s">
        <v>27</v>
      </c>
      <c r="G1028" s="1">
        <v>258072</v>
      </c>
      <c r="H1028" s="63">
        <v>45513</v>
      </c>
      <c r="J1028" s="1"/>
      <c r="K1028" s="1">
        <v>0.8</v>
      </c>
      <c r="L1028" s="1" t="s">
        <v>96</v>
      </c>
      <c r="M1028" s="1" t="s">
        <v>149</v>
      </c>
      <c r="N1028" s="1" t="str">
        <f t="shared" si="16"/>
        <v>Normal</v>
      </c>
    </row>
    <row r="1029" spans="1:14" x14ac:dyDescent="0.25">
      <c r="A1029" s="1" t="s">
        <v>1989</v>
      </c>
      <c r="B1029" s="1" t="s">
        <v>173</v>
      </c>
      <c r="C1029" s="1" t="s">
        <v>292</v>
      </c>
      <c r="D1029" s="1" t="s">
        <v>25</v>
      </c>
      <c r="E1029" s="1" t="s">
        <v>100</v>
      </c>
      <c r="F1029" s="1" t="s">
        <v>53</v>
      </c>
      <c r="G1029" s="1">
        <v>394544</v>
      </c>
      <c r="H1029" s="63">
        <v>44995</v>
      </c>
      <c r="J1029" s="1"/>
      <c r="K1029" s="1">
        <v>0.9</v>
      </c>
      <c r="L1029" s="1" t="s">
        <v>29</v>
      </c>
      <c r="M1029" s="1" t="s">
        <v>35</v>
      </c>
      <c r="N1029" s="1" t="str">
        <f t="shared" si="16"/>
        <v>Normal</v>
      </c>
    </row>
    <row r="1030" spans="1:14" x14ac:dyDescent="0.25">
      <c r="A1030" s="1" t="s">
        <v>1991</v>
      </c>
      <c r="B1030" s="1" t="s">
        <v>80</v>
      </c>
      <c r="C1030" s="1" t="s">
        <v>852</v>
      </c>
      <c r="D1030" s="1" t="s">
        <v>67</v>
      </c>
      <c r="E1030" s="1" t="s">
        <v>72</v>
      </c>
      <c r="F1030" s="1" t="s">
        <v>40</v>
      </c>
      <c r="G1030" s="1">
        <v>70820</v>
      </c>
      <c r="H1030" s="63">
        <v>45065</v>
      </c>
      <c r="I1030" s="63">
        <v>45105</v>
      </c>
      <c r="J1030" s="1">
        <v>40</v>
      </c>
      <c r="K1030" s="1">
        <v>7.7</v>
      </c>
      <c r="L1030" s="1" t="s">
        <v>96</v>
      </c>
      <c r="M1030" s="1" t="s">
        <v>30</v>
      </c>
      <c r="N1030" s="1" t="str">
        <f t="shared" si="16"/>
        <v>Normal</v>
      </c>
    </row>
    <row r="1031" spans="1:14" x14ac:dyDescent="0.25">
      <c r="A1031" s="1" t="s">
        <v>1992</v>
      </c>
      <c r="B1031" s="1" t="s">
        <v>37</v>
      </c>
      <c r="C1031" s="1" t="s">
        <v>358</v>
      </c>
      <c r="D1031" s="1" t="s">
        <v>90</v>
      </c>
      <c r="E1031" s="1" t="s">
        <v>17</v>
      </c>
      <c r="F1031" s="1" t="s">
        <v>33</v>
      </c>
      <c r="G1031" s="1">
        <v>484905</v>
      </c>
      <c r="H1031" s="63">
        <v>45172</v>
      </c>
      <c r="J1031" s="1"/>
      <c r="K1031" s="1">
        <v>8.5</v>
      </c>
      <c r="L1031" s="1" t="s">
        <v>49</v>
      </c>
      <c r="M1031" s="1" t="s">
        <v>102</v>
      </c>
      <c r="N1031" s="1" t="str">
        <f t="shared" si="16"/>
        <v>Normal</v>
      </c>
    </row>
    <row r="1032" spans="1:14" x14ac:dyDescent="0.25">
      <c r="A1032" s="1" t="s">
        <v>1993</v>
      </c>
      <c r="B1032" s="1" t="s">
        <v>23</v>
      </c>
      <c r="C1032" s="1" t="s">
        <v>298</v>
      </c>
      <c r="D1032" s="1" t="s">
        <v>67</v>
      </c>
      <c r="E1032" s="1" t="s">
        <v>77</v>
      </c>
      <c r="F1032" s="1" t="s">
        <v>33</v>
      </c>
      <c r="G1032" s="1">
        <v>211426</v>
      </c>
      <c r="H1032" s="63">
        <v>44934</v>
      </c>
      <c r="J1032" s="1"/>
      <c r="K1032" s="1">
        <v>1.5</v>
      </c>
      <c r="L1032" s="1" t="s">
        <v>49</v>
      </c>
      <c r="M1032" s="1" t="s">
        <v>35</v>
      </c>
      <c r="N1032" s="1" t="str">
        <f t="shared" si="16"/>
        <v>Normal</v>
      </c>
    </row>
    <row r="1033" spans="1:14" x14ac:dyDescent="0.25">
      <c r="A1033" s="1" t="s">
        <v>1995</v>
      </c>
      <c r="B1033" s="1" t="s">
        <v>14</v>
      </c>
      <c r="C1033" s="1" t="s">
        <v>1235</v>
      </c>
      <c r="D1033" s="1" t="s">
        <v>39</v>
      </c>
      <c r="E1033" s="1" t="s">
        <v>100</v>
      </c>
      <c r="F1033" s="1" t="s">
        <v>33</v>
      </c>
      <c r="G1033" s="1">
        <v>338931</v>
      </c>
      <c r="H1033" s="63">
        <v>45464</v>
      </c>
      <c r="J1033" s="1"/>
      <c r="K1033" s="1">
        <v>6.7</v>
      </c>
      <c r="L1033" s="1" t="s">
        <v>29</v>
      </c>
      <c r="M1033" s="1" t="s">
        <v>107</v>
      </c>
      <c r="N1033" s="1" t="str">
        <f t="shared" si="16"/>
        <v>Normal</v>
      </c>
    </row>
    <row r="1034" spans="1:14" x14ac:dyDescent="0.25">
      <c r="A1034" s="1" t="s">
        <v>1996</v>
      </c>
      <c r="B1034" s="1" t="s">
        <v>98</v>
      </c>
      <c r="C1034" s="1" t="s">
        <v>1997</v>
      </c>
      <c r="D1034" s="1" t="s">
        <v>67</v>
      </c>
      <c r="E1034" s="1" t="s">
        <v>100</v>
      </c>
      <c r="F1034" s="1" t="s">
        <v>53</v>
      </c>
      <c r="G1034" s="1">
        <v>231349</v>
      </c>
      <c r="H1034" s="63">
        <v>45412</v>
      </c>
      <c r="J1034" s="1"/>
      <c r="K1034" s="1">
        <v>15</v>
      </c>
      <c r="L1034" s="1" t="s">
        <v>49</v>
      </c>
      <c r="M1034" s="1" t="s">
        <v>107</v>
      </c>
      <c r="N1034" s="1" t="str">
        <f t="shared" si="16"/>
        <v>Normal</v>
      </c>
    </row>
    <row r="1035" spans="1:14" x14ac:dyDescent="0.25">
      <c r="A1035" s="1" t="s">
        <v>1999</v>
      </c>
      <c r="B1035" s="1" t="s">
        <v>109</v>
      </c>
      <c r="C1035" s="1" t="s">
        <v>1070</v>
      </c>
      <c r="D1035" s="1" t="s">
        <v>16</v>
      </c>
      <c r="E1035" s="1" t="s">
        <v>61</v>
      </c>
      <c r="F1035" s="1" t="s">
        <v>129</v>
      </c>
      <c r="G1035" s="1">
        <v>373821</v>
      </c>
      <c r="H1035" s="63">
        <v>45042</v>
      </c>
      <c r="J1035" s="1"/>
      <c r="K1035" s="1">
        <v>5.2</v>
      </c>
      <c r="L1035" s="1" t="s">
        <v>20</v>
      </c>
      <c r="M1035" s="1" t="s">
        <v>30</v>
      </c>
      <c r="N1035" s="1" t="str">
        <f t="shared" si="16"/>
        <v>Normal</v>
      </c>
    </row>
    <row r="1036" spans="1:14" x14ac:dyDescent="0.25">
      <c r="A1036" s="1" t="s">
        <v>2001</v>
      </c>
      <c r="B1036" s="1" t="s">
        <v>65</v>
      </c>
      <c r="C1036" s="1" t="s">
        <v>874</v>
      </c>
      <c r="D1036" s="1" t="s">
        <v>39</v>
      </c>
      <c r="E1036" s="1" t="s">
        <v>4845</v>
      </c>
      <c r="F1036" s="1" t="s">
        <v>33</v>
      </c>
      <c r="G1036" s="1">
        <v>32667</v>
      </c>
      <c r="H1036" s="63">
        <v>45133</v>
      </c>
      <c r="J1036" s="1"/>
      <c r="K1036" s="1">
        <v>6</v>
      </c>
      <c r="L1036" s="1" t="s">
        <v>49</v>
      </c>
      <c r="M1036" s="1" t="s">
        <v>102</v>
      </c>
      <c r="N1036" s="1" t="str">
        <f t="shared" si="16"/>
        <v>Normal</v>
      </c>
    </row>
    <row r="1037" spans="1:14" x14ac:dyDescent="0.25">
      <c r="A1037" s="1" t="s">
        <v>2002</v>
      </c>
      <c r="B1037" s="1" t="s">
        <v>23</v>
      </c>
      <c r="C1037" s="1" t="s">
        <v>237</v>
      </c>
      <c r="D1037" s="1" t="s">
        <v>25</v>
      </c>
      <c r="E1037" s="1" t="s">
        <v>26</v>
      </c>
      <c r="F1037" s="1" t="s">
        <v>18</v>
      </c>
      <c r="G1037" s="1">
        <v>14143</v>
      </c>
      <c r="H1037" s="63">
        <v>45467</v>
      </c>
      <c r="I1037" s="63">
        <v>45638</v>
      </c>
      <c r="J1037" s="1">
        <v>171</v>
      </c>
      <c r="K1037" s="1">
        <v>10.5</v>
      </c>
      <c r="L1037" s="1" t="s">
        <v>29</v>
      </c>
      <c r="M1037" s="1" t="s">
        <v>107</v>
      </c>
      <c r="N1037" s="1" t="str">
        <f t="shared" si="16"/>
        <v>Normal</v>
      </c>
    </row>
    <row r="1038" spans="1:14" x14ac:dyDescent="0.25">
      <c r="A1038" s="1" t="s">
        <v>2004</v>
      </c>
      <c r="B1038" s="1" t="s">
        <v>14</v>
      </c>
      <c r="C1038" s="1" t="s">
        <v>882</v>
      </c>
      <c r="D1038" s="1" t="s">
        <v>25</v>
      </c>
      <c r="E1038" s="1" t="s">
        <v>77</v>
      </c>
      <c r="F1038" s="1" t="s">
        <v>53</v>
      </c>
      <c r="G1038" s="1">
        <v>76519</v>
      </c>
      <c r="H1038" s="63">
        <v>45655</v>
      </c>
      <c r="J1038" s="1"/>
      <c r="K1038" s="1">
        <v>1.9</v>
      </c>
      <c r="L1038" s="1" t="s">
        <v>29</v>
      </c>
      <c r="M1038" s="1" t="s">
        <v>42</v>
      </c>
      <c r="N1038" s="1" t="str">
        <f t="shared" si="16"/>
        <v>Normal</v>
      </c>
    </row>
    <row r="1039" spans="1:14" x14ac:dyDescent="0.25">
      <c r="A1039" s="1" t="s">
        <v>2005</v>
      </c>
      <c r="B1039" s="1" t="s">
        <v>109</v>
      </c>
      <c r="C1039" s="1" t="s">
        <v>2006</v>
      </c>
      <c r="D1039" s="1" t="s">
        <v>16</v>
      </c>
      <c r="E1039" s="1" t="s">
        <v>26</v>
      </c>
      <c r="F1039" s="1" t="s">
        <v>40</v>
      </c>
      <c r="G1039" s="1">
        <v>327459</v>
      </c>
      <c r="H1039" s="63">
        <v>44994</v>
      </c>
      <c r="I1039" s="63">
        <v>45154</v>
      </c>
      <c r="J1039" s="1">
        <v>160</v>
      </c>
      <c r="K1039" s="1">
        <v>21</v>
      </c>
      <c r="L1039" s="1" t="s">
        <v>20</v>
      </c>
      <c r="M1039" s="1" t="s">
        <v>35</v>
      </c>
      <c r="N1039" s="1" t="str">
        <f t="shared" si="16"/>
        <v>Normal</v>
      </c>
    </row>
    <row r="1040" spans="1:14" x14ac:dyDescent="0.25">
      <c r="A1040" s="1" t="s">
        <v>2007</v>
      </c>
      <c r="B1040" s="1" t="s">
        <v>173</v>
      </c>
      <c r="C1040" s="1" t="s">
        <v>132</v>
      </c>
      <c r="D1040" s="1" t="s">
        <v>46</v>
      </c>
      <c r="E1040" s="1" t="s">
        <v>61</v>
      </c>
      <c r="F1040" s="1" t="s">
        <v>33</v>
      </c>
      <c r="G1040" s="1">
        <v>306386</v>
      </c>
      <c r="H1040" s="63">
        <v>44932</v>
      </c>
      <c r="J1040" s="1"/>
      <c r="K1040" s="1"/>
      <c r="L1040" s="1" t="s">
        <v>20</v>
      </c>
      <c r="M1040" s="1" t="s">
        <v>35</v>
      </c>
      <c r="N1040" s="1" t="str">
        <f t="shared" si="16"/>
        <v>Normal</v>
      </c>
    </row>
    <row r="1041" spans="1:14" x14ac:dyDescent="0.25">
      <c r="A1041" s="1" t="s">
        <v>2008</v>
      </c>
      <c r="B1041" s="1" t="s">
        <v>104</v>
      </c>
      <c r="C1041" s="1" t="s">
        <v>1021</v>
      </c>
      <c r="D1041" s="1" t="s">
        <v>90</v>
      </c>
      <c r="E1041" s="1" t="s">
        <v>17</v>
      </c>
      <c r="F1041" s="1" t="s">
        <v>53</v>
      </c>
      <c r="G1041" s="1">
        <v>219001</v>
      </c>
      <c r="H1041" s="63">
        <v>45019</v>
      </c>
      <c r="J1041" s="1"/>
      <c r="K1041" s="1">
        <v>7.3</v>
      </c>
      <c r="L1041" s="1" t="s">
        <v>96</v>
      </c>
      <c r="M1041" s="1" t="s">
        <v>30</v>
      </c>
      <c r="N1041" s="1" t="str">
        <f t="shared" si="16"/>
        <v>Normal</v>
      </c>
    </row>
    <row r="1042" spans="1:14" x14ac:dyDescent="0.25">
      <c r="A1042" s="1" t="s">
        <v>2009</v>
      </c>
      <c r="B1042" s="1" t="s">
        <v>109</v>
      </c>
      <c r="C1042" s="1" t="s">
        <v>321</v>
      </c>
      <c r="D1042" s="1" t="s">
        <v>67</v>
      </c>
      <c r="E1042" s="1" t="s">
        <v>94</v>
      </c>
      <c r="F1042" s="1" t="s">
        <v>27</v>
      </c>
      <c r="G1042" s="1">
        <v>271472</v>
      </c>
      <c r="H1042" s="63">
        <v>45313</v>
      </c>
      <c r="J1042" s="1"/>
      <c r="K1042" s="1"/>
      <c r="L1042" s="1" t="s">
        <v>29</v>
      </c>
      <c r="M1042" s="1" t="s">
        <v>69</v>
      </c>
      <c r="N1042" s="1" t="str">
        <f t="shared" si="16"/>
        <v>Normal</v>
      </c>
    </row>
    <row r="1043" spans="1:14" x14ac:dyDescent="0.25">
      <c r="A1043" s="1" t="s">
        <v>2010</v>
      </c>
      <c r="B1043" s="1" t="s">
        <v>80</v>
      </c>
      <c r="C1043" s="1" t="s">
        <v>737</v>
      </c>
      <c r="D1043" s="1" t="s">
        <v>39</v>
      </c>
      <c r="E1043" s="1" t="s">
        <v>100</v>
      </c>
      <c r="F1043" s="1" t="s">
        <v>40</v>
      </c>
      <c r="G1043" s="1">
        <v>381874</v>
      </c>
      <c r="H1043" s="63">
        <v>45135</v>
      </c>
      <c r="I1043" s="63">
        <v>45210</v>
      </c>
      <c r="J1043" s="1">
        <v>75</v>
      </c>
      <c r="K1043" s="1">
        <v>10.4</v>
      </c>
      <c r="L1043" s="1" t="s">
        <v>29</v>
      </c>
      <c r="M1043" s="1" t="s">
        <v>102</v>
      </c>
      <c r="N1043" s="1" t="str">
        <f t="shared" si="16"/>
        <v>Normal</v>
      </c>
    </row>
    <row r="1044" spans="1:14" x14ac:dyDescent="0.25">
      <c r="A1044" s="1" t="s">
        <v>2011</v>
      </c>
      <c r="B1044" s="1" t="s">
        <v>84</v>
      </c>
      <c r="C1044" s="1" t="s">
        <v>1364</v>
      </c>
      <c r="D1044" s="1" t="s">
        <v>16</v>
      </c>
      <c r="E1044" s="1" t="s">
        <v>26</v>
      </c>
      <c r="F1044" s="1" t="s">
        <v>40</v>
      </c>
      <c r="G1044" s="1">
        <v>55885</v>
      </c>
      <c r="H1044" s="63">
        <v>45244</v>
      </c>
      <c r="I1044" s="63">
        <v>45343</v>
      </c>
      <c r="J1044" s="1">
        <v>99</v>
      </c>
      <c r="K1044" s="1">
        <v>24.9</v>
      </c>
      <c r="L1044" s="1" t="s">
        <v>96</v>
      </c>
      <c r="M1044" s="1" t="s">
        <v>21</v>
      </c>
      <c r="N1044" s="1" t="str">
        <f t="shared" si="16"/>
        <v>Normal</v>
      </c>
    </row>
    <row r="1045" spans="1:14" x14ac:dyDescent="0.25">
      <c r="A1045" s="1" t="s">
        <v>2012</v>
      </c>
      <c r="B1045" s="1" t="s">
        <v>23</v>
      </c>
      <c r="C1045" s="1" t="s">
        <v>1057</v>
      </c>
      <c r="D1045" s="1" t="s">
        <v>90</v>
      </c>
      <c r="E1045" s="1" t="s">
        <v>26</v>
      </c>
      <c r="F1045" s="1" t="s">
        <v>18</v>
      </c>
      <c r="G1045" s="1">
        <v>48188</v>
      </c>
      <c r="H1045" s="63">
        <v>45296</v>
      </c>
      <c r="I1045" s="63">
        <v>45396</v>
      </c>
      <c r="J1045" s="1">
        <v>100</v>
      </c>
      <c r="K1045" s="1"/>
      <c r="L1045" s="1" t="s">
        <v>20</v>
      </c>
      <c r="M1045" s="1" t="s">
        <v>69</v>
      </c>
      <c r="N1045" s="1" t="str">
        <f t="shared" si="16"/>
        <v>Normal</v>
      </c>
    </row>
    <row r="1046" spans="1:14" x14ac:dyDescent="0.25">
      <c r="A1046" s="1" t="s">
        <v>2014</v>
      </c>
      <c r="B1046" s="1" t="s">
        <v>14</v>
      </c>
      <c r="C1046" s="1" t="s">
        <v>24</v>
      </c>
      <c r="D1046" s="1" t="s">
        <v>25</v>
      </c>
      <c r="E1046" s="1" t="s">
        <v>17</v>
      </c>
      <c r="F1046" s="1" t="s">
        <v>129</v>
      </c>
      <c r="G1046" s="1">
        <v>95319</v>
      </c>
      <c r="H1046" s="63">
        <v>45170</v>
      </c>
      <c r="J1046" s="1"/>
      <c r="K1046" s="1"/>
      <c r="L1046" s="1" t="s">
        <v>96</v>
      </c>
      <c r="M1046" s="1" t="s">
        <v>102</v>
      </c>
      <c r="N1046" s="1" t="str">
        <f t="shared" si="16"/>
        <v>Normal</v>
      </c>
    </row>
    <row r="1047" spans="1:14" x14ac:dyDescent="0.25">
      <c r="A1047" s="1" t="s">
        <v>2016</v>
      </c>
      <c r="B1047" s="1" t="s">
        <v>75</v>
      </c>
      <c r="C1047" s="1" t="s">
        <v>676</v>
      </c>
      <c r="D1047" s="1" t="s">
        <v>90</v>
      </c>
      <c r="E1047" s="1" t="s">
        <v>47</v>
      </c>
      <c r="F1047" s="1" t="s">
        <v>33</v>
      </c>
      <c r="G1047" s="1">
        <v>283794</v>
      </c>
      <c r="H1047" s="63">
        <v>45005</v>
      </c>
      <c r="J1047" s="1"/>
      <c r="K1047" s="1">
        <v>2.2999999999999998</v>
      </c>
      <c r="L1047" s="1" t="s">
        <v>49</v>
      </c>
      <c r="M1047" s="1" t="s">
        <v>35</v>
      </c>
      <c r="N1047" s="1" t="str">
        <f t="shared" si="16"/>
        <v>Normal</v>
      </c>
    </row>
    <row r="1048" spans="1:14" x14ac:dyDescent="0.25">
      <c r="A1048" s="1" t="s">
        <v>2017</v>
      </c>
      <c r="B1048" s="1" t="s">
        <v>44</v>
      </c>
      <c r="C1048" s="1" t="s">
        <v>587</v>
      </c>
      <c r="D1048" s="1" t="s">
        <v>16</v>
      </c>
      <c r="E1048" s="1" t="s">
        <v>17</v>
      </c>
      <c r="F1048" s="1" t="s">
        <v>33</v>
      </c>
      <c r="G1048" s="1">
        <v>295056</v>
      </c>
      <c r="H1048" s="63">
        <v>44937</v>
      </c>
      <c r="J1048" s="1"/>
      <c r="K1048" s="1">
        <v>5.0999999999999996</v>
      </c>
      <c r="L1048" s="1" t="s">
        <v>49</v>
      </c>
      <c r="M1048" s="1" t="s">
        <v>35</v>
      </c>
      <c r="N1048" s="1" t="str">
        <f t="shared" si="16"/>
        <v>Normal</v>
      </c>
    </row>
    <row r="1049" spans="1:14" x14ac:dyDescent="0.25">
      <c r="A1049" s="1" t="s">
        <v>2018</v>
      </c>
      <c r="B1049" s="1" t="s">
        <v>109</v>
      </c>
      <c r="C1049" s="1" t="s">
        <v>1057</v>
      </c>
      <c r="D1049" s="1" t="s">
        <v>25</v>
      </c>
      <c r="E1049" s="1" t="s">
        <v>77</v>
      </c>
      <c r="F1049" s="1" t="s">
        <v>33</v>
      </c>
      <c r="G1049" s="1">
        <v>321618</v>
      </c>
      <c r="H1049" s="63">
        <v>45112</v>
      </c>
      <c r="J1049" s="1"/>
      <c r="K1049" s="1">
        <v>7.8</v>
      </c>
      <c r="L1049" s="1" t="s">
        <v>20</v>
      </c>
      <c r="M1049" s="1" t="s">
        <v>102</v>
      </c>
      <c r="N1049" s="1" t="str">
        <f t="shared" si="16"/>
        <v>Normal</v>
      </c>
    </row>
    <row r="1050" spans="1:14" x14ac:dyDescent="0.25">
      <c r="A1050" s="1" t="s">
        <v>2020</v>
      </c>
      <c r="B1050" s="1" t="s">
        <v>98</v>
      </c>
      <c r="C1050" s="1" t="s">
        <v>797</v>
      </c>
      <c r="D1050" s="1" t="s">
        <v>39</v>
      </c>
      <c r="E1050" s="1" t="s">
        <v>61</v>
      </c>
      <c r="F1050" s="1" t="s">
        <v>53</v>
      </c>
      <c r="G1050" s="1">
        <v>265158</v>
      </c>
      <c r="H1050" s="63">
        <v>45160</v>
      </c>
      <c r="J1050" s="1"/>
      <c r="K1050" s="1">
        <v>8</v>
      </c>
      <c r="L1050" s="1" t="s">
        <v>20</v>
      </c>
      <c r="M1050" s="1" t="s">
        <v>102</v>
      </c>
      <c r="N1050" s="1" t="str">
        <f t="shared" si="16"/>
        <v>Normal</v>
      </c>
    </row>
    <row r="1051" spans="1:14" x14ac:dyDescent="0.25">
      <c r="A1051" s="1" t="s">
        <v>2021</v>
      </c>
      <c r="B1051" s="1" t="s">
        <v>104</v>
      </c>
      <c r="C1051" s="1" t="s">
        <v>457</v>
      </c>
      <c r="D1051" s="1" t="s">
        <v>90</v>
      </c>
      <c r="E1051" s="1" t="s">
        <v>100</v>
      </c>
      <c r="F1051" s="1" t="s">
        <v>40</v>
      </c>
      <c r="G1051" s="1">
        <v>27766</v>
      </c>
      <c r="H1051" s="63">
        <v>45010</v>
      </c>
      <c r="I1051" s="63">
        <v>45074</v>
      </c>
      <c r="J1051" s="1">
        <v>64</v>
      </c>
      <c r="K1051" s="1">
        <v>6.8</v>
      </c>
      <c r="L1051" s="1" t="s">
        <v>49</v>
      </c>
      <c r="M1051" s="1" t="s">
        <v>35</v>
      </c>
      <c r="N1051" s="1" t="str">
        <f t="shared" si="16"/>
        <v>Normal</v>
      </c>
    </row>
    <row r="1052" spans="1:14" x14ac:dyDescent="0.25">
      <c r="A1052" s="1" t="s">
        <v>2022</v>
      </c>
      <c r="B1052" s="1" t="s">
        <v>173</v>
      </c>
      <c r="C1052" s="1" t="s">
        <v>313</v>
      </c>
      <c r="D1052" s="1" t="s">
        <v>90</v>
      </c>
      <c r="E1052" s="1" t="s">
        <v>61</v>
      </c>
      <c r="F1052" s="1" t="s">
        <v>53</v>
      </c>
      <c r="G1052" s="1">
        <v>412466</v>
      </c>
      <c r="H1052" s="63">
        <v>45610</v>
      </c>
      <c r="J1052" s="1"/>
      <c r="K1052" s="1"/>
      <c r="L1052" s="1" t="s">
        <v>20</v>
      </c>
      <c r="M1052" s="1" t="s">
        <v>42</v>
      </c>
      <c r="N1052" s="1" t="str">
        <f t="shared" si="16"/>
        <v>Normal</v>
      </c>
    </row>
    <row r="1053" spans="1:14" x14ac:dyDescent="0.25">
      <c r="A1053" s="1" t="s">
        <v>2023</v>
      </c>
      <c r="B1053" s="1" t="s">
        <v>104</v>
      </c>
      <c r="C1053" s="1" t="s">
        <v>972</v>
      </c>
      <c r="D1053" s="1" t="s">
        <v>67</v>
      </c>
      <c r="E1053" s="1" t="s">
        <v>61</v>
      </c>
      <c r="F1053" s="1" t="s">
        <v>18</v>
      </c>
      <c r="G1053" s="1">
        <v>49343</v>
      </c>
      <c r="H1053" s="63">
        <v>45631</v>
      </c>
      <c r="I1053" s="63">
        <v>45802</v>
      </c>
      <c r="J1053" s="1">
        <v>171</v>
      </c>
      <c r="K1053" s="1">
        <v>5.7</v>
      </c>
      <c r="L1053" s="1" t="s">
        <v>29</v>
      </c>
      <c r="M1053" s="1" t="s">
        <v>42</v>
      </c>
      <c r="N1053" s="1" t="str">
        <f t="shared" si="16"/>
        <v>Normal</v>
      </c>
    </row>
    <row r="1054" spans="1:14" x14ac:dyDescent="0.25">
      <c r="A1054" s="1" t="s">
        <v>2025</v>
      </c>
      <c r="B1054" s="1" t="s">
        <v>127</v>
      </c>
      <c r="C1054" s="1" t="s">
        <v>946</v>
      </c>
      <c r="D1054" s="1" t="s">
        <v>39</v>
      </c>
      <c r="E1054" s="1" t="s">
        <v>77</v>
      </c>
      <c r="F1054" s="1" t="s">
        <v>33</v>
      </c>
      <c r="G1054" s="1">
        <v>410761</v>
      </c>
      <c r="H1054" s="63">
        <v>45336</v>
      </c>
      <c r="J1054" s="1"/>
      <c r="K1054" s="1">
        <v>7.5</v>
      </c>
      <c r="L1054" s="1" t="s">
        <v>20</v>
      </c>
      <c r="M1054" s="1" t="s">
        <v>69</v>
      </c>
      <c r="N1054" s="1" t="str">
        <f t="shared" si="16"/>
        <v>Normal</v>
      </c>
    </row>
    <row r="1055" spans="1:14" x14ac:dyDescent="0.25">
      <c r="A1055" s="1" t="s">
        <v>2026</v>
      </c>
      <c r="B1055" s="1" t="s">
        <v>109</v>
      </c>
      <c r="C1055" s="1" t="s">
        <v>213</v>
      </c>
      <c r="D1055" s="1" t="s">
        <v>25</v>
      </c>
      <c r="E1055" s="1" t="s">
        <v>77</v>
      </c>
      <c r="F1055" s="1" t="s">
        <v>53</v>
      </c>
      <c r="G1055" s="1">
        <v>92525</v>
      </c>
      <c r="H1055" s="63">
        <v>45630</v>
      </c>
      <c r="J1055" s="1"/>
      <c r="K1055" s="1">
        <v>13.9</v>
      </c>
      <c r="L1055" s="1" t="s">
        <v>20</v>
      </c>
      <c r="M1055" s="1" t="s">
        <v>42</v>
      </c>
      <c r="N1055" s="1" t="str">
        <f t="shared" si="16"/>
        <v>Normal</v>
      </c>
    </row>
    <row r="1056" spans="1:14" x14ac:dyDescent="0.25">
      <c r="A1056" s="1" t="s">
        <v>2028</v>
      </c>
      <c r="B1056" s="1" t="s">
        <v>173</v>
      </c>
      <c r="C1056" s="1" t="s">
        <v>364</v>
      </c>
      <c r="D1056" s="1" t="s">
        <v>67</v>
      </c>
      <c r="E1056" s="1" t="s">
        <v>72</v>
      </c>
      <c r="F1056" s="1" t="s">
        <v>27</v>
      </c>
      <c r="G1056" s="1">
        <v>363674</v>
      </c>
      <c r="H1056" s="63">
        <v>45408</v>
      </c>
      <c r="J1056" s="1"/>
      <c r="K1056" s="1">
        <v>5.5</v>
      </c>
      <c r="L1056" s="1" t="s">
        <v>20</v>
      </c>
      <c r="M1056" s="1" t="s">
        <v>107</v>
      </c>
      <c r="N1056" s="1" t="str">
        <f t="shared" si="16"/>
        <v>Normal</v>
      </c>
    </row>
    <row r="1057" spans="1:14" x14ac:dyDescent="0.25">
      <c r="A1057" s="1" t="s">
        <v>2029</v>
      </c>
      <c r="B1057" s="1" t="s">
        <v>98</v>
      </c>
      <c r="C1057" s="1" t="s">
        <v>1339</v>
      </c>
      <c r="D1057" s="1" t="s">
        <v>25</v>
      </c>
      <c r="E1057" s="1" t="s">
        <v>72</v>
      </c>
      <c r="F1057" s="1" t="s">
        <v>40</v>
      </c>
      <c r="G1057" s="1">
        <v>495808</v>
      </c>
      <c r="H1057" s="63">
        <v>45048</v>
      </c>
      <c r="I1057" s="63">
        <v>45081</v>
      </c>
      <c r="J1057" s="1">
        <v>33</v>
      </c>
      <c r="K1057" s="1">
        <v>13.7</v>
      </c>
      <c r="L1057" s="1" t="s">
        <v>49</v>
      </c>
      <c r="M1057" s="1" t="s">
        <v>30</v>
      </c>
      <c r="N1057" s="1" t="str">
        <f t="shared" si="16"/>
        <v>Normal</v>
      </c>
    </row>
    <row r="1058" spans="1:14" x14ac:dyDescent="0.25">
      <c r="A1058" s="1" t="s">
        <v>2030</v>
      </c>
      <c r="B1058" s="1" t="s">
        <v>14</v>
      </c>
      <c r="C1058" s="1" t="s">
        <v>174</v>
      </c>
      <c r="D1058" s="1" t="s">
        <v>46</v>
      </c>
      <c r="E1058" s="1" t="s">
        <v>77</v>
      </c>
      <c r="F1058" s="1" t="s">
        <v>18</v>
      </c>
      <c r="G1058" s="1">
        <v>1022571</v>
      </c>
      <c r="H1058" s="63">
        <v>45699</v>
      </c>
      <c r="I1058" s="63">
        <v>45869</v>
      </c>
      <c r="J1058" s="1">
        <v>170</v>
      </c>
      <c r="K1058" s="1">
        <v>15</v>
      </c>
      <c r="L1058" s="1" t="s">
        <v>29</v>
      </c>
      <c r="M1058" s="1" t="s">
        <v>63</v>
      </c>
      <c r="N1058" s="1" t="str">
        <f t="shared" si="16"/>
        <v>High Outlier</v>
      </c>
    </row>
    <row r="1059" spans="1:14" x14ac:dyDescent="0.25">
      <c r="A1059" s="1" t="s">
        <v>2031</v>
      </c>
      <c r="B1059" s="1" t="s">
        <v>173</v>
      </c>
      <c r="C1059" s="1" t="s">
        <v>213</v>
      </c>
      <c r="D1059" s="1" t="s">
        <v>46</v>
      </c>
      <c r="E1059" s="1" t="s">
        <v>47</v>
      </c>
      <c r="F1059" s="1" t="s">
        <v>33</v>
      </c>
      <c r="G1059" s="1">
        <v>254770</v>
      </c>
      <c r="H1059" s="63">
        <v>45004</v>
      </c>
      <c r="J1059" s="1"/>
      <c r="K1059" s="1">
        <v>6.2</v>
      </c>
      <c r="L1059" s="1" t="s">
        <v>96</v>
      </c>
      <c r="M1059" s="1" t="s">
        <v>35</v>
      </c>
      <c r="N1059" s="1" t="str">
        <f t="shared" si="16"/>
        <v>Normal</v>
      </c>
    </row>
    <row r="1060" spans="1:14" x14ac:dyDescent="0.25">
      <c r="A1060" s="1" t="s">
        <v>2033</v>
      </c>
      <c r="B1060" s="1" t="s">
        <v>88</v>
      </c>
      <c r="C1060" s="1" t="s">
        <v>261</v>
      </c>
      <c r="D1060" s="1" t="s">
        <v>90</v>
      </c>
      <c r="E1060" s="1" t="s">
        <v>47</v>
      </c>
      <c r="F1060" s="1" t="s">
        <v>40</v>
      </c>
      <c r="G1060" s="1">
        <v>136962</v>
      </c>
      <c r="H1060" s="63">
        <v>44980</v>
      </c>
      <c r="I1060" s="63">
        <v>45145</v>
      </c>
      <c r="J1060" s="1">
        <v>165</v>
      </c>
      <c r="K1060" s="1">
        <v>2.5</v>
      </c>
      <c r="L1060" s="1" t="s">
        <v>96</v>
      </c>
      <c r="M1060" s="1" t="s">
        <v>35</v>
      </c>
      <c r="N1060" s="1" t="str">
        <f t="shared" si="16"/>
        <v>Normal</v>
      </c>
    </row>
    <row r="1061" spans="1:14" x14ac:dyDescent="0.25">
      <c r="A1061" s="1" t="s">
        <v>2034</v>
      </c>
      <c r="B1061" s="1" t="s">
        <v>65</v>
      </c>
      <c r="C1061" s="1" t="s">
        <v>1997</v>
      </c>
      <c r="D1061" s="1" t="s">
        <v>67</v>
      </c>
      <c r="E1061" s="1" t="s">
        <v>17</v>
      </c>
      <c r="F1061" s="1" t="s">
        <v>53</v>
      </c>
      <c r="G1061" s="1">
        <v>47244</v>
      </c>
      <c r="H1061" s="63">
        <v>45594</v>
      </c>
      <c r="J1061" s="1"/>
      <c r="K1061" s="1">
        <v>2.4</v>
      </c>
      <c r="L1061" s="1" t="s">
        <v>20</v>
      </c>
      <c r="M1061" s="1" t="s">
        <v>42</v>
      </c>
      <c r="N1061" s="1" t="str">
        <f t="shared" si="16"/>
        <v>Normal</v>
      </c>
    </row>
    <row r="1062" spans="1:14" x14ac:dyDescent="0.25">
      <c r="A1062" s="1" t="s">
        <v>2035</v>
      </c>
      <c r="B1062" s="1" t="s">
        <v>59</v>
      </c>
      <c r="C1062" s="1" t="s">
        <v>387</v>
      </c>
      <c r="D1062" s="1" t="s">
        <v>46</v>
      </c>
      <c r="E1062" s="1" t="s">
        <v>47</v>
      </c>
      <c r="F1062" s="1" t="s">
        <v>33</v>
      </c>
      <c r="G1062" s="1">
        <v>253669</v>
      </c>
      <c r="H1062" s="63">
        <v>45051</v>
      </c>
      <c r="J1062" s="1"/>
      <c r="K1062" s="1">
        <v>13</v>
      </c>
      <c r="L1062" s="1" t="s">
        <v>96</v>
      </c>
      <c r="M1062" s="1" t="s">
        <v>30</v>
      </c>
      <c r="N1062" s="1" t="str">
        <f t="shared" si="16"/>
        <v>Normal</v>
      </c>
    </row>
    <row r="1063" spans="1:14" x14ac:dyDescent="0.25">
      <c r="A1063" s="1" t="s">
        <v>2036</v>
      </c>
      <c r="B1063" s="1" t="s">
        <v>65</v>
      </c>
      <c r="C1063" s="1" t="s">
        <v>1776</v>
      </c>
      <c r="D1063" s="1" t="s">
        <v>90</v>
      </c>
      <c r="E1063" s="1" t="s">
        <v>94</v>
      </c>
      <c r="F1063" s="1" t="s">
        <v>40</v>
      </c>
      <c r="G1063" s="1">
        <v>383141</v>
      </c>
      <c r="H1063" s="63">
        <v>45329</v>
      </c>
      <c r="I1063" s="63">
        <v>45403</v>
      </c>
      <c r="J1063" s="1">
        <v>74</v>
      </c>
      <c r="K1063" s="1">
        <v>2.2000000000000002</v>
      </c>
      <c r="L1063" s="1" t="s">
        <v>96</v>
      </c>
      <c r="M1063" s="1" t="s">
        <v>69</v>
      </c>
      <c r="N1063" s="1" t="str">
        <f t="shared" si="16"/>
        <v>Normal</v>
      </c>
    </row>
    <row r="1064" spans="1:14" x14ac:dyDescent="0.25">
      <c r="A1064" s="1" t="s">
        <v>2037</v>
      </c>
      <c r="B1064" s="1" t="s">
        <v>173</v>
      </c>
      <c r="C1064" s="1" t="s">
        <v>244</v>
      </c>
      <c r="D1064" s="1" t="s">
        <v>46</v>
      </c>
      <c r="E1064" s="1" t="s">
        <v>94</v>
      </c>
      <c r="F1064" s="1" t="s">
        <v>27</v>
      </c>
      <c r="G1064" s="1">
        <v>445913</v>
      </c>
      <c r="H1064" s="63">
        <v>45528</v>
      </c>
      <c r="J1064" s="1"/>
      <c r="K1064" s="1">
        <v>2.5</v>
      </c>
      <c r="L1064" s="1" t="s">
        <v>20</v>
      </c>
      <c r="M1064" s="1" t="s">
        <v>149</v>
      </c>
      <c r="N1064" s="1" t="str">
        <f t="shared" si="16"/>
        <v>Normal</v>
      </c>
    </row>
    <row r="1065" spans="1:14" x14ac:dyDescent="0.25">
      <c r="A1065" s="1" t="s">
        <v>2039</v>
      </c>
      <c r="B1065" s="1" t="s">
        <v>65</v>
      </c>
      <c r="C1065" s="1" t="s">
        <v>939</v>
      </c>
      <c r="D1065" s="1" t="s">
        <v>67</v>
      </c>
      <c r="E1065" s="1" t="s">
        <v>61</v>
      </c>
      <c r="F1065" s="1" t="s">
        <v>40</v>
      </c>
      <c r="G1065" s="1">
        <v>70017</v>
      </c>
      <c r="H1065" s="63">
        <v>45694</v>
      </c>
      <c r="I1065" s="63">
        <v>45727</v>
      </c>
      <c r="J1065" s="1">
        <v>33</v>
      </c>
      <c r="K1065" s="1">
        <v>9.4</v>
      </c>
      <c r="L1065" s="1" t="s">
        <v>96</v>
      </c>
      <c r="M1065" s="1" t="s">
        <v>63</v>
      </c>
      <c r="N1065" s="1" t="str">
        <f t="shared" si="16"/>
        <v>Normal</v>
      </c>
    </row>
    <row r="1066" spans="1:14" x14ac:dyDescent="0.25">
      <c r="A1066" s="1" t="s">
        <v>2040</v>
      </c>
      <c r="B1066" s="1" t="s">
        <v>88</v>
      </c>
      <c r="C1066" s="1" t="s">
        <v>349</v>
      </c>
      <c r="D1066" s="1" t="s">
        <v>16</v>
      </c>
      <c r="E1066" s="1" t="s">
        <v>72</v>
      </c>
      <c r="F1066" s="1" t="s">
        <v>53</v>
      </c>
      <c r="G1066" s="1">
        <v>320522</v>
      </c>
      <c r="H1066" s="63">
        <v>45503</v>
      </c>
      <c r="J1066" s="1"/>
      <c r="K1066" s="1"/>
      <c r="L1066" s="1" t="s">
        <v>49</v>
      </c>
      <c r="M1066" s="1" t="s">
        <v>149</v>
      </c>
      <c r="N1066" s="1" t="str">
        <f t="shared" si="16"/>
        <v>Normal</v>
      </c>
    </row>
    <row r="1067" spans="1:14" x14ac:dyDescent="0.25">
      <c r="A1067" s="1" t="s">
        <v>2041</v>
      </c>
      <c r="B1067" s="1" t="s">
        <v>173</v>
      </c>
      <c r="C1067" s="1" t="s">
        <v>882</v>
      </c>
      <c r="D1067" s="1" t="s">
        <v>67</v>
      </c>
      <c r="E1067" s="1" t="s">
        <v>77</v>
      </c>
      <c r="F1067" s="1" t="s">
        <v>40</v>
      </c>
      <c r="G1067" s="1">
        <v>222085</v>
      </c>
      <c r="H1067" s="63">
        <v>44999</v>
      </c>
      <c r="I1067" s="63">
        <v>45015</v>
      </c>
      <c r="J1067" s="1">
        <v>16</v>
      </c>
      <c r="K1067" s="1">
        <v>0.4</v>
      </c>
      <c r="L1067" s="1" t="s">
        <v>29</v>
      </c>
      <c r="M1067" s="1" t="s">
        <v>35</v>
      </c>
      <c r="N1067" s="1" t="str">
        <f t="shared" si="16"/>
        <v>Normal</v>
      </c>
    </row>
    <row r="1068" spans="1:14" x14ac:dyDescent="0.25">
      <c r="A1068" s="1" t="s">
        <v>2042</v>
      </c>
      <c r="B1068" s="1" t="s">
        <v>84</v>
      </c>
      <c r="C1068" s="1" t="s">
        <v>32</v>
      </c>
      <c r="D1068" s="1" t="s">
        <v>16</v>
      </c>
      <c r="E1068" s="1" t="s">
        <v>77</v>
      </c>
      <c r="F1068" s="1" t="s">
        <v>27</v>
      </c>
      <c r="G1068" s="1">
        <v>269126</v>
      </c>
      <c r="H1068" s="63">
        <v>45139</v>
      </c>
      <c r="J1068" s="1"/>
      <c r="K1068" s="1">
        <v>5.9</v>
      </c>
      <c r="L1068" s="1" t="s">
        <v>96</v>
      </c>
      <c r="M1068" s="1" t="s">
        <v>102</v>
      </c>
      <c r="N1068" s="1" t="str">
        <f t="shared" si="16"/>
        <v>Normal</v>
      </c>
    </row>
    <row r="1069" spans="1:14" x14ac:dyDescent="0.25">
      <c r="A1069" s="1" t="s">
        <v>2043</v>
      </c>
      <c r="B1069" s="1" t="s">
        <v>84</v>
      </c>
      <c r="C1069" s="1" t="s">
        <v>928</v>
      </c>
      <c r="D1069" s="1" t="s">
        <v>39</v>
      </c>
      <c r="E1069" s="1" t="s">
        <v>47</v>
      </c>
      <c r="F1069" s="1" t="s">
        <v>40</v>
      </c>
      <c r="G1069" s="1">
        <v>90695</v>
      </c>
      <c r="H1069" s="63">
        <v>45059</v>
      </c>
      <c r="I1069" s="63">
        <v>45155</v>
      </c>
      <c r="J1069" s="1">
        <v>96</v>
      </c>
      <c r="K1069" s="1">
        <v>4.9000000000000004</v>
      </c>
      <c r="L1069" s="1" t="s">
        <v>96</v>
      </c>
      <c r="M1069" s="1" t="s">
        <v>30</v>
      </c>
      <c r="N1069" s="1" t="str">
        <f t="shared" si="16"/>
        <v>Normal</v>
      </c>
    </row>
    <row r="1070" spans="1:14" x14ac:dyDescent="0.25">
      <c r="A1070" s="1" t="s">
        <v>2044</v>
      </c>
      <c r="B1070" s="1" t="s">
        <v>98</v>
      </c>
      <c r="C1070" s="1" t="s">
        <v>141</v>
      </c>
      <c r="D1070" s="1" t="s">
        <v>46</v>
      </c>
      <c r="E1070" s="1" t="s">
        <v>72</v>
      </c>
      <c r="F1070" s="1" t="s">
        <v>33</v>
      </c>
      <c r="G1070" s="1">
        <v>75556</v>
      </c>
      <c r="H1070" s="63">
        <v>45671</v>
      </c>
      <c r="J1070" s="1"/>
      <c r="K1070" s="1"/>
      <c r="L1070" s="1" t="s">
        <v>96</v>
      </c>
      <c r="M1070" s="1" t="s">
        <v>63</v>
      </c>
      <c r="N1070" s="1" t="str">
        <f t="shared" si="16"/>
        <v>Normal</v>
      </c>
    </row>
    <row r="1071" spans="1:14" x14ac:dyDescent="0.25">
      <c r="A1071" s="1" t="s">
        <v>2046</v>
      </c>
      <c r="B1071" s="1" t="s">
        <v>37</v>
      </c>
      <c r="C1071" s="1" t="s">
        <v>2047</v>
      </c>
      <c r="D1071" s="1" t="s">
        <v>16</v>
      </c>
      <c r="E1071" s="1" t="s">
        <v>72</v>
      </c>
      <c r="F1071" s="1" t="s">
        <v>40</v>
      </c>
      <c r="G1071" s="1">
        <v>473485</v>
      </c>
      <c r="H1071" s="63">
        <v>45240</v>
      </c>
      <c r="I1071" s="63">
        <v>45307</v>
      </c>
      <c r="J1071" s="1">
        <v>67</v>
      </c>
      <c r="K1071" s="1">
        <v>7.3</v>
      </c>
      <c r="L1071" s="1" t="s">
        <v>29</v>
      </c>
      <c r="M1071" s="1" t="s">
        <v>21</v>
      </c>
      <c r="N1071" s="1" t="str">
        <f t="shared" si="16"/>
        <v>Normal</v>
      </c>
    </row>
    <row r="1072" spans="1:14" x14ac:dyDescent="0.25">
      <c r="A1072" s="1" t="s">
        <v>2049</v>
      </c>
      <c r="B1072" s="1" t="s">
        <v>59</v>
      </c>
      <c r="C1072" s="1" t="s">
        <v>460</v>
      </c>
      <c r="D1072" s="1" t="s">
        <v>90</v>
      </c>
      <c r="E1072" s="1" t="s">
        <v>94</v>
      </c>
      <c r="F1072" s="1" t="s">
        <v>53</v>
      </c>
      <c r="G1072" s="1">
        <v>328207</v>
      </c>
      <c r="H1072" s="63">
        <v>44942</v>
      </c>
      <c r="J1072" s="1"/>
      <c r="K1072" s="1">
        <v>7.9</v>
      </c>
      <c r="L1072" s="1" t="s">
        <v>96</v>
      </c>
      <c r="M1072" s="1" t="s">
        <v>35</v>
      </c>
      <c r="N1072" s="1" t="str">
        <f t="shared" si="16"/>
        <v>Normal</v>
      </c>
    </row>
    <row r="1073" spans="1:14" x14ac:dyDescent="0.25">
      <c r="A1073" s="1" t="s">
        <v>2051</v>
      </c>
      <c r="B1073" s="1" t="s">
        <v>80</v>
      </c>
      <c r="C1073" s="1" t="s">
        <v>521</v>
      </c>
      <c r="D1073" s="1" t="s">
        <v>46</v>
      </c>
      <c r="E1073" s="1" t="s">
        <v>47</v>
      </c>
      <c r="F1073" s="1" t="s">
        <v>40</v>
      </c>
      <c r="G1073" s="1">
        <v>193184</v>
      </c>
      <c r="H1073" s="63">
        <v>44960</v>
      </c>
      <c r="I1073" s="63">
        <v>45098</v>
      </c>
      <c r="J1073" s="1">
        <v>138</v>
      </c>
      <c r="K1073" s="1">
        <v>9.4</v>
      </c>
      <c r="L1073" s="1" t="s">
        <v>29</v>
      </c>
      <c r="M1073" s="1" t="s">
        <v>35</v>
      </c>
      <c r="N1073" s="1" t="str">
        <f t="shared" si="16"/>
        <v>Normal</v>
      </c>
    </row>
    <row r="1074" spans="1:14" x14ac:dyDescent="0.25">
      <c r="A1074" s="1" t="s">
        <v>2052</v>
      </c>
      <c r="B1074" s="1" t="s">
        <v>173</v>
      </c>
      <c r="C1074" s="1" t="s">
        <v>1028</v>
      </c>
      <c r="D1074" s="1" t="s">
        <v>39</v>
      </c>
      <c r="E1074" s="1" t="s">
        <v>100</v>
      </c>
      <c r="F1074" s="1" t="s">
        <v>18</v>
      </c>
      <c r="G1074" s="1">
        <v>463261</v>
      </c>
      <c r="H1074" s="63">
        <v>45236</v>
      </c>
      <c r="I1074" s="63">
        <v>45275</v>
      </c>
      <c r="J1074" s="1">
        <v>39</v>
      </c>
      <c r="K1074" s="1">
        <v>14.5</v>
      </c>
      <c r="L1074" s="1" t="s">
        <v>96</v>
      </c>
      <c r="M1074" s="1" t="s">
        <v>21</v>
      </c>
      <c r="N1074" s="1" t="str">
        <f t="shared" si="16"/>
        <v>Normal</v>
      </c>
    </row>
    <row r="1075" spans="1:14" x14ac:dyDescent="0.25">
      <c r="A1075" s="1" t="s">
        <v>2053</v>
      </c>
      <c r="B1075" s="1" t="s">
        <v>65</v>
      </c>
      <c r="C1075" s="1" t="s">
        <v>300</v>
      </c>
      <c r="D1075" s="1" t="s">
        <v>90</v>
      </c>
      <c r="E1075" s="1" t="s">
        <v>17</v>
      </c>
      <c r="F1075" s="1" t="s">
        <v>129</v>
      </c>
      <c r="G1075" s="1">
        <v>63912</v>
      </c>
      <c r="H1075" s="63">
        <v>45036</v>
      </c>
      <c r="J1075" s="1"/>
      <c r="K1075" s="1">
        <v>5.5</v>
      </c>
      <c r="L1075" s="1" t="s">
        <v>20</v>
      </c>
      <c r="M1075" s="1" t="s">
        <v>30</v>
      </c>
      <c r="N1075" s="1" t="str">
        <f t="shared" si="16"/>
        <v>Normal</v>
      </c>
    </row>
    <row r="1076" spans="1:14" x14ac:dyDescent="0.25">
      <c r="A1076" s="1" t="s">
        <v>2054</v>
      </c>
      <c r="B1076" s="1" t="s">
        <v>127</v>
      </c>
      <c r="C1076" s="1" t="s">
        <v>1074</v>
      </c>
      <c r="D1076" s="1" t="s">
        <v>46</v>
      </c>
      <c r="E1076" s="1" t="s">
        <v>17</v>
      </c>
      <c r="F1076" s="1" t="s">
        <v>53</v>
      </c>
      <c r="G1076" s="1">
        <v>461903</v>
      </c>
      <c r="H1076" s="63">
        <v>45199</v>
      </c>
      <c r="J1076" s="1"/>
      <c r="K1076" s="1">
        <v>4.3</v>
      </c>
      <c r="L1076" s="1" t="s">
        <v>29</v>
      </c>
      <c r="M1076" s="1" t="s">
        <v>102</v>
      </c>
      <c r="N1076" s="1" t="str">
        <f t="shared" si="16"/>
        <v>Normal</v>
      </c>
    </row>
    <row r="1077" spans="1:14" x14ac:dyDescent="0.25">
      <c r="A1077" s="1" t="s">
        <v>2055</v>
      </c>
      <c r="B1077" s="1" t="s">
        <v>80</v>
      </c>
      <c r="C1077" s="1" t="s">
        <v>303</v>
      </c>
      <c r="D1077" s="1" t="s">
        <v>46</v>
      </c>
      <c r="E1077" s="1" t="s">
        <v>77</v>
      </c>
      <c r="F1077" s="1" t="s">
        <v>33</v>
      </c>
      <c r="G1077" s="1">
        <v>213369</v>
      </c>
      <c r="H1077" s="63">
        <v>45072</v>
      </c>
      <c r="J1077" s="1"/>
      <c r="K1077" s="1">
        <v>1.4</v>
      </c>
      <c r="L1077" s="1" t="s">
        <v>20</v>
      </c>
      <c r="M1077" s="1" t="s">
        <v>30</v>
      </c>
      <c r="N1077" s="1" t="str">
        <f t="shared" si="16"/>
        <v>Normal</v>
      </c>
    </row>
    <row r="1078" spans="1:14" x14ac:dyDescent="0.25">
      <c r="A1078" s="1" t="s">
        <v>2056</v>
      </c>
      <c r="B1078" s="1" t="s">
        <v>84</v>
      </c>
      <c r="C1078" s="1" t="s">
        <v>1112</v>
      </c>
      <c r="D1078" s="1" t="s">
        <v>25</v>
      </c>
      <c r="E1078" s="1" t="s">
        <v>17</v>
      </c>
      <c r="F1078" s="1" t="s">
        <v>27</v>
      </c>
      <c r="G1078" s="1">
        <v>47774</v>
      </c>
      <c r="H1078" s="63">
        <v>45392</v>
      </c>
      <c r="J1078" s="1"/>
      <c r="K1078" s="1">
        <v>13.6</v>
      </c>
      <c r="L1078" s="1" t="s">
        <v>96</v>
      </c>
      <c r="M1078" s="1" t="s">
        <v>107</v>
      </c>
      <c r="N1078" s="1" t="str">
        <f t="shared" si="16"/>
        <v>Normal</v>
      </c>
    </row>
    <row r="1079" spans="1:14" x14ac:dyDescent="0.25">
      <c r="A1079" s="1" t="s">
        <v>2058</v>
      </c>
      <c r="B1079" s="1" t="s">
        <v>59</v>
      </c>
      <c r="C1079" s="1" t="s">
        <v>596</v>
      </c>
      <c r="D1079" s="1" t="s">
        <v>39</v>
      </c>
      <c r="E1079" s="1" t="s">
        <v>47</v>
      </c>
      <c r="F1079" s="1" t="s">
        <v>40</v>
      </c>
      <c r="G1079" s="1">
        <v>456676</v>
      </c>
      <c r="H1079" s="63">
        <v>45055</v>
      </c>
      <c r="I1079" s="63">
        <v>45126</v>
      </c>
      <c r="J1079" s="1">
        <v>71</v>
      </c>
      <c r="K1079" s="1">
        <v>20.100000000000001</v>
      </c>
      <c r="L1079" s="1" t="s">
        <v>29</v>
      </c>
      <c r="M1079" s="1" t="s">
        <v>30</v>
      </c>
      <c r="N1079" s="1" t="str">
        <f t="shared" si="16"/>
        <v>Normal</v>
      </c>
    </row>
    <row r="1080" spans="1:14" x14ac:dyDescent="0.25">
      <c r="A1080" s="1" t="s">
        <v>2060</v>
      </c>
      <c r="B1080" s="1" t="s">
        <v>98</v>
      </c>
      <c r="C1080" s="1" t="s">
        <v>436</v>
      </c>
      <c r="D1080" s="1" t="s">
        <v>39</v>
      </c>
      <c r="E1080" s="1" t="s">
        <v>72</v>
      </c>
      <c r="F1080" s="1" t="s">
        <v>40</v>
      </c>
      <c r="G1080" s="1">
        <v>350313</v>
      </c>
      <c r="H1080" s="63">
        <v>45478</v>
      </c>
      <c r="I1080" s="63">
        <v>45500</v>
      </c>
      <c r="J1080" s="1">
        <v>22</v>
      </c>
      <c r="K1080" s="1">
        <v>20.399999999999999</v>
      </c>
      <c r="L1080" s="1" t="s">
        <v>20</v>
      </c>
      <c r="M1080" s="1" t="s">
        <v>149</v>
      </c>
      <c r="N1080" s="1" t="str">
        <f t="shared" si="16"/>
        <v>Normal</v>
      </c>
    </row>
    <row r="1081" spans="1:14" x14ac:dyDescent="0.25">
      <c r="A1081" s="1" t="s">
        <v>2062</v>
      </c>
      <c r="B1081" s="1" t="s">
        <v>37</v>
      </c>
      <c r="C1081" s="1" t="s">
        <v>767</v>
      </c>
      <c r="D1081" s="1" t="s">
        <v>16</v>
      </c>
      <c r="E1081" s="1" t="s">
        <v>72</v>
      </c>
      <c r="F1081" s="1" t="s">
        <v>40</v>
      </c>
      <c r="G1081" s="1">
        <v>491136</v>
      </c>
      <c r="H1081" s="63">
        <v>44996</v>
      </c>
      <c r="I1081" s="63">
        <v>45139</v>
      </c>
      <c r="J1081" s="1">
        <v>143</v>
      </c>
      <c r="K1081" s="1">
        <v>1.9</v>
      </c>
      <c r="L1081" s="1" t="s">
        <v>49</v>
      </c>
      <c r="M1081" s="1" t="s">
        <v>35</v>
      </c>
      <c r="N1081" s="1" t="str">
        <f t="shared" si="16"/>
        <v>Normal</v>
      </c>
    </row>
    <row r="1082" spans="1:14" x14ac:dyDescent="0.25">
      <c r="A1082" s="1" t="s">
        <v>2064</v>
      </c>
      <c r="B1082" s="1" t="s">
        <v>59</v>
      </c>
      <c r="C1082" s="1" t="s">
        <v>972</v>
      </c>
      <c r="D1082" s="1" t="s">
        <v>16</v>
      </c>
      <c r="E1082" s="1" t="s">
        <v>4845</v>
      </c>
      <c r="F1082" s="1" t="s">
        <v>40</v>
      </c>
      <c r="G1082" s="1">
        <v>398958</v>
      </c>
      <c r="H1082" s="63">
        <v>45414</v>
      </c>
      <c r="I1082" s="63">
        <v>45519</v>
      </c>
      <c r="J1082" s="1">
        <v>105</v>
      </c>
      <c r="K1082" s="1">
        <v>3.3</v>
      </c>
      <c r="L1082" s="1" t="s">
        <v>49</v>
      </c>
      <c r="M1082" s="1" t="s">
        <v>107</v>
      </c>
      <c r="N1082" s="1" t="str">
        <f t="shared" si="16"/>
        <v>Normal</v>
      </c>
    </row>
    <row r="1083" spans="1:14" x14ac:dyDescent="0.25">
      <c r="A1083" s="1" t="s">
        <v>2066</v>
      </c>
      <c r="B1083" s="1" t="s">
        <v>88</v>
      </c>
      <c r="C1083" s="1" t="s">
        <v>882</v>
      </c>
      <c r="D1083" s="1" t="s">
        <v>90</v>
      </c>
      <c r="E1083" s="1" t="s">
        <v>47</v>
      </c>
      <c r="F1083" s="1" t="s">
        <v>33</v>
      </c>
      <c r="G1083" s="1">
        <v>387078</v>
      </c>
      <c r="H1083" s="63">
        <v>45458</v>
      </c>
      <c r="J1083" s="1"/>
      <c r="K1083" s="1">
        <v>3.9</v>
      </c>
      <c r="L1083" s="1" t="s">
        <v>20</v>
      </c>
      <c r="M1083" s="1" t="s">
        <v>107</v>
      </c>
      <c r="N1083" s="1" t="str">
        <f t="shared" si="16"/>
        <v>Normal</v>
      </c>
    </row>
    <row r="1084" spans="1:14" x14ac:dyDescent="0.25">
      <c r="A1084" s="1" t="s">
        <v>2068</v>
      </c>
      <c r="B1084" s="1" t="s">
        <v>59</v>
      </c>
      <c r="C1084" s="1" t="s">
        <v>869</v>
      </c>
      <c r="D1084" s="1" t="s">
        <v>90</v>
      </c>
      <c r="E1084" s="1" t="s">
        <v>26</v>
      </c>
      <c r="F1084" s="1" t="s">
        <v>40</v>
      </c>
      <c r="G1084" s="1">
        <v>147926</v>
      </c>
      <c r="H1084" s="63">
        <v>45062</v>
      </c>
      <c r="I1084" s="63">
        <v>45211</v>
      </c>
      <c r="J1084" s="1">
        <v>149</v>
      </c>
      <c r="K1084" s="1">
        <v>5.3</v>
      </c>
      <c r="L1084" s="1" t="s">
        <v>96</v>
      </c>
      <c r="M1084" s="1" t="s">
        <v>30</v>
      </c>
      <c r="N1084" s="1" t="str">
        <f t="shared" si="16"/>
        <v>Normal</v>
      </c>
    </row>
    <row r="1085" spans="1:14" x14ac:dyDescent="0.25">
      <c r="A1085" s="1" t="s">
        <v>2069</v>
      </c>
      <c r="B1085" s="1" t="s">
        <v>75</v>
      </c>
      <c r="C1085" s="1" t="s">
        <v>471</v>
      </c>
      <c r="D1085" s="1" t="s">
        <v>25</v>
      </c>
      <c r="E1085" s="1" t="s">
        <v>100</v>
      </c>
      <c r="F1085" s="1" t="s">
        <v>53</v>
      </c>
      <c r="G1085" s="1">
        <v>325945</v>
      </c>
      <c r="H1085" s="63">
        <v>45715</v>
      </c>
      <c r="J1085" s="1"/>
      <c r="K1085" s="1">
        <v>5.7</v>
      </c>
      <c r="L1085" s="1" t="s">
        <v>96</v>
      </c>
      <c r="M1085" s="1" t="s">
        <v>63</v>
      </c>
      <c r="N1085" s="1" t="str">
        <f t="shared" si="16"/>
        <v>Normal</v>
      </c>
    </row>
    <row r="1086" spans="1:14" x14ac:dyDescent="0.25">
      <c r="A1086" s="1" t="s">
        <v>2071</v>
      </c>
      <c r="B1086" s="1" t="s">
        <v>104</v>
      </c>
      <c r="C1086" s="1" t="s">
        <v>32</v>
      </c>
      <c r="D1086" s="1" t="s">
        <v>39</v>
      </c>
      <c r="E1086" s="1" t="s">
        <v>100</v>
      </c>
      <c r="F1086" s="1" t="s">
        <v>40</v>
      </c>
      <c r="G1086" s="1">
        <v>293027</v>
      </c>
      <c r="H1086" s="63">
        <v>45239</v>
      </c>
      <c r="I1086" s="63">
        <v>45352</v>
      </c>
      <c r="J1086" s="1">
        <v>113</v>
      </c>
      <c r="K1086" s="1">
        <v>4.4000000000000004</v>
      </c>
      <c r="L1086" s="1" t="s">
        <v>29</v>
      </c>
      <c r="M1086" s="1" t="s">
        <v>21</v>
      </c>
      <c r="N1086" s="1" t="str">
        <f t="shared" si="16"/>
        <v>Normal</v>
      </c>
    </row>
    <row r="1087" spans="1:14" x14ac:dyDescent="0.25">
      <c r="A1087" s="1" t="s">
        <v>2073</v>
      </c>
      <c r="B1087" s="1" t="s">
        <v>127</v>
      </c>
      <c r="C1087" s="1" t="s">
        <v>1021</v>
      </c>
      <c r="D1087" s="1" t="s">
        <v>67</v>
      </c>
      <c r="E1087" s="1" t="s">
        <v>72</v>
      </c>
      <c r="F1087" s="1" t="s">
        <v>53</v>
      </c>
      <c r="G1087" s="1">
        <v>263816</v>
      </c>
      <c r="H1087" s="63">
        <v>45516</v>
      </c>
      <c r="J1087" s="1"/>
      <c r="K1087" s="1">
        <v>7.1</v>
      </c>
      <c r="L1087" s="1" t="s">
        <v>20</v>
      </c>
      <c r="M1087" s="1" t="s">
        <v>149</v>
      </c>
      <c r="N1087" s="1" t="str">
        <f t="shared" si="16"/>
        <v>Normal</v>
      </c>
    </row>
    <row r="1088" spans="1:14" x14ac:dyDescent="0.25">
      <c r="A1088" s="1" t="s">
        <v>2074</v>
      </c>
      <c r="B1088" s="1" t="s">
        <v>59</v>
      </c>
      <c r="C1088" s="1" t="s">
        <v>1462</v>
      </c>
      <c r="D1088" s="1" t="s">
        <v>90</v>
      </c>
      <c r="E1088" s="1" t="s">
        <v>61</v>
      </c>
      <c r="F1088" s="1" t="s">
        <v>53</v>
      </c>
      <c r="G1088" s="1">
        <v>369395</v>
      </c>
      <c r="H1088" s="63">
        <v>45741</v>
      </c>
      <c r="J1088" s="1"/>
      <c r="K1088" s="1">
        <v>5.3</v>
      </c>
      <c r="L1088" s="1" t="s">
        <v>49</v>
      </c>
      <c r="M1088" s="1" t="s">
        <v>63</v>
      </c>
      <c r="N1088" s="1" t="str">
        <f t="shared" si="16"/>
        <v>Normal</v>
      </c>
    </row>
    <row r="1089" spans="1:14" x14ac:dyDescent="0.25">
      <c r="A1089" s="1" t="s">
        <v>2076</v>
      </c>
      <c r="B1089" s="1" t="s">
        <v>44</v>
      </c>
      <c r="C1089" s="1" t="s">
        <v>457</v>
      </c>
      <c r="D1089" s="1" t="s">
        <v>67</v>
      </c>
      <c r="E1089" s="1" t="s">
        <v>47</v>
      </c>
      <c r="F1089" s="1" t="s">
        <v>40</v>
      </c>
      <c r="G1089" s="1">
        <v>184136</v>
      </c>
      <c r="H1089" s="63">
        <v>44975</v>
      </c>
      <c r="I1089" s="63">
        <v>45063</v>
      </c>
      <c r="J1089" s="1">
        <v>88</v>
      </c>
      <c r="K1089" s="1">
        <v>13.3</v>
      </c>
      <c r="L1089" s="1" t="s">
        <v>49</v>
      </c>
      <c r="M1089" s="1" t="s">
        <v>35</v>
      </c>
      <c r="N1089" s="1" t="str">
        <f t="shared" si="16"/>
        <v>Normal</v>
      </c>
    </row>
    <row r="1090" spans="1:14" x14ac:dyDescent="0.25">
      <c r="A1090" s="1" t="s">
        <v>2077</v>
      </c>
      <c r="B1090" s="1" t="s">
        <v>98</v>
      </c>
      <c r="C1090" s="1" t="s">
        <v>66</v>
      </c>
      <c r="D1090" s="1" t="s">
        <v>39</v>
      </c>
      <c r="E1090" s="1" t="s">
        <v>77</v>
      </c>
      <c r="F1090" s="1" t="s">
        <v>53</v>
      </c>
      <c r="G1090" s="1">
        <v>487419</v>
      </c>
      <c r="H1090" s="63">
        <v>45513</v>
      </c>
      <c r="J1090" s="1"/>
      <c r="K1090" s="1">
        <v>0</v>
      </c>
      <c r="L1090" s="1" t="s">
        <v>29</v>
      </c>
      <c r="M1090" s="1" t="s">
        <v>149</v>
      </c>
      <c r="N1090" s="1" t="str">
        <f t="shared" ref="N1090:N1153" si="17">IF(G1090&gt;$R$5,"High Outlier",IF(G1090&lt;$R$6,"Low Outlier","Normal"))</f>
        <v>Normal</v>
      </c>
    </row>
    <row r="1091" spans="1:14" x14ac:dyDescent="0.25">
      <c r="A1091" s="1" t="s">
        <v>2078</v>
      </c>
      <c r="B1091" s="1" t="s">
        <v>65</v>
      </c>
      <c r="C1091" s="1" t="s">
        <v>162</v>
      </c>
      <c r="D1091" s="1" t="s">
        <v>90</v>
      </c>
      <c r="E1091" s="1" t="s">
        <v>94</v>
      </c>
      <c r="F1091" s="1" t="s">
        <v>40</v>
      </c>
      <c r="G1091" s="1">
        <v>257068</v>
      </c>
      <c r="H1091" s="63">
        <v>45239</v>
      </c>
      <c r="I1091" s="63">
        <v>45256</v>
      </c>
      <c r="J1091" s="1">
        <v>17</v>
      </c>
      <c r="K1091" s="1">
        <v>21.5</v>
      </c>
      <c r="L1091" s="1" t="s">
        <v>49</v>
      </c>
      <c r="M1091" s="1" t="s">
        <v>21</v>
      </c>
      <c r="N1091" s="1" t="str">
        <f t="shared" si="17"/>
        <v>Normal</v>
      </c>
    </row>
    <row r="1092" spans="1:14" x14ac:dyDescent="0.25">
      <c r="A1092" s="1" t="s">
        <v>2079</v>
      </c>
      <c r="B1092" s="1" t="s">
        <v>65</v>
      </c>
      <c r="C1092" s="1" t="s">
        <v>809</v>
      </c>
      <c r="D1092" s="1" t="s">
        <v>16</v>
      </c>
      <c r="E1092" s="1" t="s">
        <v>72</v>
      </c>
      <c r="F1092" s="1" t="s">
        <v>33</v>
      </c>
      <c r="G1092" s="1">
        <v>402463</v>
      </c>
      <c r="H1092" s="63">
        <v>45132</v>
      </c>
      <c r="J1092" s="1"/>
      <c r="K1092" s="1">
        <v>5</v>
      </c>
      <c r="L1092" s="1" t="s">
        <v>20</v>
      </c>
      <c r="M1092" s="1" t="s">
        <v>102</v>
      </c>
      <c r="N1092" s="1" t="str">
        <f t="shared" si="17"/>
        <v>Normal</v>
      </c>
    </row>
    <row r="1093" spans="1:14" x14ac:dyDescent="0.25">
      <c r="A1093" s="1" t="s">
        <v>2081</v>
      </c>
      <c r="B1093" s="1" t="s">
        <v>75</v>
      </c>
      <c r="C1093" s="1" t="s">
        <v>1582</v>
      </c>
      <c r="D1093" s="1" t="s">
        <v>46</v>
      </c>
      <c r="E1093" s="1" t="s">
        <v>61</v>
      </c>
      <c r="F1093" s="1" t="s">
        <v>33</v>
      </c>
      <c r="G1093" s="1">
        <v>117901</v>
      </c>
      <c r="H1093" s="63">
        <v>45649</v>
      </c>
      <c r="J1093" s="1"/>
      <c r="K1093" s="1">
        <v>12.6</v>
      </c>
      <c r="L1093" s="1" t="s">
        <v>96</v>
      </c>
      <c r="M1093" s="1" t="s">
        <v>42</v>
      </c>
      <c r="N1093" s="1" t="str">
        <f t="shared" si="17"/>
        <v>Normal</v>
      </c>
    </row>
    <row r="1094" spans="1:14" x14ac:dyDescent="0.25">
      <c r="A1094" s="1" t="s">
        <v>2083</v>
      </c>
      <c r="B1094" s="1" t="s">
        <v>14</v>
      </c>
      <c r="C1094" s="1" t="s">
        <v>250</v>
      </c>
      <c r="D1094" s="1" t="s">
        <v>90</v>
      </c>
      <c r="E1094" s="1" t="s">
        <v>26</v>
      </c>
      <c r="F1094" s="1" t="s">
        <v>129</v>
      </c>
      <c r="G1094" s="1">
        <v>194726</v>
      </c>
      <c r="H1094" s="63">
        <v>45117</v>
      </c>
      <c r="J1094" s="1"/>
      <c r="K1094" s="1"/>
      <c r="L1094" s="1" t="s">
        <v>29</v>
      </c>
      <c r="M1094" s="1" t="s">
        <v>102</v>
      </c>
      <c r="N1094" s="1" t="str">
        <f t="shared" si="17"/>
        <v>Normal</v>
      </c>
    </row>
    <row r="1095" spans="1:14" x14ac:dyDescent="0.25">
      <c r="A1095" s="1" t="s">
        <v>2084</v>
      </c>
      <c r="B1095" s="1" t="s">
        <v>80</v>
      </c>
      <c r="C1095" s="1" t="s">
        <v>154</v>
      </c>
      <c r="D1095" s="1" t="s">
        <v>67</v>
      </c>
      <c r="E1095" s="1" t="s">
        <v>72</v>
      </c>
      <c r="F1095" s="1" t="s">
        <v>40</v>
      </c>
      <c r="G1095" s="1">
        <v>428668</v>
      </c>
      <c r="H1095" s="63">
        <v>45297</v>
      </c>
      <c r="I1095" s="63">
        <v>45378</v>
      </c>
      <c r="J1095" s="1">
        <v>81</v>
      </c>
      <c r="K1095" s="1">
        <v>10.5</v>
      </c>
      <c r="L1095" s="1" t="s">
        <v>20</v>
      </c>
      <c r="M1095" s="1" t="s">
        <v>69</v>
      </c>
      <c r="N1095" s="1" t="str">
        <f t="shared" si="17"/>
        <v>Normal</v>
      </c>
    </row>
    <row r="1096" spans="1:14" x14ac:dyDescent="0.25">
      <c r="A1096" s="1" t="s">
        <v>2085</v>
      </c>
      <c r="B1096" s="1" t="s">
        <v>65</v>
      </c>
      <c r="C1096" s="1" t="s">
        <v>946</v>
      </c>
      <c r="D1096" s="1" t="s">
        <v>46</v>
      </c>
      <c r="E1096" s="1" t="s">
        <v>17</v>
      </c>
      <c r="F1096" s="1" t="s">
        <v>33</v>
      </c>
      <c r="G1096" s="1">
        <v>324615</v>
      </c>
      <c r="H1096" s="63">
        <v>45034</v>
      </c>
      <c r="J1096" s="1"/>
      <c r="K1096" s="1"/>
      <c r="L1096" s="1" t="s">
        <v>49</v>
      </c>
      <c r="M1096" s="1" t="s">
        <v>30</v>
      </c>
      <c r="N1096" s="1" t="str">
        <f t="shared" si="17"/>
        <v>Normal</v>
      </c>
    </row>
    <row r="1097" spans="1:14" x14ac:dyDescent="0.25">
      <c r="A1097" s="1" t="s">
        <v>2087</v>
      </c>
      <c r="B1097" s="1" t="s">
        <v>37</v>
      </c>
      <c r="C1097" s="1" t="s">
        <v>237</v>
      </c>
      <c r="D1097" s="1" t="s">
        <v>46</v>
      </c>
      <c r="E1097" s="1" t="s">
        <v>17</v>
      </c>
      <c r="F1097" s="1" t="s">
        <v>18</v>
      </c>
      <c r="G1097" s="1">
        <v>107634</v>
      </c>
      <c r="H1097" s="63">
        <v>45051</v>
      </c>
      <c r="I1097" s="63">
        <v>45166</v>
      </c>
      <c r="J1097" s="1">
        <v>115</v>
      </c>
      <c r="K1097" s="1">
        <v>11.8</v>
      </c>
      <c r="L1097" s="1" t="s">
        <v>20</v>
      </c>
      <c r="M1097" s="1" t="s">
        <v>30</v>
      </c>
      <c r="N1097" s="1" t="str">
        <f t="shared" si="17"/>
        <v>Normal</v>
      </c>
    </row>
    <row r="1098" spans="1:14" x14ac:dyDescent="0.25">
      <c r="A1098" s="1" t="s">
        <v>2088</v>
      </c>
      <c r="B1098" s="1" t="s">
        <v>84</v>
      </c>
      <c r="C1098" s="1" t="s">
        <v>574</v>
      </c>
      <c r="D1098" s="1" t="s">
        <v>67</v>
      </c>
      <c r="E1098" s="1" t="s">
        <v>94</v>
      </c>
      <c r="F1098" s="1" t="s">
        <v>40</v>
      </c>
      <c r="G1098" s="1">
        <v>144440</v>
      </c>
      <c r="H1098" s="63">
        <v>45648</v>
      </c>
      <c r="I1098" s="63">
        <v>45768</v>
      </c>
      <c r="J1098" s="1">
        <v>120</v>
      </c>
      <c r="K1098" s="1">
        <v>22.3</v>
      </c>
      <c r="L1098" s="1" t="s">
        <v>20</v>
      </c>
      <c r="M1098" s="1" t="s">
        <v>42</v>
      </c>
      <c r="N1098" s="1" t="str">
        <f t="shared" si="17"/>
        <v>Normal</v>
      </c>
    </row>
    <row r="1099" spans="1:14" x14ac:dyDescent="0.25">
      <c r="A1099" s="1" t="s">
        <v>2089</v>
      </c>
      <c r="B1099" s="1" t="s">
        <v>109</v>
      </c>
      <c r="C1099" s="1" t="s">
        <v>390</v>
      </c>
      <c r="D1099" s="1" t="s">
        <v>39</v>
      </c>
      <c r="E1099" s="1" t="s">
        <v>100</v>
      </c>
      <c r="F1099" s="1" t="s">
        <v>53</v>
      </c>
      <c r="G1099" s="1">
        <v>180182</v>
      </c>
      <c r="H1099" s="63">
        <v>45598</v>
      </c>
      <c r="J1099" s="1"/>
      <c r="K1099" s="1">
        <v>12.6</v>
      </c>
      <c r="L1099" s="1" t="s">
        <v>20</v>
      </c>
      <c r="M1099" s="1" t="s">
        <v>42</v>
      </c>
      <c r="N1099" s="1" t="str">
        <f t="shared" si="17"/>
        <v>Normal</v>
      </c>
    </row>
    <row r="1100" spans="1:14" x14ac:dyDescent="0.25">
      <c r="A1100" s="1" t="s">
        <v>2090</v>
      </c>
      <c r="B1100" s="1" t="s">
        <v>173</v>
      </c>
      <c r="C1100" s="1" t="s">
        <v>2091</v>
      </c>
      <c r="D1100" s="1" t="s">
        <v>67</v>
      </c>
      <c r="E1100" s="1" t="s">
        <v>17</v>
      </c>
      <c r="F1100" s="1" t="s">
        <v>129</v>
      </c>
      <c r="G1100" s="1">
        <v>356244</v>
      </c>
      <c r="H1100" s="63">
        <v>45030</v>
      </c>
      <c r="J1100" s="1"/>
      <c r="K1100" s="1"/>
      <c r="L1100" s="1" t="s">
        <v>49</v>
      </c>
      <c r="M1100" s="1" t="s">
        <v>30</v>
      </c>
      <c r="N1100" s="1" t="str">
        <f t="shared" si="17"/>
        <v>Normal</v>
      </c>
    </row>
    <row r="1101" spans="1:14" x14ac:dyDescent="0.25">
      <c r="A1101" s="1" t="s">
        <v>2092</v>
      </c>
      <c r="B1101" s="1" t="s">
        <v>80</v>
      </c>
      <c r="C1101" s="1" t="s">
        <v>237</v>
      </c>
      <c r="D1101" s="1" t="s">
        <v>39</v>
      </c>
      <c r="E1101" s="1" t="s">
        <v>61</v>
      </c>
      <c r="F1101" s="1" t="s">
        <v>40</v>
      </c>
      <c r="G1101" s="1">
        <v>349253</v>
      </c>
      <c r="H1101" s="63">
        <v>45474</v>
      </c>
      <c r="I1101" s="63">
        <v>45576</v>
      </c>
      <c r="J1101" s="1">
        <v>102</v>
      </c>
      <c r="K1101" s="1">
        <v>11.5</v>
      </c>
      <c r="L1101" s="1" t="s">
        <v>49</v>
      </c>
      <c r="M1101" s="1" t="s">
        <v>149</v>
      </c>
      <c r="N1101" s="1" t="str">
        <f t="shared" si="17"/>
        <v>Normal</v>
      </c>
    </row>
    <row r="1102" spans="1:14" x14ac:dyDescent="0.25">
      <c r="A1102" s="1" t="s">
        <v>2094</v>
      </c>
      <c r="B1102" s="1" t="s">
        <v>88</v>
      </c>
      <c r="C1102" s="1" t="s">
        <v>273</v>
      </c>
      <c r="D1102" s="1" t="s">
        <v>39</v>
      </c>
      <c r="E1102" s="1" t="s">
        <v>47</v>
      </c>
      <c r="F1102" s="1" t="s">
        <v>129</v>
      </c>
      <c r="G1102" s="1">
        <v>183137</v>
      </c>
      <c r="H1102" s="63">
        <v>44936</v>
      </c>
      <c r="J1102" s="1"/>
      <c r="K1102" s="1">
        <v>11.8</v>
      </c>
      <c r="L1102" s="1" t="s">
        <v>20</v>
      </c>
      <c r="M1102" s="1" t="s">
        <v>35</v>
      </c>
      <c r="N1102" s="1" t="str">
        <f t="shared" si="17"/>
        <v>Normal</v>
      </c>
    </row>
    <row r="1103" spans="1:14" x14ac:dyDescent="0.25">
      <c r="A1103" s="1" t="s">
        <v>2096</v>
      </c>
      <c r="B1103" s="1" t="s">
        <v>127</v>
      </c>
      <c r="C1103" s="1" t="s">
        <v>805</v>
      </c>
      <c r="D1103" s="1" t="s">
        <v>67</v>
      </c>
      <c r="E1103" s="1" t="s">
        <v>94</v>
      </c>
      <c r="F1103" s="1" t="s">
        <v>53</v>
      </c>
      <c r="G1103" s="1">
        <v>170194</v>
      </c>
      <c r="H1103" s="63">
        <v>45011</v>
      </c>
      <c r="J1103" s="1"/>
      <c r="K1103" s="1"/>
      <c r="L1103" s="1" t="s">
        <v>29</v>
      </c>
      <c r="M1103" s="1" t="s">
        <v>35</v>
      </c>
      <c r="N1103" s="1" t="str">
        <f t="shared" si="17"/>
        <v>Normal</v>
      </c>
    </row>
    <row r="1104" spans="1:14" x14ac:dyDescent="0.25">
      <c r="A1104" s="1" t="s">
        <v>2097</v>
      </c>
      <c r="B1104" s="1" t="s">
        <v>127</v>
      </c>
      <c r="C1104" s="1" t="s">
        <v>292</v>
      </c>
      <c r="D1104" s="1" t="s">
        <v>25</v>
      </c>
      <c r="E1104" s="1" t="s">
        <v>26</v>
      </c>
      <c r="F1104" s="1" t="s">
        <v>27</v>
      </c>
      <c r="G1104" s="1">
        <v>900800</v>
      </c>
      <c r="H1104" s="63">
        <v>45079</v>
      </c>
      <c r="J1104" s="1"/>
      <c r="K1104" s="1"/>
      <c r="L1104" s="1" t="s">
        <v>20</v>
      </c>
      <c r="M1104" s="1" t="s">
        <v>30</v>
      </c>
      <c r="N1104" s="1" t="str">
        <f t="shared" si="17"/>
        <v>Normal</v>
      </c>
    </row>
    <row r="1105" spans="1:14" x14ac:dyDescent="0.25">
      <c r="A1105" s="1" t="s">
        <v>2099</v>
      </c>
      <c r="B1105" s="1" t="s">
        <v>84</v>
      </c>
      <c r="C1105" s="1" t="s">
        <v>1021</v>
      </c>
      <c r="D1105" s="1" t="s">
        <v>16</v>
      </c>
      <c r="E1105" s="1" t="s">
        <v>100</v>
      </c>
      <c r="F1105" s="1" t="s">
        <v>33</v>
      </c>
      <c r="G1105" s="1">
        <v>443974</v>
      </c>
      <c r="H1105" s="63">
        <v>44980</v>
      </c>
      <c r="J1105" s="1"/>
      <c r="K1105" s="1">
        <v>3</v>
      </c>
      <c r="L1105" s="1" t="s">
        <v>29</v>
      </c>
      <c r="M1105" s="1" t="s">
        <v>35</v>
      </c>
      <c r="N1105" s="1" t="str">
        <f t="shared" si="17"/>
        <v>Normal</v>
      </c>
    </row>
    <row r="1106" spans="1:14" x14ac:dyDescent="0.25">
      <c r="A1106" s="1" t="s">
        <v>2100</v>
      </c>
      <c r="B1106" s="1" t="s">
        <v>127</v>
      </c>
      <c r="C1106" s="1" t="s">
        <v>192</v>
      </c>
      <c r="D1106" s="1" t="s">
        <v>25</v>
      </c>
      <c r="E1106" s="1" t="s">
        <v>72</v>
      </c>
      <c r="F1106" s="1" t="s">
        <v>53</v>
      </c>
      <c r="G1106" s="1">
        <v>319496</v>
      </c>
      <c r="H1106" s="63">
        <v>45050</v>
      </c>
      <c r="J1106" s="1"/>
      <c r="K1106" s="1">
        <v>12.2</v>
      </c>
      <c r="L1106" s="1" t="s">
        <v>49</v>
      </c>
      <c r="M1106" s="1" t="s">
        <v>30</v>
      </c>
      <c r="N1106" s="1" t="str">
        <f t="shared" si="17"/>
        <v>Normal</v>
      </c>
    </row>
    <row r="1107" spans="1:14" x14ac:dyDescent="0.25">
      <c r="A1107" s="1" t="s">
        <v>2101</v>
      </c>
      <c r="B1107" s="1" t="s">
        <v>59</v>
      </c>
      <c r="C1107" s="1" t="s">
        <v>928</v>
      </c>
      <c r="D1107" s="1" t="s">
        <v>46</v>
      </c>
      <c r="E1107" s="1" t="s">
        <v>72</v>
      </c>
      <c r="F1107" s="1" t="s">
        <v>33</v>
      </c>
      <c r="G1107" s="1">
        <v>384484</v>
      </c>
      <c r="H1107" s="63">
        <v>45260</v>
      </c>
      <c r="J1107" s="1"/>
      <c r="K1107" s="1"/>
      <c r="L1107" s="1" t="s">
        <v>49</v>
      </c>
      <c r="M1107" s="1" t="s">
        <v>21</v>
      </c>
      <c r="N1107" s="1" t="str">
        <f t="shared" si="17"/>
        <v>Normal</v>
      </c>
    </row>
    <row r="1108" spans="1:14" x14ac:dyDescent="0.25">
      <c r="A1108" s="1" t="s">
        <v>2102</v>
      </c>
      <c r="B1108" s="1" t="s">
        <v>23</v>
      </c>
      <c r="C1108" s="1" t="s">
        <v>505</v>
      </c>
      <c r="D1108" s="1" t="s">
        <v>67</v>
      </c>
      <c r="E1108" s="1" t="s">
        <v>4845</v>
      </c>
      <c r="F1108" s="1" t="s">
        <v>27</v>
      </c>
      <c r="G1108" s="1">
        <v>1933238</v>
      </c>
      <c r="H1108" s="63">
        <v>45365</v>
      </c>
      <c r="J1108" s="1"/>
      <c r="K1108" s="1"/>
      <c r="L1108" s="1" t="s">
        <v>29</v>
      </c>
      <c r="M1108" s="1" t="s">
        <v>69</v>
      </c>
      <c r="N1108" s="1" t="str">
        <f t="shared" si="17"/>
        <v>High Outlier</v>
      </c>
    </row>
    <row r="1109" spans="1:14" x14ac:dyDescent="0.25">
      <c r="A1109" s="1" t="s">
        <v>2104</v>
      </c>
      <c r="B1109" s="1" t="s">
        <v>88</v>
      </c>
      <c r="C1109" s="1" t="s">
        <v>882</v>
      </c>
      <c r="D1109" s="1" t="s">
        <v>25</v>
      </c>
      <c r="E1109" s="1" t="s">
        <v>94</v>
      </c>
      <c r="F1109" s="1" t="s">
        <v>18</v>
      </c>
      <c r="G1109" s="1">
        <v>168296</v>
      </c>
      <c r="H1109" s="63">
        <v>45327</v>
      </c>
      <c r="I1109" s="63">
        <v>45439</v>
      </c>
      <c r="J1109" s="1">
        <v>112</v>
      </c>
      <c r="K1109" s="1">
        <v>6.4</v>
      </c>
      <c r="L1109" s="1" t="s">
        <v>96</v>
      </c>
      <c r="M1109" s="1" t="s">
        <v>69</v>
      </c>
      <c r="N1109" s="1" t="str">
        <f t="shared" si="17"/>
        <v>Normal</v>
      </c>
    </row>
    <row r="1110" spans="1:14" x14ac:dyDescent="0.25">
      <c r="A1110" s="1" t="s">
        <v>2105</v>
      </c>
      <c r="B1110" s="1" t="s">
        <v>59</v>
      </c>
      <c r="C1110" s="1" t="s">
        <v>1142</v>
      </c>
      <c r="D1110" s="1" t="s">
        <v>16</v>
      </c>
      <c r="E1110" s="1" t="s">
        <v>47</v>
      </c>
      <c r="F1110" s="1" t="s">
        <v>27</v>
      </c>
      <c r="G1110" s="1">
        <v>1682617</v>
      </c>
      <c r="H1110" s="63">
        <v>45501</v>
      </c>
      <c r="J1110" s="1"/>
      <c r="K1110" s="1">
        <v>7</v>
      </c>
      <c r="L1110" s="1" t="s">
        <v>20</v>
      </c>
      <c r="M1110" s="1" t="s">
        <v>149</v>
      </c>
      <c r="N1110" s="1" t="str">
        <f t="shared" si="17"/>
        <v>High Outlier</v>
      </c>
    </row>
    <row r="1111" spans="1:14" x14ac:dyDescent="0.25">
      <c r="A1111" s="1" t="s">
        <v>2106</v>
      </c>
      <c r="B1111" s="1" t="s">
        <v>84</v>
      </c>
      <c r="C1111" s="1" t="s">
        <v>800</v>
      </c>
      <c r="D1111" s="1" t="s">
        <v>39</v>
      </c>
      <c r="E1111" s="1" t="s">
        <v>47</v>
      </c>
      <c r="F1111" s="1" t="s">
        <v>129</v>
      </c>
      <c r="G1111" s="1">
        <v>153082</v>
      </c>
      <c r="H1111" s="63">
        <v>45566</v>
      </c>
      <c r="J1111" s="1"/>
      <c r="K1111" s="1">
        <v>3.2</v>
      </c>
      <c r="L1111" s="1" t="s">
        <v>29</v>
      </c>
      <c r="M1111" s="1" t="s">
        <v>42</v>
      </c>
      <c r="N1111" s="1" t="str">
        <f t="shared" si="17"/>
        <v>Normal</v>
      </c>
    </row>
    <row r="1112" spans="1:14" x14ac:dyDescent="0.25">
      <c r="A1112" s="1" t="s">
        <v>2107</v>
      </c>
      <c r="B1112" s="1" t="s">
        <v>127</v>
      </c>
      <c r="C1112" s="1" t="s">
        <v>1178</v>
      </c>
      <c r="D1112" s="1" t="s">
        <v>25</v>
      </c>
      <c r="E1112" s="1" t="s">
        <v>100</v>
      </c>
      <c r="F1112" s="1" t="s">
        <v>40</v>
      </c>
      <c r="G1112" s="1">
        <v>456390</v>
      </c>
      <c r="H1112" s="63">
        <v>45704</v>
      </c>
      <c r="I1112" s="63">
        <v>45729</v>
      </c>
      <c r="J1112" s="1">
        <v>25</v>
      </c>
      <c r="K1112" s="1">
        <v>3.7</v>
      </c>
      <c r="L1112" s="1" t="s">
        <v>20</v>
      </c>
      <c r="M1112" s="1" t="s">
        <v>63</v>
      </c>
      <c r="N1112" s="1" t="str">
        <f t="shared" si="17"/>
        <v>Normal</v>
      </c>
    </row>
    <row r="1113" spans="1:14" x14ac:dyDescent="0.25">
      <c r="A1113" s="1" t="s">
        <v>2108</v>
      </c>
      <c r="B1113" s="1" t="s">
        <v>23</v>
      </c>
      <c r="C1113" s="1" t="s">
        <v>1170</v>
      </c>
      <c r="D1113" s="1" t="s">
        <v>67</v>
      </c>
      <c r="E1113" s="1" t="s">
        <v>26</v>
      </c>
      <c r="F1113" s="1" t="s">
        <v>40</v>
      </c>
      <c r="G1113" s="1">
        <v>283930</v>
      </c>
      <c r="H1113" s="63">
        <v>45243</v>
      </c>
      <c r="I1113" s="63">
        <v>45411</v>
      </c>
      <c r="J1113" s="1">
        <v>168</v>
      </c>
      <c r="K1113" s="1">
        <v>1.6</v>
      </c>
      <c r="L1113" s="1" t="s">
        <v>29</v>
      </c>
      <c r="M1113" s="1" t="s">
        <v>21</v>
      </c>
      <c r="N1113" s="1" t="str">
        <f t="shared" si="17"/>
        <v>Normal</v>
      </c>
    </row>
    <row r="1114" spans="1:14" x14ac:dyDescent="0.25">
      <c r="A1114" s="1" t="s">
        <v>2110</v>
      </c>
      <c r="B1114" s="1" t="s">
        <v>65</v>
      </c>
      <c r="C1114" s="1" t="s">
        <v>147</v>
      </c>
      <c r="D1114" s="1" t="s">
        <v>25</v>
      </c>
      <c r="E1114" s="1" t="s">
        <v>94</v>
      </c>
      <c r="F1114" s="1" t="s">
        <v>18</v>
      </c>
      <c r="G1114" s="1">
        <v>107279</v>
      </c>
      <c r="H1114" s="63">
        <v>45343</v>
      </c>
      <c r="I1114" s="63">
        <v>45498</v>
      </c>
      <c r="J1114" s="1">
        <v>155</v>
      </c>
      <c r="K1114" s="1"/>
      <c r="L1114" s="1" t="s">
        <v>49</v>
      </c>
      <c r="M1114" s="1" t="s">
        <v>69</v>
      </c>
      <c r="N1114" s="1" t="str">
        <f t="shared" si="17"/>
        <v>Normal</v>
      </c>
    </row>
    <row r="1115" spans="1:14" x14ac:dyDescent="0.25">
      <c r="A1115" s="1" t="s">
        <v>2111</v>
      </c>
      <c r="B1115" s="1" t="s">
        <v>75</v>
      </c>
      <c r="C1115" s="1" t="s">
        <v>767</v>
      </c>
      <c r="D1115" s="1" t="s">
        <v>39</v>
      </c>
      <c r="E1115" s="1" t="s">
        <v>77</v>
      </c>
      <c r="F1115" s="1" t="s">
        <v>53</v>
      </c>
      <c r="G1115" s="1">
        <v>122477</v>
      </c>
      <c r="H1115" s="63">
        <v>45026</v>
      </c>
      <c r="J1115" s="1"/>
      <c r="K1115" s="1"/>
      <c r="L1115" s="1" t="s">
        <v>20</v>
      </c>
      <c r="M1115" s="1" t="s">
        <v>30</v>
      </c>
      <c r="N1115" s="1" t="str">
        <f t="shared" si="17"/>
        <v>Normal</v>
      </c>
    </row>
    <row r="1116" spans="1:14" x14ac:dyDescent="0.25">
      <c r="A1116" s="1" t="s">
        <v>2112</v>
      </c>
      <c r="B1116" s="1" t="s">
        <v>37</v>
      </c>
      <c r="C1116" s="1" t="s">
        <v>32</v>
      </c>
      <c r="D1116" s="1" t="s">
        <v>67</v>
      </c>
      <c r="E1116" s="1" t="s">
        <v>61</v>
      </c>
      <c r="F1116" s="1" t="s">
        <v>18</v>
      </c>
      <c r="G1116" s="1">
        <v>401278</v>
      </c>
      <c r="H1116" s="63">
        <v>45097</v>
      </c>
      <c r="I1116" s="63">
        <v>45169</v>
      </c>
      <c r="J1116" s="1">
        <v>72</v>
      </c>
      <c r="K1116" s="1"/>
      <c r="L1116" s="1" t="s">
        <v>49</v>
      </c>
      <c r="M1116" s="1" t="s">
        <v>30</v>
      </c>
      <c r="N1116" s="1" t="str">
        <f t="shared" si="17"/>
        <v>Normal</v>
      </c>
    </row>
    <row r="1117" spans="1:14" x14ac:dyDescent="0.25">
      <c r="A1117" s="1" t="s">
        <v>2113</v>
      </c>
      <c r="B1117" s="1" t="s">
        <v>23</v>
      </c>
      <c r="C1117" s="1" t="s">
        <v>454</v>
      </c>
      <c r="D1117" s="1" t="s">
        <v>39</v>
      </c>
      <c r="E1117" s="1" t="s">
        <v>47</v>
      </c>
      <c r="F1117" s="1" t="s">
        <v>33</v>
      </c>
      <c r="G1117" s="1">
        <v>335495</v>
      </c>
      <c r="H1117" s="63">
        <v>45477</v>
      </c>
      <c r="J1117" s="1"/>
      <c r="K1117" s="1">
        <v>3.1</v>
      </c>
      <c r="L1117" s="1" t="s">
        <v>29</v>
      </c>
      <c r="M1117" s="1" t="s">
        <v>149</v>
      </c>
      <c r="N1117" s="1" t="str">
        <f t="shared" si="17"/>
        <v>Normal</v>
      </c>
    </row>
    <row r="1118" spans="1:14" x14ac:dyDescent="0.25">
      <c r="A1118" s="1" t="s">
        <v>2115</v>
      </c>
      <c r="B1118" s="1" t="s">
        <v>65</v>
      </c>
      <c r="C1118" s="1" t="s">
        <v>1185</v>
      </c>
      <c r="D1118" s="1" t="s">
        <v>67</v>
      </c>
      <c r="E1118" s="1" t="s">
        <v>4845</v>
      </c>
      <c r="F1118" s="1" t="s">
        <v>53</v>
      </c>
      <c r="G1118" s="1">
        <v>67858</v>
      </c>
      <c r="H1118" s="63">
        <v>45559</v>
      </c>
      <c r="J1118" s="1"/>
      <c r="K1118" s="1">
        <v>6.8</v>
      </c>
      <c r="L1118" s="1" t="s">
        <v>20</v>
      </c>
      <c r="M1118" s="1" t="s">
        <v>149</v>
      </c>
      <c r="N1118" s="1" t="str">
        <f t="shared" si="17"/>
        <v>Normal</v>
      </c>
    </row>
    <row r="1119" spans="1:14" x14ac:dyDescent="0.25">
      <c r="A1119" s="1" t="s">
        <v>2117</v>
      </c>
      <c r="B1119" s="1" t="s">
        <v>75</v>
      </c>
      <c r="C1119" s="1" t="s">
        <v>583</v>
      </c>
      <c r="D1119" s="1" t="s">
        <v>39</v>
      </c>
      <c r="E1119" s="1" t="s">
        <v>94</v>
      </c>
      <c r="F1119" s="1" t="s">
        <v>53</v>
      </c>
      <c r="G1119" s="1">
        <v>64806</v>
      </c>
      <c r="H1119" s="63">
        <v>45531</v>
      </c>
      <c r="J1119" s="1"/>
      <c r="K1119" s="1">
        <v>11.4</v>
      </c>
      <c r="L1119" s="1" t="s">
        <v>49</v>
      </c>
      <c r="M1119" s="1" t="s">
        <v>149</v>
      </c>
      <c r="N1119" s="1" t="str">
        <f t="shared" si="17"/>
        <v>Normal</v>
      </c>
    </row>
    <row r="1120" spans="1:14" x14ac:dyDescent="0.25">
      <c r="A1120" s="1" t="s">
        <v>2118</v>
      </c>
      <c r="B1120" s="1" t="s">
        <v>44</v>
      </c>
      <c r="C1120" s="1" t="s">
        <v>192</v>
      </c>
      <c r="D1120" s="1" t="s">
        <v>25</v>
      </c>
      <c r="E1120" s="1" t="s">
        <v>61</v>
      </c>
      <c r="F1120" s="1" t="s">
        <v>129</v>
      </c>
      <c r="G1120" s="1">
        <v>1799142</v>
      </c>
      <c r="H1120" s="63">
        <v>45512</v>
      </c>
      <c r="J1120" s="1"/>
      <c r="K1120" s="1"/>
      <c r="L1120" s="1" t="s">
        <v>20</v>
      </c>
      <c r="M1120" s="1" t="s">
        <v>149</v>
      </c>
      <c r="N1120" s="1" t="str">
        <f t="shared" si="17"/>
        <v>High Outlier</v>
      </c>
    </row>
    <row r="1121" spans="1:14" x14ac:dyDescent="0.25">
      <c r="A1121" s="1" t="s">
        <v>2119</v>
      </c>
      <c r="B1121" s="1" t="s">
        <v>44</v>
      </c>
      <c r="C1121" s="1" t="s">
        <v>15</v>
      </c>
      <c r="D1121" s="1" t="s">
        <v>25</v>
      </c>
      <c r="E1121" s="1" t="s">
        <v>47</v>
      </c>
      <c r="F1121" s="1" t="s">
        <v>40</v>
      </c>
      <c r="G1121" s="1">
        <v>84175</v>
      </c>
      <c r="H1121" s="63">
        <v>45433</v>
      </c>
      <c r="I1121" s="63">
        <v>45503</v>
      </c>
      <c r="J1121" s="1">
        <v>70</v>
      </c>
      <c r="K1121" s="1">
        <v>0.3</v>
      </c>
      <c r="L1121" s="1" t="s">
        <v>49</v>
      </c>
      <c r="M1121" s="1" t="s">
        <v>107</v>
      </c>
      <c r="N1121" s="1" t="str">
        <f t="shared" si="17"/>
        <v>Normal</v>
      </c>
    </row>
    <row r="1122" spans="1:14" x14ac:dyDescent="0.25">
      <c r="A1122" s="1" t="s">
        <v>2120</v>
      </c>
      <c r="B1122" s="1" t="s">
        <v>4829</v>
      </c>
      <c r="C1122" s="1" t="s">
        <v>732</v>
      </c>
      <c r="D1122" s="1" t="s">
        <v>67</v>
      </c>
      <c r="E1122" s="1" t="s">
        <v>61</v>
      </c>
      <c r="F1122" s="1" t="s">
        <v>129</v>
      </c>
      <c r="G1122" s="1">
        <v>347196</v>
      </c>
      <c r="H1122" s="63">
        <v>45358</v>
      </c>
      <c r="J1122" s="1"/>
      <c r="K1122" s="1"/>
      <c r="L1122" s="1" t="s">
        <v>29</v>
      </c>
      <c r="M1122" s="1" t="s">
        <v>69</v>
      </c>
      <c r="N1122" s="1" t="str">
        <f t="shared" si="17"/>
        <v>Normal</v>
      </c>
    </row>
    <row r="1123" spans="1:14" x14ac:dyDescent="0.25">
      <c r="A1123" s="1" t="s">
        <v>2121</v>
      </c>
      <c r="B1123" s="1" t="s">
        <v>80</v>
      </c>
      <c r="C1123" s="1" t="s">
        <v>303</v>
      </c>
      <c r="D1123" s="1" t="s">
        <v>16</v>
      </c>
      <c r="E1123" s="1" t="s">
        <v>72</v>
      </c>
      <c r="F1123" s="1" t="s">
        <v>40</v>
      </c>
      <c r="G1123" s="1">
        <v>292568</v>
      </c>
      <c r="H1123" s="63">
        <v>45121</v>
      </c>
      <c r="I1123" s="63">
        <v>45270</v>
      </c>
      <c r="J1123" s="1">
        <v>149</v>
      </c>
      <c r="K1123" s="1">
        <v>19.100000000000001</v>
      </c>
      <c r="L1123" s="1" t="s">
        <v>29</v>
      </c>
      <c r="M1123" s="1" t="s">
        <v>102</v>
      </c>
      <c r="N1123" s="1" t="str">
        <f t="shared" si="17"/>
        <v>Normal</v>
      </c>
    </row>
    <row r="1124" spans="1:14" x14ac:dyDescent="0.25">
      <c r="A1124" s="1" t="s">
        <v>2122</v>
      </c>
      <c r="B1124" s="1" t="s">
        <v>84</v>
      </c>
      <c r="C1124" s="1" t="s">
        <v>198</v>
      </c>
      <c r="D1124" s="1" t="s">
        <v>46</v>
      </c>
      <c r="E1124" s="1" t="s">
        <v>47</v>
      </c>
      <c r="F1124" s="1" t="s">
        <v>33</v>
      </c>
      <c r="G1124" s="1">
        <v>375536</v>
      </c>
      <c r="H1124" s="63">
        <v>45265</v>
      </c>
      <c r="J1124" s="1"/>
      <c r="K1124" s="1">
        <v>3.5</v>
      </c>
      <c r="L1124" s="1" t="s">
        <v>20</v>
      </c>
      <c r="M1124" s="1" t="s">
        <v>21</v>
      </c>
      <c r="N1124" s="1" t="str">
        <f t="shared" si="17"/>
        <v>Normal</v>
      </c>
    </row>
    <row r="1125" spans="1:14" x14ac:dyDescent="0.25">
      <c r="A1125" s="1" t="s">
        <v>2123</v>
      </c>
      <c r="B1125" s="1" t="s">
        <v>104</v>
      </c>
      <c r="C1125" s="1" t="s">
        <v>151</v>
      </c>
      <c r="D1125" s="1" t="s">
        <v>46</v>
      </c>
      <c r="E1125" s="1" t="s">
        <v>77</v>
      </c>
      <c r="F1125" s="1" t="s">
        <v>53</v>
      </c>
      <c r="G1125" s="1">
        <v>100519</v>
      </c>
      <c r="H1125" s="63">
        <v>45327</v>
      </c>
      <c r="J1125" s="1"/>
      <c r="K1125" s="1"/>
      <c r="L1125" s="1" t="s">
        <v>49</v>
      </c>
      <c r="M1125" s="1" t="s">
        <v>69</v>
      </c>
      <c r="N1125" s="1" t="str">
        <f t="shared" si="17"/>
        <v>Normal</v>
      </c>
    </row>
    <row r="1126" spans="1:14" x14ac:dyDescent="0.25">
      <c r="A1126" s="1" t="s">
        <v>2124</v>
      </c>
      <c r="B1126" s="1" t="s">
        <v>44</v>
      </c>
      <c r="C1126" s="1" t="s">
        <v>696</v>
      </c>
      <c r="D1126" s="1" t="s">
        <v>16</v>
      </c>
      <c r="E1126" s="1" t="s">
        <v>47</v>
      </c>
      <c r="F1126" s="1" t="s">
        <v>33</v>
      </c>
      <c r="G1126" s="1">
        <v>386603</v>
      </c>
      <c r="H1126" s="63">
        <v>45328</v>
      </c>
      <c r="J1126" s="1"/>
      <c r="K1126" s="1"/>
      <c r="L1126" s="1" t="s">
        <v>96</v>
      </c>
      <c r="M1126" s="1" t="s">
        <v>69</v>
      </c>
      <c r="N1126" s="1" t="str">
        <f t="shared" si="17"/>
        <v>Normal</v>
      </c>
    </row>
    <row r="1127" spans="1:14" x14ac:dyDescent="0.25">
      <c r="A1127" s="1" t="s">
        <v>2125</v>
      </c>
      <c r="B1127" s="1" t="s">
        <v>44</v>
      </c>
      <c r="C1127" s="1" t="s">
        <v>1470</v>
      </c>
      <c r="D1127" s="1" t="s">
        <v>39</v>
      </c>
      <c r="E1127" s="1" t="s">
        <v>72</v>
      </c>
      <c r="F1127" s="1" t="s">
        <v>129</v>
      </c>
      <c r="G1127" s="1">
        <v>252697</v>
      </c>
      <c r="H1127" s="63">
        <v>45026</v>
      </c>
      <c r="J1127" s="1"/>
      <c r="K1127" s="1"/>
      <c r="L1127" s="1" t="s">
        <v>20</v>
      </c>
      <c r="M1127" s="1" t="s">
        <v>30</v>
      </c>
      <c r="N1127" s="1" t="str">
        <f t="shared" si="17"/>
        <v>Normal</v>
      </c>
    </row>
    <row r="1128" spans="1:14" x14ac:dyDescent="0.25">
      <c r="A1128" s="1" t="s">
        <v>2126</v>
      </c>
      <c r="B1128" s="1" t="s">
        <v>14</v>
      </c>
      <c r="C1128" s="1" t="s">
        <v>287</v>
      </c>
      <c r="D1128" s="1" t="s">
        <v>39</v>
      </c>
      <c r="E1128" s="1" t="s">
        <v>77</v>
      </c>
      <c r="F1128" s="1" t="s">
        <v>18</v>
      </c>
      <c r="G1128" s="1">
        <v>217192</v>
      </c>
      <c r="H1128" s="63">
        <v>45697</v>
      </c>
      <c r="I1128" s="63">
        <v>45846</v>
      </c>
      <c r="J1128" s="1">
        <v>149</v>
      </c>
      <c r="K1128" s="1">
        <v>8.6</v>
      </c>
      <c r="L1128" s="1" t="s">
        <v>96</v>
      </c>
      <c r="M1128" s="1" t="s">
        <v>63</v>
      </c>
      <c r="N1128" s="1" t="str">
        <f t="shared" si="17"/>
        <v>Normal</v>
      </c>
    </row>
    <row r="1129" spans="1:14" x14ac:dyDescent="0.25">
      <c r="A1129" s="1" t="s">
        <v>2127</v>
      </c>
      <c r="B1129" s="1" t="s">
        <v>109</v>
      </c>
      <c r="C1129" s="1" t="s">
        <v>99</v>
      </c>
      <c r="D1129" s="1" t="s">
        <v>25</v>
      </c>
      <c r="E1129" s="1" t="s">
        <v>17</v>
      </c>
      <c r="F1129" s="1" t="s">
        <v>33</v>
      </c>
      <c r="G1129" s="1">
        <v>475859</v>
      </c>
      <c r="H1129" s="63">
        <v>44975</v>
      </c>
      <c r="J1129" s="1"/>
      <c r="K1129" s="1">
        <v>3.5</v>
      </c>
      <c r="L1129" s="1" t="s">
        <v>49</v>
      </c>
      <c r="M1129" s="1" t="s">
        <v>35</v>
      </c>
      <c r="N1129" s="1" t="str">
        <f t="shared" si="17"/>
        <v>Normal</v>
      </c>
    </row>
    <row r="1130" spans="1:14" x14ac:dyDescent="0.25">
      <c r="A1130" s="1" t="s">
        <v>2128</v>
      </c>
      <c r="B1130" s="1" t="s">
        <v>37</v>
      </c>
      <c r="C1130" s="1" t="s">
        <v>737</v>
      </c>
      <c r="D1130" s="1" t="s">
        <v>67</v>
      </c>
      <c r="E1130" s="1" t="s">
        <v>100</v>
      </c>
      <c r="F1130" s="1" t="s">
        <v>40</v>
      </c>
      <c r="G1130" s="1">
        <v>56200</v>
      </c>
      <c r="H1130" s="63">
        <v>45012</v>
      </c>
      <c r="I1130" s="63">
        <v>45112</v>
      </c>
      <c r="J1130" s="1">
        <v>100</v>
      </c>
      <c r="K1130" s="1">
        <v>8.9</v>
      </c>
      <c r="L1130" s="1" t="s">
        <v>29</v>
      </c>
      <c r="M1130" s="1" t="s">
        <v>35</v>
      </c>
      <c r="N1130" s="1" t="str">
        <f t="shared" si="17"/>
        <v>Normal</v>
      </c>
    </row>
    <row r="1131" spans="1:14" x14ac:dyDescent="0.25">
      <c r="A1131" s="1" t="s">
        <v>2130</v>
      </c>
      <c r="B1131" s="1" t="s">
        <v>109</v>
      </c>
      <c r="C1131" s="1" t="s">
        <v>1112</v>
      </c>
      <c r="D1131" s="1" t="s">
        <v>39</v>
      </c>
      <c r="E1131" s="1" t="s">
        <v>100</v>
      </c>
      <c r="F1131" s="1" t="s">
        <v>40</v>
      </c>
      <c r="G1131" s="1">
        <v>231217</v>
      </c>
      <c r="H1131" s="63">
        <v>45337</v>
      </c>
      <c r="I1131" s="63">
        <v>45447</v>
      </c>
      <c r="J1131" s="1">
        <v>110</v>
      </c>
      <c r="K1131" s="1">
        <v>23.5</v>
      </c>
      <c r="L1131" s="1" t="s">
        <v>20</v>
      </c>
      <c r="M1131" s="1" t="s">
        <v>69</v>
      </c>
      <c r="N1131" s="1" t="str">
        <f t="shared" si="17"/>
        <v>Normal</v>
      </c>
    </row>
    <row r="1132" spans="1:14" x14ac:dyDescent="0.25">
      <c r="A1132" s="1" t="s">
        <v>2131</v>
      </c>
      <c r="B1132" s="1" t="s">
        <v>59</v>
      </c>
      <c r="C1132" s="1" t="s">
        <v>747</v>
      </c>
      <c r="D1132" s="1" t="s">
        <v>16</v>
      </c>
      <c r="E1132" s="1" t="s">
        <v>47</v>
      </c>
      <c r="F1132" s="1" t="s">
        <v>129</v>
      </c>
      <c r="G1132" s="1">
        <v>481113</v>
      </c>
      <c r="H1132" s="63">
        <v>45476</v>
      </c>
      <c r="J1132" s="1"/>
      <c r="K1132" s="1"/>
      <c r="L1132" s="1" t="s">
        <v>49</v>
      </c>
      <c r="M1132" s="1" t="s">
        <v>149</v>
      </c>
      <c r="N1132" s="1" t="str">
        <f t="shared" si="17"/>
        <v>Normal</v>
      </c>
    </row>
    <row r="1133" spans="1:14" x14ac:dyDescent="0.25">
      <c r="A1133" s="1" t="s">
        <v>2132</v>
      </c>
      <c r="B1133" s="1" t="s">
        <v>127</v>
      </c>
      <c r="C1133" s="1" t="s">
        <v>358</v>
      </c>
      <c r="D1133" s="1" t="s">
        <v>39</v>
      </c>
      <c r="E1133" s="1" t="s">
        <v>100</v>
      </c>
      <c r="F1133" s="1" t="s">
        <v>53</v>
      </c>
      <c r="G1133" s="1">
        <v>147811</v>
      </c>
      <c r="H1133" s="63">
        <v>45237</v>
      </c>
      <c r="J1133" s="1"/>
      <c r="K1133" s="1">
        <v>5.6</v>
      </c>
      <c r="L1133" s="1" t="s">
        <v>49</v>
      </c>
      <c r="M1133" s="1" t="s">
        <v>21</v>
      </c>
      <c r="N1133" s="1" t="str">
        <f t="shared" si="17"/>
        <v>Normal</v>
      </c>
    </row>
    <row r="1134" spans="1:14" x14ac:dyDescent="0.25">
      <c r="A1134" s="1" t="s">
        <v>2133</v>
      </c>
      <c r="B1134" s="1" t="s">
        <v>98</v>
      </c>
      <c r="C1134" s="1" t="s">
        <v>1914</v>
      </c>
      <c r="D1134" s="1" t="s">
        <v>46</v>
      </c>
      <c r="E1134" s="1" t="s">
        <v>26</v>
      </c>
      <c r="F1134" s="1" t="s">
        <v>129</v>
      </c>
      <c r="G1134" s="1">
        <v>330090</v>
      </c>
      <c r="H1134" s="63">
        <v>44944</v>
      </c>
      <c r="J1134" s="1"/>
      <c r="K1134" s="1">
        <v>7</v>
      </c>
      <c r="L1134" s="1" t="s">
        <v>29</v>
      </c>
      <c r="M1134" s="1" t="s">
        <v>35</v>
      </c>
      <c r="N1134" s="1" t="str">
        <f t="shared" si="17"/>
        <v>Normal</v>
      </c>
    </row>
    <row r="1135" spans="1:14" x14ac:dyDescent="0.25">
      <c r="A1135" s="1" t="s">
        <v>2134</v>
      </c>
      <c r="B1135" s="1" t="s">
        <v>127</v>
      </c>
      <c r="C1135" s="1" t="s">
        <v>800</v>
      </c>
      <c r="D1135" s="1" t="s">
        <v>25</v>
      </c>
      <c r="E1135" s="1" t="s">
        <v>94</v>
      </c>
      <c r="F1135" s="1" t="s">
        <v>18</v>
      </c>
      <c r="G1135" s="1">
        <v>320635</v>
      </c>
      <c r="H1135" s="63">
        <v>45529</v>
      </c>
      <c r="I1135" s="63">
        <v>45560</v>
      </c>
      <c r="J1135" s="1">
        <v>31</v>
      </c>
      <c r="K1135" s="1">
        <v>3.4</v>
      </c>
      <c r="L1135" s="1" t="s">
        <v>29</v>
      </c>
      <c r="M1135" s="1" t="s">
        <v>149</v>
      </c>
      <c r="N1135" s="1" t="str">
        <f t="shared" si="17"/>
        <v>Normal</v>
      </c>
    </row>
    <row r="1136" spans="1:14" x14ac:dyDescent="0.25">
      <c r="A1136" s="1" t="s">
        <v>2135</v>
      </c>
      <c r="B1136" s="1" t="s">
        <v>44</v>
      </c>
      <c r="C1136" s="1" t="s">
        <v>1106</v>
      </c>
      <c r="D1136" s="1" t="s">
        <v>67</v>
      </c>
      <c r="E1136" s="1" t="s">
        <v>17</v>
      </c>
      <c r="F1136" s="1" t="s">
        <v>18</v>
      </c>
      <c r="G1136" s="1">
        <v>431788</v>
      </c>
      <c r="H1136" s="63">
        <v>45421</v>
      </c>
      <c r="I1136" s="63">
        <v>45514</v>
      </c>
      <c r="J1136" s="1">
        <v>93</v>
      </c>
      <c r="K1136" s="1"/>
      <c r="L1136" s="1" t="s">
        <v>20</v>
      </c>
      <c r="M1136" s="1" t="s">
        <v>107</v>
      </c>
      <c r="N1136" s="1" t="str">
        <f t="shared" si="17"/>
        <v>Normal</v>
      </c>
    </row>
    <row r="1137" spans="1:14" x14ac:dyDescent="0.25">
      <c r="A1137" s="1" t="s">
        <v>2136</v>
      </c>
      <c r="B1137" s="1" t="s">
        <v>88</v>
      </c>
      <c r="C1137" s="1" t="s">
        <v>313</v>
      </c>
      <c r="D1137" s="1" t="s">
        <v>39</v>
      </c>
      <c r="E1137" s="1" t="s">
        <v>17</v>
      </c>
      <c r="F1137" s="1" t="s">
        <v>53</v>
      </c>
      <c r="G1137" s="1">
        <v>116732</v>
      </c>
      <c r="H1137" s="63">
        <v>45221</v>
      </c>
      <c r="J1137" s="1"/>
      <c r="K1137" s="1"/>
      <c r="L1137" s="1" t="s">
        <v>96</v>
      </c>
      <c r="M1137" s="1" t="s">
        <v>21</v>
      </c>
      <c r="N1137" s="1" t="str">
        <f t="shared" si="17"/>
        <v>Normal</v>
      </c>
    </row>
    <row r="1138" spans="1:14" x14ac:dyDescent="0.25">
      <c r="A1138" s="1" t="s">
        <v>2137</v>
      </c>
      <c r="B1138" s="1" t="s">
        <v>23</v>
      </c>
      <c r="C1138" s="1" t="s">
        <v>1157</v>
      </c>
      <c r="D1138" s="1" t="s">
        <v>25</v>
      </c>
      <c r="E1138" s="1" t="s">
        <v>47</v>
      </c>
      <c r="F1138" s="1" t="s">
        <v>18</v>
      </c>
      <c r="G1138" s="1">
        <v>262556</v>
      </c>
      <c r="H1138" s="63">
        <v>45484</v>
      </c>
      <c r="I1138" s="63">
        <v>45537</v>
      </c>
      <c r="J1138" s="1">
        <v>53</v>
      </c>
      <c r="K1138" s="1">
        <v>4.5999999999999996</v>
      </c>
      <c r="L1138" s="1" t="s">
        <v>96</v>
      </c>
      <c r="M1138" s="1" t="s">
        <v>149</v>
      </c>
      <c r="N1138" s="1" t="str">
        <f t="shared" si="17"/>
        <v>Normal</v>
      </c>
    </row>
    <row r="1139" spans="1:14" x14ac:dyDescent="0.25">
      <c r="A1139" s="1" t="s">
        <v>2139</v>
      </c>
      <c r="B1139" s="1" t="s">
        <v>88</v>
      </c>
      <c r="C1139" s="1" t="s">
        <v>401</v>
      </c>
      <c r="D1139" s="1" t="s">
        <v>67</v>
      </c>
      <c r="E1139" s="1" t="s">
        <v>77</v>
      </c>
      <c r="F1139" s="1" t="s">
        <v>40</v>
      </c>
      <c r="G1139" s="1">
        <v>97807</v>
      </c>
      <c r="H1139" s="63">
        <v>45674</v>
      </c>
      <c r="I1139" s="63">
        <v>45839</v>
      </c>
      <c r="J1139" s="1">
        <v>165</v>
      </c>
      <c r="K1139" s="1">
        <v>16.600000000000001</v>
      </c>
      <c r="L1139" s="1" t="s">
        <v>96</v>
      </c>
      <c r="M1139" s="1" t="s">
        <v>63</v>
      </c>
      <c r="N1139" s="1" t="str">
        <f t="shared" si="17"/>
        <v>Normal</v>
      </c>
    </row>
    <row r="1140" spans="1:14" x14ac:dyDescent="0.25">
      <c r="A1140" s="1" t="s">
        <v>2140</v>
      </c>
      <c r="B1140" s="1" t="s">
        <v>104</v>
      </c>
      <c r="C1140" s="1" t="s">
        <v>885</v>
      </c>
      <c r="D1140" s="1" t="s">
        <v>46</v>
      </c>
      <c r="E1140" s="1" t="s">
        <v>100</v>
      </c>
      <c r="F1140" s="1" t="s">
        <v>40</v>
      </c>
      <c r="G1140" s="1">
        <v>473872</v>
      </c>
      <c r="H1140" s="63">
        <v>45358</v>
      </c>
      <c r="I1140" s="63">
        <v>45536</v>
      </c>
      <c r="J1140" s="1">
        <v>178</v>
      </c>
      <c r="K1140" s="1">
        <v>15.2</v>
      </c>
      <c r="L1140" s="1" t="s">
        <v>20</v>
      </c>
      <c r="M1140" s="1" t="s">
        <v>69</v>
      </c>
      <c r="N1140" s="1" t="str">
        <f t="shared" si="17"/>
        <v>Normal</v>
      </c>
    </row>
    <row r="1141" spans="1:14" x14ac:dyDescent="0.25">
      <c r="A1141" s="1" t="s">
        <v>2141</v>
      </c>
      <c r="B1141" s="1" t="s">
        <v>75</v>
      </c>
      <c r="C1141" s="1" t="s">
        <v>805</v>
      </c>
      <c r="D1141" s="1" t="s">
        <v>39</v>
      </c>
      <c r="E1141" s="1" t="s">
        <v>94</v>
      </c>
      <c r="F1141" s="1" t="s">
        <v>40</v>
      </c>
      <c r="G1141" s="1">
        <v>472268</v>
      </c>
      <c r="H1141" s="63">
        <v>45134</v>
      </c>
      <c r="I1141" s="63">
        <v>45155</v>
      </c>
      <c r="J1141" s="1">
        <v>21</v>
      </c>
      <c r="K1141" s="1">
        <v>19.399999999999999</v>
      </c>
      <c r="L1141" s="1" t="s">
        <v>29</v>
      </c>
      <c r="M1141" s="1" t="s">
        <v>102</v>
      </c>
      <c r="N1141" s="1" t="str">
        <f t="shared" si="17"/>
        <v>Normal</v>
      </c>
    </row>
    <row r="1142" spans="1:14" x14ac:dyDescent="0.25">
      <c r="A1142" s="1" t="s">
        <v>2142</v>
      </c>
      <c r="B1142" s="1" t="s">
        <v>88</v>
      </c>
      <c r="C1142" s="1" t="s">
        <v>372</v>
      </c>
      <c r="D1142" s="1" t="s">
        <v>46</v>
      </c>
      <c r="E1142" s="1" t="s">
        <v>17</v>
      </c>
      <c r="F1142" s="1" t="s">
        <v>129</v>
      </c>
      <c r="G1142" s="1">
        <v>374041</v>
      </c>
      <c r="H1142" s="63">
        <v>45540</v>
      </c>
      <c r="J1142" s="1"/>
      <c r="K1142" s="1">
        <v>6.4</v>
      </c>
      <c r="L1142" s="1" t="s">
        <v>96</v>
      </c>
      <c r="M1142" s="1" t="s">
        <v>149</v>
      </c>
      <c r="N1142" s="1" t="str">
        <f t="shared" si="17"/>
        <v>Normal</v>
      </c>
    </row>
    <row r="1143" spans="1:14" x14ac:dyDescent="0.25">
      <c r="A1143" s="1" t="s">
        <v>2143</v>
      </c>
      <c r="B1143" s="1" t="s">
        <v>84</v>
      </c>
      <c r="C1143" s="1" t="s">
        <v>521</v>
      </c>
      <c r="D1143" s="1" t="s">
        <v>90</v>
      </c>
      <c r="E1143" s="1" t="s">
        <v>47</v>
      </c>
      <c r="F1143" s="1" t="s">
        <v>33</v>
      </c>
      <c r="G1143" s="1">
        <v>419074</v>
      </c>
      <c r="H1143" s="63">
        <v>45555</v>
      </c>
      <c r="J1143" s="1"/>
      <c r="K1143" s="1">
        <v>1</v>
      </c>
      <c r="L1143" s="1" t="s">
        <v>20</v>
      </c>
      <c r="M1143" s="1" t="s">
        <v>149</v>
      </c>
      <c r="N1143" s="1" t="str">
        <f t="shared" si="17"/>
        <v>Normal</v>
      </c>
    </row>
    <row r="1144" spans="1:14" x14ac:dyDescent="0.25">
      <c r="A1144" s="1" t="s">
        <v>2144</v>
      </c>
      <c r="B1144" s="1" t="s">
        <v>23</v>
      </c>
      <c r="C1144" s="1" t="s">
        <v>247</v>
      </c>
      <c r="D1144" s="1" t="s">
        <v>39</v>
      </c>
      <c r="E1144" s="1" t="s">
        <v>72</v>
      </c>
      <c r="F1144" s="1" t="s">
        <v>129</v>
      </c>
      <c r="G1144" s="1">
        <v>139534</v>
      </c>
      <c r="H1144" s="63">
        <v>45350</v>
      </c>
      <c r="J1144" s="1"/>
      <c r="K1144" s="1">
        <v>12.6</v>
      </c>
      <c r="L1144" s="1" t="s">
        <v>29</v>
      </c>
      <c r="M1144" s="1" t="s">
        <v>69</v>
      </c>
      <c r="N1144" s="1" t="str">
        <f t="shared" si="17"/>
        <v>Normal</v>
      </c>
    </row>
    <row r="1145" spans="1:14" x14ac:dyDescent="0.25">
      <c r="A1145" s="1" t="s">
        <v>2145</v>
      </c>
      <c r="B1145" s="1" t="s">
        <v>14</v>
      </c>
      <c r="C1145" s="1" t="s">
        <v>151</v>
      </c>
      <c r="D1145" s="1" t="s">
        <v>46</v>
      </c>
      <c r="E1145" s="1" t="s">
        <v>61</v>
      </c>
      <c r="F1145" s="1" t="s">
        <v>129</v>
      </c>
      <c r="G1145" s="1">
        <v>192583</v>
      </c>
      <c r="H1145" s="63">
        <v>45499</v>
      </c>
      <c r="J1145" s="1"/>
      <c r="K1145" s="1">
        <v>1.2</v>
      </c>
      <c r="L1145" s="1" t="s">
        <v>29</v>
      </c>
      <c r="M1145" s="1" t="s">
        <v>149</v>
      </c>
      <c r="N1145" s="1" t="str">
        <f t="shared" si="17"/>
        <v>Normal</v>
      </c>
    </row>
    <row r="1146" spans="1:14" x14ac:dyDescent="0.25">
      <c r="A1146" s="1" t="s">
        <v>2146</v>
      </c>
      <c r="B1146" s="1" t="s">
        <v>80</v>
      </c>
      <c r="C1146" s="1" t="s">
        <v>1050</v>
      </c>
      <c r="D1146" s="1" t="s">
        <v>90</v>
      </c>
      <c r="E1146" s="1" t="s">
        <v>61</v>
      </c>
      <c r="F1146" s="1" t="s">
        <v>40</v>
      </c>
      <c r="G1146" s="1">
        <v>197878</v>
      </c>
      <c r="H1146" s="63">
        <v>45720</v>
      </c>
      <c r="I1146" s="63">
        <v>45753</v>
      </c>
      <c r="J1146" s="1">
        <v>33</v>
      </c>
      <c r="K1146" s="1">
        <v>13.2</v>
      </c>
      <c r="L1146" s="1" t="s">
        <v>29</v>
      </c>
      <c r="M1146" s="1" t="s">
        <v>63</v>
      </c>
      <c r="N1146" s="1" t="str">
        <f t="shared" si="17"/>
        <v>Normal</v>
      </c>
    </row>
    <row r="1147" spans="1:14" x14ac:dyDescent="0.25">
      <c r="A1147" s="1" t="s">
        <v>2147</v>
      </c>
      <c r="B1147" s="1" t="s">
        <v>98</v>
      </c>
      <c r="C1147" s="1" t="s">
        <v>552</v>
      </c>
      <c r="D1147" s="1" t="s">
        <v>16</v>
      </c>
      <c r="E1147" s="1" t="s">
        <v>17</v>
      </c>
      <c r="F1147" s="1" t="s">
        <v>40</v>
      </c>
      <c r="G1147" s="1">
        <v>231769</v>
      </c>
      <c r="H1147" s="63">
        <v>44938</v>
      </c>
      <c r="I1147" s="63">
        <v>45029</v>
      </c>
      <c r="J1147" s="1">
        <v>91</v>
      </c>
      <c r="K1147" s="1">
        <v>3.6</v>
      </c>
      <c r="L1147" s="1" t="s">
        <v>96</v>
      </c>
      <c r="M1147" s="1" t="s">
        <v>35</v>
      </c>
      <c r="N1147" s="1" t="str">
        <f t="shared" si="17"/>
        <v>Normal</v>
      </c>
    </row>
    <row r="1148" spans="1:14" x14ac:dyDescent="0.25">
      <c r="A1148" s="1" t="s">
        <v>2148</v>
      </c>
      <c r="B1148" s="1" t="s">
        <v>80</v>
      </c>
      <c r="C1148" s="1" t="s">
        <v>81</v>
      </c>
      <c r="D1148" s="1" t="s">
        <v>39</v>
      </c>
      <c r="E1148" s="1" t="s">
        <v>47</v>
      </c>
      <c r="F1148" s="1" t="s">
        <v>53</v>
      </c>
      <c r="G1148" s="1">
        <v>1372299</v>
      </c>
      <c r="H1148" s="63">
        <v>45622</v>
      </c>
      <c r="J1148" s="1"/>
      <c r="K1148" s="1">
        <v>12.5</v>
      </c>
      <c r="L1148" s="1" t="s">
        <v>20</v>
      </c>
      <c r="M1148" s="1" t="s">
        <v>42</v>
      </c>
      <c r="N1148" s="1" t="str">
        <f t="shared" si="17"/>
        <v>High Outlier</v>
      </c>
    </row>
    <row r="1149" spans="1:14" x14ac:dyDescent="0.25">
      <c r="A1149" s="1" t="s">
        <v>2149</v>
      </c>
      <c r="B1149" s="1" t="s">
        <v>104</v>
      </c>
      <c r="C1149" s="1" t="s">
        <v>882</v>
      </c>
      <c r="D1149" s="1" t="s">
        <v>39</v>
      </c>
      <c r="E1149" s="1" t="s">
        <v>47</v>
      </c>
      <c r="F1149" s="1" t="s">
        <v>33</v>
      </c>
      <c r="G1149" s="1">
        <v>357297</v>
      </c>
      <c r="H1149" s="63">
        <v>45107</v>
      </c>
      <c r="J1149" s="1"/>
      <c r="K1149" s="1">
        <v>7</v>
      </c>
      <c r="L1149" s="1" t="s">
        <v>96</v>
      </c>
      <c r="M1149" s="1" t="s">
        <v>30</v>
      </c>
      <c r="N1149" s="1" t="str">
        <f t="shared" si="17"/>
        <v>Normal</v>
      </c>
    </row>
    <row r="1150" spans="1:14" x14ac:dyDescent="0.25">
      <c r="A1150" s="1" t="s">
        <v>2151</v>
      </c>
      <c r="B1150" s="1" t="s">
        <v>14</v>
      </c>
      <c r="C1150" s="1" t="s">
        <v>574</v>
      </c>
      <c r="D1150" s="1" t="s">
        <v>90</v>
      </c>
      <c r="E1150" s="1" t="s">
        <v>47</v>
      </c>
      <c r="F1150" s="1" t="s">
        <v>53</v>
      </c>
      <c r="G1150" s="1">
        <v>207922</v>
      </c>
      <c r="H1150" s="63">
        <v>45146</v>
      </c>
      <c r="J1150" s="1"/>
      <c r="K1150" s="1">
        <v>0.2</v>
      </c>
      <c r="L1150" s="1" t="s">
        <v>49</v>
      </c>
      <c r="M1150" s="1" t="s">
        <v>102</v>
      </c>
      <c r="N1150" s="1" t="str">
        <f t="shared" si="17"/>
        <v>Normal</v>
      </c>
    </row>
    <row r="1151" spans="1:14" x14ac:dyDescent="0.25">
      <c r="A1151" s="1" t="s">
        <v>2152</v>
      </c>
      <c r="B1151" s="1" t="s">
        <v>88</v>
      </c>
      <c r="C1151" s="1" t="s">
        <v>220</v>
      </c>
      <c r="D1151" s="1" t="s">
        <v>46</v>
      </c>
      <c r="E1151" s="1" t="s">
        <v>100</v>
      </c>
      <c r="F1151" s="1" t="s">
        <v>33</v>
      </c>
      <c r="G1151" s="1">
        <v>90140</v>
      </c>
      <c r="H1151" s="63">
        <v>45039</v>
      </c>
      <c r="J1151" s="1"/>
      <c r="K1151" s="1">
        <v>3.1</v>
      </c>
      <c r="L1151" s="1" t="s">
        <v>49</v>
      </c>
      <c r="M1151" s="1" t="s">
        <v>30</v>
      </c>
      <c r="N1151" s="1" t="str">
        <f t="shared" si="17"/>
        <v>Normal</v>
      </c>
    </row>
    <row r="1152" spans="1:14" x14ac:dyDescent="0.25">
      <c r="A1152" s="1" t="s">
        <v>2153</v>
      </c>
      <c r="B1152" s="1" t="s">
        <v>109</v>
      </c>
      <c r="C1152" s="1" t="s">
        <v>66</v>
      </c>
      <c r="D1152" s="1" t="s">
        <v>46</v>
      </c>
      <c r="E1152" s="1" t="s">
        <v>77</v>
      </c>
      <c r="F1152" s="1" t="s">
        <v>53</v>
      </c>
      <c r="G1152" s="1">
        <v>356152</v>
      </c>
      <c r="H1152" s="63">
        <v>45637</v>
      </c>
      <c r="J1152" s="1"/>
      <c r="K1152" s="1"/>
      <c r="L1152" s="1" t="s">
        <v>96</v>
      </c>
      <c r="M1152" s="1" t="s">
        <v>42</v>
      </c>
      <c r="N1152" s="1" t="str">
        <f t="shared" si="17"/>
        <v>Normal</v>
      </c>
    </row>
    <row r="1153" spans="1:14" x14ac:dyDescent="0.25">
      <c r="A1153" s="1" t="s">
        <v>2154</v>
      </c>
      <c r="B1153" s="1" t="s">
        <v>173</v>
      </c>
      <c r="C1153" s="1" t="s">
        <v>1050</v>
      </c>
      <c r="D1153" s="1" t="s">
        <v>25</v>
      </c>
      <c r="E1153" s="1" t="s">
        <v>94</v>
      </c>
      <c r="F1153" s="1" t="s">
        <v>40</v>
      </c>
      <c r="G1153" s="1">
        <v>403041</v>
      </c>
      <c r="H1153" s="63">
        <v>45683</v>
      </c>
      <c r="I1153" s="63">
        <v>45833</v>
      </c>
      <c r="J1153" s="1">
        <v>150</v>
      </c>
      <c r="K1153" s="1">
        <v>1.1000000000000001</v>
      </c>
      <c r="L1153" s="1" t="s">
        <v>20</v>
      </c>
      <c r="M1153" s="1" t="s">
        <v>63</v>
      </c>
      <c r="N1153" s="1" t="str">
        <f t="shared" si="17"/>
        <v>Normal</v>
      </c>
    </row>
    <row r="1154" spans="1:14" x14ac:dyDescent="0.25">
      <c r="A1154" s="1" t="s">
        <v>2155</v>
      </c>
      <c r="B1154" s="1" t="s">
        <v>75</v>
      </c>
      <c r="C1154" s="1" t="s">
        <v>957</v>
      </c>
      <c r="D1154" s="1" t="s">
        <v>90</v>
      </c>
      <c r="E1154" s="1" t="s">
        <v>17</v>
      </c>
      <c r="F1154" s="1" t="s">
        <v>18</v>
      </c>
      <c r="G1154" s="1">
        <v>144927</v>
      </c>
      <c r="H1154" s="63">
        <v>45306</v>
      </c>
      <c r="I1154" s="63">
        <v>45347</v>
      </c>
      <c r="J1154" s="1">
        <v>41</v>
      </c>
      <c r="K1154" s="1">
        <v>11.1</v>
      </c>
      <c r="L1154" s="1" t="s">
        <v>49</v>
      </c>
      <c r="M1154" s="1" t="s">
        <v>69</v>
      </c>
      <c r="N1154" s="1" t="str">
        <f t="shared" ref="N1154:N1217" si="18">IF(G1154&gt;$R$5,"High Outlier",IF(G1154&lt;$R$6,"Low Outlier","Normal"))</f>
        <v>Normal</v>
      </c>
    </row>
    <row r="1155" spans="1:14" x14ac:dyDescent="0.25">
      <c r="A1155" s="1" t="s">
        <v>2156</v>
      </c>
      <c r="B1155" s="1" t="s">
        <v>104</v>
      </c>
      <c r="C1155" s="1" t="s">
        <v>1151</v>
      </c>
      <c r="D1155" s="1" t="s">
        <v>25</v>
      </c>
      <c r="E1155" s="1" t="s">
        <v>100</v>
      </c>
      <c r="F1155" s="1" t="s">
        <v>40</v>
      </c>
      <c r="G1155" s="1">
        <v>217076</v>
      </c>
      <c r="H1155" s="63">
        <v>45063</v>
      </c>
      <c r="I1155" s="63">
        <v>45187</v>
      </c>
      <c r="J1155" s="1">
        <v>124</v>
      </c>
      <c r="K1155" s="1">
        <v>9</v>
      </c>
      <c r="L1155" s="1" t="s">
        <v>49</v>
      </c>
      <c r="M1155" s="1" t="s">
        <v>30</v>
      </c>
      <c r="N1155" s="1" t="str">
        <f t="shared" si="18"/>
        <v>Normal</v>
      </c>
    </row>
    <row r="1156" spans="1:14" x14ac:dyDescent="0.25">
      <c r="A1156" s="1" t="s">
        <v>2157</v>
      </c>
      <c r="B1156" s="1" t="s">
        <v>84</v>
      </c>
      <c r="C1156" s="1" t="s">
        <v>1554</v>
      </c>
      <c r="D1156" s="1" t="s">
        <v>25</v>
      </c>
      <c r="E1156" s="1" t="s">
        <v>47</v>
      </c>
      <c r="F1156" s="1" t="s">
        <v>40</v>
      </c>
      <c r="G1156" s="1">
        <v>86934</v>
      </c>
      <c r="H1156" s="63">
        <v>45057</v>
      </c>
      <c r="I1156" s="63">
        <v>45131</v>
      </c>
      <c r="J1156" s="1">
        <v>74</v>
      </c>
      <c r="K1156" s="1">
        <v>8.9</v>
      </c>
      <c r="L1156" s="1" t="s">
        <v>20</v>
      </c>
      <c r="M1156" s="1" t="s">
        <v>30</v>
      </c>
      <c r="N1156" s="1" t="str">
        <f t="shared" si="18"/>
        <v>Normal</v>
      </c>
    </row>
    <row r="1157" spans="1:14" x14ac:dyDescent="0.25">
      <c r="A1157" s="1" t="s">
        <v>2159</v>
      </c>
      <c r="B1157" s="1" t="s">
        <v>23</v>
      </c>
      <c r="C1157" s="1" t="s">
        <v>1364</v>
      </c>
      <c r="D1157" s="1" t="s">
        <v>46</v>
      </c>
      <c r="E1157" s="1" t="s">
        <v>17</v>
      </c>
      <c r="F1157" s="1" t="s">
        <v>18</v>
      </c>
      <c r="G1157" s="1">
        <v>119543</v>
      </c>
      <c r="H1157" s="63">
        <v>45290</v>
      </c>
      <c r="I1157" s="63">
        <v>45354</v>
      </c>
      <c r="J1157" s="1">
        <v>64</v>
      </c>
      <c r="K1157" s="1">
        <v>3.9</v>
      </c>
      <c r="L1157" s="1" t="s">
        <v>96</v>
      </c>
      <c r="M1157" s="1" t="s">
        <v>21</v>
      </c>
      <c r="N1157" s="1" t="str">
        <f t="shared" si="18"/>
        <v>Normal</v>
      </c>
    </row>
    <row r="1158" spans="1:14" x14ac:dyDescent="0.25">
      <c r="A1158" s="1" t="s">
        <v>2160</v>
      </c>
      <c r="B1158" s="1" t="s">
        <v>23</v>
      </c>
      <c r="C1158" s="1" t="s">
        <v>767</v>
      </c>
      <c r="D1158" s="1" t="s">
        <v>39</v>
      </c>
      <c r="E1158" s="1" t="s">
        <v>47</v>
      </c>
      <c r="F1158" s="1" t="s">
        <v>33</v>
      </c>
      <c r="G1158" s="1">
        <v>389172</v>
      </c>
      <c r="H1158" s="63">
        <v>45719</v>
      </c>
      <c r="J1158" s="1"/>
      <c r="K1158" s="1">
        <v>13.5</v>
      </c>
      <c r="L1158" s="1" t="s">
        <v>20</v>
      </c>
      <c r="M1158" s="1" t="s">
        <v>63</v>
      </c>
      <c r="N1158" s="1" t="str">
        <f t="shared" si="18"/>
        <v>Normal</v>
      </c>
    </row>
    <row r="1159" spans="1:14" x14ac:dyDescent="0.25">
      <c r="A1159" s="1" t="s">
        <v>2161</v>
      </c>
      <c r="B1159" s="1" t="s">
        <v>98</v>
      </c>
      <c r="C1159" s="1" t="s">
        <v>1457</v>
      </c>
      <c r="D1159" s="1" t="s">
        <v>39</v>
      </c>
      <c r="E1159" s="1" t="s">
        <v>72</v>
      </c>
      <c r="F1159" s="1" t="s">
        <v>129</v>
      </c>
      <c r="G1159" s="1">
        <v>98980</v>
      </c>
      <c r="H1159" s="63">
        <v>45092</v>
      </c>
      <c r="J1159" s="1"/>
      <c r="K1159" s="1">
        <v>1</v>
      </c>
      <c r="L1159" s="1" t="s">
        <v>49</v>
      </c>
      <c r="M1159" s="1" t="s">
        <v>30</v>
      </c>
      <c r="N1159" s="1" t="str">
        <f t="shared" si="18"/>
        <v>Normal</v>
      </c>
    </row>
    <row r="1160" spans="1:14" x14ac:dyDescent="0.25">
      <c r="A1160" s="1" t="s">
        <v>2162</v>
      </c>
      <c r="B1160" s="1" t="s">
        <v>173</v>
      </c>
      <c r="C1160" s="1" t="s">
        <v>295</v>
      </c>
      <c r="D1160" s="1" t="s">
        <v>67</v>
      </c>
      <c r="E1160" s="1" t="s">
        <v>77</v>
      </c>
      <c r="F1160" s="1" t="s">
        <v>129</v>
      </c>
      <c r="G1160" s="1">
        <v>287510</v>
      </c>
      <c r="H1160" s="63">
        <v>45359</v>
      </c>
      <c r="J1160" s="1"/>
      <c r="K1160" s="1">
        <v>5.3</v>
      </c>
      <c r="L1160" s="1" t="s">
        <v>29</v>
      </c>
      <c r="M1160" s="1" t="s">
        <v>69</v>
      </c>
      <c r="N1160" s="1" t="str">
        <f t="shared" si="18"/>
        <v>Normal</v>
      </c>
    </row>
    <row r="1161" spans="1:14" x14ac:dyDescent="0.25">
      <c r="A1161" s="1" t="s">
        <v>2163</v>
      </c>
      <c r="B1161" s="1" t="s">
        <v>88</v>
      </c>
      <c r="C1161" s="1" t="s">
        <v>1144</v>
      </c>
      <c r="D1161" s="1" t="s">
        <v>25</v>
      </c>
      <c r="E1161" s="1" t="s">
        <v>72</v>
      </c>
      <c r="F1161" s="1" t="s">
        <v>40</v>
      </c>
      <c r="G1161" s="1">
        <v>458363</v>
      </c>
      <c r="H1161" s="63">
        <v>45255</v>
      </c>
      <c r="I1161" s="63">
        <v>45298</v>
      </c>
      <c r="J1161" s="1">
        <v>43</v>
      </c>
      <c r="K1161" s="1">
        <v>8.6999999999999993</v>
      </c>
      <c r="L1161" s="1" t="s">
        <v>29</v>
      </c>
      <c r="M1161" s="1" t="s">
        <v>21</v>
      </c>
      <c r="N1161" s="1" t="str">
        <f t="shared" si="18"/>
        <v>Normal</v>
      </c>
    </row>
    <row r="1162" spans="1:14" x14ac:dyDescent="0.25">
      <c r="A1162" s="1" t="s">
        <v>2164</v>
      </c>
      <c r="B1162" s="1" t="s">
        <v>80</v>
      </c>
      <c r="C1162" s="1" t="s">
        <v>1112</v>
      </c>
      <c r="D1162" s="1" t="s">
        <v>25</v>
      </c>
      <c r="E1162" s="1" t="s">
        <v>77</v>
      </c>
      <c r="F1162" s="1" t="s">
        <v>27</v>
      </c>
      <c r="G1162" s="1">
        <v>210386</v>
      </c>
      <c r="H1162" s="63">
        <v>45621</v>
      </c>
      <c r="J1162" s="1"/>
      <c r="K1162" s="1">
        <v>9.1999999999999993</v>
      </c>
      <c r="L1162" s="1" t="s">
        <v>29</v>
      </c>
      <c r="M1162" s="1" t="s">
        <v>42</v>
      </c>
      <c r="N1162" s="1" t="str">
        <f t="shared" si="18"/>
        <v>Normal</v>
      </c>
    </row>
    <row r="1163" spans="1:14" x14ac:dyDescent="0.25">
      <c r="A1163" s="1" t="s">
        <v>2165</v>
      </c>
      <c r="B1163" s="1" t="s">
        <v>173</v>
      </c>
      <c r="C1163" s="1" t="s">
        <v>1415</v>
      </c>
      <c r="D1163" s="1" t="s">
        <v>90</v>
      </c>
      <c r="E1163" s="1" t="s">
        <v>72</v>
      </c>
      <c r="F1163" s="1" t="s">
        <v>33</v>
      </c>
      <c r="G1163" s="1">
        <v>325682</v>
      </c>
      <c r="H1163" s="63">
        <v>45487</v>
      </c>
      <c r="J1163" s="1"/>
      <c r="K1163" s="1">
        <v>11.1</v>
      </c>
      <c r="L1163" s="1" t="s">
        <v>96</v>
      </c>
      <c r="M1163" s="1" t="s">
        <v>149</v>
      </c>
      <c r="N1163" s="1" t="str">
        <f t="shared" si="18"/>
        <v>Normal</v>
      </c>
    </row>
    <row r="1164" spans="1:14" x14ac:dyDescent="0.25">
      <c r="A1164" s="1" t="s">
        <v>2167</v>
      </c>
      <c r="B1164" s="1" t="s">
        <v>173</v>
      </c>
      <c r="C1164" s="1" t="s">
        <v>177</v>
      </c>
      <c r="D1164" s="1" t="s">
        <v>25</v>
      </c>
      <c r="E1164" s="1" t="s">
        <v>77</v>
      </c>
      <c r="F1164" s="1" t="s">
        <v>18</v>
      </c>
      <c r="G1164" s="1">
        <v>198365</v>
      </c>
      <c r="H1164" s="63">
        <v>44928</v>
      </c>
      <c r="I1164" s="63">
        <v>44996</v>
      </c>
      <c r="J1164" s="1">
        <v>68</v>
      </c>
      <c r="K1164" s="1"/>
      <c r="L1164" s="1" t="s">
        <v>20</v>
      </c>
      <c r="M1164" s="1" t="s">
        <v>35</v>
      </c>
      <c r="N1164" s="1" t="str">
        <f t="shared" si="18"/>
        <v>Normal</v>
      </c>
    </row>
    <row r="1165" spans="1:14" x14ac:dyDescent="0.25">
      <c r="A1165" s="1" t="s">
        <v>2168</v>
      </c>
      <c r="B1165" s="1" t="s">
        <v>173</v>
      </c>
      <c r="C1165" s="1" t="s">
        <v>972</v>
      </c>
      <c r="D1165" s="1" t="s">
        <v>90</v>
      </c>
      <c r="E1165" s="1" t="s">
        <v>77</v>
      </c>
      <c r="F1165" s="1" t="s">
        <v>129</v>
      </c>
      <c r="G1165" s="1">
        <v>269598</v>
      </c>
      <c r="H1165" s="63">
        <v>45650</v>
      </c>
      <c r="J1165" s="1"/>
      <c r="K1165" s="1">
        <v>10.4</v>
      </c>
      <c r="L1165" s="1" t="s">
        <v>96</v>
      </c>
      <c r="M1165" s="1" t="s">
        <v>42</v>
      </c>
      <c r="N1165" s="1" t="str">
        <f t="shared" si="18"/>
        <v>Normal</v>
      </c>
    </row>
    <row r="1166" spans="1:14" x14ac:dyDescent="0.25">
      <c r="A1166" s="1" t="s">
        <v>2170</v>
      </c>
      <c r="B1166" s="1" t="s">
        <v>127</v>
      </c>
      <c r="C1166" s="1" t="s">
        <v>384</v>
      </c>
      <c r="D1166" s="1" t="s">
        <v>90</v>
      </c>
      <c r="E1166" s="1" t="s">
        <v>94</v>
      </c>
      <c r="F1166" s="1" t="s">
        <v>129</v>
      </c>
      <c r="G1166" s="1">
        <v>33145</v>
      </c>
      <c r="H1166" s="63">
        <v>44929</v>
      </c>
      <c r="J1166" s="1"/>
      <c r="K1166" s="1">
        <v>9.9</v>
      </c>
      <c r="L1166" s="1" t="s">
        <v>20</v>
      </c>
      <c r="M1166" s="1" t="s">
        <v>35</v>
      </c>
      <c r="N1166" s="1" t="str">
        <f t="shared" si="18"/>
        <v>Normal</v>
      </c>
    </row>
    <row r="1167" spans="1:14" x14ac:dyDescent="0.25">
      <c r="A1167" s="1" t="s">
        <v>2171</v>
      </c>
      <c r="B1167" s="1" t="s">
        <v>59</v>
      </c>
      <c r="C1167" s="1" t="s">
        <v>352</v>
      </c>
      <c r="D1167" s="1" t="s">
        <v>25</v>
      </c>
      <c r="E1167" s="1" t="s">
        <v>94</v>
      </c>
      <c r="F1167" s="1" t="s">
        <v>40</v>
      </c>
      <c r="G1167" s="1">
        <v>494610</v>
      </c>
      <c r="H1167" s="63">
        <v>45018</v>
      </c>
      <c r="I1167" s="63">
        <v>45060</v>
      </c>
      <c r="J1167" s="1">
        <v>42</v>
      </c>
      <c r="K1167" s="1">
        <v>19.399999999999999</v>
      </c>
      <c r="L1167" s="1" t="s">
        <v>49</v>
      </c>
      <c r="M1167" s="1" t="s">
        <v>30</v>
      </c>
      <c r="N1167" s="1" t="str">
        <f t="shared" si="18"/>
        <v>Normal</v>
      </c>
    </row>
    <row r="1168" spans="1:14" x14ac:dyDescent="0.25">
      <c r="A1168" s="1" t="s">
        <v>2172</v>
      </c>
      <c r="B1168" s="1" t="s">
        <v>109</v>
      </c>
      <c r="C1168" s="1" t="s">
        <v>174</v>
      </c>
      <c r="D1168" s="1" t="s">
        <v>25</v>
      </c>
      <c r="E1168" s="1" t="s">
        <v>94</v>
      </c>
      <c r="F1168" s="1" t="s">
        <v>40</v>
      </c>
      <c r="G1168" s="1">
        <v>315836</v>
      </c>
      <c r="H1168" s="63">
        <v>45495</v>
      </c>
      <c r="I1168" s="63">
        <v>45654</v>
      </c>
      <c r="J1168" s="1">
        <v>159</v>
      </c>
      <c r="K1168" s="1">
        <v>6.7</v>
      </c>
      <c r="L1168" s="1" t="s">
        <v>20</v>
      </c>
      <c r="M1168" s="1" t="s">
        <v>149</v>
      </c>
      <c r="N1168" s="1" t="str">
        <f t="shared" si="18"/>
        <v>Normal</v>
      </c>
    </row>
    <row r="1169" spans="1:14" x14ac:dyDescent="0.25">
      <c r="A1169" s="1" t="s">
        <v>2174</v>
      </c>
      <c r="B1169" s="1" t="s">
        <v>37</v>
      </c>
      <c r="C1169" s="1" t="s">
        <v>247</v>
      </c>
      <c r="D1169" s="1" t="s">
        <v>39</v>
      </c>
      <c r="E1169" s="1" t="s">
        <v>26</v>
      </c>
      <c r="F1169" s="1" t="s">
        <v>27</v>
      </c>
      <c r="G1169" s="1">
        <v>426963</v>
      </c>
      <c r="H1169" s="63">
        <v>45051</v>
      </c>
      <c r="J1169" s="1"/>
      <c r="K1169" s="1">
        <v>14.2</v>
      </c>
      <c r="L1169" s="1" t="s">
        <v>96</v>
      </c>
      <c r="M1169" s="1" t="s">
        <v>30</v>
      </c>
      <c r="N1169" s="1" t="str">
        <f t="shared" si="18"/>
        <v>Normal</v>
      </c>
    </row>
    <row r="1170" spans="1:14" x14ac:dyDescent="0.25">
      <c r="A1170" s="1" t="s">
        <v>2175</v>
      </c>
      <c r="B1170" s="1" t="s">
        <v>59</v>
      </c>
      <c r="C1170" s="1" t="s">
        <v>1136</v>
      </c>
      <c r="D1170" s="1" t="s">
        <v>16</v>
      </c>
      <c r="E1170" s="1" t="s">
        <v>61</v>
      </c>
      <c r="F1170" s="1" t="s">
        <v>40</v>
      </c>
      <c r="G1170" s="1">
        <v>283948</v>
      </c>
      <c r="H1170" s="63">
        <v>45620</v>
      </c>
      <c r="I1170" s="63">
        <v>45654</v>
      </c>
      <c r="J1170" s="1">
        <v>34</v>
      </c>
      <c r="K1170" s="1">
        <v>24.3</v>
      </c>
      <c r="L1170" s="1" t="s">
        <v>20</v>
      </c>
      <c r="M1170" s="1" t="s">
        <v>42</v>
      </c>
      <c r="N1170" s="1" t="str">
        <f t="shared" si="18"/>
        <v>Normal</v>
      </c>
    </row>
    <row r="1171" spans="1:14" x14ac:dyDescent="0.25">
      <c r="A1171" s="1" t="s">
        <v>2177</v>
      </c>
      <c r="B1171" s="1" t="s">
        <v>109</v>
      </c>
      <c r="C1171" s="1" t="s">
        <v>449</v>
      </c>
      <c r="D1171" s="1" t="s">
        <v>25</v>
      </c>
      <c r="E1171" s="1" t="s">
        <v>26</v>
      </c>
      <c r="F1171" s="1" t="s">
        <v>129</v>
      </c>
      <c r="G1171" s="1">
        <v>489088</v>
      </c>
      <c r="H1171" s="63">
        <v>45314</v>
      </c>
      <c r="J1171" s="1"/>
      <c r="K1171" s="1">
        <v>2.2999999999999998</v>
      </c>
      <c r="L1171" s="1" t="s">
        <v>49</v>
      </c>
      <c r="M1171" s="1" t="s">
        <v>69</v>
      </c>
      <c r="N1171" s="1" t="str">
        <f t="shared" si="18"/>
        <v>Normal</v>
      </c>
    </row>
    <row r="1172" spans="1:14" x14ac:dyDescent="0.25">
      <c r="A1172" s="1" t="s">
        <v>2178</v>
      </c>
      <c r="B1172" s="1" t="s">
        <v>44</v>
      </c>
      <c r="C1172" s="1" t="s">
        <v>471</v>
      </c>
      <c r="D1172" s="1" t="s">
        <v>25</v>
      </c>
      <c r="E1172" s="1" t="s">
        <v>61</v>
      </c>
      <c r="F1172" s="1" t="s">
        <v>129</v>
      </c>
      <c r="G1172" s="1">
        <v>233356</v>
      </c>
      <c r="H1172" s="63">
        <v>45283</v>
      </c>
      <c r="J1172" s="1"/>
      <c r="K1172" s="1">
        <v>2.8</v>
      </c>
      <c r="L1172" s="1" t="s">
        <v>29</v>
      </c>
      <c r="M1172" s="1" t="s">
        <v>21</v>
      </c>
      <c r="N1172" s="1" t="str">
        <f t="shared" si="18"/>
        <v>Normal</v>
      </c>
    </row>
    <row r="1173" spans="1:14" x14ac:dyDescent="0.25">
      <c r="A1173" s="1" t="s">
        <v>2180</v>
      </c>
      <c r="B1173" s="1" t="s">
        <v>173</v>
      </c>
      <c r="C1173" s="1" t="s">
        <v>361</v>
      </c>
      <c r="D1173" s="1" t="s">
        <v>25</v>
      </c>
      <c r="E1173" s="1" t="s">
        <v>100</v>
      </c>
      <c r="F1173" s="1" t="s">
        <v>33</v>
      </c>
      <c r="G1173" s="1">
        <v>285426</v>
      </c>
      <c r="H1173" s="63">
        <v>45746</v>
      </c>
      <c r="J1173" s="1"/>
      <c r="K1173" s="1">
        <v>5</v>
      </c>
      <c r="L1173" s="1" t="s">
        <v>49</v>
      </c>
      <c r="M1173" s="1" t="s">
        <v>63</v>
      </c>
      <c r="N1173" s="1" t="str">
        <f t="shared" si="18"/>
        <v>Normal</v>
      </c>
    </row>
    <row r="1174" spans="1:14" x14ac:dyDescent="0.25">
      <c r="A1174" s="1" t="s">
        <v>2181</v>
      </c>
      <c r="B1174" s="1" t="s">
        <v>37</v>
      </c>
      <c r="C1174" s="1" t="s">
        <v>364</v>
      </c>
      <c r="D1174" s="1" t="s">
        <v>90</v>
      </c>
      <c r="E1174" s="1" t="s">
        <v>77</v>
      </c>
      <c r="F1174" s="1" t="s">
        <v>27</v>
      </c>
      <c r="G1174" s="1">
        <v>251366</v>
      </c>
      <c r="H1174" s="63">
        <v>45068</v>
      </c>
      <c r="J1174" s="1"/>
      <c r="K1174" s="1">
        <v>4</v>
      </c>
      <c r="L1174" s="1" t="s">
        <v>29</v>
      </c>
      <c r="M1174" s="1" t="s">
        <v>30</v>
      </c>
      <c r="N1174" s="1" t="str">
        <f t="shared" si="18"/>
        <v>Normal</v>
      </c>
    </row>
    <row r="1175" spans="1:14" x14ac:dyDescent="0.25">
      <c r="A1175" s="1" t="s">
        <v>2182</v>
      </c>
      <c r="B1175" s="1" t="s">
        <v>23</v>
      </c>
      <c r="C1175" s="1" t="s">
        <v>1106</v>
      </c>
      <c r="D1175" s="1" t="s">
        <v>46</v>
      </c>
      <c r="E1175" s="1" t="s">
        <v>61</v>
      </c>
      <c r="F1175" s="1" t="s">
        <v>53</v>
      </c>
      <c r="G1175" s="1">
        <v>197263</v>
      </c>
      <c r="H1175" s="63">
        <v>45690</v>
      </c>
      <c r="J1175" s="1"/>
      <c r="K1175" s="1">
        <v>7.6</v>
      </c>
      <c r="L1175" s="1" t="s">
        <v>29</v>
      </c>
      <c r="M1175" s="1" t="s">
        <v>63</v>
      </c>
      <c r="N1175" s="1" t="str">
        <f t="shared" si="18"/>
        <v>Normal</v>
      </c>
    </row>
    <row r="1176" spans="1:14" x14ac:dyDescent="0.25">
      <c r="A1176" s="1" t="s">
        <v>2183</v>
      </c>
      <c r="B1176" s="1" t="s">
        <v>75</v>
      </c>
      <c r="C1176" s="1" t="s">
        <v>782</v>
      </c>
      <c r="D1176" s="1" t="s">
        <v>25</v>
      </c>
      <c r="E1176" s="1" t="s">
        <v>61</v>
      </c>
      <c r="F1176" s="1" t="s">
        <v>129</v>
      </c>
      <c r="G1176" s="1">
        <v>14972</v>
      </c>
      <c r="H1176" s="63">
        <v>45356</v>
      </c>
      <c r="J1176" s="1"/>
      <c r="K1176" s="1">
        <v>10.5</v>
      </c>
      <c r="L1176" s="1" t="s">
        <v>20</v>
      </c>
      <c r="M1176" s="1" t="s">
        <v>69</v>
      </c>
      <c r="N1176" s="1" t="str">
        <f t="shared" si="18"/>
        <v>Normal</v>
      </c>
    </row>
    <row r="1177" spans="1:14" x14ac:dyDescent="0.25">
      <c r="A1177" s="1" t="s">
        <v>2184</v>
      </c>
      <c r="B1177" s="1" t="s">
        <v>98</v>
      </c>
      <c r="C1177" s="1" t="s">
        <v>2185</v>
      </c>
      <c r="D1177" s="1" t="s">
        <v>39</v>
      </c>
      <c r="E1177" s="1" t="s">
        <v>94</v>
      </c>
      <c r="F1177" s="1" t="s">
        <v>129</v>
      </c>
      <c r="G1177" s="1">
        <v>404863</v>
      </c>
      <c r="H1177" s="63">
        <v>44968</v>
      </c>
      <c r="J1177" s="1"/>
      <c r="K1177" s="1">
        <v>5.7</v>
      </c>
      <c r="L1177" s="1" t="s">
        <v>29</v>
      </c>
      <c r="M1177" s="1" t="s">
        <v>35</v>
      </c>
      <c r="N1177" s="1" t="str">
        <f t="shared" si="18"/>
        <v>Normal</v>
      </c>
    </row>
    <row r="1178" spans="1:14" x14ac:dyDescent="0.25">
      <c r="A1178" s="1" t="s">
        <v>2186</v>
      </c>
      <c r="B1178" s="1" t="s">
        <v>98</v>
      </c>
      <c r="C1178" s="1" t="s">
        <v>144</v>
      </c>
      <c r="D1178" s="1" t="s">
        <v>67</v>
      </c>
      <c r="E1178" s="1" t="s">
        <v>94</v>
      </c>
      <c r="F1178" s="1" t="s">
        <v>18</v>
      </c>
      <c r="G1178" s="1">
        <v>133504</v>
      </c>
      <c r="H1178" s="63">
        <v>45669</v>
      </c>
      <c r="I1178" s="63">
        <v>45720</v>
      </c>
      <c r="J1178" s="1">
        <v>51</v>
      </c>
      <c r="K1178" s="1">
        <v>7.1</v>
      </c>
      <c r="L1178" s="1" t="s">
        <v>96</v>
      </c>
      <c r="M1178" s="1" t="s">
        <v>63</v>
      </c>
      <c r="N1178" s="1" t="str">
        <f t="shared" si="18"/>
        <v>Normal</v>
      </c>
    </row>
    <row r="1179" spans="1:14" x14ac:dyDescent="0.25">
      <c r="A1179" s="1" t="s">
        <v>2188</v>
      </c>
      <c r="B1179" s="1" t="s">
        <v>59</v>
      </c>
      <c r="C1179" s="1" t="s">
        <v>89</v>
      </c>
      <c r="D1179" s="1" t="s">
        <v>46</v>
      </c>
      <c r="E1179" s="1" t="s">
        <v>61</v>
      </c>
      <c r="F1179" s="1" t="s">
        <v>129</v>
      </c>
      <c r="G1179" s="1">
        <v>311535</v>
      </c>
      <c r="H1179" s="63">
        <v>45355</v>
      </c>
      <c r="J1179" s="1"/>
      <c r="K1179" s="1"/>
      <c r="L1179" s="1" t="s">
        <v>96</v>
      </c>
      <c r="M1179" s="1" t="s">
        <v>69</v>
      </c>
      <c r="N1179" s="1" t="str">
        <f t="shared" si="18"/>
        <v>Normal</v>
      </c>
    </row>
    <row r="1180" spans="1:14" x14ac:dyDescent="0.25">
      <c r="A1180" s="1" t="s">
        <v>2190</v>
      </c>
      <c r="B1180" s="1" t="s">
        <v>84</v>
      </c>
      <c r="C1180" s="1" t="s">
        <v>220</v>
      </c>
      <c r="D1180" s="1" t="s">
        <v>39</v>
      </c>
      <c r="E1180" s="1" t="s">
        <v>17</v>
      </c>
      <c r="F1180" s="1" t="s">
        <v>33</v>
      </c>
      <c r="G1180" s="1">
        <v>499489</v>
      </c>
      <c r="H1180" s="63">
        <v>45031</v>
      </c>
      <c r="J1180" s="1"/>
      <c r="K1180" s="1"/>
      <c r="L1180" s="1" t="s">
        <v>49</v>
      </c>
      <c r="M1180" s="1" t="s">
        <v>30</v>
      </c>
      <c r="N1180" s="1" t="str">
        <f t="shared" si="18"/>
        <v>Normal</v>
      </c>
    </row>
    <row r="1181" spans="1:14" x14ac:dyDescent="0.25">
      <c r="A1181" s="1" t="s">
        <v>2191</v>
      </c>
      <c r="B1181" s="1" t="s">
        <v>44</v>
      </c>
      <c r="C1181" s="1" t="s">
        <v>352</v>
      </c>
      <c r="D1181" s="1" t="s">
        <v>16</v>
      </c>
      <c r="E1181" s="1" t="s">
        <v>26</v>
      </c>
      <c r="F1181" s="1" t="s">
        <v>40</v>
      </c>
      <c r="G1181" s="1">
        <v>69683</v>
      </c>
      <c r="H1181" s="63">
        <v>45276</v>
      </c>
      <c r="I1181" s="63">
        <v>45392</v>
      </c>
      <c r="J1181" s="1">
        <v>116</v>
      </c>
      <c r="K1181" s="1">
        <v>15.4</v>
      </c>
      <c r="L1181" s="1" t="s">
        <v>96</v>
      </c>
      <c r="M1181" s="1" t="s">
        <v>21</v>
      </c>
      <c r="N1181" s="1" t="str">
        <f t="shared" si="18"/>
        <v>Normal</v>
      </c>
    </row>
    <row r="1182" spans="1:14" x14ac:dyDescent="0.25">
      <c r="A1182" s="1" t="s">
        <v>2192</v>
      </c>
      <c r="B1182" s="1" t="s">
        <v>4829</v>
      </c>
      <c r="C1182" s="1" t="s">
        <v>892</v>
      </c>
      <c r="D1182" s="1" t="s">
        <v>46</v>
      </c>
      <c r="E1182" s="1" t="s">
        <v>100</v>
      </c>
      <c r="F1182" s="1" t="s">
        <v>40</v>
      </c>
      <c r="G1182" s="1">
        <v>37136</v>
      </c>
      <c r="H1182" s="63">
        <v>45150</v>
      </c>
      <c r="I1182" s="63">
        <v>45174</v>
      </c>
      <c r="J1182" s="1">
        <v>24</v>
      </c>
      <c r="K1182" s="1">
        <v>9.3000000000000007</v>
      </c>
      <c r="L1182" s="1" t="s">
        <v>96</v>
      </c>
      <c r="M1182" s="1" t="s">
        <v>102</v>
      </c>
      <c r="N1182" s="1" t="str">
        <f t="shared" si="18"/>
        <v>Normal</v>
      </c>
    </row>
    <row r="1183" spans="1:14" x14ac:dyDescent="0.25">
      <c r="A1183" s="1" t="s">
        <v>2193</v>
      </c>
      <c r="B1183" s="1" t="s">
        <v>59</v>
      </c>
      <c r="C1183" s="1" t="s">
        <v>218</v>
      </c>
      <c r="D1183" s="1" t="s">
        <v>90</v>
      </c>
      <c r="E1183" s="1" t="s">
        <v>94</v>
      </c>
      <c r="F1183" s="1" t="s">
        <v>40</v>
      </c>
      <c r="G1183" s="1">
        <v>222473</v>
      </c>
      <c r="H1183" s="63">
        <v>45086</v>
      </c>
      <c r="I1183" s="63">
        <v>45222</v>
      </c>
      <c r="J1183" s="1">
        <v>136</v>
      </c>
      <c r="K1183" s="1">
        <v>24.3</v>
      </c>
      <c r="L1183" s="1" t="s">
        <v>29</v>
      </c>
      <c r="M1183" s="1" t="s">
        <v>30</v>
      </c>
      <c r="N1183" s="1" t="str">
        <f t="shared" si="18"/>
        <v>Normal</v>
      </c>
    </row>
    <row r="1184" spans="1:14" x14ac:dyDescent="0.25">
      <c r="A1184" s="1" t="s">
        <v>2195</v>
      </c>
      <c r="B1184" s="1" t="s">
        <v>75</v>
      </c>
      <c r="C1184" s="1" t="s">
        <v>186</v>
      </c>
      <c r="D1184" s="1" t="s">
        <v>25</v>
      </c>
      <c r="E1184" s="1" t="s">
        <v>47</v>
      </c>
      <c r="F1184" s="1" t="s">
        <v>18</v>
      </c>
      <c r="G1184" s="1">
        <v>59249</v>
      </c>
      <c r="H1184" s="63">
        <v>45729</v>
      </c>
      <c r="I1184" s="63">
        <v>45853</v>
      </c>
      <c r="J1184" s="1">
        <v>124</v>
      </c>
      <c r="K1184" s="1">
        <v>10.199999999999999</v>
      </c>
      <c r="L1184" s="1" t="s">
        <v>20</v>
      </c>
      <c r="M1184" s="1" t="s">
        <v>63</v>
      </c>
      <c r="N1184" s="1" t="str">
        <f t="shared" si="18"/>
        <v>Normal</v>
      </c>
    </row>
    <row r="1185" spans="1:14" x14ac:dyDescent="0.25">
      <c r="A1185" s="1" t="s">
        <v>2196</v>
      </c>
      <c r="B1185" s="1" t="s">
        <v>80</v>
      </c>
      <c r="C1185" s="1" t="s">
        <v>460</v>
      </c>
      <c r="D1185" s="1" t="s">
        <v>67</v>
      </c>
      <c r="E1185" s="1" t="s">
        <v>100</v>
      </c>
      <c r="F1185" s="1" t="s">
        <v>40</v>
      </c>
      <c r="G1185" s="1">
        <v>477798</v>
      </c>
      <c r="H1185" s="63">
        <v>44959</v>
      </c>
      <c r="I1185" s="63">
        <v>44989</v>
      </c>
      <c r="J1185" s="1">
        <v>30</v>
      </c>
      <c r="K1185" s="1">
        <v>4.3</v>
      </c>
      <c r="L1185" s="1" t="s">
        <v>96</v>
      </c>
      <c r="M1185" s="1" t="s">
        <v>35</v>
      </c>
      <c r="N1185" s="1" t="str">
        <f t="shared" si="18"/>
        <v>Normal</v>
      </c>
    </row>
    <row r="1186" spans="1:14" x14ac:dyDescent="0.25">
      <c r="A1186" s="1" t="s">
        <v>2198</v>
      </c>
      <c r="B1186" s="1" t="s">
        <v>84</v>
      </c>
      <c r="C1186" s="1" t="s">
        <v>705</v>
      </c>
      <c r="D1186" s="1" t="s">
        <v>39</v>
      </c>
      <c r="E1186" s="1" t="s">
        <v>72</v>
      </c>
      <c r="F1186" s="1" t="s">
        <v>27</v>
      </c>
      <c r="G1186" s="1">
        <v>291602</v>
      </c>
      <c r="H1186" s="63">
        <v>45273</v>
      </c>
      <c r="J1186" s="1"/>
      <c r="K1186" s="1">
        <v>8.4</v>
      </c>
      <c r="L1186" s="1" t="s">
        <v>20</v>
      </c>
      <c r="M1186" s="1" t="s">
        <v>21</v>
      </c>
      <c r="N1186" s="1" t="str">
        <f t="shared" si="18"/>
        <v>Normal</v>
      </c>
    </row>
    <row r="1187" spans="1:14" x14ac:dyDescent="0.25">
      <c r="A1187" s="1" t="s">
        <v>2199</v>
      </c>
      <c r="B1187" s="1" t="s">
        <v>104</v>
      </c>
      <c r="C1187" s="1" t="s">
        <v>1070</v>
      </c>
      <c r="D1187" s="1" t="s">
        <v>90</v>
      </c>
      <c r="E1187" s="1" t="s">
        <v>100</v>
      </c>
      <c r="F1187" s="1" t="s">
        <v>129</v>
      </c>
      <c r="G1187" s="1">
        <v>280933</v>
      </c>
      <c r="H1187" s="63">
        <v>44939</v>
      </c>
      <c r="J1187" s="1"/>
      <c r="K1187" s="1"/>
      <c r="L1187" s="1" t="s">
        <v>96</v>
      </c>
      <c r="M1187" s="1" t="s">
        <v>35</v>
      </c>
      <c r="N1187" s="1" t="str">
        <f t="shared" si="18"/>
        <v>Normal</v>
      </c>
    </row>
    <row r="1188" spans="1:14" x14ac:dyDescent="0.25">
      <c r="A1188" s="1" t="s">
        <v>2200</v>
      </c>
      <c r="B1188" s="1" t="s">
        <v>84</v>
      </c>
      <c r="C1188" s="1" t="s">
        <v>1144</v>
      </c>
      <c r="D1188" s="1" t="s">
        <v>46</v>
      </c>
      <c r="E1188" s="1" t="s">
        <v>47</v>
      </c>
      <c r="F1188" s="1" t="s">
        <v>18</v>
      </c>
      <c r="G1188" s="1">
        <v>54460</v>
      </c>
      <c r="H1188" s="63">
        <v>45326</v>
      </c>
      <c r="I1188" s="63">
        <v>45440</v>
      </c>
      <c r="J1188" s="1">
        <v>114</v>
      </c>
      <c r="K1188" s="1">
        <v>10.8</v>
      </c>
      <c r="L1188" s="1" t="s">
        <v>96</v>
      </c>
      <c r="M1188" s="1" t="s">
        <v>69</v>
      </c>
      <c r="N1188" s="1" t="str">
        <f t="shared" si="18"/>
        <v>Normal</v>
      </c>
    </row>
    <row r="1189" spans="1:14" x14ac:dyDescent="0.25">
      <c r="A1189" s="1" t="s">
        <v>2202</v>
      </c>
      <c r="B1189" s="1" t="s">
        <v>127</v>
      </c>
      <c r="C1189" s="1" t="s">
        <v>141</v>
      </c>
      <c r="D1189" s="1" t="s">
        <v>25</v>
      </c>
      <c r="E1189" s="1" t="s">
        <v>100</v>
      </c>
      <c r="F1189" s="1" t="s">
        <v>18</v>
      </c>
      <c r="G1189" s="1">
        <v>276452</v>
      </c>
      <c r="H1189" s="63">
        <v>44999</v>
      </c>
      <c r="I1189" s="63">
        <v>45153</v>
      </c>
      <c r="J1189" s="1">
        <v>154</v>
      </c>
      <c r="K1189" s="1">
        <v>13.4</v>
      </c>
      <c r="L1189" s="1" t="s">
        <v>29</v>
      </c>
      <c r="M1189" s="1" t="s">
        <v>35</v>
      </c>
      <c r="N1189" s="1" t="str">
        <f t="shared" si="18"/>
        <v>Normal</v>
      </c>
    </row>
    <row r="1190" spans="1:14" x14ac:dyDescent="0.25">
      <c r="A1190" s="1" t="s">
        <v>2203</v>
      </c>
      <c r="B1190" s="1" t="s">
        <v>23</v>
      </c>
      <c r="C1190" s="1" t="s">
        <v>705</v>
      </c>
      <c r="D1190" s="1" t="s">
        <v>90</v>
      </c>
      <c r="E1190" s="1" t="s">
        <v>100</v>
      </c>
      <c r="F1190" s="1" t="s">
        <v>33</v>
      </c>
      <c r="G1190" s="1">
        <v>408907</v>
      </c>
      <c r="H1190" s="63">
        <v>45096</v>
      </c>
      <c r="J1190" s="1"/>
      <c r="K1190" s="1"/>
      <c r="L1190" s="1" t="s">
        <v>49</v>
      </c>
      <c r="M1190" s="1" t="s">
        <v>30</v>
      </c>
      <c r="N1190" s="1" t="str">
        <f t="shared" si="18"/>
        <v>Normal</v>
      </c>
    </row>
    <row r="1191" spans="1:14" x14ac:dyDescent="0.25">
      <c r="A1191" s="1" t="s">
        <v>2204</v>
      </c>
      <c r="B1191" s="1" t="s">
        <v>75</v>
      </c>
      <c r="C1191" s="1" t="s">
        <v>208</v>
      </c>
      <c r="D1191" s="1" t="s">
        <v>16</v>
      </c>
      <c r="E1191" s="1" t="s">
        <v>72</v>
      </c>
      <c r="F1191" s="1" t="s">
        <v>129</v>
      </c>
      <c r="G1191" s="1">
        <v>99490</v>
      </c>
      <c r="H1191" s="63">
        <v>44992</v>
      </c>
      <c r="J1191" s="1"/>
      <c r="K1191" s="1"/>
      <c r="L1191" s="1" t="s">
        <v>20</v>
      </c>
      <c r="M1191" s="1" t="s">
        <v>35</v>
      </c>
      <c r="N1191" s="1" t="str">
        <f t="shared" si="18"/>
        <v>Normal</v>
      </c>
    </row>
    <row r="1192" spans="1:14" x14ac:dyDescent="0.25">
      <c r="A1192" s="1" t="s">
        <v>2205</v>
      </c>
      <c r="B1192" s="1" t="s">
        <v>127</v>
      </c>
      <c r="C1192" s="1" t="s">
        <v>76</v>
      </c>
      <c r="D1192" s="1" t="s">
        <v>67</v>
      </c>
      <c r="E1192" s="1" t="s">
        <v>100</v>
      </c>
      <c r="F1192" s="1" t="s">
        <v>53</v>
      </c>
      <c r="G1192" s="1">
        <v>361767</v>
      </c>
      <c r="H1192" s="63">
        <v>45117</v>
      </c>
      <c r="J1192" s="1"/>
      <c r="K1192" s="1"/>
      <c r="L1192" s="1" t="s">
        <v>20</v>
      </c>
      <c r="M1192" s="1" t="s">
        <v>102</v>
      </c>
      <c r="N1192" s="1" t="str">
        <f t="shared" si="18"/>
        <v>Normal</v>
      </c>
    </row>
    <row r="1193" spans="1:14" x14ac:dyDescent="0.25">
      <c r="A1193" s="1" t="s">
        <v>2206</v>
      </c>
      <c r="B1193" s="1" t="s">
        <v>98</v>
      </c>
      <c r="C1193" s="1" t="s">
        <v>944</v>
      </c>
      <c r="D1193" s="1" t="s">
        <v>39</v>
      </c>
      <c r="E1193" s="1" t="s">
        <v>61</v>
      </c>
      <c r="F1193" s="1" t="s">
        <v>40</v>
      </c>
      <c r="G1193" s="1">
        <v>241423</v>
      </c>
      <c r="H1193" s="63">
        <v>45110</v>
      </c>
      <c r="I1193" s="63">
        <v>45185</v>
      </c>
      <c r="J1193" s="1">
        <v>75</v>
      </c>
      <c r="K1193" s="1">
        <v>10</v>
      </c>
      <c r="L1193" s="1" t="s">
        <v>20</v>
      </c>
      <c r="M1193" s="1" t="s">
        <v>102</v>
      </c>
      <c r="N1193" s="1" t="str">
        <f t="shared" si="18"/>
        <v>Normal</v>
      </c>
    </row>
    <row r="1194" spans="1:14" x14ac:dyDescent="0.25">
      <c r="A1194" s="1" t="s">
        <v>2207</v>
      </c>
      <c r="B1194" s="1" t="s">
        <v>109</v>
      </c>
      <c r="C1194" s="1" t="s">
        <v>208</v>
      </c>
      <c r="D1194" s="1" t="s">
        <v>67</v>
      </c>
      <c r="E1194" s="1" t="s">
        <v>100</v>
      </c>
      <c r="F1194" s="1" t="s">
        <v>40</v>
      </c>
      <c r="G1194" s="1">
        <v>166611</v>
      </c>
      <c r="H1194" s="63">
        <v>45521</v>
      </c>
      <c r="I1194" s="63">
        <v>45600</v>
      </c>
      <c r="J1194" s="1">
        <v>79</v>
      </c>
      <c r="K1194" s="1">
        <v>7.3</v>
      </c>
      <c r="L1194" s="1" t="s">
        <v>20</v>
      </c>
      <c r="M1194" s="1" t="s">
        <v>149</v>
      </c>
      <c r="N1194" s="1" t="str">
        <f t="shared" si="18"/>
        <v>Normal</v>
      </c>
    </row>
    <row r="1195" spans="1:14" x14ac:dyDescent="0.25">
      <c r="A1195" s="1" t="s">
        <v>2208</v>
      </c>
      <c r="B1195" s="1" t="s">
        <v>75</v>
      </c>
      <c r="C1195" s="1" t="s">
        <v>1112</v>
      </c>
      <c r="D1195" s="1" t="s">
        <v>67</v>
      </c>
      <c r="E1195" s="1" t="s">
        <v>94</v>
      </c>
      <c r="F1195" s="1" t="s">
        <v>53</v>
      </c>
      <c r="G1195" s="1">
        <v>343590</v>
      </c>
      <c r="H1195" s="63">
        <v>45672</v>
      </c>
      <c r="J1195" s="1"/>
      <c r="K1195" s="1">
        <v>2.6</v>
      </c>
      <c r="L1195" s="1" t="s">
        <v>29</v>
      </c>
      <c r="M1195" s="1" t="s">
        <v>63</v>
      </c>
      <c r="N1195" s="1" t="str">
        <f t="shared" si="18"/>
        <v>Normal</v>
      </c>
    </row>
    <row r="1196" spans="1:14" x14ac:dyDescent="0.25">
      <c r="A1196" s="1" t="s">
        <v>2210</v>
      </c>
      <c r="B1196" s="1" t="s">
        <v>75</v>
      </c>
      <c r="C1196" s="1" t="s">
        <v>2211</v>
      </c>
      <c r="D1196" s="1" t="s">
        <v>39</v>
      </c>
      <c r="E1196" s="1" t="s">
        <v>61</v>
      </c>
      <c r="F1196" s="1" t="s">
        <v>18</v>
      </c>
      <c r="G1196" s="1">
        <v>181260</v>
      </c>
      <c r="H1196" s="63">
        <v>45743</v>
      </c>
      <c r="I1196" s="63">
        <v>45801</v>
      </c>
      <c r="J1196" s="1">
        <v>58</v>
      </c>
      <c r="K1196" s="1"/>
      <c r="L1196" s="1" t="s">
        <v>20</v>
      </c>
      <c r="M1196" s="1" t="s">
        <v>63</v>
      </c>
      <c r="N1196" s="1" t="str">
        <f t="shared" si="18"/>
        <v>Normal</v>
      </c>
    </row>
    <row r="1197" spans="1:14" x14ac:dyDescent="0.25">
      <c r="A1197" s="1" t="s">
        <v>2213</v>
      </c>
      <c r="B1197" s="1" t="s">
        <v>127</v>
      </c>
      <c r="C1197" s="1" t="s">
        <v>189</v>
      </c>
      <c r="D1197" s="1" t="s">
        <v>90</v>
      </c>
      <c r="E1197" s="1" t="s">
        <v>17</v>
      </c>
      <c r="F1197" s="1" t="s">
        <v>33</v>
      </c>
      <c r="G1197" s="1">
        <v>332027</v>
      </c>
      <c r="H1197" s="63">
        <v>45609</v>
      </c>
      <c r="J1197" s="1"/>
      <c r="K1197" s="1">
        <v>10.199999999999999</v>
      </c>
      <c r="L1197" s="1" t="s">
        <v>49</v>
      </c>
      <c r="M1197" s="1" t="s">
        <v>42</v>
      </c>
      <c r="N1197" s="1" t="str">
        <f t="shared" si="18"/>
        <v>Normal</v>
      </c>
    </row>
    <row r="1198" spans="1:14" x14ac:dyDescent="0.25">
      <c r="A1198" s="1" t="s">
        <v>2215</v>
      </c>
      <c r="B1198" s="1" t="s">
        <v>104</v>
      </c>
      <c r="C1198" s="1" t="s">
        <v>439</v>
      </c>
      <c r="D1198" s="1" t="s">
        <v>67</v>
      </c>
      <c r="E1198" s="1" t="s">
        <v>26</v>
      </c>
      <c r="F1198" s="1" t="s">
        <v>40</v>
      </c>
      <c r="G1198" s="1">
        <v>19063</v>
      </c>
      <c r="H1198" s="63">
        <v>45293</v>
      </c>
      <c r="I1198" s="63">
        <v>45407</v>
      </c>
      <c r="J1198" s="1">
        <v>114</v>
      </c>
      <c r="K1198" s="1">
        <v>13.9</v>
      </c>
      <c r="L1198" s="1" t="s">
        <v>29</v>
      </c>
      <c r="M1198" s="1" t="s">
        <v>69</v>
      </c>
      <c r="N1198" s="1" t="str">
        <f t="shared" si="18"/>
        <v>Normal</v>
      </c>
    </row>
    <row r="1199" spans="1:14" x14ac:dyDescent="0.25">
      <c r="A1199" s="1" t="s">
        <v>2216</v>
      </c>
      <c r="B1199" s="1" t="s">
        <v>14</v>
      </c>
      <c r="C1199" s="1" t="s">
        <v>1308</v>
      </c>
      <c r="D1199" s="1" t="s">
        <v>39</v>
      </c>
      <c r="E1199" s="1" t="s">
        <v>26</v>
      </c>
      <c r="F1199" s="1" t="s">
        <v>27</v>
      </c>
      <c r="G1199" s="1">
        <v>349331</v>
      </c>
      <c r="H1199" s="63">
        <v>45098</v>
      </c>
      <c r="J1199" s="1"/>
      <c r="K1199" s="1"/>
      <c r="L1199" s="1" t="s">
        <v>29</v>
      </c>
      <c r="M1199" s="1" t="s">
        <v>30</v>
      </c>
      <c r="N1199" s="1" t="str">
        <f t="shared" si="18"/>
        <v>Normal</v>
      </c>
    </row>
    <row r="1200" spans="1:14" x14ac:dyDescent="0.25">
      <c r="A1200" s="1" t="s">
        <v>2217</v>
      </c>
      <c r="B1200" s="1" t="s">
        <v>65</v>
      </c>
      <c r="C1200" s="1" t="s">
        <v>303</v>
      </c>
      <c r="D1200" s="1" t="s">
        <v>90</v>
      </c>
      <c r="E1200" s="1" t="s">
        <v>47</v>
      </c>
      <c r="F1200" s="1" t="s">
        <v>33</v>
      </c>
      <c r="G1200" s="1">
        <v>468744</v>
      </c>
      <c r="H1200" s="63">
        <v>45293</v>
      </c>
      <c r="J1200" s="1"/>
      <c r="K1200" s="1">
        <v>13.4</v>
      </c>
      <c r="L1200" s="1" t="s">
        <v>49</v>
      </c>
      <c r="M1200" s="1" t="s">
        <v>69</v>
      </c>
      <c r="N1200" s="1" t="str">
        <f t="shared" si="18"/>
        <v>Normal</v>
      </c>
    </row>
    <row r="1201" spans="1:14" x14ac:dyDescent="0.25">
      <c r="A1201" s="1" t="s">
        <v>2218</v>
      </c>
      <c r="B1201" s="1" t="s">
        <v>59</v>
      </c>
      <c r="C1201" s="1" t="s">
        <v>1112</v>
      </c>
      <c r="D1201" s="1" t="s">
        <v>67</v>
      </c>
      <c r="E1201" s="1" t="s">
        <v>26</v>
      </c>
      <c r="F1201" s="1" t="s">
        <v>27</v>
      </c>
      <c r="G1201" s="1">
        <v>111112</v>
      </c>
      <c r="H1201" s="63">
        <v>45395</v>
      </c>
      <c r="J1201" s="1"/>
      <c r="K1201" s="1">
        <v>14</v>
      </c>
      <c r="L1201" s="1" t="s">
        <v>29</v>
      </c>
      <c r="M1201" s="1" t="s">
        <v>107</v>
      </c>
      <c r="N1201" s="1" t="str">
        <f t="shared" si="18"/>
        <v>Normal</v>
      </c>
    </row>
    <row r="1202" spans="1:14" x14ac:dyDescent="0.25">
      <c r="A1202" s="1" t="s">
        <v>2220</v>
      </c>
      <c r="B1202" s="1" t="s">
        <v>88</v>
      </c>
      <c r="C1202" s="1" t="s">
        <v>747</v>
      </c>
      <c r="D1202" s="1" t="s">
        <v>39</v>
      </c>
      <c r="E1202" s="1" t="s">
        <v>61</v>
      </c>
      <c r="F1202" s="1" t="s">
        <v>33</v>
      </c>
      <c r="G1202" s="1">
        <v>339693</v>
      </c>
      <c r="H1202" s="63">
        <v>45601</v>
      </c>
      <c r="J1202" s="1"/>
      <c r="K1202" s="1">
        <v>9</v>
      </c>
      <c r="L1202" s="1" t="s">
        <v>49</v>
      </c>
      <c r="M1202" s="1" t="s">
        <v>42</v>
      </c>
      <c r="N1202" s="1" t="str">
        <f t="shared" si="18"/>
        <v>Normal</v>
      </c>
    </row>
    <row r="1203" spans="1:14" x14ac:dyDescent="0.25">
      <c r="A1203" s="1" t="s">
        <v>2221</v>
      </c>
      <c r="B1203" s="1" t="s">
        <v>80</v>
      </c>
      <c r="C1203" s="1" t="s">
        <v>877</v>
      </c>
      <c r="D1203" s="1" t="s">
        <v>67</v>
      </c>
      <c r="E1203" s="1" t="s">
        <v>94</v>
      </c>
      <c r="F1203" s="1" t="s">
        <v>33</v>
      </c>
      <c r="G1203" s="1">
        <v>271247</v>
      </c>
      <c r="H1203" s="63">
        <v>45601</v>
      </c>
      <c r="J1203" s="1"/>
      <c r="K1203" s="1"/>
      <c r="L1203" s="1" t="s">
        <v>49</v>
      </c>
      <c r="M1203" s="1" t="s">
        <v>42</v>
      </c>
      <c r="N1203" s="1" t="str">
        <f t="shared" si="18"/>
        <v>Normal</v>
      </c>
    </row>
    <row r="1204" spans="1:14" x14ac:dyDescent="0.25">
      <c r="A1204" s="1" t="s">
        <v>2222</v>
      </c>
      <c r="B1204" s="1" t="s">
        <v>88</v>
      </c>
      <c r="C1204" s="1" t="s">
        <v>460</v>
      </c>
      <c r="D1204" s="1" t="s">
        <v>16</v>
      </c>
      <c r="E1204" s="1" t="s">
        <v>61</v>
      </c>
      <c r="F1204" s="1" t="s">
        <v>27</v>
      </c>
      <c r="G1204" s="1">
        <v>460851</v>
      </c>
      <c r="H1204" s="63">
        <v>45643</v>
      </c>
      <c r="J1204" s="1"/>
      <c r="K1204" s="1"/>
      <c r="L1204" s="1" t="s">
        <v>96</v>
      </c>
      <c r="M1204" s="1" t="s">
        <v>42</v>
      </c>
      <c r="N1204" s="1" t="str">
        <f t="shared" si="18"/>
        <v>Normal</v>
      </c>
    </row>
    <row r="1205" spans="1:14" x14ac:dyDescent="0.25">
      <c r="A1205" s="1" t="s">
        <v>2223</v>
      </c>
      <c r="B1205" s="1" t="s">
        <v>173</v>
      </c>
      <c r="C1205" s="1" t="s">
        <v>474</v>
      </c>
      <c r="D1205" s="1" t="s">
        <v>46</v>
      </c>
      <c r="E1205" s="1" t="s">
        <v>77</v>
      </c>
      <c r="F1205" s="1" t="s">
        <v>53</v>
      </c>
      <c r="G1205" s="1">
        <v>321071</v>
      </c>
      <c r="H1205" s="63">
        <v>45357</v>
      </c>
      <c r="J1205" s="1"/>
      <c r="K1205" s="1">
        <v>1.9</v>
      </c>
      <c r="L1205" s="1" t="s">
        <v>29</v>
      </c>
      <c r="M1205" s="1" t="s">
        <v>69</v>
      </c>
      <c r="N1205" s="1" t="str">
        <f t="shared" si="18"/>
        <v>Normal</v>
      </c>
    </row>
    <row r="1206" spans="1:14" x14ac:dyDescent="0.25">
      <c r="A1206" s="1" t="s">
        <v>2224</v>
      </c>
      <c r="B1206" s="1" t="s">
        <v>23</v>
      </c>
      <c r="C1206" s="1" t="s">
        <v>1258</v>
      </c>
      <c r="D1206" s="1" t="s">
        <v>16</v>
      </c>
      <c r="E1206" s="1" t="s">
        <v>47</v>
      </c>
      <c r="F1206" s="1" t="s">
        <v>53</v>
      </c>
      <c r="G1206" s="1">
        <v>375755</v>
      </c>
      <c r="H1206" s="63">
        <v>45532</v>
      </c>
      <c r="J1206" s="1"/>
      <c r="K1206" s="1">
        <v>9</v>
      </c>
      <c r="L1206" s="1" t="s">
        <v>20</v>
      </c>
      <c r="M1206" s="1" t="s">
        <v>149</v>
      </c>
      <c r="N1206" s="1" t="str">
        <f t="shared" si="18"/>
        <v>Normal</v>
      </c>
    </row>
    <row r="1207" spans="1:14" x14ac:dyDescent="0.25">
      <c r="A1207" s="1" t="s">
        <v>2225</v>
      </c>
      <c r="B1207" s="1" t="s">
        <v>109</v>
      </c>
      <c r="C1207" s="1" t="s">
        <v>295</v>
      </c>
      <c r="D1207" s="1" t="s">
        <v>39</v>
      </c>
      <c r="E1207" s="1" t="s">
        <v>94</v>
      </c>
      <c r="F1207" s="1" t="s">
        <v>33</v>
      </c>
      <c r="G1207" s="1">
        <v>425285</v>
      </c>
      <c r="H1207" s="63">
        <v>45224</v>
      </c>
      <c r="J1207" s="1"/>
      <c r="K1207" s="1">
        <v>7.7</v>
      </c>
      <c r="L1207" s="1" t="s">
        <v>96</v>
      </c>
      <c r="M1207" s="1" t="s">
        <v>21</v>
      </c>
      <c r="N1207" s="1" t="str">
        <f t="shared" si="18"/>
        <v>Normal</v>
      </c>
    </row>
    <row r="1208" spans="1:14" x14ac:dyDescent="0.25">
      <c r="A1208" s="1" t="s">
        <v>2227</v>
      </c>
      <c r="B1208" s="1" t="s">
        <v>65</v>
      </c>
      <c r="C1208" s="1" t="s">
        <v>237</v>
      </c>
      <c r="D1208" s="1" t="s">
        <v>46</v>
      </c>
      <c r="E1208" s="1" t="s">
        <v>72</v>
      </c>
      <c r="F1208" s="1" t="s">
        <v>129</v>
      </c>
      <c r="G1208" s="1">
        <v>159443</v>
      </c>
      <c r="H1208" s="63">
        <v>44946</v>
      </c>
      <c r="J1208" s="1"/>
      <c r="K1208" s="1">
        <v>10.8</v>
      </c>
      <c r="L1208" s="1" t="s">
        <v>96</v>
      </c>
      <c r="M1208" s="1" t="s">
        <v>35</v>
      </c>
      <c r="N1208" s="1" t="str">
        <f t="shared" si="18"/>
        <v>Normal</v>
      </c>
    </row>
    <row r="1209" spans="1:14" x14ac:dyDescent="0.25">
      <c r="A1209" s="1" t="s">
        <v>2228</v>
      </c>
      <c r="B1209" s="1" t="s">
        <v>88</v>
      </c>
      <c r="C1209" s="1" t="s">
        <v>2006</v>
      </c>
      <c r="D1209" s="1" t="s">
        <v>90</v>
      </c>
      <c r="E1209" s="1" t="s">
        <v>61</v>
      </c>
      <c r="F1209" s="1" t="s">
        <v>18</v>
      </c>
      <c r="G1209" s="1">
        <v>353839</v>
      </c>
      <c r="H1209" s="63">
        <v>45529</v>
      </c>
      <c r="I1209" s="63">
        <v>45581</v>
      </c>
      <c r="J1209" s="1">
        <v>52</v>
      </c>
      <c r="K1209" s="1">
        <v>0.5</v>
      </c>
      <c r="L1209" s="1" t="s">
        <v>49</v>
      </c>
      <c r="M1209" s="1" t="s">
        <v>149</v>
      </c>
      <c r="N1209" s="1" t="str">
        <f t="shared" si="18"/>
        <v>Normal</v>
      </c>
    </row>
    <row r="1210" spans="1:14" x14ac:dyDescent="0.25">
      <c r="A1210" s="1" t="s">
        <v>2229</v>
      </c>
      <c r="B1210" s="1" t="s">
        <v>127</v>
      </c>
      <c r="C1210" s="1" t="s">
        <v>71</v>
      </c>
      <c r="D1210" s="1" t="s">
        <v>25</v>
      </c>
      <c r="E1210" s="1" t="s">
        <v>77</v>
      </c>
      <c r="F1210" s="1" t="s">
        <v>18</v>
      </c>
      <c r="G1210" s="1">
        <v>239000</v>
      </c>
      <c r="H1210" s="63">
        <v>45636</v>
      </c>
      <c r="I1210" s="63">
        <v>45797</v>
      </c>
      <c r="J1210" s="1">
        <v>161</v>
      </c>
      <c r="K1210" s="1">
        <v>0.1</v>
      </c>
      <c r="L1210" s="1" t="s">
        <v>29</v>
      </c>
      <c r="M1210" s="1" t="s">
        <v>42</v>
      </c>
      <c r="N1210" s="1" t="str">
        <f t="shared" si="18"/>
        <v>Normal</v>
      </c>
    </row>
    <row r="1211" spans="1:14" x14ac:dyDescent="0.25">
      <c r="A1211" s="1" t="s">
        <v>2230</v>
      </c>
      <c r="B1211" s="1" t="s">
        <v>80</v>
      </c>
      <c r="C1211" s="1" t="s">
        <v>60</v>
      </c>
      <c r="D1211" s="1" t="s">
        <v>16</v>
      </c>
      <c r="E1211" s="1" t="s">
        <v>100</v>
      </c>
      <c r="F1211" s="1" t="s">
        <v>40</v>
      </c>
      <c r="G1211" s="1">
        <v>420634</v>
      </c>
      <c r="H1211" s="63">
        <v>45598</v>
      </c>
      <c r="I1211" s="63">
        <v>45622</v>
      </c>
      <c r="J1211" s="1">
        <v>24</v>
      </c>
      <c r="K1211" s="1">
        <v>10.8</v>
      </c>
      <c r="L1211" s="1" t="s">
        <v>29</v>
      </c>
      <c r="M1211" s="1" t="s">
        <v>42</v>
      </c>
      <c r="N1211" s="1" t="str">
        <f t="shared" si="18"/>
        <v>Normal</v>
      </c>
    </row>
    <row r="1212" spans="1:14" x14ac:dyDescent="0.25">
      <c r="A1212" s="1" t="s">
        <v>2231</v>
      </c>
      <c r="B1212" s="1" t="s">
        <v>88</v>
      </c>
      <c r="C1212" s="1" t="s">
        <v>168</v>
      </c>
      <c r="D1212" s="1" t="s">
        <v>67</v>
      </c>
      <c r="E1212" s="1" t="s">
        <v>100</v>
      </c>
      <c r="F1212" s="1" t="s">
        <v>27</v>
      </c>
      <c r="G1212" s="1">
        <v>45249</v>
      </c>
      <c r="H1212" s="63">
        <v>45017</v>
      </c>
      <c r="J1212" s="1"/>
      <c r="K1212" s="1">
        <v>8</v>
      </c>
      <c r="L1212" s="1" t="s">
        <v>49</v>
      </c>
      <c r="M1212" s="1" t="s">
        <v>30</v>
      </c>
      <c r="N1212" s="1" t="str">
        <f t="shared" si="18"/>
        <v>Normal</v>
      </c>
    </row>
    <row r="1213" spans="1:14" x14ac:dyDescent="0.25">
      <c r="A1213" s="1" t="s">
        <v>2232</v>
      </c>
      <c r="B1213" s="1" t="s">
        <v>14</v>
      </c>
      <c r="C1213" s="1" t="s">
        <v>912</v>
      </c>
      <c r="D1213" s="1" t="s">
        <v>39</v>
      </c>
      <c r="E1213" s="1" t="s">
        <v>47</v>
      </c>
      <c r="F1213" s="1" t="s">
        <v>129</v>
      </c>
      <c r="G1213" s="1">
        <v>176538</v>
      </c>
      <c r="H1213" s="63">
        <v>45388</v>
      </c>
      <c r="J1213" s="1"/>
      <c r="K1213" s="1"/>
      <c r="L1213" s="1" t="s">
        <v>20</v>
      </c>
      <c r="M1213" s="1" t="s">
        <v>107</v>
      </c>
      <c r="N1213" s="1" t="str">
        <f t="shared" si="18"/>
        <v>Normal</v>
      </c>
    </row>
    <row r="1214" spans="1:14" x14ac:dyDescent="0.25">
      <c r="A1214" s="1" t="s">
        <v>2233</v>
      </c>
      <c r="B1214" s="1" t="s">
        <v>59</v>
      </c>
      <c r="C1214" s="1" t="s">
        <v>1185</v>
      </c>
      <c r="D1214" s="1" t="s">
        <v>46</v>
      </c>
      <c r="E1214" s="1" t="s">
        <v>4845</v>
      </c>
      <c r="F1214" s="1" t="s">
        <v>53</v>
      </c>
      <c r="G1214" s="1">
        <v>325010</v>
      </c>
      <c r="H1214" s="63">
        <v>45685</v>
      </c>
      <c r="J1214" s="1"/>
      <c r="K1214" s="1">
        <v>7.9</v>
      </c>
      <c r="L1214" s="1" t="s">
        <v>49</v>
      </c>
      <c r="M1214" s="1" t="s">
        <v>63</v>
      </c>
      <c r="N1214" s="1" t="str">
        <f t="shared" si="18"/>
        <v>Normal</v>
      </c>
    </row>
    <row r="1215" spans="1:14" x14ac:dyDescent="0.25">
      <c r="A1215" s="1" t="s">
        <v>2234</v>
      </c>
      <c r="B1215" s="1" t="s">
        <v>44</v>
      </c>
      <c r="C1215" s="1" t="s">
        <v>303</v>
      </c>
      <c r="D1215" s="1" t="s">
        <v>67</v>
      </c>
      <c r="E1215" s="1" t="s">
        <v>100</v>
      </c>
      <c r="F1215" s="1" t="s">
        <v>18</v>
      </c>
      <c r="G1215" s="1">
        <v>417993</v>
      </c>
      <c r="H1215" s="63">
        <v>45506</v>
      </c>
      <c r="I1215" s="63">
        <v>45598</v>
      </c>
      <c r="J1215" s="1">
        <v>92</v>
      </c>
      <c r="K1215" s="1">
        <v>1.3</v>
      </c>
      <c r="L1215" s="1" t="s">
        <v>49</v>
      </c>
      <c r="M1215" s="1" t="s">
        <v>149</v>
      </c>
      <c r="N1215" s="1" t="str">
        <f t="shared" si="18"/>
        <v>Normal</v>
      </c>
    </row>
    <row r="1216" spans="1:14" x14ac:dyDescent="0.25">
      <c r="A1216" s="1" t="s">
        <v>2236</v>
      </c>
      <c r="B1216" s="1" t="s">
        <v>173</v>
      </c>
      <c r="C1216" s="1" t="s">
        <v>433</v>
      </c>
      <c r="D1216" s="1" t="s">
        <v>25</v>
      </c>
      <c r="E1216" s="1" t="s">
        <v>72</v>
      </c>
      <c r="F1216" s="1" t="s">
        <v>129</v>
      </c>
      <c r="G1216" s="1">
        <v>389700</v>
      </c>
      <c r="H1216" s="63">
        <v>45230</v>
      </c>
      <c r="J1216" s="1"/>
      <c r="K1216" s="1"/>
      <c r="L1216" s="1" t="s">
        <v>29</v>
      </c>
      <c r="M1216" s="1" t="s">
        <v>21</v>
      </c>
      <c r="N1216" s="1" t="str">
        <f t="shared" si="18"/>
        <v>Normal</v>
      </c>
    </row>
    <row r="1217" spans="1:14" x14ac:dyDescent="0.25">
      <c r="A1217" s="1" t="s">
        <v>2238</v>
      </c>
      <c r="B1217" s="1" t="s">
        <v>65</v>
      </c>
      <c r="C1217" s="1" t="s">
        <v>513</v>
      </c>
      <c r="D1217" s="1" t="s">
        <v>39</v>
      </c>
      <c r="E1217" s="1" t="s">
        <v>77</v>
      </c>
      <c r="F1217" s="1" t="s">
        <v>40</v>
      </c>
      <c r="G1217" s="1">
        <v>60064</v>
      </c>
      <c r="H1217" s="63">
        <v>45068</v>
      </c>
      <c r="I1217" s="63">
        <v>45151</v>
      </c>
      <c r="J1217" s="1">
        <v>83</v>
      </c>
      <c r="K1217" s="1">
        <v>18</v>
      </c>
      <c r="L1217" s="1" t="s">
        <v>29</v>
      </c>
      <c r="M1217" s="1" t="s">
        <v>30</v>
      </c>
      <c r="N1217" s="1" t="str">
        <f t="shared" si="18"/>
        <v>Normal</v>
      </c>
    </row>
    <row r="1218" spans="1:14" x14ac:dyDescent="0.25">
      <c r="A1218" s="1" t="s">
        <v>2239</v>
      </c>
      <c r="B1218" s="1" t="s">
        <v>80</v>
      </c>
      <c r="C1218" s="1" t="s">
        <v>423</v>
      </c>
      <c r="D1218" s="1" t="s">
        <v>39</v>
      </c>
      <c r="E1218" s="1" t="s">
        <v>26</v>
      </c>
      <c r="F1218" s="1" t="s">
        <v>18</v>
      </c>
      <c r="G1218" s="1">
        <v>95474</v>
      </c>
      <c r="H1218" s="63">
        <v>45085</v>
      </c>
      <c r="I1218" s="63">
        <v>45228</v>
      </c>
      <c r="J1218" s="1">
        <v>143</v>
      </c>
      <c r="K1218" s="1">
        <v>2.8</v>
      </c>
      <c r="L1218" s="1" t="s">
        <v>96</v>
      </c>
      <c r="M1218" s="1" t="s">
        <v>30</v>
      </c>
      <c r="N1218" s="1" t="str">
        <f t="shared" ref="N1218:N1281" si="19">IF(G1218&gt;$R$5,"High Outlier",IF(G1218&lt;$R$6,"Low Outlier","Normal"))</f>
        <v>Normal</v>
      </c>
    </row>
    <row r="1219" spans="1:14" x14ac:dyDescent="0.25">
      <c r="A1219" s="1" t="s">
        <v>2240</v>
      </c>
      <c r="B1219" s="1" t="s">
        <v>109</v>
      </c>
      <c r="C1219" s="1" t="s">
        <v>1549</v>
      </c>
      <c r="D1219" s="1" t="s">
        <v>90</v>
      </c>
      <c r="E1219" s="1" t="s">
        <v>72</v>
      </c>
      <c r="F1219" s="1" t="s">
        <v>40</v>
      </c>
      <c r="G1219" s="1">
        <v>217795</v>
      </c>
      <c r="H1219" s="63">
        <v>45444</v>
      </c>
      <c r="I1219" s="63">
        <v>45532</v>
      </c>
      <c r="J1219" s="1">
        <v>88</v>
      </c>
      <c r="K1219" s="1">
        <v>1.7</v>
      </c>
      <c r="L1219" s="1" t="s">
        <v>20</v>
      </c>
      <c r="M1219" s="1" t="s">
        <v>107</v>
      </c>
      <c r="N1219" s="1" t="str">
        <f t="shared" si="19"/>
        <v>Normal</v>
      </c>
    </row>
    <row r="1220" spans="1:14" x14ac:dyDescent="0.25">
      <c r="A1220" s="1" t="s">
        <v>2241</v>
      </c>
      <c r="B1220" s="1" t="s">
        <v>44</v>
      </c>
      <c r="C1220" s="1" t="s">
        <v>1074</v>
      </c>
      <c r="D1220" s="1" t="s">
        <v>90</v>
      </c>
      <c r="E1220" s="1" t="s">
        <v>94</v>
      </c>
      <c r="F1220" s="1" t="s">
        <v>27</v>
      </c>
      <c r="G1220" s="1">
        <v>347232</v>
      </c>
      <c r="H1220" s="63">
        <v>45010</v>
      </c>
      <c r="J1220" s="1"/>
      <c r="K1220" s="1">
        <v>13.5</v>
      </c>
      <c r="L1220" s="1" t="s">
        <v>29</v>
      </c>
      <c r="M1220" s="1" t="s">
        <v>35</v>
      </c>
      <c r="N1220" s="1" t="str">
        <f t="shared" si="19"/>
        <v>Normal</v>
      </c>
    </row>
    <row r="1221" spans="1:14" x14ac:dyDescent="0.25">
      <c r="A1221" s="1" t="s">
        <v>2242</v>
      </c>
      <c r="B1221" s="1" t="s">
        <v>37</v>
      </c>
      <c r="C1221" s="1" t="s">
        <v>1308</v>
      </c>
      <c r="D1221" s="1" t="s">
        <v>25</v>
      </c>
      <c r="E1221" s="1" t="s">
        <v>72</v>
      </c>
      <c r="F1221" s="1" t="s">
        <v>53</v>
      </c>
      <c r="G1221" s="1">
        <v>117424</v>
      </c>
      <c r="H1221" s="63">
        <v>45316</v>
      </c>
      <c r="J1221" s="1"/>
      <c r="K1221" s="1"/>
      <c r="L1221" s="1" t="s">
        <v>49</v>
      </c>
      <c r="M1221" s="1" t="s">
        <v>69</v>
      </c>
      <c r="N1221" s="1" t="str">
        <f t="shared" si="19"/>
        <v>Normal</v>
      </c>
    </row>
    <row r="1222" spans="1:14" x14ac:dyDescent="0.25">
      <c r="A1222" s="1" t="s">
        <v>2243</v>
      </c>
      <c r="B1222" s="1" t="s">
        <v>104</v>
      </c>
      <c r="C1222" s="1" t="s">
        <v>267</v>
      </c>
      <c r="D1222" s="1" t="s">
        <v>46</v>
      </c>
      <c r="E1222" s="1" t="s">
        <v>77</v>
      </c>
      <c r="F1222" s="1" t="s">
        <v>129</v>
      </c>
      <c r="G1222" s="1">
        <v>344166</v>
      </c>
      <c r="H1222" s="63">
        <v>45739</v>
      </c>
      <c r="J1222" s="1"/>
      <c r="K1222" s="1">
        <v>14.4</v>
      </c>
      <c r="L1222" s="1" t="s">
        <v>49</v>
      </c>
      <c r="M1222" s="1" t="s">
        <v>63</v>
      </c>
      <c r="N1222" s="1" t="str">
        <f t="shared" si="19"/>
        <v>Normal</v>
      </c>
    </row>
    <row r="1223" spans="1:14" x14ac:dyDescent="0.25">
      <c r="A1223" s="1" t="s">
        <v>2244</v>
      </c>
      <c r="B1223" s="1" t="s">
        <v>173</v>
      </c>
      <c r="C1223" s="1" t="s">
        <v>654</v>
      </c>
      <c r="D1223" s="1" t="s">
        <v>46</v>
      </c>
      <c r="E1223" s="1" t="s">
        <v>100</v>
      </c>
      <c r="F1223" s="1" t="s">
        <v>53</v>
      </c>
      <c r="G1223" s="1">
        <v>102612</v>
      </c>
      <c r="H1223" s="63">
        <v>45469</v>
      </c>
      <c r="J1223" s="1"/>
      <c r="K1223" s="1">
        <v>9.1</v>
      </c>
      <c r="L1223" s="1" t="s">
        <v>96</v>
      </c>
      <c r="M1223" s="1" t="s">
        <v>107</v>
      </c>
      <c r="N1223" s="1" t="str">
        <f t="shared" si="19"/>
        <v>Normal</v>
      </c>
    </row>
    <row r="1224" spans="1:14" x14ac:dyDescent="0.25">
      <c r="A1224" s="1" t="s">
        <v>2246</v>
      </c>
      <c r="B1224" s="1" t="s">
        <v>37</v>
      </c>
      <c r="C1224" s="1" t="s">
        <v>877</v>
      </c>
      <c r="D1224" s="1" t="s">
        <v>39</v>
      </c>
      <c r="E1224" s="1" t="s">
        <v>26</v>
      </c>
      <c r="F1224" s="1" t="s">
        <v>40</v>
      </c>
      <c r="G1224" s="1">
        <v>104824</v>
      </c>
      <c r="H1224" s="63">
        <v>45251</v>
      </c>
      <c r="I1224" s="63">
        <v>45337</v>
      </c>
      <c r="J1224" s="1">
        <v>86</v>
      </c>
      <c r="K1224" s="1">
        <v>1.9</v>
      </c>
      <c r="L1224" s="1" t="s">
        <v>96</v>
      </c>
      <c r="M1224" s="1" t="s">
        <v>21</v>
      </c>
      <c r="N1224" s="1" t="str">
        <f t="shared" si="19"/>
        <v>Normal</v>
      </c>
    </row>
    <row r="1225" spans="1:14" x14ac:dyDescent="0.25">
      <c r="A1225" s="1" t="s">
        <v>2247</v>
      </c>
      <c r="B1225" s="1" t="s">
        <v>104</v>
      </c>
      <c r="C1225" s="1" t="s">
        <v>423</v>
      </c>
      <c r="D1225" s="1" t="s">
        <v>39</v>
      </c>
      <c r="E1225" s="1" t="s">
        <v>47</v>
      </c>
      <c r="F1225" s="1" t="s">
        <v>40</v>
      </c>
      <c r="G1225" s="1">
        <v>61534</v>
      </c>
      <c r="H1225" s="63">
        <v>45417</v>
      </c>
      <c r="I1225" s="63">
        <v>45533</v>
      </c>
      <c r="J1225" s="1">
        <v>116</v>
      </c>
      <c r="K1225" s="1">
        <v>3.1</v>
      </c>
      <c r="L1225" s="1" t="s">
        <v>29</v>
      </c>
      <c r="M1225" s="1" t="s">
        <v>107</v>
      </c>
      <c r="N1225" s="1" t="str">
        <f t="shared" si="19"/>
        <v>Normal</v>
      </c>
    </row>
    <row r="1226" spans="1:14" x14ac:dyDescent="0.25">
      <c r="A1226" s="1" t="s">
        <v>2249</v>
      </c>
      <c r="B1226" s="1" t="s">
        <v>23</v>
      </c>
      <c r="C1226" s="1" t="s">
        <v>147</v>
      </c>
      <c r="D1226" s="1" t="s">
        <v>90</v>
      </c>
      <c r="E1226" s="1" t="s">
        <v>61</v>
      </c>
      <c r="F1226" s="1" t="s">
        <v>53</v>
      </c>
      <c r="G1226" s="1">
        <v>207809</v>
      </c>
      <c r="H1226" s="63">
        <v>45579</v>
      </c>
      <c r="J1226" s="1"/>
      <c r="K1226" s="1"/>
      <c r="L1226" s="1" t="s">
        <v>49</v>
      </c>
      <c r="M1226" s="1" t="s">
        <v>42</v>
      </c>
      <c r="N1226" s="1" t="str">
        <f t="shared" si="19"/>
        <v>Normal</v>
      </c>
    </row>
    <row r="1227" spans="1:14" x14ac:dyDescent="0.25">
      <c r="A1227" s="1" t="s">
        <v>2251</v>
      </c>
      <c r="B1227" s="1" t="s">
        <v>44</v>
      </c>
      <c r="C1227" s="1" t="s">
        <v>279</v>
      </c>
      <c r="D1227" s="1" t="s">
        <v>16</v>
      </c>
      <c r="E1227" s="1" t="s">
        <v>94</v>
      </c>
      <c r="F1227" s="1" t="s">
        <v>33</v>
      </c>
      <c r="G1227" s="1">
        <v>210186</v>
      </c>
      <c r="H1227" s="63">
        <v>45010</v>
      </c>
      <c r="J1227" s="1"/>
      <c r="K1227" s="1">
        <v>14.5</v>
      </c>
      <c r="L1227" s="1" t="s">
        <v>29</v>
      </c>
      <c r="M1227" s="1" t="s">
        <v>35</v>
      </c>
      <c r="N1227" s="1" t="str">
        <f t="shared" si="19"/>
        <v>Normal</v>
      </c>
    </row>
    <row r="1228" spans="1:14" x14ac:dyDescent="0.25">
      <c r="A1228" s="1" t="s">
        <v>2252</v>
      </c>
      <c r="B1228" s="1" t="s">
        <v>65</v>
      </c>
      <c r="C1228" s="1" t="s">
        <v>393</v>
      </c>
      <c r="D1228" s="1" t="s">
        <v>90</v>
      </c>
      <c r="E1228" s="1" t="s">
        <v>17</v>
      </c>
      <c r="F1228" s="1" t="s">
        <v>27</v>
      </c>
      <c r="G1228" s="1">
        <v>89912</v>
      </c>
      <c r="H1228" s="63">
        <v>45148</v>
      </c>
      <c r="J1228" s="1"/>
      <c r="K1228" s="1"/>
      <c r="L1228" s="1" t="s">
        <v>96</v>
      </c>
      <c r="M1228" s="1" t="s">
        <v>102</v>
      </c>
      <c r="N1228" s="1" t="str">
        <f t="shared" si="19"/>
        <v>Normal</v>
      </c>
    </row>
    <row r="1229" spans="1:14" x14ac:dyDescent="0.25">
      <c r="A1229" s="1" t="s">
        <v>2254</v>
      </c>
      <c r="B1229" s="1" t="s">
        <v>84</v>
      </c>
      <c r="C1229" s="1" t="s">
        <v>250</v>
      </c>
      <c r="D1229" s="1" t="s">
        <v>67</v>
      </c>
      <c r="E1229" s="1" t="s">
        <v>47</v>
      </c>
      <c r="F1229" s="1" t="s">
        <v>33</v>
      </c>
      <c r="G1229" s="1">
        <v>96577</v>
      </c>
      <c r="H1229" s="63">
        <v>45125</v>
      </c>
      <c r="J1229" s="1"/>
      <c r="K1229" s="1">
        <v>13.4</v>
      </c>
      <c r="L1229" s="1" t="s">
        <v>20</v>
      </c>
      <c r="M1229" s="1" t="s">
        <v>102</v>
      </c>
      <c r="N1229" s="1" t="str">
        <f t="shared" si="19"/>
        <v>Normal</v>
      </c>
    </row>
    <row r="1230" spans="1:14" x14ac:dyDescent="0.25">
      <c r="A1230" s="1" t="s">
        <v>2256</v>
      </c>
      <c r="B1230" s="1" t="s">
        <v>37</v>
      </c>
      <c r="C1230" s="1" t="s">
        <v>442</v>
      </c>
      <c r="D1230" s="1" t="s">
        <v>25</v>
      </c>
      <c r="E1230" s="1" t="s">
        <v>94</v>
      </c>
      <c r="F1230" s="1" t="s">
        <v>40</v>
      </c>
      <c r="G1230" s="1">
        <v>334935</v>
      </c>
      <c r="H1230" s="63">
        <v>45067</v>
      </c>
      <c r="I1230" s="63">
        <v>45177</v>
      </c>
      <c r="J1230" s="1">
        <v>110</v>
      </c>
      <c r="K1230" s="1">
        <v>5.0999999999999996</v>
      </c>
      <c r="L1230" s="1" t="s">
        <v>20</v>
      </c>
      <c r="M1230" s="1" t="s">
        <v>30</v>
      </c>
      <c r="N1230" s="1" t="str">
        <f t="shared" si="19"/>
        <v>Normal</v>
      </c>
    </row>
    <row r="1231" spans="1:14" x14ac:dyDescent="0.25">
      <c r="A1231" s="1" t="s">
        <v>2257</v>
      </c>
      <c r="B1231" s="1" t="s">
        <v>59</v>
      </c>
      <c r="C1231" s="1" t="s">
        <v>486</v>
      </c>
      <c r="D1231" s="1" t="s">
        <v>46</v>
      </c>
      <c r="E1231" s="1" t="s">
        <v>77</v>
      </c>
      <c r="F1231" s="1" t="s">
        <v>18</v>
      </c>
      <c r="G1231" s="1">
        <v>380285</v>
      </c>
      <c r="H1231" s="63">
        <v>44959</v>
      </c>
      <c r="I1231" s="63">
        <v>45011</v>
      </c>
      <c r="J1231" s="1">
        <v>52</v>
      </c>
      <c r="K1231" s="1"/>
      <c r="L1231" s="1" t="s">
        <v>49</v>
      </c>
      <c r="M1231" s="1" t="s">
        <v>35</v>
      </c>
      <c r="N1231" s="1" t="str">
        <f t="shared" si="19"/>
        <v>Normal</v>
      </c>
    </row>
    <row r="1232" spans="1:14" x14ac:dyDescent="0.25">
      <c r="A1232" s="1" t="s">
        <v>2258</v>
      </c>
      <c r="B1232" s="1" t="s">
        <v>104</v>
      </c>
      <c r="C1232" s="1" t="s">
        <v>1582</v>
      </c>
      <c r="D1232" s="1" t="s">
        <v>67</v>
      </c>
      <c r="E1232" s="1" t="s">
        <v>47</v>
      </c>
      <c r="F1232" s="1" t="s">
        <v>129</v>
      </c>
      <c r="G1232" s="1">
        <v>439392</v>
      </c>
      <c r="H1232" s="63">
        <v>45304</v>
      </c>
      <c r="J1232" s="1"/>
      <c r="K1232" s="1">
        <v>14.8</v>
      </c>
      <c r="L1232" s="1" t="s">
        <v>29</v>
      </c>
      <c r="M1232" s="1" t="s">
        <v>69</v>
      </c>
      <c r="N1232" s="1" t="str">
        <f t="shared" si="19"/>
        <v>Normal</v>
      </c>
    </row>
    <row r="1233" spans="1:14" x14ac:dyDescent="0.25">
      <c r="A1233" s="1" t="s">
        <v>2259</v>
      </c>
      <c r="B1233" s="1" t="s">
        <v>109</v>
      </c>
      <c r="C1233" s="1" t="s">
        <v>502</v>
      </c>
      <c r="D1233" s="1" t="s">
        <v>39</v>
      </c>
      <c r="E1233" s="1" t="s">
        <v>77</v>
      </c>
      <c r="F1233" s="1" t="s">
        <v>40</v>
      </c>
      <c r="G1233" s="1">
        <v>477749</v>
      </c>
      <c r="H1233" s="63">
        <v>45714</v>
      </c>
      <c r="I1233" s="63">
        <v>45732</v>
      </c>
      <c r="J1233" s="1">
        <v>18</v>
      </c>
      <c r="K1233" s="1">
        <v>5.2</v>
      </c>
      <c r="L1233" s="1" t="s">
        <v>20</v>
      </c>
      <c r="M1233" s="1" t="s">
        <v>63</v>
      </c>
      <c r="N1233" s="1" t="str">
        <f t="shared" si="19"/>
        <v>Normal</v>
      </c>
    </row>
    <row r="1234" spans="1:14" x14ac:dyDescent="0.25">
      <c r="A1234" s="1" t="s">
        <v>2260</v>
      </c>
      <c r="B1234" s="1" t="s">
        <v>173</v>
      </c>
      <c r="C1234" s="1" t="s">
        <v>596</v>
      </c>
      <c r="D1234" s="1" t="s">
        <v>67</v>
      </c>
      <c r="E1234" s="1" t="s">
        <v>77</v>
      </c>
      <c r="F1234" s="1" t="s">
        <v>33</v>
      </c>
      <c r="G1234" s="1">
        <v>888412</v>
      </c>
      <c r="H1234" s="63">
        <v>45124</v>
      </c>
      <c r="J1234" s="1"/>
      <c r="K1234" s="1"/>
      <c r="L1234" s="1" t="s">
        <v>29</v>
      </c>
      <c r="M1234" s="1" t="s">
        <v>102</v>
      </c>
      <c r="N1234" s="1" t="str">
        <f t="shared" si="19"/>
        <v>Normal</v>
      </c>
    </row>
    <row r="1235" spans="1:14" x14ac:dyDescent="0.25">
      <c r="A1235" s="1" t="s">
        <v>2261</v>
      </c>
      <c r="B1235" s="1" t="s">
        <v>75</v>
      </c>
      <c r="C1235" s="1" t="s">
        <v>705</v>
      </c>
      <c r="D1235" s="1" t="s">
        <v>46</v>
      </c>
      <c r="E1235" s="1" t="s">
        <v>94</v>
      </c>
      <c r="F1235" s="1" t="s">
        <v>40</v>
      </c>
      <c r="G1235" s="1">
        <v>120151</v>
      </c>
      <c r="H1235" s="63">
        <v>45490</v>
      </c>
      <c r="I1235" s="63">
        <v>45636</v>
      </c>
      <c r="J1235" s="1">
        <v>146</v>
      </c>
      <c r="K1235" s="1">
        <v>5.0999999999999996</v>
      </c>
      <c r="L1235" s="1" t="s">
        <v>96</v>
      </c>
      <c r="M1235" s="1" t="s">
        <v>149</v>
      </c>
      <c r="N1235" s="1" t="str">
        <f t="shared" si="19"/>
        <v>Normal</v>
      </c>
    </row>
    <row r="1236" spans="1:14" x14ac:dyDescent="0.25">
      <c r="A1236" s="1" t="s">
        <v>2263</v>
      </c>
      <c r="B1236" s="1" t="s">
        <v>104</v>
      </c>
      <c r="C1236" s="1" t="s">
        <v>544</v>
      </c>
      <c r="D1236" s="1" t="s">
        <v>39</v>
      </c>
      <c r="E1236" s="1" t="s">
        <v>47</v>
      </c>
      <c r="F1236" s="1" t="s">
        <v>53</v>
      </c>
      <c r="G1236" s="1">
        <v>120883</v>
      </c>
      <c r="H1236" s="63">
        <v>45703</v>
      </c>
      <c r="J1236" s="1"/>
      <c r="K1236" s="1"/>
      <c r="L1236" s="1" t="s">
        <v>29</v>
      </c>
      <c r="M1236" s="1" t="s">
        <v>63</v>
      </c>
      <c r="N1236" s="1" t="str">
        <f t="shared" si="19"/>
        <v>Normal</v>
      </c>
    </row>
    <row r="1237" spans="1:14" x14ac:dyDescent="0.25">
      <c r="A1237" s="1" t="s">
        <v>2264</v>
      </c>
      <c r="B1237" s="1" t="s">
        <v>173</v>
      </c>
      <c r="C1237" s="1" t="s">
        <v>364</v>
      </c>
      <c r="D1237" s="1" t="s">
        <v>46</v>
      </c>
      <c r="E1237" s="1" t="s">
        <v>47</v>
      </c>
      <c r="F1237" s="1" t="s">
        <v>33</v>
      </c>
      <c r="G1237" s="1">
        <v>448626</v>
      </c>
      <c r="H1237" s="63">
        <v>45560</v>
      </c>
      <c r="J1237" s="1"/>
      <c r="K1237" s="1">
        <v>6.6</v>
      </c>
      <c r="L1237" s="1" t="s">
        <v>96</v>
      </c>
      <c r="M1237" s="1" t="s">
        <v>149</v>
      </c>
      <c r="N1237" s="1" t="str">
        <f t="shared" si="19"/>
        <v>Normal</v>
      </c>
    </row>
    <row r="1238" spans="1:14" x14ac:dyDescent="0.25">
      <c r="A1238" s="1" t="s">
        <v>2265</v>
      </c>
      <c r="B1238" s="1" t="s">
        <v>80</v>
      </c>
      <c r="C1238" s="1" t="s">
        <v>1914</v>
      </c>
      <c r="D1238" s="1" t="s">
        <v>16</v>
      </c>
      <c r="E1238" s="1" t="s">
        <v>61</v>
      </c>
      <c r="F1238" s="1" t="s">
        <v>40</v>
      </c>
      <c r="G1238" s="1">
        <v>313755</v>
      </c>
      <c r="H1238" s="63">
        <v>45073</v>
      </c>
      <c r="I1238" s="63">
        <v>45146</v>
      </c>
      <c r="J1238" s="1">
        <v>73</v>
      </c>
      <c r="K1238" s="1">
        <v>19.8</v>
      </c>
      <c r="L1238" s="1" t="s">
        <v>49</v>
      </c>
      <c r="M1238" s="1" t="s">
        <v>30</v>
      </c>
      <c r="N1238" s="1" t="str">
        <f t="shared" si="19"/>
        <v>Normal</v>
      </c>
    </row>
    <row r="1239" spans="1:14" x14ac:dyDescent="0.25">
      <c r="A1239" s="1" t="s">
        <v>2266</v>
      </c>
      <c r="B1239" s="1" t="s">
        <v>104</v>
      </c>
      <c r="C1239" s="1" t="s">
        <v>81</v>
      </c>
      <c r="D1239" s="1" t="s">
        <v>67</v>
      </c>
      <c r="E1239" s="1" t="s">
        <v>77</v>
      </c>
      <c r="F1239" s="1" t="s">
        <v>53</v>
      </c>
      <c r="G1239" s="1">
        <v>319008</v>
      </c>
      <c r="H1239" s="63">
        <v>45185</v>
      </c>
      <c r="J1239" s="1"/>
      <c r="K1239" s="1"/>
      <c r="L1239" s="1" t="s">
        <v>20</v>
      </c>
      <c r="M1239" s="1" t="s">
        <v>102</v>
      </c>
      <c r="N1239" s="1" t="str">
        <f t="shared" si="19"/>
        <v>Normal</v>
      </c>
    </row>
    <row r="1240" spans="1:14" x14ac:dyDescent="0.25">
      <c r="A1240" s="1" t="s">
        <v>2267</v>
      </c>
      <c r="B1240" s="1" t="s">
        <v>65</v>
      </c>
      <c r="C1240" s="1" t="s">
        <v>316</v>
      </c>
      <c r="D1240" s="1" t="s">
        <v>39</v>
      </c>
      <c r="E1240" s="1" t="s">
        <v>47</v>
      </c>
      <c r="F1240" s="1" t="s">
        <v>27</v>
      </c>
      <c r="G1240" s="1">
        <v>141632</v>
      </c>
      <c r="H1240" s="63">
        <v>45661</v>
      </c>
      <c r="J1240" s="1"/>
      <c r="K1240" s="1"/>
      <c r="L1240" s="1" t="s">
        <v>96</v>
      </c>
      <c r="M1240" s="1" t="s">
        <v>63</v>
      </c>
      <c r="N1240" s="1" t="str">
        <f t="shared" si="19"/>
        <v>Normal</v>
      </c>
    </row>
    <row r="1241" spans="1:14" x14ac:dyDescent="0.25">
      <c r="A1241" s="1" t="s">
        <v>2269</v>
      </c>
      <c r="B1241" s="1" t="s">
        <v>109</v>
      </c>
      <c r="C1241" s="1" t="s">
        <v>1157</v>
      </c>
      <c r="D1241" s="1" t="s">
        <v>67</v>
      </c>
      <c r="E1241" s="1" t="s">
        <v>61</v>
      </c>
      <c r="F1241" s="1" t="s">
        <v>40</v>
      </c>
      <c r="G1241" s="1">
        <v>279210</v>
      </c>
      <c r="H1241" s="63">
        <v>45407</v>
      </c>
      <c r="I1241" s="63">
        <v>45452</v>
      </c>
      <c r="J1241" s="1">
        <v>45</v>
      </c>
      <c r="K1241" s="1">
        <v>1.1000000000000001</v>
      </c>
      <c r="L1241" s="1" t="s">
        <v>49</v>
      </c>
      <c r="M1241" s="1" t="s">
        <v>107</v>
      </c>
      <c r="N1241" s="1" t="str">
        <f t="shared" si="19"/>
        <v>Normal</v>
      </c>
    </row>
    <row r="1242" spans="1:14" x14ac:dyDescent="0.25">
      <c r="A1242" s="1" t="s">
        <v>2271</v>
      </c>
      <c r="B1242" s="1" t="s">
        <v>23</v>
      </c>
      <c r="C1242" s="1" t="s">
        <v>980</v>
      </c>
      <c r="D1242" s="1" t="s">
        <v>39</v>
      </c>
      <c r="E1242" s="1" t="s">
        <v>17</v>
      </c>
      <c r="F1242" s="1" t="s">
        <v>129</v>
      </c>
      <c r="G1242" s="1">
        <v>307847</v>
      </c>
      <c r="H1242" s="63">
        <v>45282</v>
      </c>
      <c r="J1242" s="1"/>
      <c r="K1242" s="1"/>
      <c r="L1242" s="1" t="s">
        <v>20</v>
      </c>
      <c r="M1242" s="1" t="s">
        <v>21</v>
      </c>
      <c r="N1242" s="1" t="str">
        <f t="shared" si="19"/>
        <v>Normal</v>
      </c>
    </row>
    <row r="1243" spans="1:14" x14ac:dyDescent="0.25">
      <c r="A1243" s="1" t="s">
        <v>2272</v>
      </c>
      <c r="B1243" s="1" t="s">
        <v>98</v>
      </c>
      <c r="C1243" s="1" t="s">
        <v>1364</v>
      </c>
      <c r="D1243" s="1" t="s">
        <v>25</v>
      </c>
      <c r="E1243" s="1" t="s">
        <v>77</v>
      </c>
      <c r="F1243" s="1" t="s">
        <v>53</v>
      </c>
      <c r="G1243" s="1">
        <v>26058</v>
      </c>
      <c r="H1243" s="63">
        <v>45483</v>
      </c>
      <c r="J1243" s="1"/>
      <c r="K1243" s="1">
        <v>0.6</v>
      </c>
      <c r="L1243" s="1" t="s">
        <v>29</v>
      </c>
      <c r="M1243" s="1" t="s">
        <v>149</v>
      </c>
      <c r="N1243" s="1" t="str">
        <f t="shared" si="19"/>
        <v>Normal</v>
      </c>
    </row>
    <row r="1244" spans="1:14" x14ac:dyDescent="0.25">
      <c r="A1244" s="1" t="s">
        <v>2273</v>
      </c>
      <c r="B1244" s="1" t="s">
        <v>173</v>
      </c>
      <c r="C1244" s="1" t="s">
        <v>2211</v>
      </c>
      <c r="D1244" s="1" t="s">
        <v>67</v>
      </c>
      <c r="E1244" s="1" t="s">
        <v>47</v>
      </c>
      <c r="F1244" s="1" t="s">
        <v>33</v>
      </c>
      <c r="G1244" s="1">
        <v>347860</v>
      </c>
      <c r="H1244" s="63">
        <v>45403</v>
      </c>
      <c r="J1244" s="1"/>
      <c r="K1244" s="1">
        <v>7.1</v>
      </c>
      <c r="L1244" s="1" t="s">
        <v>29</v>
      </c>
      <c r="M1244" s="1" t="s">
        <v>107</v>
      </c>
      <c r="N1244" s="1" t="str">
        <f t="shared" si="19"/>
        <v>Normal</v>
      </c>
    </row>
    <row r="1245" spans="1:14" x14ac:dyDescent="0.25">
      <c r="A1245" s="1" t="s">
        <v>2274</v>
      </c>
      <c r="B1245" s="1" t="s">
        <v>14</v>
      </c>
      <c r="C1245" s="1" t="s">
        <v>838</v>
      </c>
      <c r="D1245" s="1" t="s">
        <v>16</v>
      </c>
      <c r="E1245" s="1" t="s">
        <v>61</v>
      </c>
      <c r="F1245" s="1" t="s">
        <v>53</v>
      </c>
      <c r="G1245" s="1">
        <v>481271</v>
      </c>
      <c r="H1245" s="63">
        <v>45053</v>
      </c>
      <c r="J1245" s="1"/>
      <c r="K1245" s="1">
        <v>12.5</v>
      </c>
      <c r="L1245" s="1" t="s">
        <v>20</v>
      </c>
      <c r="M1245" s="1" t="s">
        <v>30</v>
      </c>
      <c r="N1245" s="1" t="str">
        <f t="shared" si="19"/>
        <v>Normal</v>
      </c>
    </row>
    <row r="1246" spans="1:14" x14ac:dyDescent="0.25">
      <c r="A1246" s="1" t="s">
        <v>2276</v>
      </c>
      <c r="B1246" s="1" t="s">
        <v>88</v>
      </c>
      <c r="C1246" s="1" t="s">
        <v>224</v>
      </c>
      <c r="D1246" s="1" t="s">
        <v>67</v>
      </c>
      <c r="E1246" s="1" t="s">
        <v>72</v>
      </c>
      <c r="F1246" s="1" t="s">
        <v>40</v>
      </c>
      <c r="G1246" s="1">
        <v>217886</v>
      </c>
      <c r="H1246" s="63">
        <v>45728</v>
      </c>
      <c r="I1246" s="63">
        <v>45906</v>
      </c>
      <c r="J1246" s="1">
        <v>178</v>
      </c>
      <c r="K1246" s="1">
        <v>23.1</v>
      </c>
      <c r="L1246" s="1" t="s">
        <v>29</v>
      </c>
      <c r="M1246" s="1" t="s">
        <v>63</v>
      </c>
      <c r="N1246" s="1" t="str">
        <f t="shared" si="19"/>
        <v>Normal</v>
      </c>
    </row>
    <row r="1247" spans="1:14" x14ac:dyDescent="0.25">
      <c r="A1247" s="1" t="s">
        <v>2277</v>
      </c>
      <c r="B1247" s="1" t="s">
        <v>84</v>
      </c>
      <c r="C1247" s="1" t="s">
        <v>928</v>
      </c>
      <c r="D1247" s="1" t="s">
        <v>25</v>
      </c>
      <c r="E1247" s="1" t="s">
        <v>61</v>
      </c>
      <c r="F1247" s="1" t="s">
        <v>40</v>
      </c>
      <c r="G1247" s="1">
        <v>326010</v>
      </c>
      <c r="H1247" s="63">
        <v>45507</v>
      </c>
      <c r="I1247" s="63">
        <v>45685</v>
      </c>
      <c r="J1247" s="1">
        <v>178</v>
      </c>
      <c r="K1247" s="1">
        <v>7.5</v>
      </c>
      <c r="L1247" s="1" t="s">
        <v>29</v>
      </c>
      <c r="M1247" s="1" t="s">
        <v>149</v>
      </c>
      <c r="N1247" s="1" t="str">
        <f t="shared" si="19"/>
        <v>Normal</v>
      </c>
    </row>
    <row r="1248" spans="1:14" x14ac:dyDescent="0.25">
      <c r="A1248" s="1" t="s">
        <v>2279</v>
      </c>
      <c r="B1248" s="1" t="s">
        <v>109</v>
      </c>
      <c r="C1248" s="1" t="s">
        <v>349</v>
      </c>
      <c r="D1248" s="1" t="s">
        <v>67</v>
      </c>
      <c r="E1248" s="1" t="s">
        <v>100</v>
      </c>
      <c r="F1248" s="1" t="s">
        <v>18</v>
      </c>
      <c r="G1248" s="1">
        <v>258905</v>
      </c>
      <c r="H1248" s="63">
        <v>45280</v>
      </c>
      <c r="I1248" s="63">
        <v>45309</v>
      </c>
      <c r="J1248" s="1">
        <v>29</v>
      </c>
      <c r="K1248" s="1">
        <v>7.4</v>
      </c>
      <c r="L1248" s="1" t="s">
        <v>29</v>
      </c>
      <c r="M1248" s="1" t="s">
        <v>21</v>
      </c>
      <c r="N1248" s="1" t="str">
        <f t="shared" si="19"/>
        <v>Normal</v>
      </c>
    </row>
    <row r="1249" spans="1:14" x14ac:dyDescent="0.25">
      <c r="A1249" s="1" t="s">
        <v>2281</v>
      </c>
      <c r="B1249" s="1" t="s">
        <v>23</v>
      </c>
      <c r="C1249" s="1" t="s">
        <v>637</v>
      </c>
      <c r="D1249" s="1" t="s">
        <v>90</v>
      </c>
      <c r="E1249" s="1" t="s">
        <v>47</v>
      </c>
      <c r="F1249" s="1" t="s">
        <v>27</v>
      </c>
      <c r="G1249" s="1">
        <v>325381</v>
      </c>
      <c r="H1249" s="63">
        <v>44946</v>
      </c>
      <c r="J1249" s="1"/>
      <c r="K1249" s="1">
        <v>13.6</v>
      </c>
      <c r="L1249" s="1" t="s">
        <v>20</v>
      </c>
      <c r="M1249" s="1" t="s">
        <v>35</v>
      </c>
      <c r="N1249" s="1" t="str">
        <f t="shared" si="19"/>
        <v>Normal</v>
      </c>
    </row>
    <row r="1250" spans="1:14" x14ac:dyDescent="0.25">
      <c r="A1250" s="1" t="s">
        <v>2282</v>
      </c>
      <c r="B1250" s="1" t="s">
        <v>37</v>
      </c>
      <c r="C1250" s="1" t="s">
        <v>205</v>
      </c>
      <c r="D1250" s="1" t="s">
        <v>46</v>
      </c>
      <c r="E1250" s="1" t="s">
        <v>94</v>
      </c>
      <c r="F1250" s="1" t="s">
        <v>53</v>
      </c>
      <c r="G1250" s="1">
        <v>378192</v>
      </c>
      <c r="H1250" s="63">
        <v>45462</v>
      </c>
      <c r="J1250" s="1"/>
      <c r="K1250" s="1"/>
      <c r="L1250" s="1" t="s">
        <v>20</v>
      </c>
      <c r="M1250" s="1" t="s">
        <v>107</v>
      </c>
      <c r="N1250" s="1" t="str">
        <f t="shared" si="19"/>
        <v>Normal</v>
      </c>
    </row>
    <row r="1251" spans="1:14" x14ac:dyDescent="0.25">
      <c r="A1251" s="1" t="s">
        <v>2284</v>
      </c>
      <c r="B1251" s="1" t="s">
        <v>88</v>
      </c>
      <c r="C1251" s="1" t="s">
        <v>662</v>
      </c>
      <c r="D1251" s="1" t="s">
        <v>25</v>
      </c>
      <c r="E1251" s="1" t="s">
        <v>77</v>
      </c>
      <c r="F1251" s="1" t="s">
        <v>40</v>
      </c>
      <c r="G1251" s="1">
        <v>350612</v>
      </c>
      <c r="H1251" s="63">
        <v>44987</v>
      </c>
      <c r="I1251" s="63">
        <v>45101</v>
      </c>
      <c r="J1251" s="1">
        <v>114</v>
      </c>
      <c r="K1251" s="1">
        <v>20.8</v>
      </c>
      <c r="L1251" s="1" t="s">
        <v>96</v>
      </c>
      <c r="M1251" s="1" t="s">
        <v>35</v>
      </c>
      <c r="N1251" s="1" t="str">
        <f t="shared" si="19"/>
        <v>Normal</v>
      </c>
    </row>
    <row r="1252" spans="1:14" x14ac:dyDescent="0.25">
      <c r="A1252" s="1" t="s">
        <v>2285</v>
      </c>
      <c r="B1252" s="1" t="s">
        <v>4829</v>
      </c>
      <c r="C1252" s="1" t="s">
        <v>56</v>
      </c>
      <c r="D1252" s="1" t="s">
        <v>46</v>
      </c>
      <c r="E1252" s="1" t="s">
        <v>100</v>
      </c>
      <c r="F1252" s="1" t="s">
        <v>53</v>
      </c>
      <c r="G1252" s="1">
        <v>365456</v>
      </c>
      <c r="H1252" s="63">
        <v>45636</v>
      </c>
      <c r="J1252" s="1"/>
      <c r="K1252" s="1">
        <v>10.199999999999999</v>
      </c>
      <c r="L1252" s="1" t="s">
        <v>20</v>
      </c>
      <c r="M1252" s="1" t="s">
        <v>42</v>
      </c>
      <c r="N1252" s="1" t="str">
        <f t="shared" si="19"/>
        <v>Normal</v>
      </c>
    </row>
    <row r="1253" spans="1:14" x14ac:dyDescent="0.25">
      <c r="A1253" s="1" t="s">
        <v>2286</v>
      </c>
      <c r="B1253" s="1" t="s">
        <v>84</v>
      </c>
      <c r="C1253" s="1" t="s">
        <v>699</v>
      </c>
      <c r="D1253" s="1" t="s">
        <v>39</v>
      </c>
      <c r="E1253" s="1" t="s">
        <v>26</v>
      </c>
      <c r="F1253" s="1" t="s">
        <v>33</v>
      </c>
      <c r="G1253" s="1">
        <v>352125</v>
      </c>
      <c r="H1253" s="63">
        <v>45113</v>
      </c>
      <c r="J1253" s="1"/>
      <c r="K1253" s="1">
        <v>6.8</v>
      </c>
      <c r="L1253" s="1" t="s">
        <v>29</v>
      </c>
      <c r="M1253" s="1" t="s">
        <v>102</v>
      </c>
      <c r="N1253" s="1" t="str">
        <f t="shared" si="19"/>
        <v>Normal</v>
      </c>
    </row>
    <row r="1254" spans="1:14" x14ac:dyDescent="0.25">
      <c r="A1254" s="1" t="s">
        <v>2288</v>
      </c>
      <c r="B1254" s="1" t="s">
        <v>59</v>
      </c>
      <c r="C1254" s="1" t="s">
        <v>355</v>
      </c>
      <c r="D1254" s="1" t="s">
        <v>25</v>
      </c>
      <c r="E1254" s="1" t="s">
        <v>100</v>
      </c>
      <c r="F1254" s="1" t="s">
        <v>33</v>
      </c>
      <c r="G1254" s="1">
        <v>227514</v>
      </c>
      <c r="H1254" s="63">
        <v>45356</v>
      </c>
      <c r="J1254" s="1"/>
      <c r="K1254" s="1">
        <v>2.6</v>
      </c>
      <c r="L1254" s="1" t="s">
        <v>29</v>
      </c>
      <c r="M1254" s="1" t="s">
        <v>69</v>
      </c>
      <c r="N1254" s="1" t="str">
        <f t="shared" si="19"/>
        <v>Normal</v>
      </c>
    </row>
    <row r="1255" spans="1:14" x14ac:dyDescent="0.25">
      <c r="A1255" s="1" t="s">
        <v>2289</v>
      </c>
      <c r="B1255" s="1" t="s">
        <v>88</v>
      </c>
      <c r="C1255" s="1" t="s">
        <v>862</v>
      </c>
      <c r="D1255" s="1" t="s">
        <v>16</v>
      </c>
      <c r="E1255" s="1" t="s">
        <v>77</v>
      </c>
      <c r="F1255" s="1" t="s">
        <v>18</v>
      </c>
      <c r="G1255" s="1">
        <v>278799</v>
      </c>
      <c r="H1255" s="63">
        <v>44989</v>
      </c>
      <c r="I1255" s="63">
        <v>45048</v>
      </c>
      <c r="J1255" s="1">
        <v>59</v>
      </c>
      <c r="K1255" s="1">
        <v>10.4</v>
      </c>
      <c r="L1255" s="1" t="s">
        <v>29</v>
      </c>
      <c r="M1255" s="1" t="s">
        <v>35</v>
      </c>
      <c r="N1255" s="1" t="str">
        <f t="shared" si="19"/>
        <v>Normal</v>
      </c>
    </row>
    <row r="1256" spans="1:14" x14ac:dyDescent="0.25">
      <c r="A1256" s="1" t="s">
        <v>2290</v>
      </c>
      <c r="B1256" s="1" t="s">
        <v>59</v>
      </c>
      <c r="C1256" s="1" t="s">
        <v>561</v>
      </c>
      <c r="D1256" s="1" t="s">
        <v>16</v>
      </c>
      <c r="E1256" s="1" t="s">
        <v>17</v>
      </c>
      <c r="F1256" s="1" t="s">
        <v>53</v>
      </c>
      <c r="G1256" s="1">
        <v>363178</v>
      </c>
      <c r="H1256" s="63">
        <v>45329</v>
      </c>
      <c r="J1256" s="1"/>
      <c r="K1256" s="1">
        <v>14.6</v>
      </c>
      <c r="L1256" s="1" t="s">
        <v>96</v>
      </c>
      <c r="M1256" s="1" t="s">
        <v>69</v>
      </c>
      <c r="N1256" s="1" t="str">
        <f t="shared" si="19"/>
        <v>Normal</v>
      </c>
    </row>
    <row r="1257" spans="1:14" x14ac:dyDescent="0.25">
      <c r="A1257" s="1" t="s">
        <v>2291</v>
      </c>
      <c r="B1257" s="1" t="s">
        <v>104</v>
      </c>
      <c r="C1257" s="1" t="s">
        <v>387</v>
      </c>
      <c r="D1257" s="1" t="s">
        <v>25</v>
      </c>
      <c r="E1257" s="1" t="s">
        <v>77</v>
      </c>
      <c r="F1257" s="1" t="s">
        <v>27</v>
      </c>
      <c r="G1257" s="1">
        <v>53715</v>
      </c>
      <c r="H1257" s="63">
        <v>45042</v>
      </c>
      <c r="J1257" s="1"/>
      <c r="K1257" s="1">
        <v>5.2</v>
      </c>
      <c r="L1257" s="1" t="s">
        <v>20</v>
      </c>
      <c r="M1257" s="1" t="s">
        <v>30</v>
      </c>
      <c r="N1257" s="1" t="str">
        <f t="shared" si="19"/>
        <v>Normal</v>
      </c>
    </row>
    <row r="1258" spans="1:14" x14ac:dyDescent="0.25">
      <c r="A1258" s="1" t="s">
        <v>2292</v>
      </c>
      <c r="B1258" s="1" t="s">
        <v>88</v>
      </c>
      <c r="C1258" s="1" t="s">
        <v>732</v>
      </c>
      <c r="D1258" s="1" t="s">
        <v>39</v>
      </c>
      <c r="E1258" s="1" t="s">
        <v>72</v>
      </c>
      <c r="F1258" s="1" t="s">
        <v>27</v>
      </c>
      <c r="G1258" s="1">
        <v>353510</v>
      </c>
      <c r="H1258" s="63">
        <v>45488</v>
      </c>
      <c r="J1258" s="1"/>
      <c r="K1258" s="1"/>
      <c r="L1258" s="1" t="s">
        <v>96</v>
      </c>
      <c r="M1258" s="1" t="s">
        <v>149</v>
      </c>
      <c r="N1258" s="1" t="str">
        <f t="shared" si="19"/>
        <v>Normal</v>
      </c>
    </row>
    <row r="1259" spans="1:14" x14ac:dyDescent="0.25">
      <c r="A1259" s="1" t="s">
        <v>2293</v>
      </c>
      <c r="B1259" s="1" t="s">
        <v>127</v>
      </c>
      <c r="C1259" s="1" t="s">
        <v>1258</v>
      </c>
      <c r="D1259" s="1" t="s">
        <v>46</v>
      </c>
      <c r="E1259" s="1" t="s">
        <v>100</v>
      </c>
      <c r="F1259" s="1" t="s">
        <v>53</v>
      </c>
      <c r="G1259" s="1">
        <v>23067</v>
      </c>
      <c r="H1259" s="63">
        <v>45438</v>
      </c>
      <c r="J1259" s="1"/>
      <c r="K1259" s="1">
        <v>11.5</v>
      </c>
      <c r="L1259" s="1" t="s">
        <v>49</v>
      </c>
      <c r="M1259" s="1" t="s">
        <v>107</v>
      </c>
      <c r="N1259" s="1" t="str">
        <f t="shared" si="19"/>
        <v>Normal</v>
      </c>
    </row>
    <row r="1260" spans="1:14" x14ac:dyDescent="0.25">
      <c r="A1260" s="1" t="s">
        <v>2294</v>
      </c>
      <c r="B1260" s="1" t="s">
        <v>65</v>
      </c>
      <c r="C1260" s="1" t="s">
        <v>250</v>
      </c>
      <c r="D1260" s="1" t="s">
        <v>90</v>
      </c>
      <c r="E1260" s="1" t="s">
        <v>47</v>
      </c>
      <c r="F1260" s="1" t="s">
        <v>129</v>
      </c>
      <c r="G1260" s="1">
        <v>146979</v>
      </c>
      <c r="H1260" s="63">
        <v>44990</v>
      </c>
      <c r="J1260" s="1"/>
      <c r="K1260" s="1"/>
      <c r="L1260" s="1" t="s">
        <v>49</v>
      </c>
      <c r="M1260" s="1" t="s">
        <v>35</v>
      </c>
      <c r="N1260" s="1" t="str">
        <f t="shared" si="19"/>
        <v>Normal</v>
      </c>
    </row>
    <row r="1261" spans="1:14" x14ac:dyDescent="0.25">
      <c r="A1261" s="1" t="s">
        <v>2296</v>
      </c>
      <c r="B1261" s="1" t="s">
        <v>104</v>
      </c>
      <c r="C1261" s="1" t="s">
        <v>334</v>
      </c>
      <c r="D1261" s="1" t="s">
        <v>39</v>
      </c>
      <c r="E1261" s="1" t="s">
        <v>77</v>
      </c>
      <c r="F1261" s="1" t="s">
        <v>40</v>
      </c>
      <c r="G1261" s="1">
        <v>461943</v>
      </c>
      <c r="H1261" s="63">
        <v>45013</v>
      </c>
      <c r="I1261" s="63">
        <v>45065</v>
      </c>
      <c r="J1261" s="1">
        <v>52</v>
      </c>
      <c r="K1261" s="1">
        <v>20.5</v>
      </c>
      <c r="L1261" s="1" t="s">
        <v>20</v>
      </c>
      <c r="M1261" s="1" t="s">
        <v>35</v>
      </c>
      <c r="N1261" s="1" t="str">
        <f t="shared" si="19"/>
        <v>Normal</v>
      </c>
    </row>
    <row r="1262" spans="1:14" x14ac:dyDescent="0.25">
      <c r="A1262" s="1" t="s">
        <v>2297</v>
      </c>
      <c r="B1262" s="1" t="s">
        <v>98</v>
      </c>
      <c r="C1262" s="1" t="s">
        <v>183</v>
      </c>
      <c r="D1262" s="1" t="s">
        <v>67</v>
      </c>
      <c r="E1262" s="1" t="s">
        <v>17</v>
      </c>
      <c r="F1262" s="1" t="s">
        <v>129</v>
      </c>
      <c r="G1262" s="1">
        <v>371623</v>
      </c>
      <c r="H1262" s="63">
        <v>45590</v>
      </c>
      <c r="J1262" s="1"/>
      <c r="K1262" s="1">
        <v>8.6999999999999993</v>
      </c>
      <c r="L1262" s="1" t="s">
        <v>20</v>
      </c>
      <c r="M1262" s="1" t="s">
        <v>42</v>
      </c>
      <c r="N1262" s="1" t="str">
        <f t="shared" si="19"/>
        <v>Normal</v>
      </c>
    </row>
    <row r="1263" spans="1:14" x14ac:dyDescent="0.25">
      <c r="A1263" s="1" t="s">
        <v>2298</v>
      </c>
      <c r="B1263" s="1" t="s">
        <v>75</v>
      </c>
      <c r="C1263" s="1" t="s">
        <v>676</v>
      </c>
      <c r="D1263" s="1" t="s">
        <v>67</v>
      </c>
      <c r="E1263" s="1" t="s">
        <v>26</v>
      </c>
      <c r="F1263" s="1" t="s">
        <v>40</v>
      </c>
      <c r="G1263" s="1">
        <v>18488</v>
      </c>
      <c r="H1263" s="63">
        <v>45241</v>
      </c>
      <c r="I1263" s="63">
        <v>45384</v>
      </c>
      <c r="J1263" s="1">
        <v>143</v>
      </c>
      <c r="K1263" s="1">
        <v>3.1</v>
      </c>
      <c r="L1263" s="1" t="s">
        <v>20</v>
      </c>
      <c r="M1263" s="1" t="s">
        <v>21</v>
      </c>
      <c r="N1263" s="1" t="str">
        <f t="shared" si="19"/>
        <v>Normal</v>
      </c>
    </row>
    <row r="1264" spans="1:14" x14ac:dyDescent="0.25">
      <c r="A1264" s="1" t="s">
        <v>2299</v>
      </c>
      <c r="B1264" s="1" t="s">
        <v>75</v>
      </c>
      <c r="C1264" s="1" t="s">
        <v>364</v>
      </c>
      <c r="D1264" s="1" t="s">
        <v>46</v>
      </c>
      <c r="E1264" s="1" t="s">
        <v>61</v>
      </c>
      <c r="F1264" s="1" t="s">
        <v>40</v>
      </c>
      <c r="G1264" s="1">
        <v>326336</v>
      </c>
      <c r="H1264" s="63">
        <v>45118</v>
      </c>
      <c r="I1264" s="63">
        <v>45183</v>
      </c>
      <c r="J1264" s="1">
        <v>65</v>
      </c>
      <c r="K1264" s="1">
        <v>24.1</v>
      </c>
      <c r="L1264" s="1" t="s">
        <v>49</v>
      </c>
      <c r="M1264" s="1" t="s">
        <v>102</v>
      </c>
      <c r="N1264" s="1" t="str">
        <f t="shared" si="19"/>
        <v>Normal</v>
      </c>
    </row>
    <row r="1265" spans="1:14" x14ac:dyDescent="0.25">
      <c r="A1265" s="1" t="s">
        <v>2300</v>
      </c>
      <c r="B1265" s="1" t="s">
        <v>65</v>
      </c>
      <c r="C1265" s="1" t="s">
        <v>71</v>
      </c>
      <c r="D1265" s="1" t="s">
        <v>90</v>
      </c>
      <c r="E1265" s="1" t="s">
        <v>61</v>
      </c>
      <c r="F1265" s="1" t="s">
        <v>18</v>
      </c>
      <c r="G1265" s="1">
        <v>17811</v>
      </c>
      <c r="H1265" s="63">
        <v>45182</v>
      </c>
      <c r="I1265" s="63">
        <v>45211</v>
      </c>
      <c r="J1265" s="1">
        <v>29</v>
      </c>
      <c r="K1265" s="1"/>
      <c r="L1265" s="1" t="s">
        <v>96</v>
      </c>
      <c r="M1265" s="1" t="s">
        <v>102</v>
      </c>
      <c r="N1265" s="1" t="str">
        <f t="shared" si="19"/>
        <v>Normal</v>
      </c>
    </row>
    <row r="1266" spans="1:14" x14ac:dyDescent="0.25">
      <c r="A1266" s="1" t="s">
        <v>2301</v>
      </c>
      <c r="B1266" s="1" t="s">
        <v>84</v>
      </c>
      <c r="C1266" s="1" t="s">
        <v>433</v>
      </c>
      <c r="D1266" s="1" t="s">
        <v>16</v>
      </c>
      <c r="E1266" s="1" t="s">
        <v>72</v>
      </c>
      <c r="F1266" s="1" t="s">
        <v>18</v>
      </c>
      <c r="G1266" s="1">
        <v>228320</v>
      </c>
      <c r="H1266" s="63">
        <v>45430</v>
      </c>
      <c r="I1266" s="63">
        <v>45584</v>
      </c>
      <c r="J1266" s="1">
        <v>154</v>
      </c>
      <c r="K1266" s="1">
        <v>4.8</v>
      </c>
      <c r="L1266" s="1" t="s">
        <v>29</v>
      </c>
      <c r="M1266" s="1" t="s">
        <v>107</v>
      </c>
      <c r="N1266" s="1" t="str">
        <f t="shared" si="19"/>
        <v>Normal</v>
      </c>
    </row>
    <row r="1267" spans="1:14" x14ac:dyDescent="0.25">
      <c r="A1267" s="1" t="s">
        <v>2302</v>
      </c>
      <c r="B1267" s="1" t="s">
        <v>14</v>
      </c>
      <c r="C1267" s="1" t="s">
        <v>267</v>
      </c>
      <c r="D1267" s="1" t="s">
        <v>46</v>
      </c>
      <c r="E1267" s="1" t="s">
        <v>100</v>
      </c>
      <c r="F1267" s="1" t="s">
        <v>40</v>
      </c>
      <c r="G1267" s="1">
        <v>460186</v>
      </c>
      <c r="H1267" s="63">
        <v>44929</v>
      </c>
      <c r="I1267" s="63">
        <v>45040</v>
      </c>
      <c r="J1267" s="1">
        <v>111</v>
      </c>
      <c r="K1267" s="1">
        <v>4.4000000000000004</v>
      </c>
      <c r="L1267" s="1" t="s">
        <v>29</v>
      </c>
      <c r="M1267" s="1" t="s">
        <v>35</v>
      </c>
      <c r="N1267" s="1" t="str">
        <f t="shared" si="19"/>
        <v>Normal</v>
      </c>
    </row>
    <row r="1268" spans="1:14" x14ac:dyDescent="0.25">
      <c r="A1268" s="1" t="s">
        <v>2303</v>
      </c>
      <c r="B1268" s="1" t="s">
        <v>80</v>
      </c>
      <c r="C1268" s="1" t="s">
        <v>800</v>
      </c>
      <c r="D1268" s="1" t="s">
        <v>67</v>
      </c>
      <c r="E1268" s="1" t="s">
        <v>94</v>
      </c>
      <c r="F1268" s="1" t="s">
        <v>40</v>
      </c>
      <c r="G1268" s="1">
        <v>274107</v>
      </c>
      <c r="H1268" s="63">
        <v>45374</v>
      </c>
      <c r="I1268" s="63">
        <v>45424</v>
      </c>
      <c r="J1268" s="1">
        <v>50</v>
      </c>
      <c r="K1268" s="1">
        <v>3.7</v>
      </c>
      <c r="L1268" s="1" t="s">
        <v>49</v>
      </c>
      <c r="M1268" s="1" t="s">
        <v>69</v>
      </c>
      <c r="N1268" s="1" t="str">
        <f t="shared" si="19"/>
        <v>Normal</v>
      </c>
    </row>
    <row r="1269" spans="1:14" x14ac:dyDescent="0.25">
      <c r="A1269" s="1" t="s">
        <v>2304</v>
      </c>
      <c r="B1269" s="1" t="s">
        <v>173</v>
      </c>
      <c r="C1269" s="1" t="s">
        <v>45</v>
      </c>
      <c r="D1269" s="1" t="s">
        <v>16</v>
      </c>
      <c r="E1269" s="1" t="s">
        <v>94</v>
      </c>
      <c r="F1269" s="1" t="s">
        <v>18</v>
      </c>
      <c r="G1269" s="1">
        <v>352780</v>
      </c>
      <c r="H1269" s="63">
        <v>45691</v>
      </c>
      <c r="I1269" s="63">
        <v>45767</v>
      </c>
      <c r="J1269" s="1">
        <v>76</v>
      </c>
      <c r="K1269" s="1">
        <v>0.8</v>
      </c>
      <c r="L1269" s="1" t="s">
        <v>20</v>
      </c>
      <c r="M1269" s="1" t="s">
        <v>63</v>
      </c>
      <c r="N1269" s="1" t="str">
        <f t="shared" si="19"/>
        <v>Normal</v>
      </c>
    </row>
    <row r="1270" spans="1:14" x14ac:dyDescent="0.25">
      <c r="A1270" s="1" t="s">
        <v>2306</v>
      </c>
      <c r="B1270" s="1" t="s">
        <v>109</v>
      </c>
      <c r="C1270" s="1" t="s">
        <v>877</v>
      </c>
      <c r="D1270" s="1" t="s">
        <v>25</v>
      </c>
      <c r="E1270" s="1" t="s">
        <v>47</v>
      </c>
      <c r="F1270" s="1" t="s">
        <v>40</v>
      </c>
      <c r="G1270" s="1">
        <v>185416</v>
      </c>
      <c r="H1270" s="63">
        <v>45249</v>
      </c>
      <c r="I1270" s="63">
        <v>45294</v>
      </c>
      <c r="J1270" s="1">
        <v>45</v>
      </c>
      <c r="K1270" s="1">
        <v>22.8</v>
      </c>
      <c r="L1270" s="1" t="s">
        <v>20</v>
      </c>
      <c r="M1270" s="1" t="s">
        <v>21</v>
      </c>
      <c r="N1270" s="1" t="str">
        <f t="shared" si="19"/>
        <v>Normal</v>
      </c>
    </row>
    <row r="1271" spans="1:14" x14ac:dyDescent="0.25">
      <c r="A1271" s="1" t="s">
        <v>2308</v>
      </c>
      <c r="B1271" s="1" t="s">
        <v>65</v>
      </c>
      <c r="C1271" s="1" t="s">
        <v>349</v>
      </c>
      <c r="D1271" s="1" t="s">
        <v>67</v>
      </c>
      <c r="E1271" s="1" t="s">
        <v>47</v>
      </c>
      <c r="F1271" s="1" t="s">
        <v>40</v>
      </c>
      <c r="G1271" s="1">
        <v>238173</v>
      </c>
      <c r="H1271" s="63">
        <v>45188</v>
      </c>
      <c r="I1271" s="63">
        <v>45268</v>
      </c>
      <c r="J1271" s="1">
        <v>80</v>
      </c>
      <c r="K1271" s="1">
        <v>23</v>
      </c>
      <c r="L1271" s="1" t="s">
        <v>96</v>
      </c>
      <c r="M1271" s="1" t="s">
        <v>102</v>
      </c>
      <c r="N1271" s="1" t="str">
        <f t="shared" si="19"/>
        <v>Normal</v>
      </c>
    </row>
    <row r="1272" spans="1:14" x14ac:dyDescent="0.25">
      <c r="A1272" s="1" t="s">
        <v>2309</v>
      </c>
      <c r="B1272" s="1" t="s">
        <v>14</v>
      </c>
      <c r="C1272" s="1" t="s">
        <v>334</v>
      </c>
      <c r="D1272" s="1" t="s">
        <v>90</v>
      </c>
      <c r="E1272" s="1" t="s">
        <v>17</v>
      </c>
      <c r="F1272" s="1" t="s">
        <v>18</v>
      </c>
      <c r="G1272" s="1">
        <v>194972</v>
      </c>
      <c r="H1272" s="63">
        <v>45086</v>
      </c>
      <c r="I1272" s="63">
        <v>45174</v>
      </c>
      <c r="J1272" s="1">
        <v>88</v>
      </c>
      <c r="K1272" s="1"/>
      <c r="L1272" s="1" t="s">
        <v>29</v>
      </c>
      <c r="M1272" s="1" t="s">
        <v>30</v>
      </c>
      <c r="N1272" s="1" t="str">
        <f t="shared" si="19"/>
        <v>Normal</v>
      </c>
    </row>
    <row r="1273" spans="1:14" x14ac:dyDescent="0.25">
      <c r="A1273" s="1" t="s">
        <v>2310</v>
      </c>
      <c r="B1273" s="1" t="s">
        <v>104</v>
      </c>
      <c r="C1273" s="1" t="s">
        <v>797</v>
      </c>
      <c r="D1273" s="1" t="s">
        <v>25</v>
      </c>
      <c r="E1273" s="1" t="s">
        <v>47</v>
      </c>
      <c r="F1273" s="1" t="s">
        <v>40</v>
      </c>
      <c r="G1273" s="1">
        <v>394486</v>
      </c>
      <c r="H1273" s="63">
        <v>44981</v>
      </c>
      <c r="I1273" s="63">
        <v>44997</v>
      </c>
      <c r="J1273" s="1">
        <v>16</v>
      </c>
      <c r="K1273" s="1">
        <v>14.6</v>
      </c>
      <c r="L1273" s="1" t="s">
        <v>29</v>
      </c>
      <c r="M1273" s="1" t="s">
        <v>35</v>
      </c>
      <c r="N1273" s="1" t="str">
        <f t="shared" si="19"/>
        <v>Normal</v>
      </c>
    </row>
    <row r="1274" spans="1:14" x14ac:dyDescent="0.25">
      <c r="A1274" s="1" t="s">
        <v>2311</v>
      </c>
      <c r="B1274" s="1" t="s">
        <v>109</v>
      </c>
      <c r="C1274" s="1" t="s">
        <v>264</v>
      </c>
      <c r="D1274" s="1" t="s">
        <v>46</v>
      </c>
      <c r="E1274" s="1" t="s">
        <v>77</v>
      </c>
      <c r="F1274" s="1" t="s">
        <v>53</v>
      </c>
      <c r="G1274" s="1">
        <v>102327</v>
      </c>
      <c r="H1274" s="63">
        <v>45313</v>
      </c>
      <c r="J1274" s="1"/>
      <c r="K1274" s="1"/>
      <c r="L1274" s="1" t="s">
        <v>96</v>
      </c>
      <c r="M1274" s="1" t="s">
        <v>69</v>
      </c>
      <c r="N1274" s="1" t="str">
        <f t="shared" si="19"/>
        <v>Normal</v>
      </c>
    </row>
    <row r="1275" spans="1:14" x14ac:dyDescent="0.25">
      <c r="A1275" s="1" t="s">
        <v>2312</v>
      </c>
      <c r="B1275" s="1" t="s">
        <v>80</v>
      </c>
      <c r="C1275" s="1" t="s">
        <v>1028</v>
      </c>
      <c r="D1275" s="1" t="s">
        <v>67</v>
      </c>
      <c r="E1275" s="1" t="s">
        <v>100</v>
      </c>
      <c r="F1275" s="1" t="s">
        <v>18</v>
      </c>
      <c r="G1275" s="1">
        <v>441592</v>
      </c>
      <c r="H1275" s="63">
        <v>45430</v>
      </c>
      <c r="I1275" s="63">
        <v>45565</v>
      </c>
      <c r="J1275" s="1">
        <v>135</v>
      </c>
      <c r="K1275" s="1">
        <v>13.9</v>
      </c>
      <c r="L1275" s="1" t="s">
        <v>20</v>
      </c>
      <c r="M1275" s="1" t="s">
        <v>107</v>
      </c>
      <c r="N1275" s="1" t="str">
        <f t="shared" si="19"/>
        <v>Normal</v>
      </c>
    </row>
    <row r="1276" spans="1:14" x14ac:dyDescent="0.25">
      <c r="A1276" s="1" t="s">
        <v>2313</v>
      </c>
      <c r="B1276" s="1" t="s">
        <v>23</v>
      </c>
      <c r="C1276" s="1" t="s">
        <v>71</v>
      </c>
      <c r="D1276" s="1" t="s">
        <v>16</v>
      </c>
      <c r="E1276" s="1" t="s">
        <v>17</v>
      </c>
      <c r="F1276" s="1" t="s">
        <v>18</v>
      </c>
      <c r="G1276" s="1">
        <v>490145</v>
      </c>
      <c r="H1276" s="63">
        <v>45347</v>
      </c>
      <c r="I1276" s="63">
        <v>45432</v>
      </c>
      <c r="J1276" s="1">
        <v>85</v>
      </c>
      <c r="K1276" s="1"/>
      <c r="L1276" s="1" t="s">
        <v>29</v>
      </c>
      <c r="M1276" s="1" t="s">
        <v>69</v>
      </c>
      <c r="N1276" s="1" t="str">
        <f t="shared" si="19"/>
        <v>Normal</v>
      </c>
    </row>
    <row r="1277" spans="1:14" x14ac:dyDescent="0.25">
      <c r="A1277" s="1" t="s">
        <v>2314</v>
      </c>
      <c r="B1277" s="1" t="s">
        <v>84</v>
      </c>
      <c r="C1277" s="1" t="s">
        <v>279</v>
      </c>
      <c r="D1277" s="1" t="s">
        <v>25</v>
      </c>
      <c r="E1277" s="1" t="s">
        <v>100</v>
      </c>
      <c r="F1277" s="1" t="s">
        <v>33</v>
      </c>
      <c r="G1277" s="1">
        <v>349072</v>
      </c>
      <c r="H1277" s="63">
        <v>45729</v>
      </c>
      <c r="J1277" s="1"/>
      <c r="K1277" s="1">
        <v>13.9</v>
      </c>
      <c r="L1277" s="1" t="s">
        <v>29</v>
      </c>
      <c r="M1277" s="1" t="s">
        <v>63</v>
      </c>
      <c r="N1277" s="1" t="str">
        <f t="shared" si="19"/>
        <v>Normal</v>
      </c>
    </row>
    <row r="1278" spans="1:14" x14ac:dyDescent="0.25">
      <c r="A1278" s="1" t="s">
        <v>2315</v>
      </c>
      <c r="B1278" s="1" t="s">
        <v>59</v>
      </c>
      <c r="C1278" s="1" t="s">
        <v>859</v>
      </c>
      <c r="D1278" s="1" t="s">
        <v>46</v>
      </c>
      <c r="E1278" s="1" t="s">
        <v>61</v>
      </c>
      <c r="F1278" s="1" t="s">
        <v>33</v>
      </c>
      <c r="G1278" s="1">
        <v>451171</v>
      </c>
      <c r="H1278" s="63">
        <v>45699</v>
      </c>
      <c r="J1278" s="1"/>
      <c r="K1278" s="1">
        <v>8.1</v>
      </c>
      <c r="L1278" s="1" t="s">
        <v>49</v>
      </c>
      <c r="M1278" s="1" t="s">
        <v>63</v>
      </c>
      <c r="N1278" s="1" t="str">
        <f t="shared" si="19"/>
        <v>Normal</v>
      </c>
    </row>
    <row r="1279" spans="1:14" x14ac:dyDescent="0.25">
      <c r="A1279" s="1" t="s">
        <v>2316</v>
      </c>
      <c r="B1279" s="1" t="s">
        <v>84</v>
      </c>
      <c r="C1279" s="1" t="s">
        <v>1142</v>
      </c>
      <c r="D1279" s="1" t="s">
        <v>25</v>
      </c>
      <c r="E1279" s="1" t="s">
        <v>100</v>
      </c>
      <c r="F1279" s="1" t="s">
        <v>40</v>
      </c>
      <c r="G1279" s="1">
        <v>64331</v>
      </c>
      <c r="H1279" s="63">
        <v>45730</v>
      </c>
      <c r="I1279" s="63">
        <v>45817</v>
      </c>
      <c r="J1279" s="1">
        <v>87</v>
      </c>
      <c r="K1279" s="1">
        <v>2.2999999999999998</v>
      </c>
      <c r="L1279" s="1" t="s">
        <v>96</v>
      </c>
      <c r="M1279" s="1" t="s">
        <v>63</v>
      </c>
      <c r="N1279" s="1" t="str">
        <f t="shared" si="19"/>
        <v>Normal</v>
      </c>
    </row>
    <row r="1280" spans="1:14" x14ac:dyDescent="0.25">
      <c r="A1280" s="1" t="s">
        <v>2317</v>
      </c>
      <c r="B1280" s="1" t="s">
        <v>104</v>
      </c>
      <c r="C1280" s="1" t="s">
        <v>505</v>
      </c>
      <c r="D1280" s="1" t="s">
        <v>46</v>
      </c>
      <c r="E1280" s="1" t="s">
        <v>26</v>
      </c>
      <c r="F1280" s="1" t="s">
        <v>40</v>
      </c>
      <c r="G1280" s="1">
        <v>403701</v>
      </c>
      <c r="H1280" s="63">
        <v>45452</v>
      </c>
      <c r="I1280" s="63">
        <v>45619</v>
      </c>
      <c r="J1280" s="1">
        <v>167</v>
      </c>
      <c r="K1280" s="1">
        <v>24.8</v>
      </c>
      <c r="L1280" s="1" t="s">
        <v>20</v>
      </c>
      <c r="M1280" s="1" t="s">
        <v>107</v>
      </c>
      <c r="N1280" s="1" t="str">
        <f t="shared" si="19"/>
        <v>Normal</v>
      </c>
    </row>
    <row r="1281" spans="1:14" x14ac:dyDescent="0.25">
      <c r="A1281" s="1" t="s">
        <v>2318</v>
      </c>
      <c r="B1281" s="1" t="s">
        <v>104</v>
      </c>
      <c r="C1281" s="1" t="s">
        <v>977</v>
      </c>
      <c r="D1281" s="1" t="s">
        <v>25</v>
      </c>
      <c r="E1281" s="1" t="s">
        <v>100</v>
      </c>
      <c r="F1281" s="1" t="s">
        <v>129</v>
      </c>
      <c r="G1281" s="1">
        <v>145408</v>
      </c>
      <c r="H1281" s="63">
        <v>45416</v>
      </c>
      <c r="J1281" s="1"/>
      <c r="K1281" s="1">
        <v>3</v>
      </c>
      <c r="L1281" s="1" t="s">
        <v>49</v>
      </c>
      <c r="M1281" s="1" t="s">
        <v>107</v>
      </c>
      <c r="N1281" s="1" t="str">
        <f t="shared" si="19"/>
        <v>Normal</v>
      </c>
    </row>
    <row r="1282" spans="1:14" x14ac:dyDescent="0.25">
      <c r="A1282" s="1" t="s">
        <v>2319</v>
      </c>
      <c r="B1282" s="1" t="s">
        <v>75</v>
      </c>
      <c r="C1282" s="1" t="s">
        <v>720</v>
      </c>
      <c r="D1282" s="1" t="s">
        <v>67</v>
      </c>
      <c r="E1282" s="1" t="s">
        <v>4845</v>
      </c>
      <c r="F1282" s="1" t="s">
        <v>40</v>
      </c>
      <c r="G1282" s="1">
        <v>469621</v>
      </c>
      <c r="H1282" s="63">
        <v>45745</v>
      </c>
      <c r="I1282" s="63">
        <v>45767</v>
      </c>
      <c r="J1282" s="1">
        <v>22</v>
      </c>
      <c r="K1282" s="1">
        <v>5.4</v>
      </c>
      <c r="L1282" s="1" t="s">
        <v>49</v>
      </c>
      <c r="M1282" s="1" t="s">
        <v>63</v>
      </c>
      <c r="N1282" s="1" t="str">
        <f t="shared" ref="N1282:N1345" si="20">IF(G1282&gt;$R$5,"High Outlier",IF(G1282&lt;$R$6,"Low Outlier","Normal"))</f>
        <v>Normal</v>
      </c>
    </row>
    <row r="1283" spans="1:14" x14ac:dyDescent="0.25">
      <c r="A1283" s="1" t="s">
        <v>2320</v>
      </c>
      <c r="B1283" s="1" t="s">
        <v>104</v>
      </c>
      <c r="C1283" s="1" t="s">
        <v>686</v>
      </c>
      <c r="D1283" s="1" t="s">
        <v>39</v>
      </c>
      <c r="E1283" s="1" t="s">
        <v>17</v>
      </c>
      <c r="F1283" s="1" t="s">
        <v>18</v>
      </c>
      <c r="G1283" s="1">
        <v>76308</v>
      </c>
      <c r="H1283" s="63">
        <v>45278</v>
      </c>
      <c r="I1283" s="63">
        <v>45366</v>
      </c>
      <c r="J1283" s="1">
        <v>88</v>
      </c>
      <c r="K1283" s="1">
        <v>8</v>
      </c>
      <c r="L1283" s="1" t="s">
        <v>49</v>
      </c>
      <c r="M1283" s="1" t="s">
        <v>21</v>
      </c>
      <c r="N1283" s="1" t="str">
        <f t="shared" si="20"/>
        <v>Normal</v>
      </c>
    </row>
    <row r="1284" spans="1:14" x14ac:dyDescent="0.25">
      <c r="A1284" s="1" t="s">
        <v>2321</v>
      </c>
      <c r="B1284" s="1" t="s">
        <v>59</v>
      </c>
      <c r="C1284" s="1" t="s">
        <v>423</v>
      </c>
      <c r="D1284" s="1" t="s">
        <v>16</v>
      </c>
      <c r="E1284" s="1" t="s">
        <v>72</v>
      </c>
      <c r="F1284" s="1" t="s">
        <v>53</v>
      </c>
      <c r="G1284" s="1">
        <v>81896</v>
      </c>
      <c r="H1284" s="63">
        <v>45460</v>
      </c>
      <c r="J1284" s="1"/>
      <c r="K1284" s="1">
        <v>3.5</v>
      </c>
      <c r="L1284" s="1" t="s">
        <v>29</v>
      </c>
      <c r="M1284" s="1" t="s">
        <v>107</v>
      </c>
      <c r="N1284" s="1" t="str">
        <f t="shared" si="20"/>
        <v>Normal</v>
      </c>
    </row>
    <row r="1285" spans="1:14" x14ac:dyDescent="0.25">
      <c r="A1285" s="1" t="s">
        <v>2323</v>
      </c>
      <c r="B1285" s="1" t="s">
        <v>14</v>
      </c>
      <c r="C1285" s="1" t="s">
        <v>387</v>
      </c>
      <c r="D1285" s="1" t="s">
        <v>39</v>
      </c>
      <c r="E1285" s="1" t="s">
        <v>47</v>
      </c>
      <c r="F1285" s="1" t="s">
        <v>40</v>
      </c>
      <c r="G1285" s="1">
        <v>337376</v>
      </c>
      <c r="H1285" s="63">
        <v>45578</v>
      </c>
      <c r="I1285" s="63">
        <v>45635</v>
      </c>
      <c r="J1285" s="1">
        <v>57</v>
      </c>
      <c r="K1285" s="1">
        <v>2.1</v>
      </c>
      <c r="L1285" s="1" t="s">
        <v>96</v>
      </c>
      <c r="M1285" s="1" t="s">
        <v>42</v>
      </c>
      <c r="N1285" s="1" t="str">
        <f t="shared" si="20"/>
        <v>Normal</v>
      </c>
    </row>
    <row r="1286" spans="1:14" x14ac:dyDescent="0.25">
      <c r="A1286" s="1" t="s">
        <v>2325</v>
      </c>
      <c r="B1286" s="1" t="s">
        <v>65</v>
      </c>
      <c r="C1286" s="1" t="s">
        <v>261</v>
      </c>
      <c r="D1286" s="1" t="s">
        <v>16</v>
      </c>
      <c r="E1286" s="1" t="s">
        <v>72</v>
      </c>
      <c r="F1286" s="1" t="s">
        <v>33</v>
      </c>
      <c r="G1286" s="1">
        <v>410572</v>
      </c>
      <c r="H1286" s="63">
        <v>45088</v>
      </c>
      <c r="J1286" s="1"/>
      <c r="K1286" s="1"/>
      <c r="L1286" s="1" t="s">
        <v>96</v>
      </c>
      <c r="M1286" s="1" t="s">
        <v>30</v>
      </c>
      <c r="N1286" s="1" t="str">
        <f t="shared" si="20"/>
        <v>Normal</v>
      </c>
    </row>
    <row r="1287" spans="1:14" x14ac:dyDescent="0.25">
      <c r="A1287" s="1" t="s">
        <v>2326</v>
      </c>
      <c r="B1287" s="1" t="s">
        <v>59</v>
      </c>
      <c r="C1287" s="1" t="s">
        <v>401</v>
      </c>
      <c r="D1287" s="1" t="s">
        <v>16</v>
      </c>
      <c r="E1287" s="1" t="s">
        <v>77</v>
      </c>
      <c r="F1287" s="1" t="s">
        <v>53</v>
      </c>
      <c r="G1287" s="1">
        <v>408536</v>
      </c>
      <c r="H1287" s="63">
        <v>45651</v>
      </c>
      <c r="J1287" s="1"/>
      <c r="K1287" s="1"/>
      <c r="L1287" s="1" t="s">
        <v>29</v>
      </c>
      <c r="M1287" s="1" t="s">
        <v>42</v>
      </c>
      <c r="N1287" s="1" t="str">
        <f t="shared" si="20"/>
        <v>Normal</v>
      </c>
    </row>
    <row r="1288" spans="1:14" x14ac:dyDescent="0.25">
      <c r="A1288" s="1" t="s">
        <v>2327</v>
      </c>
      <c r="B1288" s="1" t="s">
        <v>37</v>
      </c>
      <c r="C1288" s="1" t="s">
        <v>539</v>
      </c>
      <c r="D1288" s="1" t="s">
        <v>16</v>
      </c>
      <c r="E1288" s="1" t="s">
        <v>47</v>
      </c>
      <c r="F1288" s="1" t="s">
        <v>40</v>
      </c>
      <c r="G1288" s="1">
        <v>315567</v>
      </c>
      <c r="H1288" s="63">
        <v>45321</v>
      </c>
      <c r="I1288" s="63">
        <v>45369</v>
      </c>
      <c r="J1288" s="1">
        <v>48</v>
      </c>
      <c r="K1288" s="1">
        <v>2</v>
      </c>
      <c r="L1288" s="1" t="s">
        <v>29</v>
      </c>
      <c r="M1288" s="1" t="s">
        <v>69</v>
      </c>
      <c r="N1288" s="1" t="str">
        <f t="shared" si="20"/>
        <v>Normal</v>
      </c>
    </row>
    <row r="1289" spans="1:14" x14ac:dyDescent="0.25">
      <c r="A1289" s="1" t="s">
        <v>2329</v>
      </c>
      <c r="B1289" s="1" t="s">
        <v>80</v>
      </c>
      <c r="C1289" s="1" t="s">
        <v>160</v>
      </c>
      <c r="D1289" s="1" t="s">
        <v>46</v>
      </c>
      <c r="E1289" s="1" t="s">
        <v>4845</v>
      </c>
      <c r="F1289" s="1" t="s">
        <v>53</v>
      </c>
      <c r="G1289" s="1">
        <v>120865</v>
      </c>
      <c r="H1289" s="63">
        <v>45512</v>
      </c>
      <c r="J1289" s="1"/>
      <c r="K1289" s="1"/>
      <c r="L1289" s="1" t="s">
        <v>49</v>
      </c>
      <c r="M1289" s="1" t="s">
        <v>149</v>
      </c>
      <c r="N1289" s="1" t="str">
        <f t="shared" si="20"/>
        <v>Normal</v>
      </c>
    </row>
    <row r="1290" spans="1:14" x14ac:dyDescent="0.25">
      <c r="A1290" s="1" t="s">
        <v>2330</v>
      </c>
      <c r="B1290" s="1" t="s">
        <v>59</v>
      </c>
      <c r="C1290" s="1" t="s">
        <v>56</v>
      </c>
      <c r="D1290" s="1" t="s">
        <v>46</v>
      </c>
      <c r="E1290" s="1" t="s">
        <v>26</v>
      </c>
      <c r="F1290" s="1" t="s">
        <v>18</v>
      </c>
      <c r="G1290" s="1">
        <v>171065</v>
      </c>
      <c r="H1290" s="63">
        <v>45686</v>
      </c>
      <c r="I1290" s="63">
        <v>45782</v>
      </c>
      <c r="J1290" s="1">
        <v>96</v>
      </c>
      <c r="K1290" s="1"/>
      <c r="L1290" s="1" t="s">
        <v>29</v>
      </c>
      <c r="M1290" s="1" t="s">
        <v>63</v>
      </c>
      <c r="N1290" s="1" t="str">
        <f t="shared" si="20"/>
        <v>Normal</v>
      </c>
    </row>
    <row r="1291" spans="1:14" x14ac:dyDescent="0.25">
      <c r="A1291" s="1" t="s">
        <v>2331</v>
      </c>
      <c r="B1291" s="1" t="s">
        <v>23</v>
      </c>
      <c r="C1291" s="1" t="s">
        <v>113</v>
      </c>
      <c r="D1291" s="1" t="s">
        <v>46</v>
      </c>
      <c r="E1291" s="1" t="s">
        <v>77</v>
      </c>
      <c r="F1291" s="1" t="s">
        <v>18</v>
      </c>
      <c r="G1291" s="1">
        <v>330353</v>
      </c>
      <c r="H1291" s="63">
        <v>45665</v>
      </c>
      <c r="I1291" s="63">
        <v>45751</v>
      </c>
      <c r="J1291" s="1">
        <v>86</v>
      </c>
      <c r="K1291" s="1">
        <v>1.3</v>
      </c>
      <c r="L1291" s="1" t="s">
        <v>29</v>
      </c>
      <c r="M1291" s="1" t="s">
        <v>63</v>
      </c>
      <c r="N1291" s="1" t="str">
        <f t="shared" si="20"/>
        <v>Normal</v>
      </c>
    </row>
    <row r="1292" spans="1:14" x14ac:dyDescent="0.25">
      <c r="A1292" s="1" t="s">
        <v>2332</v>
      </c>
      <c r="B1292" s="1" t="s">
        <v>44</v>
      </c>
      <c r="C1292" s="1" t="s">
        <v>1549</v>
      </c>
      <c r="D1292" s="1" t="s">
        <v>90</v>
      </c>
      <c r="E1292" s="1" t="s">
        <v>26</v>
      </c>
      <c r="F1292" s="1" t="s">
        <v>33</v>
      </c>
      <c r="G1292" s="1">
        <v>353952</v>
      </c>
      <c r="H1292" s="63">
        <v>45541</v>
      </c>
      <c r="J1292" s="1"/>
      <c r="K1292" s="1">
        <v>13.6</v>
      </c>
      <c r="L1292" s="1" t="s">
        <v>96</v>
      </c>
      <c r="M1292" s="1" t="s">
        <v>149</v>
      </c>
      <c r="N1292" s="1" t="str">
        <f t="shared" si="20"/>
        <v>Normal</v>
      </c>
    </row>
    <row r="1293" spans="1:14" x14ac:dyDescent="0.25">
      <c r="A1293" s="1" t="s">
        <v>2333</v>
      </c>
      <c r="B1293" s="1" t="s">
        <v>109</v>
      </c>
      <c r="C1293" s="1" t="s">
        <v>2334</v>
      </c>
      <c r="D1293" s="1" t="s">
        <v>39</v>
      </c>
      <c r="E1293" s="1" t="s">
        <v>61</v>
      </c>
      <c r="F1293" s="1" t="s">
        <v>27</v>
      </c>
      <c r="G1293" s="1">
        <v>359600</v>
      </c>
      <c r="H1293" s="63">
        <v>45742</v>
      </c>
      <c r="J1293" s="1"/>
      <c r="K1293" s="1">
        <v>12.3</v>
      </c>
      <c r="L1293" s="1" t="s">
        <v>96</v>
      </c>
      <c r="M1293" s="1" t="s">
        <v>63</v>
      </c>
      <c r="N1293" s="1" t="str">
        <f t="shared" si="20"/>
        <v>Normal</v>
      </c>
    </row>
    <row r="1294" spans="1:14" x14ac:dyDescent="0.25">
      <c r="A1294" s="1" t="s">
        <v>2335</v>
      </c>
      <c r="B1294" s="1" t="s">
        <v>75</v>
      </c>
      <c r="C1294" s="1" t="s">
        <v>1397</v>
      </c>
      <c r="D1294" s="1" t="s">
        <v>46</v>
      </c>
      <c r="E1294" s="1" t="s">
        <v>100</v>
      </c>
      <c r="F1294" s="1" t="s">
        <v>33</v>
      </c>
      <c r="G1294" s="1">
        <v>324389</v>
      </c>
      <c r="H1294" s="63">
        <v>45683</v>
      </c>
      <c r="J1294" s="1"/>
      <c r="K1294" s="1">
        <v>10.7</v>
      </c>
      <c r="L1294" s="1" t="s">
        <v>20</v>
      </c>
      <c r="M1294" s="1" t="s">
        <v>63</v>
      </c>
      <c r="N1294" s="1" t="str">
        <f t="shared" si="20"/>
        <v>Normal</v>
      </c>
    </row>
    <row r="1295" spans="1:14" x14ac:dyDescent="0.25">
      <c r="A1295" s="1" t="s">
        <v>2336</v>
      </c>
      <c r="B1295" s="1" t="s">
        <v>109</v>
      </c>
      <c r="C1295" s="1" t="s">
        <v>1185</v>
      </c>
      <c r="D1295" s="1" t="s">
        <v>25</v>
      </c>
      <c r="E1295" s="1" t="s">
        <v>47</v>
      </c>
      <c r="F1295" s="1" t="s">
        <v>27</v>
      </c>
      <c r="G1295" s="1">
        <v>406892</v>
      </c>
      <c r="H1295" s="63">
        <v>44948</v>
      </c>
      <c r="J1295" s="1"/>
      <c r="K1295" s="1">
        <v>6.7</v>
      </c>
      <c r="L1295" s="1" t="s">
        <v>20</v>
      </c>
      <c r="M1295" s="1" t="s">
        <v>35</v>
      </c>
      <c r="N1295" s="1" t="str">
        <f t="shared" si="20"/>
        <v>Normal</v>
      </c>
    </row>
    <row r="1296" spans="1:14" x14ac:dyDescent="0.25">
      <c r="A1296" s="1" t="s">
        <v>2337</v>
      </c>
      <c r="B1296" s="1" t="s">
        <v>44</v>
      </c>
      <c r="C1296" s="1" t="s">
        <v>539</v>
      </c>
      <c r="D1296" s="1" t="s">
        <v>67</v>
      </c>
      <c r="E1296" s="1" t="s">
        <v>61</v>
      </c>
      <c r="F1296" s="1" t="s">
        <v>40</v>
      </c>
      <c r="G1296" s="1">
        <v>1375104</v>
      </c>
      <c r="H1296" s="63">
        <v>44927</v>
      </c>
      <c r="I1296" s="63">
        <v>45019</v>
      </c>
      <c r="J1296" s="1">
        <v>92</v>
      </c>
      <c r="K1296" s="1">
        <v>18.2</v>
      </c>
      <c r="L1296" s="1" t="s">
        <v>29</v>
      </c>
      <c r="M1296" s="1" t="s">
        <v>35</v>
      </c>
      <c r="N1296" s="1" t="str">
        <f t="shared" si="20"/>
        <v>High Outlier</v>
      </c>
    </row>
    <row r="1297" spans="1:14" x14ac:dyDescent="0.25">
      <c r="A1297" s="1" t="s">
        <v>2339</v>
      </c>
      <c r="B1297" s="1" t="s">
        <v>88</v>
      </c>
      <c r="C1297" s="1" t="s">
        <v>401</v>
      </c>
      <c r="D1297" s="1" t="s">
        <v>25</v>
      </c>
      <c r="E1297" s="1" t="s">
        <v>17</v>
      </c>
      <c r="F1297" s="1" t="s">
        <v>18</v>
      </c>
      <c r="G1297" s="1">
        <v>433349</v>
      </c>
      <c r="H1297" s="63">
        <v>45071</v>
      </c>
      <c r="I1297" s="63">
        <v>45127</v>
      </c>
      <c r="J1297" s="1">
        <v>56</v>
      </c>
      <c r="K1297" s="1">
        <v>7.5</v>
      </c>
      <c r="L1297" s="1" t="s">
        <v>49</v>
      </c>
      <c r="M1297" s="1" t="s">
        <v>30</v>
      </c>
      <c r="N1297" s="1" t="str">
        <f t="shared" si="20"/>
        <v>Normal</v>
      </c>
    </row>
    <row r="1298" spans="1:14" x14ac:dyDescent="0.25">
      <c r="A1298" s="1" t="s">
        <v>2340</v>
      </c>
      <c r="B1298" s="1" t="s">
        <v>109</v>
      </c>
      <c r="C1298" s="1" t="s">
        <v>355</v>
      </c>
      <c r="D1298" s="1" t="s">
        <v>16</v>
      </c>
      <c r="E1298" s="1" t="s">
        <v>17</v>
      </c>
      <c r="F1298" s="1" t="s">
        <v>27</v>
      </c>
      <c r="G1298" s="1">
        <v>42182</v>
      </c>
      <c r="H1298" s="63">
        <v>45506</v>
      </c>
      <c r="J1298" s="1"/>
      <c r="K1298" s="1"/>
      <c r="L1298" s="1" t="s">
        <v>96</v>
      </c>
      <c r="M1298" s="1" t="s">
        <v>149</v>
      </c>
      <c r="N1298" s="1" t="str">
        <f t="shared" si="20"/>
        <v>Normal</v>
      </c>
    </row>
    <row r="1299" spans="1:14" x14ac:dyDescent="0.25">
      <c r="A1299" s="1" t="s">
        <v>2342</v>
      </c>
      <c r="B1299" s="1" t="s">
        <v>173</v>
      </c>
      <c r="C1299" s="1" t="s">
        <v>276</v>
      </c>
      <c r="D1299" s="1" t="s">
        <v>25</v>
      </c>
      <c r="E1299" s="1" t="s">
        <v>61</v>
      </c>
      <c r="F1299" s="1" t="s">
        <v>40</v>
      </c>
      <c r="G1299" s="1">
        <v>360715</v>
      </c>
      <c r="H1299" s="63">
        <v>45056</v>
      </c>
      <c r="I1299" s="63">
        <v>45172</v>
      </c>
      <c r="J1299" s="1">
        <v>116</v>
      </c>
      <c r="K1299" s="1">
        <v>18.600000000000001</v>
      </c>
      <c r="L1299" s="1" t="s">
        <v>96</v>
      </c>
      <c r="M1299" s="1" t="s">
        <v>30</v>
      </c>
      <c r="N1299" s="1" t="str">
        <f t="shared" si="20"/>
        <v>Normal</v>
      </c>
    </row>
    <row r="1300" spans="1:14" x14ac:dyDescent="0.25">
      <c r="A1300" s="1" t="s">
        <v>2343</v>
      </c>
      <c r="B1300" s="1" t="s">
        <v>127</v>
      </c>
      <c r="C1300" s="1" t="s">
        <v>144</v>
      </c>
      <c r="D1300" s="1" t="s">
        <v>46</v>
      </c>
      <c r="E1300" s="1" t="s">
        <v>72</v>
      </c>
      <c r="F1300" s="1" t="s">
        <v>53</v>
      </c>
      <c r="G1300" s="1">
        <v>333217</v>
      </c>
      <c r="H1300" s="63">
        <v>45462</v>
      </c>
      <c r="J1300" s="1"/>
      <c r="K1300" s="1">
        <v>10.8</v>
      </c>
      <c r="L1300" s="1" t="s">
        <v>29</v>
      </c>
      <c r="M1300" s="1" t="s">
        <v>107</v>
      </c>
      <c r="N1300" s="1" t="str">
        <f t="shared" si="20"/>
        <v>Normal</v>
      </c>
    </row>
    <row r="1301" spans="1:14" x14ac:dyDescent="0.25">
      <c r="A1301" s="1" t="s">
        <v>2344</v>
      </c>
      <c r="B1301" s="1" t="s">
        <v>37</v>
      </c>
      <c r="C1301" s="1" t="s">
        <v>528</v>
      </c>
      <c r="D1301" s="1" t="s">
        <v>16</v>
      </c>
      <c r="E1301" s="1" t="s">
        <v>17</v>
      </c>
      <c r="F1301" s="1" t="s">
        <v>53</v>
      </c>
      <c r="G1301" s="1">
        <v>455118</v>
      </c>
      <c r="H1301" s="63">
        <v>45306</v>
      </c>
      <c r="J1301" s="1"/>
      <c r="K1301" s="1">
        <v>2.4</v>
      </c>
      <c r="L1301" s="1" t="s">
        <v>49</v>
      </c>
      <c r="M1301" s="1" t="s">
        <v>69</v>
      </c>
      <c r="N1301" s="1" t="str">
        <f t="shared" si="20"/>
        <v>Normal</v>
      </c>
    </row>
    <row r="1302" spans="1:14" x14ac:dyDescent="0.25">
      <c r="A1302" s="1" t="s">
        <v>2345</v>
      </c>
      <c r="B1302" s="1" t="s">
        <v>127</v>
      </c>
      <c r="C1302" s="1" t="s">
        <v>364</v>
      </c>
      <c r="D1302" s="1" t="s">
        <v>90</v>
      </c>
      <c r="E1302" s="1" t="s">
        <v>61</v>
      </c>
      <c r="F1302" s="1" t="s">
        <v>40</v>
      </c>
      <c r="G1302" s="1">
        <v>368693</v>
      </c>
      <c r="H1302" s="63">
        <v>44959</v>
      </c>
      <c r="I1302" s="63">
        <v>45122</v>
      </c>
      <c r="J1302" s="1">
        <v>163</v>
      </c>
      <c r="K1302" s="1">
        <v>10.4</v>
      </c>
      <c r="L1302" s="1" t="s">
        <v>20</v>
      </c>
      <c r="M1302" s="1" t="s">
        <v>35</v>
      </c>
      <c r="N1302" s="1" t="str">
        <f t="shared" si="20"/>
        <v>Normal</v>
      </c>
    </row>
    <row r="1303" spans="1:14" x14ac:dyDescent="0.25">
      <c r="A1303" s="1" t="s">
        <v>2346</v>
      </c>
      <c r="B1303" s="1" t="s">
        <v>109</v>
      </c>
      <c r="C1303" s="1" t="s">
        <v>1136</v>
      </c>
      <c r="D1303" s="1" t="s">
        <v>25</v>
      </c>
      <c r="E1303" s="1" t="s">
        <v>94</v>
      </c>
      <c r="F1303" s="1" t="s">
        <v>129</v>
      </c>
      <c r="G1303" s="1">
        <v>10765</v>
      </c>
      <c r="H1303" s="63">
        <v>45118</v>
      </c>
      <c r="J1303" s="1"/>
      <c r="K1303" s="1">
        <v>1.6</v>
      </c>
      <c r="L1303" s="1" t="s">
        <v>20</v>
      </c>
      <c r="M1303" s="1" t="s">
        <v>102</v>
      </c>
      <c r="N1303" s="1" t="str">
        <f t="shared" si="20"/>
        <v>Normal</v>
      </c>
    </row>
    <row r="1304" spans="1:14" x14ac:dyDescent="0.25">
      <c r="A1304" s="1" t="s">
        <v>2347</v>
      </c>
      <c r="B1304" s="1" t="s">
        <v>80</v>
      </c>
      <c r="C1304" s="1" t="s">
        <v>318</v>
      </c>
      <c r="D1304" s="1" t="s">
        <v>16</v>
      </c>
      <c r="E1304" s="1" t="s">
        <v>72</v>
      </c>
      <c r="F1304" s="1" t="s">
        <v>27</v>
      </c>
      <c r="G1304" s="1">
        <v>1048494</v>
      </c>
      <c r="H1304" s="63">
        <v>45706</v>
      </c>
      <c r="J1304" s="1"/>
      <c r="K1304" s="1">
        <v>4.0999999999999996</v>
      </c>
      <c r="L1304" s="1" t="s">
        <v>49</v>
      </c>
      <c r="M1304" s="1" t="s">
        <v>63</v>
      </c>
      <c r="N1304" s="1" t="str">
        <f t="shared" si="20"/>
        <v>High Outlier</v>
      </c>
    </row>
    <row r="1305" spans="1:14" x14ac:dyDescent="0.25">
      <c r="A1305" s="1" t="s">
        <v>2349</v>
      </c>
      <c r="B1305" s="1" t="s">
        <v>88</v>
      </c>
      <c r="C1305" s="1" t="s">
        <v>157</v>
      </c>
      <c r="D1305" s="1" t="s">
        <v>25</v>
      </c>
      <c r="E1305" s="1" t="s">
        <v>100</v>
      </c>
      <c r="F1305" s="1" t="s">
        <v>33</v>
      </c>
      <c r="G1305" s="1">
        <v>223481</v>
      </c>
      <c r="H1305" s="63">
        <v>45727</v>
      </c>
      <c r="J1305" s="1"/>
      <c r="K1305" s="1"/>
      <c r="L1305" s="1" t="s">
        <v>49</v>
      </c>
      <c r="M1305" s="1" t="s">
        <v>63</v>
      </c>
      <c r="N1305" s="1" t="str">
        <f t="shared" si="20"/>
        <v>Normal</v>
      </c>
    </row>
    <row r="1306" spans="1:14" x14ac:dyDescent="0.25">
      <c r="A1306" s="1" t="s">
        <v>2350</v>
      </c>
      <c r="B1306" s="1" t="s">
        <v>23</v>
      </c>
      <c r="C1306" s="1" t="s">
        <v>1095</v>
      </c>
      <c r="D1306" s="1" t="s">
        <v>90</v>
      </c>
      <c r="E1306" s="1" t="s">
        <v>47</v>
      </c>
      <c r="F1306" s="1" t="s">
        <v>27</v>
      </c>
      <c r="G1306" s="1">
        <v>181226</v>
      </c>
      <c r="H1306" s="63">
        <v>45077</v>
      </c>
      <c r="J1306" s="1"/>
      <c r="K1306" s="1">
        <v>9.1</v>
      </c>
      <c r="L1306" s="1" t="s">
        <v>96</v>
      </c>
      <c r="M1306" s="1" t="s">
        <v>30</v>
      </c>
      <c r="N1306" s="1" t="str">
        <f t="shared" si="20"/>
        <v>Normal</v>
      </c>
    </row>
    <row r="1307" spans="1:14" x14ac:dyDescent="0.25">
      <c r="A1307" s="1" t="s">
        <v>2351</v>
      </c>
      <c r="B1307" s="1" t="s">
        <v>173</v>
      </c>
      <c r="C1307" s="1" t="s">
        <v>1018</v>
      </c>
      <c r="D1307" s="1" t="s">
        <v>39</v>
      </c>
      <c r="E1307" s="1" t="s">
        <v>94</v>
      </c>
      <c r="F1307" s="1" t="s">
        <v>129</v>
      </c>
      <c r="G1307" s="1">
        <v>55709</v>
      </c>
      <c r="H1307" s="63">
        <v>45171</v>
      </c>
      <c r="J1307" s="1"/>
      <c r="K1307" s="1"/>
      <c r="L1307" s="1" t="s">
        <v>96</v>
      </c>
      <c r="M1307" s="1" t="s">
        <v>102</v>
      </c>
      <c r="N1307" s="1" t="str">
        <f t="shared" si="20"/>
        <v>Normal</v>
      </c>
    </row>
    <row r="1308" spans="1:14" x14ac:dyDescent="0.25">
      <c r="A1308" s="1" t="s">
        <v>2352</v>
      </c>
      <c r="B1308" s="1" t="s">
        <v>88</v>
      </c>
      <c r="C1308" s="1" t="s">
        <v>917</v>
      </c>
      <c r="D1308" s="1" t="s">
        <v>46</v>
      </c>
      <c r="E1308" s="1" t="s">
        <v>94</v>
      </c>
      <c r="F1308" s="1" t="s">
        <v>53</v>
      </c>
      <c r="G1308" s="1">
        <v>99824</v>
      </c>
      <c r="H1308" s="63">
        <v>45467</v>
      </c>
      <c r="J1308" s="1"/>
      <c r="K1308" s="1"/>
      <c r="L1308" s="1" t="s">
        <v>29</v>
      </c>
      <c r="M1308" s="1" t="s">
        <v>107</v>
      </c>
      <c r="N1308" s="1" t="str">
        <f t="shared" si="20"/>
        <v>Normal</v>
      </c>
    </row>
    <row r="1309" spans="1:14" x14ac:dyDescent="0.25">
      <c r="A1309" s="1" t="s">
        <v>2353</v>
      </c>
      <c r="B1309" s="1" t="s">
        <v>109</v>
      </c>
      <c r="C1309" s="1" t="s">
        <v>614</v>
      </c>
      <c r="D1309" s="1" t="s">
        <v>67</v>
      </c>
      <c r="E1309" s="1" t="s">
        <v>61</v>
      </c>
      <c r="F1309" s="1" t="s">
        <v>40</v>
      </c>
      <c r="G1309" s="1">
        <v>493585</v>
      </c>
      <c r="H1309" s="63">
        <v>45102</v>
      </c>
      <c r="I1309" s="63">
        <v>45269</v>
      </c>
      <c r="J1309" s="1">
        <v>167</v>
      </c>
      <c r="K1309" s="1">
        <v>4.7</v>
      </c>
      <c r="L1309" s="1" t="s">
        <v>96</v>
      </c>
      <c r="M1309" s="1" t="s">
        <v>30</v>
      </c>
      <c r="N1309" s="1" t="str">
        <f t="shared" si="20"/>
        <v>Normal</v>
      </c>
    </row>
    <row r="1310" spans="1:14" x14ac:dyDescent="0.25">
      <c r="A1310" s="1" t="s">
        <v>2354</v>
      </c>
      <c r="B1310" s="1" t="s">
        <v>75</v>
      </c>
      <c r="C1310" s="1" t="s">
        <v>735</v>
      </c>
      <c r="D1310" s="1" t="s">
        <v>90</v>
      </c>
      <c r="E1310" s="1" t="s">
        <v>47</v>
      </c>
      <c r="F1310" s="1" t="s">
        <v>40</v>
      </c>
      <c r="G1310" s="1">
        <v>157148</v>
      </c>
      <c r="H1310" s="63">
        <v>45677</v>
      </c>
      <c r="I1310" s="63">
        <v>45841</v>
      </c>
      <c r="J1310" s="1">
        <v>164</v>
      </c>
      <c r="K1310" s="1">
        <v>16.8</v>
      </c>
      <c r="L1310" s="1" t="s">
        <v>20</v>
      </c>
      <c r="M1310" s="1" t="s">
        <v>63</v>
      </c>
      <c r="N1310" s="1" t="str">
        <f t="shared" si="20"/>
        <v>Normal</v>
      </c>
    </row>
    <row r="1311" spans="1:14" x14ac:dyDescent="0.25">
      <c r="A1311" s="1" t="s">
        <v>2355</v>
      </c>
      <c r="B1311" s="1" t="s">
        <v>59</v>
      </c>
      <c r="C1311" s="1" t="s">
        <v>355</v>
      </c>
      <c r="D1311" s="1" t="s">
        <v>67</v>
      </c>
      <c r="E1311" s="1" t="s">
        <v>17</v>
      </c>
      <c r="F1311" s="1" t="s">
        <v>18</v>
      </c>
      <c r="G1311" s="1">
        <v>344724</v>
      </c>
      <c r="H1311" s="63">
        <v>45211</v>
      </c>
      <c r="I1311" s="63">
        <v>45371</v>
      </c>
      <c r="J1311" s="1">
        <v>160</v>
      </c>
      <c r="K1311" s="1"/>
      <c r="L1311" s="1" t="s">
        <v>29</v>
      </c>
      <c r="M1311" s="1" t="s">
        <v>21</v>
      </c>
      <c r="N1311" s="1" t="str">
        <f t="shared" si="20"/>
        <v>Normal</v>
      </c>
    </row>
    <row r="1312" spans="1:14" x14ac:dyDescent="0.25">
      <c r="A1312" s="1" t="s">
        <v>2357</v>
      </c>
      <c r="B1312" s="1" t="s">
        <v>75</v>
      </c>
      <c r="C1312" s="1" t="s">
        <v>1455</v>
      </c>
      <c r="D1312" s="1" t="s">
        <v>16</v>
      </c>
      <c r="E1312" s="1" t="s">
        <v>72</v>
      </c>
      <c r="F1312" s="1" t="s">
        <v>33</v>
      </c>
      <c r="G1312" s="1">
        <v>10686</v>
      </c>
      <c r="H1312" s="63">
        <v>45431</v>
      </c>
      <c r="J1312" s="1"/>
      <c r="K1312" s="1">
        <v>1.1000000000000001</v>
      </c>
      <c r="L1312" s="1" t="s">
        <v>20</v>
      </c>
      <c r="M1312" s="1" t="s">
        <v>107</v>
      </c>
      <c r="N1312" s="1" t="str">
        <f t="shared" si="20"/>
        <v>Normal</v>
      </c>
    </row>
    <row r="1313" spans="1:14" x14ac:dyDescent="0.25">
      <c r="A1313" s="1" t="s">
        <v>2358</v>
      </c>
      <c r="B1313" s="1" t="s">
        <v>104</v>
      </c>
      <c r="C1313" s="1" t="s">
        <v>119</v>
      </c>
      <c r="D1313" s="1" t="s">
        <v>46</v>
      </c>
      <c r="E1313" s="1" t="s">
        <v>61</v>
      </c>
      <c r="F1313" s="1" t="s">
        <v>129</v>
      </c>
      <c r="G1313" s="1">
        <v>253379</v>
      </c>
      <c r="H1313" s="63">
        <v>45562</v>
      </c>
      <c r="J1313" s="1"/>
      <c r="K1313" s="1">
        <v>9.3000000000000007</v>
      </c>
      <c r="L1313" s="1" t="s">
        <v>96</v>
      </c>
      <c r="M1313" s="1" t="s">
        <v>149</v>
      </c>
      <c r="N1313" s="1" t="str">
        <f t="shared" si="20"/>
        <v>Normal</v>
      </c>
    </row>
    <row r="1314" spans="1:14" x14ac:dyDescent="0.25">
      <c r="A1314" s="1" t="s">
        <v>2359</v>
      </c>
      <c r="B1314" s="1" t="s">
        <v>104</v>
      </c>
      <c r="C1314" s="1" t="s">
        <v>2334</v>
      </c>
      <c r="D1314" s="1" t="s">
        <v>67</v>
      </c>
      <c r="E1314" s="1" t="s">
        <v>100</v>
      </c>
      <c r="F1314" s="1" t="s">
        <v>40</v>
      </c>
      <c r="G1314" s="1">
        <v>273106</v>
      </c>
      <c r="H1314" s="63">
        <v>45530</v>
      </c>
      <c r="I1314" s="63">
        <v>45621</v>
      </c>
      <c r="J1314" s="1">
        <v>91</v>
      </c>
      <c r="K1314" s="1">
        <v>14.9</v>
      </c>
      <c r="L1314" s="1" t="s">
        <v>20</v>
      </c>
      <c r="M1314" s="1" t="s">
        <v>149</v>
      </c>
      <c r="N1314" s="1" t="str">
        <f t="shared" si="20"/>
        <v>Normal</v>
      </c>
    </row>
    <row r="1315" spans="1:14" x14ac:dyDescent="0.25">
      <c r="A1315" s="1" t="s">
        <v>2360</v>
      </c>
      <c r="B1315" s="1" t="s">
        <v>127</v>
      </c>
      <c r="C1315" s="1" t="s">
        <v>364</v>
      </c>
      <c r="D1315" s="1" t="s">
        <v>16</v>
      </c>
      <c r="E1315" s="1" t="s">
        <v>4845</v>
      </c>
      <c r="F1315" s="1" t="s">
        <v>53</v>
      </c>
      <c r="G1315" s="1">
        <v>498715</v>
      </c>
      <c r="H1315" s="63">
        <v>45732</v>
      </c>
      <c r="J1315" s="1"/>
      <c r="K1315" s="1">
        <v>0.1</v>
      </c>
      <c r="L1315" s="1" t="s">
        <v>49</v>
      </c>
      <c r="M1315" s="1" t="s">
        <v>63</v>
      </c>
      <c r="N1315" s="1" t="str">
        <f t="shared" si="20"/>
        <v>Normal</v>
      </c>
    </row>
    <row r="1316" spans="1:14" x14ac:dyDescent="0.25">
      <c r="A1316" s="1" t="s">
        <v>2361</v>
      </c>
      <c r="B1316" s="1" t="s">
        <v>98</v>
      </c>
      <c r="C1316" s="1" t="s">
        <v>433</v>
      </c>
      <c r="D1316" s="1" t="s">
        <v>90</v>
      </c>
      <c r="E1316" s="1" t="s">
        <v>94</v>
      </c>
      <c r="F1316" s="1" t="s">
        <v>27</v>
      </c>
      <c r="G1316" s="1">
        <v>210618</v>
      </c>
      <c r="H1316" s="63">
        <v>45719</v>
      </c>
      <c r="J1316" s="1"/>
      <c r="K1316" s="1"/>
      <c r="L1316" s="1" t="s">
        <v>96</v>
      </c>
      <c r="M1316" s="1" t="s">
        <v>63</v>
      </c>
      <c r="N1316" s="1" t="str">
        <f t="shared" si="20"/>
        <v>Normal</v>
      </c>
    </row>
    <row r="1317" spans="1:14" x14ac:dyDescent="0.25">
      <c r="A1317" s="1" t="s">
        <v>2363</v>
      </c>
      <c r="B1317" s="1" t="s">
        <v>23</v>
      </c>
      <c r="C1317" s="1" t="s">
        <v>2185</v>
      </c>
      <c r="D1317" s="1" t="s">
        <v>46</v>
      </c>
      <c r="E1317" s="1" t="s">
        <v>47</v>
      </c>
      <c r="F1317" s="1" t="s">
        <v>129</v>
      </c>
      <c r="G1317" s="1">
        <v>284821</v>
      </c>
      <c r="H1317" s="63">
        <v>45413</v>
      </c>
      <c r="J1317" s="1"/>
      <c r="K1317" s="1"/>
      <c r="L1317" s="1" t="s">
        <v>49</v>
      </c>
      <c r="M1317" s="1" t="s">
        <v>107</v>
      </c>
      <c r="N1317" s="1" t="str">
        <f t="shared" si="20"/>
        <v>Normal</v>
      </c>
    </row>
    <row r="1318" spans="1:14" x14ac:dyDescent="0.25">
      <c r="A1318" s="1" t="s">
        <v>2364</v>
      </c>
      <c r="B1318" s="1" t="s">
        <v>80</v>
      </c>
      <c r="C1318" s="1" t="s">
        <v>227</v>
      </c>
      <c r="D1318" s="1" t="s">
        <v>16</v>
      </c>
      <c r="E1318" s="1" t="s">
        <v>17</v>
      </c>
      <c r="F1318" s="1" t="s">
        <v>53</v>
      </c>
      <c r="G1318" s="1">
        <v>146703</v>
      </c>
      <c r="H1318" s="63">
        <v>44962</v>
      </c>
      <c r="J1318" s="1"/>
      <c r="K1318" s="1"/>
      <c r="L1318" s="1" t="s">
        <v>96</v>
      </c>
      <c r="M1318" s="1" t="s">
        <v>35</v>
      </c>
      <c r="N1318" s="1" t="str">
        <f t="shared" si="20"/>
        <v>Normal</v>
      </c>
    </row>
    <row r="1319" spans="1:14" x14ac:dyDescent="0.25">
      <c r="A1319" s="1" t="s">
        <v>2365</v>
      </c>
      <c r="B1319" s="1" t="s">
        <v>84</v>
      </c>
      <c r="C1319" s="1" t="s">
        <v>1776</v>
      </c>
      <c r="D1319" s="1" t="s">
        <v>90</v>
      </c>
      <c r="E1319" s="1" t="s">
        <v>94</v>
      </c>
      <c r="F1319" s="1" t="s">
        <v>33</v>
      </c>
      <c r="G1319" s="1">
        <v>94991</v>
      </c>
      <c r="H1319" s="63">
        <v>45566</v>
      </c>
      <c r="J1319" s="1"/>
      <c r="K1319" s="1"/>
      <c r="L1319" s="1" t="s">
        <v>96</v>
      </c>
      <c r="M1319" s="1" t="s">
        <v>42</v>
      </c>
      <c r="N1319" s="1" t="str">
        <f t="shared" si="20"/>
        <v>Normal</v>
      </c>
    </row>
    <row r="1320" spans="1:14" x14ac:dyDescent="0.25">
      <c r="A1320" s="1" t="s">
        <v>2366</v>
      </c>
      <c r="B1320" s="1" t="s">
        <v>44</v>
      </c>
      <c r="C1320" s="1" t="s">
        <v>1157</v>
      </c>
      <c r="D1320" s="1" t="s">
        <v>67</v>
      </c>
      <c r="E1320" s="1" t="s">
        <v>61</v>
      </c>
      <c r="F1320" s="1" t="s">
        <v>129</v>
      </c>
      <c r="G1320" s="1">
        <v>105276</v>
      </c>
      <c r="H1320" s="63">
        <v>45467</v>
      </c>
      <c r="J1320" s="1"/>
      <c r="K1320" s="1">
        <v>10.1</v>
      </c>
      <c r="L1320" s="1" t="s">
        <v>20</v>
      </c>
      <c r="M1320" s="1" t="s">
        <v>107</v>
      </c>
      <c r="N1320" s="1" t="str">
        <f t="shared" si="20"/>
        <v>Normal</v>
      </c>
    </row>
    <row r="1321" spans="1:14" x14ac:dyDescent="0.25">
      <c r="A1321" s="1" t="s">
        <v>2367</v>
      </c>
      <c r="B1321" s="1" t="s">
        <v>23</v>
      </c>
      <c r="C1321" s="1" t="s">
        <v>1364</v>
      </c>
      <c r="D1321" s="1" t="s">
        <v>25</v>
      </c>
      <c r="E1321" s="1" t="s">
        <v>17</v>
      </c>
      <c r="F1321" s="1" t="s">
        <v>33</v>
      </c>
      <c r="G1321" s="1">
        <v>144950</v>
      </c>
      <c r="H1321" s="63">
        <v>45737</v>
      </c>
      <c r="J1321" s="1"/>
      <c r="K1321" s="1">
        <v>13.5</v>
      </c>
      <c r="L1321" s="1" t="s">
        <v>20</v>
      </c>
      <c r="M1321" s="1" t="s">
        <v>63</v>
      </c>
      <c r="N1321" s="1" t="str">
        <f t="shared" si="20"/>
        <v>Normal</v>
      </c>
    </row>
    <row r="1322" spans="1:14" x14ac:dyDescent="0.25">
      <c r="A1322" s="1" t="s">
        <v>2368</v>
      </c>
      <c r="B1322" s="1" t="s">
        <v>84</v>
      </c>
      <c r="C1322" s="1" t="s">
        <v>1457</v>
      </c>
      <c r="D1322" s="1" t="s">
        <v>90</v>
      </c>
      <c r="E1322" s="1" t="s">
        <v>77</v>
      </c>
      <c r="F1322" s="1" t="s">
        <v>40</v>
      </c>
      <c r="G1322" s="1">
        <v>243885</v>
      </c>
      <c r="H1322" s="63">
        <v>45486</v>
      </c>
      <c r="I1322" s="63">
        <v>45596</v>
      </c>
      <c r="J1322" s="1">
        <v>110</v>
      </c>
      <c r="K1322" s="1">
        <v>11.9</v>
      </c>
      <c r="L1322" s="1" t="s">
        <v>29</v>
      </c>
      <c r="M1322" s="1" t="s">
        <v>149</v>
      </c>
      <c r="N1322" s="1" t="str">
        <f t="shared" si="20"/>
        <v>Normal</v>
      </c>
    </row>
    <row r="1323" spans="1:14" x14ac:dyDescent="0.25">
      <c r="A1323" s="1" t="s">
        <v>2370</v>
      </c>
      <c r="B1323" s="1" t="s">
        <v>88</v>
      </c>
      <c r="C1323" s="1" t="s">
        <v>977</v>
      </c>
      <c r="D1323" s="1" t="s">
        <v>90</v>
      </c>
      <c r="E1323" s="1" t="s">
        <v>77</v>
      </c>
      <c r="F1323" s="1" t="s">
        <v>27</v>
      </c>
      <c r="G1323" s="1">
        <v>204233</v>
      </c>
      <c r="H1323" s="63">
        <v>45213</v>
      </c>
      <c r="J1323" s="1"/>
      <c r="K1323" s="1">
        <v>8.5</v>
      </c>
      <c r="L1323" s="1" t="s">
        <v>96</v>
      </c>
      <c r="M1323" s="1" t="s">
        <v>21</v>
      </c>
      <c r="N1323" s="1" t="str">
        <f t="shared" si="20"/>
        <v>Normal</v>
      </c>
    </row>
    <row r="1324" spans="1:14" x14ac:dyDescent="0.25">
      <c r="A1324" s="1" t="s">
        <v>2371</v>
      </c>
      <c r="B1324" s="1" t="s">
        <v>14</v>
      </c>
      <c r="C1324" s="1" t="s">
        <v>1028</v>
      </c>
      <c r="D1324" s="1" t="s">
        <v>46</v>
      </c>
      <c r="E1324" s="1" t="s">
        <v>4845</v>
      </c>
      <c r="F1324" s="1" t="s">
        <v>27</v>
      </c>
      <c r="G1324" s="1">
        <v>140369</v>
      </c>
      <c r="H1324" s="63">
        <v>45395</v>
      </c>
      <c r="J1324" s="1"/>
      <c r="K1324" s="1"/>
      <c r="L1324" s="1" t="s">
        <v>29</v>
      </c>
      <c r="M1324" s="1" t="s">
        <v>107</v>
      </c>
      <c r="N1324" s="1" t="str">
        <f t="shared" si="20"/>
        <v>Normal</v>
      </c>
    </row>
    <row r="1325" spans="1:14" x14ac:dyDescent="0.25">
      <c r="A1325" s="1" t="s">
        <v>2372</v>
      </c>
      <c r="B1325" s="1" t="s">
        <v>127</v>
      </c>
      <c r="C1325" s="1" t="s">
        <v>637</v>
      </c>
      <c r="D1325" s="1" t="s">
        <v>16</v>
      </c>
      <c r="E1325" s="1" t="s">
        <v>100</v>
      </c>
      <c r="F1325" s="1" t="s">
        <v>40</v>
      </c>
      <c r="G1325" s="1">
        <v>441197</v>
      </c>
      <c r="H1325" s="63">
        <v>45061</v>
      </c>
      <c r="I1325" s="63">
        <v>45167</v>
      </c>
      <c r="J1325" s="1">
        <v>106</v>
      </c>
      <c r="K1325" s="1">
        <v>17.600000000000001</v>
      </c>
      <c r="L1325" s="1" t="s">
        <v>20</v>
      </c>
      <c r="M1325" s="1" t="s">
        <v>30</v>
      </c>
      <c r="N1325" s="1" t="str">
        <f t="shared" si="20"/>
        <v>Normal</v>
      </c>
    </row>
    <row r="1326" spans="1:14" x14ac:dyDescent="0.25">
      <c r="A1326" s="1" t="s">
        <v>2374</v>
      </c>
      <c r="B1326" s="1" t="s">
        <v>14</v>
      </c>
      <c r="C1326" s="1" t="s">
        <v>813</v>
      </c>
      <c r="D1326" s="1" t="s">
        <v>67</v>
      </c>
      <c r="E1326" s="1" t="s">
        <v>17</v>
      </c>
      <c r="F1326" s="1" t="s">
        <v>53</v>
      </c>
      <c r="G1326" s="1">
        <v>191092</v>
      </c>
      <c r="H1326" s="63">
        <v>45698</v>
      </c>
      <c r="J1326" s="1"/>
      <c r="K1326" s="1"/>
      <c r="L1326" s="1" t="s">
        <v>49</v>
      </c>
      <c r="M1326" s="1" t="s">
        <v>63</v>
      </c>
      <c r="N1326" s="1" t="str">
        <f t="shared" si="20"/>
        <v>Normal</v>
      </c>
    </row>
    <row r="1327" spans="1:14" x14ac:dyDescent="0.25">
      <c r="A1327" s="1" t="s">
        <v>2376</v>
      </c>
      <c r="B1327" s="1" t="s">
        <v>88</v>
      </c>
      <c r="C1327" s="1" t="s">
        <v>778</v>
      </c>
      <c r="D1327" s="1" t="s">
        <v>16</v>
      </c>
      <c r="E1327" s="1" t="s">
        <v>17</v>
      </c>
      <c r="F1327" s="1" t="s">
        <v>33</v>
      </c>
      <c r="G1327" s="1">
        <v>95569</v>
      </c>
      <c r="H1327" s="63">
        <v>45062</v>
      </c>
      <c r="J1327" s="1"/>
      <c r="K1327" s="1">
        <v>0.1</v>
      </c>
      <c r="L1327" s="1" t="s">
        <v>49</v>
      </c>
      <c r="M1327" s="1" t="s">
        <v>30</v>
      </c>
      <c r="N1327" s="1" t="str">
        <f t="shared" si="20"/>
        <v>Normal</v>
      </c>
    </row>
    <row r="1328" spans="1:14" x14ac:dyDescent="0.25">
      <c r="A1328" s="1" t="s">
        <v>2377</v>
      </c>
      <c r="B1328" s="1" t="s">
        <v>44</v>
      </c>
      <c r="C1328" s="1" t="s">
        <v>295</v>
      </c>
      <c r="D1328" s="1" t="s">
        <v>39</v>
      </c>
      <c r="E1328" s="1" t="s">
        <v>61</v>
      </c>
      <c r="F1328" s="1" t="s">
        <v>53</v>
      </c>
      <c r="G1328" s="1">
        <v>74064</v>
      </c>
      <c r="H1328" s="63">
        <v>45363</v>
      </c>
      <c r="J1328" s="1"/>
      <c r="K1328" s="1"/>
      <c r="L1328" s="1" t="s">
        <v>96</v>
      </c>
      <c r="M1328" s="1" t="s">
        <v>69</v>
      </c>
      <c r="N1328" s="1" t="str">
        <f t="shared" si="20"/>
        <v>Normal</v>
      </c>
    </row>
    <row r="1329" spans="1:14" x14ac:dyDescent="0.25">
      <c r="A1329" s="1" t="s">
        <v>2379</v>
      </c>
      <c r="B1329" s="1" t="s">
        <v>109</v>
      </c>
      <c r="C1329" s="1" t="s">
        <v>244</v>
      </c>
      <c r="D1329" s="1" t="s">
        <v>46</v>
      </c>
      <c r="E1329" s="1" t="s">
        <v>61</v>
      </c>
      <c r="F1329" s="1" t="s">
        <v>18</v>
      </c>
      <c r="G1329" s="1">
        <v>261667</v>
      </c>
      <c r="H1329" s="63">
        <v>45290</v>
      </c>
      <c r="I1329" s="63">
        <v>45325</v>
      </c>
      <c r="J1329" s="1">
        <v>35</v>
      </c>
      <c r="K1329" s="1"/>
      <c r="L1329" s="1" t="s">
        <v>96</v>
      </c>
      <c r="M1329" s="1" t="s">
        <v>21</v>
      </c>
      <c r="N1329" s="1" t="str">
        <f t="shared" si="20"/>
        <v>Normal</v>
      </c>
    </row>
    <row r="1330" spans="1:14" x14ac:dyDescent="0.25">
      <c r="A1330" s="1" t="s">
        <v>2380</v>
      </c>
      <c r="B1330" s="1" t="s">
        <v>14</v>
      </c>
      <c r="C1330" s="1" t="s">
        <v>393</v>
      </c>
      <c r="D1330" s="1" t="s">
        <v>67</v>
      </c>
      <c r="E1330" s="1" t="s">
        <v>94</v>
      </c>
      <c r="F1330" s="1" t="s">
        <v>18</v>
      </c>
      <c r="G1330" s="1">
        <v>455556</v>
      </c>
      <c r="H1330" s="63">
        <v>44958</v>
      </c>
      <c r="I1330" s="63">
        <v>44991</v>
      </c>
      <c r="J1330" s="1">
        <v>33</v>
      </c>
      <c r="K1330" s="1">
        <v>8.9</v>
      </c>
      <c r="L1330" s="1" t="s">
        <v>29</v>
      </c>
      <c r="M1330" s="1" t="s">
        <v>35</v>
      </c>
      <c r="N1330" s="1" t="str">
        <f t="shared" si="20"/>
        <v>Normal</v>
      </c>
    </row>
    <row r="1331" spans="1:14" x14ac:dyDescent="0.25">
      <c r="A1331" s="1" t="s">
        <v>2381</v>
      </c>
      <c r="B1331" s="1" t="s">
        <v>104</v>
      </c>
      <c r="C1331" s="1" t="s">
        <v>676</v>
      </c>
      <c r="D1331" s="1" t="s">
        <v>90</v>
      </c>
      <c r="E1331" s="1" t="s">
        <v>61</v>
      </c>
      <c r="F1331" s="1" t="s">
        <v>53</v>
      </c>
      <c r="G1331" s="1">
        <v>18743</v>
      </c>
      <c r="H1331" s="63">
        <v>45051</v>
      </c>
      <c r="J1331" s="1"/>
      <c r="K1331" s="1">
        <v>11.4</v>
      </c>
      <c r="L1331" s="1" t="s">
        <v>49</v>
      </c>
      <c r="M1331" s="1" t="s">
        <v>30</v>
      </c>
      <c r="N1331" s="1" t="str">
        <f t="shared" si="20"/>
        <v>Normal</v>
      </c>
    </row>
    <row r="1332" spans="1:14" x14ac:dyDescent="0.25">
      <c r="A1332" s="1" t="s">
        <v>2382</v>
      </c>
      <c r="B1332" s="1" t="s">
        <v>127</v>
      </c>
      <c r="C1332" s="1" t="s">
        <v>151</v>
      </c>
      <c r="D1332" s="1" t="s">
        <v>39</v>
      </c>
      <c r="E1332" s="1" t="s">
        <v>26</v>
      </c>
      <c r="F1332" s="1" t="s">
        <v>18</v>
      </c>
      <c r="G1332" s="1">
        <v>14233</v>
      </c>
      <c r="H1332" s="63">
        <v>45508</v>
      </c>
      <c r="I1332" s="63">
        <v>45593</v>
      </c>
      <c r="J1332" s="1">
        <v>85</v>
      </c>
      <c r="K1332" s="1">
        <v>12.2</v>
      </c>
      <c r="L1332" s="1" t="s">
        <v>96</v>
      </c>
      <c r="M1332" s="1" t="s">
        <v>149</v>
      </c>
      <c r="N1332" s="1" t="str">
        <f t="shared" si="20"/>
        <v>Normal</v>
      </c>
    </row>
    <row r="1333" spans="1:14" x14ac:dyDescent="0.25">
      <c r="A1333" s="1" t="s">
        <v>2384</v>
      </c>
      <c r="B1333" s="1" t="s">
        <v>80</v>
      </c>
      <c r="C1333" s="1" t="s">
        <v>882</v>
      </c>
      <c r="D1333" s="1" t="s">
        <v>46</v>
      </c>
      <c r="E1333" s="1" t="s">
        <v>100</v>
      </c>
      <c r="F1333" s="1" t="s">
        <v>53</v>
      </c>
      <c r="G1333" s="1">
        <v>304660</v>
      </c>
      <c r="H1333" s="63">
        <v>45562</v>
      </c>
      <c r="J1333" s="1"/>
      <c r="K1333" s="1">
        <v>14.2</v>
      </c>
      <c r="L1333" s="1" t="s">
        <v>49</v>
      </c>
      <c r="M1333" s="1" t="s">
        <v>149</v>
      </c>
      <c r="N1333" s="1" t="str">
        <f t="shared" si="20"/>
        <v>Normal</v>
      </c>
    </row>
    <row r="1334" spans="1:14" x14ac:dyDescent="0.25">
      <c r="A1334" s="1" t="s">
        <v>2385</v>
      </c>
      <c r="B1334" s="1" t="s">
        <v>109</v>
      </c>
      <c r="C1334" s="1" t="s">
        <v>587</v>
      </c>
      <c r="D1334" s="1" t="s">
        <v>16</v>
      </c>
      <c r="E1334" s="1" t="s">
        <v>100</v>
      </c>
      <c r="F1334" s="1" t="s">
        <v>18</v>
      </c>
      <c r="G1334" s="1">
        <v>312833</v>
      </c>
      <c r="H1334" s="63">
        <v>45720</v>
      </c>
      <c r="I1334" s="63">
        <v>45862</v>
      </c>
      <c r="J1334" s="1">
        <v>142</v>
      </c>
      <c r="K1334" s="1"/>
      <c r="L1334" s="1" t="s">
        <v>20</v>
      </c>
      <c r="M1334" s="1" t="s">
        <v>63</v>
      </c>
      <c r="N1334" s="1" t="str">
        <f t="shared" si="20"/>
        <v>Normal</v>
      </c>
    </row>
    <row r="1335" spans="1:14" x14ac:dyDescent="0.25">
      <c r="A1335" s="1" t="s">
        <v>2386</v>
      </c>
      <c r="B1335" s="1" t="s">
        <v>37</v>
      </c>
      <c r="C1335" s="1" t="s">
        <v>539</v>
      </c>
      <c r="D1335" s="1" t="s">
        <v>39</v>
      </c>
      <c r="E1335" s="1" t="s">
        <v>61</v>
      </c>
      <c r="F1335" s="1" t="s">
        <v>27</v>
      </c>
      <c r="G1335" s="1">
        <v>1800592</v>
      </c>
      <c r="H1335" s="63">
        <v>45398</v>
      </c>
      <c r="J1335" s="1"/>
      <c r="K1335" s="1">
        <v>10.4</v>
      </c>
      <c r="L1335" s="1" t="s">
        <v>20</v>
      </c>
      <c r="M1335" s="1" t="s">
        <v>107</v>
      </c>
      <c r="N1335" s="1" t="str">
        <f t="shared" si="20"/>
        <v>High Outlier</v>
      </c>
    </row>
    <row r="1336" spans="1:14" x14ac:dyDescent="0.25">
      <c r="A1336" s="1" t="s">
        <v>2387</v>
      </c>
      <c r="B1336" s="1" t="s">
        <v>80</v>
      </c>
      <c r="C1336" s="1" t="s">
        <v>93</v>
      </c>
      <c r="D1336" s="1" t="s">
        <v>90</v>
      </c>
      <c r="E1336" s="1" t="s">
        <v>61</v>
      </c>
      <c r="F1336" s="1" t="s">
        <v>33</v>
      </c>
      <c r="G1336" s="1">
        <v>324198</v>
      </c>
      <c r="H1336" s="63">
        <v>45385</v>
      </c>
      <c r="J1336" s="1"/>
      <c r="K1336" s="1"/>
      <c r="L1336" s="1" t="s">
        <v>29</v>
      </c>
      <c r="M1336" s="1" t="s">
        <v>107</v>
      </c>
      <c r="N1336" s="1" t="str">
        <f t="shared" si="20"/>
        <v>Normal</v>
      </c>
    </row>
    <row r="1337" spans="1:14" x14ac:dyDescent="0.25">
      <c r="A1337" s="1" t="s">
        <v>2388</v>
      </c>
      <c r="B1337" s="1" t="s">
        <v>104</v>
      </c>
      <c r="C1337" s="1" t="s">
        <v>859</v>
      </c>
      <c r="D1337" s="1" t="s">
        <v>39</v>
      </c>
      <c r="E1337" s="1" t="s">
        <v>94</v>
      </c>
      <c r="F1337" s="1" t="s">
        <v>18</v>
      </c>
      <c r="G1337" s="1">
        <v>451919</v>
      </c>
      <c r="H1337" s="63">
        <v>45144</v>
      </c>
      <c r="I1337" s="63">
        <v>45203</v>
      </c>
      <c r="J1337" s="1">
        <v>59</v>
      </c>
      <c r="K1337" s="1">
        <v>12.7</v>
      </c>
      <c r="L1337" s="1" t="s">
        <v>49</v>
      </c>
      <c r="M1337" s="1" t="s">
        <v>102</v>
      </c>
      <c r="N1337" s="1" t="str">
        <f t="shared" si="20"/>
        <v>Normal</v>
      </c>
    </row>
    <row r="1338" spans="1:14" x14ac:dyDescent="0.25">
      <c r="A1338" s="1" t="s">
        <v>2389</v>
      </c>
      <c r="B1338" s="1" t="s">
        <v>127</v>
      </c>
      <c r="C1338" s="1" t="s">
        <v>1566</v>
      </c>
      <c r="D1338" s="1" t="s">
        <v>46</v>
      </c>
      <c r="E1338" s="1" t="s">
        <v>47</v>
      </c>
      <c r="F1338" s="1" t="s">
        <v>40</v>
      </c>
      <c r="G1338" s="1">
        <v>175442</v>
      </c>
      <c r="H1338" s="63">
        <v>45500</v>
      </c>
      <c r="I1338" s="63">
        <v>45597</v>
      </c>
      <c r="J1338" s="1">
        <v>97</v>
      </c>
      <c r="K1338" s="1">
        <v>13.5</v>
      </c>
      <c r="L1338" s="1" t="s">
        <v>20</v>
      </c>
      <c r="M1338" s="1" t="s">
        <v>149</v>
      </c>
      <c r="N1338" s="1" t="str">
        <f t="shared" si="20"/>
        <v>Normal</v>
      </c>
    </row>
    <row r="1339" spans="1:14" x14ac:dyDescent="0.25">
      <c r="A1339" s="1" t="s">
        <v>2390</v>
      </c>
      <c r="B1339" s="1" t="s">
        <v>80</v>
      </c>
      <c r="C1339" s="1" t="s">
        <v>775</v>
      </c>
      <c r="D1339" s="1" t="s">
        <v>46</v>
      </c>
      <c r="E1339" s="1" t="s">
        <v>47</v>
      </c>
      <c r="F1339" s="1" t="s">
        <v>18</v>
      </c>
      <c r="G1339" s="1">
        <v>142124</v>
      </c>
      <c r="H1339" s="63">
        <v>45694</v>
      </c>
      <c r="I1339" s="63">
        <v>45799</v>
      </c>
      <c r="J1339" s="1">
        <v>105</v>
      </c>
      <c r="K1339" s="1">
        <v>11.2</v>
      </c>
      <c r="L1339" s="1" t="s">
        <v>29</v>
      </c>
      <c r="M1339" s="1" t="s">
        <v>63</v>
      </c>
      <c r="N1339" s="1" t="str">
        <f t="shared" si="20"/>
        <v>Normal</v>
      </c>
    </row>
    <row r="1340" spans="1:14" x14ac:dyDescent="0.25">
      <c r="A1340" s="1" t="s">
        <v>2391</v>
      </c>
      <c r="B1340" s="1" t="s">
        <v>4829</v>
      </c>
      <c r="C1340" s="1" t="s">
        <v>295</v>
      </c>
      <c r="D1340" s="1" t="s">
        <v>67</v>
      </c>
      <c r="E1340" s="1" t="s">
        <v>72</v>
      </c>
      <c r="F1340" s="1" t="s">
        <v>18</v>
      </c>
      <c r="G1340" s="1">
        <v>84083</v>
      </c>
      <c r="H1340" s="63">
        <v>45518</v>
      </c>
      <c r="I1340" s="63">
        <v>45629</v>
      </c>
      <c r="J1340" s="1">
        <v>111</v>
      </c>
      <c r="K1340" s="1">
        <v>1.3</v>
      </c>
      <c r="L1340" s="1" t="s">
        <v>29</v>
      </c>
      <c r="M1340" s="1" t="s">
        <v>149</v>
      </c>
      <c r="N1340" s="1" t="str">
        <f t="shared" si="20"/>
        <v>Normal</v>
      </c>
    </row>
    <row r="1341" spans="1:14" x14ac:dyDescent="0.25">
      <c r="A1341" s="1" t="s">
        <v>2392</v>
      </c>
      <c r="B1341" s="1" t="s">
        <v>104</v>
      </c>
      <c r="C1341" s="1" t="s">
        <v>1526</v>
      </c>
      <c r="D1341" s="1" t="s">
        <v>25</v>
      </c>
      <c r="E1341" s="1" t="s">
        <v>61</v>
      </c>
      <c r="F1341" s="1" t="s">
        <v>27</v>
      </c>
      <c r="G1341" s="1">
        <v>386281</v>
      </c>
      <c r="H1341" s="63">
        <v>45094</v>
      </c>
      <c r="J1341" s="1"/>
      <c r="K1341" s="1"/>
      <c r="L1341" s="1" t="s">
        <v>96</v>
      </c>
      <c r="M1341" s="1" t="s">
        <v>30</v>
      </c>
      <c r="N1341" s="1" t="str">
        <f t="shared" si="20"/>
        <v>Normal</v>
      </c>
    </row>
    <row r="1342" spans="1:14" x14ac:dyDescent="0.25">
      <c r="A1342" s="1" t="s">
        <v>2393</v>
      </c>
      <c r="B1342" s="1" t="s">
        <v>173</v>
      </c>
      <c r="C1342" s="1" t="s">
        <v>119</v>
      </c>
      <c r="D1342" s="1" t="s">
        <v>46</v>
      </c>
      <c r="E1342" s="1" t="s">
        <v>94</v>
      </c>
      <c r="F1342" s="1" t="s">
        <v>40</v>
      </c>
      <c r="G1342" s="1">
        <v>134549</v>
      </c>
      <c r="H1342" s="63">
        <v>45619</v>
      </c>
      <c r="I1342" s="63">
        <v>45656</v>
      </c>
      <c r="J1342" s="1">
        <v>37</v>
      </c>
      <c r="K1342" s="1">
        <v>17.5</v>
      </c>
      <c r="L1342" s="1" t="s">
        <v>29</v>
      </c>
      <c r="M1342" s="1" t="s">
        <v>42</v>
      </c>
      <c r="N1342" s="1" t="str">
        <f t="shared" si="20"/>
        <v>Normal</v>
      </c>
    </row>
    <row r="1343" spans="1:14" x14ac:dyDescent="0.25">
      <c r="A1343" s="1" t="s">
        <v>2394</v>
      </c>
      <c r="B1343" s="1" t="s">
        <v>75</v>
      </c>
      <c r="C1343" s="1" t="s">
        <v>138</v>
      </c>
      <c r="D1343" s="1" t="s">
        <v>67</v>
      </c>
      <c r="E1343" s="1" t="s">
        <v>61</v>
      </c>
      <c r="F1343" s="1" t="s">
        <v>33</v>
      </c>
      <c r="G1343" s="1">
        <v>473157</v>
      </c>
      <c r="H1343" s="63">
        <v>45163</v>
      </c>
      <c r="J1343" s="1"/>
      <c r="K1343" s="1">
        <v>14.7</v>
      </c>
      <c r="L1343" s="1" t="s">
        <v>96</v>
      </c>
      <c r="M1343" s="1" t="s">
        <v>102</v>
      </c>
      <c r="N1343" s="1" t="str">
        <f t="shared" si="20"/>
        <v>Normal</v>
      </c>
    </row>
    <row r="1344" spans="1:14" x14ac:dyDescent="0.25">
      <c r="A1344" s="1" t="s">
        <v>2395</v>
      </c>
      <c r="B1344" s="1" t="s">
        <v>104</v>
      </c>
      <c r="C1344" s="1" t="s">
        <v>267</v>
      </c>
      <c r="D1344" s="1" t="s">
        <v>90</v>
      </c>
      <c r="E1344" s="1" t="s">
        <v>61</v>
      </c>
      <c r="F1344" s="1" t="s">
        <v>129</v>
      </c>
      <c r="G1344" s="1">
        <v>314179</v>
      </c>
      <c r="H1344" s="63">
        <v>45604</v>
      </c>
      <c r="J1344" s="1"/>
      <c r="K1344" s="1">
        <v>8.3000000000000007</v>
      </c>
      <c r="L1344" s="1" t="s">
        <v>29</v>
      </c>
      <c r="M1344" s="1" t="s">
        <v>42</v>
      </c>
      <c r="N1344" s="1" t="str">
        <f t="shared" si="20"/>
        <v>Normal</v>
      </c>
    </row>
    <row r="1345" spans="1:14" x14ac:dyDescent="0.25">
      <c r="A1345" s="1" t="s">
        <v>2397</v>
      </c>
      <c r="B1345" s="1" t="s">
        <v>75</v>
      </c>
      <c r="C1345" s="1" t="s">
        <v>189</v>
      </c>
      <c r="D1345" s="1" t="s">
        <v>39</v>
      </c>
      <c r="E1345" s="1" t="s">
        <v>61</v>
      </c>
      <c r="F1345" s="1" t="s">
        <v>33</v>
      </c>
      <c r="G1345" s="1">
        <v>318524</v>
      </c>
      <c r="H1345" s="63">
        <v>44967</v>
      </c>
      <c r="J1345" s="1"/>
      <c r="K1345" s="1">
        <v>8.6</v>
      </c>
      <c r="L1345" s="1" t="s">
        <v>96</v>
      </c>
      <c r="M1345" s="1" t="s">
        <v>35</v>
      </c>
      <c r="N1345" s="1" t="str">
        <f t="shared" si="20"/>
        <v>Normal</v>
      </c>
    </row>
    <row r="1346" spans="1:14" x14ac:dyDescent="0.25">
      <c r="A1346" s="1" t="s">
        <v>2399</v>
      </c>
      <c r="B1346" s="1" t="s">
        <v>75</v>
      </c>
      <c r="C1346" s="1" t="s">
        <v>1157</v>
      </c>
      <c r="D1346" s="1" t="s">
        <v>16</v>
      </c>
      <c r="E1346" s="1" t="s">
        <v>47</v>
      </c>
      <c r="F1346" s="1" t="s">
        <v>53</v>
      </c>
      <c r="G1346" s="1">
        <v>436701</v>
      </c>
      <c r="H1346" s="63">
        <v>45435</v>
      </c>
      <c r="J1346" s="1"/>
      <c r="K1346" s="1"/>
      <c r="L1346" s="1" t="s">
        <v>96</v>
      </c>
      <c r="M1346" s="1" t="s">
        <v>107</v>
      </c>
      <c r="N1346" s="1" t="str">
        <f t="shared" ref="N1346:N1409" si="21">IF(G1346&gt;$R$5,"High Outlier",IF(G1346&lt;$R$6,"Low Outlier","Normal"))</f>
        <v>Normal</v>
      </c>
    </row>
    <row r="1347" spans="1:14" x14ac:dyDescent="0.25">
      <c r="A1347" s="1" t="s">
        <v>2401</v>
      </c>
      <c r="B1347" s="1" t="s">
        <v>98</v>
      </c>
      <c r="C1347" s="1" t="s">
        <v>1057</v>
      </c>
      <c r="D1347" s="1" t="s">
        <v>16</v>
      </c>
      <c r="E1347" s="1" t="s">
        <v>17</v>
      </c>
      <c r="F1347" s="1" t="s">
        <v>18</v>
      </c>
      <c r="G1347" s="1">
        <v>431345</v>
      </c>
      <c r="H1347" s="63">
        <v>45132</v>
      </c>
      <c r="I1347" s="63">
        <v>45302</v>
      </c>
      <c r="J1347" s="1">
        <v>170</v>
      </c>
      <c r="K1347" s="1">
        <v>12.3</v>
      </c>
      <c r="L1347" s="1" t="s">
        <v>20</v>
      </c>
      <c r="M1347" s="1" t="s">
        <v>102</v>
      </c>
      <c r="N1347" s="1" t="str">
        <f t="shared" si="21"/>
        <v>Normal</v>
      </c>
    </row>
    <row r="1348" spans="1:14" x14ac:dyDescent="0.25">
      <c r="A1348" s="1" t="s">
        <v>2402</v>
      </c>
      <c r="B1348" s="1" t="s">
        <v>80</v>
      </c>
      <c r="C1348" s="1" t="s">
        <v>587</v>
      </c>
      <c r="D1348" s="1" t="s">
        <v>25</v>
      </c>
      <c r="E1348" s="1" t="s">
        <v>61</v>
      </c>
      <c r="F1348" s="1" t="s">
        <v>129</v>
      </c>
      <c r="G1348" s="1">
        <v>84270</v>
      </c>
      <c r="H1348" s="63">
        <v>45207</v>
      </c>
      <c r="J1348" s="1"/>
      <c r="K1348" s="1"/>
      <c r="L1348" s="1" t="s">
        <v>96</v>
      </c>
      <c r="M1348" s="1" t="s">
        <v>21</v>
      </c>
      <c r="N1348" s="1" t="str">
        <f t="shared" si="21"/>
        <v>Normal</v>
      </c>
    </row>
    <row r="1349" spans="1:14" x14ac:dyDescent="0.25">
      <c r="A1349" s="1" t="s">
        <v>2403</v>
      </c>
      <c r="B1349" s="1" t="s">
        <v>88</v>
      </c>
      <c r="C1349" s="1" t="s">
        <v>1185</v>
      </c>
      <c r="D1349" s="1" t="s">
        <v>16</v>
      </c>
      <c r="E1349" s="1" t="s">
        <v>72</v>
      </c>
      <c r="F1349" s="1" t="s">
        <v>33</v>
      </c>
      <c r="G1349" s="1">
        <v>276454</v>
      </c>
      <c r="H1349" s="63">
        <v>45138</v>
      </c>
      <c r="J1349" s="1"/>
      <c r="K1349" s="1">
        <v>3.2</v>
      </c>
      <c r="L1349" s="1" t="s">
        <v>29</v>
      </c>
      <c r="M1349" s="1" t="s">
        <v>102</v>
      </c>
      <c r="N1349" s="1" t="str">
        <f t="shared" si="21"/>
        <v>Normal</v>
      </c>
    </row>
    <row r="1350" spans="1:14" x14ac:dyDescent="0.25">
      <c r="A1350" s="1" t="s">
        <v>2404</v>
      </c>
      <c r="B1350" s="1" t="s">
        <v>37</v>
      </c>
      <c r="C1350" s="1" t="s">
        <v>321</v>
      </c>
      <c r="D1350" s="1" t="s">
        <v>90</v>
      </c>
      <c r="E1350" s="1" t="s">
        <v>77</v>
      </c>
      <c r="F1350" s="1" t="s">
        <v>40</v>
      </c>
      <c r="G1350" s="1">
        <v>147126</v>
      </c>
      <c r="H1350" s="63">
        <v>45545</v>
      </c>
      <c r="I1350" s="63">
        <v>45563</v>
      </c>
      <c r="J1350" s="1">
        <v>18</v>
      </c>
      <c r="K1350" s="1">
        <v>21.6</v>
      </c>
      <c r="L1350" s="1" t="s">
        <v>20</v>
      </c>
      <c r="M1350" s="1" t="s">
        <v>149</v>
      </c>
      <c r="N1350" s="1" t="str">
        <f t="shared" si="21"/>
        <v>Normal</v>
      </c>
    </row>
    <row r="1351" spans="1:14" x14ac:dyDescent="0.25">
      <c r="A1351" s="1" t="s">
        <v>2405</v>
      </c>
      <c r="B1351" s="1" t="s">
        <v>37</v>
      </c>
      <c r="C1351" s="1" t="s">
        <v>1172</v>
      </c>
      <c r="D1351" s="1" t="s">
        <v>67</v>
      </c>
      <c r="E1351" s="1" t="s">
        <v>61</v>
      </c>
      <c r="F1351" s="1" t="s">
        <v>33</v>
      </c>
      <c r="G1351" s="1">
        <v>443981</v>
      </c>
      <c r="H1351" s="63">
        <v>45226</v>
      </c>
      <c r="J1351" s="1"/>
      <c r="K1351" s="1">
        <v>12.2</v>
      </c>
      <c r="L1351" s="1" t="s">
        <v>96</v>
      </c>
      <c r="M1351" s="1" t="s">
        <v>21</v>
      </c>
      <c r="N1351" s="1" t="str">
        <f t="shared" si="21"/>
        <v>Normal</v>
      </c>
    </row>
    <row r="1352" spans="1:14" x14ac:dyDescent="0.25">
      <c r="A1352" s="1" t="s">
        <v>2407</v>
      </c>
      <c r="B1352" s="1" t="s">
        <v>59</v>
      </c>
      <c r="C1352" s="1" t="s">
        <v>790</v>
      </c>
      <c r="D1352" s="1" t="s">
        <v>16</v>
      </c>
      <c r="E1352" s="1" t="s">
        <v>72</v>
      </c>
      <c r="F1352" s="1" t="s">
        <v>40</v>
      </c>
      <c r="G1352" s="1">
        <v>451997</v>
      </c>
      <c r="H1352" s="63">
        <v>45187</v>
      </c>
      <c r="I1352" s="63">
        <v>45328</v>
      </c>
      <c r="J1352" s="1">
        <v>141</v>
      </c>
      <c r="K1352" s="1">
        <v>22.5</v>
      </c>
      <c r="L1352" s="1" t="s">
        <v>96</v>
      </c>
      <c r="M1352" s="1" t="s">
        <v>102</v>
      </c>
      <c r="N1352" s="1" t="str">
        <f t="shared" si="21"/>
        <v>Normal</v>
      </c>
    </row>
    <row r="1353" spans="1:14" x14ac:dyDescent="0.25">
      <c r="A1353" s="1" t="s">
        <v>2409</v>
      </c>
      <c r="B1353" s="1" t="s">
        <v>127</v>
      </c>
      <c r="C1353" s="1" t="s">
        <v>640</v>
      </c>
      <c r="D1353" s="1" t="s">
        <v>90</v>
      </c>
      <c r="E1353" s="1" t="s">
        <v>47</v>
      </c>
      <c r="F1353" s="1" t="s">
        <v>40</v>
      </c>
      <c r="G1353" s="1">
        <v>300862</v>
      </c>
      <c r="H1353" s="63">
        <v>45726</v>
      </c>
      <c r="I1353" s="63">
        <v>45767</v>
      </c>
      <c r="J1353" s="1">
        <v>41</v>
      </c>
      <c r="K1353" s="1">
        <v>18.899999999999999</v>
      </c>
      <c r="L1353" s="1" t="s">
        <v>29</v>
      </c>
      <c r="M1353" s="1" t="s">
        <v>63</v>
      </c>
      <c r="N1353" s="1" t="str">
        <f t="shared" si="21"/>
        <v>Normal</v>
      </c>
    </row>
    <row r="1354" spans="1:14" x14ac:dyDescent="0.25">
      <c r="A1354" s="1" t="s">
        <v>2411</v>
      </c>
      <c r="B1354" s="1" t="s">
        <v>65</v>
      </c>
      <c r="C1354" s="1" t="s">
        <v>1866</v>
      </c>
      <c r="D1354" s="1" t="s">
        <v>90</v>
      </c>
      <c r="E1354" s="1" t="s">
        <v>17</v>
      </c>
      <c r="F1354" s="1" t="s">
        <v>27</v>
      </c>
      <c r="G1354" s="1">
        <v>36715</v>
      </c>
      <c r="H1354" s="63">
        <v>45464</v>
      </c>
      <c r="J1354" s="1"/>
      <c r="K1354" s="1">
        <v>4.5999999999999996</v>
      </c>
      <c r="L1354" s="1" t="s">
        <v>29</v>
      </c>
      <c r="M1354" s="1" t="s">
        <v>107</v>
      </c>
      <c r="N1354" s="1" t="str">
        <f t="shared" si="21"/>
        <v>Normal</v>
      </c>
    </row>
    <row r="1355" spans="1:14" x14ac:dyDescent="0.25">
      <c r="A1355" s="1" t="s">
        <v>2412</v>
      </c>
      <c r="B1355" s="1" t="s">
        <v>104</v>
      </c>
      <c r="C1355" s="1" t="s">
        <v>852</v>
      </c>
      <c r="D1355" s="1" t="s">
        <v>67</v>
      </c>
      <c r="E1355" s="1" t="s">
        <v>26</v>
      </c>
      <c r="F1355" s="1" t="s">
        <v>18</v>
      </c>
      <c r="G1355" s="1">
        <v>173900</v>
      </c>
      <c r="H1355" s="63">
        <v>45431</v>
      </c>
      <c r="I1355" s="63">
        <v>45523</v>
      </c>
      <c r="J1355" s="1">
        <v>92</v>
      </c>
      <c r="K1355" s="1">
        <v>1.7</v>
      </c>
      <c r="L1355" s="1" t="s">
        <v>96</v>
      </c>
      <c r="M1355" s="1" t="s">
        <v>107</v>
      </c>
      <c r="N1355" s="1" t="str">
        <f t="shared" si="21"/>
        <v>Normal</v>
      </c>
    </row>
    <row r="1356" spans="1:14" x14ac:dyDescent="0.25">
      <c r="A1356" s="1" t="s">
        <v>2413</v>
      </c>
      <c r="B1356" s="1" t="s">
        <v>98</v>
      </c>
      <c r="C1356" s="1" t="s">
        <v>474</v>
      </c>
      <c r="D1356" s="1" t="s">
        <v>25</v>
      </c>
      <c r="E1356" s="1" t="s">
        <v>26</v>
      </c>
      <c r="F1356" s="1" t="s">
        <v>18</v>
      </c>
      <c r="G1356" s="1">
        <v>318084</v>
      </c>
      <c r="H1356" s="63">
        <v>45131</v>
      </c>
      <c r="I1356" s="63">
        <v>45193</v>
      </c>
      <c r="J1356" s="1">
        <v>62</v>
      </c>
      <c r="K1356" s="1">
        <v>0.5</v>
      </c>
      <c r="L1356" s="1" t="s">
        <v>49</v>
      </c>
      <c r="M1356" s="1" t="s">
        <v>102</v>
      </c>
      <c r="N1356" s="1" t="str">
        <f t="shared" si="21"/>
        <v>Normal</v>
      </c>
    </row>
    <row r="1357" spans="1:14" x14ac:dyDescent="0.25">
      <c r="A1357" s="1" t="s">
        <v>2414</v>
      </c>
      <c r="B1357" s="1" t="s">
        <v>84</v>
      </c>
      <c r="C1357" s="1" t="s">
        <v>343</v>
      </c>
      <c r="D1357" s="1" t="s">
        <v>67</v>
      </c>
      <c r="E1357" s="1" t="s">
        <v>17</v>
      </c>
      <c r="F1357" s="1" t="s">
        <v>40</v>
      </c>
      <c r="G1357" s="1">
        <v>373092</v>
      </c>
      <c r="H1357" s="63">
        <v>45231</v>
      </c>
      <c r="I1357" s="63">
        <v>45309</v>
      </c>
      <c r="J1357" s="1">
        <v>78</v>
      </c>
      <c r="K1357" s="1">
        <v>14.9</v>
      </c>
      <c r="L1357" s="1" t="s">
        <v>49</v>
      </c>
      <c r="M1357" s="1" t="s">
        <v>21</v>
      </c>
      <c r="N1357" s="1" t="str">
        <f t="shared" si="21"/>
        <v>Normal</v>
      </c>
    </row>
    <row r="1358" spans="1:14" x14ac:dyDescent="0.25">
      <c r="A1358" s="1" t="s">
        <v>2415</v>
      </c>
      <c r="B1358" s="1" t="s">
        <v>59</v>
      </c>
      <c r="C1358" s="1" t="s">
        <v>255</v>
      </c>
      <c r="D1358" s="1" t="s">
        <v>90</v>
      </c>
      <c r="E1358" s="1" t="s">
        <v>61</v>
      </c>
      <c r="F1358" s="1" t="s">
        <v>33</v>
      </c>
      <c r="G1358" s="1">
        <v>497513</v>
      </c>
      <c r="H1358" s="63">
        <v>45036</v>
      </c>
      <c r="J1358" s="1"/>
      <c r="K1358" s="1"/>
      <c r="L1358" s="1" t="s">
        <v>20</v>
      </c>
      <c r="M1358" s="1" t="s">
        <v>30</v>
      </c>
      <c r="N1358" s="1" t="str">
        <f t="shared" si="21"/>
        <v>Normal</v>
      </c>
    </row>
    <row r="1359" spans="1:14" x14ac:dyDescent="0.25">
      <c r="A1359" s="1" t="s">
        <v>2416</v>
      </c>
      <c r="B1359" s="1" t="s">
        <v>84</v>
      </c>
      <c r="C1359" s="1" t="s">
        <v>1334</v>
      </c>
      <c r="D1359" s="1" t="s">
        <v>25</v>
      </c>
      <c r="E1359" s="1" t="s">
        <v>72</v>
      </c>
      <c r="F1359" s="1" t="s">
        <v>33</v>
      </c>
      <c r="G1359" s="1">
        <v>154714</v>
      </c>
      <c r="H1359" s="63">
        <v>45221</v>
      </c>
      <c r="J1359" s="1"/>
      <c r="K1359" s="1">
        <v>1.7</v>
      </c>
      <c r="L1359" s="1" t="s">
        <v>20</v>
      </c>
      <c r="M1359" s="1" t="s">
        <v>21</v>
      </c>
      <c r="N1359" s="1" t="str">
        <f t="shared" si="21"/>
        <v>Normal</v>
      </c>
    </row>
    <row r="1360" spans="1:14" x14ac:dyDescent="0.25">
      <c r="A1360" s="1" t="s">
        <v>2417</v>
      </c>
      <c r="B1360" s="1" t="s">
        <v>88</v>
      </c>
      <c r="C1360" s="1" t="s">
        <v>1776</v>
      </c>
      <c r="D1360" s="1" t="s">
        <v>90</v>
      </c>
      <c r="E1360" s="1" t="s">
        <v>94</v>
      </c>
      <c r="F1360" s="1" t="s">
        <v>33</v>
      </c>
      <c r="G1360" s="1">
        <v>317914</v>
      </c>
      <c r="H1360" s="63">
        <v>45240</v>
      </c>
      <c r="J1360" s="1"/>
      <c r="K1360" s="1">
        <v>6.4</v>
      </c>
      <c r="L1360" s="1" t="s">
        <v>96</v>
      </c>
      <c r="M1360" s="1" t="s">
        <v>21</v>
      </c>
      <c r="N1360" s="1" t="str">
        <f t="shared" si="21"/>
        <v>Normal</v>
      </c>
    </row>
    <row r="1361" spans="1:14" x14ac:dyDescent="0.25">
      <c r="A1361" s="1" t="s">
        <v>2418</v>
      </c>
      <c r="B1361" s="1" t="s">
        <v>59</v>
      </c>
      <c r="C1361" s="1" t="s">
        <v>1153</v>
      </c>
      <c r="D1361" s="1" t="s">
        <v>67</v>
      </c>
      <c r="E1361" s="1" t="s">
        <v>100</v>
      </c>
      <c r="F1361" s="1" t="s">
        <v>40</v>
      </c>
      <c r="G1361" s="1">
        <v>48358</v>
      </c>
      <c r="H1361" s="63">
        <v>45256</v>
      </c>
      <c r="I1361" s="63">
        <v>45284</v>
      </c>
      <c r="J1361" s="1">
        <v>28</v>
      </c>
      <c r="K1361" s="1">
        <v>19.3</v>
      </c>
      <c r="L1361" s="1" t="s">
        <v>29</v>
      </c>
      <c r="M1361" s="1" t="s">
        <v>21</v>
      </c>
      <c r="N1361" s="1" t="str">
        <f t="shared" si="21"/>
        <v>Normal</v>
      </c>
    </row>
    <row r="1362" spans="1:14" x14ac:dyDescent="0.25">
      <c r="A1362" s="1" t="s">
        <v>2420</v>
      </c>
      <c r="B1362" s="1" t="s">
        <v>44</v>
      </c>
      <c r="C1362" s="1" t="s">
        <v>505</v>
      </c>
      <c r="D1362" s="1" t="s">
        <v>90</v>
      </c>
      <c r="E1362" s="1" t="s">
        <v>17</v>
      </c>
      <c r="F1362" s="1" t="s">
        <v>40</v>
      </c>
      <c r="G1362" s="1">
        <v>239493</v>
      </c>
      <c r="H1362" s="63">
        <v>45212</v>
      </c>
      <c r="I1362" s="63">
        <v>45268</v>
      </c>
      <c r="J1362" s="1">
        <v>56</v>
      </c>
      <c r="K1362" s="1">
        <v>0.5</v>
      </c>
      <c r="L1362" s="1" t="s">
        <v>96</v>
      </c>
      <c r="M1362" s="1" t="s">
        <v>21</v>
      </c>
      <c r="N1362" s="1" t="str">
        <f t="shared" si="21"/>
        <v>Normal</v>
      </c>
    </row>
    <row r="1363" spans="1:14" x14ac:dyDescent="0.25">
      <c r="A1363" s="1" t="s">
        <v>2421</v>
      </c>
      <c r="B1363" s="1" t="s">
        <v>98</v>
      </c>
      <c r="C1363" s="1" t="s">
        <v>539</v>
      </c>
      <c r="D1363" s="1" t="s">
        <v>67</v>
      </c>
      <c r="E1363" s="1" t="s">
        <v>26</v>
      </c>
      <c r="F1363" s="1" t="s">
        <v>53</v>
      </c>
      <c r="G1363" s="1">
        <v>322347</v>
      </c>
      <c r="H1363" s="63">
        <v>45476</v>
      </c>
      <c r="J1363" s="1"/>
      <c r="K1363" s="1">
        <v>6.8</v>
      </c>
      <c r="L1363" s="1" t="s">
        <v>49</v>
      </c>
      <c r="M1363" s="1" t="s">
        <v>149</v>
      </c>
      <c r="N1363" s="1" t="str">
        <f t="shared" si="21"/>
        <v>Normal</v>
      </c>
    </row>
    <row r="1364" spans="1:14" x14ac:dyDescent="0.25">
      <c r="A1364" s="1" t="s">
        <v>2422</v>
      </c>
      <c r="B1364" s="1" t="s">
        <v>104</v>
      </c>
      <c r="C1364" s="1" t="s">
        <v>1691</v>
      </c>
      <c r="D1364" s="1" t="s">
        <v>46</v>
      </c>
      <c r="E1364" s="1" t="s">
        <v>26</v>
      </c>
      <c r="F1364" s="1" t="s">
        <v>129</v>
      </c>
      <c r="G1364" s="1">
        <v>469904</v>
      </c>
      <c r="H1364" s="63">
        <v>45179</v>
      </c>
      <c r="J1364" s="1"/>
      <c r="K1364" s="1">
        <v>4.5999999999999996</v>
      </c>
      <c r="L1364" s="1" t="s">
        <v>29</v>
      </c>
      <c r="M1364" s="1" t="s">
        <v>102</v>
      </c>
      <c r="N1364" s="1" t="str">
        <f t="shared" si="21"/>
        <v>Normal</v>
      </c>
    </row>
    <row r="1365" spans="1:14" x14ac:dyDescent="0.25">
      <c r="A1365" s="1" t="s">
        <v>2423</v>
      </c>
      <c r="B1365" s="1" t="s">
        <v>37</v>
      </c>
      <c r="C1365" s="1" t="s">
        <v>52</v>
      </c>
      <c r="D1365" s="1" t="s">
        <v>67</v>
      </c>
      <c r="E1365" s="1" t="s">
        <v>72</v>
      </c>
      <c r="F1365" s="1" t="s">
        <v>18</v>
      </c>
      <c r="G1365" s="1">
        <v>384699</v>
      </c>
      <c r="H1365" s="63">
        <v>45716</v>
      </c>
      <c r="I1365" s="63">
        <v>45844</v>
      </c>
      <c r="J1365" s="1">
        <v>128</v>
      </c>
      <c r="K1365" s="1"/>
      <c r="L1365" s="1" t="s">
        <v>96</v>
      </c>
      <c r="M1365" s="1" t="s">
        <v>63</v>
      </c>
      <c r="N1365" s="1" t="str">
        <f t="shared" si="21"/>
        <v>Normal</v>
      </c>
    </row>
    <row r="1366" spans="1:14" x14ac:dyDescent="0.25">
      <c r="A1366" s="1" t="s">
        <v>2424</v>
      </c>
      <c r="B1366" s="1" t="s">
        <v>98</v>
      </c>
      <c r="C1366" s="1" t="s">
        <v>654</v>
      </c>
      <c r="D1366" s="1" t="s">
        <v>16</v>
      </c>
      <c r="E1366" s="1" t="s">
        <v>100</v>
      </c>
      <c r="F1366" s="1" t="s">
        <v>53</v>
      </c>
      <c r="G1366" s="1">
        <v>317920</v>
      </c>
      <c r="H1366" s="63">
        <v>44957</v>
      </c>
      <c r="J1366" s="1"/>
      <c r="K1366" s="1">
        <v>3.1</v>
      </c>
      <c r="L1366" s="1" t="s">
        <v>29</v>
      </c>
      <c r="M1366" s="1" t="s">
        <v>35</v>
      </c>
      <c r="N1366" s="1" t="str">
        <f t="shared" si="21"/>
        <v>Normal</v>
      </c>
    </row>
    <row r="1367" spans="1:14" x14ac:dyDescent="0.25">
      <c r="A1367" s="1" t="s">
        <v>2425</v>
      </c>
      <c r="B1367" s="1" t="s">
        <v>104</v>
      </c>
      <c r="C1367" s="1" t="s">
        <v>160</v>
      </c>
      <c r="D1367" s="1" t="s">
        <v>16</v>
      </c>
      <c r="E1367" s="1" t="s">
        <v>47</v>
      </c>
      <c r="F1367" s="1" t="s">
        <v>18</v>
      </c>
      <c r="G1367" s="1">
        <v>26240</v>
      </c>
      <c r="H1367" s="63">
        <v>45704</v>
      </c>
      <c r="I1367" s="63">
        <v>45865</v>
      </c>
      <c r="J1367" s="1">
        <v>161</v>
      </c>
      <c r="K1367" s="1"/>
      <c r="L1367" s="1" t="s">
        <v>20</v>
      </c>
      <c r="M1367" s="1" t="s">
        <v>63</v>
      </c>
      <c r="N1367" s="1" t="str">
        <f t="shared" si="21"/>
        <v>Normal</v>
      </c>
    </row>
    <row r="1368" spans="1:14" x14ac:dyDescent="0.25">
      <c r="A1368" s="1" t="s">
        <v>2427</v>
      </c>
      <c r="B1368" s="1" t="s">
        <v>84</v>
      </c>
      <c r="C1368" s="1" t="s">
        <v>198</v>
      </c>
      <c r="D1368" s="1" t="s">
        <v>67</v>
      </c>
      <c r="E1368" s="1" t="s">
        <v>26</v>
      </c>
      <c r="F1368" s="1" t="s">
        <v>40</v>
      </c>
      <c r="G1368" s="1">
        <v>441817</v>
      </c>
      <c r="H1368" s="63">
        <v>45154</v>
      </c>
      <c r="I1368" s="63">
        <v>45311</v>
      </c>
      <c r="J1368" s="1">
        <v>157</v>
      </c>
      <c r="K1368" s="1">
        <v>15.8</v>
      </c>
      <c r="L1368" s="1" t="s">
        <v>29</v>
      </c>
      <c r="M1368" s="1" t="s">
        <v>102</v>
      </c>
      <c r="N1368" s="1" t="str">
        <f t="shared" si="21"/>
        <v>Normal</v>
      </c>
    </row>
    <row r="1369" spans="1:14" x14ac:dyDescent="0.25">
      <c r="A1369" s="1" t="s">
        <v>2429</v>
      </c>
      <c r="B1369" s="1" t="s">
        <v>80</v>
      </c>
      <c r="C1369" s="1" t="s">
        <v>183</v>
      </c>
      <c r="D1369" s="1" t="s">
        <v>39</v>
      </c>
      <c r="E1369" s="1" t="s">
        <v>47</v>
      </c>
      <c r="F1369" s="1" t="s">
        <v>40</v>
      </c>
      <c r="G1369" s="1">
        <v>410372</v>
      </c>
      <c r="H1369" s="63">
        <v>45490</v>
      </c>
      <c r="I1369" s="63">
        <v>45604</v>
      </c>
      <c r="J1369" s="1">
        <v>114</v>
      </c>
      <c r="K1369" s="1">
        <v>10.1</v>
      </c>
      <c r="L1369" s="1" t="s">
        <v>29</v>
      </c>
      <c r="M1369" s="1" t="s">
        <v>149</v>
      </c>
      <c r="N1369" s="1" t="str">
        <f t="shared" si="21"/>
        <v>Normal</v>
      </c>
    </row>
    <row r="1370" spans="1:14" x14ac:dyDescent="0.25">
      <c r="A1370" s="1" t="s">
        <v>2430</v>
      </c>
      <c r="B1370" s="1" t="s">
        <v>80</v>
      </c>
      <c r="C1370" s="1" t="s">
        <v>967</v>
      </c>
      <c r="D1370" s="1" t="s">
        <v>16</v>
      </c>
      <c r="E1370" s="1" t="s">
        <v>17</v>
      </c>
      <c r="F1370" s="1" t="s">
        <v>18</v>
      </c>
      <c r="G1370" s="1">
        <v>416716</v>
      </c>
      <c r="H1370" s="63">
        <v>45376</v>
      </c>
      <c r="I1370" s="63">
        <v>45415</v>
      </c>
      <c r="J1370" s="1">
        <v>39</v>
      </c>
      <c r="K1370" s="1"/>
      <c r="L1370" s="1" t="s">
        <v>96</v>
      </c>
      <c r="M1370" s="1" t="s">
        <v>69</v>
      </c>
      <c r="N1370" s="1" t="str">
        <f t="shared" si="21"/>
        <v>Normal</v>
      </c>
    </row>
    <row r="1371" spans="1:14" x14ac:dyDescent="0.25">
      <c r="A1371" s="1" t="s">
        <v>2431</v>
      </c>
      <c r="B1371" s="1" t="s">
        <v>80</v>
      </c>
      <c r="C1371" s="1" t="s">
        <v>637</v>
      </c>
      <c r="D1371" s="1" t="s">
        <v>16</v>
      </c>
      <c r="E1371" s="1" t="s">
        <v>47</v>
      </c>
      <c r="F1371" s="1" t="s">
        <v>33</v>
      </c>
      <c r="G1371" s="1">
        <v>327992</v>
      </c>
      <c r="H1371" s="63">
        <v>45116</v>
      </c>
      <c r="J1371" s="1"/>
      <c r="K1371" s="1">
        <v>3.8</v>
      </c>
      <c r="L1371" s="1" t="s">
        <v>49</v>
      </c>
      <c r="M1371" s="1" t="s">
        <v>102</v>
      </c>
      <c r="N1371" s="1" t="str">
        <f t="shared" si="21"/>
        <v>Normal</v>
      </c>
    </row>
    <row r="1372" spans="1:14" x14ac:dyDescent="0.25">
      <c r="A1372" s="1" t="s">
        <v>2433</v>
      </c>
      <c r="B1372" s="1" t="s">
        <v>37</v>
      </c>
      <c r="C1372" s="1" t="s">
        <v>138</v>
      </c>
      <c r="D1372" s="1" t="s">
        <v>67</v>
      </c>
      <c r="E1372" s="1" t="s">
        <v>100</v>
      </c>
      <c r="F1372" s="1" t="s">
        <v>33</v>
      </c>
      <c r="G1372" s="1">
        <v>397587</v>
      </c>
      <c r="H1372" s="63">
        <v>45449</v>
      </c>
      <c r="J1372" s="1"/>
      <c r="K1372" s="1"/>
      <c r="L1372" s="1" t="s">
        <v>20</v>
      </c>
      <c r="M1372" s="1" t="s">
        <v>107</v>
      </c>
      <c r="N1372" s="1" t="str">
        <f t="shared" si="21"/>
        <v>Normal</v>
      </c>
    </row>
    <row r="1373" spans="1:14" x14ac:dyDescent="0.25">
      <c r="A1373" s="1" t="s">
        <v>2434</v>
      </c>
      <c r="B1373" s="1" t="s">
        <v>88</v>
      </c>
      <c r="C1373" s="1" t="s">
        <v>192</v>
      </c>
      <c r="D1373" s="1" t="s">
        <v>46</v>
      </c>
      <c r="E1373" s="1" t="s">
        <v>61</v>
      </c>
      <c r="F1373" s="1" t="s">
        <v>18</v>
      </c>
      <c r="G1373" s="1">
        <v>410708</v>
      </c>
      <c r="H1373" s="63">
        <v>45328</v>
      </c>
      <c r="I1373" s="63">
        <v>45390</v>
      </c>
      <c r="J1373" s="1">
        <v>62</v>
      </c>
      <c r="K1373" s="1"/>
      <c r="L1373" s="1" t="s">
        <v>96</v>
      </c>
      <c r="M1373" s="1" t="s">
        <v>69</v>
      </c>
      <c r="N1373" s="1" t="str">
        <f t="shared" si="21"/>
        <v>Normal</v>
      </c>
    </row>
    <row r="1374" spans="1:14" x14ac:dyDescent="0.25">
      <c r="A1374" s="1" t="s">
        <v>2435</v>
      </c>
      <c r="B1374" s="1" t="s">
        <v>104</v>
      </c>
      <c r="C1374" s="1" t="s">
        <v>247</v>
      </c>
      <c r="D1374" s="1" t="s">
        <v>46</v>
      </c>
      <c r="E1374" s="1" t="s">
        <v>94</v>
      </c>
      <c r="F1374" s="1" t="s">
        <v>40</v>
      </c>
      <c r="G1374" s="1">
        <v>239695</v>
      </c>
      <c r="H1374" s="63">
        <v>45379</v>
      </c>
      <c r="I1374" s="63">
        <v>45546</v>
      </c>
      <c r="J1374" s="1">
        <v>167</v>
      </c>
      <c r="K1374" s="1">
        <v>16.600000000000001</v>
      </c>
      <c r="L1374" s="1" t="s">
        <v>29</v>
      </c>
      <c r="M1374" s="1" t="s">
        <v>69</v>
      </c>
      <c r="N1374" s="1" t="str">
        <f t="shared" si="21"/>
        <v>Normal</v>
      </c>
    </row>
    <row r="1375" spans="1:14" x14ac:dyDescent="0.25">
      <c r="A1375" s="1" t="s">
        <v>2437</v>
      </c>
      <c r="B1375" s="1" t="s">
        <v>104</v>
      </c>
      <c r="C1375" s="1" t="s">
        <v>1457</v>
      </c>
      <c r="D1375" s="1" t="s">
        <v>67</v>
      </c>
      <c r="E1375" s="1" t="s">
        <v>94</v>
      </c>
      <c r="F1375" s="1" t="s">
        <v>40</v>
      </c>
      <c r="G1375" s="1">
        <v>238985</v>
      </c>
      <c r="H1375" s="63">
        <v>45081</v>
      </c>
      <c r="I1375" s="63">
        <v>45205</v>
      </c>
      <c r="J1375" s="1">
        <v>124</v>
      </c>
      <c r="K1375" s="1">
        <v>2.2999999999999998</v>
      </c>
      <c r="L1375" s="1" t="s">
        <v>20</v>
      </c>
      <c r="M1375" s="1" t="s">
        <v>30</v>
      </c>
      <c r="N1375" s="1" t="str">
        <f t="shared" si="21"/>
        <v>Normal</v>
      </c>
    </row>
    <row r="1376" spans="1:14" x14ac:dyDescent="0.25">
      <c r="A1376" s="1" t="s">
        <v>2439</v>
      </c>
      <c r="B1376" s="1" t="s">
        <v>37</v>
      </c>
      <c r="C1376" s="1" t="s">
        <v>393</v>
      </c>
      <c r="D1376" s="1" t="s">
        <v>67</v>
      </c>
      <c r="E1376" s="1" t="s">
        <v>47</v>
      </c>
      <c r="F1376" s="1" t="s">
        <v>53</v>
      </c>
      <c r="G1376" s="1">
        <v>372810</v>
      </c>
      <c r="H1376" s="63">
        <v>45701</v>
      </c>
      <c r="J1376" s="1"/>
      <c r="K1376" s="1">
        <v>4.7</v>
      </c>
      <c r="L1376" s="1" t="s">
        <v>96</v>
      </c>
      <c r="M1376" s="1" t="s">
        <v>63</v>
      </c>
      <c r="N1376" s="1" t="str">
        <f t="shared" si="21"/>
        <v>Normal</v>
      </c>
    </row>
    <row r="1377" spans="1:14" x14ac:dyDescent="0.25">
      <c r="A1377" s="1" t="s">
        <v>2440</v>
      </c>
      <c r="B1377" s="1" t="s">
        <v>80</v>
      </c>
      <c r="C1377" s="1" t="s">
        <v>1018</v>
      </c>
      <c r="D1377" s="1" t="s">
        <v>25</v>
      </c>
      <c r="E1377" s="1" t="s">
        <v>47</v>
      </c>
      <c r="F1377" s="1" t="s">
        <v>40</v>
      </c>
      <c r="G1377" s="1">
        <v>408283</v>
      </c>
      <c r="H1377" s="63">
        <v>45055</v>
      </c>
      <c r="I1377" s="63">
        <v>45076</v>
      </c>
      <c r="J1377" s="1">
        <v>21</v>
      </c>
      <c r="K1377" s="1">
        <v>4</v>
      </c>
      <c r="L1377" s="1" t="s">
        <v>96</v>
      </c>
      <c r="M1377" s="1" t="s">
        <v>30</v>
      </c>
      <c r="N1377" s="1" t="str">
        <f t="shared" si="21"/>
        <v>Normal</v>
      </c>
    </row>
    <row r="1378" spans="1:14" x14ac:dyDescent="0.25">
      <c r="A1378" s="1" t="s">
        <v>2441</v>
      </c>
      <c r="B1378" s="1" t="s">
        <v>23</v>
      </c>
      <c r="C1378" s="1" t="s">
        <v>862</v>
      </c>
      <c r="D1378" s="1" t="s">
        <v>25</v>
      </c>
      <c r="E1378" s="1" t="s">
        <v>26</v>
      </c>
      <c r="F1378" s="1" t="s">
        <v>40</v>
      </c>
      <c r="G1378" s="1">
        <v>144586</v>
      </c>
      <c r="H1378" s="63">
        <v>45405</v>
      </c>
      <c r="I1378" s="63">
        <v>45496</v>
      </c>
      <c r="J1378" s="1">
        <v>91</v>
      </c>
      <c r="K1378" s="1">
        <v>15.3</v>
      </c>
      <c r="L1378" s="1" t="s">
        <v>20</v>
      </c>
      <c r="M1378" s="1" t="s">
        <v>107</v>
      </c>
      <c r="N1378" s="1" t="str">
        <f t="shared" si="21"/>
        <v>Normal</v>
      </c>
    </row>
    <row r="1379" spans="1:14" x14ac:dyDescent="0.25">
      <c r="A1379" s="1" t="s">
        <v>2442</v>
      </c>
      <c r="B1379" s="1" t="s">
        <v>104</v>
      </c>
      <c r="C1379" s="1" t="s">
        <v>552</v>
      </c>
      <c r="D1379" s="1" t="s">
        <v>16</v>
      </c>
      <c r="E1379" s="1" t="s">
        <v>72</v>
      </c>
      <c r="F1379" s="1" t="s">
        <v>33</v>
      </c>
      <c r="G1379" s="1">
        <v>137156</v>
      </c>
      <c r="H1379" s="63">
        <v>45396</v>
      </c>
      <c r="J1379" s="1"/>
      <c r="K1379" s="1">
        <v>7.8</v>
      </c>
      <c r="L1379" s="1" t="s">
        <v>29</v>
      </c>
      <c r="M1379" s="1" t="s">
        <v>107</v>
      </c>
      <c r="N1379" s="1" t="str">
        <f t="shared" si="21"/>
        <v>Normal</v>
      </c>
    </row>
    <row r="1380" spans="1:14" x14ac:dyDescent="0.25">
      <c r="A1380" s="1" t="s">
        <v>2443</v>
      </c>
      <c r="B1380" s="1" t="s">
        <v>44</v>
      </c>
      <c r="C1380" s="1" t="s">
        <v>587</v>
      </c>
      <c r="D1380" s="1" t="s">
        <v>46</v>
      </c>
      <c r="E1380" s="1" t="s">
        <v>61</v>
      </c>
      <c r="F1380" s="1" t="s">
        <v>53</v>
      </c>
      <c r="G1380" s="1">
        <v>304833</v>
      </c>
      <c r="H1380" s="63">
        <v>45668</v>
      </c>
      <c r="J1380" s="1"/>
      <c r="K1380" s="1"/>
      <c r="L1380" s="1" t="s">
        <v>29</v>
      </c>
      <c r="M1380" s="1" t="s">
        <v>63</v>
      </c>
      <c r="N1380" s="1" t="str">
        <f t="shared" si="21"/>
        <v>Normal</v>
      </c>
    </row>
    <row r="1381" spans="1:14" x14ac:dyDescent="0.25">
      <c r="A1381" s="1" t="s">
        <v>2444</v>
      </c>
      <c r="B1381" s="1" t="s">
        <v>109</v>
      </c>
      <c r="C1381" s="1" t="s">
        <v>325</v>
      </c>
      <c r="D1381" s="1" t="s">
        <v>25</v>
      </c>
      <c r="E1381" s="1" t="s">
        <v>61</v>
      </c>
      <c r="F1381" s="1" t="s">
        <v>40</v>
      </c>
      <c r="G1381" s="1">
        <v>134691</v>
      </c>
      <c r="H1381" s="63">
        <v>45257</v>
      </c>
      <c r="I1381" s="63">
        <v>45274</v>
      </c>
      <c r="J1381" s="1">
        <v>17</v>
      </c>
      <c r="K1381" s="1">
        <v>12.1</v>
      </c>
      <c r="L1381" s="1" t="s">
        <v>49</v>
      </c>
      <c r="M1381" s="1" t="s">
        <v>21</v>
      </c>
      <c r="N1381" s="1" t="str">
        <f t="shared" si="21"/>
        <v>Normal</v>
      </c>
    </row>
    <row r="1382" spans="1:14" x14ac:dyDescent="0.25">
      <c r="A1382" s="1" t="s">
        <v>2445</v>
      </c>
      <c r="B1382" s="1" t="s">
        <v>127</v>
      </c>
      <c r="C1382" s="1" t="s">
        <v>331</v>
      </c>
      <c r="D1382" s="1" t="s">
        <v>25</v>
      </c>
      <c r="E1382" s="1" t="s">
        <v>72</v>
      </c>
      <c r="F1382" s="1" t="s">
        <v>18</v>
      </c>
      <c r="G1382" s="1">
        <v>310942</v>
      </c>
      <c r="H1382" s="63">
        <v>45502</v>
      </c>
      <c r="I1382" s="63">
        <v>45600</v>
      </c>
      <c r="J1382" s="1">
        <v>98</v>
      </c>
      <c r="K1382" s="1">
        <v>3.4</v>
      </c>
      <c r="L1382" s="1" t="s">
        <v>20</v>
      </c>
      <c r="M1382" s="1" t="s">
        <v>149</v>
      </c>
      <c r="N1382" s="1" t="str">
        <f t="shared" si="21"/>
        <v>Normal</v>
      </c>
    </row>
    <row r="1383" spans="1:14" x14ac:dyDescent="0.25">
      <c r="A1383" s="1" t="s">
        <v>2446</v>
      </c>
      <c r="B1383" s="1" t="s">
        <v>44</v>
      </c>
      <c r="C1383" s="1" t="s">
        <v>1070</v>
      </c>
      <c r="D1383" s="1" t="s">
        <v>39</v>
      </c>
      <c r="E1383" s="1" t="s">
        <v>100</v>
      </c>
      <c r="F1383" s="1" t="s">
        <v>40</v>
      </c>
      <c r="G1383" s="1">
        <v>26921</v>
      </c>
      <c r="H1383" s="63">
        <v>45194</v>
      </c>
      <c r="I1383" s="63">
        <v>45260</v>
      </c>
      <c r="J1383" s="1">
        <v>66</v>
      </c>
      <c r="K1383" s="1">
        <v>19.100000000000001</v>
      </c>
      <c r="L1383" s="1" t="s">
        <v>29</v>
      </c>
      <c r="M1383" s="1" t="s">
        <v>102</v>
      </c>
      <c r="N1383" s="1" t="str">
        <f t="shared" si="21"/>
        <v>Normal</v>
      </c>
    </row>
    <row r="1384" spans="1:14" x14ac:dyDescent="0.25">
      <c r="A1384" s="1" t="s">
        <v>2447</v>
      </c>
      <c r="B1384" s="1" t="s">
        <v>59</v>
      </c>
      <c r="C1384" s="1" t="s">
        <v>536</v>
      </c>
      <c r="D1384" s="1" t="s">
        <v>67</v>
      </c>
      <c r="E1384" s="1" t="s">
        <v>94</v>
      </c>
      <c r="F1384" s="1" t="s">
        <v>53</v>
      </c>
      <c r="G1384" s="1">
        <v>330018</v>
      </c>
      <c r="H1384" s="63">
        <v>45083</v>
      </c>
      <c r="J1384" s="1"/>
      <c r="K1384" s="1">
        <v>8.5</v>
      </c>
      <c r="L1384" s="1" t="s">
        <v>96</v>
      </c>
      <c r="M1384" s="1" t="s">
        <v>30</v>
      </c>
      <c r="N1384" s="1" t="str">
        <f t="shared" si="21"/>
        <v>Normal</v>
      </c>
    </row>
    <row r="1385" spans="1:14" x14ac:dyDescent="0.25">
      <c r="A1385" s="1" t="s">
        <v>2448</v>
      </c>
      <c r="B1385" s="1" t="s">
        <v>75</v>
      </c>
      <c r="C1385" s="1" t="s">
        <v>24</v>
      </c>
      <c r="D1385" s="1" t="s">
        <v>46</v>
      </c>
      <c r="E1385" s="1" t="s">
        <v>17</v>
      </c>
      <c r="F1385" s="1" t="s">
        <v>40</v>
      </c>
      <c r="G1385" s="1">
        <v>378366</v>
      </c>
      <c r="H1385" s="63">
        <v>45059</v>
      </c>
      <c r="I1385" s="63">
        <v>45199</v>
      </c>
      <c r="J1385" s="1">
        <v>140</v>
      </c>
      <c r="K1385" s="1">
        <v>16.100000000000001</v>
      </c>
      <c r="L1385" s="1" t="s">
        <v>20</v>
      </c>
      <c r="M1385" s="1" t="s">
        <v>30</v>
      </c>
      <c r="N1385" s="1" t="str">
        <f t="shared" si="21"/>
        <v>Normal</v>
      </c>
    </row>
    <row r="1386" spans="1:14" x14ac:dyDescent="0.25">
      <c r="A1386" s="1" t="s">
        <v>2449</v>
      </c>
      <c r="B1386" s="1" t="s">
        <v>37</v>
      </c>
      <c r="C1386" s="1" t="s">
        <v>81</v>
      </c>
      <c r="D1386" s="1" t="s">
        <v>39</v>
      </c>
      <c r="E1386" s="1" t="s">
        <v>100</v>
      </c>
      <c r="F1386" s="1" t="s">
        <v>40</v>
      </c>
      <c r="G1386" s="1">
        <v>294146</v>
      </c>
      <c r="H1386" s="63">
        <v>45122</v>
      </c>
      <c r="I1386" s="63">
        <v>45143</v>
      </c>
      <c r="J1386" s="1">
        <v>21</v>
      </c>
      <c r="K1386" s="1">
        <v>7.4</v>
      </c>
      <c r="L1386" s="1" t="s">
        <v>29</v>
      </c>
      <c r="M1386" s="1" t="s">
        <v>102</v>
      </c>
      <c r="N1386" s="1" t="str">
        <f t="shared" si="21"/>
        <v>Normal</v>
      </c>
    </row>
    <row r="1387" spans="1:14" x14ac:dyDescent="0.25">
      <c r="A1387" s="1" t="s">
        <v>2450</v>
      </c>
      <c r="B1387" s="1" t="s">
        <v>109</v>
      </c>
      <c r="C1387" s="1" t="s">
        <v>932</v>
      </c>
      <c r="D1387" s="1" t="s">
        <v>25</v>
      </c>
      <c r="E1387" s="1" t="s">
        <v>94</v>
      </c>
      <c r="F1387" s="1" t="s">
        <v>129</v>
      </c>
      <c r="G1387" s="1">
        <v>482598</v>
      </c>
      <c r="H1387" s="63">
        <v>44947</v>
      </c>
      <c r="J1387" s="1"/>
      <c r="K1387" s="1">
        <v>10.4</v>
      </c>
      <c r="L1387" s="1" t="s">
        <v>49</v>
      </c>
      <c r="M1387" s="1" t="s">
        <v>35</v>
      </c>
      <c r="N1387" s="1" t="str">
        <f t="shared" si="21"/>
        <v>Normal</v>
      </c>
    </row>
    <row r="1388" spans="1:14" x14ac:dyDescent="0.25">
      <c r="A1388" s="1" t="s">
        <v>2452</v>
      </c>
      <c r="B1388" s="1" t="s">
        <v>44</v>
      </c>
      <c r="C1388" s="1" t="s">
        <v>852</v>
      </c>
      <c r="D1388" s="1" t="s">
        <v>16</v>
      </c>
      <c r="E1388" s="1" t="s">
        <v>17</v>
      </c>
      <c r="F1388" s="1" t="s">
        <v>40</v>
      </c>
      <c r="G1388" s="1">
        <v>77165</v>
      </c>
      <c r="H1388" s="63">
        <v>45207</v>
      </c>
      <c r="I1388" s="63">
        <v>45343</v>
      </c>
      <c r="J1388" s="1">
        <v>136</v>
      </c>
      <c r="K1388" s="1">
        <v>16.7</v>
      </c>
      <c r="L1388" s="1" t="s">
        <v>20</v>
      </c>
      <c r="M1388" s="1" t="s">
        <v>21</v>
      </c>
      <c r="N1388" s="1" t="str">
        <f t="shared" si="21"/>
        <v>Normal</v>
      </c>
    </row>
    <row r="1389" spans="1:14" x14ac:dyDescent="0.25">
      <c r="A1389" s="1" t="s">
        <v>2453</v>
      </c>
      <c r="B1389" s="1" t="s">
        <v>37</v>
      </c>
      <c r="C1389" s="1" t="s">
        <v>372</v>
      </c>
      <c r="D1389" s="1" t="s">
        <v>25</v>
      </c>
      <c r="E1389" s="1" t="s">
        <v>94</v>
      </c>
      <c r="F1389" s="1" t="s">
        <v>40</v>
      </c>
      <c r="G1389" s="1">
        <v>21411</v>
      </c>
      <c r="H1389" s="63">
        <v>45450</v>
      </c>
      <c r="I1389" s="63">
        <v>45555</v>
      </c>
      <c r="J1389" s="1">
        <v>105</v>
      </c>
      <c r="K1389" s="1">
        <v>9.9</v>
      </c>
      <c r="L1389" s="1" t="s">
        <v>29</v>
      </c>
      <c r="M1389" s="1" t="s">
        <v>107</v>
      </c>
      <c r="N1389" s="1" t="str">
        <f t="shared" si="21"/>
        <v>Normal</v>
      </c>
    </row>
    <row r="1390" spans="1:14" x14ac:dyDescent="0.25">
      <c r="A1390" s="1" t="s">
        <v>2455</v>
      </c>
      <c r="B1390" s="1" t="s">
        <v>127</v>
      </c>
      <c r="C1390" s="1" t="s">
        <v>264</v>
      </c>
      <c r="D1390" s="1" t="s">
        <v>46</v>
      </c>
      <c r="E1390" s="1" t="s">
        <v>26</v>
      </c>
      <c r="F1390" s="1" t="s">
        <v>27</v>
      </c>
      <c r="G1390" s="1">
        <v>115757</v>
      </c>
      <c r="H1390" s="63">
        <v>45549</v>
      </c>
      <c r="J1390" s="1"/>
      <c r="K1390" s="1">
        <v>13.1</v>
      </c>
      <c r="L1390" s="1" t="s">
        <v>29</v>
      </c>
      <c r="M1390" s="1" t="s">
        <v>149</v>
      </c>
      <c r="N1390" s="1" t="str">
        <f t="shared" si="21"/>
        <v>Normal</v>
      </c>
    </row>
    <row r="1391" spans="1:14" x14ac:dyDescent="0.25">
      <c r="A1391" s="1" t="s">
        <v>2456</v>
      </c>
      <c r="B1391" s="1" t="s">
        <v>14</v>
      </c>
      <c r="C1391" s="1" t="s">
        <v>967</v>
      </c>
      <c r="D1391" s="1" t="s">
        <v>39</v>
      </c>
      <c r="E1391" s="1" t="s">
        <v>4845</v>
      </c>
      <c r="F1391" s="1" t="s">
        <v>40</v>
      </c>
      <c r="G1391" s="1">
        <v>314855</v>
      </c>
      <c r="H1391" s="63">
        <v>45616</v>
      </c>
      <c r="I1391" s="63">
        <v>45637</v>
      </c>
      <c r="J1391" s="1">
        <v>21</v>
      </c>
      <c r="K1391" s="1">
        <v>20.399999999999999</v>
      </c>
      <c r="L1391" s="1" t="s">
        <v>96</v>
      </c>
      <c r="M1391" s="1" t="s">
        <v>42</v>
      </c>
      <c r="N1391" s="1" t="str">
        <f t="shared" si="21"/>
        <v>Normal</v>
      </c>
    </row>
    <row r="1392" spans="1:14" x14ac:dyDescent="0.25">
      <c r="A1392" s="1" t="s">
        <v>2457</v>
      </c>
      <c r="B1392" s="1" t="s">
        <v>127</v>
      </c>
      <c r="C1392" s="1" t="s">
        <v>486</v>
      </c>
      <c r="D1392" s="1" t="s">
        <v>25</v>
      </c>
      <c r="E1392" s="1" t="s">
        <v>72</v>
      </c>
      <c r="F1392" s="1" t="s">
        <v>33</v>
      </c>
      <c r="G1392" s="1">
        <v>148059</v>
      </c>
      <c r="H1392" s="63">
        <v>45577</v>
      </c>
      <c r="J1392" s="1"/>
      <c r="K1392" s="1"/>
      <c r="L1392" s="1" t="s">
        <v>20</v>
      </c>
      <c r="M1392" s="1" t="s">
        <v>42</v>
      </c>
      <c r="N1392" s="1" t="str">
        <f t="shared" si="21"/>
        <v>Normal</v>
      </c>
    </row>
    <row r="1393" spans="1:14" x14ac:dyDescent="0.25">
      <c r="A1393" s="1" t="s">
        <v>2459</v>
      </c>
      <c r="B1393" s="1" t="s">
        <v>23</v>
      </c>
      <c r="C1393" s="1" t="s">
        <v>436</v>
      </c>
      <c r="D1393" s="1" t="s">
        <v>67</v>
      </c>
      <c r="E1393" s="1" t="s">
        <v>26</v>
      </c>
      <c r="F1393" s="1" t="s">
        <v>40</v>
      </c>
      <c r="G1393" s="1">
        <v>463717</v>
      </c>
      <c r="H1393" s="63">
        <v>45204</v>
      </c>
      <c r="I1393" s="63">
        <v>45374</v>
      </c>
      <c r="J1393" s="1">
        <v>170</v>
      </c>
      <c r="K1393" s="1">
        <v>1.2</v>
      </c>
      <c r="L1393" s="1" t="s">
        <v>49</v>
      </c>
      <c r="M1393" s="1" t="s">
        <v>21</v>
      </c>
      <c r="N1393" s="1" t="str">
        <f t="shared" si="21"/>
        <v>Normal</v>
      </c>
    </row>
    <row r="1394" spans="1:14" x14ac:dyDescent="0.25">
      <c r="A1394" s="1" t="s">
        <v>2460</v>
      </c>
      <c r="B1394" s="1" t="s">
        <v>98</v>
      </c>
      <c r="C1394" s="1" t="s">
        <v>287</v>
      </c>
      <c r="D1394" s="1" t="s">
        <v>25</v>
      </c>
      <c r="E1394" s="1" t="s">
        <v>61</v>
      </c>
      <c r="F1394" s="1" t="s">
        <v>18</v>
      </c>
      <c r="G1394" s="1">
        <v>289377</v>
      </c>
      <c r="H1394" s="63">
        <v>45191</v>
      </c>
      <c r="I1394" s="63">
        <v>45304</v>
      </c>
      <c r="J1394" s="1">
        <v>113</v>
      </c>
      <c r="K1394" s="1">
        <v>1.9</v>
      </c>
      <c r="L1394" s="1" t="s">
        <v>29</v>
      </c>
      <c r="M1394" s="1" t="s">
        <v>102</v>
      </c>
      <c r="N1394" s="1" t="str">
        <f t="shared" si="21"/>
        <v>Normal</v>
      </c>
    </row>
    <row r="1395" spans="1:14" x14ac:dyDescent="0.25">
      <c r="A1395" s="1" t="s">
        <v>2461</v>
      </c>
      <c r="B1395" s="1" t="s">
        <v>4829</v>
      </c>
      <c r="C1395" s="1" t="s">
        <v>967</v>
      </c>
      <c r="D1395" s="1" t="s">
        <v>46</v>
      </c>
      <c r="E1395" s="1" t="s">
        <v>17</v>
      </c>
      <c r="F1395" s="1" t="s">
        <v>40</v>
      </c>
      <c r="G1395" s="1">
        <v>163687</v>
      </c>
      <c r="H1395" s="63">
        <v>45061</v>
      </c>
      <c r="I1395" s="63">
        <v>45123</v>
      </c>
      <c r="J1395" s="1">
        <v>62</v>
      </c>
      <c r="K1395" s="1">
        <v>2.2999999999999998</v>
      </c>
      <c r="L1395" s="1" t="s">
        <v>20</v>
      </c>
      <c r="M1395" s="1" t="s">
        <v>30</v>
      </c>
      <c r="N1395" s="1" t="str">
        <f t="shared" si="21"/>
        <v>Normal</v>
      </c>
    </row>
    <row r="1396" spans="1:14" x14ac:dyDescent="0.25">
      <c r="A1396" s="1" t="s">
        <v>2462</v>
      </c>
      <c r="B1396" s="1" t="s">
        <v>37</v>
      </c>
      <c r="C1396" s="1" t="s">
        <v>2334</v>
      </c>
      <c r="D1396" s="1" t="s">
        <v>25</v>
      </c>
      <c r="E1396" s="1" t="s">
        <v>100</v>
      </c>
      <c r="F1396" s="1" t="s">
        <v>18</v>
      </c>
      <c r="G1396" s="1">
        <v>266624</v>
      </c>
      <c r="H1396" s="63">
        <v>45676</v>
      </c>
      <c r="I1396" s="63">
        <v>45823</v>
      </c>
      <c r="J1396" s="1">
        <v>147</v>
      </c>
      <c r="K1396" s="1">
        <v>12.9</v>
      </c>
      <c r="L1396" s="1" t="s">
        <v>29</v>
      </c>
      <c r="M1396" s="1" t="s">
        <v>63</v>
      </c>
      <c r="N1396" s="1" t="str">
        <f t="shared" si="21"/>
        <v>Normal</v>
      </c>
    </row>
    <row r="1397" spans="1:14" x14ac:dyDescent="0.25">
      <c r="A1397" s="1" t="s">
        <v>2464</v>
      </c>
      <c r="B1397" s="1" t="s">
        <v>37</v>
      </c>
      <c r="C1397" s="1" t="s">
        <v>113</v>
      </c>
      <c r="D1397" s="1" t="s">
        <v>39</v>
      </c>
      <c r="E1397" s="1" t="s">
        <v>100</v>
      </c>
      <c r="F1397" s="1" t="s">
        <v>27</v>
      </c>
      <c r="G1397" s="1">
        <v>11889</v>
      </c>
      <c r="H1397" s="63">
        <v>45642</v>
      </c>
      <c r="J1397" s="1"/>
      <c r="K1397" s="1">
        <v>9.1</v>
      </c>
      <c r="L1397" s="1" t="s">
        <v>20</v>
      </c>
      <c r="M1397" s="1" t="s">
        <v>42</v>
      </c>
      <c r="N1397" s="1" t="str">
        <f t="shared" si="21"/>
        <v>Normal</v>
      </c>
    </row>
    <row r="1398" spans="1:14" x14ac:dyDescent="0.25">
      <c r="A1398" s="1" t="s">
        <v>2466</v>
      </c>
      <c r="B1398" s="1" t="s">
        <v>84</v>
      </c>
      <c r="C1398" s="1" t="s">
        <v>52</v>
      </c>
      <c r="D1398" s="1" t="s">
        <v>25</v>
      </c>
      <c r="E1398" s="1" t="s">
        <v>72</v>
      </c>
      <c r="F1398" s="1" t="s">
        <v>18</v>
      </c>
      <c r="G1398" s="1">
        <v>127745</v>
      </c>
      <c r="H1398" s="63">
        <v>45515</v>
      </c>
      <c r="I1398" s="63">
        <v>45691</v>
      </c>
      <c r="J1398" s="1">
        <v>176</v>
      </c>
      <c r="K1398" s="1">
        <v>6.3</v>
      </c>
      <c r="L1398" s="1" t="s">
        <v>96</v>
      </c>
      <c r="M1398" s="1" t="s">
        <v>149</v>
      </c>
      <c r="N1398" s="1" t="str">
        <f t="shared" si="21"/>
        <v>Normal</v>
      </c>
    </row>
    <row r="1399" spans="1:14" x14ac:dyDescent="0.25">
      <c r="A1399" s="1" t="s">
        <v>2467</v>
      </c>
      <c r="B1399" s="1" t="s">
        <v>98</v>
      </c>
      <c r="C1399" s="1" t="s">
        <v>71</v>
      </c>
      <c r="D1399" s="1" t="s">
        <v>39</v>
      </c>
      <c r="E1399" s="1" t="s">
        <v>61</v>
      </c>
      <c r="F1399" s="1" t="s">
        <v>40</v>
      </c>
      <c r="G1399" s="1">
        <v>340552</v>
      </c>
      <c r="H1399" s="63">
        <v>45738</v>
      </c>
      <c r="I1399" s="63">
        <v>45839</v>
      </c>
      <c r="J1399" s="1">
        <v>101</v>
      </c>
      <c r="K1399" s="1">
        <v>23.4</v>
      </c>
      <c r="L1399" s="1" t="s">
        <v>20</v>
      </c>
      <c r="M1399" s="1" t="s">
        <v>63</v>
      </c>
      <c r="N1399" s="1" t="str">
        <f t="shared" si="21"/>
        <v>Normal</v>
      </c>
    </row>
    <row r="1400" spans="1:14" x14ac:dyDescent="0.25">
      <c r="A1400" s="1" t="s">
        <v>2469</v>
      </c>
      <c r="B1400" s="1" t="s">
        <v>88</v>
      </c>
      <c r="C1400" s="1" t="s">
        <v>662</v>
      </c>
      <c r="D1400" s="1" t="s">
        <v>16</v>
      </c>
      <c r="E1400" s="1" t="s">
        <v>47</v>
      </c>
      <c r="F1400" s="1" t="s">
        <v>27</v>
      </c>
      <c r="G1400" s="1">
        <v>141204</v>
      </c>
      <c r="H1400" s="63">
        <v>45313</v>
      </c>
      <c r="J1400" s="1"/>
      <c r="K1400" s="1">
        <v>8.1</v>
      </c>
      <c r="L1400" s="1" t="s">
        <v>20</v>
      </c>
      <c r="M1400" s="1" t="s">
        <v>69</v>
      </c>
      <c r="N1400" s="1" t="str">
        <f t="shared" si="21"/>
        <v>Normal</v>
      </c>
    </row>
    <row r="1401" spans="1:14" x14ac:dyDescent="0.25">
      <c r="A1401" s="1" t="s">
        <v>2470</v>
      </c>
      <c r="B1401" s="1" t="s">
        <v>75</v>
      </c>
      <c r="C1401" s="1" t="s">
        <v>474</v>
      </c>
      <c r="D1401" s="1" t="s">
        <v>90</v>
      </c>
      <c r="E1401" s="1" t="s">
        <v>100</v>
      </c>
      <c r="F1401" s="1" t="s">
        <v>40</v>
      </c>
      <c r="G1401" s="1">
        <v>68442</v>
      </c>
      <c r="H1401" s="63">
        <v>45113</v>
      </c>
      <c r="I1401" s="63">
        <v>45252</v>
      </c>
      <c r="J1401" s="1">
        <v>139</v>
      </c>
      <c r="K1401" s="1">
        <v>22.3</v>
      </c>
      <c r="L1401" s="1" t="s">
        <v>20</v>
      </c>
      <c r="M1401" s="1" t="s">
        <v>102</v>
      </c>
      <c r="N1401" s="1" t="str">
        <f t="shared" si="21"/>
        <v>Normal</v>
      </c>
    </row>
    <row r="1402" spans="1:14" x14ac:dyDescent="0.25">
      <c r="A1402" s="1" t="s">
        <v>2471</v>
      </c>
      <c r="B1402" s="1" t="s">
        <v>88</v>
      </c>
      <c r="C1402" s="1" t="s">
        <v>258</v>
      </c>
      <c r="D1402" s="1" t="s">
        <v>90</v>
      </c>
      <c r="E1402" s="1" t="s">
        <v>77</v>
      </c>
      <c r="F1402" s="1" t="s">
        <v>129</v>
      </c>
      <c r="G1402" s="1">
        <v>71763</v>
      </c>
      <c r="H1402" s="63">
        <v>45487</v>
      </c>
      <c r="J1402" s="1"/>
      <c r="K1402" s="1"/>
      <c r="L1402" s="1" t="s">
        <v>49</v>
      </c>
      <c r="M1402" s="1" t="s">
        <v>149</v>
      </c>
      <c r="N1402" s="1" t="str">
        <f t="shared" si="21"/>
        <v>Normal</v>
      </c>
    </row>
    <row r="1403" spans="1:14" x14ac:dyDescent="0.25">
      <c r="A1403" s="1" t="s">
        <v>2472</v>
      </c>
      <c r="B1403" s="1" t="s">
        <v>23</v>
      </c>
      <c r="C1403" s="1" t="s">
        <v>571</v>
      </c>
      <c r="D1403" s="1" t="s">
        <v>46</v>
      </c>
      <c r="E1403" s="1" t="s">
        <v>17</v>
      </c>
      <c r="F1403" s="1" t="s">
        <v>33</v>
      </c>
      <c r="G1403" s="1">
        <v>378321</v>
      </c>
      <c r="H1403" s="63">
        <v>45635</v>
      </c>
      <c r="J1403" s="1"/>
      <c r="K1403" s="1">
        <v>11.5</v>
      </c>
      <c r="L1403" s="1" t="s">
        <v>49</v>
      </c>
      <c r="M1403" s="1" t="s">
        <v>42</v>
      </c>
      <c r="N1403" s="1" t="str">
        <f t="shared" si="21"/>
        <v>Normal</v>
      </c>
    </row>
    <row r="1404" spans="1:14" x14ac:dyDescent="0.25">
      <c r="A1404" s="1" t="s">
        <v>2473</v>
      </c>
      <c r="B1404" s="1" t="s">
        <v>65</v>
      </c>
      <c r="C1404" s="1" t="s">
        <v>398</v>
      </c>
      <c r="D1404" s="1" t="s">
        <v>46</v>
      </c>
      <c r="E1404" s="1" t="s">
        <v>26</v>
      </c>
      <c r="F1404" s="1" t="s">
        <v>27</v>
      </c>
      <c r="G1404" s="1">
        <v>85759</v>
      </c>
      <c r="H1404" s="63">
        <v>45213</v>
      </c>
      <c r="J1404" s="1"/>
      <c r="K1404" s="1">
        <v>4.7</v>
      </c>
      <c r="L1404" s="1" t="s">
        <v>29</v>
      </c>
      <c r="M1404" s="1" t="s">
        <v>21</v>
      </c>
      <c r="N1404" s="1" t="str">
        <f t="shared" si="21"/>
        <v>Normal</v>
      </c>
    </row>
    <row r="1405" spans="1:14" x14ac:dyDescent="0.25">
      <c r="A1405" s="1" t="s">
        <v>2474</v>
      </c>
      <c r="B1405" s="1" t="s">
        <v>98</v>
      </c>
      <c r="C1405" s="1" t="s">
        <v>1172</v>
      </c>
      <c r="D1405" s="1" t="s">
        <v>46</v>
      </c>
      <c r="E1405" s="1" t="s">
        <v>61</v>
      </c>
      <c r="F1405" s="1" t="s">
        <v>129</v>
      </c>
      <c r="G1405" s="1">
        <v>441173</v>
      </c>
      <c r="H1405" s="63">
        <v>45135</v>
      </c>
      <c r="J1405" s="1"/>
      <c r="K1405" s="1">
        <v>4.2</v>
      </c>
      <c r="L1405" s="1" t="s">
        <v>20</v>
      </c>
      <c r="M1405" s="1" t="s">
        <v>102</v>
      </c>
      <c r="N1405" s="1" t="str">
        <f t="shared" si="21"/>
        <v>Normal</v>
      </c>
    </row>
    <row r="1406" spans="1:14" x14ac:dyDescent="0.25">
      <c r="A1406" s="1" t="s">
        <v>2475</v>
      </c>
      <c r="B1406" s="1" t="s">
        <v>59</v>
      </c>
      <c r="C1406" s="1" t="s">
        <v>154</v>
      </c>
      <c r="D1406" s="1" t="s">
        <v>90</v>
      </c>
      <c r="E1406" s="1" t="s">
        <v>47</v>
      </c>
      <c r="F1406" s="1" t="s">
        <v>18</v>
      </c>
      <c r="G1406" s="1">
        <v>151824</v>
      </c>
      <c r="H1406" s="63">
        <v>45033</v>
      </c>
      <c r="I1406" s="63">
        <v>45057</v>
      </c>
      <c r="J1406" s="1">
        <v>24</v>
      </c>
      <c r="K1406" s="1">
        <v>3.4</v>
      </c>
      <c r="L1406" s="1" t="s">
        <v>20</v>
      </c>
      <c r="M1406" s="1" t="s">
        <v>30</v>
      </c>
      <c r="N1406" s="1" t="str">
        <f t="shared" si="21"/>
        <v>Normal</v>
      </c>
    </row>
    <row r="1407" spans="1:14" x14ac:dyDescent="0.25">
      <c r="A1407" s="1" t="s">
        <v>2476</v>
      </c>
      <c r="B1407" s="1" t="s">
        <v>104</v>
      </c>
      <c r="C1407" s="1" t="s">
        <v>381</v>
      </c>
      <c r="D1407" s="1" t="s">
        <v>39</v>
      </c>
      <c r="E1407" s="1" t="s">
        <v>26</v>
      </c>
      <c r="F1407" s="1" t="s">
        <v>129</v>
      </c>
      <c r="G1407" s="1">
        <v>67120</v>
      </c>
      <c r="H1407" s="63">
        <v>45267</v>
      </c>
      <c r="J1407" s="1"/>
      <c r="K1407" s="1">
        <v>2.2000000000000002</v>
      </c>
      <c r="L1407" s="1" t="s">
        <v>96</v>
      </c>
      <c r="M1407" s="1" t="s">
        <v>21</v>
      </c>
      <c r="N1407" s="1" t="str">
        <f t="shared" si="21"/>
        <v>Normal</v>
      </c>
    </row>
    <row r="1408" spans="1:14" x14ac:dyDescent="0.25">
      <c r="A1408" s="1" t="s">
        <v>2477</v>
      </c>
      <c r="B1408" s="1" t="s">
        <v>127</v>
      </c>
      <c r="C1408" s="1" t="s">
        <v>261</v>
      </c>
      <c r="D1408" s="1" t="s">
        <v>39</v>
      </c>
      <c r="E1408" s="1" t="s">
        <v>17</v>
      </c>
      <c r="F1408" s="1" t="s">
        <v>53</v>
      </c>
      <c r="G1408" s="1">
        <v>181023</v>
      </c>
      <c r="H1408" s="63">
        <v>45247</v>
      </c>
      <c r="J1408" s="1"/>
      <c r="K1408" s="1">
        <v>9.5</v>
      </c>
      <c r="L1408" s="1" t="s">
        <v>20</v>
      </c>
      <c r="M1408" s="1" t="s">
        <v>21</v>
      </c>
      <c r="N1408" s="1" t="str">
        <f t="shared" si="21"/>
        <v>Normal</v>
      </c>
    </row>
    <row r="1409" spans="1:14" x14ac:dyDescent="0.25">
      <c r="A1409" s="1" t="s">
        <v>2479</v>
      </c>
      <c r="B1409" s="1" t="s">
        <v>37</v>
      </c>
      <c r="C1409" s="1" t="s">
        <v>1018</v>
      </c>
      <c r="D1409" s="1" t="s">
        <v>39</v>
      </c>
      <c r="E1409" s="1" t="s">
        <v>61</v>
      </c>
      <c r="F1409" s="1" t="s">
        <v>129</v>
      </c>
      <c r="G1409" s="1">
        <v>409839</v>
      </c>
      <c r="H1409" s="63">
        <v>45527</v>
      </c>
      <c r="J1409" s="1"/>
      <c r="K1409" s="1">
        <v>6.8</v>
      </c>
      <c r="L1409" s="1" t="s">
        <v>29</v>
      </c>
      <c r="M1409" s="1" t="s">
        <v>149</v>
      </c>
      <c r="N1409" s="1" t="str">
        <f t="shared" si="21"/>
        <v>Normal</v>
      </c>
    </row>
    <row r="1410" spans="1:14" x14ac:dyDescent="0.25">
      <c r="A1410" s="1" t="s">
        <v>2480</v>
      </c>
      <c r="B1410" s="1" t="s">
        <v>98</v>
      </c>
      <c r="C1410" s="1" t="s">
        <v>1997</v>
      </c>
      <c r="D1410" s="1" t="s">
        <v>16</v>
      </c>
      <c r="E1410" s="1" t="s">
        <v>26</v>
      </c>
      <c r="F1410" s="1" t="s">
        <v>53</v>
      </c>
      <c r="G1410" s="1">
        <v>322585</v>
      </c>
      <c r="H1410" s="63">
        <v>45643</v>
      </c>
      <c r="J1410" s="1"/>
      <c r="K1410" s="1">
        <v>4.9000000000000004</v>
      </c>
      <c r="L1410" s="1" t="s">
        <v>96</v>
      </c>
      <c r="M1410" s="1" t="s">
        <v>42</v>
      </c>
      <c r="N1410" s="1" t="str">
        <f t="shared" ref="N1410:N1473" si="22">IF(G1410&gt;$R$5,"High Outlier",IF(G1410&lt;$R$6,"Low Outlier","Normal"))</f>
        <v>Normal</v>
      </c>
    </row>
    <row r="1411" spans="1:14" x14ac:dyDescent="0.25">
      <c r="A1411" s="1" t="s">
        <v>2481</v>
      </c>
      <c r="B1411" s="1" t="s">
        <v>80</v>
      </c>
      <c r="C1411" s="1" t="s">
        <v>1397</v>
      </c>
      <c r="D1411" s="1" t="s">
        <v>25</v>
      </c>
      <c r="E1411" s="1" t="s">
        <v>61</v>
      </c>
      <c r="F1411" s="1" t="s">
        <v>53</v>
      </c>
      <c r="G1411" s="1">
        <v>198110</v>
      </c>
      <c r="H1411" s="63">
        <v>45552</v>
      </c>
      <c r="J1411" s="1"/>
      <c r="K1411" s="1">
        <v>14.7</v>
      </c>
      <c r="L1411" s="1" t="s">
        <v>20</v>
      </c>
      <c r="M1411" s="1" t="s">
        <v>149</v>
      </c>
      <c r="N1411" s="1" t="str">
        <f t="shared" si="22"/>
        <v>Normal</v>
      </c>
    </row>
    <row r="1412" spans="1:14" x14ac:dyDescent="0.25">
      <c r="A1412" s="1" t="s">
        <v>2482</v>
      </c>
      <c r="B1412" s="1" t="s">
        <v>104</v>
      </c>
      <c r="C1412" s="1" t="s">
        <v>93</v>
      </c>
      <c r="D1412" s="1" t="s">
        <v>90</v>
      </c>
      <c r="E1412" s="1" t="s">
        <v>17</v>
      </c>
      <c r="F1412" s="1" t="s">
        <v>27</v>
      </c>
      <c r="G1412" s="1">
        <v>414652</v>
      </c>
      <c r="H1412" s="63">
        <v>45539</v>
      </c>
      <c r="J1412" s="1"/>
      <c r="K1412" s="1">
        <v>6</v>
      </c>
      <c r="L1412" s="1" t="s">
        <v>49</v>
      </c>
      <c r="M1412" s="1" t="s">
        <v>149</v>
      </c>
      <c r="N1412" s="1" t="str">
        <f t="shared" si="22"/>
        <v>Normal</v>
      </c>
    </row>
    <row r="1413" spans="1:14" x14ac:dyDescent="0.25">
      <c r="A1413" s="1" t="s">
        <v>2484</v>
      </c>
      <c r="B1413" s="1" t="s">
        <v>23</v>
      </c>
      <c r="C1413" s="1" t="s">
        <v>1050</v>
      </c>
      <c r="D1413" s="1" t="s">
        <v>16</v>
      </c>
      <c r="E1413" s="1" t="s">
        <v>26</v>
      </c>
      <c r="F1413" s="1" t="s">
        <v>18</v>
      </c>
      <c r="G1413" s="1">
        <v>389080</v>
      </c>
      <c r="H1413" s="63">
        <v>45067</v>
      </c>
      <c r="I1413" s="63">
        <v>45177</v>
      </c>
      <c r="J1413" s="1">
        <v>110</v>
      </c>
      <c r="K1413" s="1">
        <v>7.8</v>
      </c>
      <c r="L1413" s="1" t="s">
        <v>96</v>
      </c>
      <c r="M1413" s="1" t="s">
        <v>30</v>
      </c>
      <c r="N1413" s="1" t="str">
        <f t="shared" si="22"/>
        <v>Normal</v>
      </c>
    </row>
    <row r="1414" spans="1:14" x14ac:dyDescent="0.25">
      <c r="A1414" s="1" t="s">
        <v>2485</v>
      </c>
      <c r="B1414" s="1" t="s">
        <v>109</v>
      </c>
      <c r="C1414" s="1" t="s">
        <v>1009</v>
      </c>
      <c r="D1414" s="1" t="s">
        <v>90</v>
      </c>
      <c r="E1414" s="1" t="s">
        <v>77</v>
      </c>
      <c r="F1414" s="1" t="s">
        <v>33</v>
      </c>
      <c r="G1414" s="1">
        <v>81342</v>
      </c>
      <c r="H1414" s="63">
        <v>45740</v>
      </c>
      <c r="J1414" s="1"/>
      <c r="K1414" s="1">
        <v>1.6</v>
      </c>
      <c r="L1414" s="1" t="s">
        <v>29</v>
      </c>
      <c r="M1414" s="1" t="s">
        <v>63</v>
      </c>
      <c r="N1414" s="1" t="str">
        <f t="shared" si="22"/>
        <v>Normal</v>
      </c>
    </row>
    <row r="1415" spans="1:14" x14ac:dyDescent="0.25">
      <c r="A1415" s="1" t="s">
        <v>2487</v>
      </c>
      <c r="B1415" s="1" t="s">
        <v>127</v>
      </c>
      <c r="C1415" s="1" t="s">
        <v>831</v>
      </c>
      <c r="D1415" s="1" t="s">
        <v>39</v>
      </c>
      <c r="E1415" s="1" t="s">
        <v>72</v>
      </c>
      <c r="F1415" s="1" t="s">
        <v>129</v>
      </c>
      <c r="G1415" s="1">
        <v>187381</v>
      </c>
      <c r="H1415" s="63">
        <v>45505</v>
      </c>
      <c r="J1415" s="1"/>
      <c r="K1415" s="1"/>
      <c r="L1415" s="1" t="s">
        <v>20</v>
      </c>
      <c r="M1415" s="1" t="s">
        <v>149</v>
      </c>
      <c r="N1415" s="1" t="str">
        <f t="shared" si="22"/>
        <v>Normal</v>
      </c>
    </row>
    <row r="1416" spans="1:14" x14ac:dyDescent="0.25">
      <c r="A1416" s="1" t="s">
        <v>2488</v>
      </c>
      <c r="B1416" s="1" t="s">
        <v>14</v>
      </c>
      <c r="C1416" s="1" t="s">
        <v>352</v>
      </c>
      <c r="D1416" s="1" t="s">
        <v>90</v>
      </c>
      <c r="E1416" s="1" t="s">
        <v>77</v>
      </c>
      <c r="F1416" s="1" t="s">
        <v>33</v>
      </c>
      <c r="G1416" s="1">
        <v>127186</v>
      </c>
      <c r="H1416" s="63">
        <v>45614</v>
      </c>
      <c r="J1416" s="1"/>
      <c r="K1416" s="1">
        <v>6.5</v>
      </c>
      <c r="L1416" s="1" t="s">
        <v>20</v>
      </c>
      <c r="M1416" s="1" t="s">
        <v>42</v>
      </c>
      <c r="N1416" s="1" t="str">
        <f t="shared" si="22"/>
        <v>Normal</v>
      </c>
    </row>
    <row r="1417" spans="1:14" x14ac:dyDescent="0.25">
      <c r="A1417" s="1" t="s">
        <v>2489</v>
      </c>
      <c r="B1417" s="1" t="s">
        <v>127</v>
      </c>
      <c r="C1417" s="1" t="s">
        <v>162</v>
      </c>
      <c r="D1417" s="1" t="s">
        <v>46</v>
      </c>
      <c r="E1417" s="1" t="s">
        <v>47</v>
      </c>
      <c r="F1417" s="1" t="s">
        <v>40</v>
      </c>
      <c r="G1417" s="1">
        <v>192123</v>
      </c>
      <c r="H1417" s="63">
        <v>45249</v>
      </c>
      <c r="I1417" s="63">
        <v>45327</v>
      </c>
      <c r="J1417" s="1">
        <v>78</v>
      </c>
      <c r="K1417" s="1">
        <v>1.4</v>
      </c>
      <c r="L1417" s="1" t="s">
        <v>49</v>
      </c>
      <c r="M1417" s="1" t="s">
        <v>21</v>
      </c>
      <c r="N1417" s="1" t="str">
        <f t="shared" si="22"/>
        <v>Normal</v>
      </c>
    </row>
    <row r="1418" spans="1:14" x14ac:dyDescent="0.25">
      <c r="A1418" s="1" t="s">
        <v>2490</v>
      </c>
      <c r="B1418" s="1" t="s">
        <v>127</v>
      </c>
      <c r="C1418" s="1" t="s">
        <v>186</v>
      </c>
      <c r="D1418" s="1" t="s">
        <v>90</v>
      </c>
      <c r="E1418" s="1" t="s">
        <v>72</v>
      </c>
      <c r="F1418" s="1" t="s">
        <v>129</v>
      </c>
      <c r="G1418" s="1">
        <v>116870</v>
      </c>
      <c r="H1418" s="63">
        <v>45055</v>
      </c>
      <c r="J1418" s="1"/>
      <c r="K1418" s="1"/>
      <c r="L1418" s="1" t="s">
        <v>49</v>
      </c>
      <c r="M1418" s="1" t="s">
        <v>30</v>
      </c>
      <c r="N1418" s="1" t="str">
        <f t="shared" si="22"/>
        <v>Normal</v>
      </c>
    </row>
    <row r="1419" spans="1:14" x14ac:dyDescent="0.25">
      <c r="A1419" s="1" t="s">
        <v>2491</v>
      </c>
      <c r="B1419" s="1" t="s">
        <v>23</v>
      </c>
      <c r="C1419" s="1" t="s">
        <v>1191</v>
      </c>
      <c r="D1419" s="1" t="s">
        <v>90</v>
      </c>
      <c r="E1419" s="1" t="s">
        <v>77</v>
      </c>
      <c r="F1419" s="1" t="s">
        <v>129</v>
      </c>
      <c r="G1419" s="1">
        <v>271366</v>
      </c>
      <c r="H1419" s="63">
        <v>45376</v>
      </c>
      <c r="J1419" s="1"/>
      <c r="K1419" s="1">
        <v>6.7</v>
      </c>
      <c r="L1419" s="1" t="s">
        <v>96</v>
      </c>
      <c r="M1419" s="1" t="s">
        <v>69</v>
      </c>
      <c r="N1419" s="1" t="str">
        <f t="shared" si="22"/>
        <v>Normal</v>
      </c>
    </row>
    <row r="1420" spans="1:14" x14ac:dyDescent="0.25">
      <c r="A1420" s="1" t="s">
        <v>2492</v>
      </c>
      <c r="B1420" s="1" t="s">
        <v>44</v>
      </c>
      <c r="C1420" s="1" t="s">
        <v>38</v>
      </c>
      <c r="D1420" s="1" t="s">
        <v>67</v>
      </c>
      <c r="E1420" s="1" t="s">
        <v>77</v>
      </c>
      <c r="F1420" s="1" t="s">
        <v>27</v>
      </c>
      <c r="G1420" s="1">
        <v>484191</v>
      </c>
      <c r="H1420" s="63">
        <v>45472</v>
      </c>
      <c r="J1420" s="1"/>
      <c r="K1420" s="1"/>
      <c r="L1420" s="1" t="s">
        <v>20</v>
      </c>
      <c r="M1420" s="1" t="s">
        <v>107</v>
      </c>
      <c r="N1420" s="1" t="str">
        <f t="shared" si="22"/>
        <v>Normal</v>
      </c>
    </row>
    <row r="1421" spans="1:14" x14ac:dyDescent="0.25">
      <c r="A1421" s="1" t="s">
        <v>2493</v>
      </c>
      <c r="B1421" s="1" t="s">
        <v>104</v>
      </c>
      <c r="C1421" s="1" t="s">
        <v>1147</v>
      </c>
      <c r="D1421" s="1" t="s">
        <v>16</v>
      </c>
      <c r="E1421" s="1" t="s">
        <v>94</v>
      </c>
      <c r="F1421" s="1" t="s">
        <v>40</v>
      </c>
      <c r="G1421" s="1">
        <v>400048</v>
      </c>
      <c r="H1421" s="63">
        <v>45360</v>
      </c>
      <c r="I1421" s="63">
        <v>45430</v>
      </c>
      <c r="J1421" s="1">
        <v>70</v>
      </c>
      <c r="K1421" s="1">
        <v>4.4000000000000004</v>
      </c>
      <c r="L1421" s="1" t="s">
        <v>49</v>
      </c>
      <c r="M1421" s="1" t="s">
        <v>69</v>
      </c>
      <c r="N1421" s="1" t="str">
        <f t="shared" si="22"/>
        <v>Normal</v>
      </c>
    </row>
    <row r="1422" spans="1:14" x14ac:dyDescent="0.25">
      <c r="A1422" s="1" t="s">
        <v>2495</v>
      </c>
      <c r="B1422" s="1" t="s">
        <v>4829</v>
      </c>
      <c r="C1422" s="1" t="s">
        <v>650</v>
      </c>
      <c r="D1422" s="1" t="s">
        <v>67</v>
      </c>
      <c r="E1422" s="1" t="s">
        <v>72</v>
      </c>
      <c r="F1422" s="1" t="s">
        <v>53</v>
      </c>
      <c r="G1422" s="1">
        <v>208061</v>
      </c>
      <c r="H1422" s="63">
        <v>45008</v>
      </c>
      <c r="J1422" s="1"/>
      <c r="K1422" s="1">
        <v>14.4</v>
      </c>
      <c r="L1422" s="1" t="s">
        <v>49</v>
      </c>
      <c r="M1422" s="1" t="s">
        <v>35</v>
      </c>
      <c r="N1422" s="1" t="str">
        <f t="shared" si="22"/>
        <v>Normal</v>
      </c>
    </row>
    <row r="1423" spans="1:14" x14ac:dyDescent="0.25">
      <c r="A1423" s="1" t="s">
        <v>2497</v>
      </c>
      <c r="B1423" s="1" t="s">
        <v>80</v>
      </c>
      <c r="C1423" s="1" t="s">
        <v>939</v>
      </c>
      <c r="D1423" s="1" t="s">
        <v>16</v>
      </c>
      <c r="E1423" s="1" t="s">
        <v>94</v>
      </c>
      <c r="F1423" s="1" t="s">
        <v>40</v>
      </c>
      <c r="G1423" s="1">
        <v>409767</v>
      </c>
      <c r="H1423" s="63">
        <v>45097</v>
      </c>
      <c r="I1423" s="63">
        <v>45220</v>
      </c>
      <c r="J1423" s="1">
        <v>123</v>
      </c>
      <c r="K1423" s="1">
        <v>2.5</v>
      </c>
      <c r="L1423" s="1" t="s">
        <v>20</v>
      </c>
      <c r="M1423" s="1" t="s">
        <v>30</v>
      </c>
      <c r="N1423" s="1" t="str">
        <f t="shared" si="22"/>
        <v>Normal</v>
      </c>
    </row>
    <row r="1424" spans="1:14" x14ac:dyDescent="0.25">
      <c r="A1424" s="1" t="s">
        <v>2498</v>
      </c>
      <c r="B1424" s="1" t="s">
        <v>80</v>
      </c>
      <c r="C1424" s="1" t="s">
        <v>284</v>
      </c>
      <c r="D1424" s="1" t="s">
        <v>16</v>
      </c>
      <c r="E1424" s="1" t="s">
        <v>26</v>
      </c>
      <c r="F1424" s="1" t="s">
        <v>40</v>
      </c>
      <c r="G1424" s="1">
        <v>284225</v>
      </c>
      <c r="H1424" s="63">
        <v>45573</v>
      </c>
      <c r="I1424" s="63">
        <v>45631</v>
      </c>
      <c r="J1424" s="1">
        <v>58</v>
      </c>
      <c r="K1424" s="1">
        <v>20.9</v>
      </c>
      <c r="L1424" s="1" t="s">
        <v>20</v>
      </c>
      <c r="M1424" s="1" t="s">
        <v>42</v>
      </c>
      <c r="N1424" s="1" t="str">
        <f t="shared" si="22"/>
        <v>Normal</v>
      </c>
    </row>
    <row r="1425" spans="1:14" x14ac:dyDescent="0.25">
      <c r="A1425" s="1" t="s">
        <v>2499</v>
      </c>
      <c r="B1425" s="1" t="s">
        <v>14</v>
      </c>
      <c r="C1425" s="1" t="s">
        <v>486</v>
      </c>
      <c r="D1425" s="1" t="s">
        <v>46</v>
      </c>
      <c r="E1425" s="1" t="s">
        <v>100</v>
      </c>
      <c r="F1425" s="1" t="s">
        <v>33</v>
      </c>
      <c r="G1425" s="1">
        <v>488711</v>
      </c>
      <c r="H1425" s="63">
        <v>45747</v>
      </c>
      <c r="J1425" s="1"/>
      <c r="K1425" s="1">
        <v>9.4</v>
      </c>
      <c r="L1425" s="1" t="s">
        <v>49</v>
      </c>
      <c r="M1425" s="1" t="s">
        <v>63</v>
      </c>
      <c r="N1425" s="1" t="str">
        <f t="shared" si="22"/>
        <v>Normal</v>
      </c>
    </row>
    <row r="1426" spans="1:14" x14ac:dyDescent="0.25">
      <c r="A1426" s="1" t="s">
        <v>2500</v>
      </c>
      <c r="B1426" s="1" t="s">
        <v>173</v>
      </c>
      <c r="C1426" s="1" t="s">
        <v>316</v>
      </c>
      <c r="D1426" s="1" t="s">
        <v>67</v>
      </c>
      <c r="E1426" s="1" t="s">
        <v>72</v>
      </c>
      <c r="F1426" s="1" t="s">
        <v>129</v>
      </c>
      <c r="G1426" s="1">
        <v>338655</v>
      </c>
      <c r="H1426" s="63">
        <v>45023</v>
      </c>
      <c r="J1426" s="1"/>
      <c r="K1426" s="1">
        <v>14.3</v>
      </c>
      <c r="L1426" s="1" t="s">
        <v>49</v>
      </c>
      <c r="M1426" s="1" t="s">
        <v>30</v>
      </c>
      <c r="N1426" s="1" t="str">
        <f t="shared" si="22"/>
        <v>Normal</v>
      </c>
    </row>
    <row r="1427" spans="1:14" x14ac:dyDescent="0.25">
      <c r="A1427" s="1" t="s">
        <v>2502</v>
      </c>
      <c r="B1427" s="1" t="s">
        <v>59</v>
      </c>
      <c r="C1427" s="1" t="s">
        <v>2503</v>
      </c>
      <c r="D1427" s="1" t="s">
        <v>90</v>
      </c>
      <c r="E1427" s="1" t="s">
        <v>61</v>
      </c>
      <c r="F1427" s="1" t="s">
        <v>27</v>
      </c>
      <c r="G1427" s="1">
        <v>433408</v>
      </c>
      <c r="H1427" s="63">
        <v>44940</v>
      </c>
      <c r="J1427" s="1"/>
      <c r="K1427" s="1">
        <v>3.1</v>
      </c>
      <c r="L1427" s="1" t="s">
        <v>20</v>
      </c>
      <c r="M1427" s="1" t="s">
        <v>35</v>
      </c>
      <c r="N1427" s="1" t="str">
        <f t="shared" si="22"/>
        <v>Normal</v>
      </c>
    </row>
    <row r="1428" spans="1:14" x14ac:dyDescent="0.25">
      <c r="A1428" s="1" t="s">
        <v>2504</v>
      </c>
      <c r="B1428" s="1" t="s">
        <v>14</v>
      </c>
      <c r="C1428" s="1" t="s">
        <v>539</v>
      </c>
      <c r="D1428" s="1" t="s">
        <v>67</v>
      </c>
      <c r="E1428" s="1" t="s">
        <v>47</v>
      </c>
      <c r="F1428" s="1" t="s">
        <v>18</v>
      </c>
      <c r="G1428" s="1">
        <v>121849</v>
      </c>
      <c r="H1428" s="63">
        <v>45729</v>
      </c>
      <c r="I1428" s="63">
        <v>45836</v>
      </c>
      <c r="J1428" s="1">
        <v>107</v>
      </c>
      <c r="K1428" s="1">
        <v>7.9</v>
      </c>
      <c r="L1428" s="1" t="s">
        <v>29</v>
      </c>
      <c r="M1428" s="1" t="s">
        <v>63</v>
      </c>
      <c r="N1428" s="1" t="str">
        <f t="shared" si="22"/>
        <v>Normal</v>
      </c>
    </row>
    <row r="1429" spans="1:14" x14ac:dyDescent="0.25">
      <c r="A1429" s="1" t="s">
        <v>2505</v>
      </c>
      <c r="B1429" s="1" t="s">
        <v>84</v>
      </c>
      <c r="C1429" s="1" t="s">
        <v>531</v>
      </c>
      <c r="D1429" s="1" t="s">
        <v>16</v>
      </c>
      <c r="E1429" s="1" t="s">
        <v>72</v>
      </c>
      <c r="F1429" s="1" t="s">
        <v>40</v>
      </c>
      <c r="G1429" s="1">
        <v>336940</v>
      </c>
      <c r="H1429" s="63">
        <v>45110</v>
      </c>
      <c r="I1429" s="63">
        <v>45223</v>
      </c>
      <c r="J1429" s="1">
        <v>113</v>
      </c>
      <c r="K1429" s="1">
        <v>16.7</v>
      </c>
      <c r="L1429" s="1" t="s">
        <v>96</v>
      </c>
      <c r="M1429" s="1" t="s">
        <v>102</v>
      </c>
      <c r="N1429" s="1" t="str">
        <f t="shared" si="22"/>
        <v>Normal</v>
      </c>
    </row>
    <row r="1430" spans="1:14" x14ac:dyDescent="0.25">
      <c r="A1430" s="1" t="s">
        <v>2506</v>
      </c>
      <c r="B1430" s="1" t="s">
        <v>127</v>
      </c>
      <c r="C1430" s="1" t="s">
        <v>2503</v>
      </c>
      <c r="D1430" s="1" t="s">
        <v>90</v>
      </c>
      <c r="E1430" s="1" t="s">
        <v>26</v>
      </c>
      <c r="F1430" s="1" t="s">
        <v>40</v>
      </c>
      <c r="G1430" s="1">
        <v>47015</v>
      </c>
      <c r="H1430" s="63">
        <v>45382</v>
      </c>
      <c r="I1430" s="63">
        <v>45504</v>
      </c>
      <c r="J1430" s="1">
        <v>122</v>
      </c>
      <c r="K1430" s="1">
        <v>7.8</v>
      </c>
      <c r="L1430" s="1" t="s">
        <v>96</v>
      </c>
      <c r="M1430" s="1" t="s">
        <v>69</v>
      </c>
      <c r="N1430" s="1" t="str">
        <f t="shared" si="22"/>
        <v>Normal</v>
      </c>
    </row>
    <row r="1431" spans="1:14" x14ac:dyDescent="0.25">
      <c r="A1431" s="1" t="s">
        <v>2508</v>
      </c>
      <c r="B1431" s="1" t="s">
        <v>127</v>
      </c>
      <c r="C1431" s="1" t="s">
        <v>1204</v>
      </c>
      <c r="D1431" s="1" t="s">
        <v>46</v>
      </c>
      <c r="E1431" s="1" t="s">
        <v>94</v>
      </c>
      <c r="F1431" s="1" t="s">
        <v>40</v>
      </c>
      <c r="G1431" s="1">
        <v>291055</v>
      </c>
      <c r="H1431" s="63">
        <v>45676</v>
      </c>
      <c r="I1431" s="63">
        <v>45754</v>
      </c>
      <c r="J1431" s="1">
        <v>78</v>
      </c>
      <c r="K1431" s="1">
        <v>13.9</v>
      </c>
      <c r="L1431" s="1" t="s">
        <v>49</v>
      </c>
      <c r="M1431" s="1" t="s">
        <v>63</v>
      </c>
      <c r="N1431" s="1" t="str">
        <f t="shared" si="22"/>
        <v>Normal</v>
      </c>
    </row>
    <row r="1432" spans="1:14" x14ac:dyDescent="0.25">
      <c r="A1432" s="1" t="s">
        <v>2509</v>
      </c>
      <c r="B1432" s="1" t="s">
        <v>37</v>
      </c>
      <c r="C1432" s="1" t="s">
        <v>1153</v>
      </c>
      <c r="D1432" s="1" t="s">
        <v>90</v>
      </c>
      <c r="E1432" s="1" t="s">
        <v>94</v>
      </c>
      <c r="F1432" s="1" t="s">
        <v>33</v>
      </c>
      <c r="G1432" s="1">
        <v>12575</v>
      </c>
      <c r="H1432" s="63">
        <v>45151</v>
      </c>
      <c r="J1432" s="1"/>
      <c r="K1432" s="1">
        <v>5.9</v>
      </c>
      <c r="L1432" s="1" t="s">
        <v>49</v>
      </c>
      <c r="M1432" s="1" t="s">
        <v>102</v>
      </c>
      <c r="N1432" s="1" t="str">
        <f t="shared" si="22"/>
        <v>Normal</v>
      </c>
    </row>
    <row r="1433" spans="1:14" x14ac:dyDescent="0.25">
      <c r="A1433" s="1" t="s">
        <v>2511</v>
      </c>
      <c r="B1433" s="1" t="s">
        <v>127</v>
      </c>
      <c r="C1433" s="1" t="s">
        <v>1172</v>
      </c>
      <c r="D1433" s="1" t="s">
        <v>90</v>
      </c>
      <c r="E1433" s="1" t="s">
        <v>72</v>
      </c>
      <c r="F1433" s="1" t="s">
        <v>40</v>
      </c>
      <c r="G1433" s="1">
        <v>166887</v>
      </c>
      <c r="H1433" s="63">
        <v>45119</v>
      </c>
      <c r="I1433" s="63">
        <v>45297</v>
      </c>
      <c r="J1433" s="1">
        <v>178</v>
      </c>
      <c r="K1433" s="1">
        <v>21.5</v>
      </c>
      <c r="L1433" s="1" t="s">
        <v>96</v>
      </c>
      <c r="M1433" s="1" t="s">
        <v>102</v>
      </c>
      <c r="N1433" s="1" t="str">
        <f t="shared" si="22"/>
        <v>Normal</v>
      </c>
    </row>
    <row r="1434" spans="1:14" x14ac:dyDescent="0.25">
      <c r="A1434" s="1" t="s">
        <v>2512</v>
      </c>
      <c r="B1434" s="1" t="s">
        <v>173</v>
      </c>
      <c r="C1434" s="1" t="s">
        <v>574</v>
      </c>
      <c r="D1434" s="1" t="s">
        <v>16</v>
      </c>
      <c r="E1434" s="1" t="s">
        <v>47</v>
      </c>
      <c r="F1434" s="1" t="s">
        <v>129</v>
      </c>
      <c r="G1434" s="1">
        <v>36978</v>
      </c>
      <c r="H1434" s="63">
        <v>45733</v>
      </c>
      <c r="J1434" s="1"/>
      <c r="K1434" s="1">
        <v>4.9000000000000004</v>
      </c>
      <c r="L1434" s="1" t="s">
        <v>49</v>
      </c>
      <c r="M1434" s="1" t="s">
        <v>63</v>
      </c>
      <c r="N1434" s="1" t="str">
        <f t="shared" si="22"/>
        <v>Normal</v>
      </c>
    </row>
    <row r="1435" spans="1:14" x14ac:dyDescent="0.25">
      <c r="A1435" s="1" t="s">
        <v>2513</v>
      </c>
      <c r="B1435" s="1" t="s">
        <v>44</v>
      </c>
      <c r="C1435" s="1" t="s">
        <v>313</v>
      </c>
      <c r="D1435" s="1" t="s">
        <v>67</v>
      </c>
      <c r="E1435" s="1" t="s">
        <v>26</v>
      </c>
      <c r="F1435" s="1" t="s">
        <v>129</v>
      </c>
      <c r="G1435" s="1">
        <v>223425</v>
      </c>
      <c r="H1435" s="63">
        <v>44956</v>
      </c>
      <c r="J1435" s="1"/>
      <c r="K1435" s="1"/>
      <c r="L1435" s="1" t="s">
        <v>96</v>
      </c>
      <c r="M1435" s="1" t="s">
        <v>35</v>
      </c>
      <c r="N1435" s="1" t="str">
        <f t="shared" si="22"/>
        <v>Normal</v>
      </c>
    </row>
    <row r="1436" spans="1:14" x14ac:dyDescent="0.25">
      <c r="A1436" s="1" t="s">
        <v>2514</v>
      </c>
      <c r="B1436" s="1" t="s">
        <v>23</v>
      </c>
      <c r="C1436" s="1" t="s">
        <v>1352</v>
      </c>
      <c r="D1436" s="1" t="s">
        <v>25</v>
      </c>
      <c r="E1436" s="1" t="s">
        <v>4845</v>
      </c>
      <c r="F1436" s="1" t="s">
        <v>53</v>
      </c>
      <c r="G1436" s="1">
        <v>238647</v>
      </c>
      <c r="H1436" s="63">
        <v>44947</v>
      </c>
      <c r="J1436" s="1"/>
      <c r="K1436" s="1"/>
      <c r="L1436" s="1" t="s">
        <v>29</v>
      </c>
      <c r="M1436" s="1" t="s">
        <v>35</v>
      </c>
      <c r="N1436" s="1" t="str">
        <f t="shared" si="22"/>
        <v>Normal</v>
      </c>
    </row>
    <row r="1437" spans="1:14" x14ac:dyDescent="0.25">
      <c r="A1437" s="1" t="s">
        <v>2515</v>
      </c>
      <c r="B1437" s="1" t="s">
        <v>37</v>
      </c>
      <c r="C1437" s="1" t="s">
        <v>52</v>
      </c>
      <c r="D1437" s="1" t="s">
        <v>90</v>
      </c>
      <c r="E1437" s="1" t="s">
        <v>61</v>
      </c>
      <c r="F1437" s="1" t="s">
        <v>53</v>
      </c>
      <c r="G1437" s="1">
        <v>431903</v>
      </c>
      <c r="H1437" s="63">
        <v>45589</v>
      </c>
      <c r="J1437" s="1"/>
      <c r="K1437" s="1">
        <v>9.9</v>
      </c>
      <c r="L1437" s="1" t="s">
        <v>49</v>
      </c>
      <c r="M1437" s="1" t="s">
        <v>42</v>
      </c>
      <c r="N1437" s="1" t="str">
        <f t="shared" si="22"/>
        <v>Normal</v>
      </c>
    </row>
    <row r="1438" spans="1:14" x14ac:dyDescent="0.25">
      <c r="A1438" s="1" t="s">
        <v>2516</v>
      </c>
      <c r="B1438" s="1" t="s">
        <v>98</v>
      </c>
      <c r="C1438" s="1" t="s">
        <v>1248</v>
      </c>
      <c r="D1438" s="1" t="s">
        <v>90</v>
      </c>
      <c r="E1438" s="1" t="s">
        <v>4845</v>
      </c>
      <c r="F1438" s="1" t="s">
        <v>27</v>
      </c>
      <c r="G1438" s="1">
        <v>201355</v>
      </c>
      <c r="H1438" s="63">
        <v>45036</v>
      </c>
      <c r="J1438" s="1"/>
      <c r="K1438" s="1">
        <v>8.5</v>
      </c>
      <c r="L1438" s="1" t="s">
        <v>20</v>
      </c>
      <c r="M1438" s="1" t="s">
        <v>30</v>
      </c>
      <c r="N1438" s="1" t="str">
        <f t="shared" si="22"/>
        <v>Normal</v>
      </c>
    </row>
    <row r="1439" spans="1:14" x14ac:dyDescent="0.25">
      <c r="A1439" s="1" t="s">
        <v>2517</v>
      </c>
      <c r="B1439" s="1" t="s">
        <v>104</v>
      </c>
      <c r="C1439" s="1" t="s">
        <v>160</v>
      </c>
      <c r="D1439" s="1" t="s">
        <v>16</v>
      </c>
      <c r="E1439" s="1" t="s">
        <v>26</v>
      </c>
      <c r="F1439" s="1" t="s">
        <v>18</v>
      </c>
      <c r="G1439" s="1">
        <v>237700</v>
      </c>
      <c r="H1439" s="63">
        <v>45050</v>
      </c>
      <c r="I1439" s="63">
        <v>45123</v>
      </c>
      <c r="J1439" s="1">
        <v>73</v>
      </c>
      <c r="K1439" s="1">
        <v>12.7</v>
      </c>
      <c r="L1439" s="1" t="s">
        <v>20</v>
      </c>
      <c r="M1439" s="1" t="s">
        <v>30</v>
      </c>
      <c r="N1439" s="1" t="str">
        <f t="shared" si="22"/>
        <v>Normal</v>
      </c>
    </row>
    <row r="1440" spans="1:14" x14ac:dyDescent="0.25">
      <c r="A1440" s="1" t="s">
        <v>2518</v>
      </c>
      <c r="B1440" s="1" t="s">
        <v>104</v>
      </c>
      <c r="C1440" s="1" t="s">
        <v>874</v>
      </c>
      <c r="D1440" s="1" t="s">
        <v>90</v>
      </c>
      <c r="E1440" s="1" t="s">
        <v>77</v>
      </c>
      <c r="F1440" s="1" t="s">
        <v>53</v>
      </c>
      <c r="G1440" s="1">
        <v>431670</v>
      </c>
      <c r="H1440" s="63">
        <v>45624</v>
      </c>
      <c r="J1440" s="1"/>
      <c r="K1440" s="1">
        <v>3.1</v>
      </c>
      <c r="L1440" s="1" t="s">
        <v>29</v>
      </c>
      <c r="M1440" s="1" t="s">
        <v>42</v>
      </c>
      <c r="N1440" s="1" t="str">
        <f t="shared" si="22"/>
        <v>Normal</v>
      </c>
    </row>
    <row r="1441" spans="1:14" x14ac:dyDescent="0.25">
      <c r="A1441" s="1" t="s">
        <v>2520</v>
      </c>
      <c r="B1441" s="1" t="s">
        <v>4829</v>
      </c>
      <c r="C1441" s="1" t="s">
        <v>119</v>
      </c>
      <c r="D1441" s="1" t="s">
        <v>16</v>
      </c>
      <c r="E1441" s="1" t="s">
        <v>4845</v>
      </c>
      <c r="F1441" s="1" t="s">
        <v>129</v>
      </c>
      <c r="G1441" s="1">
        <v>324317</v>
      </c>
      <c r="H1441" s="63">
        <v>45635</v>
      </c>
      <c r="J1441" s="1"/>
      <c r="K1441" s="1">
        <v>2</v>
      </c>
      <c r="L1441" s="1" t="s">
        <v>20</v>
      </c>
      <c r="M1441" s="1" t="s">
        <v>42</v>
      </c>
      <c r="N1441" s="1" t="str">
        <f t="shared" si="22"/>
        <v>Normal</v>
      </c>
    </row>
    <row r="1442" spans="1:14" x14ac:dyDescent="0.25">
      <c r="A1442" s="1" t="s">
        <v>2521</v>
      </c>
      <c r="B1442" s="1" t="s">
        <v>44</v>
      </c>
      <c r="C1442" s="1" t="s">
        <v>151</v>
      </c>
      <c r="D1442" s="1" t="s">
        <v>39</v>
      </c>
      <c r="E1442" s="1" t="s">
        <v>100</v>
      </c>
      <c r="F1442" s="1" t="s">
        <v>53</v>
      </c>
      <c r="G1442" s="1">
        <v>139740</v>
      </c>
      <c r="H1442" s="63">
        <v>45197</v>
      </c>
      <c r="J1442" s="1"/>
      <c r="K1442" s="1">
        <v>13.8</v>
      </c>
      <c r="L1442" s="1" t="s">
        <v>49</v>
      </c>
      <c r="M1442" s="1" t="s">
        <v>102</v>
      </c>
      <c r="N1442" s="1" t="str">
        <f t="shared" si="22"/>
        <v>Normal</v>
      </c>
    </row>
    <row r="1443" spans="1:14" x14ac:dyDescent="0.25">
      <c r="A1443" s="1" t="s">
        <v>2522</v>
      </c>
      <c r="B1443" s="1" t="s">
        <v>127</v>
      </c>
      <c r="C1443" s="1" t="s">
        <v>1144</v>
      </c>
      <c r="D1443" s="1" t="s">
        <v>25</v>
      </c>
      <c r="E1443" s="1" t="s">
        <v>26</v>
      </c>
      <c r="F1443" s="1" t="s">
        <v>129</v>
      </c>
      <c r="G1443" s="1">
        <v>214867</v>
      </c>
      <c r="H1443" s="63">
        <v>45096</v>
      </c>
      <c r="J1443" s="1"/>
      <c r="K1443" s="1">
        <v>13.8</v>
      </c>
      <c r="L1443" s="1" t="s">
        <v>49</v>
      </c>
      <c r="M1443" s="1" t="s">
        <v>30</v>
      </c>
      <c r="N1443" s="1" t="str">
        <f t="shared" si="22"/>
        <v>Normal</v>
      </c>
    </row>
    <row r="1444" spans="1:14" x14ac:dyDescent="0.25">
      <c r="A1444" s="1" t="s">
        <v>2523</v>
      </c>
      <c r="B1444" s="1" t="s">
        <v>88</v>
      </c>
      <c r="C1444" s="1" t="s">
        <v>483</v>
      </c>
      <c r="D1444" s="1" t="s">
        <v>25</v>
      </c>
      <c r="E1444" s="1" t="s">
        <v>77</v>
      </c>
      <c r="F1444" s="1" t="s">
        <v>53</v>
      </c>
      <c r="G1444" s="1">
        <v>272595</v>
      </c>
      <c r="H1444" s="63">
        <v>45668</v>
      </c>
      <c r="J1444" s="1"/>
      <c r="K1444" s="1">
        <v>1.9</v>
      </c>
      <c r="L1444" s="1" t="s">
        <v>20</v>
      </c>
      <c r="M1444" s="1" t="s">
        <v>63</v>
      </c>
      <c r="N1444" s="1" t="str">
        <f t="shared" si="22"/>
        <v>Normal</v>
      </c>
    </row>
    <row r="1445" spans="1:14" x14ac:dyDescent="0.25">
      <c r="A1445" s="1" t="s">
        <v>2524</v>
      </c>
      <c r="B1445" s="1" t="s">
        <v>80</v>
      </c>
      <c r="C1445" s="1" t="s">
        <v>66</v>
      </c>
      <c r="D1445" s="1" t="s">
        <v>39</v>
      </c>
      <c r="E1445" s="1" t="s">
        <v>47</v>
      </c>
      <c r="F1445" s="1" t="s">
        <v>33</v>
      </c>
      <c r="G1445" s="1">
        <v>31334</v>
      </c>
      <c r="H1445" s="63">
        <v>45667</v>
      </c>
      <c r="J1445" s="1"/>
      <c r="K1445" s="1">
        <v>10.199999999999999</v>
      </c>
      <c r="L1445" s="1" t="s">
        <v>29</v>
      </c>
      <c r="M1445" s="1" t="s">
        <v>63</v>
      </c>
      <c r="N1445" s="1" t="str">
        <f t="shared" si="22"/>
        <v>Normal</v>
      </c>
    </row>
    <row r="1446" spans="1:14" x14ac:dyDescent="0.25">
      <c r="A1446" s="1" t="s">
        <v>2526</v>
      </c>
      <c r="B1446" s="1" t="s">
        <v>109</v>
      </c>
      <c r="C1446" s="1" t="s">
        <v>2185</v>
      </c>
      <c r="D1446" s="1" t="s">
        <v>67</v>
      </c>
      <c r="E1446" s="1" t="s">
        <v>94</v>
      </c>
      <c r="F1446" s="1" t="s">
        <v>40</v>
      </c>
      <c r="G1446" s="1">
        <v>453768</v>
      </c>
      <c r="H1446" s="63">
        <v>44936</v>
      </c>
      <c r="I1446" s="63">
        <v>45106</v>
      </c>
      <c r="J1446" s="1">
        <v>170</v>
      </c>
      <c r="K1446" s="1">
        <v>12.6</v>
      </c>
      <c r="L1446" s="1" t="s">
        <v>29</v>
      </c>
      <c r="M1446" s="1" t="s">
        <v>35</v>
      </c>
      <c r="N1446" s="1" t="str">
        <f t="shared" si="22"/>
        <v>Normal</v>
      </c>
    </row>
    <row r="1447" spans="1:14" x14ac:dyDescent="0.25">
      <c r="A1447" s="1" t="s">
        <v>2527</v>
      </c>
      <c r="B1447" s="1" t="s">
        <v>14</v>
      </c>
      <c r="C1447" s="1" t="s">
        <v>640</v>
      </c>
      <c r="D1447" s="1" t="s">
        <v>39</v>
      </c>
      <c r="E1447" s="1" t="s">
        <v>77</v>
      </c>
      <c r="F1447" s="1" t="s">
        <v>18</v>
      </c>
      <c r="G1447" s="1">
        <v>383508</v>
      </c>
      <c r="H1447" s="63">
        <v>45658</v>
      </c>
      <c r="I1447" s="63">
        <v>45725</v>
      </c>
      <c r="J1447" s="1">
        <v>67</v>
      </c>
      <c r="K1447" s="1">
        <v>8.6</v>
      </c>
      <c r="L1447" s="1" t="s">
        <v>96</v>
      </c>
      <c r="M1447" s="1" t="s">
        <v>63</v>
      </c>
      <c r="N1447" s="1" t="str">
        <f t="shared" si="22"/>
        <v>Normal</v>
      </c>
    </row>
    <row r="1448" spans="1:14" x14ac:dyDescent="0.25">
      <c r="A1448" s="1" t="s">
        <v>2528</v>
      </c>
      <c r="B1448" s="1" t="s">
        <v>80</v>
      </c>
      <c r="C1448" s="1" t="s">
        <v>644</v>
      </c>
      <c r="D1448" s="1" t="s">
        <v>16</v>
      </c>
      <c r="E1448" s="1" t="s">
        <v>61</v>
      </c>
      <c r="F1448" s="1" t="s">
        <v>53</v>
      </c>
      <c r="G1448" s="1">
        <v>423484</v>
      </c>
      <c r="H1448" s="63">
        <v>45618</v>
      </c>
      <c r="J1448" s="1"/>
      <c r="K1448" s="1">
        <v>5.5</v>
      </c>
      <c r="L1448" s="1" t="s">
        <v>29</v>
      </c>
      <c r="M1448" s="1" t="s">
        <v>42</v>
      </c>
      <c r="N1448" s="1" t="str">
        <f t="shared" si="22"/>
        <v>Normal</v>
      </c>
    </row>
    <row r="1449" spans="1:14" x14ac:dyDescent="0.25">
      <c r="A1449" s="1" t="s">
        <v>2529</v>
      </c>
      <c r="B1449" s="1" t="s">
        <v>37</v>
      </c>
      <c r="C1449" s="1" t="s">
        <v>1479</v>
      </c>
      <c r="D1449" s="1" t="s">
        <v>16</v>
      </c>
      <c r="E1449" s="1" t="s">
        <v>61</v>
      </c>
      <c r="F1449" s="1" t="s">
        <v>33</v>
      </c>
      <c r="G1449" s="1">
        <v>167211</v>
      </c>
      <c r="H1449" s="63">
        <v>45397</v>
      </c>
      <c r="J1449" s="1"/>
      <c r="K1449" s="1">
        <v>6.2</v>
      </c>
      <c r="L1449" s="1" t="s">
        <v>29</v>
      </c>
      <c r="M1449" s="1" t="s">
        <v>107</v>
      </c>
      <c r="N1449" s="1" t="str">
        <f t="shared" si="22"/>
        <v>Normal</v>
      </c>
    </row>
    <row r="1450" spans="1:14" x14ac:dyDescent="0.25">
      <c r="A1450" s="1" t="s">
        <v>2530</v>
      </c>
      <c r="B1450" s="1" t="s">
        <v>104</v>
      </c>
      <c r="C1450" s="1" t="s">
        <v>1410</v>
      </c>
      <c r="D1450" s="1" t="s">
        <v>67</v>
      </c>
      <c r="E1450" s="1" t="s">
        <v>17</v>
      </c>
      <c r="F1450" s="1" t="s">
        <v>18</v>
      </c>
      <c r="G1450" s="1">
        <v>443092</v>
      </c>
      <c r="H1450" s="63">
        <v>45148</v>
      </c>
      <c r="I1450" s="63">
        <v>45325</v>
      </c>
      <c r="J1450" s="1">
        <v>177</v>
      </c>
      <c r="K1450" s="1">
        <v>1.7</v>
      </c>
      <c r="L1450" s="1" t="s">
        <v>20</v>
      </c>
      <c r="M1450" s="1" t="s">
        <v>102</v>
      </c>
      <c r="N1450" s="1" t="str">
        <f t="shared" si="22"/>
        <v>Normal</v>
      </c>
    </row>
    <row r="1451" spans="1:14" x14ac:dyDescent="0.25">
      <c r="A1451" s="1" t="s">
        <v>2531</v>
      </c>
      <c r="B1451" s="1" t="s">
        <v>14</v>
      </c>
      <c r="C1451" s="1" t="s">
        <v>539</v>
      </c>
      <c r="D1451" s="1" t="s">
        <v>46</v>
      </c>
      <c r="E1451" s="1" t="s">
        <v>61</v>
      </c>
      <c r="F1451" s="1" t="s">
        <v>27</v>
      </c>
      <c r="G1451" s="1">
        <v>310887</v>
      </c>
      <c r="H1451" s="63">
        <v>45156</v>
      </c>
      <c r="J1451" s="1"/>
      <c r="K1451" s="1"/>
      <c r="L1451" s="1" t="s">
        <v>96</v>
      </c>
      <c r="M1451" s="1" t="s">
        <v>102</v>
      </c>
      <c r="N1451" s="1" t="str">
        <f t="shared" si="22"/>
        <v>Normal</v>
      </c>
    </row>
    <row r="1452" spans="1:14" x14ac:dyDescent="0.25">
      <c r="A1452" s="1" t="s">
        <v>2532</v>
      </c>
      <c r="B1452" s="1" t="s">
        <v>65</v>
      </c>
      <c r="C1452" s="1" t="s">
        <v>564</v>
      </c>
      <c r="D1452" s="1" t="s">
        <v>16</v>
      </c>
      <c r="E1452" s="1" t="s">
        <v>77</v>
      </c>
      <c r="F1452" s="1" t="s">
        <v>129</v>
      </c>
      <c r="G1452" s="1">
        <v>101900</v>
      </c>
      <c r="H1452" s="63">
        <v>45449</v>
      </c>
      <c r="J1452" s="1"/>
      <c r="K1452" s="1">
        <v>10.1</v>
      </c>
      <c r="L1452" s="1" t="s">
        <v>29</v>
      </c>
      <c r="M1452" s="1" t="s">
        <v>107</v>
      </c>
      <c r="N1452" s="1" t="str">
        <f t="shared" si="22"/>
        <v>Normal</v>
      </c>
    </row>
    <row r="1453" spans="1:14" x14ac:dyDescent="0.25">
      <c r="A1453" s="1" t="s">
        <v>2533</v>
      </c>
      <c r="B1453" s="1" t="s">
        <v>173</v>
      </c>
      <c r="C1453" s="1" t="s">
        <v>686</v>
      </c>
      <c r="D1453" s="1" t="s">
        <v>90</v>
      </c>
      <c r="E1453" s="1" t="s">
        <v>47</v>
      </c>
      <c r="F1453" s="1" t="s">
        <v>33</v>
      </c>
      <c r="G1453" s="1">
        <v>410689</v>
      </c>
      <c r="H1453" s="63">
        <v>45644</v>
      </c>
      <c r="J1453" s="1"/>
      <c r="K1453" s="1">
        <v>0.3</v>
      </c>
      <c r="L1453" s="1" t="s">
        <v>20</v>
      </c>
      <c r="M1453" s="1" t="s">
        <v>42</v>
      </c>
      <c r="N1453" s="1" t="str">
        <f t="shared" si="22"/>
        <v>Normal</v>
      </c>
    </row>
    <row r="1454" spans="1:14" x14ac:dyDescent="0.25">
      <c r="A1454" s="1" t="s">
        <v>2535</v>
      </c>
      <c r="B1454" s="1" t="s">
        <v>88</v>
      </c>
      <c r="C1454" s="1" t="s">
        <v>372</v>
      </c>
      <c r="D1454" s="1" t="s">
        <v>39</v>
      </c>
      <c r="E1454" s="1" t="s">
        <v>94</v>
      </c>
      <c r="F1454" s="1" t="s">
        <v>53</v>
      </c>
      <c r="G1454" s="1">
        <v>224252</v>
      </c>
      <c r="H1454" s="63">
        <v>45204</v>
      </c>
      <c r="J1454" s="1"/>
      <c r="K1454" s="1">
        <v>10.7</v>
      </c>
      <c r="L1454" s="1" t="s">
        <v>49</v>
      </c>
      <c r="M1454" s="1" t="s">
        <v>21</v>
      </c>
      <c r="N1454" s="1" t="str">
        <f t="shared" si="22"/>
        <v>Normal</v>
      </c>
    </row>
    <row r="1455" spans="1:14" x14ac:dyDescent="0.25">
      <c r="A1455" s="1" t="s">
        <v>2536</v>
      </c>
      <c r="B1455" s="1" t="s">
        <v>104</v>
      </c>
      <c r="C1455" s="1" t="s">
        <v>122</v>
      </c>
      <c r="D1455" s="1" t="s">
        <v>67</v>
      </c>
      <c r="E1455" s="1" t="s">
        <v>47</v>
      </c>
      <c r="F1455" s="1" t="s">
        <v>27</v>
      </c>
      <c r="G1455" s="1">
        <v>13787</v>
      </c>
      <c r="H1455" s="63">
        <v>45018</v>
      </c>
      <c r="J1455" s="1"/>
      <c r="K1455" s="1">
        <v>10.6</v>
      </c>
      <c r="L1455" s="1" t="s">
        <v>49</v>
      </c>
      <c r="M1455" s="1" t="s">
        <v>30</v>
      </c>
      <c r="N1455" s="1" t="str">
        <f t="shared" si="22"/>
        <v>Normal</v>
      </c>
    </row>
    <row r="1456" spans="1:14" x14ac:dyDescent="0.25">
      <c r="A1456" s="1" t="s">
        <v>2537</v>
      </c>
      <c r="B1456" s="1" t="s">
        <v>109</v>
      </c>
      <c r="C1456" s="1" t="s">
        <v>699</v>
      </c>
      <c r="D1456" s="1" t="s">
        <v>39</v>
      </c>
      <c r="E1456" s="1" t="s">
        <v>17</v>
      </c>
      <c r="F1456" s="1" t="s">
        <v>27</v>
      </c>
      <c r="G1456" s="1">
        <v>81356</v>
      </c>
      <c r="H1456" s="63">
        <v>45731</v>
      </c>
      <c r="J1456" s="1"/>
      <c r="K1456" s="1">
        <v>2.6</v>
      </c>
      <c r="L1456" s="1" t="s">
        <v>20</v>
      </c>
      <c r="M1456" s="1" t="s">
        <v>63</v>
      </c>
      <c r="N1456" s="1" t="str">
        <f t="shared" si="22"/>
        <v>Normal</v>
      </c>
    </row>
    <row r="1457" spans="1:14" x14ac:dyDescent="0.25">
      <c r="A1457" s="1" t="s">
        <v>2539</v>
      </c>
      <c r="B1457" s="1" t="s">
        <v>14</v>
      </c>
      <c r="C1457" s="1" t="s">
        <v>85</v>
      </c>
      <c r="D1457" s="1" t="s">
        <v>46</v>
      </c>
      <c r="E1457" s="1" t="s">
        <v>17</v>
      </c>
      <c r="F1457" s="1" t="s">
        <v>27</v>
      </c>
      <c r="G1457" s="1">
        <v>63307</v>
      </c>
      <c r="H1457" s="63">
        <v>45080</v>
      </c>
      <c r="J1457" s="1"/>
      <c r="K1457" s="1"/>
      <c r="L1457" s="1" t="s">
        <v>20</v>
      </c>
      <c r="M1457" s="1" t="s">
        <v>30</v>
      </c>
      <c r="N1457" s="1" t="str">
        <f t="shared" si="22"/>
        <v>Normal</v>
      </c>
    </row>
    <row r="1458" spans="1:14" x14ac:dyDescent="0.25">
      <c r="A1458" s="1" t="s">
        <v>2540</v>
      </c>
      <c r="B1458" s="1" t="s">
        <v>109</v>
      </c>
      <c r="C1458" s="1" t="s">
        <v>778</v>
      </c>
      <c r="D1458" s="1" t="s">
        <v>39</v>
      </c>
      <c r="E1458" s="1" t="s">
        <v>77</v>
      </c>
      <c r="F1458" s="1" t="s">
        <v>18</v>
      </c>
      <c r="G1458" s="1">
        <v>30491</v>
      </c>
      <c r="H1458" s="63">
        <v>45223</v>
      </c>
      <c r="I1458" s="63">
        <v>45379</v>
      </c>
      <c r="J1458" s="1">
        <v>156</v>
      </c>
      <c r="K1458" s="1">
        <v>0.9</v>
      </c>
      <c r="L1458" s="1" t="s">
        <v>29</v>
      </c>
      <c r="M1458" s="1" t="s">
        <v>21</v>
      </c>
      <c r="N1458" s="1" t="str">
        <f t="shared" si="22"/>
        <v>Normal</v>
      </c>
    </row>
    <row r="1459" spans="1:14" x14ac:dyDescent="0.25">
      <c r="A1459" s="1" t="s">
        <v>2541</v>
      </c>
      <c r="B1459" s="1" t="s">
        <v>127</v>
      </c>
      <c r="C1459" s="1" t="s">
        <v>1147</v>
      </c>
      <c r="D1459" s="1" t="s">
        <v>67</v>
      </c>
      <c r="E1459" s="1" t="s">
        <v>4845</v>
      </c>
      <c r="F1459" s="1" t="s">
        <v>27</v>
      </c>
      <c r="G1459" s="1">
        <v>196775</v>
      </c>
      <c r="H1459" s="63">
        <v>45628</v>
      </c>
      <c r="J1459" s="1"/>
      <c r="K1459" s="1">
        <v>13.8</v>
      </c>
      <c r="L1459" s="1" t="s">
        <v>96</v>
      </c>
      <c r="M1459" s="1" t="s">
        <v>42</v>
      </c>
      <c r="N1459" s="1" t="str">
        <f t="shared" si="22"/>
        <v>Normal</v>
      </c>
    </row>
    <row r="1460" spans="1:14" x14ac:dyDescent="0.25">
      <c r="A1460" s="1" t="s">
        <v>2542</v>
      </c>
      <c r="B1460" s="1" t="s">
        <v>80</v>
      </c>
      <c r="C1460" s="1" t="s">
        <v>343</v>
      </c>
      <c r="D1460" s="1" t="s">
        <v>39</v>
      </c>
      <c r="E1460" s="1" t="s">
        <v>94</v>
      </c>
      <c r="F1460" s="1" t="s">
        <v>40</v>
      </c>
      <c r="G1460" s="1">
        <v>179581</v>
      </c>
      <c r="H1460" s="63">
        <v>45503</v>
      </c>
      <c r="I1460" s="63">
        <v>45657</v>
      </c>
      <c r="J1460" s="1">
        <v>154</v>
      </c>
      <c r="K1460" s="1">
        <v>19.100000000000001</v>
      </c>
      <c r="L1460" s="1" t="s">
        <v>49</v>
      </c>
      <c r="M1460" s="1" t="s">
        <v>149</v>
      </c>
      <c r="N1460" s="1" t="str">
        <f t="shared" si="22"/>
        <v>Normal</v>
      </c>
    </row>
    <row r="1461" spans="1:14" x14ac:dyDescent="0.25">
      <c r="A1461" s="1" t="s">
        <v>2543</v>
      </c>
      <c r="B1461" s="1" t="s">
        <v>59</v>
      </c>
      <c r="C1461" s="1" t="s">
        <v>2544</v>
      </c>
      <c r="D1461" s="1" t="s">
        <v>16</v>
      </c>
      <c r="E1461" s="1" t="s">
        <v>47</v>
      </c>
      <c r="F1461" s="1" t="s">
        <v>27</v>
      </c>
      <c r="G1461" s="1">
        <v>383104</v>
      </c>
      <c r="H1461" s="63">
        <v>45348</v>
      </c>
      <c r="J1461" s="1"/>
      <c r="K1461" s="1"/>
      <c r="L1461" s="1" t="s">
        <v>29</v>
      </c>
      <c r="M1461" s="1" t="s">
        <v>69</v>
      </c>
      <c r="N1461" s="1" t="str">
        <f t="shared" si="22"/>
        <v>Normal</v>
      </c>
    </row>
    <row r="1462" spans="1:14" x14ac:dyDescent="0.25">
      <c r="A1462" s="1" t="s">
        <v>2545</v>
      </c>
      <c r="B1462" s="1" t="s">
        <v>44</v>
      </c>
      <c r="C1462" s="1" t="s">
        <v>809</v>
      </c>
      <c r="D1462" s="1" t="s">
        <v>25</v>
      </c>
      <c r="E1462" s="1" t="s">
        <v>100</v>
      </c>
      <c r="F1462" s="1" t="s">
        <v>53</v>
      </c>
      <c r="G1462" s="1">
        <v>352198</v>
      </c>
      <c r="H1462" s="63">
        <v>45367</v>
      </c>
      <c r="J1462" s="1"/>
      <c r="K1462" s="1"/>
      <c r="L1462" s="1" t="s">
        <v>96</v>
      </c>
      <c r="M1462" s="1" t="s">
        <v>69</v>
      </c>
      <c r="N1462" s="1" t="str">
        <f t="shared" si="22"/>
        <v>Normal</v>
      </c>
    </row>
    <row r="1463" spans="1:14" x14ac:dyDescent="0.25">
      <c r="A1463" s="1" t="s">
        <v>2546</v>
      </c>
      <c r="B1463" s="1" t="s">
        <v>59</v>
      </c>
      <c r="C1463" s="1" t="s">
        <v>439</v>
      </c>
      <c r="D1463" s="1" t="s">
        <v>39</v>
      </c>
      <c r="E1463" s="1" t="s">
        <v>47</v>
      </c>
      <c r="F1463" s="1" t="s">
        <v>33</v>
      </c>
      <c r="G1463" s="1">
        <v>306953</v>
      </c>
      <c r="H1463" s="63">
        <v>45412</v>
      </c>
      <c r="J1463" s="1"/>
      <c r="K1463" s="1"/>
      <c r="L1463" s="1" t="s">
        <v>20</v>
      </c>
      <c r="M1463" s="1" t="s">
        <v>107</v>
      </c>
      <c r="N1463" s="1" t="str">
        <f t="shared" si="22"/>
        <v>Normal</v>
      </c>
    </row>
    <row r="1464" spans="1:14" x14ac:dyDescent="0.25">
      <c r="A1464" s="1" t="s">
        <v>2547</v>
      </c>
      <c r="B1464" s="1" t="s">
        <v>84</v>
      </c>
      <c r="C1464" s="1" t="s">
        <v>1558</v>
      </c>
      <c r="D1464" s="1" t="s">
        <v>16</v>
      </c>
      <c r="E1464" s="1" t="s">
        <v>100</v>
      </c>
      <c r="F1464" s="1" t="s">
        <v>33</v>
      </c>
      <c r="G1464" s="1">
        <v>1941623</v>
      </c>
      <c r="H1464" s="63">
        <v>45405</v>
      </c>
      <c r="J1464" s="1"/>
      <c r="K1464" s="1">
        <v>12.3</v>
      </c>
      <c r="L1464" s="1" t="s">
        <v>96</v>
      </c>
      <c r="M1464" s="1" t="s">
        <v>107</v>
      </c>
      <c r="N1464" s="1" t="str">
        <f t="shared" si="22"/>
        <v>High Outlier</v>
      </c>
    </row>
    <row r="1465" spans="1:14" x14ac:dyDescent="0.25">
      <c r="A1465" s="1" t="s">
        <v>2548</v>
      </c>
      <c r="B1465" s="1" t="s">
        <v>44</v>
      </c>
      <c r="C1465" s="1" t="s">
        <v>15</v>
      </c>
      <c r="D1465" s="1" t="s">
        <v>16</v>
      </c>
      <c r="E1465" s="1" t="s">
        <v>26</v>
      </c>
      <c r="F1465" s="1" t="s">
        <v>40</v>
      </c>
      <c r="G1465" s="1">
        <v>367221</v>
      </c>
      <c r="H1465" s="63">
        <v>45252</v>
      </c>
      <c r="I1465" s="63">
        <v>45379</v>
      </c>
      <c r="J1465" s="1">
        <v>127</v>
      </c>
      <c r="K1465" s="1">
        <v>0.8</v>
      </c>
      <c r="L1465" s="1" t="s">
        <v>29</v>
      </c>
      <c r="M1465" s="1" t="s">
        <v>21</v>
      </c>
      <c r="N1465" s="1" t="str">
        <f t="shared" si="22"/>
        <v>Normal</v>
      </c>
    </row>
    <row r="1466" spans="1:14" x14ac:dyDescent="0.25">
      <c r="A1466" s="1" t="s">
        <v>2549</v>
      </c>
      <c r="B1466" s="1" t="s">
        <v>23</v>
      </c>
      <c r="C1466" s="1" t="s">
        <v>1258</v>
      </c>
      <c r="D1466" s="1" t="s">
        <v>46</v>
      </c>
      <c r="E1466" s="1" t="s">
        <v>72</v>
      </c>
      <c r="F1466" s="1" t="s">
        <v>27</v>
      </c>
      <c r="G1466" s="1">
        <v>38795</v>
      </c>
      <c r="H1466" s="63">
        <v>45603</v>
      </c>
      <c r="J1466" s="1"/>
      <c r="K1466" s="1"/>
      <c r="L1466" s="1" t="s">
        <v>49</v>
      </c>
      <c r="M1466" s="1" t="s">
        <v>42</v>
      </c>
      <c r="N1466" s="1" t="str">
        <f t="shared" si="22"/>
        <v>Normal</v>
      </c>
    </row>
    <row r="1467" spans="1:14" x14ac:dyDescent="0.25">
      <c r="A1467" s="1" t="s">
        <v>2550</v>
      </c>
      <c r="B1467" s="1" t="s">
        <v>59</v>
      </c>
      <c r="C1467" s="1" t="s">
        <v>616</v>
      </c>
      <c r="D1467" s="1" t="s">
        <v>90</v>
      </c>
      <c r="E1467" s="1" t="s">
        <v>77</v>
      </c>
      <c r="F1467" s="1" t="s">
        <v>18</v>
      </c>
      <c r="G1467" s="1">
        <v>211230</v>
      </c>
      <c r="H1467" s="63">
        <v>45140</v>
      </c>
      <c r="I1467" s="63">
        <v>45306</v>
      </c>
      <c r="J1467" s="1">
        <v>166</v>
      </c>
      <c r="K1467" s="1">
        <v>14.7</v>
      </c>
      <c r="L1467" s="1" t="s">
        <v>49</v>
      </c>
      <c r="M1467" s="1" t="s">
        <v>102</v>
      </c>
      <c r="N1467" s="1" t="str">
        <f t="shared" si="22"/>
        <v>Normal</v>
      </c>
    </row>
    <row r="1468" spans="1:14" x14ac:dyDescent="0.25">
      <c r="A1468" s="1" t="s">
        <v>2551</v>
      </c>
      <c r="B1468" s="1" t="s">
        <v>88</v>
      </c>
      <c r="C1468" s="1" t="s">
        <v>892</v>
      </c>
      <c r="D1468" s="1" t="s">
        <v>67</v>
      </c>
      <c r="E1468" s="1" t="s">
        <v>26</v>
      </c>
      <c r="F1468" s="1" t="s">
        <v>27</v>
      </c>
      <c r="G1468" s="1">
        <v>80749</v>
      </c>
      <c r="H1468" s="63">
        <v>45620</v>
      </c>
      <c r="J1468" s="1"/>
      <c r="K1468" s="1"/>
      <c r="L1468" s="1" t="s">
        <v>29</v>
      </c>
      <c r="M1468" s="1" t="s">
        <v>42</v>
      </c>
      <c r="N1468" s="1" t="str">
        <f t="shared" si="22"/>
        <v>Normal</v>
      </c>
    </row>
    <row r="1469" spans="1:14" x14ac:dyDescent="0.25">
      <c r="A1469" s="1" t="s">
        <v>2552</v>
      </c>
      <c r="B1469" s="1" t="s">
        <v>65</v>
      </c>
      <c r="C1469" s="1" t="s">
        <v>2503</v>
      </c>
      <c r="D1469" s="1" t="s">
        <v>39</v>
      </c>
      <c r="E1469" s="1" t="s">
        <v>72</v>
      </c>
      <c r="F1469" s="1" t="s">
        <v>33</v>
      </c>
      <c r="G1469" s="1">
        <v>192572</v>
      </c>
      <c r="H1469" s="63">
        <v>45302</v>
      </c>
      <c r="J1469" s="1"/>
      <c r="K1469" s="1"/>
      <c r="L1469" s="1" t="s">
        <v>29</v>
      </c>
      <c r="M1469" s="1" t="s">
        <v>69</v>
      </c>
      <c r="N1469" s="1" t="str">
        <f t="shared" si="22"/>
        <v>Normal</v>
      </c>
    </row>
    <row r="1470" spans="1:14" x14ac:dyDescent="0.25">
      <c r="A1470" s="1" t="s">
        <v>2553</v>
      </c>
      <c r="B1470" s="1" t="s">
        <v>59</v>
      </c>
      <c r="C1470" s="1" t="s">
        <v>767</v>
      </c>
      <c r="D1470" s="1" t="s">
        <v>67</v>
      </c>
      <c r="E1470" s="1" t="s">
        <v>77</v>
      </c>
      <c r="F1470" s="1" t="s">
        <v>40</v>
      </c>
      <c r="G1470" s="1">
        <v>1326332</v>
      </c>
      <c r="H1470" s="63">
        <v>45203</v>
      </c>
      <c r="I1470" s="63">
        <v>45255</v>
      </c>
      <c r="J1470" s="1">
        <v>52</v>
      </c>
      <c r="K1470" s="1">
        <v>20.2</v>
      </c>
      <c r="L1470" s="1" t="s">
        <v>96</v>
      </c>
      <c r="M1470" s="1" t="s">
        <v>21</v>
      </c>
      <c r="N1470" s="1" t="str">
        <f t="shared" si="22"/>
        <v>High Outlier</v>
      </c>
    </row>
    <row r="1471" spans="1:14" x14ac:dyDescent="0.25">
      <c r="A1471" s="1" t="s">
        <v>2555</v>
      </c>
      <c r="B1471" s="1" t="s">
        <v>75</v>
      </c>
      <c r="C1471" s="1" t="s">
        <v>237</v>
      </c>
      <c r="D1471" s="1" t="s">
        <v>67</v>
      </c>
      <c r="E1471" s="1" t="s">
        <v>47</v>
      </c>
      <c r="F1471" s="1" t="s">
        <v>33</v>
      </c>
      <c r="G1471" s="1">
        <v>370164</v>
      </c>
      <c r="H1471" s="63">
        <v>45114</v>
      </c>
      <c r="J1471" s="1"/>
      <c r="K1471" s="1"/>
      <c r="L1471" s="1" t="s">
        <v>29</v>
      </c>
      <c r="M1471" s="1" t="s">
        <v>102</v>
      </c>
      <c r="N1471" s="1" t="str">
        <f t="shared" si="22"/>
        <v>Normal</v>
      </c>
    </row>
    <row r="1472" spans="1:14" x14ac:dyDescent="0.25">
      <c r="A1472" s="1" t="s">
        <v>2557</v>
      </c>
      <c r="B1472" s="1" t="s">
        <v>109</v>
      </c>
      <c r="C1472" s="1" t="s">
        <v>1352</v>
      </c>
      <c r="D1472" s="1" t="s">
        <v>67</v>
      </c>
      <c r="E1472" s="1" t="s">
        <v>61</v>
      </c>
      <c r="F1472" s="1" t="s">
        <v>33</v>
      </c>
      <c r="G1472" s="1">
        <v>497944</v>
      </c>
      <c r="H1472" s="63">
        <v>45021</v>
      </c>
      <c r="J1472" s="1"/>
      <c r="K1472" s="1">
        <v>13.1</v>
      </c>
      <c r="L1472" s="1" t="s">
        <v>96</v>
      </c>
      <c r="M1472" s="1" t="s">
        <v>30</v>
      </c>
      <c r="N1472" s="1" t="str">
        <f t="shared" si="22"/>
        <v>Normal</v>
      </c>
    </row>
    <row r="1473" spans="1:14" x14ac:dyDescent="0.25">
      <c r="A1473" s="1" t="s">
        <v>2558</v>
      </c>
      <c r="B1473" s="1" t="s">
        <v>109</v>
      </c>
      <c r="C1473" s="1" t="s">
        <v>147</v>
      </c>
      <c r="D1473" s="1" t="s">
        <v>46</v>
      </c>
      <c r="E1473" s="1" t="s">
        <v>100</v>
      </c>
      <c r="F1473" s="1" t="s">
        <v>33</v>
      </c>
      <c r="G1473" s="1">
        <v>96604</v>
      </c>
      <c r="H1473" s="63">
        <v>44935</v>
      </c>
      <c r="J1473" s="1"/>
      <c r="K1473" s="1"/>
      <c r="L1473" s="1" t="s">
        <v>29</v>
      </c>
      <c r="M1473" s="1" t="s">
        <v>35</v>
      </c>
      <c r="N1473" s="1" t="str">
        <f t="shared" si="22"/>
        <v>Normal</v>
      </c>
    </row>
    <row r="1474" spans="1:14" x14ac:dyDescent="0.25">
      <c r="A1474" s="1" t="s">
        <v>2559</v>
      </c>
      <c r="B1474" s="1" t="s">
        <v>127</v>
      </c>
      <c r="C1474" s="1" t="s">
        <v>449</v>
      </c>
      <c r="D1474" s="1" t="s">
        <v>25</v>
      </c>
      <c r="E1474" s="1" t="s">
        <v>17</v>
      </c>
      <c r="F1474" s="1" t="s">
        <v>27</v>
      </c>
      <c r="G1474" s="1">
        <v>206837</v>
      </c>
      <c r="H1474" s="63">
        <v>45085</v>
      </c>
      <c r="J1474" s="1"/>
      <c r="K1474" s="1">
        <v>7.6</v>
      </c>
      <c r="L1474" s="1" t="s">
        <v>29</v>
      </c>
      <c r="M1474" s="1" t="s">
        <v>30</v>
      </c>
      <c r="N1474" s="1" t="str">
        <f t="shared" ref="N1474:N1537" si="23">IF(G1474&gt;$R$5,"High Outlier",IF(G1474&lt;$R$6,"Low Outlier","Normal"))</f>
        <v>Normal</v>
      </c>
    </row>
    <row r="1475" spans="1:14" x14ac:dyDescent="0.25">
      <c r="A1475" s="1" t="s">
        <v>2560</v>
      </c>
      <c r="B1475" s="1" t="s">
        <v>109</v>
      </c>
      <c r="C1475" s="1" t="s">
        <v>237</v>
      </c>
      <c r="D1475" s="1" t="s">
        <v>39</v>
      </c>
      <c r="E1475" s="1" t="s">
        <v>17</v>
      </c>
      <c r="F1475" s="1" t="s">
        <v>33</v>
      </c>
      <c r="G1475" s="1">
        <v>291943</v>
      </c>
      <c r="H1475" s="63">
        <v>45627</v>
      </c>
      <c r="J1475" s="1"/>
      <c r="K1475" s="1">
        <v>13.1</v>
      </c>
      <c r="L1475" s="1" t="s">
        <v>29</v>
      </c>
      <c r="M1475" s="1" t="s">
        <v>42</v>
      </c>
      <c r="N1475" s="1" t="str">
        <f t="shared" si="23"/>
        <v>Normal</v>
      </c>
    </row>
    <row r="1476" spans="1:14" x14ac:dyDescent="0.25">
      <c r="A1476" s="1" t="s">
        <v>2562</v>
      </c>
      <c r="B1476" s="1" t="s">
        <v>37</v>
      </c>
      <c r="C1476" s="1" t="s">
        <v>912</v>
      </c>
      <c r="D1476" s="1" t="s">
        <v>25</v>
      </c>
      <c r="E1476" s="1" t="s">
        <v>47</v>
      </c>
      <c r="F1476" s="1" t="s">
        <v>129</v>
      </c>
      <c r="G1476" s="1">
        <v>398419</v>
      </c>
      <c r="H1476" s="63">
        <v>45310</v>
      </c>
      <c r="J1476" s="1"/>
      <c r="K1476" s="1">
        <v>1.7</v>
      </c>
      <c r="L1476" s="1" t="s">
        <v>20</v>
      </c>
      <c r="M1476" s="1" t="s">
        <v>69</v>
      </c>
      <c r="N1476" s="1" t="str">
        <f t="shared" si="23"/>
        <v>Normal</v>
      </c>
    </row>
    <row r="1477" spans="1:14" x14ac:dyDescent="0.25">
      <c r="A1477" s="1" t="s">
        <v>2563</v>
      </c>
      <c r="B1477" s="1" t="s">
        <v>59</v>
      </c>
      <c r="C1477" s="1" t="s">
        <v>2564</v>
      </c>
      <c r="D1477" s="1" t="s">
        <v>25</v>
      </c>
      <c r="E1477" s="1" t="s">
        <v>47</v>
      </c>
      <c r="F1477" s="1" t="s">
        <v>33</v>
      </c>
      <c r="G1477" s="1">
        <v>489554</v>
      </c>
      <c r="H1477" s="63">
        <v>45072</v>
      </c>
      <c r="J1477" s="1"/>
      <c r="K1477" s="1">
        <v>12.7</v>
      </c>
      <c r="L1477" s="1" t="s">
        <v>49</v>
      </c>
      <c r="M1477" s="1" t="s">
        <v>30</v>
      </c>
      <c r="N1477" s="1" t="str">
        <f t="shared" si="23"/>
        <v>Normal</v>
      </c>
    </row>
    <row r="1478" spans="1:14" x14ac:dyDescent="0.25">
      <c r="A1478" s="1" t="s">
        <v>2565</v>
      </c>
      <c r="B1478" s="1" t="s">
        <v>37</v>
      </c>
      <c r="C1478" s="1" t="s">
        <v>384</v>
      </c>
      <c r="D1478" s="1" t="s">
        <v>67</v>
      </c>
      <c r="E1478" s="1" t="s">
        <v>17</v>
      </c>
      <c r="F1478" s="1" t="s">
        <v>33</v>
      </c>
      <c r="G1478" s="1">
        <v>1906897</v>
      </c>
      <c r="H1478" s="63">
        <v>45385</v>
      </c>
      <c r="J1478" s="1"/>
      <c r="K1478" s="1">
        <v>11.7</v>
      </c>
      <c r="L1478" s="1" t="s">
        <v>29</v>
      </c>
      <c r="M1478" s="1" t="s">
        <v>107</v>
      </c>
      <c r="N1478" s="1" t="str">
        <f t="shared" si="23"/>
        <v>High Outlier</v>
      </c>
    </row>
    <row r="1479" spans="1:14" x14ac:dyDescent="0.25">
      <c r="A1479" s="1" t="s">
        <v>2566</v>
      </c>
      <c r="B1479" s="1" t="s">
        <v>98</v>
      </c>
      <c r="C1479" s="1" t="s">
        <v>247</v>
      </c>
      <c r="D1479" s="1" t="s">
        <v>16</v>
      </c>
      <c r="E1479" s="1" t="s">
        <v>100</v>
      </c>
      <c r="F1479" s="1" t="s">
        <v>40</v>
      </c>
      <c r="G1479" s="1">
        <v>478781</v>
      </c>
      <c r="H1479" s="63">
        <v>45189</v>
      </c>
      <c r="I1479" s="63">
        <v>45321</v>
      </c>
      <c r="J1479" s="1">
        <v>132</v>
      </c>
      <c r="K1479" s="1">
        <v>21.8</v>
      </c>
      <c r="L1479" s="1" t="s">
        <v>29</v>
      </c>
      <c r="M1479" s="1" t="s">
        <v>102</v>
      </c>
      <c r="N1479" s="1" t="str">
        <f t="shared" si="23"/>
        <v>Normal</v>
      </c>
    </row>
    <row r="1480" spans="1:14" x14ac:dyDescent="0.25">
      <c r="A1480" s="1" t="s">
        <v>2568</v>
      </c>
      <c r="B1480" s="1" t="s">
        <v>109</v>
      </c>
      <c r="C1480" s="1" t="s">
        <v>544</v>
      </c>
      <c r="D1480" s="1" t="s">
        <v>46</v>
      </c>
      <c r="E1480" s="1" t="s">
        <v>47</v>
      </c>
      <c r="F1480" s="1" t="s">
        <v>27</v>
      </c>
      <c r="G1480" s="1">
        <v>308588</v>
      </c>
      <c r="H1480" s="63">
        <v>44971</v>
      </c>
      <c r="J1480" s="1"/>
      <c r="K1480" s="1"/>
      <c r="L1480" s="1" t="s">
        <v>20</v>
      </c>
      <c r="M1480" s="1" t="s">
        <v>35</v>
      </c>
      <c r="N1480" s="1" t="str">
        <f t="shared" si="23"/>
        <v>Normal</v>
      </c>
    </row>
    <row r="1481" spans="1:14" x14ac:dyDescent="0.25">
      <c r="A1481" s="1" t="s">
        <v>2569</v>
      </c>
      <c r="B1481" s="1" t="s">
        <v>37</v>
      </c>
      <c r="C1481" s="1" t="s">
        <v>250</v>
      </c>
      <c r="D1481" s="1" t="s">
        <v>90</v>
      </c>
      <c r="E1481" s="1" t="s">
        <v>26</v>
      </c>
      <c r="F1481" s="1" t="s">
        <v>40</v>
      </c>
      <c r="G1481" s="1">
        <v>15980</v>
      </c>
      <c r="H1481" s="63">
        <v>45315</v>
      </c>
      <c r="I1481" s="63">
        <v>45481</v>
      </c>
      <c r="J1481" s="1">
        <v>166</v>
      </c>
      <c r="K1481" s="1">
        <v>4.5</v>
      </c>
      <c r="L1481" s="1" t="s">
        <v>20</v>
      </c>
      <c r="M1481" s="1" t="s">
        <v>69</v>
      </c>
      <c r="N1481" s="1" t="str">
        <f t="shared" si="23"/>
        <v>Normal</v>
      </c>
    </row>
    <row r="1482" spans="1:14" x14ac:dyDescent="0.25">
      <c r="A1482" s="1" t="s">
        <v>2570</v>
      </c>
      <c r="B1482" s="1" t="s">
        <v>65</v>
      </c>
      <c r="C1482" s="1" t="s">
        <v>1518</v>
      </c>
      <c r="D1482" s="1" t="s">
        <v>90</v>
      </c>
      <c r="E1482" s="1" t="s">
        <v>77</v>
      </c>
      <c r="F1482" s="1" t="s">
        <v>33</v>
      </c>
      <c r="G1482" s="1">
        <v>67028</v>
      </c>
      <c r="H1482" s="63">
        <v>45423</v>
      </c>
      <c r="J1482" s="1"/>
      <c r="K1482" s="1">
        <v>6.4</v>
      </c>
      <c r="L1482" s="1" t="s">
        <v>29</v>
      </c>
      <c r="M1482" s="1" t="s">
        <v>107</v>
      </c>
      <c r="N1482" s="1" t="str">
        <f t="shared" si="23"/>
        <v>Normal</v>
      </c>
    </row>
    <row r="1483" spans="1:14" x14ac:dyDescent="0.25">
      <c r="A1483" s="1" t="s">
        <v>2571</v>
      </c>
      <c r="B1483" s="1" t="s">
        <v>75</v>
      </c>
      <c r="C1483" s="1" t="s">
        <v>590</v>
      </c>
      <c r="D1483" s="1" t="s">
        <v>67</v>
      </c>
      <c r="E1483" s="1" t="s">
        <v>94</v>
      </c>
      <c r="F1483" s="1" t="s">
        <v>40</v>
      </c>
      <c r="G1483" s="1">
        <v>367690</v>
      </c>
      <c r="H1483" s="63">
        <v>44994</v>
      </c>
      <c r="I1483" s="63">
        <v>45120</v>
      </c>
      <c r="J1483" s="1">
        <v>126</v>
      </c>
      <c r="K1483" s="1">
        <v>3</v>
      </c>
      <c r="L1483" s="1" t="s">
        <v>49</v>
      </c>
      <c r="M1483" s="1" t="s">
        <v>35</v>
      </c>
      <c r="N1483" s="1" t="str">
        <f t="shared" si="23"/>
        <v>Normal</v>
      </c>
    </row>
    <row r="1484" spans="1:14" x14ac:dyDescent="0.25">
      <c r="A1484" s="1" t="s">
        <v>2572</v>
      </c>
      <c r="B1484" s="1" t="s">
        <v>14</v>
      </c>
      <c r="C1484" s="1" t="s">
        <v>423</v>
      </c>
      <c r="D1484" s="1" t="s">
        <v>46</v>
      </c>
      <c r="E1484" s="1" t="s">
        <v>17</v>
      </c>
      <c r="F1484" s="1" t="s">
        <v>40</v>
      </c>
      <c r="G1484" s="1">
        <v>260754</v>
      </c>
      <c r="H1484" s="63">
        <v>45028</v>
      </c>
      <c r="I1484" s="63">
        <v>45087</v>
      </c>
      <c r="J1484" s="1">
        <v>59</v>
      </c>
      <c r="K1484" s="1">
        <v>15.8</v>
      </c>
      <c r="L1484" s="1" t="s">
        <v>96</v>
      </c>
      <c r="M1484" s="1" t="s">
        <v>30</v>
      </c>
      <c r="N1484" s="1" t="str">
        <f t="shared" si="23"/>
        <v>Normal</v>
      </c>
    </row>
    <row r="1485" spans="1:14" x14ac:dyDescent="0.25">
      <c r="A1485" s="1" t="s">
        <v>2573</v>
      </c>
      <c r="B1485" s="1" t="s">
        <v>75</v>
      </c>
      <c r="C1485" s="1" t="s">
        <v>724</v>
      </c>
      <c r="D1485" s="1" t="s">
        <v>39</v>
      </c>
      <c r="E1485" s="1" t="s">
        <v>47</v>
      </c>
      <c r="F1485" s="1" t="s">
        <v>33</v>
      </c>
      <c r="G1485" s="1">
        <v>219684</v>
      </c>
      <c r="H1485" s="63">
        <v>45183</v>
      </c>
      <c r="J1485" s="1"/>
      <c r="K1485" s="1">
        <v>2.6</v>
      </c>
      <c r="L1485" s="1" t="s">
        <v>49</v>
      </c>
      <c r="M1485" s="1" t="s">
        <v>102</v>
      </c>
      <c r="N1485" s="1" t="str">
        <f t="shared" si="23"/>
        <v>Normal</v>
      </c>
    </row>
    <row r="1486" spans="1:14" x14ac:dyDescent="0.25">
      <c r="A1486" s="1" t="s">
        <v>2575</v>
      </c>
      <c r="B1486" s="1" t="s">
        <v>23</v>
      </c>
      <c r="C1486" s="1" t="s">
        <v>325</v>
      </c>
      <c r="D1486" s="1" t="s">
        <v>39</v>
      </c>
      <c r="E1486" s="1" t="s">
        <v>72</v>
      </c>
      <c r="F1486" s="1" t="s">
        <v>129</v>
      </c>
      <c r="G1486" s="1">
        <v>79584</v>
      </c>
      <c r="H1486" s="63">
        <v>45626</v>
      </c>
      <c r="J1486" s="1"/>
      <c r="K1486" s="1"/>
      <c r="L1486" s="1" t="s">
        <v>29</v>
      </c>
      <c r="M1486" s="1" t="s">
        <v>42</v>
      </c>
      <c r="N1486" s="1" t="str">
        <f t="shared" si="23"/>
        <v>Normal</v>
      </c>
    </row>
    <row r="1487" spans="1:14" x14ac:dyDescent="0.25">
      <c r="A1487" s="1" t="s">
        <v>2576</v>
      </c>
      <c r="B1487" s="1" t="s">
        <v>84</v>
      </c>
      <c r="C1487" s="1" t="s">
        <v>1050</v>
      </c>
      <c r="D1487" s="1" t="s">
        <v>46</v>
      </c>
      <c r="E1487" s="1" t="s">
        <v>100</v>
      </c>
      <c r="F1487" s="1" t="s">
        <v>33</v>
      </c>
      <c r="G1487" s="1">
        <v>265272</v>
      </c>
      <c r="H1487" s="63">
        <v>45269</v>
      </c>
      <c r="J1487" s="1"/>
      <c r="K1487" s="1">
        <v>2.2000000000000002</v>
      </c>
      <c r="L1487" s="1" t="s">
        <v>29</v>
      </c>
      <c r="M1487" s="1" t="s">
        <v>21</v>
      </c>
      <c r="N1487" s="1" t="str">
        <f t="shared" si="23"/>
        <v>Normal</v>
      </c>
    </row>
    <row r="1488" spans="1:14" x14ac:dyDescent="0.25">
      <c r="A1488" s="1" t="s">
        <v>2577</v>
      </c>
      <c r="B1488" s="1" t="s">
        <v>173</v>
      </c>
      <c r="C1488" s="1" t="s">
        <v>775</v>
      </c>
      <c r="D1488" s="1" t="s">
        <v>46</v>
      </c>
      <c r="E1488" s="1" t="s">
        <v>72</v>
      </c>
      <c r="F1488" s="1" t="s">
        <v>40</v>
      </c>
      <c r="G1488" s="1">
        <v>248777</v>
      </c>
      <c r="H1488" s="63">
        <v>45691</v>
      </c>
      <c r="I1488" s="63">
        <v>45746</v>
      </c>
      <c r="J1488" s="1">
        <v>55</v>
      </c>
      <c r="K1488" s="1">
        <v>9.1999999999999993</v>
      </c>
      <c r="L1488" s="1" t="s">
        <v>96</v>
      </c>
      <c r="M1488" s="1" t="s">
        <v>63</v>
      </c>
      <c r="N1488" s="1" t="str">
        <f t="shared" si="23"/>
        <v>Normal</v>
      </c>
    </row>
    <row r="1489" spans="1:14" x14ac:dyDescent="0.25">
      <c r="A1489" s="1" t="s">
        <v>2578</v>
      </c>
      <c r="B1489" s="1" t="s">
        <v>98</v>
      </c>
      <c r="C1489" s="1" t="s">
        <v>667</v>
      </c>
      <c r="D1489" s="1" t="s">
        <v>90</v>
      </c>
      <c r="E1489" s="1" t="s">
        <v>100</v>
      </c>
      <c r="F1489" s="1" t="s">
        <v>33</v>
      </c>
      <c r="G1489" s="1">
        <v>393124</v>
      </c>
      <c r="H1489" s="63">
        <v>45127</v>
      </c>
      <c r="J1489" s="1"/>
      <c r="K1489" s="1"/>
      <c r="L1489" s="1" t="s">
        <v>49</v>
      </c>
      <c r="M1489" s="1" t="s">
        <v>102</v>
      </c>
      <c r="N1489" s="1" t="str">
        <f t="shared" si="23"/>
        <v>Normal</v>
      </c>
    </row>
    <row r="1490" spans="1:14" x14ac:dyDescent="0.25">
      <c r="A1490" s="1" t="s">
        <v>2580</v>
      </c>
      <c r="B1490" s="1" t="s">
        <v>88</v>
      </c>
      <c r="C1490" s="1" t="s">
        <v>442</v>
      </c>
      <c r="D1490" s="1" t="s">
        <v>90</v>
      </c>
      <c r="E1490" s="1" t="s">
        <v>61</v>
      </c>
      <c r="F1490" s="1" t="s">
        <v>33</v>
      </c>
      <c r="G1490" s="1">
        <v>294276</v>
      </c>
      <c r="H1490" s="63">
        <v>44962</v>
      </c>
      <c r="J1490" s="1"/>
      <c r="K1490" s="1"/>
      <c r="L1490" s="1" t="s">
        <v>29</v>
      </c>
      <c r="M1490" s="1" t="s">
        <v>35</v>
      </c>
      <c r="N1490" s="1" t="str">
        <f t="shared" si="23"/>
        <v>Normal</v>
      </c>
    </row>
    <row r="1491" spans="1:14" x14ac:dyDescent="0.25">
      <c r="A1491" s="1" t="s">
        <v>2581</v>
      </c>
      <c r="B1491" s="1" t="s">
        <v>44</v>
      </c>
      <c r="C1491" s="1" t="s">
        <v>2564</v>
      </c>
      <c r="D1491" s="1" t="s">
        <v>67</v>
      </c>
      <c r="E1491" s="1" t="s">
        <v>100</v>
      </c>
      <c r="F1491" s="1" t="s">
        <v>40</v>
      </c>
      <c r="G1491" s="1">
        <v>109399</v>
      </c>
      <c r="H1491" s="63">
        <v>45147</v>
      </c>
      <c r="I1491" s="63">
        <v>45262</v>
      </c>
      <c r="J1491" s="1">
        <v>115</v>
      </c>
      <c r="K1491" s="1">
        <v>6.3</v>
      </c>
      <c r="L1491" s="1" t="s">
        <v>29</v>
      </c>
      <c r="M1491" s="1" t="s">
        <v>102</v>
      </c>
      <c r="N1491" s="1" t="str">
        <f t="shared" si="23"/>
        <v>Normal</v>
      </c>
    </row>
    <row r="1492" spans="1:14" x14ac:dyDescent="0.25">
      <c r="A1492" s="1" t="s">
        <v>2583</v>
      </c>
      <c r="B1492" s="1" t="s">
        <v>37</v>
      </c>
      <c r="C1492" s="1" t="s">
        <v>625</v>
      </c>
      <c r="D1492" s="1" t="s">
        <v>25</v>
      </c>
      <c r="E1492" s="1" t="s">
        <v>26</v>
      </c>
      <c r="F1492" s="1" t="s">
        <v>53</v>
      </c>
      <c r="G1492" s="1">
        <v>82389</v>
      </c>
      <c r="H1492" s="63">
        <v>45591</v>
      </c>
      <c r="J1492" s="1"/>
      <c r="K1492" s="1"/>
      <c r="L1492" s="1" t="s">
        <v>96</v>
      </c>
      <c r="M1492" s="1" t="s">
        <v>42</v>
      </c>
      <c r="N1492" s="1" t="str">
        <f t="shared" si="23"/>
        <v>Normal</v>
      </c>
    </row>
    <row r="1493" spans="1:14" x14ac:dyDescent="0.25">
      <c r="A1493" s="1" t="s">
        <v>2584</v>
      </c>
      <c r="B1493" s="1" t="s">
        <v>98</v>
      </c>
      <c r="C1493" s="1" t="s">
        <v>1178</v>
      </c>
      <c r="D1493" s="1" t="s">
        <v>67</v>
      </c>
      <c r="E1493" s="1" t="s">
        <v>61</v>
      </c>
      <c r="F1493" s="1" t="s">
        <v>27</v>
      </c>
      <c r="G1493" s="1">
        <v>468848</v>
      </c>
      <c r="H1493" s="63">
        <v>45346</v>
      </c>
      <c r="J1493" s="1"/>
      <c r="K1493" s="1">
        <v>0.3</v>
      </c>
      <c r="L1493" s="1" t="s">
        <v>29</v>
      </c>
      <c r="M1493" s="1" t="s">
        <v>69</v>
      </c>
      <c r="N1493" s="1" t="str">
        <f t="shared" si="23"/>
        <v>Normal</v>
      </c>
    </row>
    <row r="1494" spans="1:14" x14ac:dyDescent="0.25">
      <c r="A1494" s="1" t="s">
        <v>2585</v>
      </c>
      <c r="B1494" s="1" t="s">
        <v>4829</v>
      </c>
      <c r="C1494" s="1" t="s">
        <v>874</v>
      </c>
      <c r="D1494" s="1" t="s">
        <v>16</v>
      </c>
      <c r="E1494" s="1" t="s">
        <v>47</v>
      </c>
      <c r="F1494" s="1" t="s">
        <v>40</v>
      </c>
      <c r="G1494" s="1">
        <v>355440</v>
      </c>
      <c r="H1494" s="63">
        <v>45454</v>
      </c>
      <c r="I1494" s="63">
        <v>45574</v>
      </c>
      <c r="J1494" s="1">
        <v>120</v>
      </c>
      <c r="K1494" s="1">
        <v>0.1</v>
      </c>
      <c r="L1494" s="1" t="s">
        <v>49</v>
      </c>
      <c r="M1494" s="1" t="s">
        <v>107</v>
      </c>
      <c r="N1494" s="1" t="str">
        <f t="shared" si="23"/>
        <v>Normal</v>
      </c>
    </row>
    <row r="1495" spans="1:14" x14ac:dyDescent="0.25">
      <c r="A1495" s="1" t="s">
        <v>2587</v>
      </c>
      <c r="B1495" s="1" t="s">
        <v>65</v>
      </c>
      <c r="C1495" s="1" t="s">
        <v>667</v>
      </c>
      <c r="D1495" s="1" t="s">
        <v>67</v>
      </c>
      <c r="E1495" s="1" t="s">
        <v>61</v>
      </c>
      <c r="F1495" s="1" t="s">
        <v>27</v>
      </c>
      <c r="G1495" s="1">
        <v>187002</v>
      </c>
      <c r="H1495" s="63">
        <v>45663</v>
      </c>
      <c r="J1495" s="1"/>
      <c r="K1495" s="1">
        <v>4.2</v>
      </c>
      <c r="L1495" s="1" t="s">
        <v>29</v>
      </c>
      <c r="M1495" s="1" t="s">
        <v>63</v>
      </c>
      <c r="N1495" s="1" t="str">
        <f t="shared" si="23"/>
        <v>Normal</v>
      </c>
    </row>
    <row r="1496" spans="1:14" x14ac:dyDescent="0.25">
      <c r="A1496" s="1" t="s">
        <v>2588</v>
      </c>
      <c r="B1496" s="1" t="s">
        <v>173</v>
      </c>
      <c r="C1496" s="1" t="s">
        <v>574</v>
      </c>
      <c r="D1496" s="1" t="s">
        <v>16</v>
      </c>
      <c r="E1496" s="1" t="s">
        <v>17</v>
      </c>
      <c r="F1496" s="1" t="s">
        <v>40</v>
      </c>
      <c r="G1496" s="1">
        <v>356622</v>
      </c>
      <c r="H1496" s="63">
        <v>45568</v>
      </c>
      <c r="I1496" s="63">
        <v>45592</v>
      </c>
      <c r="J1496" s="1">
        <v>24</v>
      </c>
      <c r="K1496" s="1">
        <v>15.7</v>
      </c>
      <c r="L1496" s="1" t="s">
        <v>29</v>
      </c>
      <c r="M1496" s="1" t="s">
        <v>42</v>
      </c>
      <c r="N1496" s="1" t="str">
        <f t="shared" si="23"/>
        <v>Normal</v>
      </c>
    </row>
    <row r="1497" spans="1:14" x14ac:dyDescent="0.25">
      <c r="A1497" s="1" t="s">
        <v>2590</v>
      </c>
      <c r="B1497" s="1" t="s">
        <v>80</v>
      </c>
      <c r="C1497" s="1" t="s">
        <v>471</v>
      </c>
      <c r="D1497" s="1" t="s">
        <v>67</v>
      </c>
      <c r="E1497" s="1" t="s">
        <v>17</v>
      </c>
      <c r="F1497" s="1" t="s">
        <v>40</v>
      </c>
      <c r="G1497" s="1">
        <v>214485</v>
      </c>
      <c r="H1497" s="63">
        <v>45545</v>
      </c>
      <c r="I1497" s="63">
        <v>45608</v>
      </c>
      <c r="J1497" s="1">
        <v>63</v>
      </c>
      <c r="K1497" s="1">
        <v>19.399999999999999</v>
      </c>
      <c r="L1497" s="1" t="s">
        <v>29</v>
      </c>
      <c r="M1497" s="1" t="s">
        <v>149</v>
      </c>
      <c r="N1497" s="1" t="str">
        <f t="shared" si="23"/>
        <v>Normal</v>
      </c>
    </row>
    <row r="1498" spans="1:14" x14ac:dyDescent="0.25">
      <c r="A1498" s="1" t="s">
        <v>2591</v>
      </c>
      <c r="B1498" s="1" t="s">
        <v>59</v>
      </c>
      <c r="C1498" s="1" t="s">
        <v>390</v>
      </c>
      <c r="D1498" s="1" t="s">
        <v>46</v>
      </c>
      <c r="E1498" s="1" t="s">
        <v>77</v>
      </c>
      <c r="F1498" s="1" t="s">
        <v>53</v>
      </c>
      <c r="G1498" s="1">
        <v>481066</v>
      </c>
      <c r="H1498" s="63">
        <v>45350</v>
      </c>
      <c r="J1498" s="1"/>
      <c r="K1498" s="1">
        <v>14.9</v>
      </c>
      <c r="L1498" s="1" t="s">
        <v>96</v>
      </c>
      <c r="M1498" s="1" t="s">
        <v>69</v>
      </c>
      <c r="N1498" s="1" t="str">
        <f t="shared" si="23"/>
        <v>Normal</v>
      </c>
    </row>
    <row r="1499" spans="1:14" x14ac:dyDescent="0.25">
      <c r="A1499" s="1" t="s">
        <v>2592</v>
      </c>
      <c r="B1499" s="1" t="s">
        <v>75</v>
      </c>
      <c r="C1499" s="1" t="s">
        <v>699</v>
      </c>
      <c r="D1499" s="1" t="s">
        <v>16</v>
      </c>
      <c r="E1499" s="1" t="s">
        <v>72</v>
      </c>
      <c r="F1499" s="1" t="s">
        <v>53</v>
      </c>
      <c r="G1499" s="1">
        <v>471980</v>
      </c>
      <c r="H1499" s="63">
        <v>45545</v>
      </c>
      <c r="J1499" s="1"/>
      <c r="K1499" s="1">
        <v>11.3</v>
      </c>
      <c r="L1499" s="1" t="s">
        <v>96</v>
      </c>
      <c r="M1499" s="1" t="s">
        <v>149</v>
      </c>
      <c r="N1499" s="1" t="str">
        <f t="shared" si="23"/>
        <v>Normal</v>
      </c>
    </row>
    <row r="1500" spans="1:14" x14ac:dyDescent="0.25">
      <c r="A1500" s="1" t="s">
        <v>2593</v>
      </c>
      <c r="B1500" s="1" t="s">
        <v>23</v>
      </c>
      <c r="C1500" s="1" t="s">
        <v>119</v>
      </c>
      <c r="D1500" s="1" t="s">
        <v>16</v>
      </c>
      <c r="E1500" s="1" t="s">
        <v>47</v>
      </c>
      <c r="F1500" s="1" t="s">
        <v>40</v>
      </c>
      <c r="G1500" s="1">
        <v>202007</v>
      </c>
      <c r="H1500" s="63">
        <v>45399</v>
      </c>
      <c r="I1500" s="63">
        <v>45557</v>
      </c>
      <c r="J1500" s="1">
        <v>158</v>
      </c>
      <c r="K1500" s="1">
        <v>23.5</v>
      </c>
      <c r="L1500" s="1" t="s">
        <v>29</v>
      </c>
      <c r="M1500" s="1" t="s">
        <v>107</v>
      </c>
      <c r="N1500" s="1" t="str">
        <f t="shared" si="23"/>
        <v>Normal</v>
      </c>
    </row>
    <row r="1501" spans="1:14" x14ac:dyDescent="0.25">
      <c r="A1501" s="1" t="s">
        <v>2595</v>
      </c>
      <c r="B1501" s="1" t="s">
        <v>59</v>
      </c>
      <c r="C1501" s="1" t="s">
        <v>398</v>
      </c>
      <c r="D1501" s="1" t="s">
        <v>39</v>
      </c>
      <c r="E1501" s="1" t="s">
        <v>72</v>
      </c>
      <c r="F1501" s="1" t="s">
        <v>129</v>
      </c>
      <c r="G1501" s="1">
        <v>273804</v>
      </c>
      <c r="H1501" s="63">
        <v>45287</v>
      </c>
      <c r="J1501" s="1"/>
      <c r="K1501" s="1">
        <v>14.5</v>
      </c>
      <c r="L1501" s="1" t="s">
        <v>29</v>
      </c>
      <c r="M1501" s="1" t="s">
        <v>21</v>
      </c>
      <c r="N1501" s="1" t="str">
        <f t="shared" si="23"/>
        <v>Normal</v>
      </c>
    </row>
    <row r="1502" spans="1:14" x14ac:dyDescent="0.25">
      <c r="A1502" s="1" t="s">
        <v>2596</v>
      </c>
      <c r="B1502" s="1" t="s">
        <v>80</v>
      </c>
      <c r="C1502" s="1" t="s">
        <v>983</v>
      </c>
      <c r="D1502" s="1" t="s">
        <v>16</v>
      </c>
      <c r="E1502" s="1" t="s">
        <v>17</v>
      </c>
      <c r="F1502" s="1" t="s">
        <v>129</v>
      </c>
      <c r="G1502" s="1">
        <v>248962</v>
      </c>
      <c r="H1502" s="63">
        <v>45217</v>
      </c>
      <c r="J1502" s="1"/>
      <c r="K1502" s="1">
        <v>2.2000000000000002</v>
      </c>
      <c r="L1502" s="1" t="s">
        <v>96</v>
      </c>
      <c r="M1502" s="1" t="s">
        <v>21</v>
      </c>
      <c r="N1502" s="1" t="str">
        <f t="shared" si="23"/>
        <v>Normal</v>
      </c>
    </row>
    <row r="1503" spans="1:14" x14ac:dyDescent="0.25">
      <c r="A1503" s="1" t="s">
        <v>2597</v>
      </c>
      <c r="B1503" s="1" t="s">
        <v>127</v>
      </c>
      <c r="C1503" s="1" t="s">
        <v>1518</v>
      </c>
      <c r="D1503" s="1" t="s">
        <v>39</v>
      </c>
      <c r="E1503" s="1" t="s">
        <v>61</v>
      </c>
      <c r="F1503" s="1" t="s">
        <v>33</v>
      </c>
      <c r="G1503" s="1">
        <v>444743</v>
      </c>
      <c r="H1503" s="63">
        <v>45390</v>
      </c>
      <c r="J1503" s="1"/>
      <c r="K1503" s="1">
        <v>7.4</v>
      </c>
      <c r="L1503" s="1" t="s">
        <v>29</v>
      </c>
      <c r="M1503" s="1" t="s">
        <v>107</v>
      </c>
      <c r="N1503" s="1" t="str">
        <f t="shared" si="23"/>
        <v>Normal</v>
      </c>
    </row>
    <row r="1504" spans="1:14" x14ac:dyDescent="0.25">
      <c r="A1504" s="1" t="s">
        <v>2599</v>
      </c>
      <c r="B1504" s="1" t="s">
        <v>104</v>
      </c>
      <c r="C1504" s="1" t="s">
        <v>650</v>
      </c>
      <c r="D1504" s="1" t="s">
        <v>90</v>
      </c>
      <c r="E1504" s="1" t="s">
        <v>4845</v>
      </c>
      <c r="F1504" s="1" t="s">
        <v>33</v>
      </c>
      <c r="G1504" s="1">
        <v>230330</v>
      </c>
      <c r="H1504" s="63">
        <v>45509</v>
      </c>
      <c r="J1504" s="1"/>
      <c r="K1504" s="1">
        <v>13.9</v>
      </c>
      <c r="L1504" s="1" t="s">
        <v>20</v>
      </c>
      <c r="M1504" s="1" t="s">
        <v>149</v>
      </c>
      <c r="N1504" s="1" t="str">
        <f t="shared" si="23"/>
        <v>Normal</v>
      </c>
    </row>
    <row r="1505" spans="1:14" x14ac:dyDescent="0.25">
      <c r="A1505" s="1" t="s">
        <v>2601</v>
      </c>
      <c r="B1505" s="1" t="s">
        <v>104</v>
      </c>
      <c r="C1505" s="1" t="s">
        <v>539</v>
      </c>
      <c r="D1505" s="1" t="s">
        <v>46</v>
      </c>
      <c r="E1505" s="1" t="s">
        <v>47</v>
      </c>
      <c r="F1505" s="1" t="s">
        <v>53</v>
      </c>
      <c r="G1505" s="1">
        <v>302736</v>
      </c>
      <c r="H1505" s="63">
        <v>45701</v>
      </c>
      <c r="J1505" s="1"/>
      <c r="K1505" s="1">
        <v>5.2</v>
      </c>
      <c r="L1505" s="1" t="s">
        <v>29</v>
      </c>
      <c r="M1505" s="1" t="s">
        <v>63</v>
      </c>
      <c r="N1505" s="1" t="str">
        <f t="shared" si="23"/>
        <v>Normal</v>
      </c>
    </row>
    <row r="1506" spans="1:14" x14ac:dyDescent="0.25">
      <c r="A1506" s="1" t="s">
        <v>2602</v>
      </c>
      <c r="B1506" s="1" t="s">
        <v>44</v>
      </c>
      <c r="C1506" s="1" t="s">
        <v>334</v>
      </c>
      <c r="D1506" s="1" t="s">
        <v>90</v>
      </c>
      <c r="E1506" s="1" t="s">
        <v>77</v>
      </c>
      <c r="F1506" s="1" t="s">
        <v>33</v>
      </c>
      <c r="G1506" s="1">
        <v>133756</v>
      </c>
      <c r="H1506" s="63">
        <v>45716</v>
      </c>
      <c r="J1506" s="1"/>
      <c r="K1506" s="1"/>
      <c r="L1506" s="1" t="s">
        <v>96</v>
      </c>
      <c r="M1506" s="1" t="s">
        <v>63</v>
      </c>
      <c r="N1506" s="1" t="str">
        <f t="shared" si="23"/>
        <v>Normal</v>
      </c>
    </row>
    <row r="1507" spans="1:14" x14ac:dyDescent="0.25">
      <c r="A1507" s="1" t="s">
        <v>2603</v>
      </c>
      <c r="B1507" s="1" t="s">
        <v>127</v>
      </c>
      <c r="C1507" s="1" t="s">
        <v>52</v>
      </c>
      <c r="D1507" s="1" t="s">
        <v>25</v>
      </c>
      <c r="E1507" s="1" t="s">
        <v>17</v>
      </c>
      <c r="F1507" s="1" t="s">
        <v>40</v>
      </c>
      <c r="G1507" s="1">
        <v>215780</v>
      </c>
      <c r="H1507" s="63">
        <v>45113</v>
      </c>
      <c r="I1507" s="63">
        <v>45240</v>
      </c>
      <c r="J1507" s="1">
        <v>127</v>
      </c>
      <c r="K1507" s="1">
        <v>16.100000000000001</v>
      </c>
      <c r="L1507" s="1" t="s">
        <v>29</v>
      </c>
      <c r="M1507" s="1" t="s">
        <v>102</v>
      </c>
      <c r="N1507" s="1" t="str">
        <f t="shared" si="23"/>
        <v>Normal</v>
      </c>
    </row>
    <row r="1508" spans="1:14" x14ac:dyDescent="0.25">
      <c r="A1508" s="1" t="s">
        <v>2604</v>
      </c>
      <c r="B1508" s="1" t="s">
        <v>80</v>
      </c>
      <c r="C1508" s="1" t="s">
        <v>273</v>
      </c>
      <c r="D1508" s="1" t="s">
        <v>39</v>
      </c>
      <c r="E1508" s="1" t="s">
        <v>17</v>
      </c>
      <c r="F1508" s="1" t="s">
        <v>40</v>
      </c>
      <c r="G1508" s="1">
        <v>330892</v>
      </c>
      <c r="H1508" s="63">
        <v>45512</v>
      </c>
      <c r="I1508" s="63">
        <v>45688</v>
      </c>
      <c r="J1508" s="1">
        <v>176</v>
      </c>
      <c r="K1508" s="1">
        <v>2.2000000000000002</v>
      </c>
      <c r="L1508" s="1" t="s">
        <v>49</v>
      </c>
      <c r="M1508" s="1" t="s">
        <v>149</v>
      </c>
      <c r="N1508" s="1" t="str">
        <f t="shared" si="23"/>
        <v>Normal</v>
      </c>
    </row>
    <row r="1509" spans="1:14" x14ac:dyDescent="0.25">
      <c r="A1509" s="1" t="s">
        <v>2605</v>
      </c>
      <c r="B1509" s="1" t="s">
        <v>59</v>
      </c>
      <c r="C1509" s="1" t="s">
        <v>944</v>
      </c>
      <c r="D1509" s="1" t="s">
        <v>39</v>
      </c>
      <c r="E1509" s="1" t="s">
        <v>61</v>
      </c>
      <c r="F1509" s="1" t="s">
        <v>129</v>
      </c>
      <c r="G1509" s="1">
        <v>335174</v>
      </c>
      <c r="H1509" s="63">
        <v>45248</v>
      </c>
      <c r="J1509" s="1"/>
      <c r="K1509" s="1"/>
      <c r="L1509" s="1" t="s">
        <v>29</v>
      </c>
      <c r="M1509" s="1" t="s">
        <v>21</v>
      </c>
      <c r="N1509" s="1" t="str">
        <f t="shared" si="23"/>
        <v>Normal</v>
      </c>
    </row>
    <row r="1510" spans="1:14" x14ac:dyDescent="0.25">
      <c r="A1510" s="1" t="s">
        <v>2606</v>
      </c>
      <c r="B1510" s="1" t="s">
        <v>88</v>
      </c>
      <c r="C1510" s="1" t="s">
        <v>205</v>
      </c>
      <c r="D1510" s="1" t="s">
        <v>25</v>
      </c>
      <c r="E1510" s="1" t="s">
        <v>100</v>
      </c>
      <c r="F1510" s="1" t="s">
        <v>33</v>
      </c>
      <c r="G1510" s="1">
        <v>476929</v>
      </c>
      <c r="H1510" s="63">
        <v>44959</v>
      </c>
      <c r="J1510" s="1"/>
      <c r="K1510" s="1"/>
      <c r="L1510" s="1" t="s">
        <v>20</v>
      </c>
      <c r="M1510" s="1" t="s">
        <v>35</v>
      </c>
      <c r="N1510" s="1" t="str">
        <f t="shared" si="23"/>
        <v>Normal</v>
      </c>
    </row>
    <row r="1511" spans="1:14" x14ac:dyDescent="0.25">
      <c r="A1511" s="1" t="s">
        <v>2607</v>
      </c>
      <c r="B1511" s="1" t="s">
        <v>37</v>
      </c>
      <c r="C1511" s="1" t="s">
        <v>195</v>
      </c>
      <c r="D1511" s="1" t="s">
        <v>25</v>
      </c>
      <c r="E1511" s="1" t="s">
        <v>26</v>
      </c>
      <c r="F1511" s="1" t="s">
        <v>53</v>
      </c>
      <c r="G1511" s="1">
        <v>460477</v>
      </c>
      <c r="H1511" s="63">
        <v>45342</v>
      </c>
      <c r="J1511" s="1"/>
      <c r="K1511" s="1">
        <v>1.7</v>
      </c>
      <c r="L1511" s="1" t="s">
        <v>20</v>
      </c>
      <c r="M1511" s="1" t="s">
        <v>69</v>
      </c>
      <c r="N1511" s="1" t="str">
        <f t="shared" si="23"/>
        <v>Normal</v>
      </c>
    </row>
    <row r="1512" spans="1:14" x14ac:dyDescent="0.25">
      <c r="A1512" s="1" t="s">
        <v>2608</v>
      </c>
      <c r="B1512" s="1" t="s">
        <v>23</v>
      </c>
      <c r="C1512" s="1" t="s">
        <v>874</v>
      </c>
      <c r="D1512" s="1" t="s">
        <v>39</v>
      </c>
      <c r="E1512" s="1" t="s">
        <v>26</v>
      </c>
      <c r="F1512" s="1" t="s">
        <v>53</v>
      </c>
      <c r="G1512" s="1">
        <v>191529</v>
      </c>
      <c r="H1512" s="63">
        <v>45492</v>
      </c>
      <c r="J1512" s="1"/>
      <c r="K1512" s="1"/>
      <c r="L1512" s="1" t="s">
        <v>96</v>
      </c>
      <c r="M1512" s="1" t="s">
        <v>149</v>
      </c>
      <c r="N1512" s="1" t="str">
        <f t="shared" si="23"/>
        <v>Normal</v>
      </c>
    </row>
    <row r="1513" spans="1:14" x14ac:dyDescent="0.25">
      <c r="A1513" s="1" t="s">
        <v>2610</v>
      </c>
      <c r="B1513" s="1" t="s">
        <v>104</v>
      </c>
      <c r="C1513" s="1" t="s">
        <v>261</v>
      </c>
      <c r="D1513" s="1" t="s">
        <v>90</v>
      </c>
      <c r="E1513" s="1" t="s">
        <v>77</v>
      </c>
      <c r="F1513" s="1" t="s">
        <v>27</v>
      </c>
      <c r="G1513" s="1">
        <v>481258</v>
      </c>
      <c r="H1513" s="63">
        <v>45462</v>
      </c>
      <c r="J1513" s="1"/>
      <c r="K1513" s="1">
        <v>1.5</v>
      </c>
      <c r="L1513" s="1" t="s">
        <v>49</v>
      </c>
      <c r="M1513" s="1" t="s">
        <v>107</v>
      </c>
      <c r="N1513" s="1" t="str">
        <f t="shared" si="23"/>
        <v>Normal</v>
      </c>
    </row>
    <row r="1514" spans="1:14" x14ac:dyDescent="0.25">
      <c r="A1514" s="1" t="s">
        <v>2611</v>
      </c>
      <c r="B1514" s="1" t="s">
        <v>37</v>
      </c>
      <c r="C1514" s="1" t="s">
        <v>877</v>
      </c>
      <c r="D1514" s="1" t="s">
        <v>90</v>
      </c>
      <c r="E1514" s="1" t="s">
        <v>100</v>
      </c>
      <c r="F1514" s="1" t="s">
        <v>18</v>
      </c>
      <c r="G1514" s="1">
        <v>194080</v>
      </c>
      <c r="H1514" s="63">
        <v>45741</v>
      </c>
      <c r="I1514" s="63">
        <v>45879</v>
      </c>
      <c r="J1514" s="1">
        <v>138</v>
      </c>
      <c r="K1514" s="1">
        <v>12.5</v>
      </c>
      <c r="L1514" s="1" t="s">
        <v>96</v>
      </c>
      <c r="M1514" s="1" t="s">
        <v>63</v>
      </c>
      <c r="N1514" s="1" t="str">
        <f t="shared" si="23"/>
        <v>Normal</v>
      </c>
    </row>
    <row r="1515" spans="1:14" x14ac:dyDescent="0.25">
      <c r="A1515" s="1" t="s">
        <v>2612</v>
      </c>
      <c r="B1515" s="1" t="s">
        <v>127</v>
      </c>
      <c r="C1515" s="1" t="s">
        <v>119</v>
      </c>
      <c r="D1515" s="1" t="s">
        <v>90</v>
      </c>
      <c r="E1515" s="1" t="s">
        <v>72</v>
      </c>
      <c r="F1515" s="1" t="s">
        <v>18</v>
      </c>
      <c r="G1515" s="1">
        <v>50125</v>
      </c>
      <c r="H1515" s="63">
        <v>45443</v>
      </c>
      <c r="I1515" s="63">
        <v>45541</v>
      </c>
      <c r="J1515" s="1">
        <v>98</v>
      </c>
      <c r="K1515" s="1"/>
      <c r="L1515" s="1" t="s">
        <v>96</v>
      </c>
      <c r="M1515" s="1" t="s">
        <v>107</v>
      </c>
      <c r="N1515" s="1" t="str">
        <f t="shared" si="23"/>
        <v>Normal</v>
      </c>
    </row>
    <row r="1516" spans="1:14" x14ac:dyDescent="0.25">
      <c r="A1516" s="1" t="s">
        <v>2613</v>
      </c>
      <c r="B1516" s="1" t="s">
        <v>104</v>
      </c>
      <c r="C1516" s="1" t="s">
        <v>1018</v>
      </c>
      <c r="D1516" s="1" t="s">
        <v>16</v>
      </c>
      <c r="E1516" s="1" t="s">
        <v>47</v>
      </c>
      <c r="F1516" s="1" t="s">
        <v>18</v>
      </c>
      <c r="G1516" s="1">
        <v>479196</v>
      </c>
      <c r="H1516" s="63">
        <v>44944</v>
      </c>
      <c r="I1516" s="63">
        <v>45009</v>
      </c>
      <c r="J1516" s="1">
        <v>65</v>
      </c>
      <c r="K1516" s="1">
        <v>1.2</v>
      </c>
      <c r="L1516" s="1" t="s">
        <v>49</v>
      </c>
      <c r="M1516" s="1" t="s">
        <v>35</v>
      </c>
      <c r="N1516" s="1" t="str">
        <f t="shared" si="23"/>
        <v>Normal</v>
      </c>
    </row>
    <row r="1517" spans="1:14" x14ac:dyDescent="0.25">
      <c r="A1517" s="1" t="s">
        <v>2614</v>
      </c>
      <c r="B1517" s="1" t="s">
        <v>65</v>
      </c>
      <c r="C1517" s="1" t="s">
        <v>1518</v>
      </c>
      <c r="D1517" s="1" t="s">
        <v>39</v>
      </c>
      <c r="E1517" s="1" t="s">
        <v>26</v>
      </c>
      <c r="F1517" s="1" t="s">
        <v>27</v>
      </c>
      <c r="G1517" s="1">
        <v>438500</v>
      </c>
      <c r="H1517" s="63">
        <v>45357</v>
      </c>
      <c r="J1517" s="1"/>
      <c r="K1517" s="1"/>
      <c r="L1517" s="1" t="s">
        <v>49</v>
      </c>
      <c r="M1517" s="1" t="s">
        <v>69</v>
      </c>
      <c r="N1517" s="1" t="str">
        <f t="shared" si="23"/>
        <v>Normal</v>
      </c>
    </row>
    <row r="1518" spans="1:14" x14ac:dyDescent="0.25">
      <c r="A1518" s="1" t="s">
        <v>2615</v>
      </c>
      <c r="B1518" s="1" t="s">
        <v>65</v>
      </c>
      <c r="C1518" s="1" t="s">
        <v>93</v>
      </c>
      <c r="D1518" s="1" t="s">
        <v>67</v>
      </c>
      <c r="E1518" s="1" t="s">
        <v>94</v>
      </c>
      <c r="F1518" s="1" t="s">
        <v>53</v>
      </c>
      <c r="G1518" s="1">
        <v>404059</v>
      </c>
      <c r="H1518" s="63">
        <v>45150</v>
      </c>
      <c r="J1518" s="1"/>
      <c r="K1518" s="1">
        <v>1</v>
      </c>
      <c r="L1518" s="1" t="s">
        <v>49</v>
      </c>
      <c r="M1518" s="1" t="s">
        <v>102</v>
      </c>
      <c r="N1518" s="1" t="str">
        <f t="shared" si="23"/>
        <v>Normal</v>
      </c>
    </row>
    <row r="1519" spans="1:14" x14ac:dyDescent="0.25">
      <c r="A1519" s="1" t="s">
        <v>2616</v>
      </c>
      <c r="B1519" s="1" t="s">
        <v>173</v>
      </c>
      <c r="C1519" s="1" t="s">
        <v>1248</v>
      </c>
      <c r="D1519" s="1" t="s">
        <v>67</v>
      </c>
      <c r="E1519" s="1" t="s">
        <v>26</v>
      </c>
      <c r="F1519" s="1" t="s">
        <v>129</v>
      </c>
      <c r="G1519" s="1">
        <v>327322</v>
      </c>
      <c r="H1519" s="63">
        <v>45615</v>
      </c>
      <c r="J1519" s="1"/>
      <c r="K1519" s="1">
        <v>8</v>
      </c>
      <c r="L1519" s="1" t="s">
        <v>49</v>
      </c>
      <c r="M1519" s="1" t="s">
        <v>42</v>
      </c>
      <c r="N1519" s="1" t="str">
        <f t="shared" si="23"/>
        <v>Normal</v>
      </c>
    </row>
    <row r="1520" spans="1:14" x14ac:dyDescent="0.25">
      <c r="A1520" s="1" t="s">
        <v>2618</v>
      </c>
      <c r="B1520" s="1" t="s">
        <v>84</v>
      </c>
      <c r="C1520" s="1" t="s">
        <v>328</v>
      </c>
      <c r="D1520" s="1" t="s">
        <v>46</v>
      </c>
      <c r="E1520" s="1" t="s">
        <v>26</v>
      </c>
      <c r="F1520" s="1" t="s">
        <v>18</v>
      </c>
      <c r="G1520" s="1">
        <v>237345</v>
      </c>
      <c r="H1520" s="63">
        <v>45545</v>
      </c>
      <c r="I1520" s="63">
        <v>45623</v>
      </c>
      <c r="J1520" s="1">
        <v>78</v>
      </c>
      <c r="K1520" s="1"/>
      <c r="L1520" s="1" t="s">
        <v>20</v>
      </c>
      <c r="M1520" s="1" t="s">
        <v>149</v>
      </c>
      <c r="N1520" s="1" t="str">
        <f t="shared" si="23"/>
        <v>Normal</v>
      </c>
    </row>
    <row r="1521" spans="1:14" x14ac:dyDescent="0.25">
      <c r="A1521" s="1" t="s">
        <v>2619</v>
      </c>
      <c r="B1521" s="1" t="s">
        <v>84</v>
      </c>
      <c r="C1521" s="1" t="s">
        <v>460</v>
      </c>
      <c r="D1521" s="1" t="s">
        <v>90</v>
      </c>
      <c r="E1521" s="1" t="s">
        <v>47</v>
      </c>
      <c r="F1521" s="1" t="s">
        <v>129</v>
      </c>
      <c r="G1521" s="1">
        <v>241772</v>
      </c>
      <c r="H1521" s="63">
        <v>45281</v>
      </c>
      <c r="J1521" s="1"/>
      <c r="K1521" s="1">
        <v>12.8</v>
      </c>
      <c r="L1521" s="1" t="s">
        <v>96</v>
      </c>
      <c r="M1521" s="1" t="s">
        <v>21</v>
      </c>
      <c r="N1521" s="1" t="str">
        <f t="shared" si="23"/>
        <v>Normal</v>
      </c>
    </row>
    <row r="1522" spans="1:14" x14ac:dyDescent="0.25">
      <c r="A1522" s="1" t="s">
        <v>2621</v>
      </c>
      <c r="B1522" s="1" t="s">
        <v>98</v>
      </c>
      <c r="C1522" s="1" t="s">
        <v>906</v>
      </c>
      <c r="D1522" s="1" t="s">
        <v>46</v>
      </c>
      <c r="E1522" s="1" t="s">
        <v>61</v>
      </c>
      <c r="F1522" s="1" t="s">
        <v>27</v>
      </c>
      <c r="G1522" s="1">
        <v>488609</v>
      </c>
      <c r="H1522" s="63">
        <v>45362</v>
      </c>
      <c r="J1522" s="1"/>
      <c r="K1522" s="1">
        <v>9</v>
      </c>
      <c r="L1522" s="1" t="s">
        <v>96</v>
      </c>
      <c r="M1522" s="1" t="s">
        <v>69</v>
      </c>
      <c r="N1522" s="1" t="str">
        <f t="shared" si="23"/>
        <v>Normal</v>
      </c>
    </row>
    <row r="1523" spans="1:14" x14ac:dyDescent="0.25">
      <c r="A1523" s="1" t="s">
        <v>2622</v>
      </c>
      <c r="B1523" s="1" t="s">
        <v>14</v>
      </c>
      <c r="C1523" s="1" t="s">
        <v>865</v>
      </c>
      <c r="D1523" s="1" t="s">
        <v>16</v>
      </c>
      <c r="E1523" s="1" t="s">
        <v>17</v>
      </c>
      <c r="F1523" s="1" t="s">
        <v>129</v>
      </c>
      <c r="G1523" s="1">
        <v>290135</v>
      </c>
      <c r="H1523" s="63">
        <v>45126</v>
      </c>
      <c r="J1523" s="1"/>
      <c r="K1523" s="1"/>
      <c r="L1523" s="1" t="s">
        <v>96</v>
      </c>
      <c r="M1523" s="1" t="s">
        <v>102</v>
      </c>
      <c r="N1523" s="1" t="str">
        <f t="shared" si="23"/>
        <v>Normal</v>
      </c>
    </row>
    <row r="1524" spans="1:14" x14ac:dyDescent="0.25">
      <c r="A1524" s="1" t="s">
        <v>2624</v>
      </c>
      <c r="B1524" s="1" t="s">
        <v>75</v>
      </c>
      <c r="C1524" s="1" t="s">
        <v>198</v>
      </c>
      <c r="D1524" s="1" t="s">
        <v>67</v>
      </c>
      <c r="E1524" s="1" t="s">
        <v>100</v>
      </c>
      <c r="F1524" s="1" t="s">
        <v>129</v>
      </c>
      <c r="G1524" s="1">
        <v>361085</v>
      </c>
      <c r="H1524" s="63">
        <v>45351</v>
      </c>
      <c r="J1524" s="1"/>
      <c r="K1524" s="1"/>
      <c r="L1524" s="1" t="s">
        <v>96</v>
      </c>
      <c r="M1524" s="1" t="s">
        <v>69</v>
      </c>
      <c r="N1524" s="1" t="str">
        <f t="shared" si="23"/>
        <v>Normal</v>
      </c>
    </row>
    <row r="1525" spans="1:14" x14ac:dyDescent="0.25">
      <c r="A1525" s="1" t="s">
        <v>2626</v>
      </c>
      <c r="B1525" s="1" t="s">
        <v>23</v>
      </c>
      <c r="C1525" s="1" t="s">
        <v>71</v>
      </c>
      <c r="D1525" s="1" t="s">
        <v>25</v>
      </c>
      <c r="E1525" s="1" t="s">
        <v>77</v>
      </c>
      <c r="F1525" s="1" t="s">
        <v>40</v>
      </c>
      <c r="G1525" s="1">
        <v>168320</v>
      </c>
      <c r="H1525" s="63">
        <v>45072</v>
      </c>
      <c r="I1525" s="63">
        <v>45091</v>
      </c>
      <c r="J1525" s="1">
        <v>19</v>
      </c>
      <c r="K1525" s="1">
        <v>22.6</v>
      </c>
      <c r="L1525" s="1" t="s">
        <v>49</v>
      </c>
      <c r="M1525" s="1" t="s">
        <v>30</v>
      </c>
      <c r="N1525" s="1" t="str">
        <f t="shared" si="23"/>
        <v>Normal</v>
      </c>
    </row>
    <row r="1526" spans="1:14" x14ac:dyDescent="0.25">
      <c r="A1526" s="1" t="s">
        <v>2627</v>
      </c>
      <c r="B1526" s="1" t="s">
        <v>75</v>
      </c>
      <c r="C1526" s="1" t="s">
        <v>882</v>
      </c>
      <c r="D1526" s="1" t="s">
        <v>67</v>
      </c>
      <c r="E1526" s="1" t="s">
        <v>61</v>
      </c>
      <c r="F1526" s="1" t="s">
        <v>40</v>
      </c>
      <c r="G1526" s="1">
        <v>424756</v>
      </c>
      <c r="H1526" s="63">
        <v>45672</v>
      </c>
      <c r="I1526" s="63">
        <v>45700</v>
      </c>
      <c r="J1526" s="1">
        <v>28</v>
      </c>
      <c r="K1526" s="1">
        <v>12.4</v>
      </c>
      <c r="L1526" s="1" t="s">
        <v>96</v>
      </c>
      <c r="M1526" s="1" t="s">
        <v>63</v>
      </c>
      <c r="N1526" s="1" t="str">
        <f t="shared" si="23"/>
        <v>Normal</v>
      </c>
    </row>
    <row r="1527" spans="1:14" x14ac:dyDescent="0.25">
      <c r="A1527" s="1" t="s">
        <v>2628</v>
      </c>
      <c r="B1527" s="1" t="s">
        <v>88</v>
      </c>
      <c r="C1527" s="1" t="s">
        <v>1170</v>
      </c>
      <c r="D1527" s="1" t="s">
        <v>39</v>
      </c>
      <c r="E1527" s="1" t="s">
        <v>17</v>
      </c>
      <c r="F1527" s="1" t="s">
        <v>129</v>
      </c>
      <c r="G1527" s="1">
        <v>177890</v>
      </c>
      <c r="H1527" s="63">
        <v>45378</v>
      </c>
      <c r="J1527" s="1"/>
      <c r="K1527" s="1">
        <v>13.8</v>
      </c>
      <c r="L1527" s="1" t="s">
        <v>49</v>
      </c>
      <c r="M1527" s="1" t="s">
        <v>69</v>
      </c>
      <c r="N1527" s="1" t="str">
        <f t="shared" si="23"/>
        <v>Normal</v>
      </c>
    </row>
    <row r="1528" spans="1:14" x14ac:dyDescent="0.25">
      <c r="A1528" s="1" t="s">
        <v>2629</v>
      </c>
      <c r="B1528" s="1" t="s">
        <v>88</v>
      </c>
      <c r="C1528" s="1" t="s">
        <v>138</v>
      </c>
      <c r="D1528" s="1" t="s">
        <v>16</v>
      </c>
      <c r="E1528" s="1" t="s">
        <v>100</v>
      </c>
      <c r="F1528" s="1" t="s">
        <v>33</v>
      </c>
      <c r="G1528" s="1">
        <v>442984</v>
      </c>
      <c r="H1528" s="63">
        <v>45474</v>
      </c>
      <c r="J1528" s="1"/>
      <c r="K1528" s="1">
        <v>13.2</v>
      </c>
      <c r="L1528" s="1" t="s">
        <v>20</v>
      </c>
      <c r="M1528" s="1" t="s">
        <v>149</v>
      </c>
      <c r="N1528" s="1" t="str">
        <f t="shared" si="23"/>
        <v>Normal</v>
      </c>
    </row>
    <row r="1529" spans="1:14" x14ac:dyDescent="0.25">
      <c r="A1529" s="1" t="s">
        <v>2631</v>
      </c>
      <c r="B1529" s="1" t="s">
        <v>104</v>
      </c>
      <c r="C1529" s="1" t="s">
        <v>2211</v>
      </c>
      <c r="D1529" s="1" t="s">
        <v>67</v>
      </c>
      <c r="E1529" s="1" t="s">
        <v>72</v>
      </c>
      <c r="F1529" s="1" t="s">
        <v>33</v>
      </c>
      <c r="G1529" s="1">
        <v>411195</v>
      </c>
      <c r="H1529" s="63">
        <v>45596</v>
      </c>
      <c r="J1529" s="1"/>
      <c r="K1529" s="1">
        <v>7.2</v>
      </c>
      <c r="L1529" s="1" t="s">
        <v>49</v>
      </c>
      <c r="M1529" s="1" t="s">
        <v>42</v>
      </c>
      <c r="N1529" s="1" t="str">
        <f t="shared" si="23"/>
        <v>Normal</v>
      </c>
    </row>
    <row r="1530" spans="1:14" x14ac:dyDescent="0.25">
      <c r="A1530" s="1" t="s">
        <v>2632</v>
      </c>
      <c r="B1530" s="1" t="s">
        <v>127</v>
      </c>
      <c r="C1530" s="1" t="s">
        <v>1087</v>
      </c>
      <c r="D1530" s="1" t="s">
        <v>25</v>
      </c>
      <c r="E1530" s="1" t="s">
        <v>61</v>
      </c>
      <c r="F1530" s="1" t="s">
        <v>129</v>
      </c>
      <c r="G1530" s="1">
        <v>370598</v>
      </c>
      <c r="H1530" s="63">
        <v>45586</v>
      </c>
      <c r="J1530" s="1"/>
      <c r="K1530" s="1">
        <v>6</v>
      </c>
      <c r="L1530" s="1" t="s">
        <v>49</v>
      </c>
      <c r="M1530" s="1" t="s">
        <v>42</v>
      </c>
      <c r="N1530" s="1" t="str">
        <f t="shared" si="23"/>
        <v>Normal</v>
      </c>
    </row>
    <row r="1531" spans="1:14" x14ac:dyDescent="0.25">
      <c r="A1531" s="1" t="s">
        <v>2634</v>
      </c>
      <c r="B1531" s="1" t="s">
        <v>98</v>
      </c>
      <c r="C1531" s="1" t="s">
        <v>300</v>
      </c>
      <c r="D1531" s="1" t="s">
        <v>46</v>
      </c>
      <c r="E1531" s="1" t="s">
        <v>26</v>
      </c>
      <c r="F1531" s="1" t="s">
        <v>40</v>
      </c>
      <c r="G1531" s="1">
        <v>325831</v>
      </c>
      <c r="H1531" s="63">
        <v>45592</v>
      </c>
      <c r="I1531" s="63">
        <v>45669</v>
      </c>
      <c r="J1531" s="1">
        <v>77</v>
      </c>
      <c r="K1531" s="1">
        <v>13</v>
      </c>
      <c r="L1531" s="1" t="s">
        <v>96</v>
      </c>
      <c r="M1531" s="1" t="s">
        <v>42</v>
      </c>
      <c r="N1531" s="1" t="str">
        <f t="shared" si="23"/>
        <v>Normal</v>
      </c>
    </row>
    <row r="1532" spans="1:14" x14ac:dyDescent="0.25">
      <c r="A1532" s="1" t="s">
        <v>2636</v>
      </c>
      <c r="B1532" s="1" t="s">
        <v>23</v>
      </c>
      <c r="C1532" s="1" t="s">
        <v>151</v>
      </c>
      <c r="D1532" s="1" t="s">
        <v>16</v>
      </c>
      <c r="E1532" s="1" t="s">
        <v>94</v>
      </c>
      <c r="F1532" s="1" t="s">
        <v>33</v>
      </c>
      <c r="G1532" s="1">
        <v>195408</v>
      </c>
      <c r="H1532" s="63">
        <v>45652</v>
      </c>
      <c r="J1532" s="1"/>
      <c r="K1532" s="1"/>
      <c r="L1532" s="1" t="s">
        <v>96</v>
      </c>
      <c r="M1532" s="1" t="s">
        <v>42</v>
      </c>
      <c r="N1532" s="1" t="str">
        <f t="shared" si="23"/>
        <v>Normal</v>
      </c>
    </row>
    <row r="1533" spans="1:14" x14ac:dyDescent="0.25">
      <c r="A1533" s="1" t="s">
        <v>2637</v>
      </c>
      <c r="B1533" s="1" t="s">
        <v>37</v>
      </c>
      <c r="C1533" s="1" t="s">
        <v>564</v>
      </c>
      <c r="D1533" s="1" t="s">
        <v>16</v>
      </c>
      <c r="E1533" s="1" t="s">
        <v>26</v>
      </c>
      <c r="F1533" s="1" t="s">
        <v>33</v>
      </c>
      <c r="G1533" s="1">
        <v>230718</v>
      </c>
      <c r="H1533" s="63">
        <v>45069</v>
      </c>
      <c r="J1533" s="1"/>
      <c r="K1533" s="1">
        <v>13.4</v>
      </c>
      <c r="L1533" s="1" t="s">
        <v>20</v>
      </c>
      <c r="M1533" s="1" t="s">
        <v>30</v>
      </c>
      <c r="N1533" s="1" t="str">
        <f t="shared" si="23"/>
        <v>Normal</v>
      </c>
    </row>
    <row r="1534" spans="1:14" x14ac:dyDescent="0.25">
      <c r="A1534" s="1" t="s">
        <v>2639</v>
      </c>
      <c r="B1534" s="1" t="s">
        <v>84</v>
      </c>
      <c r="C1534" s="1" t="s">
        <v>720</v>
      </c>
      <c r="D1534" s="1" t="s">
        <v>67</v>
      </c>
      <c r="E1534" s="1" t="s">
        <v>26</v>
      </c>
      <c r="F1534" s="1" t="s">
        <v>129</v>
      </c>
      <c r="G1534" s="1">
        <v>297439</v>
      </c>
      <c r="H1534" s="63">
        <v>45393</v>
      </c>
      <c r="J1534" s="1"/>
      <c r="K1534" s="1">
        <v>9.6999999999999993</v>
      </c>
      <c r="L1534" s="1" t="s">
        <v>29</v>
      </c>
      <c r="M1534" s="1" t="s">
        <v>107</v>
      </c>
      <c r="N1534" s="1" t="str">
        <f t="shared" si="23"/>
        <v>Normal</v>
      </c>
    </row>
    <row r="1535" spans="1:14" x14ac:dyDescent="0.25">
      <c r="A1535" s="1" t="s">
        <v>2641</v>
      </c>
      <c r="B1535" s="1" t="s">
        <v>127</v>
      </c>
      <c r="C1535" s="1" t="s">
        <v>287</v>
      </c>
      <c r="D1535" s="1" t="s">
        <v>16</v>
      </c>
      <c r="E1535" s="1" t="s">
        <v>100</v>
      </c>
      <c r="F1535" s="1" t="s">
        <v>129</v>
      </c>
      <c r="G1535" s="1">
        <v>397897</v>
      </c>
      <c r="H1535" s="63">
        <v>44954</v>
      </c>
      <c r="J1535" s="1"/>
      <c r="K1535" s="1"/>
      <c r="L1535" s="1" t="s">
        <v>49</v>
      </c>
      <c r="M1535" s="1" t="s">
        <v>35</v>
      </c>
      <c r="N1535" s="1" t="str">
        <f t="shared" si="23"/>
        <v>Normal</v>
      </c>
    </row>
    <row r="1536" spans="1:14" x14ac:dyDescent="0.25">
      <c r="A1536" s="1" t="s">
        <v>2642</v>
      </c>
      <c r="B1536" s="1" t="s">
        <v>88</v>
      </c>
      <c r="C1536" s="1" t="s">
        <v>983</v>
      </c>
      <c r="D1536" s="1" t="s">
        <v>39</v>
      </c>
      <c r="E1536" s="1" t="s">
        <v>72</v>
      </c>
      <c r="F1536" s="1" t="s">
        <v>33</v>
      </c>
      <c r="G1536" s="1">
        <v>358700</v>
      </c>
      <c r="H1536" s="63">
        <v>45614</v>
      </c>
      <c r="J1536" s="1"/>
      <c r="K1536" s="1"/>
      <c r="L1536" s="1" t="s">
        <v>20</v>
      </c>
      <c r="M1536" s="1" t="s">
        <v>42</v>
      </c>
      <c r="N1536" s="1" t="str">
        <f t="shared" si="23"/>
        <v>Normal</v>
      </c>
    </row>
    <row r="1537" spans="1:14" x14ac:dyDescent="0.25">
      <c r="A1537" s="1" t="s">
        <v>2643</v>
      </c>
      <c r="B1537" s="1" t="s">
        <v>65</v>
      </c>
      <c r="C1537" s="1" t="s">
        <v>735</v>
      </c>
      <c r="D1537" s="1" t="s">
        <v>67</v>
      </c>
      <c r="E1537" s="1" t="s">
        <v>4845</v>
      </c>
      <c r="F1537" s="1" t="s">
        <v>129</v>
      </c>
      <c r="G1537" s="1">
        <v>261811</v>
      </c>
      <c r="H1537" s="63">
        <v>45709</v>
      </c>
      <c r="J1537" s="1"/>
      <c r="K1537" s="1">
        <v>9.8000000000000007</v>
      </c>
      <c r="L1537" s="1" t="s">
        <v>49</v>
      </c>
      <c r="M1537" s="1" t="s">
        <v>63</v>
      </c>
      <c r="N1537" s="1" t="str">
        <f t="shared" si="23"/>
        <v>Normal</v>
      </c>
    </row>
    <row r="1538" spans="1:14" x14ac:dyDescent="0.25">
      <c r="A1538" s="1" t="s">
        <v>2644</v>
      </c>
      <c r="B1538" s="1" t="s">
        <v>127</v>
      </c>
      <c r="C1538" s="1" t="s">
        <v>1136</v>
      </c>
      <c r="D1538" s="1" t="s">
        <v>16</v>
      </c>
      <c r="E1538" s="1" t="s">
        <v>72</v>
      </c>
      <c r="F1538" s="1" t="s">
        <v>129</v>
      </c>
      <c r="G1538" s="1">
        <v>981493</v>
      </c>
      <c r="H1538" s="63">
        <v>45433</v>
      </c>
      <c r="J1538" s="1"/>
      <c r="K1538" s="1">
        <v>9.3000000000000007</v>
      </c>
      <c r="L1538" s="1" t="s">
        <v>29</v>
      </c>
      <c r="M1538" s="1" t="s">
        <v>107</v>
      </c>
      <c r="N1538" s="1" t="str">
        <f t="shared" ref="N1538:N1601" si="24">IF(G1538&gt;$R$5,"High Outlier",IF(G1538&lt;$R$6,"Low Outlier","Normal"))</f>
        <v>High Outlier</v>
      </c>
    </row>
    <row r="1539" spans="1:14" x14ac:dyDescent="0.25">
      <c r="A1539" s="1" t="s">
        <v>2645</v>
      </c>
      <c r="B1539" s="1" t="s">
        <v>127</v>
      </c>
      <c r="C1539" s="1" t="s">
        <v>616</v>
      </c>
      <c r="D1539" s="1" t="s">
        <v>16</v>
      </c>
      <c r="E1539" s="1" t="s">
        <v>26</v>
      </c>
      <c r="F1539" s="1" t="s">
        <v>53</v>
      </c>
      <c r="G1539" s="1">
        <v>257410</v>
      </c>
      <c r="H1539" s="63">
        <v>45291</v>
      </c>
      <c r="J1539" s="1"/>
      <c r="K1539" s="1">
        <v>6.1</v>
      </c>
      <c r="L1539" s="1" t="s">
        <v>49</v>
      </c>
      <c r="M1539" s="1" t="s">
        <v>21</v>
      </c>
      <c r="N1539" s="1" t="str">
        <f t="shared" si="24"/>
        <v>Normal</v>
      </c>
    </row>
    <row r="1540" spans="1:14" x14ac:dyDescent="0.25">
      <c r="A1540" s="1" t="s">
        <v>2646</v>
      </c>
      <c r="B1540" s="1" t="s">
        <v>65</v>
      </c>
      <c r="C1540" s="1" t="s">
        <v>980</v>
      </c>
      <c r="D1540" s="1" t="s">
        <v>46</v>
      </c>
      <c r="E1540" s="1" t="s">
        <v>26</v>
      </c>
      <c r="F1540" s="1" t="s">
        <v>40</v>
      </c>
      <c r="G1540" s="1">
        <v>128428</v>
      </c>
      <c r="H1540" s="63">
        <v>45627</v>
      </c>
      <c r="I1540" s="63">
        <v>45740</v>
      </c>
      <c r="J1540" s="1">
        <v>113</v>
      </c>
      <c r="K1540" s="1">
        <v>17.899999999999999</v>
      </c>
      <c r="L1540" s="1" t="s">
        <v>96</v>
      </c>
      <c r="M1540" s="1" t="s">
        <v>42</v>
      </c>
      <c r="N1540" s="1" t="str">
        <f t="shared" si="24"/>
        <v>Normal</v>
      </c>
    </row>
    <row r="1541" spans="1:14" x14ac:dyDescent="0.25">
      <c r="A1541" s="1" t="s">
        <v>2648</v>
      </c>
      <c r="B1541" s="1" t="s">
        <v>84</v>
      </c>
      <c r="C1541" s="1" t="s">
        <v>679</v>
      </c>
      <c r="D1541" s="1" t="s">
        <v>90</v>
      </c>
      <c r="E1541" s="1" t="s">
        <v>94</v>
      </c>
      <c r="F1541" s="1" t="s">
        <v>33</v>
      </c>
      <c r="G1541" s="1">
        <v>411048</v>
      </c>
      <c r="H1541" s="63">
        <v>45217</v>
      </c>
      <c r="J1541" s="1"/>
      <c r="K1541" s="1">
        <v>8.3000000000000007</v>
      </c>
      <c r="L1541" s="1" t="s">
        <v>29</v>
      </c>
      <c r="M1541" s="1" t="s">
        <v>21</v>
      </c>
      <c r="N1541" s="1" t="str">
        <f t="shared" si="24"/>
        <v>Normal</v>
      </c>
    </row>
    <row r="1542" spans="1:14" x14ac:dyDescent="0.25">
      <c r="A1542" s="1" t="s">
        <v>2649</v>
      </c>
      <c r="B1542" s="1" t="s">
        <v>127</v>
      </c>
      <c r="C1542" s="1" t="s">
        <v>972</v>
      </c>
      <c r="D1542" s="1" t="s">
        <v>39</v>
      </c>
      <c r="E1542" s="1" t="s">
        <v>26</v>
      </c>
      <c r="F1542" s="1" t="s">
        <v>33</v>
      </c>
      <c r="G1542" s="1">
        <v>456497</v>
      </c>
      <c r="H1542" s="63">
        <v>45124</v>
      </c>
      <c r="J1542" s="1"/>
      <c r="K1542" s="1">
        <v>4.3</v>
      </c>
      <c r="L1542" s="1" t="s">
        <v>20</v>
      </c>
      <c r="M1542" s="1" t="s">
        <v>102</v>
      </c>
      <c r="N1542" s="1" t="str">
        <f t="shared" si="24"/>
        <v>Normal</v>
      </c>
    </row>
    <row r="1543" spans="1:14" x14ac:dyDescent="0.25">
      <c r="A1543" s="1" t="s">
        <v>2650</v>
      </c>
      <c r="B1543" s="1" t="s">
        <v>88</v>
      </c>
      <c r="C1543" s="1" t="s">
        <v>110</v>
      </c>
      <c r="D1543" s="1" t="s">
        <v>46</v>
      </c>
      <c r="E1543" s="1" t="s">
        <v>17</v>
      </c>
      <c r="F1543" s="1" t="s">
        <v>53</v>
      </c>
      <c r="G1543" s="1">
        <v>194304</v>
      </c>
      <c r="H1543" s="63">
        <v>45076</v>
      </c>
      <c r="J1543" s="1"/>
      <c r="K1543" s="1">
        <v>12.7</v>
      </c>
      <c r="L1543" s="1" t="s">
        <v>49</v>
      </c>
      <c r="M1543" s="1" t="s">
        <v>30</v>
      </c>
      <c r="N1543" s="1" t="str">
        <f t="shared" si="24"/>
        <v>Normal</v>
      </c>
    </row>
    <row r="1544" spans="1:14" x14ac:dyDescent="0.25">
      <c r="A1544" s="1" t="s">
        <v>2651</v>
      </c>
      <c r="B1544" s="1" t="s">
        <v>44</v>
      </c>
      <c r="C1544" s="1" t="s">
        <v>298</v>
      </c>
      <c r="D1544" s="1" t="s">
        <v>46</v>
      </c>
      <c r="E1544" s="1" t="s">
        <v>47</v>
      </c>
      <c r="F1544" s="1" t="s">
        <v>33</v>
      </c>
      <c r="G1544" s="1">
        <v>398215</v>
      </c>
      <c r="H1544" s="63">
        <v>44929</v>
      </c>
      <c r="J1544" s="1"/>
      <c r="K1544" s="1">
        <v>7.2</v>
      </c>
      <c r="L1544" s="1" t="s">
        <v>96</v>
      </c>
      <c r="M1544" s="1" t="s">
        <v>35</v>
      </c>
      <c r="N1544" s="1" t="str">
        <f t="shared" si="24"/>
        <v>Normal</v>
      </c>
    </row>
    <row r="1545" spans="1:14" x14ac:dyDescent="0.25">
      <c r="A1545" s="1" t="s">
        <v>2652</v>
      </c>
      <c r="B1545" s="1" t="s">
        <v>88</v>
      </c>
      <c r="C1545" s="1" t="s">
        <v>390</v>
      </c>
      <c r="D1545" s="1" t="s">
        <v>25</v>
      </c>
      <c r="E1545" s="1" t="s">
        <v>47</v>
      </c>
      <c r="F1545" s="1" t="s">
        <v>40</v>
      </c>
      <c r="G1545" s="1">
        <v>127314</v>
      </c>
      <c r="H1545" s="63">
        <v>45659</v>
      </c>
      <c r="I1545" s="63">
        <v>45716</v>
      </c>
      <c r="J1545" s="1">
        <v>57</v>
      </c>
      <c r="K1545" s="1">
        <v>19.8</v>
      </c>
      <c r="L1545" s="1" t="s">
        <v>20</v>
      </c>
      <c r="M1545" s="1" t="s">
        <v>63</v>
      </c>
      <c r="N1545" s="1" t="str">
        <f t="shared" si="24"/>
        <v>Normal</v>
      </c>
    </row>
    <row r="1546" spans="1:14" x14ac:dyDescent="0.25">
      <c r="A1546" s="1" t="s">
        <v>2653</v>
      </c>
      <c r="B1546" s="1" t="s">
        <v>75</v>
      </c>
      <c r="C1546" s="1" t="s">
        <v>430</v>
      </c>
      <c r="D1546" s="1" t="s">
        <v>16</v>
      </c>
      <c r="E1546" s="1" t="s">
        <v>77</v>
      </c>
      <c r="F1546" s="1" t="s">
        <v>40</v>
      </c>
      <c r="G1546" s="1">
        <v>264786</v>
      </c>
      <c r="H1546" s="63">
        <v>45311</v>
      </c>
      <c r="I1546" s="63">
        <v>45393</v>
      </c>
      <c r="J1546" s="1">
        <v>82</v>
      </c>
      <c r="K1546" s="1">
        <v>7.5</v>
      </c>
      <c r="L1546" s="1" t="s">
        <v>96</v>
      </c>
      <c r="M1546" s="1" t="s">
        <v>69</v>
      </c>
      <c r="N1546" s="1" t="str">
        <f t="shared" si="24"/>
        <v>Normal</v>
      </c>
    </row>
    <row r="1547" spans="1:14" x14ac:dyDescent="0.25">
      <c r="A1547" s="1" t="s">
        <v>2654</v>
      </c>
      <c r="B1547" s="1" t="s">
        <v>14</v>
      </c>
      <c r="C1547" s="1" t="s">
        <v>552</v>
      </c>
      <c r="D1547" s="1" t="s">
        <v>67</v>
      </c>
      <c r="E1547" s="1" t="s">
        <v>26</v>
      </c>
      <c r="F1547" s="1" t="s">
        <v>27</v>
      </c>
      <c r="G1547" s="1">
        <v>337176</v>
      </c>
      <c r="H1547" s="63">
        <v>45344</v>
      </c>
      <c r="J1547" s="1"/>
      <c r="K1547" s="1">
        <v>4.0999999999999996</v>
      </c>
      <c r="L1547" s="1" t="s">
        <v>29</v>
      </c>
      <c r="M1547" s="1" t="s">
        <v>69</v>
      </c>
      <c r="N1547" s="1" t="str">
        <f t="shared" si="24"/>
        <v>Normal</v>
      </c>
    </row>
    <row r="1548" spans="1:14" x14ac:dyDescent="0.25">
      <c r="A1548" s="1" t="s">
        <v>2655</v>
      </c>
      <c r="B1548" s="1" t="s">
        <v>59</v>
      </c>
      <c r="C1548" s="1" t="s">
        <v>295</v>
      </c>
      <c r="D1548" s="1" t="s">
        <v>25</v>
      </c>
      <c r="E1548" s="1" t="s">
        <v>100</v>
      </c>
      <c r="F1548" s="1" t="s">
        <v>18</v>
      </c>
      <c r="G1548" s="1">
        <v>302877</v>
      </c>
      <c r="H1548" s="63">
        <v>45404</v>
      </c>
      <c r="I1548" s="63">
        <v>45476</v>
      </c>
      <c r="J1548" s="1">
        <v>72</v>
      </c>
      <c r="K1548" s="1"/>
      <c r="L1548" s="1" t="s">
        <v>96</v>
      </c>
      <c r="M1548" s="1" t="s">
        <v>107</v>
      </c>
      <c r="N1548" s="1" t="str">
        <f t="shared" si="24"/>
        <v>Normal</v>
      </c>
    </row>
    <row r="1549" spans="1:14" x14ac:dyDescent="0.25">
      <c r="A1549" s="1" t="s">
        <v>2656</v>
      </c>
      <c r="B1549" s="1" t="s">
        <v>14</v>
      </c>
      <c r="C1549" s="1" t="s">
        <v>805</v>
      </c>
      <c r="D1549" s="1" t="s">
        <v>25</v>
      </c>
      <c r="E1549" s="1" t="s">
        <v>77</v>
      </c>
      <c r="F1549" s="1" t="s">
        <v>27</v>
      </c>
      <c r="G1549" s="1">
        <v>56494</v>
      </c>
      <c r="H1549" s="63">
        <v>45425</v>
      </c>
      <c r="J1549" s="1"/>
      <c r="K1549" s="1">
        <v>14.8</v>
      </c>
      <c r="L1549" s="1" t="s">
        <v>29</v>
      </c>
      <c r="M1549" s="1" t="s">
        <v>107</v>
      </c>
      <c r="N1549" s="1" t="str">
        <f t="shared" si="24"/>
        <v>Normal</v>
      </c>
    </row>
    <row r="1550" spans="1:14" x14ac:dyDescent="0.25">
      <c r="A1550" s="1" t="s">
        <v>2658</v>
      </c>
      <c r="B1550" s="1" t="s">
        <v>37</v>
      </c>
      <c r="C1550" s="1" t="s">
        <v>381</v>
      </c>
      <c r="D1550" s="1" t="s">
        <v>39</v>
      </c>
      <c r="E1550" s="1" t="s">
        <v>47</v>
      </c>
      <c r="F1550" s="1" t="s">
        <v>18</v>
      </c>
      <c r="G1550" s="1">
        <v>369919</v>
      </c>
      <c r="H1550" s="63">
        <v>45176</v>
      </c>
      <c r="I1550" s="63">
        <v>45356</v>
      </c>
      <c r="J1550" s="1">
        <v>180</v>
      </c>
      <c r="K1550" s="1">
        <v>6.8</v>
      </c>
      <c r="L1550" s="1" t="s">
        <v>20</v>
      </c>
      <c r="M1550" s="1" t="s">
        <v>102</v>
      </c>
      <c r="N1550" s="1" t="str">
        <f t="shared" si="24"/>
        <v>Normal</v>
      </c>
    </row>
    <row r="1551" spans="1:14" x14ac:dyDescent="0.25">
      <c r="A1551" s="1" t="s">
        <v>2660</v>
      </c>
      <c r="B1551" s="1" t="s">
        <v>44</v>
      </c>
      <c r="C1551" s="1" t="s">
        <v>186</v>
      </c>
      <c r="D1551" s="1" t="s">
        <v>25</v>
      </c>
      <c r="E1551" s="1" t="s">
        <v>26</v>
      </c>
      <c r="F1551" s="1" t="s">
        <v>53</v>
      </c>
      <c r="G1551" s="1">
        <v>459382</v>
      </c>
      <c r="H1551" s="63">
        <v>45616</v>
      </c>
      <c r="J1551" s="1"/>
      <c r="K1551" s="1">
        <v>0.2</v>
      </c>
      <c r="L1551" s="1" t="s">
        <v>96</v>
      </c>
      <c r="M1551" s="1" t="s">
        <v>42</v>
      </c>
      <c r="N1551" s="1" t="str">
        <f t="shared" si="24"/>
        <v>Normal</v>
      </c>
    </row>
    <row r="1552" spans="1:14" x14ac:dyDescent="0.25">
      <c r="A1552" s="1" t="s">
        <v>2661</v>
      </c>
      <c r="B1552" s="1" t="s">
        <v>88</v>
      </c>
      <c r="C1552" s="1" t="s">
        <v>454</v>
      </c>
      <c r="D1552" s="1" t="s">
        <v>46</v>
      </c>
      <c r="E1552" s="1" t="s">
        <v>4845</v>
      </c>
      <c r="F1552" s="1" t="s">
        <v>129</v>
      </c>
      <c r="G1552" s="1">
        <v>170466</v>
      </c>
      <c r="H1552" s="63">
        <v>45309</v>
      </c>
      <c r="J1552" s="1"/>
      <c r="K1552" s="1"/>
      <c r="L1552" s="1" t="s">
        <v>49</v>
      </c>
      <c r="M1552" s="1" t="s">
        <v>69</v>
      </c>
      <c r="N1552" s="1" t="str">
        <f t="shared" si="24"/>
        <v>Normal</v>
      </c>
    </row>
    <row r="1553" spans="1:14" x14ac:dyDescent="0.25">
      <c r="A1553" s="1" t="s">
        <v>2662</v>
      </c>
      <c r="B1553" s="1" t="s">
        <v>127</v>
      </c>
      <c r="C1553" s="1" t="s">
        <v>1144</v>
      </c>
      <c r="D1553" s="1" t="s">
        <v>25</v>
      </c>
      <c r="E1553" s="1" t="s">
        <v>100</v>
      </c>
      <c r="F1553" s="1" t="s">
        <v>53</v>
      </c>
      <c r="G1553" s="1">
        <v>302320</v>
      </c>
      <c r="H1553" s="63">
        <v>45094</v>
      </c>
      <c r="J1553" s="1"/>
      <c r="K1553" s="1">
        <v>0.3</v>
      </c>
      <c r="L1553" s="1" t="s">
        <v>29</v>
      </c>
      <c r="M1553" s="1" t="s">
        <v>30</v>
      </c>
      <c r="N1553" s="1" t="str">
        <f t="shared" si="24"/>
        <v>Normal</v>
      </c>
    </row>
    <row r="1554" spans="1:14" x14ac:dyDescent="0.25">
      <c r="A1554" s="1" t="s">
        <v>2663</v>
      </c>
      <c r="B1554" s="1" t="s">
        <v>44</v>
      </c>
      <c r="C1554" s="1" t="s">
        <v>906</v>
      </c>
      <c r="D1554" s="1" t="s">
        <v>39</v>
      </c>
      <c r="E1554" s="1" t="s">
        <v>72</v>
      </c>
      <c r="F1554" s="1" t="s">
        <v>40</v>
      </c>
      <c r="G1554" s="1">
        <v>432261</v>
      </c>
      <c r="H1554" s="63">
        <v>45178</v>
      </c>
      <c r="I1554" s="63">
        <v>45244</v>
      </c>
      <c r="J1554" s="1">
        <v>66</v>
      </c>
      <c r="K1554" s="1">
        <v>18.399999999999999</v>
      </c>
      <c r="L1554" s="1" t="s">
        <v>29</v>
      </c>
      <c r="M1554" s="1" t="s">
        <v>102</v>
      </c>
      <c r="N1554" s="1" t="str">
        <f t="shared" si="24"/>
        <v>Normal</v>
      </c>
    </row>
    <row r="1555" spans="1:14" x14ac:dyDescent="0.25">
      <c r="A1555" s="1" t="s">
        <v>2664</v>
      </c>
      <c r="B1555" s="1" t="s">
        <v>65</v>
      </c>
      <c r="C1555" s="1" t="s">
        <v>869</v>
      </c>
      <c r="D1555" s="1" t="s">
        <v>90</v>
      </c>
      <c r="E1555" s="1" t="s">
        <v>94</v>
      </c>
      <c r="F1555" s="1" t="s">
        <v>33</v>
      </c>
      <c r="G1555" s="1">
        <v>468226</v>
      </c>
      <c r="H1555" s="63">
        <v>45609</v>
      </c>
      <c r="J1555" s="1"/>
      <c r="K1555" s="1"/>
      <c r="L1555" s="1" t="s">
        <v>29</v>
      </c>
      <c r="M1555" s="1" t="s">
        <v>42</v>
      </c>
      <c r="N1555" s="1" t="str">
        <f t="shared" si="24"/>
        <v>Normal</v>
      </c>
    </row>
    <row r="1556" spans="1:14" x14ac:dyDescent="0.25">
      <c r="A1556" s="1" t="s">
        <v>2665</v>
      </c>
      <c r="B1556" s="1" t="s">
        <v>98</v>
      </c>
      <c r="C1556" s="1" t="s">
        <v>667</v>
      </c>
      <c r="D1556" s="1" t="s">
        <v>25</v>
      </c>
      <c r="E1556" s="1" t="s">
        <v>94</v>
      </c>
      <c r="F1556" s="1" t="s">
        <v>129</v>
      </c>
      <c r="G1556" s="1">
        <v>105498</v>
      </c>
      <c r="H1556" s="63">
        <v>45217</v>
      </c>
      <c r="J1556" s="1"/>
      <c r="K1556" s="1">
        <v>4.5</v>
      </c>
      <c r="L1556" s="1" t="s">
        <v>20</v>
      </c>
      <c r="M1556" s="1" t="s">
        <v>21</v>
      </c>
      <c r="N1556" s="1" t="str">
        <f t="shared" si="24"/>
        <v>Normal</v>
      </c>
    </row>
    <row r="1557" spans="1:14" x14ac:dyDescent="0.25">
      <c r="A1557" s="1" t="s">
        <v>2666</v>
      </c>
      <c r="B1557" s="1" t="s">
        <v>37</v>
      </c>
      <c r="C1557" s="1" t="s">
        <v>32</v>
      </c>
      <c r="D1557" s="1" t="s">
        <v>67</v>
      </c>
      <c r="E1557" s="1" t="s">
        <v>47</v>
      </c>
      <c r="F1557" s="1" t="s">
        <v>40</v>
      </c>
      <c r="G1557" s="1">
        <v>491503</v>
      </c>
      <c r="H1557" s="63">
        <v>45534</v>
      </c>
      <c r="I1557" s="63">
        <v>45654</v>
      </c>
      <c r="J1557" s="1">
        <v>120</v>
      </c>
      <c r="K1557" s="1">
        <v>17.5</v>
      </c>
      <c r="L1557" s="1" t="s">
        <v>29</v>
      </c>
      <c r="M1557" s="1" t="s">
        <v>149</v>
      </c>
      <c r="N1557" s="1" t="str">
        <f t="shared" si="24"/>
        <v>Normal</v>
      </c>
    </row>
    <row r="1558" spans="1:14" x14ac:dyDescent="0.25">
      <c r="A1558" s="1" t="s">
        <v>2668</v>
      </c>
      <c r="B1558" s="1" t="s">
        <v>98</v>
      </c>
      <c r="C1558" s="1" t="s">
        <v>387</v>
      </c>
      <c r="D1558" s="1" t="s">
        <v>39</v>
      </c>
      <c r="E1558" s="1" t="s">
        <v>100</v>
      </c>
      <c r="F1558" s="1" t="s">
        <v>18</v>
      </c>
      <c r="G1558" s="1">
        <v>133522</v>
      </c>
      <c r="H1558" s="63">
        <v>45045</v>
      </c>
      <c r="I1558" s="63">
        <v>45216</v>
      </c>
      <c r="J1558" s="1">
        <v>171</v>
      </c>
      <c r="K1558" s="1">
        <v>2</v>
      </c>
      <c r="L1558" s="1" t="s">
        <v>29</v>
      </c>
      <c r="M1558" s="1" t="s">
        <v>30</v>
      </c>
      <c r="N1558" s="1" t="str">
        <f t="shared" si="24"/>
        <v>Normal</v>
      </c>
    </row>
    <row r="1559" spans="1:14" x14ac:dyDescent="0.25">
      <c r="A1559" s="1" t="s">
        <v>2670</v>
      </c>
      <c r="B1559" s="1" t="s">
        <v>80</v>
      </c>
      <c r="C1559" s="1" t="s">
        <v>790</v>
      </c>
      <c r="D1559" s="1" t="s">
        <v>39</v>
      </c>
      <c r="E1559" s="1" t="s">
        <v>47</v>
      </c>
      <c r="F1559" s="1" t="s">
        <v>129</v>
      </c>
      <c r="G1559" s="1">
        <v>95871</v>
      </c>
      <c r="H1559" s="63">
        <v>44960</v>
      </c>
      <c r="J1559" s="1"/>
      <c r="K1559" s="1">
        <v>6.1</v>
      </c>
      <c r="L1559" s="1" t="s">
        <v>49</v>
      </c>
      <c r="M1559" s="1" t="s">
        <v>35</v>
      </c>
      <c r="N1559" s="1" t="str">
        <f t="shared" si="24"/>
        <v>Normal</v>
      </c>
    </row>
    <row r="1560" spans="1:14" x14ac:dyDescent="0.25">
      <c r="A1560" s="1" t="s">
        <v>2671</v>
      </c>
      <c r="B1560" s="1" t="s">
        <v>127</v>
      </c>
      <c r="C1560" s="1" t="s">
        <v>449</v>
      </c>
      <c r="D1560" s="1" t="s">
        <v>67</v>
      </c>
      <c r="E1560" s="1" t="s">
        <v>77</v>
      </c>
      <c r="F1560" s="1" t="s">
        <v>18</v>
      </c>
      <c r="G1560" s="1">
        <v>398453</v>
      </c>
      <c r="H1560" s="63">
        <v>45610</v>
      </c>
      <c r="I1560" s="63">
        <v>45756</v>
      </c>
      <c r="J1560" s="1">
        <v>146</v>
      </c>
      <c r="K1560" s="1"/>
      <c r="L1560" s="1" t="s">
        <v>29</v>
      </c>
      <c r="M1560" s="1" t="s">
        <v>42</v>
      </c>
      <c r="N1560" s="1" t="str">
        <f t="shared" si="24"/>
        <v>Normal</v>
      </c>
    </row>
    <row r="1561" spans="1:14" x14ac:dyDescent="0.25">
      <c r="A1561" s="1" t="s">
        <v>2672</v>
      </c>
      <c r="B1561" s="1" t="s">
        <v>14</v>
      </c>
      <c r="C1561" s="1" t="s">
        <v>364</v>
      </c>
      <c r="D1561" s="1" t="s">
        <v>67</v>
      </c>
      <c r="E1561" s="1" t="s">
        <v>72</v>
      </c>
      <c r="F1561" s="1" t="s">
        <v>53</v>
      </c>
      <c r="G1561" s="1">
        <v>85835</v>
      </c>
      <c r="H1561" s="63">
        <v>45368</v>
      </c>
      <c r="J1561" s="1"/>
      <c r="K1561" s="1">
        <v>13.4</v>
      </c>
      <c r="L1561" s="1" t="s">
        <v>20</v>
      </c>
      <c r="M1561" s="1" t="s">
        <v>69</v>
      </c>
      <c r="N1561" s="1" t="str">
        <f t="shared" si="24"/>
        <v>Normal</v>
      </c>
    </row>
    <row r="1562" spans="1:14" x14ac:dyDescent="0.25">
      <c r="A1562" s="1" t="s">
        <v>2674</v>
      </c>
      <c r="B1562" s="1" t="s">
        <v>44</v>
      </c>
      <c r="C1562" s="1" t="s">
        <v>189</v>
      </c>
      <c r="D1562" s="1" t="s">
        <v>39</v>
      </c>
      <c r="E1562" s="1" t="s">
        <v>94</v>
      </c>
      <c r="F1562" s="1" t="s">
        <v>40</v>
      </c>
      <c r="G1562" s="1">
        <v>137347</v>
      </c>
      <c r="H1562" s="63">
        <v>45587</v>
      </c>
      <c r="I1562" s="63">
        <v>45766</v>
      </c>
      <c r="J1562" s="1">
        <v>179</v>
      </c>
      <c r="K1562" s="1">
        <v>4.2</v>
      </c>
      <c r="L1562" s="1" t="s">
        <v>29</v>
      </c>
      <c r="M1562" s="1" t="s">
        <v>42</v>
      </c>
      <c r="N1562" s="1" t="str">
        <f t="shared" si="24"/>
        <v>Normal</v>
      </c>
    </row>
    <row r="1563" spans="1:14" x14ac:dyDescent="0.25">
      <c r="A1563" s="1" t="s">
        <v>2675</v>
      </c>
      <c r="B1563" s="1" t="s">
        <v>14</v>
      </c>
      <c r="C1563" s="1" t="s">
        <v>381</v>
      </c>
      <c r="D1563" s="1" t="s">
        <v>67</v>
      </c>
      <c r="E1563" s="1" t="s">
        <v>26</v>
      </c>
      <c r="F1563" s="1" t="s">
        <v>33</v>
      </c>
      <c r="G1563" s="1">
        <v>157784</v>
      </c>
      <c r="H1563" s="63">
        <v>45644</v>
      </c>
      <c r="J1563" s="1"/>
      <c r="K1563" s="1"/>
      <c r="L1563" s="1" t="s">
        <v>20</v>
      </c>
      <c r="M1563" s="1" t="s">
        <v>42</v>
      </c>
      <c r="N1563" s="1" t="str">
        <f t="shared" si="24"/>
        <v>Normal</v>
      </c>
    </row>
    <row r="1564" spans="1:14" x14ac:dyDescent="0.25">
      <c r="A1564" s="1" t="s">
        <v>2677</v>
      </c>
      <c r="B1564" s="1" t="s">
        <v>75</v>
      </c>
      <c r="C1564" s="1" t="s">
        <v>328</v>
      </c>
      <c r="D1564" s="1" t="s">
        <v>67</v>
      </c>
      <c r="E1564" s="1" t="s">
        <v>77</v>
      </c>
      <c r="F1564" s="1" t="s">
        <v>129</v>
      </c>
      <c r="G1564" s="1">
        <v>217564</v>
      </c>
      <c r="H1564" s="63">
        <v>45197</v>
      </c>
      <c r="J1564" s="1"/>
      <c r="K1564" s="1">
        <v>11.8</v>
      </c>
      <c r="L1564" s="1" t="s">
        <v>49</v>
      </c>
      <c r="M1564" s="1" t="s">
        <v>102</v>
      </c>
      <c r="N1564" s="1" t="str">
        <f t="shared" si="24"/>
        <v>Normal</v>
      </c>
    </row>
    <row r="1565" spans="1:14" x14ac:dyDescent="0.25">
      <c r="A1565" s="1" t="s">
        <v>2678</v>
      </c>
      <c r="B1565" s="1" t="s">
        <v>4829</v>
      </c>
      <c r="C1565" s="1" t="s">
        <v>917</v>
      </c>
      <c r="D1565" s="1" t="s">
        <v>46</v>
      </c>
      <c r="E1565" s="1" t="s">
        <v>47</v>
      </c>
      <c r="F1565" s="1" t="s">
        <v>27</v>
      </c>
      <c r="G1565" s="1">
        <v>483224</v>
      </c>
      <c r="H1565" s="63">
        <v>45181</v>
      </c>
      <c r="J1565" s="1"/>
      <c r="K1565" s="1"/>
      <c r="L1565" s="1" t="s">
        <v>29</v>
      </c>
      <c r="M1565" s="1" t="s">
        <v>102</v>
      </c>
      <c r="N1565" s="1" t="str">
        <f t="shared" si="24"/>
        <v>Normal</v>
      </c>
    </row>
    <row r="1566" spans="1:14" x14ac:dyDescent="0.25">
      <c r="A1566" s="1" t="s">
        <v>2680</v>
      </c>
      <c r="B1566" s="1" t="s">
        <v>75</v>
      </c>
      <c r="C1566" s="1" t="s">
        <v>1165</v>
      </c>
      <c r="D1566" s="1" t="s">
        <v>25</v>
      </c>
      <c r="E1566" s="1" t="s">
        <v>26</v>
      </c>
      <c r="F1566" s="1" t="s">
        <v>27</v>
      </c>
      <c r="G1566" s="1">
        <v>257387</v>
      </c>
      <c r="H1566" s="63">
        <v>45177</v>
      </c>
      <c r="J1566" s="1"/>
      <c r="K1566" s="1">
        <v>4.9000000000000004</v>
      </c>
      <c r="L1566" s="1" t="s">
        <v>49</v>
      </c>
      <c r="M1566" s="1" t="s">
        <v>102</v>
      </c>
      <c r="N1566" s="1" t="str">
        <f t="shared" si="24"/>
        <v>Normal</v>
      </c>
    </row>
    <row r="1567" spans="1:14" x14ac:dyDescent="0.25">
      <c r="A1567" s="1" t="s">
        <v>2681</v>
      </c>
      <c r="B1567" s="1" t="s">
        <v>59</v>
      </c>
      <c r="C1567" s="1" t="s">
        <v>292</v>
      </c>
      <c r="D1567" s="1" t="s">
        <v>25</v>
      </c>
      <c r="E1567" s="1" t="s">
        <v>100</v>
      </c>
      <c r="F1567" s="1" t="s">
        <v>129</v>
      </c>
      <c r="G1567" s="1">
        <v>283835</v>
      </c>
      <c r="H1567" s="63">
        <v>45646</v>
      </c>
      <c r="J1567" s="1"/>
      <c r="K1567" s="1"/>
      <c r="L1567" s="1" t="s">
        <v>20</v>
      </c>
      <c r="M1567" s="1" t="s">
        <v>42</v>
      </c>
      <c r="N1567" s="1" t="str">
        <f t="shared" si="24"/>
        <v>Normal</v>
      </c>
    </row>
    <row r="1568" spans="1:14" x14ac:dyDescent="0.25">
      <c r="A1568" s="1" t="s">
        <v>2682</v>
      </c>
      <c r="B1568" s="1" t="s">
        <v>14</v>
      </c>
      <c r="C1568" s="1" t="s">
        <v>1339</v>
      </c>
      <c r="D1568" s="1" t="s">
        <v>16</v>
      </c>
      <c r="E1568" s="1" t="s">
        <v>47</v>
      </c>
      <c r="F1568" s="1" t="s">
        <v>18</v>
      </c>
      <c r="G1568" s="1">
        <v>333568</v>
      </c>
      <c r="H1568" s="63">
        <v>45076</v>
      </c>
      <c r="I1568" s="63">
        <v>45253</v>
      </c>
      <c r="J1568" s="1">
        <v>177</v>
      </c>
      <c r="K1568" s="1">
        <v>2.1</v>
      </c>
      <c r="L1568" s="1" t="s">
        <v>29</v>
      </c>
      <c r="M1568" s="1" t="s">
        <v>30</v>
      </c>
      <c r="N1568" s="1" t="str">
        <f t="shared" si="24"/>
        <v>Normal</v>
      </c>
    </row>
    <row r="1569" spans="1:14" x14ac:dyDescent="0.25">
      <c r="A1569" s="1" t="s">
        <v>2683</v>
      </c>
      <c r="B1569" s="1" t="s">
        <v>88</v>
      </c>
      <c r="C1569" s="1" t="s">
        <v>267</v>
      </c>
      <c r="D1569" s="1" t="s">
        <v>16</v>
      </c>
      <c r="E1569" s="1" t="s">
        <v>17</v>
      </c>
      <c r="F1569" s="1" t="s">
        <v>53</v>
      </c>
      <c r="G1569" s="1">
        <v>397795</v>
      </c>
      <c r="H1569" s="63">
        <v>45052</v>
      </c>
      <c r="J1569" s="1"/>
      <c r="K1569" s="1"/>
      <c r="L1569" s="1" t="s">
        <v>96</v>
      </c>
      <c r="M1569" s="1" t="s">
        <v>30</v>
      </c>
      <c r="N1569" s="1" t="str">
        <f t="shared" si="24"/>
        <v>Normal</v>
      </c>
    </row>
    <row r="1570" spans="1:14" x14ac:dyDescent="0.25">
      <c r="A1570" s="1" t="s">
        <v>2684</v>
      </c>
      <c r="B1570" s="1" t="s">
        <v>23</v>
      </c>
      <c r="C1570" s="1" t="s">
        <v>132</v>
      </c>
      <c r="D1570" s="1" t="s">
        <v>90</v>
      </c>
      <c r="E1570" s="1" t="s">
        <v>47</v>
      </c>
      <c r="F1570" s="1" t="s">
        <v>18</v>
      </c>
      <c r="G1570" s="1">
        <v>132166</v>
      </c>
      <c r="H1570" s="63">
        <v>45023</v>
      </c>
      <c r="I1570" s="63">
        <v>45046</v>
      </c>
      <c r="J1570" s="1">
        <v>23</v>
      </c>
      <c r="K1570" s="1"/>
      <c r="L1570" s="1" t="s">
        <v>49</v>
      </c>
      <c r="M1570" s="1" t="s">
        <v>30</v>
      </c>
      <c r="N1570" s="1" t="str">
        <f t="shared" si="24"/>
        <v>Normal</v>
      </c>
    </row>
    <row r="1571" spans="1:14" x14ac:dyDescent="0.25">
      <c r="A1571" s="1" t="s">
        <v>2685</v>
      </c>
      <c r="B1571" s="1" t="s">
        <v>59</v>
      </c>
      <c r="C1571" s="1" t="s">
        <v>972</v>
      </c>
      <c r="D1571" s="1" t="s">
        <v>67</v>
      </c>
      <c r="E1571" s="1" t="s">
        <v>17</v>
      </c>
      <c r="F1571" s="1" t="s">
        <v>40</v>
      </c>
      <c r="G1571" s="1">
        <v>174607</v>
      </c>
      <c r="H1571" s="63">
        <v>45638</v>
      </c>
      <c r="I1571" s="63">
        <v>45768</v>
      </c>
      <c r="J1571" s="1">
        <v>130</v>
      </c>
      <c r="K1571" s="1">
        <v>1</v>
      </c>
      <c r="L1571" s="1" t="s">
        <v>29</v>
      </c>
      <c r="M1571" s="1" t="s">
        <v>42</v>
      </c>
      <c r="N1571" s="1" t="str">
        <f t="shared" si="24"/>
        <v>Normal</v>
      </c>
    </row>
    <row r="1572" spans="1:14" x14ac:dyDescent="0.25">
      <c r="A1572" s="1" t="s">
        <v>2686</v>
      </c>
      <c r="B1572" s="1" t="s">
        <v>80</v>
      </c>
      <c r="C1572" s="1" t="s">
        <v>1095</v>
      </c>
      <c r="D1572" s="1" t="s">
        <v>39</v>
      </c>
      <c r="E1572" s="1" t="s">
        <v>47</v>
      </c>
      <c r="F1572" s="1" t="s">
        <v>40</v>
      </c>
      <c r="G1572" s="1">
        <v>456241</v>
      </c>
      <c r="H1572" s="63">
        <v>44977</v>
      </c>
      <c r="I1572" s="63">
        <v>45013</v>
      </c>
      <c r="J1572" s="1">
        <v>36</v>
      </c>
      <c r="K1572" s="1">
        <v>14.7</v>
      </c>
      <c r="L1572" s="1" t="s">
        <v>29</v>
      </c>
      <c r="M1572" s="1" t="s">
        <v>35</v>
      </c>
      <c r="N1572" s="1" t="str">
        <f t="shared" si="24"/>
        <v>Normal</v>
      </c>
    </row>
    <row r="1573" spans="1:14" x14ac:dyDescent="0.25">
      <c r="A1573" s="1" t="s">
        <v>2687</v>
      </c>
      <c r="B1573" s="1" t="s">
        <v>84</v>
      </c>
      <c r="C1573" s="1" t="s">
        <v>433</v>
      </c>
      <c r="D1573" s="1" t="s">
        <v>46</v>
      </c>
      <c r="E1573" s="1" t="s">
        <v>94</v>
      </c>
      <c r="F1573" s="1" t="s">
        <v>33</v>
      </c>
      <c r="G1573" s="1">
        <v>252831</v>
      </c>
      <c r="H1573" s="63">
        <v>45558</v>
      </c>
      <c r="J1573" s="1"/>
      <c r="K1573" s="1">
        <v>11.3</v>
      </c>
      <c r="L1573" s="1" t="s">
        <v>29</v>
      </c>
      <c r="M1573" s="1" t="s">
        <v>149</v>
      </c>
      <c r="N1573" s="1" t="str">
        <f t="shared" si="24"/>
        <v>Normal</v>
      </c>
    </row>
    <row r="1574" spans="1:14" x14ac:dyDescent="0.25">
      <c r="A1574" s="1" t="s">
        <v>2689</v>
      </c>
      <c r="B1574" s="1" t="s">
        <v>127</v>
      </c>
      <c r="C1574" s="1" t="s">
        <v>227</v>
      </c>
      <c r="D1574" s="1" t="s">
        <v>16</v>
      </c>
      <c r="E1574" s="1" t="s">
        <v>61</v>
      </c>
      <c r="F1574" s="1" t="s">
        <v>53</v>
      </c>
      <c r="G1574" s="1">
        <v>460734</v>
      </c>
      <c r="H1574" s="63">
        <v>45327</v>
      </c>
      <c r="J1574" s="1"/>
      <c r="K1574" s="1"/>
      <c r="L1574" s="1" t="s">
        <v>20</v>
      </c>
      <c r="M1574" s="1" t="s">
        <v>69</v>
      </c>
      <c r="N1574" s="1" t="str">
        <f t="shared" si="24"/>
        <v>Normal</v>
      </c>
    </row>
    <row r="1575" spans="1:14" x14ac:dyDescent="0.25">
      <c r="A1575" s="1" t="s">
        <v>2690</v>
      </c>
      <c r="B1575" s="1" t="s">
        <v>80</v>
      </c>
      <c r="C1575" s="1" t="s">
        <v>381</v>
      </c>
      <c r="D1575" s="1" t="s">
        <v>67</v>
      </c>
      <c r="E1575" s="1" t="s">
        <v>77</v>
      </c>
      <c r="F1575" s="1" t="s">
        <v>18</v>
      </c>
      <c r="G1575" s="1">
        <v>31841</v>
      </c>
      <c r="H1575" s="63">
        <v>45660</v>
      </c>
      <c r="I1575" s="63">
        <v>45811</v>
      </c>
      <c r="J1575" s="1">
        <v>151</v>
      </c>
      <c r="K1575" s="1">
        <v>2</v>
      </c>
      <c r="L1575" s="1" t="s">
        <v>49</v>
      </c>
      <c r="M1575" s="1" t="s">
        <v>63</v>
      </c>
      <c r="N1575" s="1" t="str">
        <f t="shared" si="24"/>
        <v>Normal</v>
      </c>
    </row>
    <row r="1576" spans="1:14" x14ac:dyDescent="0.25">
      <c r="A1576" s="1" t="s">
        <v>2692</v>
      </c>
      <c r="B1576" s="1" t="s">
        <v>173</v>
      </c>
      <c r="C1576" s="1" t="s">
        <v>270</v>
      </c>
      <c r="D1576" s="1" t="s">
        <v>46</v>
      </c>
      <c r="E1576" s="1" t="s">
        <v>77</v>
      </c>
      <c r="F1576" s="1" t="s">
        <v>40</v>
      </c>
      <c r="G1576" s="1">
        <v>284248</v>
      </c>
      <c r="H1576" s="63">
        <v>45171</v>
      </c>
      <c r="I1576" s="63">
        <v>45230</v>
      </c>
      <c r="J1576" s="1">
        <v>59</v>
      </c>
      <c r="K1576" s="1">
        <v>0.9</v>
      </c>
      <c r="L1576" s="1" t="s">
        <v>29</v>
      </c>
      <c r="M1576" s="1" t="s">
        <v>102</v>
      </c>
      <c r="N1576" s="1" t="str">
        <f t="shared" si="24"/>
        <v>Normal</v>
      </c>
    </row>
    <row r="1577" spans="1:14" x14ac:dyDescent="0.25">
      <c r="A1577" s="1" t="s">
        <v>2693</v>
      </c>
      <c r="B1577" s="1" t="s">
        <v>75</v>
      </c>
      <c r="C1577" s="1" t="s">
        <v>775</v>
      </c>
      <c r="D1577" s="1" t="s">
        <v>25</v>
      </c>
      <c r="E1577" s="1" t="s">
        <v>94</v>
      </c>
      <c r="F1577" s="1" t="s">
        <v>18</v>
      </c>
      <c r="G1577" s="1">
        <v>97456</v>
      </c>
      <c r="H1577" s="63">
        <v>45490</v>
      </c>
      <c r="I1577" s="63">
        <v>45607</v>
      </c>
      <c r="J1577" s="1">
        <v>117</v>
      </c>
      <c r="K1577" s="1">
        <v>9.9</v>
      </c>
      <c r="L1577" s="1" t="s">
        <v>20</v>
      </c>
      <c r="M1577" s="1" t="s">
        <v>149</v>
      </c>
      <c r="N1577" s="1" t="str">
        <f t="shared" si="24"/>
        <v>Normal</v>
      </c>
    </row>
    <row r="1578" spans="1:14" x14ac:dyDescent="0.25">
      <c r="A1578" s="1" t="s">
        <v>2694</v>
      </c>
      <c r="B1578" s="1" t="s">
        <v>65</v>
      </c>
      <c r="C1578" s="1" t="s">
        <v>261</v>
      </c>
      <c r="D1578" s="1" t="s">
        <v>16</v>
      </c>
      <c r="E1578" s="1" t="s">
        <v>72</v>
      </c>
      <c r="F1578" s="1" t="s">
        <v>40</v>
      </c>
      <c r="G1578" s="1">
        <v>379140</v>
      </c>
      <c r="H1578" s="63">
        <v>45157</v>
      </c>
      <c r="I1578" s="63">
        <v>45244</v>
      </c>
      <c r="J1578" s="1">
        <v>87</v>
      </c>
      <c r="K1578" s="1">
        <v>11.2</v>
      </c>
      <c r="L1578" s="1" t="s">
        <v>49</v>
      </c>
      <c r="M1578" s="1" t="s">
        <v>102</v>
      </c>
      <c r="N1578" s="1" t="str">
        <f t="shared" si="24"/>
        <v>Normal</v>
      </c>
    </row>
    <row r="1579" spans="1:14" x14ac:dyDescent="0.25">
      <c r="A1579" s="1" t="s">
        <v>2696</v>
      </c>
      <c r="B1579" s="1" t="s">
        <v>127</v>
      </c>
      <c r="C1579" s="1" t="s">
        <v>650</v>
      </c>
      <c r="D1579" s="1" t="s">
        <v>90</v>
      </c>
      <c r="E1579" s="1" t="s">
        <v>26</v>
      </c>
      <c r="F1579" s="1" t="s">
        <v>33</v>
      </c>
      <c r="G1579" s="1">
        <v>367669</v>
      </c>
      <c r="H1579" s="63">
        <v>45387</v>
      </c>
      <c r="J1579" s="1"/>
      <c r="K1579" s="1">
        <v>3.9</v>
      </c>
      <c r="L1579" s="1" t="s">
        <v>96</v>
      </c>
      <c r="M1579" s="1" t="s">
        <v>107</v>
      </c>
      <c r="N1579" s="1" t="str">
        <f t="shared" si="24"/>
        <v>Normal</v>
      </c>
    </row>
    <row r="1580" spans="1:14" x14ac:dyDescent="0.25">
      <c r="A1580" s="1" t="s">
        <v>2697</v>
      </c>
      <c r="B1580" s="1" t="s">
        <v>109</v>
      </c>
      <c r="C1580" s="1" t="s">
        <v>474</v>
      </c>
      <c r="D1580" s="1" t="s">
        <v>67</v>
      </c>
      <c r="E1580" s="1" t="s">
        <v>47</v>
      </c>
      <c r="F1580" s="1" t="s">
        <v>33</v>
      </c>
      <c r="G1580" s="1">
        <v>366366</v>
      </c>
      <c r="H1580" s="63">
        <v>45499</v>
      </c>
      <c r="J1580" s="1"/>
      <c r="K1580" s="1">
        <v>5.3</v>
      </c>
      <c r="L1580" s="1" t="s">
        <v>49</v>
      </c>
      <c r="M1580" s="1" t="s">
        <v>149</v>
      </c>
      <c r="N1580" s="1" t="str">
        <f t="shared" si="24"/>
        <v>Normal</v>
      </c>
    </row>
    <row r="1581" spans="1:14" x14ac:dyDescent="0.25">
      <c r="A1581" s="1" t="s">
        <v>2698</v>
      </c>
      <c r="B1581" s="1" t="s">
        <v>84</v>
      </c>
      <c r="C1581" s="1" t="s">
        <v>724</v>
      </c>
      <c r="D1581" s="1" t="s">
        <v>39</v>
      </c>
      <c r="E1581" s="1" t="s">
        <v>72</v>
      </c>
      <c r="F1581" s="1" t="s">
        <v>40</v>
      </c>
      <c r="G1581" s="1">
        <v>181716</v>
      </c>
      <c r="H1581" s="63">
        <v>45020</v>
      </c>
      <c r="I1581" s="63">
        <v>45043</v>
      </c>
      <c r="J1581" s="1">
        <v>23</v>
      </c>
      <c r="K1581" s="1">
        <v>14.3</v>
      </c>
      <c r="L1581" s="1" t="s">
        <v>96</v>
      </c>
      <c r="M1581" s="1" t="s">
        <v>30</v>
      </c>
      <c r="N1581" s="1" t="str">
        <f t="shared" si="24"/>
        <v>Normal</v>
      </c>
    </row>
    <row r="1582" spans="1:14" x14ac:dyDescent="0.25">
      <c r="A1582" s="1" t="s">
        <v>2699</v>
      </c>
      <c r="B1582" s="1" t="s">
        <v>65</v>
      </c>
      <c r="C1582" s="1" t="s">
        <v>587</v>
      </c>
      <c r="D1582" s="1" t="s">
        <v>25</v>
      </c>
      <c r="E1582" s="1" t="s">
        <v>94</v>
      </c>
      <c r="F1582" s="1" t="s">
        <v>129</v>
      </c>
      <c r="G1582" s="1">
        <v>478527</v>
      </c>
      <c r="H1582" s="63">
        <v>45569</v>
      </c>
      <c r="J1582" s="1"/>
      <c r="K1582" s="1">
        <v>5.8</v>
      </c>
      <c r="L1582" s="1" t="s">
        <v>49</v>
      </c>
      <c r="M1582" s="1" t="s">
        <v>42</v>
      </c>
      <c r="N1582" s="1" t="str">
        <f t="shared" si="24"/>
        <v>Normal</v>
      </c>
    </row>
    <row r="1583" spans="1:14" x14ac:dyDescent="0.25">
      <c r="A1583" s="1" t="s">
        <v>2700</v>
      </c>
      <c r="B1583" s="1" t="s">
        <v>14</v>
      </c>
      <c r="C1583" s="1" t="s">
        <v>401</v>
      </c>
      <c r="D1583" s="1" t="s">
        <v>46</v>
      </c>
      <c r="E1583" s="1" t="s">
        <v>47</v>
      </c>
      <c r="F1583" s="1" t="s">
        <v>40</v>
      </c>
      <c r="G1583" s="1">
        <v>306668</v>
      </c>
      <c r="H1583" s="63">
        <v>45690</v>
      </c>
      <c r="I1583" s="63">
        <v>45837</v>
      </c>
      <c r="J1583" s="1">
        <v>147</v>
      </c>
      <c r="K1583" s="1">
        <v>2.7</v>
      </c>
      <c r="L1583" s="1" t="s">
        <v>96</v>
      </c>
      <c r="M1583" s="1" t="s">
        <v>63</v>
      </c>
      <c r="N1583" s="1" t="str">
        <f t="shared" si="24"/>
        <v>Normal</v>
      </c>
    </row>
    <row r="1584" spans="1:14" x14ac:dyDescent="0.25">
      <c r="A1584" s="1" t="s">
        <v>2701</v>
      </c>
      <c r="B1584" s="1" t="s">
        <v>44</v>
      </c>
      <c r="C1584" s="1" t="s">
        <v>71</v>
      </c>
      <c r="D1584" s="1" t="s">
        <v>46</v>
      </c>
      <c r="E1584" s="1" t="s">
        <v>47</v>
      </c>
      <c r="F1584" s="1" t="s">
        <v>53</v>
      </c>
      <c r="G1584" s="1">
        <v>365724</v>
      </c>
      <c r="H1584" s="63">
        <v>45454</v>
      </c>
      <c r="J1584" s="1"/>
      <c r="K1584" s="1">
        <v>13.1</v>
      </c>
      <c r="L1584" s="1" t="s">
        <v>49</v>
      </c>
      <c r="M1584" s="1" t="s">
        <v>107</v>
      </c>
      <c r="N1584" s="1" t="str">
        <f t="shared" si="24"/>
        <v>Normal</v>
      </c>
    </row>
    <row r="1585" spans="1:14" x14ac:dyDescent="0.25">
      <c r="A1585" s="1" t="s">
        <v>2703</v>
      </c>
      <c r="B1585" s="1" t="s">
        <v>104</v>
      </c>
      <c r="C1585" s="1" t="s">
        <v>1997</v>
      </c>
      <c r="D1585" s="1" t="s">
        <v>39</v>
      </c>
      <c r="E1585" s="1" t="s">
        <v>72</v>
      </c>
      <c r="F1585" s="1" t="s">
        <v>33</v>
      </c>
      <c r="G1585" s="1">
        <v>139384</v>
      </c>
      <c r="H1585" s="63">
        <v>45255</v>
      </c>
      <c r="J1585" s="1"/>
      <c r="K1585" s="1">
        <v>11.2</v>
      </c>
      <c r="L1585" s="1" t="s">
        <v>96</v>
      </c>
      <c r="M1585" s="1" t="s">
        <v>21</v>
      </c>
      <c r="N1585" s="1" t="str">
        <f t="shared" si="24"/>
        <v>Normal</v>
      </c>
    </row>
    <row r="1586" spans="1:14" x14ac:dyDescent="0.25">
      <c r="A1586" s="1" t="s">
        <v>2704</v>
      </c>
      <c r="B1586" s="1" t="s">
        <v>14</v>
      </c>
      <c r="C1586" s="1" t="s">
        <v>331</v>
      </c>
      <c r="D1586" s="1" t="s">
        <v>16</v>
      </c>
      <c r="E1586" s="1" t="s">
        <v>94</v>
      </c>
      <c r="F1586" s="1" t="s">
        <v>129</v>
      </c>
      <c r="G1586" s="1">
        <v>476440</v>
      </c>
      <c r="H1586" s="63">
        <v>45210</v>
      </c>
      <c r="J1586" s="1"/>
      <c r="K1586" s="1">
        <v>13.7</v>
      </c>
      <c r="L1586" s="1" t="s">
        <v>49</v>
      </c>
      <c r="M1586" s="1" t="s">
        <v>21</v>
      </c>
      <c r="N1586" s="1" t="str">
        <f t="shared" si="24"/>
        <v>Normal</v>
      </c>
    </row>
    <row r="1587" spans="1:14" x14ac:dyDescent="0.25">
      <c r="A1587" s="1" t="s">
        <v>2705</v>
      </c>
      <c r="B1587" s="1" t="s">
        <v>88</v>
      </c>
      <c r="C1587" s="1" t="s">
        <v>237</v>
      </c>
      <c r="D1587" s="1" t="s">
        <v>39</v>
      </c>
      <c r="E1587" s="1" t="s">
        <v>61</v>
      </c>
      <c r="F1587" s="1" t="s">
        <v>18</v>
      </c>
      <c r="G1587" s="1">
        <v>868992</v>
      </c>
      <c r="H1587" s="63">
        <v>45225</v>
      </c>
      <c r="I1587" s="63">
        <v>45389</v>
      </c>
      <c r="J1587" s="1">
        <v>164</v>
      </c>
      <c r="K1587" s="1">
        <v>2.8</v>
      </c>
      <c r="L1587" s="1" t="s">
        <v>29</v>
      </c>
      <c r="M1587" s="1" t="s">
        <v>21</v>
      </c>
      <c r="N1587" s="1" t="str">
        <f t="shared" si="24"/>
        <v>Normal</v>
      </c>
    </row>
    <row r="1588" spans="1:14" x14ac:dyDescent="0.25">
      <c r="A1588" s="1" t="s">
        <v>2707</v>
      </c>
      <c r="B1588" s="1" t="s">
        <v>65</v>
      </c>
      <c r="C1588" s="1" t="s">
        <v>384</v>
      </c>
      <c r="D1588" s="1" t="s">
        <v>16</v>
      </c>
      <c r="E1588" s="1" t="s">
        <v>94</v>
      </c>
      <c r="F1588" s="1" t="s">
        <v>27</v>
      </c>
      <c r="G1588" s="1">
        <v>184727</v>
      </c>
      <c r="H1588" s="63">
        <v>44980</v>
      </c>
      <c r="J1588" s="1"/>
      <c r="K1588" s="1"/>
      <c r="L1588" s="1" t="s">
        <v>96</v>
      </c>
      <c r="M1588" s="1" t="s">
        <v>35</v>
      </c>
      <c r="N1588" s="1" t="str">
        <f t="shared" si="24"/>
        <v>Normal</v>
      </c>
    </row>
    <row r="1589" spans="1:14" x14ac:dyDescent="0.25">
      <c r="A1589" s="1" t="s">
        <v>2708</v>
      </c>
      <c r="B1589" s="1" t="s">
        <v>84</v>
      </c>
      <c r="C1589" s="1" t="s">
        <v>892</v>
      </c>
      <c r="D1589" s="1" t="s">
        <v>46</v>
      </c>
      <c r="E1589" s="1" t="s">
        <v>72</v>
      </c>
      <c r="F1589" s="1" t="s">
        <v>33</v>
      </c>
      <c r="G1589" s="1">
        <v>154489</v>
      </c>
      <c r="H1589" s="63">
        <v>45109</v>
      </c>
      <c r="J1589" s="1"/>
      <c r="K1589" s="1">
        <v>7.8</v>
      </c>
      <c r="L1589" s="1" t="s">
        <v>29</v>
      </c>
      <c r="M1589" s="1" t="s">
        <v>102</v>
      </c>
      <c r="N1589" s="1" t="str">
        <f t="shared" si="24"/>
        <v>Normal</v>
      </c>
    </row>
    <row r="1590" spans="1:14" x14ac:dyDescent="0.25">
      <c r="A1590" s="1" t="s">
        <v>2709</v>
      </c>
      <c r="B1590" s="1" t="s">
        <v>84</v>
      </c>
      <c r="C1590" s="1" t="s">
        <v>474</v>
      </c>
      <c r="D1590" s="1" t="s">
        <v>46</v>
      </c>
      <c r="E1590" s="1" t="s">
        <v>77</v>
      </c>
      <c r="F1590" s="1" t="s">
        <v>129</v>
      </c>
      <c r="G1590" s="1">
        <v>25531</v>
      </c>
      <c r="H1590" s="63">
        <v>45690</v>
      </c>
      <c r="J1590" s="1"/>
      <c r="K1590" s="1"/>
      <c r="L1590" s="1" t="s">
        <v>29</v>
      </c>
      <c r="M1590" s="1" t="s">
        <v>63</v>
      </c>
      <c r="N1590" s="1" t="str">
        <f t="shared" si="24"/>
        <v>Normal</v>
      </c>
    </row>
    <row r="1591" spans="1:14" x14ac:dyDescent="0.25">
      <c r="A1591" s="1" t="s">
        <v>2710</v>
      </c>
      <c r="B1591" s="1" t="s">
        <v>14</v>
      </c>
      <c r="C1591" s="1" t="s">
        <v>423</v>
      </c>
      <c r="D1591" s="1" t="s">
        <v>39</v>
      </c>
      <c r="E1591" s="1" t="s">
        <v>94</v>
      </c>
      <c r="F1591" s="1" t="s">
        <v>27</v>
      </c>
      <c r="G1591" s="1">
        <v>46745</v>
      </c>
      <c r="H1591" s="63">
        <v>45366</v>
      </c>
      <c r="J1591" s="1"/>
      <c r="K1591" s="1"/>
      <c r="L1591" s="1" t="s">
        <v>20</v>
      </c>
      <c r="M1591" s="1" t="s">
        <v>69</v>
      </c>
      <c r="N1591" s="1" t="str">
        <f t="shared" si="24"/>
        <v>Normal</v>
      </c>
    </row>
    <row r="1592" spans="1:14" x14ac:dyDescent="0.25">
      <c r="A1592" s="1" t="s">
        <v>2712</v>
      </c>
      <c r="B1592" s="1" t="s">
        <v>23</v>
      </c>
      <c r="C1592" s="1" t="s">
        <v>273</v>
      </c>
      <c r="D1592" s="1" t="s">
        <v>39</v>
      </c>
      <c r="E1592" s="1" t="s">
        <v>26</v>
      </c>
      <c r="F1592" s="1" t="s">
        <v>18</v>
      </c>
      <c r="G1592" s="1">
        <v>137717</v>
      </c>
      <c r="H1592" s="63">
        <v>45084</v>
      </c>
      <c r="I1592" s="63">
        <v>45221</v>
      </c>
      <c r="J1592" s="1">
        <v>137</v>
      </c>
      <c r="K1592" s="1">
        <v>5.8</v>
      </c>
      <c r="L1592" s="1" t="s">
        <v>96</v>
      </c>
      <c r="M1592" s="1" t="s">
        <v>30</v>
      </c>
      <c r="N1592" s="1" t="str">
        <f t="shared" si="24"/>
        <v>Normal</v>
      </c>
    </row>
    <row r="1593" spans="1:14" x14ac:dyDescent="0.25">
      <c r="A1593" s="1" t="s">
        <v>2714</v>
      </c>
      <c r="B1593" s="1" t="s">
        <v>75</v>
      </c>
      <c r="C1593" s="1" t="s">
        <v>313</v>
      </c>
      <c r="D1593" s="1" t="s">
        <v>90</v>
      </c>
      <c r="E1593" s="1" t="s">
        <v>61</v>
      </c>
      <c r="F1593" s="1" t="s">
        <v>33</v>
      </c>
      <c r="G1593" s="1">
        <v>32988</v>
      </c>
      <c r="H1593" s="63">
        <v>45390</v>
      </c>
      <c r="J1593" s="1"/>
      <c r="K1593" s="1">
        <v>4.9000000000000004</v>
      </c>
      <c r="L1593" s="1" t="s">
        <v>29</v>
      </c>
      <c r="M1593" s="1" t="s">
        <v>107</v>
      </c>
      <c r="N1593" s="1" t="str">
        <f t="shared" si="24"/>
        <v>Normal</v>
      </c>
    </row>
    <row r="1594" spans="1:14" x14ac:dyDescent="0.25">
      <c r="A1594" s="1" t="s">
        <v>2716</v>
      </c>
      <c r="B1594" s="1" t="s">
        <v>23</v>
      </c>
      <c r="C1594" s="1" t="s">
        <v>1866</v>
      </c>
      <c r="D1594" s="1" t="s">
        <v>25</v>
      </c>
      <c r="E1594" s="1" t="s">
        <v>94</v>
      </c>
      <c r="F1594" s="1" t="s">
        <v>18</v>
      </c>
      <c r="G1594" s="1">
        <v>149077</v>
      </c>
      <c r="H1594" s="63">
        <v>45638</v>
      </c>
      <c r="I1594" s="63">
        <v>45813</v>
      </c>
      <c r="J1594" s="1">
        <v>175</v>
      </c>
      <c r="K1594" s="1">
        <v>12.2</v>
      </c>
      <c r="L1594" s="1" t="s">
        <v>49</v>
      </c>
      <c r="M1594" s="1" t="s">
        <v>42</v>
      </c>
      <c r="N1594" s="1" t="str">
        <f t="shared" si="24"/>
        <v>Normal</v>
      </c>
    </row>
    <row r="1595" spans="1:14" x14ac:dyDescent="0.25">
      <c r="A1595" s="1" t="s">
        <v>2717</v>
      </c>
      <c r="B1595" s="1" t="s">
        <v>14</v>
      </c>
      <c r="C1595" s="1" t="s">
        <v>292</v>
      </c>
      <c r="D1595" s="1" t="s">
        <v>39</v>
      </c>
      <c r="E1595" s="1" t="s">
        <v>26</v>
      </c>
      <c r="F1595" s="1" t="s">
        <v>40</v>
      </c>
      <c r="G1595" s="1">
        <v>90880</v>
      </c>
      <c r="H1595" s="63">
        <v>45613</v>
      </c>
      <c r="I1595" s="63">
        <v>45660</v>
      </c>
      <c r="J1595" s="1">
        <v>47</v>
      </c>
      <c r="K1595" s="1">
        <v>1.8</v>
      </c>
      <c r="L1595" s="1" t="s">
        <v>96</v>
      </c>
      <c r="M1595" s="1" t="s">
        <v>42</v>
      </c>
      <c r="N1595" s="1" t="str">
        <f t="shared" si="24"/>
        <v>Normal</v>
      </c>
    </row>
    <row r="1596" spans="1:14" x14ac:dyDescent="0.25">
      <c r="A1596" s="1" t="s">
        <v>2718</v>
      </c>
      <c r="B1596" s="1" t="s">
        <v>37</v>
      </c>
      <c r="C1596" s="1" t="s">
        <v>205</v>
      </c>
      <c r="D1596" s="1" t="s">
        <v>67</v>
      </c>
      <c r="E1596" s="1" t="s">
        <v>77</v>
      </c>
      <c r="F1596" s="1" t="s">
        <v>129</v>
      </c>
      <c r="G1596" s="1">
        <v>273716</v>
      </c>
      <c r="H1596" s="63">
        <v>45706</v>
      </c>
      <c r="J1596" s="1"/>
      <c r="K1596" s="1"/>
      <c r="L1596" s="1" t="s">
        <v>96</v>
      </c>
      <c r="M1596" s="1" t="s">
        <v>63</v>
      </c>
      <c r="N1596" s="1" t="str">
        <f t="shared" si="24"/>
        <v>Normal</v>
      </c>
    </row>
    <row r="1597" spans="1:14" x14ac:dyDescent="0.25">
      <c r="A1597" s="1" t="s">
        <v>2719</v>
      </c>
      <c r="B1597" s="1" t="s">
        <v>84</v>
      </c>
      <c r="C1597" s="1" t="s">
        <v>1415</v>
      </c>
      <c r="D1597" s="1" t="s">
        <v>67</v>
      </c>
      <c r="E1597" s="1" t="s">
        <v>47</v>
      </c>
      <c r="F1597" s="1" t="s">
        <v>40</v>
      </c>
      <c r="G1597" s="1">
        <v>63795</v>
      </c>
      <c r="H1597" s="63">
        <v>44930</v>
      </c>
      <c r="I1597" s="63">
        <v>45108</v>
      </c>
      <c r="J1597" s="1">
        <v>178</v>
      </c>
      <c r="K1597" s="1">
        <v>10.3</v>
      </c>
      <c r="L1597" s="1" t="s">
        <v>96</v>
      </c>
      <c r="M1597" s="1" t="s">
        <v>35</v>
      </c>
      <c r="N1597" s="1" t="str">
        <f t="shared" si="24"/>
        <v>Normal</v>
      </c>
    </row>
    <row r="1598" spans="1:14" x14ac:dyDescent="0.25">
      <c r="A1598" s="1" t="s">
        <v>2720</v>
      </c>
      <c r="B1598" s="1" t="s">
        <v>109</v>
      </c>
      <c r="C1598" s="1" t="s">
        <v>732</v>
      </c>
      <c r="D1598" s="1" t="s">
        <v>16</v>
      </c>
      <c r="E1598" s="1" t="s">
        <v>17</v>
      </c>
      <c r="F1598" s="1" t="s">
        <v>33</v>
      </c>
      <c r="G1598" s="1">
        <v>135395</v>
      </c>
      <c r="H1598" s="63">
        <v>45347</v>
      </c>
      <c r="J1598" s="1"/>
      <c r="K1598" s="1">
        <v>0.4</v>
      </c>
      <c r="L1598" s="1" t="s">
        <v>49</v>
      </c>
      <c r="M1598" s="1" t="s">
        <v>69</v>
      </c>
      <c r="N1598" s="1" t="str">
        <f t="shared" si="24"/>
        <v>Normal</v>
      </c>
    </row>
    <row r="1599" spans="1:14" x14ac:dyDescent="0.25">
      <c r="A1599" s="1" t="s">
        <v>2721</v>
      </c>
      <c r="B1599" s="1" t="s">
        <v>14</v>
      </c>
      <c r="C1599" s="1" t="s">
        <v>45</v>
      </c>
      <c r="D1599" s="1" t="s">
        <v>25</v>
      </c>
      <c r="E1599" s="1" t="s">
        <v>100</v>
      </c>
      <c r="F1599" s="1" t="s">
        <v>40</v>
      </c>
      <c r="G1599" s="1">
        <v>336622</v>
      </c>
      <c r="H1599" s="63">
        <v>45100</v>
      </c>
      <c r="I1599" s="63">
        <v>45151</v>
      </c>
      <c r="J1599" s="1">
        <v>51</v>
      </c>
      <c r="K1599" s="1">
        <v>14.2</v>
      </c>
      <c r="L1599" s="1" t="s">
        <v>96</v>
      </c>
      <c r="M1599" s="1" t="s">
        <v>30</v>
      </c>
      <c r="N1599" s="1" t="str">
        <f t="shared" si="24"/>
        <v>Normal</v>
      </c>
    </row>
    <row r="1600" spans="1:14" x14ac:dyDescent="0.25">
      <c r="A1600" s="1" t="s">
        <v>2722</v>
      </c>
      <c r="B1600" s="1" t="s">
        <v>4829</v>
      </c>
      <c r="C1600" s="1" t="s">
        <v>423</v>
      </c>
      <c r="D1600" s="1" t="s">
        <v>46</v>
      </c>
      <c r="E1600" s="1" t="s">
        <v>72</v>
      </c>
      <c r="F1600" s="1" t="s">
        <v>18</v>
      </c>
      <c r="G1600" s="1">
        <v>70156</v>
      </c>
      <c r="H1600" s="63">
        <v>45205</v>
      </c>
      <c r="I1600" s="63">
        <v>45321</v>
      </c>
      <c r="J1600" s="1">
        <v>116</v>
      </c>
      <c r="K1600" s="1"/>
      <c r="L1600" s="1" t="s">
        <v>29</v>
      </c>
      <c r="M1600" s="1" t="s">
        <v>21</v>
      </c>
      <c r="N1600" s="1" t="str">
        <f t="shared" si="24"/>
        <v>Normal</v>
      </c>
    </row>
    <row r="1601" spans="1:14" x14ac:dyDescent="0.25">
      <c r="A1601" s="1" t="s">
        <v>2723</v>
      </c>
      <c r="B1601" s="1" t="s">
        <v>127</v>
      </c>
      <c r="C1601" s="1" t="s">
        <v>1691</v>
      </c>
      <c r="D1601" s="1" t="s">
        <v>46</v>
      </c>
      <c r="E1601" s="1" t="s">
        <v>77</v>
      </c>
      <c r="F1601" s="1" t="s">
        <v>18</v>
      </c>
      <c r="G1601" s="1">
        <v>156855</v>
      </c>
      <c r="H1601" s="63">
        <v>45245</v>
      </c>
      <c r="I1601" s="63">
        <v>45386</v>
      </c>
      <c r="J1601" s="1">
        <v>141</v>
      </c>
      <c r="K1601" s="1">
        <v>10.9</v>
      </c>
      <c r="L1601" s="1" t="s">
        <v>29</v>
      </c>
      <c r="M1601" s="1" t="s">
        <v>21</v>
      </c>
      <c r="N1601" s="1" t="str">
        <f t="shared" si="24"/>
        <v>Normal</v>
      </c>
    </row>
    <row r="1602" spans="1:14" x14ac:dyDescent="0.25">
      <c r="A1602" s="1" t="s">
        <v>2724</v>
      </c>
      <c r="B1602" s="1" t="s">
        <v>59</v>
      </c>
      <c r="C1602" s="1" t="s">
        <v>1354</v>
      </c>
      <c r="D1602" s="1" t="s">
        <v>46</v>
      </c>
      <c r="E1602" s="1" t="s">
        <v>61</v>
      </c>
      <c r="F1602" s="1" t="s">
        <v>18</v>
      </c>
      <c r="G1602" s="1">
        <v>201140</v>
      </c>
      <c r="H1602" s="63">
        <v>45161</v>
      </c>
      <c r="I1602" s="63">
        <v>45199</v>
      </c>
      <c r="J1602" s="1">
        <v>38</v>
      </c>
      <c r="K1602" s="1">
        <v>2.4</v>
      </c>
      <c r="L1602" s="1" t="s">
        <v>96</v>
      </c>
      <c r="M1602" s="1" t="s">
        <v>102</v>
      </c>
      <c r="N1602" s="1" t="str">
        <f t="shared" ref="N1602:N1665" si="25">IF(G1602&gt;$R$5,"High Outlier",IF(G1602&lt;$R$6,"Low Outlier","Normal"))</f>
        <v>Normal</v>
      </c>
    </row>
    <row r="1603" spans="1:14" x14ac:dyDescent="0.25">
      <c r="A1603" s="1" t="s">
        <v>2726</v>
      </c>
      <c r="B1603" s="1" t="s">
        <v>88</v>
      </c>
      <c r="C1603" s="1" t="s">
        <v>151</v>
      </c>
      <c r="D1603" s="1" t="s">
        <v>90</v>
      </c>
      <c r="E1603" s="1" t="s">
        <v>26</v>
      </c>
      <c r="F1603" s="1" t="s">
        <v>129</v>
      </c>
      <c r="G1603" s="1">
        <v>439133</v>
      </c>
      <c r="H1603" s="63">
        <v>45175</v>
      </c>
      <c r="J1603" s="1"/>
      <c r="K1603" s="1">
        <v>5.4</v>
      </c>
      <c r="L1603" s="1" t="s">
        <v>96</v>
      </c>
      <c r="M1603" s="1" t="s">
        <v>102</v>
      </c>
      <c r="N1603" s="1" t="str">
        <f t="shared" si="25"/>
        <v>Normal</v>
      </c>
    </row>
    <row r="1604" spans="1:14" x14ac:dyDescent="0.25">
      <c r="A1604" s="1" t="s">
        <v>2727</v>
      </c>
      <c r="B1604" s="1" t="s">
        <v>88</v>
      </c>
      <c r="C1604" s="1" t="s">
        <v>1095</v>
      </c>
      <c r="D1604" s="1" t="s">
        <v>39</v>
      </c>
      <c r="E1604" s="1" t="s">
        <v>47</v>
      </c>
      <c r="F1604" s="1" t="s">
        <v>53</v>
      </c>
      <c r="G1604" s="1">
        <v>293818</v>
      </c>
      <c r="H1604" s="63">
        <v>45060</v>
      </c>
      <c r="J1604" s="1"/>
      <c r="K1604" s="1">
        <v>11</v>
      </c>
      <c r="L1604" s="1" t="s">
        <v>20</v>
      </c>
      <c r="M1604" s="1" t="s">
        <v>30</v>
      </c>
      <c r="N1604" s="1" t="str">
        <f t="shared" si="25"/>
        <v>Normal</v>
      </c>
    </row>
    <row r="1605" spans="1:14" x14ac:dyDescent="0.25">
      <c r="A1605" s="1" t="s">
        <v>2729</v>
      </c>
      <c r="B1605" s="1" t="s">
        <v>14</v>
      </c>
      <c r="C1605" s="1" t="s">
        <v>406</v>
      </c>
      <c r="D1605" s="1" t="s">
        <v>25</v>
      </c>
      <c r="E1605" s="1" t="s">
        <v>72</v>
      </c>
      <c r="F1605" s="1" t="s">
        <v>33</v>
      </c>
      <c r="G1605" s="1">
        <v>148033</v>
      </c>
      <c r="H1605" s="63">
        <v>45687</v>
      </c>
      <c r="J1605" s="1"/>
      <c r="K1605" s="1">
        <v>2.9</v>
      </c>
      <c r="L1605" s="1" t="s">
        <v>96</v>
      </c>
      <c r="M1605" s="1" t="s">
        <v>63</v>
      </c>
      <c r="N1605" s="1" t="str">
        <f t="shared" si="25"/>
        <v>Normal</v>
      </c>
    </row>
    <row r="1606" spans="1:14" x14ac:dyDescent="0.25">
      <c r="A1606" s="1" t="s">
        <v>2730</v>
      </c>
      <c r="B1606" s="1" t="s">
        <v>65</v>
      </c>
      <c r="C1606" s="1" t="s">
        <v>279</v>
      </c>
      <c r="D1606" s="1" t="s">
        <v>46</v>
      </c>
      <c r="E1606" s="1" t="s">
        <v>72</v>
      </c>
      <c r="F1606" s="1" t="s">
        <v>18</v>
      </c>
      <c r="G1606" s="1">
        <v>38034</v>
      </c>
      <c r="H1606" s="63">
        <v>45184</v>
      </c>
      <c r="I1606" s="63">
        <v>45257</v>
      </c>
      <c r="J1606" s="1">
        <v>73</v>
      </c>
      <c r="K1606" s="1">
        <v>13.3</v>
      </c>
      <c r="L1606" s="1" t="s">
        <v>20</v>
      </c>
      <c r="M1606" s="1" t="s">
        <v>102</v>
      </c>
      <c r="N1606" s="1" t="str">
        <f t="shared" si="25"/>
        <v>Normal</v>
      </c>
    </row>
    <row r="1607" spans="1:14" x14ac:dyDescent="0.25">
      <c r="A1607" s="1" t="s">
        <v>2731</v>
      </c>
      <c r="B1607" s="1" t="s">
        <v>59</v>
      </c>
      <c r="C1607" s="1" t="s">
        <v>1090</v>
      </c>
      <c r="D1607" s="1" t="s">
        <v>46</v>
      </c>
      <c r="E1607" s="1" t="s">
        <v>4845</v>
      </c>
      <c r="F1607" s="1" t="s">
        <v>40</v>
      </c>
      <c r="G1607" s="1">
        <v>55990</v>
      </c>
      <c r="H1607" s="63">
        <v>44983</v>
      </c>
      <c r="I1607" s="63">
        <v>45047</v>
      </c>
      <c r="J1607" s="1">
        <v>64</v>
      </c>
      <c r="K1607" s="1">
        <v>17.399999999999999</v>
      </c>
      <c r="L1607" s="1" t="s">
        <v>29</v>
      </c>
      <c r="M1607" s="1" t="s">
        <v>35</v>
      </c>
      <c r="N1607" s="1" t="str">
        <f t="shared" si="25"/>
        <v>Normal</v>
      </c>
    </row>
    <row r="1608" spans="1:14" x14ac:dyDescent="0.25">
      <c r="A1608" s="1" t="s">
        <v>2732</v>
      </c>
      <c r="B1608" s="1" t="s">
        <v>98</v>
      </c>
      <c r="C1608" s="1" t="s">
        <v>1185</v>
      </c>
      <c r="D1608" s="1" t="s">
        <v>46</v>
      </c>
      <c r="E1608" s="1" t="s">
        <v>61</v>
      </c>
      <c r="F1608" s="1" t="s">
        <v>18</v>
      </c>
      <c r="G1608" s="1">
        <v>149099</v>
      </c>
      <c r="H1608" s="63">
        <v>45427</v>
      </c>
      <c r="I1608" s="63">
        <v>45597</v>
      </c>
      <c r="J1608" s="1">
        <v>170</v>
      </c>
      <c r="K1608" s="1">
        <v>10.3</v>
      </c>
      <c r="L1608" s="1" t="s">
        <v>20</v>
      </c>
      <c r="M1608" s="1" t="s">
        <v>107</v>
      </c>
      <c r="N1608" s="1" t="str">
        <f t="shared" si="25"/>
        <v>Normal</v>
      </c>
    </row>
    <row r="1609" spans="1:14" x14ac:dyDescent="0.25">
      <c r="A1609" s="1" t="s">
        <v>2734</v>
      </c>
      <c r="B1609" s="1" t="s">
        <v>104</v>
      </c>
      <c r="C1609" s="1" t="s">
        <v>218</v>
      </c>
      <c r="D1609" s="1" t="s">
        <v>25</v>
      </c>
      <c r="E1609" s="1" t="s">
        <v>47</v>
      </c>
      <c r="F1609" s="1" t="s">
        <v>40</v>
      </c>
      <c r="G1609" s="1">
        <v>485121</v>
      </c>
      <c r="H1609" s="63">
        <v>45391</v>
      </c>
      <c r="I1609" s="63">
        <v>45531</v>
      </c>
      <c r="J1609" s="1">
        <v>140</v>
      </c>
      <c r="K1609" s="1">
        <v>18.399999999999999</v>
      </c>
      <c r="L1609" s="1" t="s">
        <v>49</v>
      </c>
      <c r="M1609" s="1" t="s">
        <v>107</v>
      </c>
      <c r="N1609" s="1" t="str">
        <f t="shared" si="25"/>
        <v>Normal</v>
      </c>
    </row>
    <row r="1610" spans="1:14" x14ac:dyDescent="0.25">
      <c r="A1610" s="1" t="s">
        <v>2735</v>
      </c>
      <c r="B1610" s="1" t="s">
        <v>88</v>
      </c>
      <c r="C1610" s="1" t="s">
        <v>334</v>
      </c>
      <c r="D1610" s="1" t="s">
        <v>90</v>
      </c>
      <c r="E1610" s="1" t="s">
        <v>61</v>
      </c>
      <c r="F1610" s="1" t="s">
        <v>18</v>
      </c>
      <c r="G1610" s="1">
        <v>300010</v>
      </c>
      <c r="H1610" s="63">
        <v>45354</v>
      </c>
      <c r="I1610" s="63">
        <v>45526</v>
      </c>
      <c r="J1610" s="1">
        <v>172</v>
      </c>
      <c r="K1610" s="1">
        <v>11.7</v>
      </c>
      <c r="L1610" s="1" t="s">
        <v>96</v>
      </c>
      <c r="M1610" s="1" t="s">
        <v>69</v>
      </c>
      <c r="N1610" s="1" t="str">
        <f t="shared" si="25"/>
        <v>Normal</v>
      </c>
    </row>
    <row r="1611" spans="1:14" x14ac:dyDescent="0.25">
      <c r="A1611" s="1" t="s">
        <v>2736</v>
      </c>
      <c r="B1611" s="1" t="s">
        <v>65</v>
      </c>
      <c r="C1611" s="1" t="s">
        <v>877</v>
      </c>
      <c r="D1611" s="1" t="s">
        <v>16</v>
      </c>
      <c r="E1611" s="1" t="s">
        <v>47</v>
      </c>
      <c r="F1611" s="1" t="s">
        <v>53</v>
      </c>
      <c r="G1611" s="1">
        <v>410855</v>
      </c>
      <c r="H1611" s="63">
        <v>45262</v>
      </c>
      <c r="J1611" s="1"/>
      <c r="K1611" s="1">
        <v>9.9</v>
      </c>
      <c r="L1611" s="1" t="s">
        <v>49</v>
      </c>
      <c r="M1611" s="1" t="s">
        <v>21</v>
      </c>
      <c r="N1611" s="1" t="str">
        <f t="shared" si="25"/>
        <v>Normal</v>
      </c>
    </row>
    <row r="1612" spans="1:14" x14ac:dyDescent="0.25">
      <c r="A1612" s="1" t="s">
        <v>2737</v>
      </c>
      <c r="B1612" s="1" t="s">
        <v>104</v>
      </c>
      <c r="C1612" s="1" t="s">
        <v>809</v>
      </c>
      <c r="D1612" s="1" t="s">
        <v>46</v>
      </c>
      <c r="E1612" s="1" t="s">
        <v>94</v>
      </c>
      <c r="F1612" s="1" t="s">
        <v>40</v>
      </c>
      <c r="G1612" s="1">
        <v>392920</v>
      </c>
      <c r="H1612" s="63">
        <v>45129</v>
      </c>
      <c r="I1612" s="63">
        <v>45227</v>
      </c>
      <c r="J1612" s="1">
        <v>98</v>
      </c>
      <c r="K1612" s="1">
        <v>7</v>
      </c>
      <c r="L1612" s="1" t="s">
        <v>49</v>
      </c>
      <c r="M1612" s="1" t="s">
        <v>102</v>
      </c>
      <c r="N1612" s="1" t="str">
        <f t="shared" si="25"/>
        <v>Normal</v>
      </c>
    </row>
    <row r="1613" spans="1:14" x14ac:dyDescent="0.25">
      <c r="A1613" s="1" t="s">
        <v>2738</v>
      </c>
      <c r="B1613" s="1" t="s">
        <v>173</v>
      </c>
      <c r="C1613" s="1" t="s">
        <v>165</v>
      </c>
      <c r="D1613" s="1" t="s">
        <v>90</v>
      </c>
      <c r="E1613" s="1" t="s">
        <v>17</v>
      </c>
      <c r="F1613" s="1" t="s">
        <v>18</v>
      </c>
      <c r="G1613" s="1">
        <v>392366</v>
      </c>
      <c r="H1613" s="63">
        <v>45560</v>
      </c>
      <c r="I1613" s="63">
        <v>45668</v>
      </c>
      <c r="J1613" s="1">
        <v>108</v>
      </c>
      <c r="K1613" s="1">
        <v>8.1999999999999993</v>
      </c>
      <c r="L1613" s="1" t="s">
        <v>20</v>
      </c>
      <c r="M1613" s="1" t="s">
        <v>149</v>
      </c>
      <c r="N1613" s="1" t="str">
        <f t="shared" si="25"/>
        <v>Normal</v>
      </c>
    </row>
    <row r="1614" spans="1:14" x14ac:dyDescent="0.25">
      <c r="A1614" s="1" t="s">
        <v>2739</v>
      </c>
      <c r="B1614" s="1" t="s">
        <v>23</v>
      </c>
      <c r="C1614" s="1" t="s">
        <v>1028</v>
      </c>
      <c r="D1614" s="1" t="s">
        <v>46</v>
      </c>
      <c r="E1614" s="1" t="s">
        <v>94</v>
      </c>
      <c r="F1614" s="1" t="s">
        <v>53</v>
      </c>
      <c r="G1614" s="1">
        <v>255595</v>
      </c>
      <c r="H1614" s="63">
        <v>45690</v>
      </c>
      <c r="J1614" s="1"/>
      <c r="K1614" s="1">
        <v>12.1</v>
      </c>
      <c r="L1614" s="1" t="s">
        <v>96</v>
      </c>
      <c r="M1614" s="1" t="s">
        <v>63</v>
      </c>
      <c r="N1614" s="1" t="str">
        <f t="shared" si="25"/>
        <v>Normal</v>
      </c>
    </row>
    <row r="1615" spans="1:14" x14ac:dyDescent="0.25">
      <c r="A1615" s="1" t="s">
        <v>2740</v>
      </c>
      <c r="B1615" s="1" t="s">
        <v>98</v>
      </c>
      <c r="C1615" s="1" t="s">
        <v>644</v>
      </c>
      <c r="D1615" s="1" t="s">
        <v>46</v>
      </c>
      <c r="E1615" s="1" t="s">
        <v>100</v>
      </c>
      <c r="F1615" s="1" t="s">
        <v>18</v>
      </c>
      <c r="G1615" s="1">
        <v>229366</v>
      </c>
      <c r="H1615" s="63">
        <v>45474</v>
      </c>
      <c r="I1615" s="63">
        <v>45509</v>
      </c>
      <c r="J1615" s="1">
        <v>35</v>
      </c>
      <c r="K1615" s="1">
        <v>14.3</v>
      </c>
      <c r="L1615" s="1" t="s">
        <v>49</v>
      </c>
      <c r="M1615" s="1" t="s">
        <v>149</v>
      </c>
      <c r="N1615" s="1" t="str">
        <f t="shared" si="25"/>
        <v>Normal</v>
      </c>
    </row>
    <row r="1616" spans="1:14" x14ac:dyDescent="0.25">
      <c r="A1616" s="1" t="s">
        <v>2741</v>
      </c>
      <c r="B1616" s="1" t="s">
        <v>104</v>
      </c>
      <c r="C1616" s="1" t="s">
        <v>502</v>
      </c>
      <c r="D1616" s="1" t="s">
        <v>25</v>
      </c>
      <c r="E1616" s="1" t="s">
        <v>77</v>
      </c>
      <c r="F1616" s="1" t="s">
        <v>53</v>
      </c>
      <c r="G1616" s="1">
        <v>458199</v>
      </c>
      <c r="H1616" s="63">
        <v>45576</v>
      </c>
      <c r="J1616" s="1"/>
      <c r="K1616" s="1"/>
      <c r="L1616" s="1" t="s">
        <v>20</v>
      </c>
      <c r="M1616" s="1" t="s">
        <v>42</v>
      </c>
      <c r="N1616" s="1" t="str">
        <f t="shared" si="25"/>
        <v>Normal</v>
      </c>
    </row>
    <row r="1617" spans="1:14" x14ac:dyDescent="0.25">
      <c r="A1617" s="1" t="s">
        <v>2743</v>
      </c>
      <c r="B1617" s="1" t="s">
        <v>127</v>
      </c>
      <c r="C1617" s="1" t="s">
        <v>571</v>
      </c>
      <c r="D1617" s="1" t="s">
        <v>25</v>
      </c>
      <c r="E1617" s="1" t="s">
        <v>94</v>
      </c>
      <c r="F1617" s="1" t="s">
        <v>40</v>
      </c>
      <c r="G1617" s="1">
        <v>221881</v>
      </c>
      <c r="H1617" s="63">
        <v>45727</v>
      </c>
      <c r="I1617" s="63">
        <v>45759</v>
      </c>
      <c r="J1617" s="1">
        <v>32</v>
      </c>
      <c r="K1617" s="1">
        <v>7.4</v>
      </c>
      <c r="L1617" s="1" t="s">
        <v>96</v>
      </c>
      <c r="M1617" s="1" t="s">
        <v>63</v>
      </c>
      <c r="N1617" s="1" t="str">
        <f t="shared" si="25"/>
        <v>Normal</v>
      </c>
    </row>
    <row r="1618" spans="1:14" x14ac:dyDescent="0.25">
      <c r="A1618" s="1" t="s">
        <v>2744</v>
      </c>
      <c r="B1618" s="1" t="s">
        <v>14</v>
      </c>
      <c r="C1618" s="1" t="s">
        <v>292</v>
      </c>
      <c r="D1618" s="1" t="s">
        <v>67</v>
      </c>
      <c r="E1618" s="1" t="s">
        <v>100</v>
      </c>
      <c r="F1618" s="1" t="s">
        <v>53</v>
      </c>
      <c r="G1618" s="1">
        <v>422416</v>
      </c>
      <c r="H1618" s="63">
        <v>45060</v>
      </c>
      <c r="J1618" s="1"/>
      <c r="K1618" s="1">
        <v>2.9</v>
      </c>
      <c r="L1618" s="1" t="s">
        <v>96</v>
      </c>
      <c r="M1618" s="1" t="s">
        <v>30</v>
      </c>
      <c r="N1618" s="1" t="str">
        <f t="shared" si="25"/>
        <v>Normal</v>
      </c>
    </row>
    <row r="1619" spans="1:14" x14ac:dyDescent="0.25">
      <c r="A1619" s="1" t="s">
        <v>2745</v>
      </c>
      <c r="B1619" s="1" t="s">
        <v>98</v>
      </c>
      <c r="C1619" s="1" t="s">
        <v>865</v>
      </c>
      <c r="D1619" s="1" t="s">
        <v>39</v>
      </c>
      <c r="E1619" s="1" t="s">
        <v>47</v>
      </c>
      <c r="F1619" s="1" t="s">
        <v>27</v>
      </c>
      <c r="G1619" s="1">
        <v>13088</v>
      </c>
      <c r="H1619" s="63">
        <v>45263</v>
      </c>
      <c r="J1619" s="1"/>
      <c r="K1619" s="1"/>
      <c r="L1619" s="1" t="s">
        <v>49</v>
      </c>
      <c r="M1619" s="1" t="s">
        <v>21</v>
      </c>
      <c r="N1619" s="1" t="str">
        <f t="shared" si="25"/>
        <v>Normal</v>
      </c>
    </row>
    <row r="1620" spans="1:14" x14ac:dyDescent="0.25">
      <c r="A1620" s="1" t="s">
        <v>2746</v>
      </c>
      <c r="B1620" s="1" t="s">
        <v>88</v>
      </c>
      <c r="C1620" s="1" t="s">
        <v>667</v>
      </c>
      <c r="D1620" s="1" t="s">
        <v>39</v>
      </c>
      <c r="E1620" s="1" t="s">
        <v>77</v>
      </c>
      <c r="F1620" s="1" t="s">
        <v>33</v>
      </c>
      <c r="G1620" s="1">
        <v>36920</v>
      </c>
      <c r="H1620" s="63">
        <v>45076</v>
      </c>
      <c r="J1620" s="1"/>
      <c r="K1620" s="1">
        <v>13.5</v>
      </c>
      <c r="L1620" s="1" t="s">
        <v>49</v>
      </c>
      <c r="M1620" s="1" t="s">
        <v>30</v>
      </c>
      <c r="N1620" s="1" t="str">
        <f t="shared" si="25"/>
        <v>Normal</v>
      </c>
    </row>
    <row r="1621" spans="1:14" x14ac:dyDescent="0.25">
      <c r="A1621" s="1" t="s">
        <v>2747</v>
      </c>
      <c r="B1621" s="1" t="s">
        <v>37</v>
      </c>
      <c r="C1621" s="1" t="s">
        <v>1518</v>
      </c>
      <c r="D1621" s="1" t="s">
        <v>16</v>
      </c>
      <c r="E1621" s="1" t="s">
        <v>61</v>
      </c>
      <c r="F1621" s="1" t="s">
        <v>18</v>
      </c>
      <c r="G1621" s="1">
        <v>446485</v>
      </c>
      <c r="H1621" s="63">
        <v>45416</v>
      </c>
      <c r="I1621" s="63">
        <v>45488</v>
      </c>
      <c r="J1621" s="1">
        <v>72</v>
      </c>
      <c r="K1621" s="1">
        <v>10</v>
      </c>
      <c r="L1621" s="1" t="s">
        <v>20</v>
      </c>
      <c r="M1621" s="1" t="s">
        <v>107</v>
      </c>
      <c r="N1621" s="1" t="str">
        <f t="shared" si="25"/>
        <v>Normal</v>
      </c>
    </row>
    <row r="1622" spans="1:14" x14ac:dyDescent="0.25">
      <c r="A1622" s="1" t="s">
        <v>2748</v>
      </c>
      <c r="B1622" s="1" t="s">
        <v>23</v>
      </c>
      <c r="C1622" s="1" t="s">
        <v>454</v>
      </c>
      <c r="D1622" s="1" t="s">
        <v>90</v>
      </c>
      <c r="E1622" s="1" t="s">
        <v>61</v>
      </c>
      <c r="F1622" s="1" t="s">
        <v>40</v>
      </c>
      <c r="G1622" s="1">
        <v>209365</v>
      </c>
      <c r="H1622" s="63">
        <v>45573</v>
      </c>
      <c r="I1622" s="63">
        <v>45738</v>
      </c>
      <c r="J1622" s="1">
        <v>165</v>
      </c>
      <c r="K1622" s="1">
        <v>23</v>
      </c>
      <c r="L1622" s="1" t="s">
        <v>96</v>
      </c>
      <c r="M1622" s="1" t="s">
        <v>42</v>
      </c>
      <c r="N1622" s="1" t="str">
        <f t="shared" si="25"/>
        <v>Normal</v>
      </c>
    </row>
    <row r="1623" spans="1:14" x14ac:dyDescent="0.25">
      <c r="A1623" s="1" t="s">
        <v>2749</v>
      </c>
      <c r="B1623" s="1" t="s">
        <v>84</v>
      </c>
      <c r="C1623" s="1" t="s">
        <v>247</v>
      </c>
      <c r="D1623" s="1" t="s">
        <v>16</v>
      </c>
      <c r="E1623" s="1" t="s">
        <v>17</v>
      </c>
      <c r="F1623" s="1" t="s">
        <v>33</v>
      </c>
      <c r="G1623" s="1">
        <v>17407</v>
      </c>
      <c r="H1623" s="63">
        <v>45208</v>
      </c>
      <c r="J1623" s="1"/>
      <c r="K1623" s="1">
        <v>4.3</v>
      </c>
      <c r="L1623" s="1" t="s">
        <v>20</v>
      </c>
      <c r="M1623" s="1" t="s">
        <v>21</v>
      </c>
      <c r="N1623" s="1" t="str">
        <f t="shared" si="25"/>
        <v>Normal</v>
      </c>
    </row>
    <row r="1624" spans="1:14" x14ac:dyDescent="0.25">
      <c r="A1624" s="1" t="s">
        <v>2751</v>
      </c>
      <c r="B1624" s="1" t="s">
        <v>84</v>
      </c>
      <c r="C1624" s="1" t="s">
        <v>892</v>
      </c>
      <c r="D1624" s="1" t="s">
        <v>46</v>
      </c>
      <c r="E1624" s="1" t="s">
        <v>72</v>
      </c>
      <c r="F1624" s="1" t="s">
        <v>18</v>
      </c>
      <c r="G1624" s="1">
        <v>489655</v>
      </c>
      <c r="H1624" s="63">
        <v>45648</v>
      </c>
      <c r="I1624" s="63">
        <v>45801</v>
      </c>
      <c r="J1624" s="1">
        <v>153</v>
      </c>
      <c r="K1624" s="1">
        <v>8.8000000000000007</v>
      </c>
      <c r="L1624" s="1" t="s">
        <v>49</v>
      </c>
      <c r="M1624" s="1" t="s">
        <v>42</v>
      </c>
      <c r="N1624" s="1" t="str">
        <f t="shared" si="25"/>
        <v>Normal</v>
      </c>
    </row>
    <row r="1625" spans="1:14" x14ac:dyDescent="0.25">
      <c r="A1625" s="1" t="s">
        <v>2752</v>
      </c>
      <c r="B1625" s="1" t="s">
        <v>173</v>
      </c>
      <c r="C1625" s="1" t="s">
        <v>747</v>
      </c>
      <c r="D1625" s="1" t="s">
        <v>39</v>
      </c>
      <c r="E1625" s="1" t="s">
        <v>77</v>
      </c>
      <c r="F1625" s="1" t="s">
        <v>18</v>
      </c>
      <c r="G1625" s="1">
        <v>259882</v>
      </c>
      <c r="H1625" s="63">
        <v>45571</v>
      </c>
      <c r="I1625" s="63">
        <v>45648</v>
      </c>
      <c r="J1625" s="1">
        <v>77</v>
      </c>
      <c r="K1625" s="1">
        <v>2.4</v>
      </c>
      <c r="L1625" s="1" t="s">
        <v>49</v>
      </c>
      <c r="M1625" s="1" t="s">
        <v>42</v>
      </c>
      <c r="N1625" s="1" t="str">
        <f t="shared" si="25"/>
        <v>Normal</v>
      </c>
    </row>
    <row r="1626" spans="1:14" x14ac:dyDescent="0.25">
      <c r="A1626" s="1" t="s">
        <v>2753</v>
      </c>
      <c r="B1626" s="1" t="s">
        <v>37</v>
      </c>
      <c r="C1626" s="1" t="s">
        <v>420</v>
      </c>
      <c r="D1626" s="1" t="s">
        <v>25</v>
      </c>
      <c r="E1626" s="1" t="s">
        <v>47</v>
      </c>
      <c r="F1626" s="1" t="s">
        <v>129</v>
      </c>
      <c r="G1626" s="1">
        <v>39625</v>
      </c>
      <c r="H1626" s="63">
        <v>45500</v>
      </c>
      <c r="J1626" s="1"/>
      <c r="K1626" s="1">
        <v>13.3</v>
      </c>
      <c r="L1626" s="1" t="s">
        <v>49</v>
      </c>
      <c r="M1626" s="1" t="s">
        <v>149</v>
      </c>
      <c r="N1626" s="1" t="str">
        <f t="shared" si="25"/>
        <v>Normal</v>
      </c>
    </row>
    <row r="1627" spans="1:14" x14ac:dyDescent="0.25">
      <c r="A1627" s="1" t="s">
        <v>2754</v>
      </c>
      <c r="B1627" s="1" t="s">
        <v>23</v>
      </c>
      <c r="C1627" s="1" t="s">
        <v>358</v>
      </c>
      <c r="D1627" s="1" t="s">
        <v>90</v>
      </c>
      <c r="E1627" s="1" t="s">
        <v>17</v>
      </c>
      <c r="F1627" s="1" t="s">
        <v>27</v>
      </c>
      <c r="G1627" s="1">
        <v>242452</v>
      </c>
      <c r="H1627" s="63">
        <v>45671</v>
      </c>
      <c r="J1627" s="1"/>
      <c r="K1627" s="1">
        <v>0.1</v>
      </c>
      <c r="L1627" s="1" t="s">
        <v>96</v>
      </c>
      <c r="M1627" s="1" t="s">
        <v>63</v>
      </c>
      <c r="N1627" s="1" t="str">
        <f t="shared" si="25"/>
        <v>Normal</v>
      </c>
    </row>
    <row r="1628" spans="1:14" x14ac:dyDescent="0.25">
      <c r="A1628" s="1" t="s">
        <v>2755</v>
      </c>
      <c r="B1628" s="1" t="s">
        <v>23</v>
      </c>
      <c r="C1628" s="1" t="s">
        <v>486</v>
      </c>
      <c r="D1628" s="1" t="s">
        <v>46</v>
      </c>
      <c r="E1628" s="1" t="s">
        <v>26</v>
      </c>
      <c r="F1628" s="1" t="s">
        <v>33</v>
      </c>
      <c r="G1628" s="1">
        <v>58727</v>
      </c>
      <c r="H1628" s="63">
        <v>45668</v>
      </c>
      <c r="J1628" s="1"/>
      <c r="K1628" s="1">
        <v>3.5</v>
      </c>
      <c r="L1628" s="1" t="s">
        <v>49</v>
      </c>
      <c r="M1628" s="1" t="s">
        <v>63</v>
      </c>
      <c r="N1628" s="1" t="str">
        <f t="shared" si="25"/>
        <v>Normal</v>
      </c>
    </row>
    <row r="1629" spans="1:14" x14ac:dyDescent="0.25">
      <c r="A1629" s="1" t="s">
        <v>2756</v>
      </c>
      <c r="B1629" s="1" t="s">
        <v>98</v>
      </c>
      <c r="C1629" s="1" t="s">
        <v>505</v>
      </c>
      <c r="D1629" s="1" t="s">
        <v>67</v>
      </c>
      <c r="E1629" s="1" t="s">
        <v>4845</v>
      </c>
      <c r="F1629" s="1" t="s">
        <v>40</v>
      </c>
      <c r="G1629" s="1">
        <v>130338</v>
      </c>
      <c r="H1629" s="63">
        <v>45288</v>
      </c>
      <c r="I1629" s="63">
        <v>45377</v>
      </c>
      <c r="J1629" s="1">
        <v>89</v>
      </c>
      <c r="K1629" s="1">
        <v>3.7</v>
      </c>
      <c r="L1629" s="1" t="s">
        <v>96</v>
      </c>
      <c r="M1629" s="1" t="s">
        <v>21</v>
      </c>
      <c r="N1629" s="1" t="str">
        <f t="shared" si="25"/>
        <v>Normal</v>
      </c>
    </row>
    <row r="1630" spans="1:14" x14ac:dyDescent="0.25">
      <c r="A1630" s="1" t="s">
        <v>2757</v>
      </c>
      <c r="B1630" s="1" t="s">
        <v>80</v>
      </c>
      <c r="C1630" s="1" t="s">
        <v>420</v>
      </c>
      <c r="D1630" s="1" t="s">
        <v>16</v>
      </c>
      <c r="E1630" s="1" t="s">
        <v>100</v>
      </c>
      <c r="F1630" s="1" t="s">
        <v>40</v>
      </c>
      <c r="G1630" s="1">
        <v>440778</v>
      </c>
      <c r="H1630" s="63">
        <v>45106</v>
      </c>
      <c r="I1630" s="63">
        <v>45197</v>
      </c>
      <c r="J1630" s="1">
        <v>91</v>
      </c>
      <c r="K1630" s="1">
        <v>21.4</v>
      </c>
      <c r="L1630" s="1" t="s">
        <v>49</v>
      </c>
      <c r="M1630" s="1" t="s">
        <v>30</v>
      </c>
      <c r="N1630" s="1" t="str">
        <f t="shared" si="25"/>
        <v>Normal</v>
      </c>
    </row>
    <row r="1631" spans="1:14" x14ac:dyDescent="0.25">
      <c r="A1631" s="1" t="s">
        <v>2758</v>
      </c>
      <c r="B1631" s="1" t="s">
        <v>65</v>
      </c>
      <c r="C1631" s="1" t="s">
        <v>620</v>
      </c>
      <c r="D1631" s="1" t="s">
        <v>16</v>
      </c>
      <c r="E1631" s="1" t="s">
        <v>17</v>
      </c>
      <c r="F1631" s="1" t="s">
        <v>27</v>
      </c>
      <c r="G1631" s="1">
        <v>354433</v>
      </c>
      <c r="H1631" s="63">
        <v>45075</v>
      </c>
      <c r="J1631" s="1"/>
      <c r="K1631" s="1"/>
      <c r="L1631" s="1" t="s">
        <v>49</v>
      </c>
      <c r="M1631" s="1" t="s">
        <v>30</v>
      </c>
      <c r="N1631" s="1" t="str">
        <f t="shared" si="25"/>
        <v>Normal</v>
      </c>
    </row>
    <row r="1632" spans="1:14" x14ac:dyDescent="0.25">
      <c r="A1632" s="1" t="s">
        <v>2759</v>
      </c>
      <c r="B1632" s="1" t="s">
        <v>65</v>
      </c>
      <c r="C1632" s="1" t="s">
        <v>15</v>
      </c>
      <c r="D1632" s="1" t="s">
        <v>90</v>
      </c>
      <c r="E1632" s="1" t="s">
        <v>47</v>
      </c>
      <c r="F1632" s="1" t="s">
        <v>33</v>
      </c>
      <c r="G1632" s="1">
        <v>23074</v>
      </c>
      <c r="H1632" s="63">
        <v>45119</v>
      </c>
      <c r="J1632" s="1"/>
      <c r="K1632" s="1">
        <v>13.7</v>
      </c>
      <c r="L1632" s="1" t="s">
        <v>96</v>
      </c>
      <c r="M1632" s="1" t="s">
        <v>102</v>
      </c>
      <c r="N1632" s="1" t="str">
        <f t="shared" si="25"/>
        <v>Normal</v>
      </c>
    </row>
    <row r="1633" spans="1:14" x14ac:dyDescent="0.25">
      <c r="A1633" s="1" t="s">
        <v>2760</v>
      </c>
      <c r="B1633" s="1" t="s">
        <v>59</v>
      </c>
      <c r="C1633" s="1" t="s">
        <v>1299</v>
      </c>
      <c r="D1633" s="1" t="s">
        <v>16</v>
      </c>
      <c r="E1633" s="1" t="s">
        <v>72</v>
      </c>
      <c r="F1633" s="1" t="s">
        <v>33</v>
      </c>
      <c r="G1633" s="1">
        <v>269035</v>
      </c>
      <c r="H1633" s="63">
        <v>45245</v>
      </c>
      <c r="J1633" s="1"/>
      <c r="K1633" s="1">
        <v>5</v>
      </c>
      <c r="L1633" s="1" t="s">
        <v>29</v>
      </c>
      <c r="M1633" s="1" t="s">
        <v>21</v>
      </c>
      <c r="N1633" s="1" t="str">
        <f t="shared" si="25"/>
        <v>Normal</v>
      </c>
    </row>
    <row r="1634" spans="1:14" x14ac:dyDescent="0.25">
      <c r="A1634" s="1" t="s">
        <v>2761</v>
      </c>
      <c r="B1634" s="1" t="s">
        <v>37</v>
      </c>
      <c r="C1634" s="1" t="s">
        <v>1496</v>
      </c>
      <c r="D1634" s="1" t="s">
        <v>90</v>
      </c>
      <c r="E1634" s="1" t="s">
        <v>94</v>
      </c>
      <c r="F1634" s="1" t="s">
        <v>33</v>
      </c>
      <c r="G1634" s="1">
        <v>167033</v>
      </c>
      <c r="H1634" s="63">
        <v>45249</v>
      </c>
      <c r="J1634" s="1"/>
      <c r="K1634" s="1">
        <v>7.3</v>
      </c>
      <c r="L1634" s="1" t="s">
        <v>29</v>
      </c>
      <c r="M1634" s="1" t="s">
        <v>21</v>
      </c>
      <c r="N1634" s="1" t="str">
        <f t="shared" si="25"/>
        <v>Normal</v>
      </c>
    </row>
    <row r="1635" spans="1:14" x14ac:dyDescent="0.25">
      <c r="A1635" s="1" t="s">
        <v>2762</v>
      </c>
      <c r="B1635" s="1" t="s">
        <v>37</v>
      </c>
      <c r="C1635" s="1" t="s">
        <v>486</v>
      </c>
      <c r="D1635" s="1" t="s">
        <v>39</v>
      </c>
      <c r="E1635" s="1" t="s">
        <v>61</v>
      </c>
      <c r="F1635" s="1" t="s">
        <v>18</v>
      </c>
      <c r="G1635" s="1">
        <v>365937</v>
      </c>
      <c r="H1635" s="63">
        <v>45718</v>
      </c>
      <c r="I1635" s="63">
        <v>45768</v>
      </c>
      <c r="J1635" s="1">
        <v>50</v>
      </c>
      <c r="K1635" s="1"/>
      <c r="L1635" s="1" t="s">
        <v>96</v>
      </c>
      <c r="M1635" s="1" t="s">
        <v>63</v>
      </c>
      <c r="N1635" s="1" t="str">
        <f t="shared" si="25"/>
        <v>Normal</v>
      </c>
    </row>
    <row r="1636" spans="1:14" x14ac:dyDescent="0.25">
      <c r="A1636" s="1" t="s">
        <v>2763</v>
      </c>
      <c r="B1636" s="1" t="s">
        <v>127</v>
      </c>
      <c r="C1636" s="1" t="s">
        <v>2091</v>
      </c>
      <c r="D1636" s="1" t="s">
        <v>16</v>
      </c>
      <c r="E1636" s="1" t="s">
        <v>17</v>
      </c>
      <c r="F1636" s="1" t="s">
        <v>129</v>
      </c>
      <c r="G1636" s="1">
        <v>74013</v>
      </c>
      <c r="H1636" s="63">
        <v>45285</v>
      </c>
      <c r="J1636" s="1"/>
      <c r="K1636" s="1">
        <v>1.3</v>
      </c>
      <c r="L1636" s="1" t="s">
        <v>96</v>
      </c>
      <c r="M1636" s="1" t="s">
        <v>21</v>
      </c>
      <c r="N1636" s="1" t="str">
        <f t="shared" si="25"/>
        <v>Normal</v>
      </c>
    </row>
    <row r="1637" spans="1:14" x14ac:dyDescent="0.25">
      <c r="A1637" s="1" t="s">
        <v>2764</v>
      </c>
      <c r="B1637" s="1" t="s">
        <v>37</v>
      </c>
      <c r="C1637" s="1" t="s">
        <v>218</v>
      </c>
      <c r="D1637" s="1" t="s">
        <v>46</v>
      </c>
      <c r="E1637" s="1" t="s">
        <v>61</v>
      </c>
      <c r="F1637" s="1" t="s">
        <v>129</v>
      </c>
      <c r="G1637" s="1">
        <v>258423</v>
      </c>
      <c r="H1637" s="63">
        <v>45427</v>
      </c>
      <c r="J1637" s="1"/>
      <c r="K1637" s="1">
        <v>13.1</v>
      </c>
      <c r="L1637" s="1" t="s">
        <v>96</v>
      </c>
      <c r="M1637" s="1" t="s">
        <v>107</v>
      </c>
      <c r="N1637" s="1" t="str">
        <f t="shared" si="25"/>
        <v>Normal</v>
      </c>
    </row>
    <row r="1638" spans="1:14" x14ac:dyDescent="0.25">
      <c r="A1638" s="1" t="s">
        <v>2765</v>
      </c>
      <c r="B1638" s="1" t="s">
        <v>14</v>
      </c>
      <c r="C1638" s="1" t="s">
        <v>436</v>
      </c>
      <c r="D1638" s="1" t="s">
        <v>39</v>
      </c>
      <c r="E1638" s="1" t="s">
        <v>94</v>
      </c>
      <c r="F1638" s="1" t="s">
        <v>129</v>
      </c>
      <c r="G1638" s="1">
        <v>305204</v>
      </c>
      <c r="H1638" s="63">
        <v>45019</v>
      </c>
      <c r="J1638" s="1"/>
      <c r="K1638" s="1">
        <v>11.3</v>
      </c>
      <c r="L1638" s="1" t="s">
        <v>29</v>
      </c>
      <c r="M1638" s="1" t="s">
        <v>30</v>
      </c>
      <c r="N1638" s="1" t="str">
        <f t="shared" si="25"/>
        <v>Normal</v>
      </c>
    </row>
    <row r="1639" spans="1:14" x14ac:dyDescent="0.25">
      <c r="A1639" s="1" t="s">
        <v>2767</v>
      </c>
      <c r="B1639" s="1" t="s">
        <v>44</v>
      </c>
      <c r="C1639" s="1" t="s">
        <v>76</v>
      </c>
      <c r="D1639" s="1" t="s">
        <v>16</v>
      </c>
      <c r="E1639" s="1" t="s">
        <v>61</v>
      </c>
      <c r="F1639" s="1" t="s">
        <v>33</v>
      </c>
      <c r="G1639" s="1">
        <v>217551</v>
      </c>
      <c r="H1639" s="63">
        <v>45625</v>
      </c>
      <c r="J1639" s="1"/>
      <c r="K1639" s="1"/>
      <c r="L1639" s="1" t="s">
        <v>29</v>
      </c>
      <c r="M1639" s="1" t="s">
        <v>42</v>
      </c>
      <c r="N1639" s="1" t="str">
        <f t="shared" si="25"/>
        <v>Normal</v>
      </c>
    </row>
    <row r="1640" spans="1:14" x14ac:dyDescent="0.25">
      <c r="A1640" s="1" t="s">
        <v>2768</v>
      </c>
      <c r="B1640" s="1" t="s">
        <v>104</v>
      </c>
      <c r="C1640" s="1" t="s">
        <v>1377</v>
      </c>
      <c r="D1640" s="1" t="s">
        <v>16</v>
      </c>
      <c r="E1640" s="1" t="s">
        <v>72</v>
      </c>
      <c r="F1640" s="1" t="s">
        <v>27</v>
      </c>
      <c r="G1640" s="1">
        <v>225361</v>
      </c>
      <c r="H1640" s="63">
        <v>45520</v>
      </c>
      <c r="J1640" s="1"/>
      <c r="K1640" s="1">
        <v>5.2</v>
      </c>
      <c r="L1640" s="1" t="s">
        <v>49</v>
      </c>
      <c r="M1640" s="1" t="s">
        <v>149</v>
      </c>
      <c r="N1640" s="1" t="str">
        <f t="shared" si="25"/>
        <v>Normal</v>
      </c>
    </row>
    <row r="1641" spans="1:14" x14ac:dyDescent="0.25">
      <c r="A1641" s="1" t="s">
        <v>2769</v>
      </c>
      <c r="B1641" s="1" t="s">
        <v>127</v>
      </c>
      <c r="C1641" s="1" t="s">
        <v>1170</v>
      </c>
      <c r="D1641" s="1" t="s">
        <v>67</v>
      </c>
      <c r="E1641" s="1" t="s">
        <v>26</v>
      </c>
      <c r="F1641" s="1" t="s">
        <v>129</v>
      </c>
      <c r="G1641" s="1">
        <v>227425</v>
      </c>
      <c r="H1641" s="63">
        <v>45533</v>
      </c>
      <c r="J1641" s="1"/>
      <c r="K1641" s="1">
        <v>11.6</v>
      </c>
      <c r="L1641" s="1" t="s">
        <v>20</v>
      </c>
      <c r="M1641" s="1" t="s">
        <v>149</v>
      </c>
      <c r="N1641" s="1" t="str">
        <f t="shared" si="25"/>
        <v>Normal</v>
      </c>
    </row>
    <row r="1642" spans="1:14" x14ac:dyDescent="0.25">
      <c r="A1642" s="1" t="s">
        <v>2770</v>
      </c>
      <c r="B1642" s="1" t="s">
        <v>23</v>
      </c>
      <c r="C1642" s="1" t="s">
        <v>255</v>
      </c>
      <c r="D1642" s="1" t="s">
        <v>16</v>
      </c>
      <c r="E1642" s="1" t="s">
        <v>61</v>
      </c>
      <c r="F1642" s="1" t="s">
        <v>40</v>
      </c>
      <c r="G1642" s="1">
        <v>268674</v>
      </c>
      <c r="H1642" s="63">
        <v>45381</v>
      </c>
      <c r="I1642" s="63">
        <v>45532</v>
      </c>
      <c r="J1642" s="1">
        <v>151</v>
      </c>
      <c r="K1642" s="1">
        <v>3.2</v>
      </c>
      <c r="L1642" s="1" t="s">
        <v>29</v>
      </c>
      <c r="M1642" s="1" t="s">
        <v>69</v>
      </c>
      <c r="N1642" s="1" t="str">
        <f t="shared" si="25"/>
        <v>Normal</v>
      </c>
    </row>
    <row r="1643" spans="1:14" x14ac:dyDescent="0.25">
      <c r="A1643" s="1" t="s">
        <v>2772</v>
      </c>
      <c r="B1643" s="1" t="s">
        <v>4829</v>
      </c>
      <c r="C1643" s="1" t="s">
        <v>433</v>
      </c>
      <c r="D1643" s="1" t="s">
        <v>90</v>
      </c>
      <c r="E1643" s="1" t="s">
        <v>61</v>
      </c>
      <c r="F1643" s="1" t="s">
        <v>18</v>
      </c>
      <c r="G1643" s="1">
        <v>198382</v>
      </c>
      <c r="H1643" s="63">
        <v>45094</v>
      </c>
      <c r="I1643" s="63">
        <v>45131</v>
      </c>
      <c r="J1643" s="1">
        <v>37</v>
      </c>
      <c r="K1643" s="1">
        <v>11.3</v>
      </c>
      <c r="L1643" s="1" t="s">
        <v>20</v>
      </c>
      <c r="M1643" s="1" t="s">
        <v>30</v>
      </c>
      <c r="N1643" s="1" t="str">
        <f t="shared" si="25"/>
        <v>Normal</v>
      </c>
    </row>
    <row r="1644" spans="1:14" x14ac:dyDescent="0.25">
      <c r="A1644" s="1" t="s">
        <v>2773</v>
      </c>
      <c r="B1644" s="1" t="s">
        <v>109</v>
      </c>
      <c r="C1644" s="1" t="s">
        <v>1151</v>
      </c>
      <c r="D1644" s="1" t="s">
        <v>25</v>
      </c>
      <c r="E1644" s="1" t="s">
        <v>100</v>
      </c>
      <c r="F1644" s="1" t="s">
        <v>53</v>
      </c>
      <c r="G1644" s="1">
        <v>405689</v>
      </c>
      <c r="H1644" s="63">
        <v>45177</v>
      </c>
      <c r="J1644" s="1"/>
      <c r="K1644" s="1">
        <v>2</v>
      </c>
      <c r="L1644" s="1" t="s">
        <v>20</v>
      </c>
      <c r="M1644" s="1" t="s">
        <v>102</v>
      </c>
      <c r="N1644" s="1" t="str">
        <f t="shared" si="25"/>
        <v>Normal</v>
      </c>
    </row>
    <row r="1645" spans="1:14" x14ac:dyDescent="0.25">
      <c r="A1645" s="1" t="s">
        <v>2774</v>
      </c>
      <c r="B1645" s="1" t="s">
        <v>109</v>
      </c>
      <c r="C1645" s="1" t="s">
        <v>463</v>
      </c>
      <c r="D1645" s="1" t="s">
        <v>16</v>
      </c>
      <c r="E1645" s="1" t="s">
        <v>94</v>
      </c>
      <c r="F1645" s="1" t="s">
        <v>27</v>
      </c>
      <c r="G1645" s="1">
        <v>16284</v>
      </c>
      <c r="H1645" s="63">
        <v>45040</v>
      </c>
      <c r="J1645" s="1"/>
      <c r="K1645" s="1"/>
      <c r="L1645" s="1" t="s">
        <v>49</v>
      </c>
      <c r="M1645" s="1" t="s">
        <v>30</v>
      </c>
      <c r="N1645" s="1" t="str">
        <f t="shared" si="25"/>
        <v>Normal</v>
      </c>
    </row>
    <row r="1646" spans="1:14" x14ac:dyDescent="0.25">
      <c r="A1646" s="1" t="s">
        <v>2776</v>
      </c>
      <c r="B1646" s="1" t="s">
        <v>65</v>
      </c>
      <c r="C1646" s="1" t="s">
        <v>1165</v>
      </c>
      <c r="D1646" s="1" t="s">
        <v>67</v>
      </c>
      <c r="E1646" s="1" t="s">
        <v>47</v>
      </c>
      <c r="F1646" s="1" t="s">
        <v>40</v>
      </c>
      <c r="G1646" s="1">
        <v>263881</v>
      </c>
      <c r="H1646" s="63">
        <v>45692</v>
      </c>
      <c r="I1646" s="63">
        <v>45723</v>
      </c>
      <c r="J1646" s="1">
        <v>31</v>
      </c>
      <c r="K1646" s="1">
        <v>3.2</v>
      </c>
      <c r="L1646" s="1" t="s">
        <v>49</v>
      </c>
      <c r="M1646" s="1" t="s">
        <v>63</v>
      </c>
      <c r="N1646" s="1" t="str">
        <f t="shared" si="25"/>
        <v>Normal</v>
      </c>
    </row>
    <row r="1647" spans="1:14" x14ac:dyDescent="0.25">
      <c r="A1647" s="1" t="s">
        <v>2777</v>
      </c>
      <c r="B1647" s="1" t="s">
        <v>37</v>
      </c>
      <c r="C1647" s="1" t="s">
        <v>711</v>
      </c>
      <c r="D1647" s="1" t="s">
        <v>25</v>
      </c>
      <c r="E1647" s="1" t="s">
        <v>47</v>
      </c>
      <c r="F1647" s="1" t="s">
        <v>27</v>
      </c>
      <c r="G1647" s="1">
        <v>270686</v>
      </c>
      <c r="H1647" s="63">
        <v>45094</v>
      </c>
      <c r="J1647" s="1"/>
      <c r="K1647" s="1">
        <v>13</v>
      </c>
      <c r="L1647" s="1" t="s">
        <v>96</v>
      </c>
      <c r="M1647" s="1" t="s">
        <v>30</v>
      </c>
      <c r="N1647" s="1" t="str">
        <f t="shared" si="25"/>
        <v>Normal</v>
      </c>
    </row>
    <row r="1648" spans="1:14" x14ac:dyDescent="0.25">
      <c r="A1648" s="1" t="s">
        <v>2778</v>
      </c>
      <c r="B1648" s="1" t="s">
        <v>127</v>
      </c>
      <c r="C1648" s="1" t="s">
        <v>898</v>
      </c>
      <c r="D1648" s="1" t="s">
        <v>67</v>
      </c>
      <c r="E1648" s="1" t="s">
        <v>26</v>
      </c>
      <c r="F1648" s="1" t="s">
        <v>18</v>
      </c>
      <c r="G1648" s="1">
        <v>165454</v>
      </c>
      <c r="H1648" s="63">
        <v>45094</v>
      </c>
      <c r="I1648" s="63">
        <v>45256</v>
      </c>
      <c r="J1648" s="1">
        <v>162</v>
      </c>
      <c r="K1648" s="1">
        <v>13.3</v>
      </c>
      <c r="L1648" s="1" t="s">
        <v>96</v>
      </c>
      <c r="M1648" s="1" t="s">
        <v>30</v>
      </c>
      <c r="N1648" s="1" t="str">
        <f t="shared" si="25"/>
        <v>Normal</v>
      </c>
    </row>
    <row r="1649" spans="1:14" x14ac:dyDescent="0.25">
      <c r="A1649" s="1" t="s">
        <v>2779</v>
      </c>
      <c r="B1649" s="1" t="s">
        <v>104</v>
      </c>
      <c r="C1649" s="1" t="s">
        <v>1526</v>
      </c>
      <c r="D1649" s="1" t="s">
        <v>25</v>
      </c>
      <c r="E1649" s="1" t="s">
        <v>17</v>
      </c>
      <c r="F1649" s="1" t="s">
        <v>40</v>
      </c>
      <c r="G1649" s="1">
        <v>408923</v>
      </c>
      <c r="H1649" s="63">
        <v>45288</v>
      </c>
      <c r="I1649" s="63">
        <v>45371</v>
      </c>
      <c r="J1649" s="1">
        <v>83</v>
      </c>
      <c r="K1649" s="1">
        <v>10.6</v>
      </c>
      <c r="L1649" s="1" t="s">
        <v>96</v>
      </c>
      <c r="M1649" s="1" t="s">
        <v>21</v>
      </c>
      <c r="N1649" s="1" t="str">
        <f t="shared" si="25"/>
        <v>Normal</v>
      </c>
    </row>
    <row r="1650" spans="1:14" x14ac:dyDescent="0.25">
      <c r="A1650" s="1" t="s">
        <v>2780</v>
      </c>
      <c r="B1650" s="1" t="s">
        <v>14</v>
      </c>
      <c r="C1650" s="1" t="s">
        <v>1397</v>
      </c>
      <c r="D1650" s="1" t="s">
        <v>39</v>
      </c>
      <c r="E1650" s="1" t="s">
        <v>72</v>
      </c>
      <c r="F1650" s="1" t="s">
        <v>33</v>
      </c>
      <c r="G1650" s="1">
        <v>352907</v>
      </c>
      <c r="H1650" s="63">
        <v>45081</v>
      </c>
      <c r="J1650" s="1"/>
      <c r="K1650" s="1">
        <v>4.3</v>
      </c>
      <c r="L1650" s="1" t="s">
        <v>20</v>
      </c>
      <c r="M1650" s="1" t="s">
        <v>30</v>
      </c>
      <c r="N1650" s="1" t="str">
        <f t="shared" si="25"/>
        <v>Normal</v>
      </c>
    </row>
    <row r="1651" spans="1:14" x14ac:dyDescent="0.25">
      <c r="A1651" s="1" t="s">
        <v>2781</v>
      </c>
      <c r="B1651" s="1" t="s">
        <v>127</v>
      </c>
      <c r="C1651" s="1" t="s">
        <v>705</v>
      </c>
      <c r="D1651" s="1" t="s">
        <v>16</v>
      </c>
      <c r="E1651" s="1" t="s">
        <v>77</v>
      </c>
      <c r="F1651" s="1" t="s">
        <v>129</v>
      </c>
      <c r="G1651" s="1">
        <v>239705</v>
      </c>
      <c r="H1651" s="63">
        <v>44944</v>
      </c>
      <c r="J1651" s="1"/>
      <c r="K1651" s="1">
        <v>11.7</v>
      </c>
      <c r="L1651" s="1" t="s">
        <v>20</v>
      </c>
      <c r="M1651" s="1" t="s">
        <v>35</v>
      </c>
      <c r="N1651" s="1" t="str">
        <f t="shared" si="25"/>
        <v>Normal</v>
      </c>
    </row>
    <row r="1652" spans="1:14" x14ac:dyDescent="0.25">
      <c r="A1652" s="1" t="s">
        <v>2782</v>
      </c>
      <c r="B1652" s="1" t="s">
        <v>88</v>
      </c>
      <c r="C1652" s="1" t="s">
        <v>686</v>
      </c>
      <c r="D1652" s="1" t="s">
        <v>25</v>
      </c>
      <c r="E1652" s="1" t="s">
        <v>17</v>
      </c>
      <c r="F1652" s="1" t="s">
        <v>40</v>
      </c>
      <c r="G1652" s="1">
        <v>149950</v>
      </c>
      <c r="H1652" s="63">
        <v>45588</v>
      </c>
      <c r="I1652" s="63">
        <v>45644</v>
      </c>
      <c r="J1652" s="1">
        <v>56</v>
      </c>
      <c r="K1652" s="1">
        <v>15</v>
      </c>
      <c r="L1652" s="1" t="s">
        <v>20</v>
      </c>
      <c r="M1652" s="1" t="s">
        <v>42</v>
      </c>
      <c r="N1652" s="1" t="str">
        <f t="shared" si="25"/>
        <v>Normal</v>
      </c>
    </row>
    <row r="1653" spans="1:14" x14ac:dyDescent="0.25">
      <c r="A1653" s="1" t="s">
        <v>2784</v>
      </c>
      <c r="B1653" s="1" t="s">
        <v>84</v>
      </c>
      <c r="C1653" s="1" t="s">
        <v>885</v>
      </c>
      <c r="D1653" s="1" t="s">
        <v>90</v>
      </c>
      <c r="E1653" s="1" t="s">
        <v>17</v>
      </c>
      <c r="F1653" s="1" t="s">
        <v>27</v>
      </c>
      <c r="G1653" s="1">
        <v>75539</v>
      </c>
      <c r="H1653" s="63">
        <v>45325</v>
      </c>
      <c r="J1653" s="1"/>
      <c r="K1653" s="1">
        <v>9.9</v>
      </c>
      <c r="L1653" s="1" t="s">
        <v>49</v>
      </c>
      <c r="M1653" s="1" t="s">
        <v>69</v>
      </c>
      <c r="N1653" s="1" t="str">
        <f t="shared" si="25"/>
        <v>Normal</v>
      </c>
    </row>
    <row r="1654" spans="1:14" x14ac:dyDescent="0.25">
      <c r="A1654" s="1" t="s">
        <v>2786</v>
      </c>
      <c r="B1654" s="1" t="s">
        <v>65</v>
      </c>
      <c r="C1654" s="1" t="s">
        <v>141</v>
      </c>
      <c r="D1654" s="1" t="s">
        <v>90</v>
      </c>
      <c r="E1654" s="1" t="s">
        <v>100</v>
      </c>
      <c r="F1654" s="1" t="s">
        <v>53</v>
      </c>
      <c r="G1654" s="1">
        <v>363008</v>
      </c>
      <c r="H1654" s="63">
        <v>45735</v>
      </c>
      <c r="J1654" s="1"/>
      <c r="K1654" s="1">
        <v>13.1</v>
      </c>
      <c r="L1654" s="1" t="s">
        <v>96</v>
      </c>
      <c r="M1654" s="1" t="s">
        <v>63</v>
      </c>
      <c r="N1654" s="1" t="str">
        <f t="shared" si="25"/>
        <v>Normal</v>
      </c>
    </row>
    <row r="1655" spans="1:14" x14ac:dyDescent="0.25">
      <c r="A1655" s="1" t="s">
        <v>2787</v>
      </c>
      <c r="B1655" s="1" t="s">
        <v>23</v>
      </c>
      <c r="C1655" s="1" t="s">
        <v>640</v>
      </c>
      <c r="D1655" s="1" t="s">
        <v>39</v>
      </c>
      <c r="E1655" s="1" t="s">
        <v>47</v>
      </c>
      <c r="F1655" s="1" t="s">
        <v>53</v>
      </c>
      <c r="G1655" s="1">
        <v>302808</v>
      </c>
      <c r="H1655" s="63">
        <v>45636</v>
      </c>
      <c r="J1655" s="1"/>
      <c r="K1655" s="1">
        <v>11</v>
      </c>
      <c r="L1655" s="1" t="s">
        <v>29</v>
      </c>
      <c r="M1655" s="1" t="s">
        <v>42</v>
      </c>
      <c r="N1655" s="1" t="str">
        <f t="shared" si="25"/>
        <v>Normal</v>
      </c>
    </row>
    <row r="1656" spans="1:14" x14ac:dyDescent="0.25">
      <c r="A1656" s="1" t="s">
        <v>2788</v>
      </c>
      <c r="B1656" s="1" t="s">
        <v>80</v>
      </c>
      <c r="C1656" s="1" t="s">
        <v>390</v>
      </c>
      <c r="D1656" s="1" t="s">
        <v>90</v>
      </c>
      <c r="E1656" s="1" t="s">
        <v>77</v>
      </c>
      <c r="F1656" s="1" t="s">
        <v>27</v>
      </c>
      <c r="G1656" s="1">
        <v>275870</v>
      </c>
      <c r="H1656" s="63">
        <v>45499</v>
      </c>
      <c r="J1656" s="1"/>
      <c r="K1656" s="1">
        <v>12.9</v>
      </c>
      <c r="L1656" s="1" t="s">
        <v>29</v>
      </c>
      <c r="M1656" s="1" t="s">
        <v>149</v>
      </c>
      <c r="N1656" s="1" t="str">
        <f t="shared" si="25"/>
        <v>Normal</v>
      </c>
    </row>
    <row r="1657" spans="1:14" x14ac:dyDescent="0.25">
      <c r="A1657" s="1" t="s">
        <v>2789</v>
      </c>
      <c r="B1657" s="1" t="s">
        <v>44</v>
      </c>
      <c r="C1657" s="1" t="s">
        <v>250</v>
      </c>
      <c r="D1657" s="1" t="s">
        <v>67</v>
      </c>
      <c r="E1657" s="1" t="s">
        <v>100</v>
      </c>
      <c r="F1657" s="1" t="s">
        <v>53</v>
      </c>
      <c r="G1657" s="1">
        <v>346286</v>
      </c>
      <c r="H1657" s="63">
        <v>45283</v>
      </c>
      <c r="J1657" s="1"/>
      <c r="K1657" s="1"/>
      <c r="L1657" s="1" t="s">
        <v>29</v>
      </c>
      <c r="M1657" s="1" t="s">
        <v>21</v>
      </c>
      <c r="N1657" s="1" t="str">
        <f t="shared" si="25"/>
        <v>Normal</v>
      </c>
    </row>
    <row r="1658" spans="1:14" x14ac:dyDescent="0.25">
      <c r="A1658" s="1" t="s">
        <v>2790</v>
      </c>
      <c r="B1658" s="1" t="s">
        <v>23</v>
      </c>
      <c r="C1658" s="1" t="s">
        <v>2211</v>
      </c>
      <c r="D1658" s="1" t="s">
        <v>46</v>
      </c>
      <c r="E1658" s="1" t="s">
        <v>47</v>
      </c>
      <c r="F1658" s="1" t="s">
        <v>18</v>
      </c>
      <c r="G1658" s="1">
        <v>262795</v>
      </c>
      <c r="H1658" s="63">
        <v>45173</v>
      </c>
      <c r="I1658" s="63">
        <v>45250</v>
      </c>
      <c r="J1658" s="1">
        <v>77</v>
      </c>
      <c r="K1658" s="1">
        <v>11.3</v>
      </c>
      <c r="L1658" s="1" t="s">
        <v>96</v>
      </c>
      <c r="M1658" s="1" t="s">
        <v>102</v>
      </c>
      <c r="N1658" s="1" t="str">
        <f t="shared" si="25"/>
        <v>Normal</v>
      </c>
    </row>
    <row r="1659" spans="1:14" x14ac:dyDescent="0.25">
      <c r="A1659" s="1" t="s">
        <v>2792</v>
      </c>
      <c r="B1659" s="1" t="s">
        <v>84</v>
      </c>
      <c r="C1659" s="1" t="s">
        <v>1157</v>
      </c>
      <c r="D1659" s="1" t="s">
        <v>46</v>
      </c>
      <c r="E1659" s="1" t="s">
        <v>17</v>
      </c>
      <c r="F1659" s="1" t="s">
        <v>53</v>
      </c>
      <c r="G1659" s="1">
        <v>251620</v>
      </c>
      <c r="H1659" s="63">
        <v>45387</v>
      </c>
      <c r="J1659" s="1"/>
      <c r="K1659" s="1"/>
      <c r="L1659" s="1" t="s">
        <v>96</v>
      </c>
      <c r="M1659" s="1" t="s">
        <v>107</v>
      </c>
      <c r="N1659" s="1" t="str">
        <f t="shared" si="25"/>
        <v>Normal</v>
      </c>
    </row>
    <row r="1660" spans="1:14" x14ac:dyDescent="0.25">
      <c r="A1660" s="1" t="s">
        <v>2793</v>
      </c>
      <c r="B1660" s="1" t="s">
        <v>37</v>
      </c>
      <c r="C1660" s="1" t="s">
        <v>1077</v>
      </c>
      <c r="D1660" s="1" t="s">
        <v>67</v>
      </c>
      <c r="E1660" s="1" t="s">
        <v>61</v>
      </c>
      <c r="F1660" s="1" t="s">
        <v>40</v>
      </c>
      <c r="G1660" s="1">
        <v>450628</v>
      </c>
      <c r="H1660" s="63">
        <v>44970</v>
      </c>
      <c r="I1660" s="63">
        <v>45114</v>
      </c>
      <c r="J1660" s="1">
        <v>144</v>
      </c>
      <c r="K1660" s="1">
        <v>15.1</v>
      </c>
      <c r="L1660" s="1" t="s">
        <v>20</v>
      </c>
      <c r="M1660" s="1" t="s">
        <v>35</v>
      </c>
      <c r="N1660" s="1" t="str">
        <f t="shared" si="25"/>
        <v>Normal</v>
      </c>
    </row>
    <row r="1661" spans="1:14" x14ac:dyDescent="0.25">
      <c r="A1661" s="1" t="s">
        <v>2794</v>
      </c>
      <c r="B1661" s="1" t="s">
        <v>109</v>
      </c>
      <c r="C1661" s="1" t="s">
        <v>138</v>
      </c>
      <c r="D1661" s="1" t="s">
        <v>39</v>
      </c>
      <c r="E1661" s="1" t="s">
        <v>77</v>
      </c>
      <c r="F1661" s="1" t="s">
        <v>40</v>
      </c>
      <c r="G1661" s="1">
        <v>234206</v>
      </c>
      <c r="H1661" s="63">
        <v>45308</v>
      </c>
      <c r="I1661" s="63">
        <v>45326</v>
      </c>
      <c r="J1661" s="1">
        <v>18</v>
      </c>
      <c r="K1661" s="1">
        <v>8.8000000000000007</v>
      </c>
      <c r="L1661" s="1" t="s">
        <v>20</v>
      </c>
      <c r="M1661" s="1" t="s">
        <v>69</v>
      </c>
      <c r="N1661" s="1" t="str">
        <f t="shared" si="25"/>
        <v>Normal</v>
      </c>
    </row>
    <row r="1662" spans="1:14" x14ac:dyDescent="0.25">
      <c r="A1662" s="1" t="s">
        <v>2795</v>
      </c>
      <c r="B1662" s="1" t="s">
        <v>75</v>
      </c>
      <c r="C1662" s="1" t="s">
        <v>939</v>
      </c>
      <c r="D1662" s="1" t="s">
        <v>46</v>
      </c>
      <c r="E1662" s="1" t="s">
        <v>47</v>
      </c>
      <c r="F1662" s="1" t="s">
        <v>53</v>
      </c>
      <c r="G1662" s="1">
        <v>379914</v>
      </c>
      <c r="H1662" s="63">
        <v>45360</v>
      </c>
      <c r="J1662" s="1"/>
      <c r="K1662" s="1">
        <v>1</v>
      </c>
      <c r="L1662" s="1" t="s">
        <v>49</v>
      </c>
      <c r="M1662" s="1" t="s">
        <v>69</v>
      </c>
      <c r="N1662" s="1" t="str">
        <f t="shared" si="25"/>
        <v>Normal</v>
      </c>
    </row>
    <row r="1663" spans="1:14" x14ac:dyDescent="0.25">
      <c r="A1663" s="1" t="s">
        <v>2796</v>
      </c>
      <c r="B1663" s="1" t="s">
        <v>23</v>
      </c>
      <c r="C1663" s="1" t="s">
        <v>183</v>
      </c>
      <c r="D1663" s="1" t="s">
        <v>90</v>
      </c>
      <c r="E1663" s="1" t="s">
        <v>72</v>
      </c>
      <c r="F1663" s="1" t="s">
        <v>53</v>
      </c>
      <c r="G1663" s="1">
        <v>281186</v>
      </c>
      <c r="H1663" s="63">
        <v>45047</v>
      </c>
      <c r="J1663" s="1"/>
      <c r="K1663" s="1"/>
      <c r="L1663" s="1" t="s">
        <v>49</v>
      </c>
      <c r="M1663" s="1" t="s">
        <v>30</v>
      </c>
      <c r="N1663" s="1" t="str">
        <f t="shared" si="25"/>
        <v>Normal</v>
      </c>
    </row>
    <row r="1664" spans="1:14" x14ac:dyDescent="0.25">
      <c r="A1664" s="1" t="s">
        <v>2797</v>
      </c>
      <c r="B1664" s="1" t="s">
        <v>98</v>
      </c>
      <c r="C1664" s="1" t="s">
        <v>1558</v>
      </c>
      <c r="D1664" s="1" t="s">
        <v>39</v>
      </c>
      <c r="E1664" s="1" t="s">
        <v>94</v>
      </c>
      <c r="F1664" s="1" t="s">
        <v>40</v>
      </c>
      <c r="G1664" s="1">
        <v>391292</v>
      </c>
      <c r="H1664" s="63">
        <v>45379</v>
      </c>
      <c r="I1664" s="63">
        <v>45447</v>
      </c>
      <c r="J1664" s="1">
        <v>68</v>
      </c>
      <c r="K1664" s="1">
        <v>18.600000000000001</v>
      </c>
      <c r="L1664" s="1" t="s">
        <v>20</v>
      </c>
      <c r="M1664" s="1" t="s">
        <v>69</v>
      </c>
      <c r="N1664" s="1" t="str">
        <f t="shared" si="25"/>
        <v>Normal</v>
      </c>
    </row>
    <row r="1665" spans="1:14" x14ac:dyDescent="0.25">
      <c r="A1665" s="1" t="s">
        <v>2798</v>
      </c>
      <c r="B1665" s="1" t="s">
        <v>104</v>
      </c>
      <c r="C1665" s="1" t="s">
        <v>693</v>
      </c>
      <c r="D1665" s="1" t="s">
        <v>90</v>
      </c>
      <c r="E1665" s="1" t="s">
        <v>77</v>
      </c>
      <c r="F1665" s="1" t="s">
        <v>27</v>
      </c>
      <c r="G1665" s="1">
        <v>61123</v>
      </c>
      <c r="H1665" s="63">
        <v>45512</v>
      </c>
      <c r="J1665" s="1"/>
      <c r="K1665" s="1"/>
      <c r="L1665" s="1" t="s">
        <v>29</v>
      </c>
      <c r="M1665" s="1" t="s">
        <v>149</v>
      </c>
      <c r="N1665" s="1" t="str">
        <f t="shared" si="25"/>
        <v>Normal</v>
      </c>
    </row>
    <row r="1666" spans="1:14" x14ac:dyDescent="0.25">
      <c r="A1666" s="1" t="s">
        <v>2800</v>
      </c>
      <c r="B1666" s="1" t="s">
        <v>173</v>
      </c>
      <c r="C1666" s="1" t="s">
        <v>154</v>
      </c>
      <c r="D1666" s="1" t="s">
        <v>90</v>
      </c>
      <c r="E1666" s="1" t="s">
        <v>26</v>
      </c>
      <c r="F1666" s="1" t="s">
        <v>129</v>
      </c>
      <c r="G1666" s="1">
        <v>444653</v>
      </c>
      <c r="H1666" s="63">
        <v>45144</v>
      </c>
      <c r="J1666" s="1"/>
      <c r="K1666" s="1"/>
      <c r="L1666" s="1" t="s">
        <v>49</v>
      </c>
      <c r="M1666" s="1" t="s">
        <v>102</v>
      </c>
      <c r="N1666" s="1" t="str">
        <f t="shared" ref="N1666:N1729" si="26">IF(G1666&gt;$R$5,"High Outlier",IF(G1666&lt;$R$6,"Low Outlier","Normal"))</f>
        <v>Normal</v>
      </c>
    </row>
    <row r="1667" spans="1:14" x14ac:dyDescent="0.25">
      <c r="A1667" s="1" t="s">
        <v>2801</v>
      </c>
      <c r="B1667" s="1" t="s">
        <v>65</v>
      </c>
      <c r="C1667" s="1" t="s">
        <v>782</v>
      </c>
      <c r="D1667" s="1" t="s">
        <v>16</v>
      </c>
      <c r="E1667" s="1" t="s">
        <v>94</v>
      </c>
      <c r="F1667" s="1" t="s">
        <v>129</v>
      </c>
      <c r="G1667" s="1">
        <v>132555</v>
      </c>
      <c r="H1667" s="63">
        <v>45637</v>
      </c>
      <c r="J1667" s="1"/>
      <c r="K1667" s="1">
        <v>5</v>
      </c>
      <c r="L1667" s="1" t="s">
        <v>29</v>
      </c>
      <c r="M1667" s="1" t="s">
        <v>42</v>
      </c>
      <c r="N1667" s="1" t="str">
        <f t="shared" si="26"/>
        <v>Normal</v>
      </c>
    </row>
    <row r="1668" spans="1:14" x14ac:dyDescent="0.25">
      <c r="A1668" s="1" t="s">
        <v>2803</v>
      </c>
      <c r="B1668" s="1" t="s">
        <v>37</v>
      </c>
      <c r="C1668" s="1" t="s">
        <v>1165</v>
      </c>
      <c r="D1668" s="1" t="s">
        <v>46</v>
      </c>
      <c r="E1668" s="1" t="s">
        <v>47</v>
      </c>
      <c r="F1668" s="1" t="s">
        <v>27</v>
      </c>
      <c r="G1668" s="1">
        <v>165173</v>
      </c>
      <c r="H1668" s="63">
        <v>45570</v>
      </c>
      <c r="J1668" s="1"/>
      <c r="K1668" s="1">
        <v>9.6999999999999993</v>
      </c>
      <c r="L1668" s="1" t="s">
        <v>96</v>
      </c>
      <c r="M1668" s="1" t="s">
        <v>42</v>
      </c>
      <c r="N1668" s="1" t="str">
        <f t="shared" si="26"/>
        <v>Normal</v>
      </c>
    </row>
    <row r="1669" spans="1:14" x14ac:dyDescent="0.25">
      <c r="A1669" s="1" t="s">
        <v>2804</v>
      </c>
      <c r="B1669" s="1" t="s">
        <v>14</v>
      </c>
      <c r="C1669" s="1" t="s">
        <v>147</v>
      </c>
      <c r="D1669" s="1" t="s">
        <v>90</v>
      </c>
      <c r="E1669" s="1" t="s">
        <v>100</v>
      </c>
      <c r="F1669" s="1" t="s">
        <v>40</v>
      </c>
      <c r="G1669" s="1">
        <v>490747</v>
      </c>
      <c r="H1669" s="63">
        <v>44934</v>
      </c>
      <c r="I1669" s="63">
        <v>45000</v>
      </c>
      <c r="J1669" s="1">
        <v>66</v>
      </c>
      <c r="K1669" s="1">
        <v>8.6999999999999993</v>
      </c>
      <c r="L1669" s="1" t="s">
        <v>49</v>
      </c>
      <c r="M1669" s="1" t="s">
        <v>35</v>
      </c>
      <c r="N1669" s="1" t="str">
        <f t="shared" si="26"/>
        <v>Normal</v>
      </c>
    </row>
    <row r="1670" spans="1:14" x14ac:dyDescent="0.25">
      <c r="A1670" s="1" t="s">
        <v>2805</v>
      </c>
      <c r="B1670" s="1" t="s">
        <v>84</v>
      </c>
      <c r="C1670" s="1" t="s">
        <v>119</v>
      </c>
      <c r="D1670" s="1" t="s">
        <v>16</v>
      </c>
      <c r="E1670" s="1" t="s">
        <v>47</v>
      </c>
      <c r="F1670" s="1" t="s">
        <v>53</v>
      </c>
      <c r="G1670" s="1">
        <v>397168</v>
      </c>
      <c r="H1670" s="63">
        <v>45425</v>
      </c>
      <c r="J1670" s="1"/>
      <c r="K1670" s="1">
        <v>4.7</v>
      </c>
      <c r="L1670" s="1" t="s">
        <v>96</v>
      </c>
      <c r="M1670" s="1" t="s">
        <v>107</v>
      </c>
      <c r="N1670" s="1" t="str">
        <f t="shared" si="26"/>
        <v>Normal</v>
      </c>
    </row>
    <row r="1671" spans="1:14" x14ac:dyDescent="0.25">
      <c r="A1671" s="1" t="s">
        <v>2806</v>
      </c>
      <c r="B1671" s="1" t="s">
        <v>127</v>
      </c>
      <c r="C1671" s="1" t="s">
        <v>76</v>
      </c>
      <c r="D1671" s="1" t="s">
        <v>39</v>
      </c>
      <c r="E1671" s="1" t="s">
        <v>4845</v>
      </c>
      <c r="F1671" s="1" t="s">
        <v>18</v>
      </c>
      <c r="G1671" s="1">
        <v>444549</v>
      </c>
      <c r="H1671" s="63">
        <v>45621</v>
      </c>
      <c r="I1671" s="63">
        <v>45772</v>
      </c>
      <c r="J1671" s="1">
        <v>151</v>
      </c>
      <c r="K1671" s="1">
        <v>2.1</v>
      </c>
      <c r="L1671" s="1" t="s">
        <v>96</v>
      </c>
      <c r="M1671" s="1" t="s">
        <v>42</v>
      </c>
      <c r="N1671" s="1" t="str">
        <f t="shared" si="26"/>
        <v>Normal</v>
      </c>
    </row>
    <row r="1672" spans="1:14" x14ac:dyDescent="0.25">
      <c r="A1672" s="1" t="s">
        <v>2807</v>
      </c>
      <c r="B1672" s="1" t="s">
        <v>173</v>
      </c>
      <c r="C1672" s="1" t="s">
        <v>859</v>
      </c>
      <c r="D1672" s="1" t="s">
        <v>46</v>
      </c>
      <c r="E1672" s="1" t="s">
        <v>100</v>
      </c>
      <c r="F1672" s="1" t="s">
        <v>129</v>
      </c>
      <c r="G1672" s="1">
        <v>51017</v>
      </c>
      <c r="H1672" s="63">
        <v>45551</v>
      </c>
      <c r="J1672" s="1"/>
      <c r="K1672" s="1">
        <v>1.3</v>
      </c>
      <c r="L1672" s="1" t="s">
        <v>96</v>
      </c>
      <c r="M1672" s="1" t="s">
        <v>149</v>
      </c>
      <c r="N1672" s="1" t="str">
        <f t="shared" si="26"/>
        <v>Normal</v>
      </c>
    </row>
    <row r="1673" spans="1:14" x14ac:dyDescent="0.25">
      <c r="A1673" s="1" t="s">
        <v>2808</v>
      </c>
      <c r="B1673" s="1" t="s">
        <v>75</v>
      </c>
      <c r="C1673" s="1" t="s">
        <v>218</v>
      </c>
      <c r="D1673" s="1" t="s">
        <v>46</v>
      </c>
      <c r="E1673" s="1" t="s">
        <v>17</v>
      </c>
      <c r="F1673" s="1" t="s">
        <v>40</v>
      </c>
      <c r="G1673" s="1">
        <v>54053</v>
      </c>
      <c r="H1673" s="63">
        <v>45514</v>
      </c>
      <c r="I1673" s="63">
        <v>45586</v>
      </c>
      <c r="J1673" s="1">
        <v>72</v>
      </c>
      <c r="K1673" s="1">
        <v>16.100000000000001</v>
      </c>
      <c r="L1673" s="1" t="s">
        <v>29</v>
      </c>
      <c r="M1673" s="1" t="s">
        <v>149</v>
      </c>
      <c r="N1673" s="1" t="str">
        <f t="shared" si="26"/>
        <v>Normal</v>
      </c>
    </row>
    <row r="1674" spans="1:14" x14ac:dyDescent="0.25">
      <c r="A1674" s="1" t="s">
        <v>2809</v>
      </c>
      <c r="B1674" s="1" t="s">
        <v>14</v>
      </c>
      <c r="C1674" s="1" t="s">
        <v>831</v>
      </c>
      <c r="D1674" s="1" t="s">
        <v>25</v>
      </c>
      <c r="E1674" s="1" t="s">
        <v>72</v>
      </c>
      <c r="F1674" s="1" t="s">
        <v>18</v>
      </c>
      <c r="G1674" s="1">
        <v>67428</v>
      </c>
      <c r="H1674" s="63">
        <v>45429</v>
      </c>
      <c r="I1674" s="63">
        <v>45518</v>
      </c>
      <c r="J1674" s="1">
        <v>89</v>
      </c>
      <c r="K1674" s="1"/>
      <c r="L1674" s="1" t="s">
        <v>49</v>
      </c>
      <c r="M1674" s="1" t="s">
        <v>107</v>
      </c>
      <c r="N1674" s="1" t="str">
        <f t="shared" si="26"/>
        <v>Normal</v>
      </c>
    </row>
    <row r="1675" spans="1:14" x14ac:dyDescent="0.25">
      <c r="A1675" s="1" t="s">
        <v>2810</v>
      </c>
      <c r="B1675" s="1" t="s">
        <v>109</v>
      </c>
      <c r="C1675" s="1" t="s">
        <v>334</v>
      </c>
      <c r="D1675" s="1" t="s">
        <v>25</v>
      </c>
      <c r="E1675" s="1" t="s">
        <v>47</v>
      </c>
      <c r="F1675" s="1" t="s">
        <v>40</v>
      </c>
      <c r="G1675" s="1">
        <v>247902</v>
      </c>
      <c r="H1675" s="63">
        <v>44948</v>
      </c>
      <c r="I1675" s="63">
        <v>45090</v>
      </c>
      <c r="J1675" s="1">
        <v>142</v>
      </c>
      <c r="K1675" s="1">
        <v>6.8</v>
      </c>
      <c r="L1675" s="1" t="s">
        <v>20</v>
      </c>
      <c r="M1675" s="1" t="s">
        <v>35</v>
      </c>
      <c r="N1675" s="1" t="str">
        <f t="shared" si="26"/>
        <v>Normal</v>
      </c>
    </row>
    <row r="1676" spans="1:14" x14ac:dyDescent="0.25">
      <c r="A1676" s="1" t="s">
        <v>2812</v>
      </c>
      <c r="B1676" s="1" t="s">
        <v>80</v>
      </c>
      <c r="C1676" s="1" t="s">
        <v>387</v>
      </c>
      <c r="D1676" s="1" t="s">
        <v>46</v>
      </c>
      <c r="E1676" s="1" t="s">
        <v>94</v>
      </c>
      <c r="F1676" s="1" t="s">
        <v>129</v>
      </c>
      <c r="G1676" s="1">
        <v>139393</v>
      </c>
      <c r="H1676" s="63">
        <v>45698</v>
      </c>
      <c r="J1676" s="1"/>
      <c r="K1676" s="1">
        <v>3.8</v>
      </c>
      <c r="L1676" s="1" t="s">
        <v>29</v>
      </c>
      <c r="M1676" s="1" t="s">
        <v>63</v>
      </c>
      <c r="N1676" s="1" t="str">
        <f t="shared" si="26"/>
        <v>Normal</v>
      </c>
    </row>
    <row r="1677" spans="1:14" x14ac:dyDescent="0.25">
      <c r="A1677" s="1" t="s">
        <v>2813</v>
      </c>
      <c r="B1677" s="1" t="s">
        <v>84</v>
      </c>
      <c r="C1677" s="1" t="s">
        <v>818</v>
      </c>
      <c r="D1677" s="1" t="s">
        <v>90</v>
      </c>
      <c r="E1677" s="1" t="s">
        <v>77</v>
      </c>
      <c r="F1677" s="1" t="s">
        <v>53</v>
      </c>
      <c r="G1677" s="1">
        <v>335023</v>
      </c>
      <c r="H1677" s="63">
        <v>45297</v>
      </c>
      <c r="J1677" s="1"/>
      <c r="K1677" s="1"/>
      <c r="L1677" s="1" t="s">
        <v>29</v>
      </c>
      <c r="M1677" s="1" t="s">
        <v>69</v>
      </c>
      <c r="N1677" s="1" t="str">
        <f t="shared" si="26"/>
        <v>Normal</v>
      </c>
    </row>
    <row r="1678" spans="1:14" x14ac:dyDescent="0.25">
      <c r="A1678" s="1" t="s">
        <v>2814</v>
      </c>
      <c r="B1678" s="1" t="s">
        <v>80</v>
      </c>
      <c r="C1678" s="1" t="s">
        <v>279</v>
      </c>
      <c r="D1678" s="1" t="s">
        <v>16</v>
      </c>
      <c r="E1678" s="1" t="s">
        <v>26</v>
      </c>
      <c r="F1678" s="1" t="s">
        <v>40</v>
      </c>
      <c r="G1678" s="1">
        <v>306951</v>
      </c>
      <c r="H1678" s="63">
        <v>45024</v>
      </c>
      <c r="I1678" s="63">
        <v>45141</v>
      </c>
      <c r="J1678" s="1">
        <v>117</v>
      </c>
      <c r="K1678" s="1">
        <v>6.2</v>
      </c>
      <c r="L1678" s="1" t="s">
        <v>29</v>
      </c>
      <c r="M1678" s="1" t="s">
        <v>30</v>
      </c>
      <c r="N1678" s="1" t="str">
        <f t="shared" si="26"/>
        <v>Normal</v>
      </c>
    </row>
    <row r="1679" spans="1:14" x14ac:dyDescent="0.25">
      <c r="A1679" s="1" t="s">
        <v>2816</v>
      </c>
      <c r="B1679" s="1" t="s">
        <v>44</v>
      </c>
      <c r="C1679" s="1" t="s">
        <v>381</v>
      </c>
      <c r="D1679" s="1" t="s">
        <v>46</v>
      </c>
      <c r="E1679" s="1" t="s">
        <v>26</v>
      </c>
      <c r="F1679" s="1" t="s">
        <v>40</v>
      </c>
      <c r="G1679" s="1">
        <v>243273</v>
      </c>
      <c r="H1679" s="63">
        <v>45611</v>
      </c>
      <c r="I1679" s="63">
        <v>45626</v>
      </c>
      <c r="J1679" s="1">
        <v>15</v>
      </c>
      <c r="K1679" s="1">
        <v>11.3</v>
      </c>
      <c r="L1679" s="1" t="s">
        <v>49</v>
      </c>
      <c r="M1679" s="1" t="s">
        <v>42</v>
      </c>
      <c r="N1679" s="1" t="str">
        <f t="shared" si="26"/>
        <v>Normal</v>
      </c>
    </row>
    <row r="1680" spans="1:14" x14ac:dyDescent="0.25">
      <c r="A1680" s="1" t="s">
        <v>2817</v>
      </c>
      <c r="B1680" s="1" t="s">
        <v>59</v>
      </c>
      <c r="C1680" s="1" t="s">
        <v>2091</v>
      </c>
      <c r="D1680" s="1" t="s">
        <v>16</v>
      </c>
      <c r="E1680" s="1" t="s">
        <v>61</v>
      </c>
      <c r="F1680" s="1" t="s">
        <v>53</v>
      </c>
      <c r="G1680" s="1">
        <v>464944</v>
      </c>
      <c r="H1680" s="63">
        <v>45415</v>
      </c>
      <c r="J1680" s="1"/>
      <c r="K1680" s="1">
        <v>5.5</v>
      </c>
      <c r="L1680" s="1" t="s">
        <v>20</v>
      </c>
      <c r="M1680" s="1" t="s">
        <v>107</v>
      </c>
      <c r="N1680" s="1" t="str">
        <f t="shared" si="26"/>
        <v>Normal</v>
      </c>
    </row>
    <row r="1681" spans="1:14" x14ac:dyDescent="0.25">
      <c r="A1681" s="1" t="s">
        <v>2818</v>
      </c>
      <c r="B1681" s="1" t="s">
        <v>173</v>
      </c>
      <c r="C1681" s="1" t="s">
        <v>343</v>
      </c>
      <c r="D1681" s="1" t="s">
        <v>25</v>
      </c>
      <c r="E1681" s="1" t="s">
        <v>26</v>
      </c>
      <c r="F1681" s="1" t="s">
        <v>53</v>
      </c>
      <c r="G1681" s="1">
        <v>344195</v>
      </c>
      <c r="H1681" s="63">
        <v>44989</v>
      </c>
      <c r="J1681" s="1"/>
      <c r="K1681" s="1">
        <v>12</v>
      </c>
      <c r="L1681" s="1" t="s">
        <v>96</v>
      </c>
      <c r="M1681" s="1" t="s">
        <v>35</v>
      </c>
      <c r="N1681" s="1" t="str">
        <f t="shared" si="26"/>
        <v>Normal</v>
      </c>
    </row>
    <row r="1682" spans="1:14" x14ac:dyDescent="0.25">
      <c r="A1682" s="1" t="s">
        <v>2819</v>
      </c>
      <c r="B1682" s="1" t="s">
        <v>98</v>
      </c>
      <c r="C1682" s="1" t="s">
        <v>423</v>
      </c>
      <c r="D1682" s="1" t="s">
        <v>16</v>
      </c>
      <c r="E1682" s="1" t="s">
        <v>17</v>
      </c>
      <c r="F1682" s="1" t="s">
        <v>53</v>
      </c>
      <c r="G1682" s="1">
        <v>313383</v>
      </c>
      <c r="H1682" s="63">
        <v>45710</v>
      </c>
      <c r="J1682" s="1"/>
      <c r="K1682" s="1">
        <v>12</v>
      </c>
      <c r="L1682" s="1" t="s">
        <v>49</v>
      </c>
      <c r="M1682" s="1" t="s">
        <v>63</v>
      </c>
      <c r="N1682" s="1" t="str">
        <f t="shared" si="26"/>
        <v>Normal</v>
      </c>
    </row>
    <row r="1683" spans="1:14" x14ac:dyDescent="0.25">
      <c r="A1683" s="1" t="s">
        <v>2821</v>
      </c>
      <c r="B1683" s="1" t="s">
        <v>80</v>
      </c>
      <c r="C1683" s="1" t="s">
        <v>270</v>
      </c>
      <c r="D1683" s="1" t="s">
        <v>25</v>
      </c>
      <c r="E1683" s="1" t="s">
        <v>47</v>
      </c>
      <c r="F1683" s="1" t="s">
        <v>18</v>
      </c>
      <c r="G1683" s="1">
        <v>183026</v>
      </c>
      <c r="H1683" s="63">
        <v>45027</v>
      </c>
      <c r="I1683" s="63">
        <v>45191</v>
      </c>
      <c r="J1683" s="1">
        <v>164</v>
      </c>
      <c r="K1683" s="1">
        <v>0.7</v>
      </c>
      <c r="L1683" s="1" t="s">
        <v>29</v>
      </c>
      <c r="M1683" s="1" t="s">
        <v>30</v>
      </c>
      <c r="N1683" s="1" t="str">
        <f t="shared" si="26"/>
        <v>Normal</v>
      </c>
    </row>
    <row r="1684" spans="1:14" x14ac:dyDescent="0.25">
      <c r="A1684" s="1" t="s">
        <v>2822</v>
      </c>
      <c r="B1684" s="1" t="s">
        <v>127</v>
      </c>
      <c r="C1684" s="1" t="s">
        <v>1121</v>
      </c>
      <c r="D1684" s="1" t="s">
        <v>67</v>
      </c>
      <c r="E1684" s="1" t="s">
        <v>26</v>
      </c>
      <c r="F1684" s="1" t="s">
        <v>53</v>
      </c>
      <c r="G1684" s="1">
        <v>1154021</v>
      </c>
      <c r="H1684" s="63">
        <v>45097</v>
      </c>
      <c r="J1684" s="1"/>
      <c r="K1684" s="1">
        <v>6.5</v>
      </c>
      <c r="L1684" s="1" t="s">
        <v>49</v>
      </c>
      <c r="M1684" s="1" t="s">
        <v>30</v>
      </c>
      <c r="N1684" s="1" t="str">
        <f t="shared" si="26"/>
        <v>High Outlier</v>
      </c>
    </row>
    <row r="1685" spans="1:14" x14ac:dyDescent="0.25">
      <c r="A1685" s="1" t="s">
        <v>2823</v>
      </c>
      <c r="B1685" s="1" t="s">
        <v>14</v>
      </c>
      <c r="C1685" s="1" t="s">
        <v>877</v>
      </c>
      <c r="D1685" s="1" t="s">
        <v>39</v>
      </c>
      <c r="E1685" s="1" t="s">
        <v>47</v>
      </c>
      <c r="F1685" s="1" t="s">
        <v>40</v>
      </c>
      <c r="G1685" s="1">
        <v>166026</v>
      </c>
      <c r="H1685" s="63">
        <v>45476</v>
      </c>
      <c r="I1685" s="63">
        <v>45528</v>
      </c>
      <c r="J1685" s="1">
        <v>52</v>
      </c>
      <c r="K1685" s="1">
        <v>10.6</v>
      </c>
      <c r="L1685" s="1" t="s">
        <v>96</v>
      </c>
      <c r="M1685" s="1" t="s">
        <v>149</v>
      </c>
      <c r="N1685" s="1" t="str">
        <f t="shared" si="26"/>
        <v>Normal</v>
      </c>
    </row>
    <row r="1686" spans="1:14" x14ac:dyDescent="0.25">
      <c r="A1686" s="1" t="s">
        <v>2824</v>
      </c>
      <c r="B1686" s="1" t="s">
        <v>109</v>
      </c>
      <c r="C1686" s="1" t="s">
        <v>177</v>
      </c>
      <c r="D1686" s="1" t="s">
        <v>67</v>
      </c>
      <c r="E1686" s="1" t="s">
        <v>26</v>
      </c>
      <c r="F1686" s="1" t="s">
        <v>33</v>
      </c>
      <c r="G1686" s="1">
        <v>227546</v>
      </c>
      <c r="H1686" s="63">
        <v>45467</v>
      </c>
      <c r="J1686" s="1"/>
      <c r="K1686" s="1"/>
      <c r="L1686" s="1" t="s">
        <v>96</v>
      </c>
      <c r="M1686" s="1" t="s">
        <v>107</v>
      </c>
      <c r="N1686" s="1" t="str">
        <f t="shared" si="26"/>
        <v>Normal</v>
      </c>
    </row>
    <row r="1687" spans="1:14" x14ac:dyDescent="0.25">
      <c r="A1687" s="1" t="s">
        <v>2825</v>
      </c>
      <c r="B1687" s="1" t="s">
        <v>109</v>
      </c>
      <c r="C1687" s="1" t="s">
        <v>977</v>
      </c>
      <c r="D1687" s="1" t="s">
        <v>67</v>
      </c>
      <c r="E1687" s="1" t="s">
        <v>47</v>
      </c>
      <c r="F1687" s="1" t="s">
        <v>129</v>
      </c>
      <c r="G1687" s="1">
        <v>119338</v>
      </c>
      <c r="H1687" s="63">
        <v>44966</v>
      </c>
      <c r="J1687" s="1"/>
      <c r="K1687" s="1"/>
      <c r="L1687" s="1" t="s">
        <v>20</v>
      </c>
      <c r="M1687" s="1" t="s">
        <v>35</v>
      </c>
      <c r="N1687" s="1" t="str">
        <f t="shared" si="26"/>
        <v>Normal</v>
      </c>
    </row>
    <row r="1688" spans="1:14" x14ac:dyDescent="0.25">
      <c r="A1688" s="1" t="s">
        <v>2826</v>
      </c>
      <c r="B1688" s="1" t="s">
        <v>84</v>
      </c>
      <c r="C1688" s="1" t="s">
        <v>2091</v>
      </c>
      <c r="D1688" s="1" t="s">
        <v>46</v>
      </c>
      <c r="E1688" s="1" t="s">
        <v>47</v>
      </c>
      <c r="F1688" s="1" t="s">
        <v>129</v>
      </c>
      <c r="G1688" s="1">
        <v>296280</v>
      </c>
      <c r="H1688" s="63">
        <v>44986</v>
      </c>
      <c r="J1688" s="1"/>
      <c r="K1688" s="1">
        <v>4.9000000000000004</v>
      </c>
      <c r="L1688" s="1" t="s">
        <v>49</v>
      </c>
      <c r="M1688" s="1" t="s">
        <v>35</v>
      </c>
      <c r="N1688" s="1" t="str">
        <f t="shared" si="26"/>
        <v>Normal</v>
      </c>
    </row>
    <row r="1689" spans="1:14" x14ac:dyDescent="0.25">
      <c r="A1689" s="1" t="s">
        <v>2828</v>
      </c>
      <c r="B1689" s="1" t="s">
        <v>44</v>
      </c>
      <c r="C1689" s="1" t="s">
        <v>737</v>
      </c>
      <c r="D1689" s="1" t="s">
        <v>67</v>
      </c>
      <c r="E1689" s="1" t="s">
        <v>47</v>
      </c>
      <c r="F1689" s="1" t="s">
        <v>129</v>
      </c>
      <c r="G1689" s="1">
        <v>388143</v>
      </c>
      <c r="H1689" s="63">
        <v>45053</v>
      </c>
      <c r="J1689" s="1"/>
      <c r="K1689" s="1">
        <v>8.1999999999999993</v>
      </c>
      <c r="L1689" s="1" t="s">
        <v>29</v>
      </c>
      <c r="M1689" s="1" t="s">
        <v>30</v>
      </c>
      <c r="N1689" s="1" t="str">
        <f t="shared" si="26"/>
        <v>Normal</v>
      </c>
    </row>
    <row r="1690" spans="1:14" x14ac:dyDescent="0.25">
      <c r="A1690" s="1" t="s">
        <v>2829</v>
      </c>
      <c r="B1690" s="1" t="s">
        <v>44</v>
      </c>
      <c r="C1690" s="1" t="s">
        <v>220</v>
      </c>
      <c r="D1690" s="1" t="s">
        <v>25</v>
      </c>
      <c r="E1690" s="1" t="s">
        <v>94</v>
      </c>
      <c r="F1690" s="1" t="s">
        <v>129</v>
      </c>
      <c r="G1690" s="1">
        <v>81037</v>
      </c>
      <c r="H1690" s="63">
        <v>45098</v>
      </c>
      <c r="J1690" s="1"/>
      <c r="K1690" s="1">
        <v>12.7</v>
      </c>
      <c r="L1690" s="1" t="s">
        <v>29</v>
      </c>
      <c r="M1690" s="1" t="s">
        <v>30</v>
      </c>
      <c r="N1690" s="1" t="str">
        <f t="shared" si="26"/>
        <v>Normal</v>
      </c>
    </row>
    <row r="1691" spans="1:14" x14ac:dyDescent="0.25">
      <c r="A1691" s="1" t="s">
        <v>2830</v>
      </c>
      <c r="B1691" s="1" t="s">
        <v>23</v>
      </c>
      <c r="C1691" s="1" t="s">
        <v>1742</v>
      </c>
      <c r="D1691" s="1" t="s">
        <v>90</v>
      </c>
      <c r="E1691" s="1" t="s">
        <v>77</v>
      </c>
      <c r="F1691" s="1" t="s">
        <v>40</v>
      </c>
      <c r="G1691" s="1">
        <v>416457</v>
      </c>
      <c r="H1691" s="63">
        <v>45238</v>
      </c>
      <c r="I1691" s="63">
        <v>45338</v>
      </c>
      <c r="J1691" s="1">
        <v>100</v>
      </c>
      <c r="K1691" s="1">
        <v>18.399999999999999</v>
      </c>
      <c r="L1691" s="1" t="s">
        <v>49</v>
      </c>
      <c r="M1691" s="1" t="s">
        <v>21</v>
      </c>
      <c r="N1691" s="1" t="str">
        <f t="shared" si="26"/>
        <v>Normal</v>
      </c>
    </row>
    <row r="1692" spans="1:14" x14ac:dyDescent="0.25">
      <c r="A1692" s="1" t="s">
        <v>2831</v>
      </c>
      <c r="B1692" s="1" t="s">
        <v>104</v>
      </c>
      <c r="C1692" s="1" t="s">
        <v>724</v>
      </c>
      <c r="D1692" s="1" t="s">
        <v>46</v>
      </c>
      <c r="E1692" s="1" t="s">
        <v>26</v>
      </c>
      <c r="F1692" s="1" t="s">
        <v>53</v>
      </c>
      <c r="G1692" s="1">
        <v>150616</v>
      </c>
      <c r="H1692" s="63">
        <v>45340</v>
      </c>
      <c r="J1692" s="1"/>
      <c r="K1692" s="1"/>
      <c r="L1692" s="1" t="s">
        <v>49</v>
      </c>
      <c r="M1692" s="1" t="s">
        <v>69</v>
      </c>
      <c r="N1692" s="1" t="str">
        <f t="shared" si="26"/>
        <v>Normal</v>
      </c>
    </row>
    <row r="1693" spans="1:14" x14ac:dyDescent="0.25">
      <c r="A1693" s="1" t="s">
        <v>2832</v>
      </c>
      <c r="B1693" s="1" t="s">
        <v>127</v>
      </c>
      <c r="C1693" s="1" t="s">
        <v>463</v>
      </c>
      <c r="D1693" s="1" t="s">
        <v>90</v>
      </c>
      <c r="E1693" s="1" t="s">
        <v>17</v>
      </c>
      <c r="F1693" s="1" t="s">
        <v>33</v>
      </c>
      <c r="G1693" s="1">
        <v>419412</v>
      </c>
      <c r="H1693" s="63">
        <v>45514</v>
      </c>
      <c r="J1693" s="1"/>
      <c r="K1693" s="1">
        <v>1.3</v>
      </c>
      <c r="L1693" s="1" t="s">
        <v>49</v>
      </c>
      <c r="M1693" s="1" t="s">
        <v>149</v>
      </c>
      <c r="N1693" s="1" t="str">
        <f t="shared" si="26"/>
        <v>Normal</v>
      </c>
    </row>
    <row r="1694" spans="1:14" x14ac:dyDescent="0.25">
      <c r="A1694" s="1" t="s">
        <v>2833</v>
      </c>
      <c r="B1694" s="1" t="s">
        <v>104</v>
      </c>
      <c r="C1694" s="1" t="s">
        <v>325</v>
      </c>
      <c r="D1694" s="1" t="s">
        <v>16</v>
      </c>
      <c r="E1694" s="1" t="s">
        <v>77</v>
      </c>
      <c r="F1694" s="1" t="s">
        <v>40</v>
      </c>
      <c r="G1694" s="1">
        <v>206049</v>
      </c>
      <c r="H1694" s="63">
        <v>45537</v>
      </c>
      <c r="I1694" s="63">
        <v>45556</v>
      </c>
      <c r="J1694" s="1">
        <v>19</v>
      </c>
      <c r="K1694" s="1">
        <v>23.5</v>
      </c>
      <c r="L1694" s="1" t="s">
        <v>29</v>
      </c>
      <c r="M1694" s="1" t="s">
        <v>149</v>
      </c>
      <c r="N1694" s="1" t="str">
        <f t="shared" si="26"/>
        <v>Normal</v>
      </c>
    </row>
    <row r="1695" spans="1:14" x14ac:dyDescent="0.25">
      <c r="A1695" s="1" t="s">
        <v>2834</v>
      </c>
      <c r="B1695" s="1" t="s">
        <v>109</v>
      </c>
      <c r="C1695" s="1" t="s">
        <v>1691</v>
      </c>
      <c r="D1695" s="1" t="s">
        <v>25</v>
      </c>
      <c r="E1695" s="1" t="s">
        <v>94</v>
      </c>
      <c r="F1695" s="1" t="s">
        <v>18</v>
      </c>
      <c r="G1695" s="1">
        <v>135384</v>
      </c>
      <c r="H1695" s="63">
        <v>45195</v>
      </c>
      <c r="I1695" s="63">
        <v>45290</v>
      </c>
      <c r="J1695" s="1">
        <v>95</v>
      </c>
      <c r="K1695" s="1">
        <v>8.9</v>
      </c>
      <c r="L1695" s="1" t="s">
        <v>29</v>
      </c>
      <c r="M1695" s="1" t="s">
        <v>102</v>
      </c>
      <c r="N1695" s="1" t="str">
        <f t="shared" si="26"/>
        <v>Normal</v>
      </c>
    </row>
    <row r="1696" spans="1:14" x14ac:dyDescent="0.25">
      <c r="A1696" s="1" t="s">
        <v>2835</v>
      </c>
      <c r="B1696" s="1" t="s">
        <v>23</v>
      </c>
      <c r="C1696" s="1" t="s">
        <v>99</v>
      </c>
      <c r="D1696" s="1" t="s">
        <v>39</v>
      </c>
      <c r="E1696" s="1" t="s">
        <v>77</v>
      </c>
      <c r="F1696" s="1" t="s">
        <v>129</v>
      </c>
      <c r="G1696" s="1">
        <v>420265</v>
      </c>
      <c r="H1696" s="63">
        <v>45174</v>
      </c>
      <c r="J1696" s="1"/>
      <c r="K1696" s="1"/>
      <c r="L1696" s="1" t="s">
        <v>29</v>
      </c>
      <c r="M1696" s="1" t="s">
        <v>102</v>
      </c>
      <c r="N1696" s="1" t="str">
        <f t="shared" si="26"/>
        <v>Normal</v>
      </c>
    </row>
    <row r="1697" spans="1:14" x14ac:dyDescent="0.25">
      <c r="A1697" s="1" t="s">
        <v>2837</v>
      </c>
      <c r="B1697" s="1" t="s">
        <v>37</v>
      </c>
      <c r="C1697" s="1" t="s">
        <v>898</v>
      </c>
      <c r="D1697" s="1" t="s">
        <v>67</v>
      </c>
      <c r="E1697" s="1" t="s">
        <v>100</v>
      </c>
      <c r="F1697" s="1" t="s">
        <v>40</v>
      </c>
      <c r="G1697" s="1">
        <v>491746</v>
      </c>
      <c r="H1697" s="63">
        <v>45493</v>
      </c>
      <c r="I1697" s="63">
        <v>45577</v>
      </c>
      <c r="J1697" s="1">
        <v>84</v>
      </c>
      <c r="K1697" s="1">
        <v>8.1</v>
      </c>
      <c r="L1697" s="1" t="s">
        <v>96</v>
      </c>
      <c r="M1697" s="1" t="s">
        <v>149</v>
      </c>
      <c r="N1697" s="1" t="str">
        <f t="shared" si="26"/>
        <v>Normal</v>
      </c>
    </row>
    <row r="1698" spans="1:14" x14ac:dyDescent="0.25">
      <c r="A1698" s="1" t="s">
        <v>2838</v>
      </c>
      <c r="B1698" s="1" t="s">
        <v>37</v>
      </c>
      <c r="C1698" s="1" t="s">
        <v>488</v>
      </c>
      <c r="D1698" s="1" t="s">
        <v>25</v>
      </c>
      <c r="E1698" s="1" t="s">
        <v>17</v>
      </c>
      <c r="F1698" s="1" t="s">
        <v>129</v>
      </c>
      <c r="G1698" s="1">
        <v>12163</v>
      </c>
      <c r="H1698" s="63">
        <v>45511</v>
      </c>
      <c r="J1698" s="1"/>
      <c r="K1698" s="1">
        <v>2.7</v>
      </c>
      <c r="L1698" s="1" t="s">
        <v>29</v>
      </c>
      <c r="M1698" s="1" t="s">
        <v>149</v>
      </c>
      <c r="N1698" s="1" t="str">
        <f t="shared" si="26"/>
        <v>Normal</v>
      </c>
    </row>
    <row r="1699" spans="1:14" x14ac:dyDescent="0.25">
      <c r="A1699" s="1" t="s">
        <v>2839</v>
      </c>
      <c r="B1699" s="1" t="s">
        <v>75</v>
      </c>
      <c r="C1699" s="1" t="s">
        <v>1364</v>
      </c>
      <c r="D1699" s="1" t="s">
        <v>25</v>
      </c>
      <c r="E1699" s="1" t="s">
        <v>100</v>
      </c>
      <c r="F1699" s="1" t="s">
        <v>33</v>
      </c>
      <c r="G1699" s="1">
        <v>484981</v>
      </c>
      <c r="H1699" s="63">
        <v>45673</v>
      </c>
      <c r="J1699" s="1"/>
      <c r="K1699" s="1"/>
      <c r="L1699" s="1" t="s">
        <v>49</v>
      </c>
      <c r="M1699" s="1" t="s">
        <v>63</v>
      </c>
      <c r="N1699" s="1" t="str">
        <f t="shared" si="26"/>
        <v>Normal</v>
      </c>
    </row>
    <row r="1700" spans="1:14" x14ac:dyDescent="0.25">
      <c r="A1700" s="1" t="s">
        <v>2841</v>
      </c>
      <c r="B1700" s="1" t="s">
        <v>88</v>
      </c>
      <c r="C1700" s="1" t="s">
        <v>1129</v>
      </c>
      <c r="D1700" s="1" t="s">
        <v>90</v>
      </c>
      <c r="E1700" s="1" t="s">
        <v>47</v>
      </c>
      <c r="F1700" s="1" t="s">
        <v>18</v>
      </c>
      <c r="G1700" s="1">
        <v>30434</v>
      </c>
      <c r="H1700" s="63">
        <v>45038</v>
      </c>
      <c r="I1700" s="63">
        <v>45142</v>
      </c>
      <c r="J1700" s="1">
        <v>104</v>
      </c>
      <c r="K1700" s="1"/>
      <c r="L1700" s="1" t="s">
        <v>29</v>
      </c>
      <c r="M1700" s="1" t="s">
        <v>30</v>
      </c>
      <c r="N1700" s="1" t="str">
        <f t="shared" si="26"/>
        <v>Normal</v>
      </c>
    </row>
    <row r="1701" spans="1:14" x14ac:dyDescent="0.25">
      <c r="A1701" s="1" t="s">
        <v>2842</v>
      </c>
      <c r="B1701" s="1" t="s">
        <v>37</v>
      </c>
      <c r="C1701" s="1" t="s">
        <v>809</v>
      </c>
      <c r="D1701" s="1" t="s">
        <v>16</v>
      </c>
      <c r="E1701" s="1" t="s">
        <v>100</v>
      </c>
      <c r="F1701" s="1" t="s">
        <v>129</v>
      </c>
      <c r="G1701" s="1">
        <v>137088</v>
      </c>
      <c r="H1701" s="63">
        <v>45734</v>
      </c>
      <c r="J1701" s="1"/>
      <c r="K1701" s="1">
        <v>10</v>
      </c>
      <c r="L1701" s="1" t="s">
        <v>96</v>
      </c>
      <c r="M1701" s="1" t="s">
        <v>63</v>
      </c>
      <c r="N1701" s="1" t="str">
        <f t="shared" si="26"/>
        <v>Normal</v>
      </c>
    </row>
    <row r="1702" spans="1:14" x14ac:dyDescent="0.25">
      <c r="A1702" s="1" t="s">
        <v>2843</v>
      </c>
      <c r="B1702" s="1" t="s">
        <v>84</v>
      </c>
      <c r="C1702" s="1" t="s">
        <v>1050</v>
      </c>
      <c r="D1702" s="1" t="s">
        <v>90</v>
      </c>
      <c r="E1702" s="1" t="s">
        <v>72</v>
      </c>
      <c r="F1702" s="1" t="s">
        <v>129</v>
      </c>
      <c r="G1702" s="1">
        <v>111166</v>
      </c>
      <c r="H1702" s="63">
        <v>45535</v>
      </c>
      <c r="J1702" s="1"/>
      <c r="K1702" s="1">
        <v>3.2</v>
      </c>
      <c r="L1702" s="1" t="s">
        <v>49</v>
      </c>
      <c r="M1702" s="1" t="s">
        <v>149</v>
      </c>
      <c r="N1702" s="1" t="str">
        <f t="shared" si="26"/>
        <v>Normal</v>
      </c>
    </row>
    <row r="1703" spans="1:14" x14ac:dyDescent="0.25">
      <c r="A1703" s="1" t="s">
        <v>2845</v>
      </c>
      <c r="B1703" s="1" t="s">
        <v>37</v>
      </c>
      <c r="C1703" s="1" t="s">
        <v>497</v>
      </c>
      <c r="D1703" s="1" t="s">
        <v>46</v>
      </c>
      <c r="E1703" s="1" t="s">
        <v>94</v>
      </c>
      <c r="F1703" s="1" t="s">
        <v>33</v>
      </c>
      <c r="G1703" s="1">
        <v>30633</v>
      </c>
      <c r="H1703" s="63">
        <v>45412</v>
      </c>
      <c r="J1703" s="1"/>
      <c r="K1703" s="1">
        <v>5.8</v>
      </c>
      <c r="L1703" s="1" t="s">
        <v>29</v>
      </c>
      <c r="M1703" s="1" t="s">
        <v>107</v>
      </c>
      <c r="N1703" s="1" t="str">
        <f t="shared" si="26"/>
        <v>Normal</v>
      </c>
    </row>
    <row r="1704" spans="1:14" x14ac:dyDescent="0.25">
      <c r="A1704" s="1" t="s">
        <v>2846</v>
      </c>
      <c r="B1704" s="1" t="s">
        <v>80</v>
      </c>
      <c r="C1704" s="1" t="s">
        <v>1153</v>
      </c>
      <c r="D1704" s="1" t="s">
        <v>67</v>
      </c>
      <c r="E1704" s="1" t="s">
        <v>26</v>
      </c>
      <c r="F1704" s="1" t="s">
        <v>129</v>
      </c>
      <c r="G1704" s="1">
        <v>324644</v>
      </c>
      <c r="H1704" s="63">
        <v>45566</v>
      </c>
      <c r="J1704" s="1"/>
      <c r="K1704" s="1">
        <v>10.199999999999999</v>
      </c>
      <c r="L1704" s="1" t="s">
        <v>29</v>
      </c>
      <c r="M1704" s="1" t="s">
        <v>42</v>
      </c>
      <c r="N1704" s="1" t="str">
        <f t="shared" si="26"/>
        <v>Normal</v>
      </c>
    </row>
    <row r="1705" spans="1:14" x14ac:dyDescent="0.25">
      <c r="A1705" s="1" t="s">
        <v>2847</v>
      </c>
      <c r="B1705" s="1" t="s">
        <v>75</v>
      </c>
      <c r="C1705" s="1" t="s">
        <v>983</v>
      </c>
      <c r="D1705" s="1" t="s">
        <v>46</v>
      </c>
      <c r="E1705" s="1" t="s">
        <v>26</v>
      </c>
      <c r="F1705" s="1" t="s">
        <v>129</v>
      </c>
      <c r="G1705" s="1">
        <v>494350</v>
      </c>
      <c r="H1705" s="63">
        <v>45184</v>
      </c>
      <c r="J1705" s="1"/>
      <c r="K1705" s="1">
        <v>12.6</v>
      </c>
      <c r="L1705" s="1" t="s">
        <v>20</v>
      </c>
      <c r="M1705" s="1" t="s">
        <v>102</v>
      </c>
      <c r="N1705" s="1" t="str">
        <f t="shared" si="26"/>
        <v>Normal</v>
      </c>
    </row>
    <row r="1706" spans="1:14" x14ac:dyDescent="0.25">
      <c r="A1706" s="1" t="s">
        <v>2848</v>
      </c>
      <c r="B1706" s="1" t="s">
        <v>4829</v>
      </c>
      <c r="C1706" s="1" t="s">
        <v>119</v>
      </c>
      <c r="D1706" s="1" t="s">
        <v>16</v>
      </c>
      <c r="E1706" s="1" t="s">
        <v>77</v>
      </c>
      <c r="F1706" s="1" t="s">
        <v>33</v>
      </c>
      <c r="G1706" s="1">
        <v>168276</v>
      </c>
      <c r="H1706" s="63">
        <v>45269</v>
      </c>
      <c r="J1706" s="1"/>
      <c r="K1706" s="1"/>
      <c r="L1706" s="1" t="s">
        <v>29</v>
      </c>
      <c r="M1706" s="1" t="s">
        <v>21</v>
      </c>
      <c r="N1706" s="1" t="str">
        <f t="shared" si="26"/>
        <v>Normal</v>
      </c>
    </row>
    <row r="1707" spans="1:14" x14ac:dyDescent="0.25">
      <c r="A1707" s="1" t="s">
        <v>2849</v>
      </c>
      <c r="B1707" s="1" t="s">
        <v>127</v>
      </c>
      <c r="C1707" s="1" t="s">
        <v>420</v>
      </c>
      <c r="D1707" s="1" t="s">
        <v>16</v>
      </c>
      <c r="E1707" s="1" t="s">
        <v>77</v>
      </c>
      <c r="F1707" s="1" t="s">
        <v>27</v>
      </c>
      <c r="G1707" s="1">
        <v>386542</v>
      </c>
      <c r="H1707" s="63">
        <v>45524</v>
      </c>
      <c r="J1707" s="1"/>
      <c r="K1707" s="1">
        <v>3.5</v>
      </c>
      <c r="L1707" s="1" t="s">
        <v>20</v>
      </c>
      <c r="M1707" s="1" t="s">
        <v>149</v>
      </c>
      <c r="N1707" s="1" t="str">
        <f t="shared" si="26"/>
        <v>Normal</v>
      </c>
    </row>
    <row r="1708" spans="1:14" x14ac:dyDescent="0.25">
      <c r="A1708" s="1" t="s">
        <v>2851</v>
      </c>
      <c r="B1708" s="1" t="s">
        <v>37</v>
      </c>
      <c r="C1708" s="1" t="s">
        <v>313</v>
      </c>
      <c r="D1708" s="1" t="s">
        <v>46</v>
      </c>
      <c r="E1708" s="1" t="s">
        <v>72</v>
      </c>
      <c r="F1708" s="1" t="s">
        <v>40</v>
      </c>
      <c r="G1708" s="1">
        <v>143693</v>
      </c>
      <c r="H1708" s="63">
        <v>45436</v>
      </c>
      <c r="I1708" s="63">
        <v>45451</v>
      </c>
      <c r="J1708" s="1">
        <v>15</v>
      </c>
      <c r="K1708" s="1">
        <v>10.1</v>
      </c>
      <c r="L1708" s="1" t="s">
        <v>29</v>
      </c>
      <c r="M1708" s="1" t="s">
        <v>107</v>
      </c>
      <c r="N1708" s="1" t="str">
        <f t="shared" si="26"/>
        <v>Normal</v>
      </c>
    </row>
    <row r="1709" spans="1:14" x14ac:dyDescent="0.25">
      <c r="A1709" s="1" t="s">
        <v>2853</v>
      </c>
      <c r="B1709" s="1" t="s">
        <v>65</v>
      </c>
      <c r="C1709" s="1" t="s">
        <v>208</v>
      </c>
      <c r="D1709" s="1" t="s">
        <v>46</v>
      </c>
      <c r="E1709" s="1" t="s">
        <v>72</v>
      </c>
      <c r="F1709" s="1" t="s">
        <v>27</v>
      </c>
      <c r="G1709" s="1">
        <v>313085</v>
      </c>
      <c r="H1709" s="63">
        <v>45293</v>
      </c>
      <c r="J1709" s="1"/>
      <c r="K1709" s="1"/>
      <c r="L1709" s="1" t="s">
        <v>29</v>
      </c>
      <c r="M1709" s="1" t="s">
        <v>69</v>
      </c>
      <c r="N1709" s="1" t="str">
        <f t="shared" si="26"/>
        <v>Normal</v>
      </c>
    </row>
    <row r="1710" spans="1:14" x14ac:dyDescent="0.25">
      <c r="A1710" s="1" t="s">
        <v>2854</v>
      </c>
      <c r="B1710" s="1" t="s">
        <v>98</v>
      </c>
      <c r="C1710" s="1" t="s">
        <v>463</v>
      </c>
      <c r="D1710" s="1" t="s">
        <v>39</v>
      </c>
      <c r="E1710" s="1" t="s">
        <v>61</v>
      </c>
      <c r="F1710" s="1" t="s">
        <v>33</v>
      </c>
      <c r="G1710" s="1">
        <v>351161</v>
      </c>
      <c r="H1710" s="63">
        <v>45287</v>
      </c>
      <c r="J1710" s="1"/>
      <c r="K1710" s="1">
        <v>13.6</v>
      </c>
      <c r="L1710" s="1" t="s">
        <v>29</v>
      </c>
      <c r="M1710" s="1" t="s">
        <v>21</v>
      </c>
      <c r="N1710" s="1" t="str">
        <f t="shared" si="26"/>
        <v>Normal</v>
      </c>
    </row>
    <row r="1711" spans="1:14" x14ac:dyDescent="0.25">
      <c r="A1711" s="1" t="s">
        <v>2855</v>
      </c>
      <c r="B1711" s="1" t="s">
        <v>98</v>
      </c>
      <c r="C1711" s="1" t="s">
        <v>1087</v>
      </c>
      <c r="D1711" s="1" t="s">
        <v>67</v>
      </c>
      <c r="E1711" s="1" t="s">
        <v>17</v>
      </c>
      <c r="F1711" s="1" t="s">
        <v>27</v>
      </c>
      <c r="G1711" s="1">
        <v>450050</v>
      </c>
      <c r="H1711" s="63">
        <v>45338</v>
      </c>
      <c r="J1711" s="1"/>
      <c r="K1711" s="1">
        <v>5.7</v>
      </c>
      <c r="L1711" s="1" t="s">
        <v>49</v>
      </c>
      <c r="M1711" s="1" t="s">
        <v>69</v>
      </c>
      <c r="N1711" s="1" t="str">
        <f t="shared" si="26"/>
        <v>Normal</v>
      </c>
    </row>
    <row r="1712" spans="1:14" x14ac:dyDescent="0.25">
      <c r="A1712" s="1" t="s">
        <v>2856</v>
      </c>
      <c r="B1712" s="1" t="s">
        <v>37</v>
      </c>
      <c r="C1712" s="1" t="s">
        <v>1112</v>
      </c>
      <c r="D1712" s="1" t="s">
        <v>39</v>
      </c>
      <c r="E1712" s="1" t="s">
        <v>61</v>
      </c>
      <c r="F1712" s="1" t="s">
        <v>53</v>
      </c>
      <c r="G1712" s="1">
        <v>456045</v>
      </c>
      <c r="H1712" s="63">
        <v>45066</v>
      </c>
      <c r="J1712" s="1"/>
      <c r="K1712" s="1"/>
      <c r="L1712" s="1" t="s">
        <v>20</v>
      </c>
      <c r="M1712" s="1" t="s">
        <v>30</v>
      </c>
      <c r="N1712" s="1" t="str">
        <f t="shared" si="26"/>
        <v>Normal</v>
      </c>
    </row>
    <row r="1713" spans="1:14" x14ac:dyDescent="0.25">
      <c r="A1713" s="1" t="s">
        <v>2858</v>
      </c>
      <c r="B1713" s="1" t="s">
        <v>80</v>
      </c>
      <c r="C1713" s="1" t="s">
        <v>1087</v>
      </c>
      <c r="D1713" s="1" t="s">
        <v>25</v>
      </c>
      <c r="E1713" s="1" t="s">
        <v>94</v>
      </c>
      <c r="F1713" s="1" t="s">
        <v>40</v>
      </c>
      <c r="G1713" s="1">
        <v>259479</v>
      </c>
      <c r="H1713" s="63">
        <v>45265</v>
      </c>
      <c r="I1713" s="63">
        <v>45352</v>
      </c>
      <c r="J1713" s="1">
        <v>87</v>
      </c>
      <c r="K1713" s="1">
        <v>13.8</v>
      </c>
      <c r="L1713" s="1" t="s">
        <v>96</v>
      </c>
      <c r="M1713" s="1" t="s">
        <v>21</v>
      </c>
      <c r="N1713" s="1" t="str">
        <f t="shared" si="26"/>
        <v>Normal</v>
      </c>
    </row>
    <row r="1714" spans="1:14" x14ac:dyDescent="0.25">
      <c r="A1714" s="1" t="s">
        <v>2859</v>
      </c>
      <c r="B1714" s="1" t="s">
        <v>109</v>
      </c>
      <c r="C1714" s="1" t="s">
        <v>1142</v>
      </c>
      <c r="D1714" s="1" t="s">
        <v>67</v>
      </c>
      <c r="E1714" s="1" t="s">
        <v>77</v>
      </c>
      <c r="F1714" s="1" t="s">
        <v>40</v>
      </c>
      <c r="G1714" s="1">
        <v>415205</v>
      </c>
      <c r="H1714" s="63">
        <v>45082</v>
      </c>
      <c r="I1714" s="63">
        <v>45169</v>
      </c>
      <c r="J1714" s="1">
        <v>87</v>
      </c>
      <c r="K1714" s="1">
        <v>15.6</v>
      </c>
      <c r="L1714" s="1" t="s">
        <v>96</v>
      </c>
      <c r="M1714" s="1" t="s">
        <v>30</v>
      </c>
      <c r="N1714" s="1" t="str">
        <f t="shared" si="26"/>
        <v>Normal</v>
      </c>
    </row>
    <row r="1715" spans="1:14" x14ac:dyDescent="0.25">
      <c r="A1715" s="1" t="s">
        <v>2860</v>
      </c>
      <c r="B1715" s="1" t="s">
        <v>109</v>
      </c>
      <c r="C1715" s="1" t="s">
        <v>141</v>
      </c>
      <c r="D1715" s="1" t="s">
        <v>16</v>
      </c>
      <c r="E1715" s="1" t="s">
        <v>77</v>
      </c>
      <c r="F1715" s="1" t="s">
        <v>53</v>
      </c>
      <c r="G1715" s="1">
        <v>358285</v>
      </c>
      <c r="H1715" s="63">
        <v>45070</v>
      </c>
      <c r="J1715" s="1"/>
      <c r="K1715" s="1">
        <v>10.5</v>
      </c>
      <c r="L1715" s="1" t="s">
        <v>20</v>
      </c>
      <c r="M1715" s="1" t="s">
        <v>30</v>
      </c>
      <c r="N1715" s="1" t="str">
        <f t="shared" si="26"/>
        <v>Normal</v>
      </c>
    </row>
    <row r="1716" spans="1:14" x14ac:dyDescent="0.25">
      <c r="A1716" s="1" t="s">
        <v>2861</v>
      </c>
      <c r="B1716" s="1" t="s">
        <v>127</v>
      </c>
      <c r="C1716" s="1" t="s">
        <v>1178</v>
      </c>
      <c r="D1716" s="1" t="s">
        <v>67</v>
      </c>
      <c r="E1716" s="1" t="s">
        <v>94</v>
      </c>
      <c r="F1716" s="1" t="s">
        <v>18</v>
      </c>
      <c r="G1716" s="1">
        <v>306246</v>
      </c>
      <c r="H1716" s="63">
        <v>45117</v>
      </c>
      <c r="I1716" s="63">
        <v>45250</v>
      </c>
      <c r="J1716" s="1">
        <v>133</v>
      </c>
      <c r="K1716" s="1">
        <v>1.6</v>
      </c>
      <c r="L1716" s="1" t="s">
        <v>49</v>
      </c>
      <c r="M1716" s="1" t="s">
        <v>102</v>
      </c>
      <c r="N1716" s="1" t="str">
        <f t="shared" si="26"/>
        <v>Normal</v>
      </c>
    </row>
    <row r="1717" spans="1:14" x14ac:dyDescent="0.25">
      <c r="A1717" s="1" t="s">
        <v>2862</v>
      </c>
      <c r="B1717" s="1" t="s">
        <v>59</v>
      </c>
      <c r="C1717" s="1" t="s">
        <v>813</v>
      </c>
      <c r="D1717" s="1" t="s">
        <v>90</v>
      </c>
      <c r="E1717" s="1" t="s">
        <v>72</v>
      </c>
      <c r="F1717" s="1" t="s">
        <v>33</v>
      </c>
      <c r="G1717" s="1">
        <v>976351</v>
      </c>
      <c r="H1717" s="63">
        <v>45148</v>
      </c>
      <c r="J1717" s="1"/>
      <c r="K1717" s="1">
        <v>12.2</v>
      </c>
      <c r="L1717" s="1" t="s">
        <v>20</v>
      </c>
      <c r="M1717" s="1" t="s">
        <v>102</v>
      </c>
      <c r="N1717" s="1" t="str">
        <f t="shared" si="26"/>
        <v>High Outlier</v>
      </c>
    </row>
    <row r="1718" spans="1:14" x14ac:dyDescent="0.25">
      <c r="A1718" s="1" t="s">
        <v>2863</v>
      </c>
      <c r="B1718" s="1" t="s">
        <v>173</v>
      </c>
      <c r="C1718" s="1" t="s">
        <v>1299</v>
      </c>
      <c r="D1718" s="1" t="s">
        <v>25</v>
      </c>
      <c r="E1718" s="1" t="s">
        <v>100</v>
      </c>
      <c r="F1718" s="1" t="s">
        <v>129</v>
      </c>
      <c r="G1718" s="1">
        <v>179695</v>
      </c>
      <c r="H1718" s="63">
        <v>45641</v>
      </c>
      <c r="J1718" s="1"/>
      <c r="K1718" s="1">
        <v>6.6</v>
      </c>
      <c r="L1718" s="1" t="s">
        <v>20</v>
      </c>
      <c r="M1718" s="1" t="s">
        <v>42</v>
      </c>
      <c r="N1718" s="1" t="str">
        <f t="shared" si="26"/>
        <v>Normal</v>
      </c>
    </row>
    <row r="1719" spans="1:14" x14ac:dyDescent="0.25">
      <c r="A1719" s="1" t="s">
        <v>2864</v>
      </c>
      <c r="B1719" s="1" t="s">
        <v>88</v>
      </c>
      <c r="C1719" s="1" t="s">
        <v>15</v>
      </c>
      <c r="D1719" s="1" t="s">
        <v>25</v>
      </c>
      <c r="E1719" s="1" t="s">
        <v>47</v>
      </c>
      <c r="F1719" s="1" t="s">
        <v>33</v>
      </c>
      <c r="G1719" s="1">
        <v>361562</v>
      </c>
      <c r="H1719" s="63">
        <v>45332</v>
      </c>
      <c r="J1719" s="1"/>
      <c r="K1719" s="1"/>
      <c r="L1719" s="1" t="s">
        <v>20</v>
      </c>
      <c r="M1719" s="1" t="s">
        <v>69</v>
      </c>
      <c r="N1719" s="1" t="str">
        <f t="shared" si="26"/>
        <v>Normal</v>
      </c>
    </row>
    <row r="1720" spans="1:14" x14ac:dyDescent="0.25">
      <c r="A1720" s="1" t="s">
        <v>2865</v>
      </c>
      <c r="B1720" s="1" t="s">
        <v>59</v>
      </c>
      <c r="C1720" s="1" t="s">
        <v>339</v>
      </c>
      <c r="D1720" s="1" t="s">
        <v>90</v>
      </c>
      <c r="E1720" s="1" t="s">
        <v>17</v>
      </c>
      <c r="F1720" s="1" t="s">
        <v>40</v>
      </c>
      <c r="G1720" s="1">
        <v>52445</v>
      </c>
      <c r="H1720" s="63">
        <v>45270</v>
      </c>
      <c r="I1720" s="63">
        <v>45299</v>
      </c>
      <c r="J1720" s="1">
        <v>29</v>
      </c>
      <c r="K1720" s="1">
        <v>22.8</v>
      </c>
      <c r="L1720" s="1" t="s">
        <v>49</v>
      </c>
      <c r="M1720" s="1" t="s">
        <v>21</v>
      </c>
      <c r="N1720" s="1" t="str">
        <f t="shared" si="26"/>
        <v>Normal</v>
      </c>
    </row>
    <row r="1721" spans="1:14" x14ac:dyDescent="0.25">
      <c r="A1721" s="1" t="s">
        <v>2867</v>
      </c>
      <c r="B1721" s="1" t="s">
        <v>44</v>
      </c>
      <c r="C1721" s="1" t="s">
        <v>316</v>
      </c>
      <c r="D1721" s="1" t="s">
        <v>90</v>
      </c>
      <c r="E1721" s="1" t="s">
        <v>94</v>
      </c>
      <c r="F1721" s="1" t="s">
        <v>129</v>
      </c>
      <c r="G1721" s="1">
        <v>57862</v>
      </c>
      <c r="H1721" s="63">
        <v>45320</v>
      </c>
      <c r="J1721" s="1"/>
      <c r="K1721" s="1">
        <v>3.6</v>
      </c>
      <c r="L1721" s="1" t="s">
        <v>20</v>
      </c>
      <c r="M1721" s="1" t="s">
        <v>69</v>
      </c>
      <c r="N1721" s="1" t="str">
        <f t="shared" si="26"/>
        <v>Normal</v>
      </c>
    </row>
    <row r="1722" spans="1:14" x14ac:dyDescent="0.25">
      <c r="A1722" s="1" t="s">
        <v>2868</v>
      </c>
      <c r="B1722" s="1" t="s">
        <v>173</v>
      </c>
      <c r="C1722" s="1" t="s">
        <v>198</v>
      </c>
      <c r="D1722" s="1" t="s">
        <v>16</v>
      </c>
      <c r="E1722" s="1" t="s">
        <v>72</v>
      </c>
      <c r="F1722" s="1" t="s">
        <v>53</v>
      </c>
      <c r="G1722" s="1">
        <v>17274</v>
      </c>
      <c r="H1722" s="63">
        <v>44943</v>
      </c>
      <c r="J1722" s="1"/>
      <c r="K1722" s="1"/>
      <c r="L1722" s="1" t="s">
        <v>96</v>
      </c>
      <c r="M1722" s="1" t="s">
        <v>35</v>
      </c>
      <c r="N1722" s="1" t="str">
        <f t="shared" si="26"/>
        <v>Normal</v>
      </c>
    </row>
    <row r="1723" spans="1:14" x14ac:dyDescent="0.25">
      <c r="A1723" s="1" t="s">
        <v>2869</v>
      </c>
      <c r="B1723" s="1" t="s">
        <v>127</v>
      </c>
      <c r="C1723" s="1" t="s">
        <v>972</v>
      </c>
      <c r="D1723" s="1" t="s">
        <v>39</v>
      </c>
      <c r="E1723" s="1" t="s">
        <v>72</v>
      </c>
      <c r="F1723" s="1" t="s">
        <v>33</v>
      </c>
      <c r="G1723" s="1">
        <v>285905</v>
      </c>
      <c r="H1723" s="63">
        <v>45150</v>
      </c>
      <c r="J1723" s="1"/>
      <c r="K1723" s="1">
        <v>14.9</v>
      </c>
      <c r="L1723" s="1" t="s">
        <v>20</v>
      </c>
      <c r="M1723" s="1" t="s">
        <v>102</v>
      </c>
      <c r="N1723" s="1" t="str">
        <f t="shared" si="26"/>
        <v>Normal</v>
      </c>
    </row>
    <row r="1724" spans="1:14" x14ac:dyDescent="0.25">
      <c r="A1724" s="1" t="s">
        <v>2871</v>
      </c>
      <c r="B1724" s="1" t="s">
        <v>104</v>
      </c>
      <c r="C1724" s="1" t="s">
        <v>316</v>
      </c>
      <c r="D1724" s="1" t="s">
        <v>25</v>
      </c>
      <c r="E1724" s="1" t="s">
        <v>26</v>
      </c>
      <c r="F1724" s="1" t="s">
        <v>40</v>
      </c>
      <c r="G1724" s="1">
        <v>300964</v>
      </c>
      <c r="H1724" s="63">
        <v>45444</v>
      </c>
      <c r="I1724" s="63">
        <v>45613</v>
      </c>
      <c r="J1724" s="1">
        <v>169</v>
      </c>
      <c r="K1724" s="1">
        <v>20.399999999999999</v>
      </c>
      <c r="L1724" s="1" t="s">
        <v>96</v>
      </c>
      <c r="M1724" s="1" t="s">
        <v>107</v>
      </c>
      <c r="N1724" s="1" t="str">
        <f t="shared" si="26"/>
        <v>Normal</v>
      </c>
    </row>
    <row r="1725" spans="1:14" x14ac:dyDescent="0.25">
      <c r="A1725" s="1" t="s">
        <v>2872</v>
      </c>
      <c r="B1725" s="1" t="s">
        <v>84</v>
      </c>
      <c r="C1725" s="1" t="s">
        <v>983</v>
      </c>
      <c r="D1725" s="1" t="s">
        <v>16</v>
      </c>
      <c r="E1725" s="1" t="s">
        <v>77</v>
      </c>
      <c r="F1725" s="1" t="s">
        <v>129</v>
      </c>
      <c r="G1725" s="1">
        <v>181602</v>
      </c>
      <c r="H1725" s="63">
        <v>44984</v>
      </c>
      <c r="J1725" s="1"/>
      <c r="K1725" s="1"/>
      <c r="L1725" s="1" t="s">
        <v>96</v>
      </c>
      <c r="M1725" s="1" t="s">
        <v>35</v>
      </c>
      <c r="N1725" s="1" t="str">
        <f t="shared" si="26"/>
        <v>Normal</v>
      </c>
    </row>
    <row r="1726" spans="1:14" x14ac:dyDescent="0.25">
      <c r="A1726" s="1" t="s">
        <v>2873</v>
      </c>
      <c r="B1726" s="1" t="s">
        <v>109</v>
      </c>
      <c r="C1726" s="1" t="s">
        <v>1170</v>
      </c>
      <c r="D1726" s="1" t="s">
        <v>16</v>
      </c>
      <c r="E1726" s="1" t="s">
        <v>61</v>
      </c>
      <c r="F1726" s="1" t="s">
        <v>129</v>
      </c>
      <c r="G1726" s="1">
        <v>476786</v>
      </c>
      <c r="H1726" s="63">
        <v>45234</v>
      </c>
      <c r="J1726" s="1"/>
      <c r="K1726" s="1"/>
      <c r="L1726" s="1" t="s">
        <v>49</v>
      </c>
      <c r="M1726" s="1" t="s">
        <v>21</v>
      </c>
      <c r="N1726" s="1" t="str">
        <f t="shared" si="26"/>
        <v>Normal</v>
      </c>
    </row>
    <row r="1727" spans="1:14" x14ac:dyDescent="0.25">
      <c r="A1727" s="1" t="s">
        <v>2874</v>
      </c>
      <c r="B1727" s="1" t="s">
        <v>75</v>
      </c>
      <c r="C1727" s="1" t="s">
        <v>1812</v>
      </c>
      <c r="D1727" s="1" t="s">
        <v>39</v>
      </c>
      <c r="E1727" s="1" t="s">
        <v>94</v>
      </c>
      <c r="F1727" s="1" t="s">
        <v>40</v>
      </c>
      <c r="G1727" s="1">
        <v>76484</v>
      </c>
      <c r="H1727" s="63">
        <v>45700</v>
      </c>
      <c r="I1727" s="63">
        <v>45852</v>
      </c>
      <c r="J1727" s="1">
        <v>152</v>
      </c>
      <c r="K1727" s="1">
        <v>2.6</v>
      </c>
      <c r="L1727" s="1" t="s">
        <v>29</v>
      </c>
      <c r="M1727" s="1" t="s">
        <v>63</v>
      </c>
      <c r="N1727" s="1" t="str">
        <f t="shared" si="26"/>
        <v>Normal</v>
      </c>
    </row>
    <row r="1728" spans="1:14" x14ac:dyDescent="0.25">
      <c r="A1728" s="1" t="s">
        <v>2875</v>
      </c>
      <c r="B1728" s="1" t="s">
        <v>98</v>
      </c>
      <c r="C1728" s="1" t="s">
        <v>720</v>
      </c>
      <c r="D1728" s="1" t="s">
        <v>25</v>
      </c>
      <c r="E1728" s="1" t="s">
        <v>47</v>
      </c>
      <c r="F1728" s="1" t="s">
        <v>40</v>
      </c>
      <c r="G1728" s="1">
        <v>157447</v>
      </c>
      <c r="H1728" s="63">
        <v>45182</v>
      </c>
      <c r="I1728" s="63">
        <v>45226</v>
      </c>
      <c r="J1728" s="1">
        <v>44</v>
      </c>
      <c r="K1728" s="1">
        <v>3.7</v>
      </c>
      <c r="L1728" s="1" t="s">
        <v>20</v>
      </c>
      <c r="M1728" s="1" t="s">
        <v>102</v>
      </c>
      <c r="N1728" s="1" t="str">
        <f t="shared" si="26"/>
        <v>Normal</v>
      </c>
    </row>
    <row r="1729" spans="1:14" x14ac:dyDescent="0.25">
      <c r="A1729" s="1" t="s">
        <v>2876</v>
      </c>
      <c r="B1729" s="1" t="s">
        <v>14</v>
      </c>
      <c r="C1729" s="1" t="s">
        <v>110</v>
      </c>
      <c r="D1729" s="1" t="s">
        <v>16</v>
      </c>
      <c r="E1729" s="1" t="s">
        <v>47</v>
      </c>
      <c r="F1729" s="1" t="s">
        <v>18</v>
      </c>
      <c r="G1729" s="1">
        <v>175594</v>
      </c>
      <c r="H1729" s="63">
        <v>44996</v>
      </c>
      <c r="I1729" s="63">
        <v>45155</v>
      </c>
      <c r="J1729" s="1">
        <v>159</v>
      </c>
      <c r="K1729" s="1"/>
      <c r="L1729" s="1" t="s">
        <v>20</v>
      </c>
      <c r="M1729" s="1" t="s">
        <v>35</v>
      </c>
      <c r="N1729" s="1" t="str">
        <f t="shared" si="26"/>
        <v>Normal</v>
      </c>
    </row>
    <row r="1730" spans="1:14" x14ac:dyDescent="0.25">
      <c r="A1730" s="1" t="s">
        <v>2878</v>
      </c>
      <c r="B1730" s="1" t="s">
        <v>75</v>
      </c>
      <c r="C1730" s="1" t="s">
        <v>460</v>
      </c>
      <c r="D1730" s="1" t="s">
        <v>90</v>
      </c>
      <c r="E1730" s="1" t="s">
        <v>4845</v>
      </c>
      <c r="F1730" s="1" t="s">
        <v>27</v>
      </c>
      <c r="G1730" s="1">
        <v>148935</v>
      </c>
      <c r="H1730" s="63">
        <v>45236</v>
      </c>
      <c r="J1730" s="1"/>
      <c r="K1730" s="1"/>
      <c r="L1730" s="1" t="s">
        <v>96</v>
      </c>
      <c r="M1730" s="1" t="s">
        <v>21</v>
      </c>
      <c r="N1730" s="1" t="str">
        <f t="shared" ref="N1730:N1793" si="27">IF(G1730&gt;$R$5,"High Outlier",IF(G1730&lt;$R$6,"Low Outlier","Normal"))</f>
        <v>Normal</v>
      </c>
    </row>
    <row r="1731" spans="1:14" x14ac:dyDescent="0.25">
      <c r="A1731" s="1" t="s">
        <v>2879</v>
      </c>
      <c r="B1731" s="1" t="s">
        <v>98</v>
      </c>
      <c r="C1731" s="1" t="s">
        <v>987</v>
      </c>
      <c r="D1731" s="1" t="s">
        <v>39</v>
      </c>
      <c r="E1731" s="1" t="s">
        <v>100</v>
      </c>
      <c r="F1731" s="1" t="s">
        <v>40</v>
      </c>
      <c r="G1731" s="1">
        <v>196782</v>
      </c>
      <c r="H1731" s="63">
        <v>45288</v>
      </c>
      <c r="I1731" s="63">
        <v>45348</v>
      </c>
      <c r="J1731" s="1">
        <v>60</v>
      </c>
      <c r="K1731" s="1">
        <v>4.7</v>
      </c>
      <c r="L1731" s="1" t="s">
        <v>49</v>
      </c>
      <c r="M1731" s="1" t="s">
        <v>21</v>
      </c>
      <c r="N1731" s="1" t="str">
        <f t="shared" si="27"/>
        <v>Normal</v>
      </c>
    </row>
    <row r="1732" spans="1:14" x14ac:dyDescent="0.25">
      <c r="A1732" s="1" t="s">
        <v>2880</v>
      </c>
      <c r="B1732" s="1" t="s">
        <v>104</v>
      </c>
      <c r="C1732" s="1" t="s">
        <v>401</v>
      </c>
      <c r="D1732" s="1" t="s">
        <v>90</v>
      </c>
      <c r="E1732" s="1" t="s">
        <v>17</v>
      </c>
      <c r="F1732" s="1" t="s">
        <v>33</v>
      </c>
      <c r="G1732" s="1">
        <v>442469</v>
      </c>
      <c r="H1732" s="63">
        <v>44927</v>
      </c>
      <c r="J1732" s="1"/>
      <c r="K1732" s="1">
        <v>1.2</v>
      </c>
      <c r="L1732" s="1" t="s">
        <v>49</v>
      </c>
      <c r="M1732" s="1" t="s">
        <v>35</v>
      </c>
      <c r="N1732" s="1" t="str">
        <f t="shared" si="27"/>
        <v>Normal</v>
      </c>
    </row>
    <row r="1733" spans="1:14" x14ac:dyDescent="0.25">
      <c r="A1733" s="1" t="s">
        <v>2881</v>
      </c>
      <c r="B1733" s="1" t="s">
        <v>65</v>
      </c>
      <c r="C1733" s="1" t="s">
        <v>1121</v>
      </c>
      <c r="D1733" s="1" t="s">
        <v>25</v>
      </c>
      <c r="E1733" s="1" t="s">
        <v>94</v>
      </c>
      <c r="F1733" s="1" t="s">
        <v>53</v>
      </c>
      <c r="G1733" s="1">
        <v>139013</v>
      </c>
      <c r="H1733" s="63">
        <v>45130</v>
      </c>
      <c r="J1733" s="1"/>
      <c r="K1733" s="1"/>
      <c r="L1733" s="1" t="s">
        <v>49</v>
      </c>
      <c r="M1733" s="1" t="s">
        <v>102</v>
      </c>
      <c r="N1733" s="1" t="str">
        <f t="shared" si="27"/>
        <v>Normal</v>
      </c>
    </row>
    <row r="1734" spans="1:14" x14ac:dyDescent="0.25">
      <c r="A1734" s="1" t="s">
        <v>2883</v>
      </c>
      <c r="B1734" s="1" t="s">
        <v>104</v>
      </c>
      <c r="C1734" s="1" t="s">
        <v>906</v>
      </c>
      <c r="D1734" s="1" t="s">
        <v>25</v>
      </c>
      <c r="E1734" s="1" t="s">
        <v>61</v>
      </c>
      <c r="F1734" s="1" t="s">
        <v>40</v>
      </c>
      <c r="G1734" s="1">
        <v>122521</v>
      </c>
      <c r="H1734" s="63">
        <v>45509</v>
      </c>
      <c r="I1734" s="63">
        <v>45676</v>
      </c>
      <c r="J1734" s="1">
        <v>167</v>
      </c>
      <c r="K1734" s="1">
        <v>19.5</v>
      </c>
      <c r="L1734" s="1" t="s">
        <v>20</v>
      </c>
      <c r="M1734" s="1" t="s">
        <v>149</v>
      </c>
      <c r="N1734" s="1" t="str">
        <f t="shared" si="27"/>
        <v>Normal</v>
      </c>
    </row>
    <row r="1735" spans="1:14" x14ac:dyDescent="0.25">
      <c r="A1735" s="1" t="s">
        <v>2884</v>
      </c>
      <c r="B1735" s="1" t="s">
        <v>23</v>
      </c>
      <c r="C1735" s="1" t="s">
        <v>654</v>
      </c>
      <c r="D1735" s="1" t="s">
        <v>67</v>
      </c>
      <c r="E1735" s="1" t="s">
        <v>17</v>
      </c>
      <c r="F1735" s="1" t="s">
        <v>53</v>
      </c>
      <c r="G1735" s="1">
        <v>61246</v>
      </c>
      <c r="H1735" s="63">
        <v>45232</v>
      </c>
      <c r="J1735" s="1"/>
      <c r="K1735" s="1">
        <v>0.2</v>
      </c>
      <c r="L1735" s="1" t="s">
        <v>29</v>
      </c>
      <c r="M1735" s="1" t="s">
        <v>21</v>
      </c>
      <c r="N1735" s="1" t="str">
        <f t="shared" si="27"/>
        <v>Normal</v>
      </c>
    </row>
    <row r="1736" spans="1:14" x14ac:dyDescent="0.25">
      <c r="A1736" s="1" t="s">
        <v>2886</v>
      </c>
      <c r="B1736" s="1" t="s">
        <v>80</v>
      </c>
      <c r="C1736" s="1" t="s">
        <v>1742</v>
      </c>
      <c r="D1736" s="1" t="s">
        <v>46</v>
      </c>
      <c r="E1736" s="1" t="s">
        <v>94</v>
      </c>
      <c r="F1736" s="1" t="s">
        <v>40</v>
      </c>
      <c r="G1736" s="1">
        <v>320540</v>
      </c>
      <c r="H1736" s="63">
        <v>45349</v>
      </c>
      <c r="I1736" s="63">
        <v>45493</v>
      </c>
      <c r="J1736" s="1">
        <v>144</v>
      </c>
      <c r="K1736" s="1">
        <v>5.5</v>
      </c>
      <c r="L1736" s="1" t="s">
        <v>49</v>
      </c>
      <c r="M1736" s="1" t="s">
        <v>69</v>
      </c>
      <c r="N1736" s="1" t="str">
        <f t="shared" si="27"/>
        <v>Normal</v>
      </c>
    </row>
    <row r="1737" spans="1:14" x14ac:dyDescent="0.25">
      <c r="A1737" s="1" t="s">
        <v>2888</v>
      </c>
      <c r="B1737" s="1" t="s">
        <v>109</v>
      </c>
      <c r="C1737" s="1" t="s">
        <v>1112</v>
      </c>
      <c r="D1737" s="1" t="s">
        <v>46</v>
      </c>
      <c r="E1737" s="1" t="s">
        <v>77</v>
      </c>
      <c r="F1737" s="1" t="s">
        <v>27</v>
      </c>
      <c r="G1737" s="1">
        <v>91741</v>
      </c>
      <c r="H1737" s="63">
        <v>45174</v>
      </c>
      <c r="J1737" s="1"/>
      <c r="K1737" s="1">
        <v>12.9</v>
      </c>
      <c r="L1737" s="1" t="s">
        <v>49</v>
      </c>
      <c r="M1737" s="1" t="s">
        <v>102</v>
      </c>
      <c r="N1737" s="1" t="str">
        <f t="shared" si="27"/>
        <v>Normal</v>
      </c>
    </row>
    <row r="1738" spans="1:14" x14ac:dyDescent="0.25">
      <c r="A1738" s="1" t="s">
        <v>2889</v>
      </c>
      <c r="B1738" s="1" t="s">
        <v>104</v>
      </c>
      <c r="C1738" s="1" t="s">
        <v>300</v>
      </c>
      <c r="D1738" s="1" t="s">
        <v>25</v>
      </c>
      <c r="E1738" s="1" t="s">
        <v>47</v>
      </c>
      <c r="F1738" s="1" t="s">
        <v>53</v>
      </c>
      <c r="G1738" s="1">
        <v>264036</v>
      </c>
      <c r="H1738" s="63">
        <v>45554</v>
      </c>
      <c r="J1738" s="1"/>
      <c r="K1738" s="1">
        <v>11.9</v>
      </c>
      <c r="L1738" s="1" t="s">
        <v>20</v>
      </c>
      <c r="M1738" s="1" t="s">
        <v>149</v>
      </c>
      <c r="N1738" s="1" t="str">
        <f t="shared" si="27"/>
        <v>Normal</v>
      </c>
    </row>
    <row r="1739" spans="1:14" x14ac:dyDescent="0.25">
      <c r="A1739" s="1" t="s">
        <v>2890</v>
      </c>
      <c r="B1739" s="1" t="s">
        <v>84</v>
      </c>
      <c r="C1739" s="1" t="s">
        <v>292</v>
      </c>
      <c r="D1739" s="1" t="s">
        <v>46</v>
      </c>
      <c r="E1739" s="1" t="s">
        <v>100</v>
      </c>
      <c r="F1739" s="1" t="s">
        <v>27</v>
      </c>
      <c r="G1739" s="1">
        <v>155604</v>
      </c>
      <c r="H1739" s="63">
        <v>45086</v>
      </c>
      <c r="J1739" s="1"/>
      <c r="K1739" s="1">
        <v>7.9</v>
      </c>
      <c r="L1739" s="1" t="s">
        <v>49</v>
      </c>
      <c r="M1739" s="1" t="s">
        <v>30</v>
      </c>
      <c r="N1739" s="1" t="str">
        <f t="shared" si="27"/>
        <v>Normal</v>
      </c>
    </row>
    <row r="1740" spans="1:14" x14ac:dyDescent="0.25">
      <c r="A1740" s="1" t="s">
        <v>2892</v>
      </c>
      <c r="B1740" s="1" t="s">
        <v>14</v>
      </c>
      <c r="C1740" s="1" t="s">
        <v>195</v>
      </c>
      <c r="D1740" s="1" t="s">
        <v>39</v>
      </c>
      <c r="E1740" s="1" t="s">
        <v>47</v>
      </c>
      <c r="F1740" s="1" t="s">
        <v>53</v>
      </c>
      <c r="G1740" s="1">
        <v>321096</v>
      </c>
      <c r="H1740" s="63">
        <v>45465</v>
      </c>
      <c r="J1740" s="1"/>
      <c r="K1740" s="1">
        <v>1.1000000000000001</v>
      </c>
      <c r="L1740" s="1" t="s">
        <v>29</v>
      </c>
      <c r="M1740" s="1" t="s">
        <v>107</v>
      </c>
      <c r="N1740" s="1" t="str">
        <f t="shared" si="27"/>
        <v>Normal</v>
      </c>
    </row>
    <row r="1741" spans="1:14" x14ac:dyDescent="0.25">
      <c r="A1741" s="1" t="s">
        <v>2894</v>
      </c>
      <c r="B1741" s="1" t="s">
        <v>104</v>
      </c>
      <c r="C1741" s="1" t="s">
        <v>303</v>
      </c>
      <c r="D1741" s="1" t="s">
        <v>16</v>
      </c>
      <c r="E1741" s="1" t="s">
        <v>72</v>
      </c>
      <c r="F1741" s="1" t="s">
        <v>53</v>
      </c>
      <c r="G1741" s="1">
        <v>323038</v>
      </c>
      <c r="H1741" s="63">
        <v>45118</v>
      </c>
      <c r="J1741" s="1"/>
      <c r="K1741" s="1"/>
      <c r="L1741" s="1" t="s">
        <v>29</v>
      </c>
      <c r="M1741" s="1" t="s">
        <v>102</v>
      </c>
      <c r="N1741" s="1" t="str">
        <f t="shared" si="27"/>
        <v>Normal</v>
      </c>
    </row>
    <row r="1742" spans="1:14" x14ac:dyDescent="0.25">
      <c r="A1742" s="1" t="s">
        <v>2895</v>
      </c>
      <c r="B1742" s="1" t="s">
        <v>59</v>
      </c>
      <c r="C1742" s="1" t="s">
        <v>767</v>
      </c>
      <c r="D1742" s="1" t="s">
        <v>25</v>
      </c>
      <c r="E1742" s="1" t="s">
        <v>17</v>
      </c>
      <c r="F1742" s="1" t="s">
        <v>40</v>
      </c>
      <c r="G1742" s="1">
        <v>445143</v>
      </c>
      <c r="H1742" s="63">
        <v>45350</v>
      </c>
      <c r="I1742" s="63">
        <v>45392</v>
      </c>
      <c r="J1742" s="1">
        <v>42</v>
      </c>
      <c r="K1742" s="1">
        <v>11.2</v>
      </c>
      <c r="L1742" s="1" t="s">
        <v>29</v>
      </c>
      <c r="M1742" s="1" t="s">
        <v>69</v>
      </c>
      <c r="N1742" s="1" t="str">
        <f t="shared" si="27"/>
        <v>Normal</v>
      </c>
    </row>
    <row r="1743" spans="1:14" x14ac:dyDescent="0.25">
      <c r="A1743" s="1" t="s">
        <v>2896</v>
      </c>
      <c r="B1743" s="1" t="s">
        <v>14</v>
      </c>
      <c r="C1743" s="1" t="s">
        <v>676</v>
      </c>
      <c r="D1743" s="1" t="s">
        <v>67</v>
      </c>
      <c r="E1743" s="1" t="s">
        <v>100</v>
      </c>
      <c r="F1743" s="1" t="s">
        <v>27</v>
      </c>
      <c r="G1743" s="1">
        <v>420677</v>
      </c>
      <c r="H1743" s="63">
        <v>44931</v>
      </c>
      <c r="J1743" s="1"/>
      <c r="K1743" s="1"/>
      <c r="L1743" s="1" t="s">
        <v>20</v>
      </c>
      <c r="M1743" s="1" t="s">
        <v>35</v>
      </c>
      <c r="N1743" s="1" t="str">
        <f t="shared" si="27"/>
        <v>Normal</v>
      </c>
    </row>
    <row r="1744" spans="1:14" x14ac:dyDescent="0.25">
      <c r="A1744" s="1" t="s">
        <v>2897</v>
      </c>
      <c r="B1744" s="1" t="s">
        <v>104</v>
      </c>
      <c r="C1744" s="1" t="s">
        <v>539</v>
      </c>
      <c r="D1744" s="1" t="s">
        <v>67</v>
      </c>
      <c r="E1744" s="1" t="s">
        <v>61</v>
      </c>
      <c r="F1744" s="1" t="s">
        <v>129</v>
      </c>
      <c r="G1744" s="1">
        <v>83315</v>
      </c>
      <c r="H1744" s="63">
        <v>44936</v>
      </c>
      <c r="J1744" s="1"/>
      <c r="K1744" s="1"/>
      <c r="L1744" s="1" t="s">
        <v>49</v>
      </c>
      <c r="M1744" s="1" t="s">
        <v>35</v>
      </c>
      <c r="N1744" s="1" t="str">
        <f t="shared" si="27"/>
        <v>Normal</v>
      </c>
    </row>
    <row r="1745" spans="1:14" x14ac:dyDescent="0.25">
      <c r="A1745" s="1" t="s">
        <v>2898</v>
      </c>
      <c r="B1745" s="1" t="s">
        <v>104</v>
      </c>
      <c r="C1745" s="1" t="s">
        <v>1018</v>
      </c>
      <c r="D1745" s="1" t="s">
        <v>39</v>
      </c>
      <c r="E1745" s="1" t="s">
        <v>61</v>
      </c>
      <c r="F1745" s="1" t="s">
        <v>33</v>
      </c>
      <c r="G1745" s="1">
        <v>127137</v>
      </c>
      <c r="H1745" s="63">
        <v>45626</v>
      </c>
      <c r="J1745" s="1"/>
      <c r="K1745" s="1">
        <v>8.8000000000000007</v>
      </c>
      <c r="L1745" s="1" t="s">
        <v>20</v>
      </c>
      <c r="M1745" s="1" t="s">
        <v>42</v>
      </c>
      <c r="N1745" s="1" t="str">
        <f t="shared" si="27"/>
        <v>Normal</v>
      </c>
    </row>
    <row r="1746" spans="1:14" x14ac:dyDescent="0.25">
      <c r="A1746" s="1" t="s">
        <v>2899</v>
      </c>
      <c r="B1746" s="1" t="s">
        <v>37</v>
      </c>
      <c r="C1746" s="1" t="s">
        <v>1558</v>
      </c>
      <c r="D1746" s="1" t="s">
        <v>90</v>
      </c>
      <c r="E1746" s="1" t="s">
        <v>77</v>
      </c>
      <c r="F1746" s="1" t="s">
        <v>18</v>
      </c>
      <c r="G1746" s="1">
        <v>179417</v>
      </c>
      <c r="H1746" s="63">
        <v>45356</v>
      </c>
      <c r="I1746" s="63">
        <v>45525</v>
      </c>
      <c r="J1746" s="1">
        <v>169</v>
      </c>
      <c r="K1746" s="1"/>
      <c r="L1746" s="1" t="s">
        <v>49</v>
      </c>
      <c r="M1746" s="1" t="s">
        <v>69</v>
      </c>
      <c r="N1746" s="1" t="str">
        <f t="shared" si="27"/>
        <v>Normal</v>
      </c>
    </row>
    <row r="1747" spans="1:14" x14ac:dyDescent="0.25">
      <c r="A1747" s="1" t="s">
        <v>2900</v>
      </c>
      <c r="B1747" s="1" t="s">
        <v>23</v>
      </c>
      <c r="C1747" s="1" t="s">
        <v>747</v>
      </c>
      <c r="D1747" s="1" t="s">
        <v>39</v>
      </c>
      <c r="E1747" s="1" t="s">
        <v>26</v>
      </c>
      <c r="F1747" s="1" t="s">
        <v>27</v>
      </c>
      <c r="G1747" s="1">
        <v>466903</v>
      </c>
      <c r="H1747" s="63">
        <v>45221</v>
      </c>
      <c r="J1747" s="1"/>
      <c r="K1747" s="1">
        <v>1.1000000000000001</v>
      </c>
      <c r="L1747" s="1" t="s">
        <v>49</v>
      </c>
      <c r="M1747" s="1" t="s">
        <v>21</v>
      </c>
      <c r="N1747" s="1" t="str">
        <f t="shared" si="27"/>
        <v>Normal</v>
      </c>
    </row>
    <row r="1748" spans="1:14" x14ac:dyDescent="0.25">
      <c r="A1748" s="1" t="s">
        <v>2901</v>
      </c>
      <c r="B1748" s="1" t="s">
        <v>37</v>
      </c>
      <c r="C1748" s="1" t="s">
        <v>1095</v>
      </c>
      <c r="D1748" s="1" t="s">
        <v>90</v>
      </c>
      <c r="E1748" s="1" t="s">
        <v>47</v>
      </c>
      <c r="F1748" s="1" t="s">
        <v>40</v>
      </c>
      <c r="G1748" s="1">
        <v>199142</v>
      </c>
      <c r="H1748" s="63">
        <v>45437</v>
      </c>
      <c r="I1748" s="63">
        <v>45496</v>
      </c>
      <c r="J1748" s="1">
        <v>59</v>
      </c>
      <c r="K1748" s="1">
        <v>23.9</v>
      </c>
      <c r="L1748" s="1" t="s">
        <v>29</v>
      </c>
      <c r="M1748" s="1" t="s">
        <v>107</v>
      </c>
      <c r="N1748" s="1" t="str">
        <f t="shared" si="27"/>
        <v>Normal</v>
      </c>
    </row>
    <row r="1749" spans="1:14" x14ac:dyDescent="0.25">
      <c r="A1749" s="1" t="s">
        <v>2903</v>
      </c>
      <c r="B1749" s="1" t="s">
        <v>104</v>
      </c>
      <c r="C1749" s="1" t="s">
        <v>1518</v>
      </c>
      <c r="D1749" s="1" t="s">
        <v>46</v>
      </c>
      <c r="E1749" s="1" t="s">
        <v>94</v>
      </c>
      <c r="F1749" s="1" t="s">
        <v>129</v>
      </c>
      <c r="G1749" s="1">
        <v>398007</v>
      </c>
      <c r="H1749" s="63">
        <v>45641</v>
      </c>
      <c r="J1749" s="1"/>
      <c r="K1749" s="1"/>
      <c r="L1749" s="1" t="s">
        <v>49</v>
      </c>
      <c r="M1749" s="1" t="s">
        <v>42</v>
      </c>
      <c r="N1749" s="1" t="str">
        <f t="shared" si="27"/>
        <v>Normal</v>
      </c>
    </row>
    <row r="1750" spans="1:14" x14ac:dyDescent="0.25">
      <c r="A1750" s="1" t="s">
        <v>2904</v>
      </c>
      <c r="B1750" s="1" t="s">
        <v>23</v>
      </c>
      <c r="C1750" s="1" t="s">
        <v>603</v>
      </c>
      <c r="D1750" s="1" t="s">
        <v>46</v>
      </c>
      <c r="E1750" s="1" t="s">
        <v>47</v>
      </c>
      <c r="F1750" s="1" t="s">
        <v>18</v>
      </c>
      <c r="G1750" s="1">
        <v>394050</v>
      </c>
      <c r="H1750" s="63">
        <v>45574</v>
      </c>
      <c r="I1750" s="63">
        <v>45628</v>
      </c>
      <c r="J1750" s="1">
        <v>54</v>
      </c>
      <c r="K1750" s="1">
        <v>4.8</v>
      </c>
      <c r="L1750" s="1" t="s">
        <v>49</v>
      </c>
      <c r="M1750" s="1" t="s">
        <v>42</v>
      </c>
      <c r="N1750" s="1" t="str">
        <f t="shared" si="27"/>
        <v>Normal</v>
      </c>
    </row>
    <row r="1751" spans="1:14" x14ac:dyDescent="0.25">
      <c r="A1751" s="1" t="s">
        <v>2906</v>
      </c>
      <c r="B1751" s="1" t="s">
        <v>109</v>
      </c>
      <c r="C1751" s="1" t="s">
        <v>486</v>
      </c>
      <c r="D1751" s="1" t="s">
        <v>67</v>
      </c>
      <c r="E1751" s="1" t="s">
        <v>94</v>
      </c>
      <c r="F1751" s="1" t="s">
        <v>18</v>
      </c>
      <c r="G1751" s="1">
        <v>387457</v>
      </c>
      <c r="H1751" s="63">
        <v>45619</v>
      </c>
      <c r="I1751" s="63">
        <v>45703</v>
      </c>
      <c r="J1751" s="1">
        <v>84</v>
      </c>
      <c r="K1751" s="1">
        <v>9.1999999999999993</v>
      </c>
      <c r="L1751" s="1" t="s">
        <v>29</v>
      </c>
      <c r="M1751" s="1" t="s">
        <v>42</v>
      </c>
      <c r="N1751" s="1" t="str">
        <f t="shared" si="27"/>
        <v>Normal</v>
      </c>
    </row>
    <row r="1752" spans="1:14" x14ac:dyDescent="0.25">
      <c r="A1752" s="1" t="s">
        <v>2907</v>
      </c>
      <c r="B1752" s="1" t="s">
        <v>98</v>
      </c>
      <c r="C1752" s="1" t="s">
        <v>790</v>
      </c>
      <c r="D1752" s="1" t="s">
        <v>90</v>
      </c>
      <c r="E1752" s="1" t="s">
        <v>72</v>
      </c>
      <c r="F1752" s="1" t="s">
        <v>53</v>
      </c>
      <c r="G1752" s="1">
        <v>331847</v>
      </c>
      <c r="H1752" s="63">
        <v>45539</v>
      </c>
      <c r="J1752" s="1"/>
      <c r="K1752" s="1"/>
      <c r="L1752" s="1" t="s">
        <v>20</v>
      </c>
      <c r="M1752" s="1" t="s">
        <v>149</v>
      </c>
      <c r="N1752" s="1" t="str">
        <f t="shared" si="27"/>
        <v>Normal</v>
      </c>
    </row>
    <row r="1753" spans="1:14" x14ac:dyDescent="0.25">
      <c r="A1753" s="1" t="s">
        <v>2908</v>
      </c>
      <c r="B1753" s="1" t="s">
        <v>109</v>
      </c>
      <c r="C1753" s="1" t="s">
        <v>442</v>
      </c>
      <c r="D1753" s="1" t="s">
        <v>25</v>
      </c>
      <c r="E1753" s="1" t="s">
        <v>61</v>
      </c>
      <c r="F1753" s="1" t="s">
        <v>53</v>
      </c>
      <c r="G1753" s="1">
        <v>80912</v>
      </c>
      <c r="H1753" s="63">
        <v>45195</v>
      </c>
      <c r="J1753" s="1"/>
      <c r="K1753" s="1">
        <v>5.0999999999999996</v>
      </c>
      <c r="L1753" s="1" t="s">
        <v>20</v>
      </c>
      <c r="M1753" s="1" t="s">
        <v>102</v>
      </c>
      <c r="N1753" s="1" t="str">
        <f t="shared" si="27"/>
        <v>Normal</v>
      </c>
    </row>
    <row r="1754" spans="1:14" x14ac:dyDescent="0.25">
      <c r="A1754" s="1" t="s">
        <v>2909</v>
      </c>
      <c r="B1754" s="1" t="s">
        <v>44</v>
      </c>
      <c r="C1754" s="1" t="s">
        <v>939</v>
      </c>
      <c r="D1754" s="1" t="s">
        <v>16</v>
      </c>
      <c r="E1754" s="1" t="s">
        <v>17</v>
      </c>
      <c r="F1754" s="1" t="s">
        <v>40</v>
      </c>
      <c r="G1754" s="1">
        <v>362912</v>
      </c>
      <c r="H1754" s="63">
        <v>45569</v>
      </c>
      <c r="I1754" s="63">
        <v>45587</v>
      </c>
      <c r="J1754" s="1">
        <v>18</v>
      </c>
      <c r="K1754" s="1">
        <v>15.9</v>
      </c>
      <c r="L1754" s="1" t="s">
        <v>96</v>
      </c>
      <c r="M1754" s="1" t="s">
        <v>42</v>
      </c>
      <c r="N1754" s="1" t="str">
        <f t="shared" si="27"/>
        <v>Normal</v>
      </c>
    </row>
    <row r="1755" spans="1:14" x14ac:dyDescent="0.25">
      <c r="A1755" s="1" t="s">
        <v>2910</v>
      </c>
      <c r="B1755" s="1" t="s">
        <v>23</v>
      </c>
      <c r="C1755" s="1" t="s">
        <v>650</v>
      </c>
      <c r="D1755" s="1" t="s">
        <v>67</v>
      </c>
      <c r="E1755" s="1" t="s">
        <v>26</v>
      </c>
      <c r="F1755" s="1" t="s">
        <v>129</v>
      </c>
      <c r="G1755" s="1">
        <v>244504</v>
      </c>
      <c r="H1755" s="63">
        <v>45630</v>
      </c>
      <c r="J1755" s="1"/>
      <c r="K1755" s="1">
        <v>4</v>
      </c>
      <c r="L1755" s="1" t="s">
        <v>96</v>
      </c>
      <c r="M1755" s="1" t="s">
        <v>42</v>
      </c>
      <c r="N1755" s="1" t="str">
        <f t="shared" si="27"/>
        <v>Normal</v>
      </c>
    </row>
    <row r="1756" spans="1:14" x14ac:dyDescent="0.25">
      <c r="A1756" s="1" t="s">
        <v>2912</v>
      </c>
      <c r="B1756" s="1" t="s">
        <v>88</v>
      </c>
      <c r="C1756" s="1" t="s">
        <v>539</v>
      </c>
      <c r="D1756" s="1" t="s">
        <v>46</v>
      </c>
      <c r="E1756" s="1" t="s">
        <v>100</v>
      </c>
      <c r="F1756" s="1" t="s">
        <v>33</v>
      </c>
      <c r="G1756" s="1">
        <v>138080</v>
      </c>
      <c r="H1756" s="63">
        <v>45611</v>
      </c>
      <c r="J1756" s="1"/>
      <c r="K1756" s="1">
        <v>14</v>
      </c>
      <c r="L1756" s="1" t="s">
        <v>29</v>
      </c>
      <c r="M1756" s="1" t="s">
        <v>42</v>
      </c>
      <c r="N1756" s="1" t="str">
        <f t="shared" si="27"/>
        <v>Normal</v>
      </c>
    </row>
    <row r="1757" spans="1:14" x14ac:dyDescent="0.25">
      <c r="A1757" s="1" t="s">
        <v>2914</v>
      </c>
      <c r="B1757" s="1" t="s">
        <v>127</v>
      </c>
      <c r="C1757" s="1" t="s">
        <v>917</v>
      </c>
      <c r="D1757" s="1" t="s">
        <v>90</v>
      </c>
      <c r="E1757" s="1" t="s">
        <v>26</v>
      </c>
      <c r="F1757" s="1" t="s">
        <v>18</v>
      </c>
      <c r="G1757" s="1">
        <v>145310</v>
      </c>
      <c r="H1757" s="63">
        <v>45488</v>
      </c>
      <c r="I1757" s="63">
        <v>45587</v>
      </c>
      <c r="J1757" s="1">
        <v>99</v>
      </c>
      <c r="K1757" s="1"/>
      <c r="L1757" s="1" t="s">
        <v>49</v>
      </c>
      <c r="M1757" s="1" t="s">
        <v>149</v>
      </c>
      <c r="N1757" s="1" t="str">
        <f t="shared" si="27"/>
        <v>Normal</v>
      </c>
    </row>
    <row r="1758" spans="1:14" x14ac:dyDescent="0.25">
      <c r="A1758" s="1" t="s">
        <v>2915</v>
      </c>
      <c r="B1758" s="1" t="s">
        <v>75</v>
      </c>
      <c r="C1758" s="1" t="s">
        <v>1997</v>
      </c>
      <c r="D1758" s="1" t="s">
        <v>25</v>
      </c>
      <c r="E1758" s="1" t="s">
        <v>77</v>
      </c>
      <c r="F1758" s="1" t="s">
        <v>40</v>
      </c>
      <c r="G1758" s="1">
        <v>427257</v>
      </c>
      <c r="H1758" s="63">
        <v>45248</v>
      </c>
      <c r="I1758" s="63">
        <v>45293</v>
      </c>
      <c r="J1758" s="1">
        <v>45</v>
      </c>
      <c r="K1758" s="1">
        <v>10.5</v>
      </c>
      <c r="L1758" s="1" t="s">
        <v>29</v>
      </c>
      <c r="M1758" s="1" t="s">
        <v>21</v>
      </c>
      <c r="N1758" s="1" t="str">
        <f t="shared" si="27"/>
        <v>Normal</v>
      </c>
    </row>
    <row r="1759" spans="1:14" x14ac:dyDescent="0.25">
      <c r="A1759" s="1" t="s">
        <v>2916</v>
      </c>
      <c r="B1759" s="1" t="s">
        <v>88</v>
      </c>
      <c r="C1759" s="1" t="s">
        <v>711</v>
      </c>
      <c r="D1759" s="1" t="s">
        <v>46</v>
      </c>
      <c r="E1759" s="1" t="s">
        <v>26</v>
      </c>
      <c r="F1759" s="1" t="s">
        <v>33</v>
      </c>
      <c r="G1759" s="1">
        <v>356660</v>
      </c>
      <c r="H1759" s="63">
        <v>45681</v>
      </c>
      <c r="J1759" s="1"/>
      <c r="K1759" s="1"/>
      <c r="L1759" s="1" t="s">
        <v>20</v>
      </c>
      <c r="M1759" s="1" t="s">
        <v>63</v>
      </c>
      <c r="N1759" s="1" t="str">
        <f t="shared" si="27"/>
        <v>Normal</v>
      </c>
    </row>
    <row r="1760" spans="1:14" x14ac:dyDescent="0.25">
      <c r="A1760" s="1" t="s">
        <v>2917</v>
      </c>
      <c r="B1760" s="1" t="s">
        <v>80</v>
      </c>
      <c r="C1760" s="1" t="s">
        <v>180</v>
      </c>
      <c r="D1760" s="1" t="s">
        <v>39</v>
      </c>
      <c r="E1760" s="1" t="s">
        <v>4845</v>
      </c>
      <c r="F1760" s="1" t="s">
        <v>129</v>
      </c>
      <c r="G1760" s="1">
        <v>250852</v>
      </c>
      <c r="H1760" s="63">
        <v>45107</v>
      </c>
      <c r="J1760" s="1"/>
      <c r="K1760" s="1">
        <v>2.8</v>
      </c>
      <c r="L1760" s="1" t="s">
        <v>29</v>
      </c>
      <c r="M1760" s="1" t="s">
        <v>30</v>
      </c>
      <c r="N1760" s="1" t="str">
        <f t="shared" si="27"/>
        <v>Normal</v>
      </c>
    </row>
    <row r="1761" spans="1:14" x14ac:dyDescent="0.25">
      <c r="A1761" s="1" t="s">
        <v>2918</v>
      </c>
      <c r="B1761" s="1" t="s">
        <v>109</v>
      </c>
      <c r="C1761" s="1" t="s">
        <v>1125</v>
      </c>
      <c r="D1761" s="1" t="s">
        <v>25</v>
      </c>
      <c r="E1761" s="1" t="s">
        <v>17</v>
      </c>
      <c r="F1761" s="1" t="s">
        <v>40</v>
      </c>
      <c r="G1761" s="1">
        <v>398854</v>
      </c>
      <c r="H1761" s="63">
        <v>45554</v>
      </c>
      <c r="I1761" s="63">
        <v>45679</v>
      </c>
      <c r="J1761" s="1">
        <v>125</v>
      </c>
      <c r="K1761" s="1">
        <v>5.0999999999999996</v>
      </c>
      <c r="L1761" s="1" t="s">
        <v>20</v>
      </c>
      <c r="M1761" s="1" t="s">
        <v>149</v>
      </c>
      <c r="N1761" s="1" t="str">
        <f t="shared" si="27"/>
        <v>Normal</v>
      </c>
    </row>
    <row r="1762" spans="1:14" x14ac:dyDescent="0.25">
      <c r="A1762" s="1" t="s">
        <v>2919</v>
      </c>
      <c r="B1762" s="1" t="s">
        <v>84</v>
      </c>
      <c r="C1762" s="1" t="s">
        <v>426</v>
      </c>
      <c r="D1762" s="1" t="s">
        <v>16</v>
      </c>
      <c r="E1762" s="1" t="s">
        <v>77</v>
      </c>
      <c r="F1762" s="1" t="s">
        <v>33</v>
      </c>
      <c r="G1762" s="1">
        <v>300720</v>
      </c>
      <c r="H1762" s="63">
        <v>45127</v>
      </c>
      <c r="J1762" s="1"/>
      <c r="K1762" s="1">
        <v>0.3</v>
      </c>
      <c r="L1762" s="1" t="s">
        <v>96</v>
      </c>
      <c r="M1762" s="1" t="s">
        <v>102</v>
      </c>
      <c r="N1762" s="1" t="str">
        <f t="shared" si="27"/>
        <v>Normal</v>
      </c>
    </row>
    <row r="1763" spans="1:14" x14ac:dyDescent="0.25">
      <c r="A1763" s="1" t="s">
        <v>2920</v>
      </c>
      <c r="B1763" s="1" t="s">
        <v>65</v>
      </c>
      <c r="C1763" s="1" t="s">
        <v>521</v>
      </c>
      <c r="D1763" s="1" t="s">
        <v>16</v>
      </c>
      <c r="E1763" s="1" t="s">
        <v>47</v>
      </c>
      <c r="F1763" s="1" t="s">
        <v>129</v>
      </c>
      <c r="G1763" s="1">
        <v>89528</v>
      </c>
      <c r="H1763" s="63">
        <v>44938</v>
      </c>
      <c r="J1763" s="1"/>
      <c r="K1763" s="1">
        <v>2.2999999999999998</v>
      </c>
      <c r="L1763" s="1" t="s">
        <v>20</v>
      </c>
      <c r="M1763" s="1" t="s">
        <v>35</v>
      </c>
      <c r="N1763" s="1" t="str">
        <f t="shared" si="27"/>
        <v>Normal</v>
      </c>
    </row>
    <row r="1764" spans="1:14" x14ac:dyDescent="0.25">
      <c r="A1764" s="1" t="s">
        <v>2921</v>
      </c>
      <c r="B1764" s="1" t="s">
        <v>104</v>
      </c>
      <c r="C1764" s="1" t="s">
        <v>439</v>
      </c>
      <c r="D1764" s="1" t="s">
        <v>16</v>
      </c>
      <c r="E1764" s="1" t="s">
        <v>77</v>
      </c>
      <c r="F1764" s="1" t="s">
        <v>53</v>
      </c>
      <c r="G1764" s="1">
        <v>267344</v>
      </c>
      <c r="H1764" s="63">
        <v>45680</v>
      </c>
      <c r="J1764" s="1"/>
      <c r="K1764" s="1">
        <v>12.1</v>
      </c>
      <c r="L1764" s="1" t="s">
        <v>29</v>
      </c>
      <c r="M1764" s="1" t="s">
        <v>63</v>
      </c>
      <c r="N1764" s="1" t="str">
        <f t="shared" si="27"/>
        <v>Normal</v>
      </c>
    </row>
    <row r="1765" spans="1:14" x14ac:dyDescent="0.25">
      <c r="A1765" s="1" t="s">
        <v>2922</v>
      </c>
      <c r="B1765" s="1" t="s">
        <v>127</v>
      </c>
      <c r="C1765" s="1" t="s">
        <v>76</v>
      </c>
      <c r="D1765" s="1" t="s">
        <v>39</v>
      </c>
      <c r="E1765" s="1" t="s">
        <v>72</v>
      </c>
      <c r="F1765" s="1" t="s">
        <v>53</v>
      </c>
      <c r="G1765" s="1">
        <v>228881</v>
      </c>
      <c r="H1765" s="63">
        <v>45473</v>
      </c>
      <c r="J1765" s="1"/>
      <c r="K1765" s="1"/>
      <c r="L1765" s="1" t="s">
        <v>96</v>
      </c>
      <c r="M1765" s="1" t="s">
        <v>107</v>
      </c>
      <c r="N1765" s="1" t="str">
        <f t="shared" si="27"/>
        <v>Normal</v>
      </c>
    </row>
    <row r="1766" spans="1:14" x14ac:dyDescent="0.25">
      <c r="A1766" s="1" t="s">
        <v>2923</v>
      </c>
      <c r="B1766" s="1" t="s">
        <v>44</v>
      </c>
      <c r="C1766" s="1" t="s">
        <v>622</v>
      </c>
      <c r="D1766" s="1" t="s">
        <v>39</v>
      </c>
      <c r="E1766" s="1" t="s">
        <v>61</v>
      </c>
      <c r="F1766" s="1" t="s">
        <v>18</v>
      </c>
      <c r="G1766" s="1">
        <v>453089</v>
      </c>
      <c r="H1766" s="63">
        <v>45422</v>
      </c>
      <c r="I1766" s="63">
        <v>45450</v>
      </c>
      <c r="J1766" s="1">
        <v>28</v>
      </c>
      <c r="K1766" s="1">
        <v>11.7</v>
      </c>
      <c r="L1766" s="1" t="s">
        <v>49</v>
      </c>
      <c r="M1766" s="1" t="s">
        <v>107</v>
      </c>
      <c r="N1766" s="1" t="str">
        <f t="shared" si="27"/>
        <v>Normal</v>
      </c>
    </row>
    <row r="1767" spans="1:14" x14ac:dyDescent="0.25">
      <c r="A1767" s="1" t="s">
        <v>2924</v>
      </c>
      <c r="B1767" s="1" t="s">
        <v>88</v>
      </c>
      <c r="C1767" s="1" t="s">
        <v>928</v>
      </c>
      <c r="D1767" s="1" t="s">
        <v>16</v>
      </c>
      <c r="E1767" s="1" t="s">
        <v>100</v>
      </c>
      <c r="F1767" s="1" t="s">
        <v>18</v>
      </c>
      <c r="G1767" s="1">
        <v>184299</v>
      </c>
      <c r="H1767" s="63">
        <v>45222</v>
      </c>
      <c r="I1767" s="63">
        <v>45279</v>
      </c>
      <c r="J1767" s="1">
        <v>57</v>
      </c>
      <c r="K1767" s="1">
        <v>1.2</v>
      </c>
      <c r="L1767" s="1" t="s">
        <v>49</v>
      </c>
      <c r="M1767" s="1" t="s">
        <v>21</v>
      </c>
      <c r="N1767" s="1" t="str">
        <f t="shared" si="27"/>
        <v>Normal</v>
      </c>
    </row>
    <row r="1768" spans="1:14" x14ac:dyDescent="0.25">
      <c r="A1768" s="1" t="s">
        <v>2925</v>
      </c>
      <c r="B1768" s="1" t="s">
        <v>59</v>
      </c>
      <c r="C1768" s="1" t="s">
        <v>1470</v>
      </c>
      <c r="D1768" s="1" t="s">
        <v>90</v>
      </c>
      <c r="E1768" s="1" t="s">
        <v>47</v>
      </c>
      <c r="F1768" s="1" t="s">
        <v>33</v>
      </c>
      <c r="G1768" s="1">
        <v>400782</v>
      </c>
      <c r="H1768" s="63">
        <v>45534</v>
      </c>
      <c r="J1768" s="1"/>
      <c r="K1768" s="1">
        <v>2.7</v>
      </c>
      <c r="L1768" s="1" t="s">
        <v>20</v>
      </c>
      <c r="M1768" s="1" t="s">
        <v>149</v>
      </c>
      <c r="N1768" s="1" t="str">
        <f t="shared" si="27"/>
        <v>Normal</v>
      </c>
    </row>
    <row r="1769" spans="1:14" x14ac:dyDescent="0.25">
      <c r="A1769" s="1" t="s">
        <v>2926</v>
      </c>
      <c r="B1769" s="1" t="s">
        <v>75</v>
      </c>
      <c r="C1769" s="1" t="s">
        <v>258</v>
      </c>
      <c r="D1769" s="1" t="s">
        <v>16</v>
      </c>
      <c r="E1769" s="1" t="s">
        <v>94</v>
      </c>
      <c r="F1769" s="1" t="s">
        <v>53</v>
      </c>
      <c r="G1769" s="1">
        <v>434790</v>
      </c>
      <c r="H1769" s="63">
        <v>45673</v>
      </c>
      <c r="J1769" s="1"/>
      <c r="K1769" s="1">
        <v>14.8</v>
      </c>
      <c r="L1769" s="1" t="s">
        <v>20</v>
      </c>
      <c r="M1769" s="1" t="s">
        <v>63</v>
      </c>
      <c r="N1769" s="1" t="str">
        <f t="shared" si="27"/>
        <v>Normal</v>
      </c>
    </row>
    <row r="1770" spans="1:14" x14ac:dyDescent="0.25">
      <c r="A1770" s="1" t="s">
        <v>2927</v>
      </c>
      <c r="B1770" s="1" t="s">
        <v>44</v>
      </c>
      <c r="C1770" s="1" t="s">
        <v>917</v>
      </c>
      <c r="D1770" s="1" t="s">
        <v>46</v>
      </c>
      <c r="E1770" s="1" t="s">
        <v>100</v>
      </c>
      <c r="F1770" s="1" t="s">
        <v>53</v>
      </c>
      <c r="G1770" s="1">
        <v>88689</v>
      </c>
      <c r="H1770" s="63">
        <v>45723</v>
      </c>
      <c r="J1770" s="1"/>
      <c r="K1770" s="1"/>
      <c r="L1770" s="1" t="s">
        <v>29</v>
      </c>
      <c r="M1770" s="1" t="s">
        <v>63</v>
      </c>
      <c r="N1770" s="1" t="str">
        <f t="shared" si="27"/>
        <v>Normal</v>
      </c>
    </row>
    <row r="1771" spans="1:14" x14ac:dyDescent="0.25">
      <c r="A1771" s="1" t="s">
        <v>2929</v>
      </c>
      <c r="B1771" s="1" t="s">
        <v>127</v>
      </c>
      <c r="C1771" s="1" t="s">
        <v>449</v>
      </c>
      <c r="D1771" s="1" t="s">
        <v>67</v>
      </c>
      <c r="E1771" s="1" t="s">
        <v>47</v>
      </c>
      <c r="F1771" s="1" t="s">
        <v>53</v>
      </c>
      <c r="G1771" s="1">
        <v>360717</v>
      </c>
      <c r="H1771" s="63">
        <v>45155</v>
      </c>
      <c r="J1771" s="1"/>
      <c r="K1771" s="1">
        <v>13.9</v>
      </c>
      <c r="L1771" s="1" t="s">
        <v>96</v>
      </c>
      <c r="M1771" s="1" t="s">
        <v>102</v>
      </c>
      <c r="N1771" s="1" t="str">
        <f t="shared" si="27"/>
        <v>Normal</v>
      </c>
    </row>
    <row r="1772" spans="1:14" x14ac:dyDescent="0.25">
      <c r="A1772" s="1" t="s">
        <v>2931</v>
      </c>
      <c r="B1772" s="1" t="s">
        <v>84</v>
      </c>
      <c r="C1772" s="1" t="s">
        <v>372</v>
      </c>
      <c r="D1772" s="1" t="s">
        <v>46</v>
      </c>
      <c r="E1772" s="1" t="s">
        <v>26</v>
      </c>
      <c r="F1772" s="1" t="s">
        <v>27</v>
      </c>
      <c r="G1772" s="1">
        <v>401025</v>
      </c>
      <c r="H1772" s="63">
        <v>45163</v>
      </c>
      <c r="J1772" s="1"/>
      <c r="K1772" s="1">
        <v>0</v>
      </c>
      <c r="L1772" s="1" t="s">
        <v>49</v>
      </c>
      <c r="M1772" s="1" t="s">
        <v>102</v>
      </c>
      <c r="N1772" s="1" t="str">
        <f t="shared" si="27"/>
        <v>Normal</v>
      </c>
    </row>
    <row r="1773" spans="1:14" x14ac:dyDescent="0.25">
      <c r="A1773" s="1" t="s">
        <v>2932</v>
      </c>
      <c r="B1773" s="1" t="s">
        <v>14</v>
      </c>
      <c r="C1773" s="1" t="s">
        <v>946</v>
      </c>
      <c r="D1773" s="1" t="s">
        <v>67</v>
      </c>
      <c r="E1773" s="1" t="s">
        <v>77</v>
      </c>
      <c r="F1773" s="1" t="s">
        <v>53</v>
      </c>
      <c r="G1773" s="1">
        <v>377223</v>
      </c>
      <c r="H1773" s="63">
        <v>45028</v>
      </c>
      <c r="J1773" s="1"/>
      <c r="K1773" s="1">
        <v>9.6999999999999993</v>
      </c>
      <c r="L1773" s="1" t="s">
        <v>29</v>
      </c>
      <c r="M1773" s="1" t="s">
        <v>30</v>
      </c>
      <c r="N1773" s="1" t="str">
        <f t="shared" si="27"/>
        <v>Normal</v>
      </c>
    </row>
    <row r="1774" spans="1:14" x14ac:dyDescent="0.25">
      <c r="A1774" s="1" t="s">
        <v>2933</v>
      </c>
      <c r="B1774" s="1" t="s">
        <v>14</v>
      </c>
      <c r="C1774" s="1" t="s">
        <v>809</v>
      </c>
      <c r="D1774" s="1" t="s">
        <v>46</v>
      </c>
      <c r="E1774" s="1" t="s">
        <v>26</v>
      </c>
      <c r="F1774" s="1" t="s">
        <v>33</v>
      </c>
      <c r="G1774" s="1">
        <v>189422</v>
      </c>
      <c r="H1774" s="63">
        <v>45192</v>
      </c>
      <c r="J1774" s="1"/>
      <c r="K1774" s="1">
        <v>9.5</v>
      </c>
      <c r="L1774" s="1" t="s">
        <v>96</v>
      </c>
      <c r="M1774" s="1" t="s">
        <v>102</v>
      </c>
      <c r="N1774" s="1" t="str">
        <f t="shared" si="27"/>
        <v>Normal</v>
      </c>
    </row>
    <row r="1775" spans="1:14" x14ac:dyDescent="0.25">
      <c r="A1775" s="1" t="s">
        <v>2935</v>
      </c>
      <c r="B1775" s="1" t="s">
        <v>98</v>
      </c>
      <c r="C1775" s="1" t="s">
        <v>361</v>
      </c>
      <c r="D1775" s="1" t="s">
        <v>39</v>
      </c>
      <c r="E1775" s="1" t="s">
        <v>47</v>
      </c>
      <c r="F1775" s="1" t="s">
        <v>40</v>
      </c>
      <c r="G1775" s="1">
        <v>453391</v>
      </c>
      <c r="H1775" s="63">
        <v>45011</v>
      </c>
      <c r="I1775" s="63">
        <v>45151</v>
      </c>
      <c r="J1775" s="1">
        <v>140</v>
      </c>
      <c r="K1775" s="1">
        <v>19.3</v>
      </c>
      <c r="L1775" s="1" t="s">
        <v>29</v>
      </c>
      <c r="M1775" s="1" t="s">
        <v>35</v>
      </c>
      <c r="N1775" s="1" t="str">
        <f t="shared" si="27"/>
        <v>Normal</v>
      </c>
    </row>
    <row r="1776" spans="1:14" x14ac:dyDescent="0.25">
      <c r="A1776" s="1" t="s">
        <v>2936</v>
      </c>
      <c r="B1776" s="1" t="s">
        <v>104</v>
      </c>
      <c r="C1776" s="1" t="s">
        <v>650</v>
      </c>
      <c r="D1776" s="1" t="s">
        <v>90</v>
      </c>
      <c r="E1776" s="1" t="s">
        <v>94</v>
      </c>
      <c r="F1776" s="1" t="s">
        <v>40</v>
      </c>
      <c r="G1776" s="1">
        <v>308194</v>
      </c>
      <c r="H1776" s="63">
        <v>45265</v>
      </c>
      <c r="I1776" s="63">
        <v>45424</v>
      </c>
      <c r="J1776" s="1">
        <v>159</v>
      </c>
      <c r="K1776" s="1">
        <v>0.5</v>
      </c>
      <c r="L1776" s="1" t="s">
        <v>49</v>
      </c>
      <c r="M1776" s="1" t="s">
        <v>21</v>
      </c>
      <c r="N1776" s="1" t="str">
        <f t="shared" si="27"/>
        <v>Normal</v>
      </c>
    </row>
    <row r="1777" spans="1:14" x14ac:dyDescent="0.25">
      <c r="A1777" s="1" t="s">
        <v>2937</v>
      </c>
      <c r="B1777" s="1" t="s">
        <v>104</v>
      </c>
      <c r="C1777" s="1" t="s">
        <v>76</v>
      </c>
      <c r="D1777" s="1" t="s">
        <v>25</v>
      </c>
      <c r="E1777" s="1" t="s">
        <v>94</v>
      </c>
      <c r="F1777" s="1" t="s">
        <v>40</v>
      </c>
      <c r="G1777" s="1">
        <v>314108</v>
      </c>
      <c r="H1777" s="63">
        <v>44964</v>
      </c>
      <c r="I1777" s="63">
        <v>45106</v>
      </c>
      <c r="J1777" s="1">
        <v>142</v>
      </c>
      <c r="K1777" s="1">
        <v>19.899999999999999</v>
      </c>
      <c r="L1777" s="1" t="s">
        <v>96</v>
      </c>
      <c r="M1777" s="1" t="s">
        <v>35</v>
      </c>
      <c r="N1777" s="1" t="str">
        <f t="shared" si="27"/>
        <v>Normal</v>
      </c>
    </row>
    <row r="1778" spans="1:14" x14ac:dyDescent="0.25">
      <c r="A1778" s="1" t="s">
        <v>2938</v>
      </c>
      <c r="B1778" s="1" t="s">
        <v>4829</v>
      </c>
      <c r="C1778" s="1" t="s">
        <v>1050</v>
      </c>
      <c r="D1778" s="1" t="s">
        <v>39</v>
      </c>
      <c r="E1778" s="1" t="s">
        <v>17</v>
      </c>
      <c r="F1778" s="1" t="s">
        <v>40</v>
      </c>
      <c r="G1778" s="1">
        <v>475288</v>
      </c>
      <c r="H1778" s="63">
        <v>45017</v>
      </c>
      <c r="I1778" s="63">
        <v>45160</v>
      </c>
      <c r="J1778" s="1">
        <v>143</v>
      </c>
      <c r="K1778" s="1">
        <v>23.1</v>
      </c>
      <c r="L1778" s="1" t="s">
        <v>49</v>
      </c>
      <c r="M1778" s="1" t="s">
        <v>30</v>
      </c>
      <c r="N1778" s="1" t="str">
        <f t="shared" si="27"/>
        <v>Normal</v>
      </c>
    </row>
    <row r="1779" spans="1:14" x14ac:dyDescent="0.25">
      <c r="A1779" s="1" t="s">
        <v>2939</v>
      </c>
      <c r="B1779" s="1" t="s">
        <v>75</v>
      </c>
      <c r="C1779" s="1" t="s">
        <v>478</v>
      </c>
      <c r="D1779" s="1" t="s">
        <v>25</v>
      </c>
      <c r="E1779" s="1" t="s">
        <v>17</v>
      </c>
      <c r="F1779" s="1" t="s">
        <v>18</v>
      </c>
      <c r="G1779" s="1">
        <v>231386</v>
      </c>
      <c r="H1779" s="63">
        <v>45693</v>
      </c>
      <c r="I1779" s="63">
        <v>45823</v>
      </c>
      <c r="J1779" s="1">
        <v>130</v>
      </c>
      <c r="K1779" s="1">
        <v>3.8</v>
      </c>
      <c r="L1779" s="1" t="s">
        <v>49</v>
      </c>
      <c r="M1779" s="1" t="s">
        <v>63</v>
      </c>
      <c r="N1779" s="1" t="str">
        <f t="shared" si="27"/>
        <v>Normal</v>
      </c>
    </row>
    <row r="1780" spans="1:14" x14ac:dyDescent="0.25">
      <c r="A1780" s="1" t="s">
        <v>2940</v>
      </c>
      <c r="B1780" s="1" t="s">
        <v>44</v>
      </c>
      <c r="C1780" s="1" t="s">
        <v>1106</v>
      </c>
      <c r="D1780" s="1" t="s">
        <v>46</v>
      </c>
      <c r="E1780" s="1" t="s">
        <v>61</v>
      </c>
      <c r="F1780" s="1" t="s">
        <v>40</v>
      </c>
      <c r="G1780" s="1">
        <v>125897</v>
      </c>
      <c r="H1780" s="63">
        <v>45221</v>
      </c>
      <c r="I1780" s="63">
        <v>45391</v>
      </c>
      <c r="J1780" s="1">
        <v>170</v>
      </c>
      <c r="K1780" s="1">
        <v>14.7</v>
      </c>
      <c r="L1780" s="1" t="s">
        <v>49</v>
      </c>
      <c r="M1780" s="1" t="s">
        <v>21</v>
      </c>
      <c r="N1780" s="1" t="str">
        <f t="shared" si="27"/>
        <v>Normal</v>
      </c>
    </row>
    <row r="1781" spans="1:14" x14ac:dyDescent="0.25">
      <c r="A1781" s="1" t="s">
        <v>2941</v>
      </c>
      <c r="B1781" s="1" t="s">
        <v>98</v>
      </c>
      <c r="C1781" s="1" t="s">
        <v>71</v>
      </c>
      <c r="D1781" s="1" t="s">
        <v>16</v>
      </c>
      <c r="E1781" s="1" t="s">
        <v>17</v>
      </c>
      <c r="F1781" s="1" t="s">
        <v>53</v>
      </c>
      <c r="G1781" s="1">
        <v>211947</v>
      </c>
      <c r="H1781" s="63">
        <v>45045</v>
      </c>
      <c r="J1781" s="1"/>
      <c r="K1781" s="1">
        <v>11.3</v>
      </c>
      <c r="L1781" s="1" t="s">
        <v>20</v>
      </c>
      <c r="M1781" s="1" t="s">
        <v>30</v>
      </c>
      <c r="N1781" s="1" t="str">
        <f t="shared" si="27"/>
        <v>Normal</v>
      </c>
    </row>
    <row r="1782" spans="1:14" x14ac:dyDescent="0.25">
      <c r="A1782" s="1" t="s">
        <v>2942</v>
      </c>
      <c r="B1782" s="1" t="s">
        <v>84</v>
      </c>
      <c r="C1782" s="1" t="s">
        <v>220</v>
      </c>
      <c r="D1782" s="1" t="s">
        <v>16</v>
      </c>
      <c r="E1782" s="1" t="s">
        <v>94</v>
      </c>
      <c r="F1782" s="1" t="s">
        <v>40</v>
      </c>
      <c r="G1782" s="1">
        <v>421072</v>
      </c>
      <c r="H1782" s="63">
        <v>45481</v>
      </c>
      <c r="I1782" s="63">
        <v>45661</v>
      </c>
      <c r="J1782" s="1">
        <v>180</v>
      </c>
      <c r="K1782" s="1">
        <v>7</v>
      </c>
      <c r="L1782" s="1" t="s">
        <v>20</v>
      </c>
      <c r="M1782" s="1" t="s">
        <v>149</v>
      </c>
      <c r="N1782" s="1" t="str">
        <f t="shared" si="27"/>
        <v>Normal</v>
      </c>
    </row>
    <row r="1783" spans="1:14" x14ac:dyDescent="0.25">
      <c r="A1783" s="1" t="s">
        <v>2943</v>
      </c>
      <c r="B1783" s="1" t="s">
        <v>37</v>
      </c>
      <c r="C1783" s="1" t="s">
        <v>720</v>
      </c>
      <c r="D1783" s="1" t="s">
        <v>39</v>
      </c>
      <c r="E1783" s="1" t="s">
        <v>94</v>
      </c>
      <c r="F1783" s="1" t="s">
        <v>129</v>
      </c>
      <c r="G1783" s="1">
        <v>283582</v>
      </c>
      <c r="H1783" s="63">
        <v>45206</v>
      </c>
      <c r="J1783" s="1"/>
      <c r="K1783" s="1">
        <v>2.2000000000000002</v>
      </c>
      <c r="L1783" s="1" t="s">
        <v>49</v>
      </c>
      <c r="M1783" s="1" t="s">
        <v>21</v>
      </c>
      <c r="N1783" s="1" t="str">
        <f t="shared" si="27"/>
        <v>Normal</v>
      </c>
    </row>
    <row r="1784" spans="1:14" x14ac:dyDescent="0.25">
      <c r="A1784" s="1" t="s">
        <v>2944</v>
      </c>
      <c r="B1784" s="1" t="s">
        <v>127</v>
      </c>
      <c r="C1784" s="1" t="s">
        <v>1299</v>
      </c>
      <c r="D1784" s="1" t="s">
        <v>67</v>
      </c>
      <c r="E1784" s="1" t="s">
        <v>17</v>
      </c>
      <c r="F1784" s="1" t="s">
        <v>129</v>
      </c>
      <c r="G1784" s="1">
        <v>227842</v>
      </c>
      <c r="H1784" s="63">
        <v>44955</v>
      </c>
      <c r="J1784" s="1"/>
      <c r="K1784" s="1">
        <v>8.3000000000000007</v>
      </c>
      <c r="L1784" s="1" t="s">
        <v>20</v>
      </c>
      <c r="M1784" s="1" t="s">
        <v>35</v>
      </c>
      <c r="N1784" s="1" t="str">
        <f t="shared" si="27"/>
        <v>Normal</v>
      </c>
    </row>
    <row r="1785" spans="1:14" x14ac:dyDescent="0.25">
      <c r="A1785" s="1" t="s">
        <v>2946</v>
      </c>
      <c r="B1785" s="1" t="s">
        <v>23</v>
      </c>
      <c r="C1785" s="1" t="s">
        <v>250</v>
      </c>
      <c r="D1785" s="1" t="s">
        <v>90</v>
      </c>
      <c r="E1785" s="1" t="s">
        <v>61</v>
      </c>
      <c r="F1785" s="1" t="s">
        <v>40</v>
      </c>
      <c r="G1785" s="1">
        <v>257785</v>
      </c>
      <c r="H1785" s="63">
        <v>45597</v>
      </c>
      <c r="I1785" s="63">
        <v>45711</v>
      </c>
      <c r="J1785" s="1">
        <v>114</v>
      </c>
      <c r="K1785" s="1">
        <v>4.5999999999999996</v>
      </c>
      <c r="L1785" s="1" t="s">
        <v>96</v>
      </c>
      <c r="M1785" s="1" t="s">
        <v>42</v>
      </c>
      <c r="N1785" s="1" t="str">
        <f t="shared" si="27"/>
        <v>Normal</v>
      </c>
    </row>
    <row r="1786" spans="1:14" x14ac:dyDescent="0.25">
      <c r="A1786" s="1" t="s">
        <v>2948</v>
      </c>
      <c r="B1786" s="1" t="s">
        <v>65</v>
      </c>
      <c r="C1786" s="1" t="s">
        <v>244</v>
      </c>
      <c r="D1786" s="1" t="s">
        <v>25</v>
      </c>
      <c r="E1786" s="1" t="s">
        <v>26</v>
      </c>
      <c r="F1786" s="1" t="s">
        <v>53</v>
      </c>
      <c r="G1786" s="1">
        <v>366520</v>
      </c>
      <c r="H1786" s="63">
        <v>45638</v>
      </c>
      <c r="J1786" s="1"/>
      <c r="K1786" s="1">
        <v>14.1</v>
      </c>
      <c r="L1786" s="1" t="s">
        <v>96</v>
      </c>
      <c r="M1786" s="1" t="s">
        <v>42</v>
      </c>
      <c r="N1786" s="1" t="str">
        <f t="shared" si="27"/>
        <v>Normal</v>
      </c>
    </row>
    <row r="1787" spans="1:14" x14ac:dyDescent="0.25">
      <c r="A1787" s="1" t="s">
        <v>2949</v>
      </c>
      <c r="B1787" s="1" t="s">
        <v>127</v>
      </c>
      <c r="C1787" s="1" t="s">
        <v>295</v>
      </c>
      <c r="D1787" s="1" t="s">
        <v>67</v>
      </c>
      <c r="E1787" s="1" t="s">
        <v>47</v>
      </c>
      <c r="F1787" s="1" t="s">
        <v>53</v>
      </c>
      <c r="G1787" s="1">
        <v>179473</v>
      </c>
      <c r="H1787" s="63">
        <v>45334</v>
      </c>
      <c r="J1787" s="1"/>
      <c r="K1787" s="1">
        <v>10.3</v>
      </c>
      <c r="L1787" s="1" t="s">
        <v>20</v>
      </c>
      <c r="M1787" s="1" t="s">
        <v>69</v>
      </c>
      <c r="N1787" s="1" t="str">
        <f t="shared" si="27"/>
        <v>Normal</v>
      </c>
    </row>
    <row r="1788" spans="1:14" x14ac:dyDescent="0.25">
      <c r="A1788" s="1" t="s">
        <v>2951</v>
      </c>
      <c r="B1788" s="1" t="s">
        <v>84</v>
      </c>
      <c r="C1788" s="1" t="s">
        <v>165</v>
      </c>
      <c r="D1788" s="1" t="s">
        <v>67</v>
      </c>
      <c r="E1788" s="1" t="s">
        <v>77</v>
      </c>
      <c r="F1788" s="1" t="s">
        <v>40</v>
      </c>
      <c r="G1788" s="1">
        <v>433141</v>
      </c>
      <c r="H1788" s="63">
        <v>45228</v>
      </c>
      <c r="I1788" s="63">
        <v>45279</v>
      </c>
      <c r="J1788" s="1">
        <v>51</v>
      </c>
      <c r="K1788" s="1">
        <v>10.7</v>
      </c>
      <c r="L1788" s="1" t="s">
        <v>96</v>
      </c>
      <c r="M1788" s="1" t="s">
        <v>21</v>
      </c>
      <c r="N1788" s="1" t="str">
        <f t="shared" si="27"/>
        <v>Normal</v>
      </c>
    </row>
    <row r="1789" spans="1:14" x14ac:dyDescent="0.25">
      <c r="A1789" s="1" t="s">
        <v>2952</v>
      </c>
      <c r="B1789" s="1" t="s">
        <v>14</v>
      </c>
      <c r="C1789" s="1" t="s">
        <v>300</v>
      </c>
      <c r="D1789" s="1" t="s">
        <v>67</v>
      </c>
      <c r="E1789" s="1" t="s">
        <v>72</v>
      </c>
      <c r="F1789" s="1" t="s">
        <v>129</v>
      </c>
      <c r="G1789" s="1">
        <v>286656</v>
      </c>
      <c r="H1789" s="63">
        <v>45600</v>
      </c>
      <c r="J1789" s="1"/>
      <c r="K1789" s="1">
        <v>0.3</v>
      </c>
      <c r="L1789" s="1" t="s">
        <v>49</v>
      </c>
      <c r="M1789" s="1" t="s">
        <v>42</v>
      </c>
      <c r="N1789" s="1" t="str">
        <f t="shared" si="27"/>
        <v>Normal</v>
      </c>
    </row>
    <row r="1790" spans="1:14" x14ac:dyDescent="0.25">
      <c r="A1790" s="1" t="s">
        <v>2953</v>
      </c>
      <c r="B1790" s="1" t="s">
        <v>84</v>
      </c>
      <c r="C1790" s="1" t="s">
        <v>640</v>
      </c>
      <c r="D1790" s="1" t="s">
        <v>25</v>
      </c>
      <c r="E1790" s="1" t="s">
        <v>47</v>
      </c>
      <c r="F1790" s="1" t="s">
        <v>40</v>
      </c>
      <c r="G1790" s="1">
        <v>430962</v>
      </c>
      <c r="H1790" s="63">
        <v>45743</v>
      </c>
      <c r="I1790" s="63">
        <v>45893</v>
      </c>
      <c r="J1790" s="1">
        <v>150</v>
      </c>
      <c r="K1790" s="1">
        <v>9.1999999999999993</v>
      </c>
      <c r="L1790" s="1" t="s">
        <v>96</v>
      </c>
      <c r="M1790" s="1" t="s">
        <v>63</v>
      </c>
      <c r="N1790" s="1" t="str">
        <f t="shared" si="27"/>
        <v>Normal</v>
      </c>
    </row>
    <row r="1791" spans="1:14" x14ac:dyDescent="0.25">
      <c r="A1791" s="1" t="s">
        <v>2954</v>
      </c>
      <c r="B1791" s="1" t="s">
        <v>80</v>
      </c>
      <c r="C1791" s="1" t="s">
        <v>946</v>
      </c>
      <c r="D1791" s="1" t="s">
        <v>39</v>
      </c>
      <c r="E1791" s="1" t="s">
        <v>72</v>
      </c>
      <c r="F1791" s="1" t="s">
        <v>18</v>
      </c>
      <c r="G1791" s="1">
        <v>302018</v>
      </c>
      <c r="H1791" s="63">
        <v>45087</v>
      </c>
      <c r="I1791" s="63">
        <v>45155</v>
      </c>
      <c r="J1791" s="1">
        <v>68</v>
      </c>
      <c r="K1791" s="1"/>
      <c r="L1791" s="1" t="s">
        <v>29</v>
      </c>
      <c r="M1791" s="1" t="s">
        <v>30</v>
      </c>
      <c r="N1791" s="1" t="str">
        <f t="shared" si="27"/>
        <v>Normal</v>
      </c>
    </row>
    <row r="1792" spans="1:14" x14ac:dyDescent="0.25">
      <c r="A1792" s="1" t="s">
        <v>2955</v>
      </c>
      <c r="B1792" s="1" t="s">
        <v>88</v>
      </c>
      <c r="C1792" s="1" t="s">
        <v>513</v>
      </c>
      <c r="D1792" s="1" t="s">
        <v>46</v>
      </c>
      <c r="E1792" s="1" t="s">
        <v>26</v>
      </c>
      <c r="F1792" s="1" t="s">
        <v>53</v>
      </c>
      <c r="G1792" s="1">
        <v>468228</v>
      </c>
      <c r="H1792" s="63">
        <v>45396</v>
      </c>
      <c r="J1792" s="1"/>
      <c r="K1792" s="1"/>
      <c r="L1792" s="1" t="s">
        <v>96</v>
      </c>
      <c r="M1792" s="1" t="s">
        <v>107</v>
      </c>
      <c r="N1792" s="1" t="str">
        <f t="shared" si="27"/>
        <v>Normal</v>
      </c>
    </row>
    <row r="1793" spans="1:14" x14ac:dyDescent="0.25">
      <c r="A1793" s="1" t="s">
        <v>2956</v>
      </c>
      <c r="B1793" s="1" t="s">
        <v>59</v>
      </c>
      <c r="C1793" s="1" t="s">
        <v>1566</v>
      </c>
      <c r="D1793" s="1" t="s">
        <v>39</v>
      </c>
      <c r="E1793" s="1" t="s">
        <v>94</v>
      </c>
      <c r="F1793" s="1" t="s">
        <v>33</v>
      </c>
      <c r="G1793" s="1">
        <v>326982</v>
      </c>
      <c r="H1793" s="63">
        <v>45659</v>
      </c>
      <c r="J1793" s="1"/>
      <c r="K1793" s="1">
        <v>2.1</v>
      </c>
      <c r="L1793" s="1" t="s">
        <v>29</v>
      </c>
      <c r="M1793" s="1" t="s">
        <v>63</v>
      </c>
      <c r="N1793" s="1" t="str">
        <f t="shared" si="27"/>
        <v>Normal</v>
      </c>
    </row>
    <row r="1794" spans="1:14" x14ac:dyDescent="0.25">
      <c r="A1794" s="1" t="s">
        <v>2957</v>
      </c>
      <c r="B1794" s="1" t="s">
        <v>104</v>
      </c>
      <c r="C1794" s="1" t="s">
        <v>558</v>
      </c>
      <c r="D1794" s="1" t="s">
        <v>90</v>
      </c>
      <c r="E1794" s="1" t="s">
        <v>17</v>
      </c>
      <c r="F1794" s="1" t="s">
        <v>129</v>
      </c>
      <c r="G1794" s="1">
        <v>50712</v>
      </c>
      <c r="H1794" s="63">
        <v>45364</v>
      </c>
      <c r="J1794" s="1"/>
      <c r="K1794" s="1">
        <v>0.7</v>
      </c>
      <c r="L1794" s="1" t="s">
        <v>20</v>
      </c>
      <c r="M1794" s="1" t="s">
        <v>69</v>
      </c>
      <c r="N1794" s="1" t="str">
        <f t="shared" ref="N1794:N1857" si="28">IF(G1794&gt;$R$5,"High Outlier",IF(G1794&lt;$R$6,"Low Outlier","Normal"))</f>
        <v>Normal</v>
      </c>
    </row>
    <row r="1795" spans="1:14" x14ac:dyDescent="0.25">
      <c r="A1795" s="1" t="s">
        <v>2958</v>
      </c>
      <c r="B1795" s="1" t="s">
        <v>88</v>
      </c>
      <c r="C1795" s="1" t="s">
        <v>449</v>
      </c>
      <c r="D1795" s="1" t="s">
        <v>90</v>
      </c>
      <c r="E1795" s="1" t="s">
        <v>72</v>
      </c>
      <c r="F1795" s="1" t="s">
        <v>40</v>
      </c>
      <c r="G1795" s="1">
        <v>315544</v>
      </c>
      <c r="H1795" s="63">
        <v>45388</v>
      </c>
      <c r="I1795" s="63">
        <v>45561</v>
      </c>
      <c r="J1795" s="1">
        <v>173</v>
      </c>
      <c r="K1795" s="1">
        <v>1.3</v>
      </c>
      <c r="L1795" s="1" t="s">
        <v>29</v>
      </c>
      <c r="M1795" s="1" t="s">
        <v>107</v>
      </c>
      <c r="N1795" s="1" t="str">
        <f t="shared" si="28"/>
        <v>Normal</v>
      </c>
    </row>
    <row r="1796" spans="1:14" x14ac:dyDescent="0.25">
      <c r="A1796" s="1" t="s">
        <v>2959</v>
      </c>
      <c r="B1796" s="1" t="s">
        <v>23</v>
      </c>
      <c r="C1796" s="1" t="s">
        <v>474</v>
      </c>
      <c r="D1796" s="1" t="s">
        <v>39</v>
      </c>
      <c r="E1796" s="1" t="s">
        <v>61</v>
      </c>
      <c r="F1796" s="1" t="s">
        <v>33</v>
      </c>
      <c r="G1796" s="1">
        <v>133830</v>
      </c>
      <c r="H1796" s="63">
        <v>45697</v>
      </c>
      <c r="J1796" s="1"/>
      <c r="K1796" s="1"/>
      <c r="L1796" s="1" t="s">
        <v>96</v>
      </c>
      <c r="M1796" s="1" t="s">
        <v>63</v>
      </c>
      <c r="N1796" s="1" t="str">
        <f t="shared" si="28"/>
        <v>Normal</v>
      </c>
    </row>
    <row r="1797" spans="1:14" x14ac:dyDescent="0.25">
      <c r="A1797" s="1" t="s">
        <v>2960</v>
      </c>
      <c r="B1797" s="1" t="s">
        <v>104</v>
      </c>
      <c r="C1797" s="1" t="s">
        <v>436</v>
      </c>
      <c r="D1797" s="1" t="s">
        <v>67</v>
      </c>
      <c r="E1797" s="1" t="s">
        <v>17</v>
      </c>
      <c r="F1797" s="1" t="s">
        <v>33</v>
      </c>
      <c r="G1797" s="1">
        <v>273595</v>
      </c>
      <c r="H1797" s="63">
        <v>45610</v>
      </c>
      <c r="J1797" s="1"/>
      <c r="K1797" s="1">
        <v>5.0999999999999996</v>
      </c>
      <c r="L1797" s="1" t="s">
        <v>49</v>
      </c>
      <c r="M1797" s="1" t="s">
        <v>42</v>
      </c>
      <c r="N1797" s="1" t="str">
        <f t="shared" si="28"/>
        <v>Normal</v>
      </c>
    </row>
    <row r="1798" spans="1:14" x14ac:dyDescent="0.25">
      <c r="A1798" s="1" t="s">
        <v>2961</v>
      </c>
      <c r="B1798" s="1" t="s">
        <v>4829</v>
      </c>
      <c r="C1798" s="1" t="s">
        <v>640</v>
      </c>
      <c r="D1798" s="1" t="s">
        <v>67</v>
      </c>
      <c r="E1798" s="1" t="s">
        <v>61</v>
      </c>
      <c r="F1798" s="1" t="s">
        <v>53</v>
      </c>
      <c r="G1798" s="1">
        <v>415324</v>
      </c>
      <c r="H1798" s="63">
        <v>45395</v>
      </c>
      <c r="J1798" s="1"/>
      <c r="K1798" s="1">
        <v>12.5</v>
      </c>
      <c r="L1798" s="1" t="s">
        <v>29</v>
      </c>
      <c r="M1798" s="1" t="s">
        <v>107</v>
      </c>
      <c r="N1798" s="1" t="str">
        <f t="shared" si="28"/>
        <v>Normal</v>
      </c>
    </row>
    <row r="1799" spans="1:14" x14ac:dyDescent="0.25">
      <c r="A1799" s="1" t="s">
        <v>2962</v>
      </c>
      <c r="B1799" s="1" t="s">
        <v>80</v>
      </c>
      <c r="C1799" s="1" t="s">
        <v>849</v>
      </c>
      <c r="D1799" s="1" t="s">
        <v>39</v>
      </c>
      <c r="E1799" s="1" t="s">
        <v>94</v>
      </c>
      <c r="F1799" s="1" t="s">
        <v>53</v>
      </c>
      <c r="G1799" s="1">
        <v>88245</v>
      </c>
      <c r="H1799" s="63">
        <v>45479</v>
      </c>
      <c r="J1799" s="1"/>
      <c r="K1799" s="1">
        <v>10.9</v>
      </c>
      <c r="L1799" s="1" t="s">
        <v>49</v>
      </c>
      <c r="M1799" s="1" t="s">
        <v>149</v>
      </c>
      <c r="N1799" s="1" t="str">
        <f t="shared" si="28"/>
        <v>Normal</v>
      </c>
    </row>
    <row r="1800" spans="1:14" x14ac:dyDescent="0.25">
      <c r="A1800" s="1" t="s">
        <v>2963</v>
      </c>
      <c r="B1800" s="1" t="s">
        <v>88</v>
      </c>
      <c r="C1800" s="1" t="s">
        <v>177</v>
      </c>
      <c r="D1800" s="1" t="s">
        <v>39</v>
      </c>
      <c r="E1800" s="1" t="s">
        <v>100</v>
      </c>
      <c r="F1800" s="1" t="s">
        <v>27</v>
      </c>
      <c r="G1800" s="1">
        <v>235672</v>
      </c>
      <c r="H1800" s="63">
        <v>45538</v>
      </c>
      <c r="J1800" s="1"/>
      <c r="K1800" s="1"/>
      <c r="L1800" s="1" t="s">
        <v>49</v>
      </c>
      <c r="M1800" s="1" t="s">
        <v>149</v>
      </c>
      <c r="N1800" s="1" t="str">
        <f t="shared" si="28"/>
        <v>Normal</v>
      </c>
    </row>
    <row r="1801" spans="1:14" x14ac:dyDescent="0.25">
      <c r="A1801" s="1" t="s">
        <v>2964</v>
      </c>
      <c r="B1801" s="1" t="s">
        <v>98</v>
      </c>
      <c r="C1801" s="1" t="s">
        <v>1178</v>
      </c>
      <c r="D1801" s="1" t="s">
        <v>90</v>
      </c>
      <c r="E1801" s="1" t="s">
        <v>77</v>
      </c>
      <c r="F1801" s="1" t="s">
        <v>53</v>
      </c>
      <c r="G1801" s="1">
        <v>184665</v>
      </c>
      <c r="H1801" s="63">
        <v>44982</v>
      </c>
      <c r="J1801" s="1"/>
      <c r="K1801" s="1">
        <v>14.6</v>
      </c>
      <c r="L1801" s="1" t="s">
        <v>29</v>
      </c>
      <c r="M1801" s="1" t="s">
        <v>35</v>
      </c>
      <c r="N1801" s="1" t="str">
        <f t="shared" si="28"/>
        <v>Normal</v>
      </c>
    </row>
    <row r="1802" spans="1:14" x14ac:dyDescent="0.25">
      <c r="A1802" s="1" t="s">
        <v>2965</v>
      </c>
      <c r="B1802" s="1" t="s">
        <v>173</v>
      </c>
      <c r="C1802" s="1" t="s">
        <v>56</v>
      </c>
      <c r="D1802" s="1" t="s">
        <v>16</v>
      </c>
      <c r="E1802" s="1" t="s">
        <v>26</v>
      </c>
      <c r="F1802" s="1" t="s">
        <v>33</v>
      </c>
      <c r="G1802" s="1">
        <v>52870</v>
      </c>
      <c r="H1802" s="63">
        <v>44943</v>
      </c>
      <c r="J1802" s="1"/>
      <c r="K1802" s="1">
        <v>1.7</v>
      </c>
      <c r="L1802" s="1" t="s">
        <v>29</v>
      </c>
      <c r="M1802" s="1" t="s">
        <v>35</v>
      </c>
      <c r="N1802" s="1" t="str">
        <f t="shared" si="28"/>
        <v>Normal</v>
      </c>
    </row>
    <row r="1803" spans="1:14" x14ac:dyDescent="0.25">
      <c r="A1803" s="1" t="s">
        <v>2967</v>
      </c>
      <c r="B1803" s="1" t="s">
        <v>23</v>
      </c>
      <c r="C1803" s="1" t="s">
        <v>483</v>
      </c>
      <c r="D1803" s="1" t="s">
        <v>16</v>
      </c>
      <c r="E1803" s="1" t="s">
        <v>77</v>
      </c>
      <c r="F1803" s="1" t="s">
        <v>33</v>
      </c>
      <c r="G1803" s="1">
        <v>121086</v>
      </c>
      <c r="H1803" s="63">
        <v>45638</v>
      </c>
      <c r="J1803" s="1"/>
      <c r="K1803" s="1">
        <v>1.7</v>
      </c>
      <c r="L1803" s="1" t="s">
        <v>29</v>
      </c>
      <c r="M1803" s="1" t="s">
        <v>42</v>
      </c>
      <c r="N1803" s="1" t="str">
        <f t="shared" si="28"/>
        <v>Normal</v>
      </c>
    </row>
    <row r="1804" spans="1:14" x14ac:dyDescent="0.25">
      <c r="A1804" s="1" t="s">
        <v>2968</v>
      </c>
      <c r="B1804" s="1" t="s">
        <v>104</v>
      </c>
      <c r="C1804" s="1" t="s">
        <v>838</v>
      </c>
      <c r="D1804" s="1" t="s">
        <v>90</v>
      </c>
      <c r="E1804" s="1" t="s">
        <v>77</v>
      </c>
      <c r="F1804" s="1" t="s">
        <v>18</v>
      </c>
      <c r="G1804" s="1">
        <v>495536</v>
      </c>
      <c r="H1804" s="63">
        <v>45113</v>
      </c>
      <c r="I1804" s="63">
        <v>45172</v>
      </c>
      <c r="J1804" s="1">
        <v>59</v>
      </c>
      <c r="K1804" s="1">
        <v>14.3</v>
      </c>
      <c r="L1804" s="1" t="s">
        <v>29</v>
      </c>
      <c r="M1804" s="1" t="s">
        <v>102</v>
      </c>
      <c r="N1804" s="1" t="str">
        <f t="shared" si="28"/>
        <v>Normal</v>
      </c>
    </row>
    <row r="1805" spans="1:14" x14ac:dyDescent="0.25">
      <c r="A1805" s="1" t="s">
        <v>2969</v>
      </c>
      <c r="B1805" s="1" t="s">
        <v>127</v>
      </c>
      <c r="C1805" s="1" t="s">
        <v>767</v>
      </c>
      <c r="D1805" s="1" t="s">
        <v>90</v>
      </c>
      <c r="E1805" s="1" t="s">
        <v>94</v>
      </c>
      <c r="F1805" s="1" t="s">
        <v>40</v>
      </c>
      <c r="G1805" s="1">
        <v>378885</v>
      </c>
      <c r="H1805" s="63">
        <v>45286</v>
      </c>
      <c r="I1805" s="63">
        <v>45403</v>
      </c>
      <c r="J1805" s="1">
        <v>117</v>
      </c>
      <c r="K1805" s="1">
        <v>21.4</v>
      </c>
      <c r="L1805" s="1" t="s">
        <v>49</v>
      </c>
      <c r="M1805" s="1" t="s">
        <v>21</v>
      </c>
      <c r="N1805" s="1" t="str">
        <f t="shared" si="28"/>
        <v>Normal</v>
      </c>
    </row>
    <row r="1806" spans="1:14" x14ac:dyDescent="0.25">
      <c r="A1806" s="1" t="s">
        <v>2970</v>
      </c>
      <c r="B1806" s="1" t="s">
        <v>75</v>
      </c>
      <c r="C1806" s="1" t="s">
        <v>865</v>
      </c>
      <c r="D1806" s="1" t="s">
        <v>39</v>
      </c>
      <c r="E1806" s="1" t="s">
        <v>26</v>
      </c>
      <c r="F1806" s="1" t="s">
        <v>27</v>
      </c>
      <c r="G1806" s="1">
        <v>50646</v>
      </c>
      <c r="H1806" s="63">
        <v>45199</v>
      </c>
      <c r="J1806" s="1"/>
      <c r="K1806" s="1">
        <v>6.6</v>
      </c>
      <c r="L1806" s="1" t="s">
        <v>96</v>
      </c>
      <c r="M1806" s="1" t="s">
        <v>102</v>
      </c>
      <c r="N1806" s="1" t="str">
        <f t="shared" si="28"/>
        <v>Normal</v>
      </c>
    </row>
    <row r="1807" spans="1:14" x14ac:dyDescent="0.25">
      <c r="A1807" s="1" t="s">
        <v>2971</v>
      </c>
      <c r="B1807" s="1" t="s">
        <v>88</v>
      </c>
      <c r="C1807" s="1" t="s">
        <v>99</v>
      </c>
      <c r="D1807" s="1" t="s">
        <v>90</v>
      </c>
      <c r="E1807" s="1" t="s">
        <v>100</v>
      </c>
      <c r="F1807" s="1" t="s">
        <v>40</v>
      </c>
      <c r="G1807" s="1">
        <v>219968</v>
      </c>
      <c r="H1807" s="63">
        <v>45440</v>
      </c>
      <c r="I1807" s="63">
        <v>45591</v>
      </c>
      <c r="J1807" s="1">
        <v>151</v>
      </c>
      <c r="K1807" s="1">
        <v>13.1</v>
      </c>
      <c r="L1807" s="1" t="s">
        <v>49</v>
      </c>
      <c r="M1807" s="1" t="s">
        <v>107</v>
      </c>
      <c r="N1807" s="1" t="str">
        <f t="shared" si="28"/>
        <v>Normal</v>
      </c>
    </row>
    <row r="1808" spans="1:14" x14ac:dyDescent="0.25">
      <c r="A1808" s="1" t="s">
        <v>2972</v>
      </c>
      <c r="B1808" s="1" t="s">
        <v>84</v>
      </c>
      <c r="C1808" s="1" t="s">
        <v>52</v>
      </c>
      <c r="D1808" s="1" t="s">
        <v>46</v>
      </c>
      <c r="E1808" s="1" t="s">
        <v>100</v>
      </c>
      <c r="F1808" s="1" t="s">
        <v>18</v>
      </c>
      <c r="G1808" s="1">
        <v>264510</v>
      </c>
      <c r="H1808" s="63">
        <v>45375</v>
      </c>
      <c r="I1808" s="63">
        <v>45482</v>
      </c>
      <c r="J1808" s="1">
        <v>107</v>
      </c>
      <c r="K1808" s="1">
        <v>14.4</v>
      </c>
      <c r="L1808" s="1" t="s">
        <v>96</v>
      </c>
      <c r="M1808" s="1" t="s">
        <v>69</v>
      </c>
      <c r="N1808" s="1" t="str">
        <f t="shared" si="28"/>
        <v>Normal</v>
      </c>
    </row>
    <row r="1809" spans="1:14" x14ac:dyDescent="0.25">
      <c r="A1809" s="1" t="s">
        <v>2973</v>
      </c>
      <c r="B1809" s="1" t="s">
        <v>65</v>
      </c>
      <c r="C1809" s="1" t="s">
        <v>539</v>
      </c>
      <c r="D1809" s="1" t="s">
        <v>16</v>
      </c>
      <c r="E1809" s="1" t="s">
        <v>17</v>
      </c>
      <c r="F1809" s="1" t="s">
        <v>129</v>
      </c>
      <c r="G1809" s="1">
        <v>428715</v>
      </c>
      <c r="H1809" s="63">
        <v>45689</v>
      </c>
      <c r="J1809" s="1"/>
      <c r="K1809" s="1">
        <v>13</v>
      </c>
      <c r="L1809" s="1" t="s">
        <v>29</v>
      </c>
      <c r="M1809" s="1" t="s">
        <v>63</v>
      </c>
      <c r="N1809" s="1" t="str">
        <f t="shared" si="28"/>
        <v>Normal</v>
      </c>
    </row>
    <row r="1810" spans="1:14" x14ac:dyDescent="0.25">
      <c r="A1810" s="1" t="s">
        <v>2974</v>
      </c>
      <c r="B1810" s="1" t="s">
        <v>84</v>
      </c>
      <c r="C1810" s="1" t="s">
        <v>401</v>
      </c>
      <c r="D1810" s="1" t="s">
        <v>90</v>
      </c>
      <c r="E1810" s="1" t="s">
        <v>17</v>
      </c>
      <c r="F1810" s="1" t="s">
        <v>40</v>
      </c>
      <c r="G1810" s="1">
        <v>143364</v>
      </c>
      <c r="H1810" s="63">
        <v>45618</v>
      </c>
      <c r="I1810" s="63">
        <v>45715</v>
      </c>
      <c r="J1810" s="1">
        <v>97</v>
      </c>
      <c r="K1810" s="1">
        <v>13.5</v>
      </c>
      <c r="L1810" s="1" t="s">
        <v>96</v>
      </c>
      <c r="M1810" s="1" t="s">
        <v>42</v>
      </c>
      <c r="N1810" s="1" t="str">
        <f t="shared" si="28"/>
        <v>Normal</v>
      </c>
    </row>
    <row r="1811" spans="1:14" x14ac:dyDescent="0.25">
      <c r="A1811" s="1" t="s">
        <v>2975</v>
      </c>
      <c r="B1811" s="1" t="s">
        <v>80</v>
      </c>
      <c r="C1811" s="1" t="s">
        <v>987</v>
      </c>
      <c r="D1811" s="1" t="s">
        <v>39</v>
      </c>
      <c r="E1811" s="1" t="s">
        <v>47</v>
      </c>
      <c r="F1811" s="1" t="s">
        <v>129</v>
      </c>
      <c r="G1811" s="1">
        <v>425511</v>
      </c>
      <c r="H1811" s="63">
        <v>45222</v>
      </c>
      <c r="J1811" s="1"/>
      <c r="K1811" s="1"/>
      <c r="L1811" s="1" t="s">
        <v>29</v>
      </c>
      <c r="M1811" s="1" t="s">
        <v>21</v>
      </c>
      <c r="N1811" s="1" t="str">
        <f t="shared" si="28"/>
        <v>Normal</v>
      </c>
    </row>
    <row r="1812" spans="1:14" x14ac:dyDescent="0.25">
      <c r="A1812" s="1" t="s">
        <v>2976</v>
      </c>
      <c r="B1812" s="1" t="s">
        <v>14</v>
      </c>
      <c r="C1812" s="1" t="s">
        <v>162</v>
      </c>
      <c r="D1812" s="1" t="s">
        <v>16</v>
      </c>
      <c r="E1812" s="1" t="s">
        <v>94</v>
      </c>
      <c r="F1812" s="1" t="s">
        <v>33</v>
      </c>
      <c r="G1812" s="1">
        <v>368659</v>
      </c>
      <c r="H1812" s="63">
        <v>45067</v>
      </c>
      <c r="J1812" s="1"/>
      <c r="K1812" s="1">
        <v>4.8</v>
      </c>
      <c r="L1812" s="1" t="s">
        <v>29</v>
      </c>
      <c r="M1812" s="1" t="s">
        <v>30</v>
      </c>
      <c r="N1812" s="1" t="str">
        <f t="shared" si="28"/>
        <v>Normal</v>
      </c>
    </row>
    <row r="1813" spans="1:14" x14ac:dyDescent="0.25">
      <c r="A1813" s="1" t="s">
        <v>2977</v>
      </c>
      <c r="B1813" s="1" t="s">
        <v>23</v>
      </c>
      <c r="C1813" s="1" t="s">
        <v>1691</v>
      </c>
      <c r="D1813" s="1" t="s">
        <v>25</v>
      </c>
      <c r="E1813" s="1" t="s">
        <v>61</v>
      </c>
      <c r="F1813" s="1" t="s">
        <v>33</v>
      </c>
      <c r="G1813" s="1">
        <v>114670</v>
      </c>
      <c r="H1813" s="63">
        <v>45316</v>
      </c>
      <c r="J1813" s="1"/>
      <c r="K1813" s="1">
        <v>5.8</v>
      </c>
      <c r="L1813" s="1" t="s">
        <v>49</v>
      </c>
      <c r="M1813" s="1" t="s">
        <v>69</v>
      </c>
      <c r="N1813" s="1" t="str">
        <f t="shared" si="28"/>
        <v>Normal</v>
      </c>
    </row>
    <row r="1814" spans="1:14" x14ac:dyDescent="0.25">
      <c r="A1814" s="1" t="s">
        <v>2978</v>
      </c>
      <c r="B1814" s="1" t="s">
        <v>44</v>
      </c>
      <c r="C1814" s="1" t="s">
        <v>364</v>
      </c>
      <c r="D1814" s="1" t="s">
        <v>16</v>
      </c>
      <c r="E1814" s="1" t="s">
        <v>100</v>
      </c>
      <c r="F1814" s="1" t="s">
        <v>33</v>
      </c>
      <c r="G1814" s="1">
        <v>446962</v>
      </c>
      <c r="H1814" s="63">
        <v>45253</v>
      </c>
      <c r="J1814" s="1"/>
      <c r="K1814" s="1">
        <v>6.5</v>
      </c>
      <c r="L1814" s="1" t="s">
        <v>96</v>
      </c>
      <c r="M1814" s="1" t="s">
        <v>21</v>
      </c>
      <c r="N1814" s="1" t="str">
        <f t="shared" si="28"/>
        <v>Normal</v>
      </c>
    </row>
    <row r="1815" spans="1:14" x14ac:dyDescent="0.25">
      <c r="A1815" s="1" t="s">
        <v>2980</v>
      </c>
      <c r="B1815" s="1" t="s">
        <v>75</v>
      </c>
      <c r="C1815" s="1" t="s">
        <v>1691</v>
      </c>
      <c r="D1815" s="1" t="s">
        <v>39</v>
      </c>
      <c r="E1815" s="1" t="s">
        <v>61</v>
      </c>
      <c r="F1815" s="1" t="s">
        <v>40</v>
      </c>
      <c r="G1815" s="1">
        <v>463209</v>
      </c>
      <c r="H1815" s="63">
        <v>45383</v>
      </c>
      <c r="I1815" s="63">
        <v>45550</v>
      </c>
      <c r="J1815" s="1">
        <v>167</v>
      </c>
      <c r="K1815" s="1">
        <v>3.4</v>
      </c>
      <c r="L1815" s="1" t="s">
        <v>20</v>
      </c>
      <c r="M1815" s="1" t="s">
        <v>107</v>
      </c>
      <c r="N1815" s="1" t="str">
        <f t="shared" si="28"/>
        <v>Normal</v>
      </c>
    </row>
    <row r="1816" spans="1:14" x14ac:dyDescent="0.25">
      <c r="A1816" s="1" t="s">
        <v>2981</v>
      </c>
      <c r="B1816" s="1" t="s">
        <v>88</v>
      </c>
      <c r="C1816" s="1" t="s">
        <v>2334</v>
      </c>
      <c r="D1816" s="1" t="s">
        <v>46</v>
      </c>
      <c r="E1816" s="1" t="s">
        <v>100</v>
      </c>
      <c r="F1816" s="1" t="s">
        <v>40</v>
      </c>
      <c r="G1816" s="1">
        <v>99457</v>
      </c>
      <c r="H1816" s="63">
        <v>45148</v>
      </c>
      <c r="I1816" s="63">
        <v>45232</v>
      </c>
      <c r="J1816" s="1">
        <v>84</v>
      </c>
      <c r="K1816" s="1">
        <v>23.8</v>
      </c>
      <c r="L1816" s="1" t="s">
        <v>29</v>
      </c>
      <c r="M1816" s="1" t="s">
        <v>102</v>
      </c>
      <c r="N1816" s="1" t="str">
        <f t="shared" si="28"/>
        <v>Normal</v>
      </c>
    </row>
    <row r="1817" spans="1:14" x14ac:dyDescent="0.25">
      <c r="A1817" s="1" t="s">
        <v>2982</v>
      </c>
      <c r="B1817" s="1" t="s">
        <v>44</v>
      </c>
      <c r="C1817" s="1" t="s">
        <v>483</v>
      </c>
      <c r="D1817" s="1" t="s">
        <v>46</v>
      </c>
      <c r="E1817" s="1" t="s">
        <v>17</v>
      </c>
      <c r="F1817" s="1" t="s">
        <v>27</v>
      </c>
      <c r="G1817" s="1">
        <v>198909</v>
      </c>
      <c r="H1817" s="63">
        <v>45273</v>
      </c>
      <c r="J1817" s="1"/>
      <c r="K1817" s="1">
        <v>1.2</v>
      </c>
      <c r="L1817" s="1" t="s">
        <v>96</v>
      </c>
      <c r="M1817" s="1" t="s">
        <v>21</v>
      </c>
      <c r="N1817" s="1" t="str">
        <f t="shared" si="28"/>
        <v>Normal</v>
      </c>
    </row>
    <row r="1818" spans="1:14" x14ac:dyDescent="0.25">
      <c r="A1818" s="1" t="s">
        <v>2983</v>
      </c>
      <c r="B1818" s="1" t="s">
        <v>84</v>
      </c>
      <c r="C1818" s="1" t="s">
        <v>122</v>
      </c>
      <c r="D1818" s="1" t="s">
        <v>67</v>
      </c>
      <c r="E1818" s="1" t="s">
        <v>17</v>
      </c>
      <c r="F1818" s="1" t="s">
        <v>33</v>
      </c>
      <c r="G1818" s="1">
        <v>481802</v>
      </c>
      <c r="H1818" s="63">
        <v>45256</v>
      </c>
      <c r="J1818" s="1"/>
      <c r="K1818" s="1">
        <v>6.6</v>
      </c>
      <c r="L1818" s="1" t="s">
        <v>20</v>
      </c>
      <c r="M1818" s="1" t="s">
        <v>21</v>
      </c>
      <c r="N1818" s="1" t="str">
        <f t="shared" si="28"/>
        <v>Normal</v>
      </c>
    </row>
    <row r="1819" spans="1:14" x14ac:dyDescent="0.25">
      <c r="A1819" s="1" t="s">
        <v>2985</v>
      </c>
      <c r="B1819" s="1" t="s">
        <v>75</v>
      </c>
      <c r="C1819" s="1" t="s">
        <v>708</v>
      </c>
      <c r="D1819" s="1" t="s">
        <v>16</v>
      </c>
      <c r="E1819" s="1" t="s">
        <v>77</v>
      </c>
      <c r="F1819" s="1" t="s">
        <v>33</v>
      </c>
      <c r="G1819" s="1">
        <v>23206</v>
      </c>
      <c r="H1819" s="63">
        <v>45277</v>
      </c>
      <c r="J1819" s="1"/>
      <c r="K1819" s="1">
        <v>2.7</v>
      </c>
      <c r="L1819" s="1" t="s">
        <v>20</v>
      </c>
      <c r="M1819" s="1" t="s">
        <v>21</v>
      </c>
      <c r="N1819" s="1" t="str">
        <f t="shared" si="28"/>
        <v>Normal</v>
      </c>
    </row>
    <row r="1820" spans="1:14" x14ac:dyDescent="0.25">
      <c r="A1820" s="1" t="s">
        <v>2986</v>
      </c>
      <c r="B1820" s="1" t="s">
        <v>84</v>
      </c>
      <c r="C1820" s="1" t="s">
        <v>2987</v>
      </c>
      <c r="D1820" s="1" t="s">
        <v>16</v>
      </c>
      <c r="E1820" s="1" t="s">
        <v>17</v>
      </c>
      <c r="F1820" s="1" t="s">
        <v>33</v>
      </c>
      <c r="G1820" s="1">
        <v>251012</v>
      </c>
      <c r="H1820" s="63">
        <v>44955</v>
      </c>
      <c r="J1820" s="1"/>
      <c r="K1820" s="1">
        <v>14.4</v>
      </c>
      <c r="L1820" s="1" t="s">
        <v>20</v>
      </c>
      <c r="M1820" s="1" t="s">
        <v>35</v>
      </c>
      <c r="N1820" s="1" t="str">
        <f t="shared" si="28"/>
        <v>Normal</v>
      </c>
    </row>
    <row r="1821" spans="1:14" x14ac:dyDescent="0.25">
      <c r="A1821" s="1" t="s">
        <v>2988</v>
      </c>
      <c r="B1821" s="1" t="s">
        <v>37</v>
      </c>
      <c r="C1821" s="1" t="s">
        <v>767</v>
      </c>
      <c r="D1821" s="1" t="s">
        <v>39</v>
      </c>
      <c r="E1821" s="1" t="s">
        <v>47</v>
      </c>
      <c r="F1821" s="1" t="s">
        <v>53</v>
      </c>
      <c r="G1821" s="1">
        <v>419675</v>
      </c>
      <c r="H1821" s="63">
        <v>44988</v>
      </c>
      <c r="J1821" s="1"/>
      <c r="K1821" s="1">
        <v>11.2</v>
      </c>
      <c r="L1821" s="1" t="s">
        <v>29</v>
      </c>
      <c r="M1821" s="1" t="s">
        <v>35</v>
      </c>
      <c r="N1821" s="1" t="str">
        <f t="shared" si="28"/>
        <v>Normal</v>
      </c>
    </row>
    <row r="1822" spans="1:14" x14ac:dyDescent="0.25">
      <c r="A1822" s="1" t="s">
        <v>2989</v>
      </c>
      <c r="B1822" s="1" t="s">
        <v>173</v>
      </c>
      <c r="C1822" s="1" t="s">
        <v>635</v>
      </c>
      <c r="D1822" s="1" t="s">
        <v>39</v>
      </c>
      <c r="E1822" s="1" t="s">
        <v>26</v>
      </c>
      <c r="F1822" s="1" t="s">
        <v>40</v>
      </c>
      <c r="G1822" s="1">
        <v>458671</v>
      </c>
      <c r="H1822" s="63">
        <v>44965</v>
      </c>
      <c r="I1822" s="63">
        <v>44982</v>
      </c>
      <c r="J1822" s="1">
        <v>17</v>
      </c>
      <c r="K1822" s="1">
        <v>17.7</v>
      </c>
      <c r="L1822" s="1" t="s">
        <v>29</v>
      </c>
      <c r="M1822" s="1" t="s">
        <v>35</v>
      </c>
      <c r="N1822" s="1" t="str">
        <f t="shared" si="28"/>
        <v>Normal</v>
      </c>
    </row>
    <row r="1823" spans="1:14" x14ac:dyDescent="0.25">
      <c r="A1823" s="1" t="s">
        <v>2991</v>
      </c>
      <c r="B1823" s="1" t="s">
        <v>104</v>
      </c>
      <c r="C1823" s="1" t="s">
        <v>339</v>
      </c>
      <c r="D1823" s="1" t="s">
        <v>25</v>
      </c>
      <c r="E1823" s="1" t="s">
        <v>17</v>
      </c>
      <c r="F1823" s="1" t="s">
        <v>33</v>
      </c>
      <c r="G1823" s="1">
        <v>357507</v>
      </c>
      <c r="H1823" s="63">
        <v>45418</v>
      </c>
      <c r="J1823" s="1"/>
      <c r="K1823" s="1">
        <v>5.7</v>
      </c>
      <c r="L1823" s="1" t="s">
        <v>49</v>
      </c>
      <c r="M1823" s="1" t="s">
        <v>107</v>
      </c>
      <c r="N1823" s="1" t="str">
        <f t="shared" si="28"/>
        <v>Normal</v>
      </c>
    </row>
    <row r="1824" spans="1:14" x14ac:dyDescent="0.25">
      <c r="A1824" s="1" t="s">
        <v>2992</v>
      </c>
      <c r="B1824" s="1" t="s">
        <v>104</v>
      </c>
      <c r="C1824" s="1" t="s">
        <v>2185</v>
      </c>
      <c r="D1824" s="1" t="s">
        <v>67</v>
      </c>
      <c r="E1824" s="1" t="s">
        <v>100</v>
      </c>
      <c r="F1824" s="1" t="s">
        <v>33</v>
      </c>
      <c r="G1824" s="1">
        <v>194044</v>
      </c>
      <c r="H1824" s="63">
        <v>45020</v>
      </c>
      <c r="J1824" s="1"/>
      <c r="K1824" s="1">
        <v>1.8</v>
      </c>
      <c r="L1824" s="1" t="s">
        <v>20</v>
      </c>
      <c r="M1824" s="1" t="s">
        <v>30</v>
      </c>
      <c r="N1824" s="1" t="str">
        <f t="shared" si="28"/>
        <v>Normal</v>
      </c>
    </row>
    <row r="1825" spans="1:14" x14ac:dyDescent="0.25">
      <c r="A1825" s="1" t="s">
        <v>2993</v>
      </c>
      <c r="B1825" s="1" t="s">
        <v>14</v>
      </c>
      <c r="C1825" s="1" t="s">
        <v>505</v>
      </c>
      <c r="D1825" s="1" t="s">
        <v>16</v>
      </c>
      <c r="E1825" s="1" t="s">
        <v>77</v>
      </c>
      <c r="F1825" s="1" t="s">
        <v>129</v>
      </c>
      <c r="G1825" s="1">
        <v>128677</v>
      </c>
      <c r="H1825" s="63">
        <v>44947</v>
      </c>
      <c r="J1825" s="1"/>
      <c r="K1825" s="1"/>
      <c r="L1825" s="1" t="s">
        <v>20</v>
      </c>
      <c r="M1825" s="1" t="s">
        <v>35</v>
      </c>
      <c r="N1825" s="1" t="str">
        <f t="shared" si="28"/>
        <v>Normal</v>
      </c>
    </row>
    <row r="1826" spans="1:14" x14ac:dyDescent="0.25">
      <c r="A1826" s="1" t="s">
        <v>2994</v>
      </c>
      <c r="B1826" s="1" t="s">
        <v>109</v>
      </c>
      <c r="C1826" s="1" t="s">
        <v>1028</v>
      </c>
      <c r="D1826" s="1" t="s">
        <v>90</v>
      </c>
      <c r="E1826" s="1" t="s">
        <v>94</v>
      </c>
      <c r="F1826" s="1" t="s">
        <v>27</v>
      </c>
      <c r="G1826" s="1">
        <v>386877</v>
      </c>
      <c r="H1826" s="63">
        <v>45052</v>
      </c>
      <c r="J1826" s="1"/>
      <c r="K1826" s="1"/>
      <c r="L1826" s="1" t="s">
        <v>49</v>
      </c>
      <c r="M1826" s="1" t="s">
        <v>30</v>
      </c>
      <c r="N1826" s="1" t="str">
        <f t="shared" si="28"/>
        <v>Normal</v>
      </c>
    </row>
    <row r="1827" spans="1:14" x14ac:dyDescent="0.25">
      <c r="A1827" s="1" t="s">
        <v>2995</v>
      </c>
      <c r="B1827" s="1" t="s">
        <v>84</v>
      </c>
      <c r="C1827" s="1" t="s">
        <v>1018</v>
      </c>
      <c r="D1827" s="1" t="s">
        <v>46</v>
      </c>
      <c r="E1827" s="1" t="s">
        <v>72</v>
      </c>
      <c r="F1827" s="1" t="s">
        <v>33</v>
      </c>
      <c r="G1827" s="1">
        <v>453444</v>
      </c>
      <c r="H1827" s="63">
        <v>45381</v>
      </c>
      <c r="J1827" s="1"/>
      <c r="K1827" s="1"/>
      <c r="L1827" s="1" t="s">
        <v>96</v>
      </c>
      <c r="M1827" s="1" t="s">
        <v>69</v>
      </c>
      <c r="N1827" s="1" t="str">
        <f t="shared" si="28"/>
        <v>Normal</v>
      </c>
    </row>
    <row r="1828" spans="1:14" x14ac:dyDescent="0.25">
      <c r="A1828" s="1" t="s">
        <v>2996</v>
      </c>
      <c r="B1828" s="1" t="s">
        <v>127</v>
      </c>
      <c r="C1828" s="1" t="s">
        <v>423</v>
      </c>
      <c r="D1828" s="1" t="s">
        <v>16</v>
      </c>
      <c r="E1828" s="1" t="s">
        <v>100</v>
      </c>
      <c r="F1828" s="1" t="s">
        <v>40</v>
      </c>
      <c r="G1828" s="1">
        <v>318681</v>
      </c>
      <c r="H1828" s="63">
        <v>45610</v>
      </c>
      <c r="I1828" s="63">
        <v>45695</v>
      </c>
      <c r="J1828" s="1">
        <v>85</v>
      </c>
      <c r="K1828" s="1">
        <v>17.399999999999999</v>
      </c>
      <c r="L1828" s="1" t="s">
        <v>96</v>
      </c>
      <c r="M1828" s="1" t="s">
        <v>42</v>
      </c>
      <c r="N1828" s="1" t="str">
        <f t="shared" si="28"/>
        <v>Normal</v>
      </c>
    </row>
    <row r="1829" spans="1:14" x14ac:dyDescent="0.25">
      <c r="A1829" s="1" t="s">
        <v>2997</v>
      </c>
      <c r="B1829" s="1" t="s">
        <v>88</v>
      </c>
      <c r="C1829" s="1" t="s">
        <v>809</v>
      </c>
      <c r="D1829" s="1" t="s">
        <v>39</v>
      </c>
      <c r="E1829" s="1" t="s">
        <v>17</v>
      </c>
      <c r="F1829" s="1" t="s">
        <v>53</v>
      </c>
      <c r="G1829" s="1">
        <v>336617</v>
      </c>
      <c r="H1829" s="63">
        <v>45146</v>
      </c>
      <c r="J1829" s="1"/>
      <c r="K1829" s="1">
        <v>0.6</v>
      </c>
      <c r="L1829" s="1" t="s">
        <v>20</v>
      </c>
      <c r="M1829" s="1" t="s">
        <v>102</v>
      </c>
      <c r="N1829" s="1" t="str">
        <f t="shared" si="28"/>
        <v>Normal</v>
      </c>
    </row>
    <row r="1830" spans="1:14" x14ac:dyDescent="0.25">
      <c r="A1830" s="1" t="s">
        <v>2999</v>
      </c>
      <c r="B1830" s="1" t="s">
        <v>44</v>
      </c>
      <c r="C1830" s="1" t="s">
        <v>483</v>
      </c>
      <c r="D1830" s="1" t="s">
        <v>90</v>
      </c>
      <c r="E1830" s="1" t="s">
        <v>47</v>
      </c>
      <c r="F1830" s="1" t="s">
        <v>40</v>
      </c>
      <c r="G1830" s="1">
        <v>369868</v>
      </c>
      <c r="H1830" s="63">
        <v>45023</v>
      </c>
      <c r="I1830" s="63">
        <v>45149</v>
      </c>
      <c r="J1830" s="1">
        <v>126</v>
      </c>
      <c r="K1830" s="1">
        <v>2.8</v>
      </c>
      <c r="L1830" s="1" t="s">
        <v>20</v>
      </c>
      <c r="M1830" s="1" t="s">
        <v>30</v>
      </c>
      <c r="N1830" s="1" t="str">
        <f t="shared" si="28"/>
        <v>Normal</v>
      </c>
    </row>
    <row r="1831" spans="1:14" x14ac:dyDescent="0.25">
      <c r="A1831" s="1" t="s">
        <v>3000</v>
      </c>
      <c r="B1831" s="1" t="s">
        <v>173</v>
      </c>
      <c r="C1831" s="1" t="s">
        <v>60</v>
      </c>
      <c r="D1831" s="1" t="s">
        <v>67</v>
      </c>
      <c r="E1831" s="1" t="s">
        <v>72</v>
      </c>
      <c r="F1831" s="1" t="s">
        <v>129</v>
      </c>
      <c r="G1831" s="1">
        <v>10537</v>
      </c>
      <c r="H1831" s="63">
        <v>45401</v>
      </c>
      <c r="J1831" s="1"/>
      <c r="K1831" s="1"/>
      <c r="L1831" s="1" t="s">
        <v>96</v>
      </c>
      <c r="M1831" s="1" t="s">
        <v>107</v>
      </c>
      <c r="N1831" s="1" t="str">
        <f t="shared" si="28"/>
        <v>Normal</v>
      </c>
    </row>
    <row r="1832" spans="1:14" x14ac:dyDescent="0.25">
      <c r="A1832" s="1" t="s">
        <v>3002</v>
      </c>
      <c r="B1832" s="1" t="s">
        <v>37</v>
      </c>
      <c r="C1832" s="1" t="s">
        <v>693</v>
      </c>
      <c r="D1832" s="1" t="s">
        <v>90</v>
      </c>
      <c r="E1832" s="1" t="s">
        <v>77</v>
      </c>
      <c r="F1832" s="1" t="s">
        <v>33</v>
      </c>
      <c r="G1832" s="1">
        <v>354519</v>
      </c>
      <c r="H1832" s="63">
        <v>45121</v>
      </c>
      <c r="J1832" s="1"/>
      <c r="K1832" s="1"/>
      <c r="L1832" s="1" t="s">
        <v>49</v>
      </c>
      <c r="M1832" s="1" t="s">
        <v>102</v>
      </c>
      <c r="N1832" s="1" t="str">
        <f t="shared" si="28"/>
        <v>Normal</v>
      </c>
    </row>
    <row r="1833" spans="1:14" x14ac:dyDescent="0.25">
      <c r="A1833" s="1" t="s">
        <v>3003</v>
      </c>
      <c r="B1833" s="1" t="s">
        <v>127</v>
      </c>
      <c r="C1833" s="1" t="s">
        <v>667</v>
      </c>
      <c r="D1833" s="1" t="s">
        <v>16</v>
      </c>
      <c r="E1833" s="1" t="s">
        <v>94</v>
      </c>
      <c r="F1833" s="1" t="s">
        <v>40</v>
      </c>
      <c r="G1833" s="1">
        <v>268024</v>
      </c>
      <c r="H1833" s="63">
        <v>45448</v>
      </c>
      <c r="I1833" s="63">
        <v>45466</v>
      </c>
      <c r="J1833" s="1">
        <v>18</v>
      </c>
      <c r="K1833" s="1">
        <v>12.5</v>
      </c>
      <c r="L1833" s="1" t="s">
        <v>29</v>
      </c>
      <c r="M1833" s="1" t="s">
        <v>107</v>
      </c>
      <c r="N1833" s="1" t="str">
        <f t="shared" si="28"/>
        <v>Normal</v>
      </c>
    </row>
    <row r="1834" spans="1:14" x14ac:dyDescent="0.25">
      <c r="A1834" s="1" t="s">
        <v>3005</v>
      </c>
      <c r="B1834" s="1" t="s">
        <v>109</v>
      </c>
      <c r="C1834" s="1" t="s">
        <v>157</v>
      </c>
      <c r="D1834" s="1" t="s">
        <v>25</v>
      </c>
      <c r="E1834" s="1" t="s">
        <v>47</v>
      </c>
      <c r="F1834" s="1" t="s">
        <v>53</v>
      </c>
      <c r="G1834" s="1">
        <v>95643</v>
      </c>
      <c r="H1834" s="63">
        <v>45076</v>
      </c>
      <c r="J1834" s="1"/>
      <c r="K1834" s="1">
        <v>13</v>
      </c>
      <c r="L1834" s="1" t="s">
        <v>49</v>
      </c>
      <c r="M1834" s="1" t="s">
        <v>30</v>
      </c>
      <c r="N1834" s="1" t="str">
        <f t="shared" si="28"/>
        <v>Normal</v>
      </c>
    </row>
    <row r="1835" spans="1:14" x14ac:dyDescent="0.25">
      <c r="A1835" s="1" t="s">
        <v>3006</v>
      </c>
      <c r="B1835" s="1" t="s">
        <v>88</v>
      </c>
      <c r="C1835" s="1" t="s">
        <v>1112</v>
      </c>
      <c r="D1835" s="1" t="s">
        <v>25</v>
      </c>
      <c r="E1835" s="1" t="s">
        <v>94</v>
      </c>
      <c r="F1835" s="1" t="s">
        <v>18</v>
      </c>
      <c r="G1835" s="1">
        <v>296216</v>
      </c>
      <c r="H1835" s="63">
        <v>45606</v>
      </c>
      <c r="I1835" s="63">
        <v>45758</v>
      </c>
      <c r="J1835" s="1">
        <v>152</v>
      </c>
      <c r="K1835" s="1">
        <v>13.7</v>
      </c>
      <c r="L1835" s="1" t="s">
        <v>20</v>
      </c>
      <c r="M1835" s="1" t="s">
        <v>42</v>
      </c>
      <c r="N1835" s="1" t="str">
        <f t="shared" si="28"/>
        <v>Normal</v>
      </c>
    </row>
    <row r="1836" spans="1:14" x14ac:dyDescent="0.25">
      <c r="A1836" s="1" t="s">
        <v>3008</v>
      </c>
      <c r="B1836" s="1" t="s">
        <v>109</v>
      </c>
      <c r="C1836" s="1" t="s">
        <v>877</v>
      </c>
      <c r="D1836" s="1" t="s">
        <v>16</v>
      </c>
      <c r="E1836" s="1" t="s">
        <v>77</v>
      </c>
      <c r="F1836" s="1" t="s">
        <v>53</v>
      </c>
      <c r="G1836" s="1">
        <v>279618</v>
      </c>
      <c r="H1836" s="63">
        <v>45712</v>
      </c>
      <c r="J1836" s="1"/>
      <c r="K1836" s="1"/>
      <c r="L1836" s="1" t="s">
        <v>29</v>
      </c>
      <c r="M1836" s="1" t="s">
        <v>63</v>
      </c>
      <c r="N1836" s="1" t="str">
        <f t="shared" si="28"/>
        <v>Normal</v>
      </c>
    </row>
    <row r="1837" spans="1:14" x14ac:dyDescent="0.25">
      <c r="A1837" s="1" t="s">
        <v>3009</v>
      </c>
      <c r="B1837" s="1" t="s">
        <v>84</v>
      </c>
      <c r="C1837" s="1" t="s">
        <v>912</v>
      </c>
      <c r="D1837" s="1" t="s">
        <v>90</v>
      </c>
      <c r="E1837" s="1" t="s">
        <v>72</v>
      </c>
      <c r="F1837" s="1" t="s">
        <v>53</v>
      </c>
      <c r="G1837" s="1">
        <v>14080</v>
      </c>
      <c r="H1837" s="63">
        <v>45305</v>
      </c>
      <c r="J1837" s="1"/>
      <c r="K1837" s="1">
        <v>10.1</v>
      </c>
      <c r="L1837" s="1" t="s">
        <v>49</v>
      </c>
      <c r="M1837" s="1" t="s">
        <v>69</v>
      </c>
      <c r="N1837" s="1" t="str">
        <f t="shared" si="28"/>
        <v>Normal</v>
      </c>
    </row>
    <row r="1838" spans="1:14" x14ac:dyDescent="0.25">
      <c r="A1838" s="1" t="s">
        <v>3010</v>
      </c>
      <c r="B1838" s="1" t="s">
        <v>37</v>
      </c>
      <c r="C1838" s="1" t="s">
        <v>436</v>
      </c>
      <c r="D1838" s="1" t="s">
        <v>16</v>
      </c>
      <c r="E1838" s="1" t="s">
        <v>17</v>
      </c>
      <c r="F1838" s="1" t="s">
        <v>53</v>
      </c>
      <c r="G1838" s="1">
        <v>99418</v>
      </c>
      <c r="H1838" s="63">
        <v>45288</v>
      </c>
      <c r="J1838" s="1"/>
      <c r="K1838" s="1">
        <v>6.1</v>
      </c>
      <c r="L1838" s="1" t="s">
        <v>49</v>
      </c>
      <c r="M1838" s="1" t="s">
        <v>21</v>
      </c>
      <c r="N1838" s="1" t="str">
        <f t="shared" si="28"/>
        <v>Normal</v>
      </c>
    </row>
    <row r="1839" spans="1:14" x14ac:dyDescent="0.25">
      <c r="A1839" s="1" t="s">
        <v>3011</v>
      </c>
      <c r="B1839" s="1" t="s">
        <v>14</v>
      </c>
      <c r="C1839" s="1" t="s">
        <v>279</v>
      </c>
      <c r="D1839" s="1" t="s">
        <v>16</v>
      </c>
      <c r="E1839" s="1" t="s">
        <v>77</v>
      </c>
      <c r="F1839" s="1" t="s">
        <v>129</v>
      </c>
      <c r="G1839" s="1">
        <v>154760</v>
      </c>
      <c r="H1839" s="63">
        <v>45680</v>
      </c>
      <c r="J1839" s="1"/>
      <c r="K1839" s="1">
        <v>7.7</v>
      </c>
      <c r="L1839" s="1" t="s">
        <v>49</v>
      </c>
      <c r="M1839" s="1" t="s">
        <v>63</v>
      </c>
      <c r="N1839" s="1" t="str">
        <f t="shared" si="28"/>
        <v>Normal</v>
      </c>
    </row>
    <row r="1840" spans="1:14" x14ac:dyDescent="0.25">
      <c r="A1840" s="1" t="s">
        <v>3012</v>
      </c>
      <c r="B1840" s="1" t="s">
        <v>75</v>
      </c>
      <c r="C1840" s="1" t="s">
        <v>932</v>
      </c>
      <c r="D1840" s="1" t="s">
        <v>39</v>
      </c>
      <c r="E1840" s="1" t="s">
        <v>26</v>
      </c>
      <c r="F1840" s="1" t="s">
        <v>129</v>
      </c>
      <c r="G1840" s="1">
        <v>12398</v>
      </c>
      <c r="H1840" s="63">
        <v>45550</v>
      </c>
      <c r="J1840" s="1"/>
      <c r="K1840" s="1"/>
      <c r="L1840" s="1" t="s">
        <v>20</v>
      </c>
      <c r="M1840" s="1" t="s">
        <v>149</v>
      </c>
      <c r="N1840" s="1" t="str">
        <f t="shared" si="28"/>
        <v>Normal</v>
      </c>
    </row>
    <row r="1841" spans="1:14" x14ac:dyDescent="0.25">
      <c r="A1841" s="1" t="s">
        <v>3013</v>
      </c>
      <c r="B1841" s="1" t="s">
        <v>84</v>
      </c>
      <c r="C1841" s="1" t="s">
        <v>1129</v>
      </c>
      <c r="D1841" s="1" t="s">
        <v>39</v>
      </c>
      <c r="E1841" s="1" t="s">
        <v>61</v>
      </c>
      <c r="F1841" s="1" t="s">
        <v>53</v>
      </c>
      <c r="G1841" s="1">
        <v>398503</v>
      </c>
      <c r="H1841" s="63">
        <v>45368</v>
      </c>
      <c r="J1841" s="1"/>
      <c r="K1841" s="1">
        <v>5.4</v>
      </c>
      <c r="L1841" s="1" t="s">
        <v>29</v>
      </c>
      <c r="M1841" s="1" t="s">
        <v>69</v>
      </c>
      <c r="N1841" s="1" t="str">
        <f t="shared" si="28"/>
        <v>Normal</v>
      </c>
    </row>
    <row r="1842" spans="1:14" x14ac:dyDescent="0.25">
      <c r="A1842" s="1" t="s">
        <v>3014</v>
      </c>
      <c r="B1842" s="1" t="s">
        <v>84</v>
      </c>
      <c r="C1842" s="1" t="s">
        <v>987</v>
      </c>
      <c r="D1842" s="1" t="s">
        <v>39</v>
      </c>
      <c r="E1842" s="1" t="s">
        <v>17</v>
      </c>
      <c r="F1842" s="1" t="s">
        <v>53</v>
      </c>
      <c r="G1842" s="1">
        <v>426458</v>
      </c>
      <c r="H1842" s="63">
        <v>45600</v>
      </c>
      <c r="J1842" s="1"/>
      <c r="K1842" s="1">
        <v>7.3</v>
      </c>
      <c r="L1842" s="1" t="s">
        <v>20</v>
      </c>
      <c r="M1842" s="1" t="s">
        <v>42</v>
      </c>
      <c r="N1842" s="1" t="str">
        <f t="shared" si="28"/>
        <v>Normal</v>
      </c>
    </row>
    <row r="1843" spans="1:14" x14ac:dyDescent="0.25">
      <c r="A1843" s="1" t="s">
        <v>3015</v>
      </c>
      <c r="B1843" s="1" t="s">
        <v>75</v>
      </c>
      <c r="C1843" s="1" t="s">
        <v>1278</v>
      </c>
      <c r="D1843" s="1" t="s">
        <v>16</v>
      </c>
      <c r="E1843" s="1" t="s">
        <v>100</v>
      </c>
      <c r="F1843" s="1" t="s">
        <v>53</v>
      </c>
      <c r="G1843" s="1">
        <v>32657</v>
      </c>
      <c r="H1843" s="63">
        <v>45522</v>
      </c>
      <c r="J1843" s="1"/>
      <c r="K1843" s="1"/>
      <c r="L1843" s="1" t="s">
        <v>20</v>
      </c>
      <c r="M1843" s="1" t="s">
        <v>149</v>
      </c>
      <c r="N1843" s="1" t="str">
        <f t="shared" si="28"/>
        <v>Normal</v>
      </c>
    </row>
    <row r="1844" spans="1:14" x14ac:dyDescent="0.25">
      <c r="A1844" s="1" t="s">
        <v>3017</v>
      </c>
      <c r="B1844" s="1" t="s">
        <v>80</v>
      </c>
      <c r="C1844" s="1" t="s">
        <v>165</v>
      </c>
      <c r="D1844" s="1" t="s">
        <v>25</v>
      </c>
      <c r="E1844" s="1" t="s">
        <v>47</v>
      </c>
      <c r="F1844" s="1" t="s">
        <v>53</v>
      </c>
      <c r="G1844" s="1">
        <v>136734</v>
      </c>
      <c r="H1844" s="63">
        <v>44972</v>
      </c>
      <c r="J1844" s="1"/>
      <c r="K1844" s="1"/>
      <c r="L1844" s="1" t="s">
        <v>96</v>
      </c>
      <c r="M1844" s="1" t="s">
        <v>35</v>
      </c>
      <c r="N1844" s="1" t="str">
        <f t="shared" si="28"/>
        <v>Normal</v>
      </c>
    </row>
    <row r="1845" spans="1:14" x14ac:dyDescent="0.25">
      <c r="A1845" s="1" t="s">
        <v>3019</v>
      </c>
      <c r="B1845" s="1" t="s">
        <v>173</v>
      </c>
      <c r="C1845" s="1" t="s">
        <v>809</v>
      </c>
      <c r="D1845" s="1" t="s">
        <v>39</v>
      </c>
      <c r="E1845" s="1" t="s">
        <v>17</v>
      </c>
      <c r="F1845" s="1" t="s">
        <v>40</v>
      </c>
      <c r="G1845" s="1">
        <v>309038</v>
      </c>
      <c r="H1845" s="63">
        <v>45439</v>
      </c>
      <c r="I1845" s="63">
        <v>45544</v>
      </c>
      <c r="J1845" s="1">
        <v>105</v>
      </c>
      <c r="K1845" s="1">
        <v>22.5</v>
      </c>
      <c r="L1845" s="1" t="s">
        <v>29</v>
      </c>
      <c r="M1845" s="1" t="s">
        <v>107</v>
      </c>
      <c r="N1845" s="1" t="str">
        <f t="shared" si="28"/>
        <v>Normal</v>
      </c>
    </row>
    <row r="1846" spans="1:14" x14ac:dyDescent="0.25">
      <c r="A1846" s="1" t="s">
        <v>3021</v>
      </c>
      <c r="B1846" s="1" t="s">
        <v>75</v>
      </c>
      <c r="C1846" s="1" t="s">
        <v>1074</v>
      </c>
      <c r="D1846" s="1" t="s">
        <v>90</v>
      </c>
      <c r="E1846" s="1" t="s">
        <v>72</v>
      </c>
      <c r="F1846" s="1" t="s">
        <v>129</v>
      </c>
      <c r="G1846" s="1">
        <v>389000</v>
      </c>
      <c r="H1846" s="63">
        <v>45571</v>
      </c>
      <c r="J1846" s="1"/>
      <c r="K1846" s="1"/>
      <c r="L1846" s="1" t="s">
        <v>29</v>
      </c>
      <c r="M1846" s="1" t="s">
        <v>42</v>
      </c>
      <c r="N1846" s="1" t="str">
        <f t="shared" si="28"/>
        <v>Normal</v>
      </c>
    </row>
    <row r="1847" spans="1:14" x14ac:dyDescent="0.25">
      <c r="A1847" s="1" t="s">
        <v>3022</v>
      </c>
      <c r="B1847" s="1" t="s">
        <v>104</v>
      </c>
      <c r="C1847" s="1" t="s">
        <v>186</v>
      </c>
      <c r="D1847" s="1" t="s">
        <v>67</v>
      </c>
      <c r="E1847" s="1" t="s">
        <v>61</v>
      </c>
      <c r="F1847" s="1" t="s">
        <v>33</v>
      </c>
      <c r="G1847" s="1">
        <v>1547947</v>
      </c>
      <c r="H1847" s="63">
        <v>45696</v>
      </c>
      <c r="J1847" s="1"/>
      <c r="K1847" s="1">
        <v>4.2</v>
      </c>
      <c r="L1847" s="1" t="s">
        <v>29</v>
      </c>
      <c r="M1847" s="1" t="s">
        <v>63</v>
      </c>
      <c r="N1847" s="1" t="str">
        <f t="shared" si="28"/>
        <v>High Outlier</v>
      </c>
    </row>
    <row r="1848" spans="1:14" x14ac:dyDescent="0.25">
      <c r="A1848" s="1" t="s">
        <v>3023</v>
      </c>
      <c r="B1848" s="1" t="s">
        <v>75</v>
      </c>
      <c r="C1848" s="1" t="s">
        <v>882</v>
      </c>
      <c r="D1848" s="1" t="s">
        <v>39</v>
      </c>
      <c r="E1848" s="1" t="s">
        <v>77</v>
      </c>
      <c r="F1848" s="1" t="s">
        <v>129</v>
      </c>
      <c r="G1848" s="1">
        <v>370627</v>
      </c>
      <c r="H1848" s="63">
        <v>44956</v>
      </c>
      <c r="J1848" s="1"/>
      <c r="K1848" s="1"/>
      <c r="L1848" s="1" t="s">
        <v>96</v>
      </c>
      <c r="M1848" s="1" t="s">
        <v>35</v>
      </c>
      <c r="N1848" s="1" t="str">
        <f t="shared" si="28"/>
        <v>Normal</v>
      </c>
    </row>
    <row r="1849" spans="1:14" x14ac:dyDescent="0.25">
      <c r="A1849" s="1" t="s">
        <v>3024</v>
      </c>
      <c r="B1849" s="1" t="s">
        <v>104</v>
      </c>
      <c r="C1849" s="1" t="s">
        <v>1072</v>
      </c>
      <c r="D1849" s="1" t="s">
        <v>25</v>
      </c>
      <c r="E1849" s="1" t="s">
        <v>77</v>
      </c>
      <c r="F1849" s="1" t="s">
        <v>33</v>
      </c>
      <c r="G1849" s="1">
        <v>417769</v>
      </c>
      <c r="H1849" s="63">
        <v>45179</v>
      </c>
      <c r="J1849" s="1"/>
      <c r="K1849" s="1"/>
      <c r="L1849" s="1" t="s">
        <v>49</v>
      </c>
      <c r="M1849" s="1" t="s">
        <v>102</v>
      </c>
      <c r="N1849" s="1" t="str">
        <f t="shared" si="28"/>
        <v>Normal</v>
      </c>
    </row>
    <row r="1850" spans="1:14" x14ac:dyDescent="0.25">
      <c r="A1850" s="1" t="s">
        <v>3025</v>
      </c>
      <c r="B1850" s="1" t="s">
        <v>44</v>
      </c>
      <c r="C1850" s="1" t="s">
        <v>983</v>
      </c>
      <c r="D1850" s="1" t="s">
        <v>67</v>
      </c>
      <c r="E1850" s="1" t="s">
        <v>61</v>
      </c>
      <c r="F1850" s="1" t="s">
        <v>40</v>
      </c>
      <c r="G1850" s="1">
        <v>385562</v>
      </c>
      <c r="H1850" s="63">
        <v>45071</v>
      </c>
      <c r="I1850" s="63">
        <v>45135</v>
      </c>
      <c r="J1850" s="1">
        <v>64</v>
      </c>
      <c r="K1850" s="1">
        <v>7.3</v>
      </c>
      <c r="L1850" s="1" t="s">
        <v>29</v>
      </c>
      <c r="M1850" s="1" t="s">
        <v>30</v>
      </c>
      <c r="N1850" s="1" t="str">
        <f t="shared" si="28"/>
        <v>Normal</v>
      </c>
    </row>
    <row r="1851" spans="1:14" x14ac:dyDescent="0.25">
      <c r="A1851" s="1" t="s">
        <v>3026</v>
      </c>
      <c r="B1851" s="1" t="s">
        <v>80</v>
      </c>
      <c r="C1851" s="1" t="s">
        <v>877</v>
      </c>
      <c r="D1851" s="1" t="s">
        <v>46</v>
      </c>
      <c r="E1851" s="1" t="s">
        <v>17</v>
      </c>
      <c r="F1851" s="1" t="s">
        <v>33</v>
      </c>
      <c r="G1851" s="1">
        <v>61352</v>
      </c>
      <c r="H1851" s="63">
        <v>45154</v>
      </c>
      <c r="J1851" s="1"/>
      <c r="K1851" s="1"/>
      <c r="L1851" s="1" t="s">
        <v>96</v>
      </c>
      <c r="M1851" s="1" t="s">
        <v>102</v>
      </c>
      <c r="N1851" s="1" t="str">
        <f t="shared" si="28"/>
        <v>Normal</v>
      </c>
    </row>
    <row r="1852" spans="1:14" x14ac:dyDescent="0.25">
      <c r="A1852" s="1" t="s">
        <v>3027</v>
      </c>
      <c r="B1852" s="1" t="s">
        <v>44</v>
      </c>
      <c r="C1852" s="1" t="s">
        <v>2503</v>
      </c>
      <c r="D1852" s="1" t="s">
        <v>90</v>
      </c>
      <c r="E1852" s="1" t="s">
        <v>100</v>
      </c>
      <c r="F1852" s="1" t="s">
        <v>129</v>
      </c>
      <c r="G1852" s="1">
        <v>312721</v>
      </c>
      <c r="H1852" s="63">
        <v>44968</v>
      </c>
      <c r="J1852" s="1"/>
      <c r="K1852" s="1">
        <v>2.9</v>
      </c>
      <c r="L1852" s="1" t="s">
        <v>29</v>
      </c>
      <c r="M1852" s="1" t="s">
        <v>35</v>
      </c>
      <c r="N1852" s="1" t="str">
        <f t="shared" si="28"/>
        <v>Normal</v>
      </c>
    </row>
    <row r="1853" spans="1:14" x14ac:dyDescent="0.25">
      <c r="A1853" s="1" t="s">
        <v>3028</v>
      </c>
      <c r="B1853" s="1" t="s">
        <v>98</v>
      </c>
      <c r="C1853" s="1" t="s">
        <v>637</v>
      </c>
      <c r="D1853" s="1" t="s">
        <v>25</v>
      </c>
      <c r="E1853" s="1" t="s">
        <v>100</v>
      </c>
      <c r="F1853" s="1" t="s">
        <v>40</v>
      </c>
      <c r="G1853" s="1">
        <v>221222</v>
      </c>
      <c r="H1853" s="63">
        <v>45565</v>
      </c>
      <c r="I1853" s="63">
        <v>45586</v>
      </c>
      <c r="J1853" s="1">
        <v>21</v>
      </c>
      <c r="K1853" s="1">
        <v>24.4</v>
      </c>
      <c r="L1853" s="1" t="s">
        <v>29</v>
      </c>
      <c r="M1853" s="1" t="s">
        <v>149</v>
      </c>
      <c r="N1853" s="1" t="str">
        <f t="shared" si="28"/>
        <v>Normal</v>
      </c>
    </row>
    <row r="1854" spans="1:14" x14ac:dyDescent="0.25">
      <c r="A1854" s="1" t="s">
        <v>3030</v>
      </c>
      <c r="B1854" s="1" t="s">
        <v>23</v>
      </c>
      <c r="C1854" s="1" t="s">
        <v>1776</v>
      </c>
      <c r="D1854" s="1" t="s">
        <v>46</v>
      </c>
      <c r="E1854" s="1" t="s">
        <v>77</v>
      </c>
      <c r="F1854" s="1" t="s">
        <v>18</v>
      </c>
      <c r="G1854" s="1">
        <v>404465</v>
      </c>
      <c r="H1854" s="63">
        <v>45483</v>
      </c>
      <c r="I1854" s="63">
        <v>45564</v>
      </c>
      <c r="J1854" s="1">
        <v>81</v>
      </c>
      <c r="K1854" s="1">
        <v>4.5</v>
      </c>
      <c r="L1854" s="1" t="s">
        <v>20</v>
      </c>
      <c r="M1854" s="1" t="s">
        <v>149</v>
      </c>
      <c r="N1854" s="1" t="str">
        <f t="shared" si="28"/>
        <v>Normal</v>
      </c>
    </row>
    <row r="1855" spans="1:14" x14ac:dyDescent="0.25">
      <c r="A1855" s="1" t="s">
        <v>3031</v>
      </c>
      <c r="B1855" s="1" t="s">
        <v>65</v>
      </c>
      <c r="C1855" s="1" t="s">
        <v>528</v>
      </c>
      <c r="D1855" s="1" t="s">
        <v>16</v>
      </c>
      <c r="E1855" s="1" t="s">
        <v>47</v>
      </c>
      <c r="F1855" s="1" t="s">
        <v>40</v>
      </c>
      <c r="G1855" s="1">
        <v>444535</v>
      </c>
      <c r="H1855" s="63">
        <v>45120</v>
      </c>
      <c r="I1855" s="63">
        <v>45232</v>
      </c>
      <c r="J1855" s="1">
        <v>112</v>
      </c>
      <c r="K1855" s="1">
        <v>7.5</v>
      </c>
      <c r="L1855" s="1" t="s">
        <v>20</v>
      </c>
      <c r="M1855" s="1" t="s">
        <v>102</v>
      </c>
      <c r="N1855" s="1" t="str">
        <f t="shared" si="28"/>
        <v>Normal</v>
      </c>
    </row>
    <row r="1856" spans="1:14" x14ac:dyDescent="0.25">
      <c r="A1856" s="1" t="s">
        <v>3032</v>
      </c>
      <c r="B1856" s="1" t="s">
        <v>104</v>
      </c>
      <c r="C1856" s="1" t="s">
        <v>502</v>
      </c>
      <c r="D1856" s="1" t="s">
        <v>25</v>
      </c>
      <c r="E1856" s="1" t="s">
        <v>61</v>
      </c>
      <c r="F1856" s="1" t="s">
        <v>33</v>
      </c>
      <c r="G1856" s="1">
        <v>401722</v>
      </c>
      <c r="H1856" s="63">
        <v>45343</v>
      </c>
      <c r="J1856" s="1"/>
      <c r="K1856" s="1">
        <v>12.6</v>
      </c>
      <c r="L1856" s="1" t="s">
        <v>96</v>
      </c>
      <c r="M1856" s="1" t="s">
        <v>69</v>
      </c>
      <c r="N1856" s="1" t="str">
        <f t="shared" si="28"/>
        <v>Normal</v>
      </c>
    </row>
    <row r="1857" spans="1:14" x14ac:dyDescent="0.25">
      <c r="A1857" s="1" t="s">
        <v>3033</v>
      </c>
      <c r="B1857" s="1" t="s">
        <v>14</v>
      </c>
      <c r="C1857" s="1" t="s">
        <v>696</v>
      </c>
      <c r="D1857" s="1" t="s">
        <v>46</v>
      </c>
      <c r="E1857" s="1" t="s">
        <v>77</v>
      </c>
      <c r="F1857" s="1" t="s">
        <v>33</v>
      </c>
      <c r="G1857" s="1">
        <v>472525</v>
      </c>
      <c r="H1857" s="63">
        <v>45250</v>
      </c>
      <c r="J1857" s="1"/>
      <c r="K1857" s="1">
        <v>4.0999999999999996</v>
      </c>
      <c r="L1857" s="1" t="s">
        <v>96</v>
      </c>
      <c r="M1857" s="1" t="s">
        <v>21</v>
      </c>
      <c r="N1857" s="1" t="str">
        <f t="shared" si="28"/>
        <v>Normal</v>
      </c>
    </row>
    <row r="1858" spans="1:14" x14ac:dyDescent="0.25">
      <c r="A1858" s="1" t="s">
        <v>3035</v>
      </c>
      <c r="B1858" s="1" t="s">
        <v>59</v>
      </c>
      <c r="C1858" s="1" t="s">
        <v>747</v>
      </c>
      <c r="D1858" s="1" t="s">
        <v>39</v>
      </c>
      <c r="E1858" s="1" t="s">
        <v>61</v>
      </c>
      <c r="F1858" s="1" t="s">
        <v>18</v>
      </c>
      <c r="G1858" s="1">
        <v>88042</v>
      </c>
      <c r="H1858" s="63">
        <v>44927</v>
      </c>
      <c r="I1858" s="63">
        <v>44951</v>
      </c>
      <c r="J1858" s="1">
        <v>24</v>
      </c>
      <c r="K1858" s="1">
        <v>4</v>
      </c>
      <c r="L1858" s="1" t="s">
        <v>20</v>
      </c>
      <c r="M1858" s="1" t="s">
        <v>35</v>
      </c>
      <c r="N1858" s="1" t="str">
        <f t="shared" ref="N1858:N1921" si="29">IF(G1858&gt;$R$5,"High Outlier",IF(G1858&lt;$R$6,"Low Outlier","Normal"))</f>
        <v>Normal</v>
      </c>
    </row>
    <row r="1859" spans="1:14" x14ac:dyDescent="0.25">
      <c r="A1859" s="1" t="s">
        <v>3036</v>
      </c>
      <c r="B1859" s="1" t="s">
        <v>75</v>
      </c>
      <c r="C1859" s="1" t="s">
        <v>1866</v>
      </c>
      <c r="D1859" s="1" t="s">
        <v>67</v>
      </c>
      <c r="E1859" s="1" t="s">
        <v>26</v>
      </c>
      <c r="F1859" s="1" t="s">
        <v>53</v>
      </c>
      <c r="G1859" s="1">
        <v>367011</v>
      </c>
      <c r="H1859" s="63">
        <v>45385</v>
      </c>
      <c r="J1859" s="1"/>
      <c r="K1859" s="1"/>
      <c r="L1859" s="1" t="s">
        <v>96</v>
      </c>
      <c r="M1859" s="1" t="s">
        <v>107</v>
      </c>
      <c r="N1859" s="1" t="str">
        <f t="shared" si="29"/>
        <v>Normal</v>
      </c>
    </row>
    <row r="1860" spans="1:14" x14ac:dyDescent="0.25">
      <c r="A1860" s="1" t="s">
        <v>3038</v>
      </c>
      <c r="B1860" s="1" t="s">
        <v>44</v>
      </c>
      <c r="C1860" s="1" t="s">
        <v>15</v>
      </c>
      <c r="D1860" s="1" t="s">
        <v>25</v>
      </c>
      <c r="E1860" s="1" t="s">
        <v>94</v>
      </c>
      <c r="F1860" s="1" t="s">
        <v>53</v>
      </c>
      <c r="G1860" s="1">
        <v>56146</v>
      </c>
      <c r="H1860" s="63">
        <v>45304</v>
      </c>
      <c r="J1860" s="1"/>
      <c r="K1860" s="1">
        <v>12.2</v>
      </c>
      <c r="L1860" s="1" t="s">
        <v>96</v>
      </c>
      <c r="M1860" s="1" t="s">
        <v>69</v>
      </c>
      <c r="N1860" s="1" t="str">
        <f t="shared" si="29"/>
        <v>Normal</v>
      </c>
    </row>
    <row r="1861" spans="1:14" x14ac:dyDescent="0.25">
      <c r="A1861" s="1" t="s">
        <v>3039</v>
      </c>
      <c r="B1861" s="1" t="s">
        <v>173</v>
      </c>
      <c r="C1861" s="1" t="s">
        <v>1129</v>
      </c>
      <c r="D1861" s="1" t="s">
        <v>25</v>
      </c>
      <c r="E1861" s="1" t="s">
        <v>61</v>
      </c>
      <c r="F1861" s="1" t="s">
        <v>129</v>
      </c>
      <c r="G1861" s="1">
        <v>185841</v>
      </c>
      <c r="H1861" s="63">
        <v>45269</v>
      </c>
      <c r="J1861" s="1"/>
      <c r="K1861" s="1">
        <v>11.8</v>
      </c>
      <c r="L1861" s="1" t="s">
        <v>20</v>
      </c>
      <c r="M1861" s="1" t="s">
        <v>21</v>
      </c>
      <c r="N1861" s="1" t="str">
        <f t="shared" si="29"/>
        <v>Normal</v>
      </c>
    </row>
    <row r="1862" spans="1:14" x14ac:dyDescent="0.25">
      <c r="A1862" s="1" t="s">
        <v>3040</v>
      </c>
      <c r="B1862" s="1" t="s">
        <v>59</v>
      </c>
      <c r="C1862" s="1" t="s">
        <v>224</v>
      </c>
      <c r="D1862" s="1" t="s">
        <v>67</v>
      </c>
      <c r="E1862" s="1" t="s">
        <v>94</v>
      </c>
      <c r="F1862" s="1" t="s">
        <v>129</v>
      </c>
      <c r="G1862" s="1">
        <v>345337</v>
      </c>
      <c r="H1862" s="63">
        <v>45504</v>
      </c>
      <c r="J1862" s="1"/>
      <c r="K1862" s="1"/>
      <c r="L1862" s="1" t="s">
        <v>20</v>
      </c>
      <c r="M1862" s="1" t="s">
        <v>149</v>
      </c>
      <c r="N1862" s="1" t="str">
        <f t="shared" si="29"/>
        <v>Normal</v>
      </c>
    </row>
    <row r="1863" spans="1:14" x14ac:dyDescent="0.25">
      <c r="A1863" s="1" t="s">
        <v>3042</v>
      </c>
      <c r="B1863" s="1" t="s">
        <v>23</v>
      </c>
      <c r="C1863" s="1" t="s">
        <v>662</v>
      </c>
      <c r="D1863" s="1" t="s">
        <v>39</v>
      </c>
      <c r="E1863" s="1" t="s">
        <v>100</v>
      </c>
      <c r="F1863" s="1" t="s">
        <v>40</v>
      </c>
      <c r="G1863" s="1">
        <v>59673</v>
      </c>
      <c r="H1863" s="63">
        <v>45243</v>
      </c>
      <c r="I1863" s="63">
        <v>45338</v>
      </c>
      <c r="J1863" s="1">
        <v>95</v>
      </c>
      <c r="K1863" s="1">
        <v>8.9</v>
      </c>
      <c r="L1863" s="1" t="s">
        <v>29</v>
      </c>
      <c r="M1863" s="1" t="s">
        <v>21</v>
      </c>
      <c r="N1863" s="1" t="str">
        <f t="shared" si="29"/>
        <v>Normal</v>
      </c>
    </row>
    <row r="1864" spans="1:14" x14ac:dyDescent="0.25">
      <c r="A1864" s="1" t="s">
        <v>3044</v>
      </c>
      <c r="B1864" s="1" t="s">
        <v>98</v>
      </c>
      <c r="C1864" s="1" t="s">
        <v>1354</v>
      </c>
      <c r="D1864" s="1" t="s">
        <v>46</v>
      </c>
      <c r="E1864" s="1" t="s">
        <v>77</v>
      </c>
      <c r="F1864" s="1" t="s">
        <v>18</v>
      </c>
      <c r="G1864" s="1">
        <v>178107</v>
      </c>
      <c r="H1864" s="63">
        <v>45654</v>
      </c>
      <c r="I1864" s="63">
        <v>45791</v>
      </c>
      <c r="J1864" s="1">
        <v>137</v>
      </c>
      <c r="K1864" s="1"/>
      <c r="L1864" s="1" t="s">
        <v>49</v>
      </c>
      <c r="M1864" s="1" t="s">
        <v>42</v>
      </c>
      <c r="N1864" s="1" t="str">
        <f t="shared" si="29"/>
        <v>Normal</v>
      </c>
    </row>
    <row r="1865" spans="1:14" x14ac:dyDescent="0.25">
      <c r="A1865" s="1" t="s">
        <v>3045</v>
      </c>
      <c r="B1865" s="1" t="s">
        <v>37</v>
      </c>
      <c r="C1865" s="1" t="s">
        <v>1142</v>
      </c>
      <c r="D1865" s="1" t="s">
        <v>16</v>
      </c>
      <c r="E1865" s="1" t="s">
        <v>100</v>
      </c>
      <c r="F1865" s="1" t="s">
        <v>33</v>
      </c>
      <c r="G1865" s="1">
        <v>441714</v>
      </c>
      <c r="H1865" s="63">
        <v>45106</v>
      </c>
      <c r="J1865" s="1"/>
      <c r="K1865" s="1"/>
      <c r="L1865" s="1" t="s">
        <v>20</v>
      </c>
      <c r="M1865" s="1" t="s">
        <v>30</v>
      </c>
      <c r="N1865" s="1" t="str">
        <f t="shared" si="29"/>
        <v>Normal</v>
      </c>
    </row>
    <row r="1866" spans="1:14" x14ac:dyDescent="0.25">
      <c r="A1866" s="1" t="s">
        <v>3046</v>
      </c>
      <c r="B1866" s="1" t="s">
        <v>80</v>
      </c>
      <c r="C1866" s="1" t="s">
        <v>303</v>
      </c>
      <c r="D1866" s="1" t="s">
        <v>67</v>
      </c>
      <c r="E1866" s="1" t="s">
        <v>61</v>
      </c>
      <c r="F1866" s="1" t="s">
        <v>129</v>
      </c>
      <c r="G1866" s="1">
        <v>434422</v>
      </c>
      <c r="H1866" s="63">
        <v>45304</v>
      </c>
      <c r="J1866" s="1"/>
      <c r="K1866" s="1">
        <v>14.7</v>
      </c>
      <c r="L1866" s="1" t="s">
        <v>29</v>
      </c>
      <c r="M1866" s="1" t="s">
        <v>69</v>
      </c>
      <c r="N1866" s="1" t="str">
        <f t="shared" si="29"/>
        <v>Normal</v>
      </c>
    </row>
    <row r="1867" spans="1:14" x14ac:dyDescent="0.25">
      <c r="A1867" s="1" t="s">
        <v>3047</v>
      </c>
      <c r="B1867" s="1" t="s">
        <v>88</v>
      </c>
      <c r="C1867" s="1" t="s">
        <v>1087</v>
      </c>
      <c r="D1867" s="1" t="s">
        <v>25</v>
      </c>
      <c r="E1867" s="1" t="s">
        <v>17</v>
      </c>
      <c r="F1867" s="1" t="s">
        <v>40</v>
      </c>
      <c r="G1867" s="1">
        <v>56338</v>
      </c>
      <c r="H1867" s="63">
        <v>44950</v>
      </c>
      <c r="I1867" s="63">
        <v>45092</v>
      </c>
      <c r="J1867" s="1">
        <v>142</v>
      </c>
      <c r="K1867" s="1">
        <v>11.8</v>
      </c>
      <c r="L1867" s="1" t="s">
        <v>20</v>
      </c>
      <c r="M1867" s="1" t="s">
        <v>35</v>
      </c>
      <c r="N1867" s="1" t="str">
        <f t="shared" si="29"/>
        <v>Normal</v>
      </c>
    </row>
    <row r="1868" spans="1:14" x14ac:dyDescent="0.25">
      <c r="A1868" s="1" t="s">
        <v>3048</v>
      </c>
      <c r="B1868" s="1" t="s">
        <v>37</v>
      </c>
      <c r="C1868" s="1" t="s">
        <v>708</v>
      </c>
      <c r="D1868" s="1" t="s">
        <v>90</v>
      </c>
      <c r="E1868" s="1" t="s">
        <v>94</v>
      </c>
      <c r="F1868" s="1" t="s">
        <v>27</v>
      </c>
      <c r="G1868" s="1">
        <v>55740</v>
      </c>
      <c r="H1868" s="63">
        <v>45607</v>
      </c>
      <c r="J1868" s="1"/>
      <c r="K1868" s="1">
        <v>5.4</v>
      </c>
      <c r="L1868" s="1" t="s">
        <v>29</v>
      </c>
      <c r="M1868" s="1" t="s">
        <v>42</v>
      </c>
      <c r="N1868" s="1" t="str">
        <f t="shared" si="29"/>
        <v>Normal</v>
      </c>
    </row>
    <row r="1869" spans="1:14" x14ac:dyDescent="0.25">
      <c r="A1869" s="1" t="s">
        <v>3049</v>
      </c>
      <c r="B1869" s="1" t="s">
        <v>173</v>
      </c>
      <c r="C1869" s="1" t="s">
        <v>442</v>
      </c>
      <c r="D1869" s="1" t="s">
        <v>25</v>
      </c>
      <c r="E1869" s="1" t="s">
        <v>17</v>
      </c>
      <c r="F1869" s="1" t="s">
        <v>18</v>
      </c>
      <c r="G1869" s="1">
        <v>237241</v>
      </c>
      <c r="H1869" s="63">
        <v>45528</v>
      </c>
      <c r="I1869" s="63">
        <v>45553</v>
      </c>
      <c r="J1869" s="1">
        <v>25</v>
      </c>
      <c r="K1869" s="1">
        <v>0</v>
      </c>
      <c r="L1869" s="1" t="s">
        <v>29</v>
      </c>
      <c r="M1869" s="1" t="s">
        <v>149</v>
      </c>
      <c r="N1869" s="1" t="str">
        <f t="shared" si="29"/>
        <v>Normal</v>
      </c>
    </row>
    <row r="1870" spans="1:14" x14ac:dyDescent="0.25">
      <c r="A1870" s="1" t="s">
        <v>3050</v>
      </c>
      <c r="B1870" s="1" t="s">
        <v>104</v>
      </c>
      <c r="C1870" s="1" t="s">
        <v>531</v>
      </c>
      <c r="D1870" s="1" t="s">
        <v>25</v>
      </c>
      <c r="E1870" s="1" t="s">
        <v>94</v>
      </c>
      <c r="F1870" s="1" t="s">
        <v>53</v>
      </c>
      <c r="G1870" s="1">
        <v>43170</v>
      </c>
      <c r="H1870" s="63">
        <v>45089</v>
      </c>
      <c r="J1870" s="1"/>
      <c r="K1870" s="1"/>
      <c r="L1870" s="1" t="s">
        <v>49</v>
      </c>
      <c r="M1870" s="1" t="s">
        <v>30</v>
      </c>
      <c r="N1870" s="1" t="str">
        <f t="shared" si="29"/>
        <v>Normal</v>
      </c>
    </row>
    <row r="1871" spans="1:14" x14ac:dyDescent="0.25">
      <c r="A1871" s="1" t="s">
        <v>3051</v>
      </c>
      <c r="B1871" s="1" t="s">
        <v>109</v>
      </c>
      <c r="C1871" s="1" t="s">
        <v>539</v>
      </c>
      <c r="D1871" s="1" t="s">
        <v>90</v>
      </c>
      <c r="E1871" s="1" t="s">
        <v>72</v>
      </c>
      <c r="F1871" s="1" t="s">
        <v>33</v>
      </c>
      <c r="G1871" s="1">
        <v>13588</v>
      </c>
      <c r="H1871" s="63">
        <v>45663</v>
      </c>
      <c r="J1871" s="1"/>
      <c r="K1871" s="1">
        <v>11.2</v>
      </c>
      <c r="L1871" s="1" t="s">
        <v>29</v>
      </c>
      <c r="M1871" s="1" t="s">
        <v>63</v>
      </c>
      <c r="N1871" s="1" t="str">
        <f t="shared" si="29"/>
        <v>Normal</v>
      </c>
    </row>
    <row r="1872" spans="1:14" x14ac:dyDescent="0.25">
      <c r="A1872" s="1" t="s">
        <v>3052</v>
      </c>
      <c r="B1872" s="1" t="s">
        <v>44</v>
      </c>
      <c r="C1872" s="1" t="s">
        <v>1776</v>
      </c>
      <c r="D1872" s="1" t="s">
        <v>16</v>
      </c>
      <c r="E1872" s="1" t="s">
        <v>61</v>
      </c>
      <c r="F1872" s="1" t="s">
        <v>40</v>
      </c>
      <c r="G1872" s="1">
        <v>120776</v>
      </c>
      <c r="H1872" s="63">
        <v>45285</v>
      </c>
      <c r="I1872" s="63">
        <v>45316</v>
      </c>
      <c r="J1872" s="1">
        <v>31</v>
      </c>
      <c r="K1872" s="1">
        <v>21.3</v>
      </c>
      <c r="L1872" s="1" t="s">
        <v>49</v>
      </c>
      <c r="M1872" s="1" t="s">
        <v>21</v>
      </c>
      <c r="N1872" s="1" t="str">
        <f t="shared" si="29"/>
        <v>Normal</v>
      </c>
    </row>
    <row r="1873" spans="1:14" x14ac:dyDescent="0.25">
      <c r="A1873" s="1" t="s">
        <v>3053</v>
      </c>
      <c r="B1873" s="1" t="s">
        <v>127</v>
      </c>
      <c r="C1873" s="1" t="s">
        <v>66</v>
      </c>
      <c r="D1873" s="1" t="s">
        <v>90</v>
      </c>
      <c r="E1873" s="1" t="s">
        <v>77</v>
      </c>
      <c r="F1873" s="1" t="s">
        <v>40</v>
      </c>
      <c r="G1873" s="1">
        <v>455057</v>
      </c>
      <c r="H1873" s="63">
        <v>45202</v>
      </c>
      <c r="I1873" s="63">
        <v>45294</v>
      </c>
      <c r="J1873" s="1">
        <v>92</v>
      </c>
      <c r="K1873" s="1">
        <v>20.9</v>
      </c>
      <c r="L1873" s="1" t="s">
        <v>29</v>
      </c>
      <c r="M1873" s="1" t="s">
        <v>21</v>
      </c>
      <c r="N1873" s="1" t="str">
        <f t="shared" si="29"/>
        <v>Normal</v>
      </c>
    </row>
    <row r="1874" spans="1:14" x14ac:dyDescent="0.25">
      <c r="A1874" s="1" t="s">
        <v>3055</v>
      </c>
      <c r="B1874" s="1" t="s">
        <v>44</v>
      </c>
      <c r="C1874" s="1" t="s">
        <v>957</v>
      </c>
      <c r="D1874" s="1" t="s">
        <v>25</v>
      </c>
      <c r="E1874" s="1" t="s">
        <v>77</v>
      </c>
      <c r="F1874" s="1" t="s">
        <v>40</v>
      </c>
      <c r="G1874" s="1">
        <v>275730</v>
      </c>
      <c r="H1874" s="63">
        <v>44939</v>
      </c>
      <c r="I1874" s="63">
        <v>45040</v>
      </c>
      <c r="J1874" s="1">
        <v>101</v>
      </c>
      <c r="K1874" s="1">
        <v>10.1</v>
      </c>
      <c r="L1874" s="1" t="s">
        <v>96</v>
      </c>
      <c r="M1874" s="1" t="s">
        <v>35</v>
      </c>
      <c r="N1874" s="1" t="str">
        <f t="shared" si="29"/>
        <v>Normal</v>
      </c>
    </row>
    <row r="1875" spans="1:14" x14ac:dyDescent="0.25">
      <c r="A1875" s="1" t="s">
        <v>3056</v>
      </c>
      <c r="B1875" s="1" t="s">
        <v>14</v>
      </c>
      <c r="C1875" s="1" t="s">
        <v>1153</v>
      </c>
      <c r="D1875" s="1" t="s">
        <v>67</v>
      </c>
      <c r="E1875" s="1" t="s">
        <v>94</v>
      </c>
      <c r="F1875" s="1" t="s">
        <v>33</v>
      </c>
      <c r="G1875" s="1">
        <v>482360</v>
      </c>
      <c r="H1875" s="63">
        <v>45358</v>
      </c>
      <c r="J1875" s="1"/>
      <c r="K1875" s="1">
        <v>13.4</v>
      </c>
      <c r="L1875" s="1" t="s">
        <v>29</v>
      </c>
      <c r="M1875" s="1" t="s">
        <v>69</v>
      </c>
      <c r="N1875" s="1" t="str">
        <f t="shared" si="29"/>
        <v>Normal</v>
      </c>
    </row>
    <row r="1876" spans="1:14" x14ac:dyDescent="0.25">
      <c r="A1876" s="1" t="s">
        <v>3057</v>
      </c>
      <c r="B1876" s="1" t="s">
        <v>127</v>
      </c>
      <c r="C1876" s="1" t="s">
        <v>874</v>
      </c>
      <c r="D1876" s="1" t="s">
        <v>90</v>
      </c>
      <c r="E1876" s="1" t="s">
        <v>26</v>
      </c>
      <c r="F1876" s="1" t="s">
        <v>33</v>
      </c>
      <c r="G1876" s="1">
        <v>383450</v>
      </c>
      <c r="H1876" s="63">
        <v>45082</v>
      </c>
      <c r="J1876" s="1"/>
      <c r="K1876" s="1">
        <v>15</v>
      </c>
      <c r="L1876" s="1" t="s">
        <v>29</v>
      </c>
      <c r="M1876" s="1" t="s">
        <v>30</v>
      </c>
      <c r="N1876" s="1" t="str">
        <f t="shared" si="29"/>
        <v>Normal</v>
      </c>
    </row>
    <row r="1877" spans="1:14" x14ac:dyDescent="0.25">
      <c r="A1877" s="1" t="s">
        <v>3058</v>
      </c>
      <c r="B1877" s="1" t="s">
        <v>4829</v>
      </c>
      <c r="C1877" s="1" t="s">
        <v>198</v>
      </c>
      <c r="D1877" s="1" t="s">
        <v>16</v>
      </c>
      <c r="E1877" s="1" t="s">
        <v>72</v>
      </c>
      <c r="F1877" s="1" t="s">
        <v>53</v>
      </c>
      <c r="G1877" s="1">
        <v>393447</v>
      </c>
      <c r="H1877" s="63">
        <v>45288</v>
      </c>
      <c r="J1877" s="1"/>
      <c r="K1877" s="1">
        <v>5</v>
      </c>
      <c r="L1877" s="1" t="s">
        <v>96</v>
      </c>
      <c r="M1877" s="1" t="s">
        <v>21</v>
      </c>
      <c r="N1877" s="1" t="str">
        <f t="shared" si="29"/>
        <v>Normal</v>
      </c>
    </row>
    <row r="1878" spans="1:14" x14ac:dyDescent="0.25">
      <c r="A1878" s="1" t="s">
        <v>3059</v>
      </c>
      <c r="B1878" s="1" t="s">
        <v>4829</v>
      </c>
      <c r="C1878" s="1" t="s">
        <v>449</v>
      </c>
      <c r="D1878" s="1" t="s">
        <v>39</v>
      </c>
      <c r="E1878" s="1" t="s">
        <v>61</v>
      </c>
      <c r="F1878" s="1" t="s">
        <v>129</v>
      </c>
      <c r="G1878" s="1">
        <v>132358</v>
      </c>
      <c r="H1878" s="63">
        <v>45408</v>
      </c>
      <c r="J1878" s="1"/>
      <c r="K1878" s="1">
        <v>13</v>
      </c>
      <c r="L1878" s="1" t="s">
        <v>20</v>
      </c>
      <c r="M1878" s="1" t="s">
        <v>107</v>
      </c>
      <c r="N1878" s="1" t="str">
        <f t="shared" si="29"/>
        <v>Normal</v>
      </c>
    </row>
    <row r="1879" spans="1:14" x14ac:dyDescent="0.25">
      <c r="A1879" s="1" t="s">
        <v>3060</v>
      </c>
      <c r="B1879" s="1" t="s">
        <v>88</v>
      </c>
      <c r="C1879" s="1" t="s">
        <v>917</v>
      </c>
      <c r="D1879" s="1" t="s">
        <v>16</v>
      </c>
      <c r="E1879" s="1" t="s">
        <v>47</v>
      </c>
      <c r="F1879" s="1" t="s">
        <v>129</v>
      </c>
      <c r="G1879" s="1">
        <v>96397</v>
      </c>
      <c r="H1879" s="63">
        <v>45312</v>
      </c>
      <c r="J1879" s="1"/>
      <c r="K1879" s="1"/>
      <c r="L1879" s="1" t="s">
        <v>20</v>
      </c>
      <c r="M1879" s="1" t="s">
        <v>69</v>
      </c>
      <c r="N1879" s="1" t="str">
        <f t="shared" si="29"/>
        <v>Normal</v>
      </c>
    </row>
    <row r="1880" spans="1:14" x14ac:dyDescent="0.25">
      <c r="A1880" s="1" t="s">
        <v>3061</v>
      </c>
      <c r="B1880" s="1" t="s">
        <v>109</v>
      </c>
      <c r="C1880" s="1" t="s">
        <v>571</v>
      </c>
      <c r="D1880" s="1" t="s">
        <v>25</v>
      </c>
      <c r="E1880" s="1" t="s">
        <v>77</v>
      </c>
      <c r="F1880" s="1" t="s">
        <v>33</v>
      </c>
      <c r="G1880" s="1">
        <v>494338</v>
      </c>
      <c r="H1880" s="63">
        <v>45181</v>
      </c>
      <c r="J1880" s="1"/>
      <c r="K1880" s="1">
        <v>0.8</v>
      </c>
      <c r="L1880" s="1" t="s">
        <v>29</v>
      </c>
      <c r="M1880" s="1" t="s">
        <v>102</v>
      </c>
      <c r="N1880" s="1" t="str">
        <f t="shared" si="29"/>
        <v>Normal</v>
      </c>
    </row>
    <row r="1881" spans="1:14" x14ac:dyDescent="0.25">
      <c r="A1881" s="1" t="s">
        <v>3062</v>
      </c>
      <c r="B1881" s="1" t="s">
        <v>44</v>
      </c>
      <c r="C1881" s="1" t="s">
        <v>1462</v>
      </c>
      <c r="D1881" s="1" t="s">
        <v>25</v>
      </c>
      <c r="E1881" s="1" t="s">
        <v>94</v>
      </c>
      <c r="F1881" s="1" t="s">
        <v>129</v>
      </c>
      <c r="G1881" s="1">
        <v>140891</v>
      </c>
      <c r="H1881" s="63">
        <v>45483</v>
      </c>
      <c r="J1881" s="1"/>
      <c r="K1881" s="1"/>
      <c r="L1881" s="1" t="s">
        <v>20</v>
      </c>
      <c r="M1881" s="1" t="s">
        <v>149</v>
      </c>
      <c r="N1881" s="1" t="str">
        <f t="shared" si="29"/>
        <v>Normal</v>
      </c>
    </row>
    <row r="1882" spans="1:14" x14ac:dyDescent="0.25">
      <c r="A1882" s="1" t="s">
        <v>3063</v>
      </c>
      <c r="B1882" s="1" t="s">
        <v>4829</v>
      </c>
      <c r="C1882" s="1" t="s">
        <v>415</v>
      </c>
      <c r="D1882" s="1" t="s">
        <v>16</v>
      </c>
      <c r="E1882" s="1" t="s">
        <v>94</v>
      </c>
      <c r="F1882" s="1" t="s">
        <v>27</v>
      </c>
      <c r="G1882" s="1">
        <v>15497</v>
      </c>
      <c r="H1882" s="63">
        <v>45582</v>
      </c>
      <c r="J1882" s="1"/>
      <c r="K1882" s="1">
        <v>2.2999999999999998</v>
      </c>
      <c r="L1882" s="1" t="s">
        <v>20</v>
      </c>
      <c r="M1882" s="1" t="s">
        <v>42</v>
      </c>
      <c r="N1882" s="1" t="str">
        <f t="shared" si="29"/>
        <v>Normal</v>
      </c>
    </row>
    <row r="1883" spans="1:14" x14ac:dyDescent="0.25">
      <c r="A1883" s="1" t="s">
        <v>3064</v>
      </c>
      <c r="B1883" s="1" t="s">
        <v>173</v>
      </c>
      <c r="C1883" s="1" t="s">
        <v>1582</v>
      </c>
      <c r="D1883" s="1" t="s">
        <v>90</v>
      </c>
      <c r="E1883" s="1" t="s">
        <v>94</v>
      </c>
      <c r="F1883" s="1" t="s">
        <v>129</v>
      </c>
      <c r="G1883" s="1">
        <v>76884</v>
      </c>
      <c r="H1883" s="63">
        <v>45630</v>
      </c>
      <c r="J1883" s="1"/>
      <c r="K1883" s="1"/>
      <c r="L1883" s="1" t="s">
        <v>29</v>
      </c>
      <c r="M1883" s="1" t="s">
        <v>42</v>
      </c>
      <c r="N1883" s="1" t="str">
        <f t="shared" si="29"/>
        <v>Normal</v>
      </c>
    </row>
    <row r="1884" spans="1:14" x14ac:dyDescent="0.25">
      <c r="A1884" s="1" t="s">
        <v>3065</v>
      </c>
      <c r="B1884" s="1" t="s">
        <v>75</v>
      </c>
      <c r="C1884" s="1" t="s">
        <v>168</v>
      </c>
      <c r="D1884" s="1" t="s">
        <v>90</v>
      </c>
      <c r="E1884" s="1" t="s">
        <v>26</v>
      </c>
      <c r="F1884" s="1" t="s">
        <v>129</v>
      </c>
      <c r="G1884" s="1">
        <v>208169</v>
      </c>
      <c r="H1884" s="63">
        <v>45423</v>
      </c>
      <c r="J1884" s="1"/>
      <c r="K1884" s="1">
        <v>9.6999999999999993</v>
      </c>
      <c r="L1884" s="1" t="s">
        <v>20</v>
      </c>
      <c r="M1884" s="1" t="s">
        <v>107</v>
      </c>
      <c r="N1884" s="1" t="str">
        <f t="shared" si="29"/>
        <v>Normal</v>
      </c>
    </row>
    <row r="1885" spans="1:14" x14ac:dyDescent="0.25">
      <c r="A1885" s="1" t="s">
        <v>3067</v>
      </c>
      <c r="B1885" s="1" t="s">
        <v>14</v>
      </c>
      <c r="C1885" s="1" t="s">
        <v>474</v>
      </c>
      <c r="D1885" s="1" t="s">
        <v>67</v>
      </c>
      <c r="E1885" s="1" t="s">
        <v>77</v>
      </c>
      <c r="F1885" s="1" t="s">
        <v>18</v>
      </c>
      <c r="G1885" s="1">
        <v>162389</v>
      </c>
      <c r="H1885" s="63">
        <v>45510</v>
      </c>
      <c r="I1885" s="63">
        <v>45627</v>
      </c>
      <c r="J1885" s="1">
        <v>117</v>
      </c>
      <c r="K1885" s="1">
        <v>3.3</v>
      </c>
      <c r="L1885" s="1" t="s">
        <v>96</v>
      </c>
      <c r="M1885" s="1" t="s">
        <v>149</v>
      </c>
      <c r="N1885" s="1" t="str">
        <f t="shared" si="29"/>
        <v>Normal</v>
      </c>
    </row>
    <row r="1886" spans="1:14" x14ac:dyDescent="0.25">
      <c r="A1886" s="1" t="s">
        <v>3068</v>
      </c>
      <c r="B1886" s="1" t="s">
        <v>4829</v>
      </c>
      <c r="C1886" s="1" t="s">
        <v>1191</v>
      </c>
      <c r="D1886" s="1" t="s">
        <v>90</v>
      </c>
      <c r="E1886" s="1" t="s">
        <v>100</v>
      </c>
      <c r="F1886" s="1" t="s">
        <v>40</v>
      </c>
      <c r="G1886" s="1">
        <v>412959</v>
      </c>
      <c r="H1886" s="63">
        <v>45058</v>
      </c>
      <c r="I1886" s="63">
        <v>45105</v>
      </c>
      <c r="J1886" s="1">
        <v>47</v>
      </c>
      <c r="K1886" s="1">
        <v>4.3</v>
      </c>
      <c r="L1886" s="1" t="s">
        <v>96</v>
      </c>
      <c r="M1886" s="1" t="s">
        <v>30</v>
      </c>
      <c r="N1886" s="1" t="str">
        <f t="shared" si="29"/>
        <v>Normal</v>
      </c>
    </row>
    <row r="1887" spans="1:14" x14ac:dyDescent="0.25">
      <c r="A1887" s="1" t="s">
        <v>3069</v>
      </c>
      <c r="B1887" s="1" t="s">
        <v>44</v>
      </c>
      <c r="C1887" s="1" t="s">
        <v>805</v>
      </c>
      <c r="D1887" s="1" t="s">
        <v>39</v>
      </c>
      <c r="E1887" s="1" t="s">
        <v>72</v>
      </c>
      <c r="F1887" s="1" t="s">
        <v>33</v>
      </c>
      <c r="G1887" s="1">
        <v>499664</v>
      </c>
      <c r="H1887" s="63">
        <v>45740</v>
      </c>
      <c r="J1887" s="1"/>
      <c r="K1887" s="1"/>
      <c r="L1887" s="1" t="s">
        <v>96</v>
      </c>
      <c r="M1887" s="1" t="s">
        <v>63</v>
      </c>
      <c r="N1887" s="1" t="str">
        <f t="shared" si="29"/>
        <v>Normal</v>
      </c>
    </row>
    <row r="1888" spans="1:14" x14ac:dyDescent="0.25">
      <c r="A1888" s="1" t="s">
        <v>3070</v>
      </c>
      <c r="B1888" s="1" t="s">
        <v>37</v>
      </c>
      <c r="C1888" s="1" t="s">
        <v>1455</v>
      </c>
      <c r="D1888" s="1" t="s">
        <v>25</v>
      </c>
      <c r="E1888" s="1" t="s">
        <v>72</v>
      </c>
      <c r="F1888" s="1" t="s">
        <v>33</v>
      </c>
      <c r="G1888" s="1">
        <v>262812</v>
      </c>
      <c r="H1888" s="63">
        <v>45129</v>
      </c>
      <c r="J1888" s="1"/>
      <c r="K1888" s="1"/>
      <c r="L1888" s="1" t="s">
        <v>49</v>
      </c>
      <c r="M1888" s="1" t="s">
        <v>102</v>
      </c>
      <c r="N1888" s="1" t="str">
        <f t="shared" si="29"/>
        <v>Normal</v>
      </c>
    </row>
    <row r="1889" spans="1:14" x14ac:dyDescent="0.25">
      <c r="A1889" s="1" t="s">
        <v>3071</v>
      </c>
      <c r="B1889" s="1" t="s">
        <v>44</v>
      </c>
      <c r="C1889" s="1" t="s">
        <v>2185</v>
      </c>
      <c r="D1889" s="1" t="s">
        <v>39</v>
      </c>
      <c r="E1889" s="1" t="s">
        <v>17</v>
      </c>
      <c r="F1889" s="1" t="s">
        <v>129</v>
      </c>
      <c r="G1889" s="1">
        <v>360600</v>
      </c>
      <c r="H1889" s="63">
        <v>45223</v>
      </c>
      <c r="J1889" s="1"/>
      <c r="K1889" s="1"/>
      <c r="L1889" s="1" t="s">
        <v>29</v>
      </c>
      <c r="M1889" s="1" t="s">
        <v>21</v>
      </c>
      <c r="N1889" s="1" t="str">
        <f t="shared" si="29"/>
        <v>Normal</v>
      </c>
    </row>
    <row r="1890" spans="1:14" x14ac:dyDescent="0.25">
      <c r="A1890" s="1" t="s">
        <v>3072</v>
      </c>
      <c r="B1890" s="1" t="s">
        <v>65</v>
      </c>
      <c r="C1890" s="1" t="s">
        <v>972</v>
      </c>
      <c r="D1890" s="1" t="s">
        <v>46</v>
      </c>
      <c r="E1890" s="1" t="s">
        <v>26</v>
      </c>
      <c r="F1890" s="1" t="s">
        <v>40</v>
      </c>
      <c r="G1890" s="1">
        <v>433801</v>
      </c>
      <c r="H1890" s="63">
        <v>45323</v>
      </c>
      <c r="I1890" s="63">
        <v>45458</v>
      </c>
      <c r="J1890" s="1">
        <v>135</v>
      </c>
      <c r="K1890" s="1">
        <v>14.3</v>
      </c>
      <c r="L1890" s="1" t="s">
        <v>29</v>
      </c>
      <c r="M1890" s="1" t="s">
        <v>69</v>
      </c>
      <c r="N1890" s="1" t="str">
        <f t="shared" si="29"/>
        <v>Normal</v>
      </c>
    </row>
    <row r="1891" spans="1:14" x14ac:dyDescent="0.25">
      <c r="A1891" s="1" t="s">
        <v>3073</v>
      </c>
      <c r="B1891" s="1" t="s">
        <v>44</v>
      </c>
      <c r="C1891" s="1" t="s">
        <v>220</v>
      </c>
      <c r="D1891" s="1" t="s">
        <v>90</v>
      </c>
      <c r="E1891" s="1" t="s">
        <v>4845</v>
      </c>
      <c r="F1891" s="1" t="s">
        <v>27</v>
      </c>
      <c r="G1891" s="1">
        <v>402173</v>
      </c>
      <c r="H1891" s="63">
        <v>45305</v>
      </c>
      <c r="J1891" s="1"/>
      <c r="K1891" s="1">
        <v>4.5999999999999996</v>
      </c>
      <c r="L1891" s="1" t="s">
        <v>20</v>
      </c>
      <c r="M1891" s="1" t="s">
        <v>69</v>
      </c>
      <c r="N1891" s="1" t="str">
        <f t="shared" si="29"/>
        <v>Normal</v>
      </c>
    </row>
    <row r="1892" spans="1:14" x14ac:dyDescent="0.25">
      <c r="A1892" s="1" t="s">
        <v>3074</v>
      </c>
      <c r="B1892" s="1" t="s">
        <v>88</v>
      </c>
      <c r="C1892" s="1" t="s">
        <v>983</v>
      </c>
      <c r="D1892" s="1" t="s">
        <v>46</v>
      </c>
      <c r="E1892" s="1" t="s">
        <v>47</v>
      </c>
      <c r="F1892" s="1" t="s">
        <v>40</v>
      </c>
      <c r="G1892" s="1">
        <v>55310</v>
      </c>
      <c r="H1892" s="63">
        <v>45326</v>
      </c>
      <c r="I1892" s="63">
        <v>45444</v>
      </c>
      <c r="J1892" s="1">
        <v>118</v>
      </c>
      <c r="K1892" s="1">
        <v>16.3</v>
      </c>
      <c r="L1892" s="1" t="s">
        <v>20</v>
      </c>
      <c r="M1892" s="1" t="s">
        <v>69</v>
      </c>
      <c r="N1892" s="1" t="str">
        <f t="shared" si="29"/>
        <v>Normal</v>
      </c>
    </row>
    <row r="1893" spans="1:14" x14ac:dyDescent="0.25">
      <c r="A1893" s="1" t="s">
        <v>3075</v>
      </c>
      <c r="B1893" s="1" t="s">
        <v>14</v>
      </c>
      <c r="C1893" s="1" t="s">
        <v>778</v>
      </c>
      <c r="D1893" s="1" t="s">
        <v>25</v>
      </c>
      <c r="E1893" s="1" t="s">
        <v>94</v>
      </c>
      <c r="F1893" s="1" t="s">
        <v>40</v>
      </c>
      <c r="G1893" s="1">
        <v>125653</v>
      </c>
      <c r="H1893" s="63">
        <v>45359</v>
      </c>
      <c r="I1893" s="63">
        <v>45534</v>
      </c>
      <c r="J1893" s="1">
        <v>175</v>
      </c>
      <c r="K1893" s="1">
        <v>19.100000000000001</v>
      </c>
      <c r="L1893" s="1" t="s">
        <v>49</v>
      </c>
      <c r="M1893" s="1" t="s">
        <v>69</v>
      </c>
      <c r="N1893" s="1" t="str">
        <f t="shared" si="29"/>
        <v>Normal</v>
      </c>
    </row>
    <row r="1894" spans="1:14" x14ac:dyDescent="0.25">
      <c r="A1894" s="1" t="s">
        <v>3076</v>
      </c>
      <c r="B1894" s="1" t="s">
        <v>127</v>
      </c>
      <c r="C1894" s="1" t="s">
        <v>273</v>
      </c>
      <c r="D1894" s="1" t="s">
        <v>90</v>
      </c>
      <c r="E1894" s="1" t="s">
        <v>100</v>
      </c>
      <c r="F1894" s="1" t="s">
        <v>27</v>
      </c>
      <c r="G1894" s="1">
        <v>125722</v>
      </c>
      <c r="H1894" s="63">
        <v>44999</v>
      </c>
      <c r="J1894" s="1"/>
      <c r="K1894" s="1">
        <v>0.2</v>
      </c>
      <c r="L1894" s="1" t="s">
        <v>20</v>
      </c>
      <c r="M1894" s="1" t="s">
        <v>35</v>
      </c>
      <c r="N1894" s="1" t="str">
        <f t="shared" si="29"/>
        <v>Normal</v>
      </c>
    </row>
    <row r="1895" spans="1:14" x14ac:dyDescent="0.25">
      <c r="A1895" s="1" t="s">
        <v>3077</v>
      </c>
      <c r="B1895" s="1" t="s">
        <v>75</v>
      </c>
      <c r="C1895" s="1" t="s">
        <v>2564</v>
      </c>
      <c r="D1895" s="1" t="s">
        <v>25</v>
      </c>
      <c r="E1895" s="1" t="s">
        <v>26</v>
      </c>
      <c r="F1895" s="1" t="s">
        <v>40</v>
      </c>
      <c r="G1895" s="1">
        <v>436598</v>
      </c>
      <c r="H1895" s="63">
        <v>45476</v>
      </c>
      <c r="I1895" s="63">
        <v>45507</v>
      </c>
      <c r="J1895" s="1">
        <v>31</v>
      </c>
      <c r="K1895" s="1">
        <v>23.4</v>
      </c>
      <c r="L1895" s="1" t="s">
        <v>49</v>
      </c>
      <c r="M1895" s="1" t="s">
        <v>149</v>
      </c>
      <c r="N1895" s="1" t="str">
        <f t="shared" si="29"/>
        <v>Normal</v>
      </c>
    </row>
    <row r="1896" spans="1:14" x14ac:dyDescent="0.25">
      <c r="A1896" s="1" t="s">
        <v>3079</v>
      </c>
      <c r="B1896" s="1" t="s">
        <v>104</v>
      </c>
      <c r="C1896" s="1" t="s">
        <v>364</v>
      </c>
      <c r="D1896" s="1" t="s">
        <v>90</v>
      </c>
      <c r="E1896" s="1" t="s">
        <v>4845</v>
      </c>
      <c r="F1896" s="1" t="s">
        <v>33</v>
      </c>
      <c r="G1896" s="1">
        <v>121368</v>
      </c>
      <c r="H1896" s="63">
        <v>45433</v>
      </c>
      <c r="J1896" s="1"/>
      <c r="K1896" s="1">
        <v>9.9</v>
      </c>
      <c r="L1896" s="1" t="s">
        <v>29</v>
      </c>
      <c r="M1896" s="1" t="s">
        <v>107</v>
      </c>
      <c r="N1896" s="1" t="str">
        <f t="shared" si="29"/>
        <v>Normal</v>
      </c>
    </row>
    <row r="1897" spans="1:14" x14ac:dyDescent="0.25">
      <c r="A1897" s="1" t="s">
        <v>3080</v>
      </c>
      <c r="B1897" s="1" t="s">
        <v>80</v>
      </c>
      <c r="C1897" s="1" t="s">
        <v>622</v>
      </c>
      <c r="D1897" s="1" t="s">
        <v>90</v>
      </c>
      <c r="E1897" s="1" t="s">
        <v>61</v>
      </c>
      <c r="F1897" s="1" t="s">
        <v>40</v>
      </c>
      <c r="G1897" s="1">
        <v>98738</v>
      </c>
      <c r="H1897" s="63">
        <v>45558</v>
      </c>
      <c r="I1897" s="63">
        <v>45686</v>
      </c>
      <c r="J1897" s="1">
        <v>128</v>
      </c>
      <c r="K1897" s="1">
        <v>11</v>
      </c>
      <c r="L1897" s="1" t="s">
        <v>29</v>
      </c>
      <c r="M1897" s="1" t="s">
        <v>149</v>
      </c>
      <c r="N1897" s="1" t="str">
        <f t="shared" si="29"/>
        <v>Normal</v>
      </c>
    </row>
    <row r="1898" spans="1:14" x14ac:dyDescent="0.25">
      <c r="A1898" s="1" t="s">
        <v>3081</v>
      </c>
      <c r="B1898" s="1" t="s">
        <v>98</v>
      </c>
      <c r="C1898" s="1" t="s">
        <v>71</v>
      </c>
      <c r="D1898" s="1" t="s">
        <v>67</v>
      </c>
      <c r="E1898" s="1" t="s">
        <v>4845</v>
      </c>
      <c r="F1898" s="1" t="s">
        <v>129</v>
      </c>
      <c r="G1898" s="1">
        <v>398313</v>
      </c>
      <c r="H1898" s="63">
        <v>45098</v>
      </c>
      <c r="J1898" s="1"/>
      <c r="K1898" s="1"/>
      <c r="L1898" s="1" t="s">
        <v>49</v>
      </c>
      <c r="M1898" s="1" t="s">
        <v>30</v>
      </c>
      <c r="N1898" s="1" t="str">
        <f t="shared" si="29"/>
        <v>Normal</v>
      </c>
    </row>
    <row r="1899" spans="1:14" x14ac:dyDescent="0.25">
      <c r="A1899" s="1" t="s">
        <v>3082</v>
      </c>
      <c r="B1899" s="1" t="s">
        <v>65</v>
      </c>
      <c r="C1899" s="1" t="s">
        <v>398</v>
      </c>
      <c r="D1899" s="1" t="s">
        <v>67</v>
      </c>
      <c r="E1899" s="1" t="s">
        <v>100</v>
      </c>
      <c r="F1899" s="1" t="s">
        <v>129</v>
      </c>
      <c r="G1899" s="1">
        <v>132675</v>
      </c>
      <c r="H1899" s="63">
        <v>45599</v>
      </c>
      <c r="J1899" s="1"/>
      <c r="K1899" s="1"/>
      <c r="L1899" s="1" t="s">
        <v>96</v>
      </c>
      <c r="M1899" s="1" t="s">
        <v>42</v>
      </c>
      <c r="N1899" s="1" t="str">
        <f t="shared" si="29"/>
        <v>Normal</v>
      </c>
    </row>
    <row r="1900" spans="1:14" x14ac:dyDescent="0.25">
      <c r="A1900" s="1" t="s">
        <v>3083</v>
      </c>
      <c r="B1900" s="1" t="s">
        <v>65</v>
      </c>
      <c r="C1900" s="1" t="s">
        <v>267</v>
      </c>
      <c r="D1900" s="1" t="s">
        <v>16</v>
      </c>
      <c r="E1900" s="1" t="s">
        <v>47</v>
      </c>
      <c r="F1900" s="1" t="s">
        <v>53</v>
      </c>
      <c r="G1900" s="1">
        <v>155524</v>
      </c>
      <c r="H1900" s="63">
        <v>44959</v>
      </c>
      <c r="J1900" s="1"/>
      <c r="K1900" s="1">
        <v>8.4</v>
      </c>
      <c r="L1900" s="1" t="s">
        <v>29</v>
      </c>
      <c r="M1900" s="1" t="s">
        <v>35</v>
      </c>
      <c r="N1900" s="1" t="str">
        <f t="shared" si="29"/>
        <v>Normal</v>
      </c>
    </row>
    <row r="1901" spans="1:14" x14ac:dyDescent="0.25">
      <c r="A1901" s="1" t="s">
        <v>3084</v>
      </c>
      <c r="B1901" s="1" t="s">
        <v>65</v>
      </c>
      <c r="C1901" s="1" t="s">
        <v>430</v>
      </c>
      <c r="D1901" s="1" t="s">
        <v>25</v>
      </c>
      <c r="E1901" s="1" t="s">
        <v>26</v>
      </c>
      <c r="F1901" s="1" t="s">
        <v>18</v>
      </c>
      <c r="G1901" s="1">
        <v>19891</v>
      </c>
      <c r="H1901" s="63">
        <v>45068</v>
      </c>
      <c r="I1901" s="63">
        <v>45126</v>
      </c>
      <c r="J1901" s="1">
        <v>58</v>
      </c>
      <c r="K1901" s="1"/>
      <c r="L1901" s="1" t="s">
        <v>29</v>
      </c>
      <c r="M1901" s="1" t="s">
        <v>30</v>
      </c>
      <c r="N1901" s="1" t="str">
        <f t="shared" si="29"/>
        <v>Normal</v>
      </c>
    </row>
    <row r="1902" spans="1:14" x14ac:dyDescent="0.25">
      <c r="A1902" s="1" t="s">
        <v>3086</v>
      </c>
      <c r="B1902" s="1" t="s">
        <v>75</v>
      </c>
      <c r="C1902" s="1" t="s">
        <v>349</v>
      </c>
      <c r="D1902" s="1" t="s">
        <v>67</v>
      </c>
      <c r="E1902" s="1" t="s">
        <v>47</v>
      </c>
      <c r="F1902" s="1" t="s">
        <v>27</v>
      </c>
      <c r="G1902" s="1">
        <v>16012</v>
      </c>
      <c r="H1902" s="63">
        <v>45551</v>
      </c>
      <c r="J1902" s="1"/>
      <c r="K1902" s="1">
        <v>14.2</v>
      </c>
      <c r="L1902" s="1" t="s">
        <v>29</v>
      </c>
      <c r="M1902" s="1" t="s">
        <v>149</v>
      </c>
      <c r="N1902" s="1" t="str">
        <f t="shared" si="29"/>
        <v>Normal</v>
      </c>
    </row>
    <row r="1903" spans="1:14" x14ac:dyDescent="0.25">
      <c r="A1903" s="1" t="s">
        <v>3087</v>
      </c>
      <c r="B1903" s="1" t="s">
        <v>98</v>
      </c>
      <c r="C1903" s="1" t="s">
        <v>321</v>
      </c>
      <c r="D1903" s="1" t="s">
        <v>25</v>
      </c>
      <c r="E1903" s="1" t="s">
        <v>4845</v>
      </c>
      <c r="F1903" s="1" t="s">
        <v>53</v>
      </c>
      <c r="G1903" s="1">
        <v>200702</v>
      </c>
      <c r="H1903" s="63">
        <v>45068</v>
      </c>
      <c r="J1903" s="1"/>
      <c r="K1903" s="1"/>
      <c r="L1903" s="1" t="s">
        <v>20</v>
      </c>
      <c r="M1903" s="1" t="s">
        <v>30</v>
      </c>
      <c r="N1903" s="1" t="str">
        <f t="shared" si="29"/>
        <v>Normal</v>
      </c>
    </row>
    <row r="1904" spans="1:14" x14ac:dyDescent="0.25">
      <c r="A1904" s="1" t="s">
        <v>3088</v>
      </c>
      <c r="B1904" s="1" t="s">
        <v>84</v>
      </c>
      <c r="C1904" s="1" t="s">
        <v>132</v>
      </c>
      <c r="D1904" s="1" t="s">
        <v>67</v>
      </c>
      <c r="E1904" s="1" t="s">
        <v>26</v>
      </c>
      <c r="F1904" s="1" t="s">
        <v>18</v>
      </c>
      <c r="G1904" s="1">
        <v>88710</v>
      </c>
      <c r="H1904" s="63">
        <v>45311</v>
      </c>
      <c r="I1904" s="63">
        <v>45358</v>
      </c>
      <c r="J1904" s="1">
        <v>47</v>
      </c>
      <c r="K1904" s="1"/>
      <c r="L1904" s="1" t="s">
        <v>49</v>
      </c>
      <c r="M1904" s="1" t="s">
        <v>69</v>
      </c>
      <c r="N1904" s="1" t="str">
        <f t="shared" si="29"/>
        <v>Normal</v>
      </c>
    </row>
    <row r="1905" spans="1:14" x14ac:dyDescent="0.25">
      <c r="A1905" s="1" t="s">
        <v>3089</v>
      </c>
      <c r="B1905" s="1" t="s">
        <v>37</v>
      </c>
      <c r="C1905" s="1" t="s">
        <v>132</v>
      </c>
      <c r="D1905" s="1" t="s">
        <v>67</v>
      </c>
      <c r="E1905" s="1" t="s">
        <v>61</v>
      </c>
      <c r="F1905" s="1" t="s">
        <v>40</v>
      </c>
      <c r="G1905" s="1">
        <v>418969</v>
      </c>
      <c r="H1905" s="63">
        <v>45607</v>
      </c>
      <c r="I1905" s="63">
        <v>45628</v>
      </c>
      <c r="J1905" s="1">
        <v>21</v>
      </c>
      <c r="K1905" s="1">
        <v>18.100000000000001</v>
      </c>
      <c r="L1905" s="1" t="s">
        <v>96</v>
      </c>
      <c r="M1905" s="1" t="s">
        <v>42</v>
      </c>
      <c r="N1905" s="1" t="str">
        <f t="shared" si="29"/>
        <v>Normal</v>
      </c>
    </row>
    <row r="1906" spans="1:14" x14ac:dyDescent="0.25">
      <c r="A1906" s="1" t="s">
        <v>3090</v>
      </c>
      <c r="B1906" s="1" t="s">
        <v>37</v>
      </c>
      <c r="C1906" s="1" t="s">
        <v>430</v>
      </c>
      <c r="D1906" s="1" t="s">
        <v>39</v>
      </c>
      <c r="E1906" s="1" t="s">
        <v>100</v>
      </c>
      <c r="F1906" s="1" t="s">
        <v>33</v>
      </c>
      <c r="G1906" s="1">
        <v>123549</v>
      </c>
      <c r="H1906" s="63">
        <v>45439</v>
      </c>
      <c r="J1906" s="1"/>
      <c r="K1906" s="1">
        <v>6</v>
      </c>
      <c r="L1906" s="1" t="s">
        <v>49</v>
      </c>
      <c r="M1906" s="1" t="s">
        <v>107</v>
      </c>
      <c r="N1906" s="1" t="str">
        <f t="shared" si="29"/>
        <v>Normal</v>
      </c>
    </row>
    <row r="1907" spans="1:14" x14ac:dyDescent="0.25">
      <c r="A1907" s="1" t="s">
        <v>3092</v>
      </c>
      <c r="B1907" s="1" t="s">
        <v>59</v>
      </c>
      <c r="C1907" s="1" t="s">
        <v>1136</v>
      </c>
      <c r="D1907" s="1" t="s">
        <v>90</v>
      </c>
      <c r="E1907" s="1" t="s">
        <v>72</v>
      </c>
      <c r="F1907" s="1" t="s">
        <v>40</v>
      </c>
      <c r="G1907" s="1">
        <v>298183</v>
      </c>
      <c r="H1907" s="63">
        <v>45236</v>
      </c>
      <c r="I1907" s="63">
        <v>45320</v>
      </c>
      <c r="J1907" s="1">
        <v>84</v>
      </c>
      <c r="K1907" s="1">
        <v>4.2</v>
      </c>
      <c r="L1907" s="1" t="s">
        <v>20</v>
      </c>
      <c r="M1907" s="1" t="s">
        <v>21</v>
      </c>
      <c r="N1907" s="1" t="str">
        <f t="shared" si="29"/>
        <v>Normal</v>
      </c>
    </row>
    <row r="1908" spans="1:14" x14ac:dyDescent="0.25">
      <c r="A1908" s="1" t="s">
        <v>3093</v>
      </c>
      <c r="B1908" s="1" t="s">
        <v>173</v>
      </c>
      <c r="C1908" s="1" t="s">
        <v>316</v>
      </c>
      <c r="D1908" s="1" t="s">
        <v>16</v>
      </c>
      <c r="E1908" s="1" t="s">
        <v>17</v>
      </c>
      <c r="F1908" s="1" t="s">
        <v>27</v>
      </c>
      <c r="G1908" s="1">
        <v>334742</v>
      </c>
      <c r="H1908" s="63">
        <v>45535</v>
      </c>
      <c r="J1908" s="1"/>
      <c r="K1908" s="1">
        <v>9.8000000000000007</v>
      </c>
      <c r="L1908" s="1" t="s">
        <v>96</v>
      </c>
      <c r="M1908" s="1" t="s">
        <v>149</v>
      </c>
      <c r="N1908" s="1" t="str">
        <f t="shared" si="29"/>
        <v>Normal</v>
      </c>
    </row>
    <row r="1909" spans="1:14" x14ac:dyDescent="0.25">
      <c r="A1909" s="1" t="s">
        <v>3094</v>
      </c>
      <c r="B1909" s="1" t="s">
        <v>75</v>
      </c>
      <c r="C1909" s="1" t="s">
        <v>1057</v>
      </c>
      <c r="D1909" s="1" t="s">
        <v>46</v>
      </c>
      <c r="E1909" s="1" t="s">
        <v>61</v>
      </c>
      <c r="F1909" s="1" t="s">
        <v>27</v>
      </c>
      <c r="G1909" s="1">
        <v>82198</v>
      </c>
      <c r="H1909" s="63">
        <v>45286</v>
      </c>
      <c r="J1909" s="1"/>
      <c r="K1909" s="1"/>
      <c r="L1909" s="1" t="s">
        <v>29</v>
      </c>
      <c r="M1909" s="1" t="s">
        <v>21</v>
      </c>
      <c r="N1909" s="1" t="str">
        <f t="shared" si="29"/>
        <v>Normal</v>
      </c>
    </row>
    <row r="1910" spans="1:14" x14ac:dyDescent="0.25">
      <c r="A1910" s="1" t="s">
        <v>3095</v>
      </c>
      <c r="B1910" s="1" t="s">
        <v>23</v>
      </c>
      <c r="C1910" s="1" t="s">
        <v>679</v>
      </c>
      <c r="D1910" s="1" t="s">
        <v>39</v>
      </c>
      <c r="E1910" s="1" t="s">
        <v>26</v>
      </c>
      <c r="F1910" s="1" t="s">
        <v>40</v>
      </c>
      <c r="G1910" s="1">
        <v>290170</v>
      </c>
      <c r="H1910" s="63">
        <v>45009</v>
      </c>
      <c r="I1910" s="63">
        <v>45189</v>
      </c>
      <c r="J1910" s="1">
        <v>180</v>
      </c>
      <c r="K1910" s="1">
        <v>24.4</v>
      </c>
      <c r="L1910" s="1" t="s">
        <v>20</v>
      </c>
      <c r="M1910" s="1" t="s">
        <v>35</v>
      </c>
      <c r="N1910" s="1" t="str">
        <f t="shared" si="29"/>
        <v>Normal</v>
      </c>
    </row>
    <row r="1911" spans="1:14" x14ac:dyDescent="0.25">
      <c r="A1911" s="1" t="s">
        <v>3097</v>
      </c>
      <c r="B1911" s="1" t="s">
        <v>37</v>
      </c>
      <c r="C1911" s="1" t="s">
        <v>387</v>
      </c>
      <c r="D1911" s="1" t="s">
        <v>46</v>
      </c>
      <c r="E1911" s="1" t="s">
        <v>72</v>
      </c>
      <c r="F1911" s="1" t="s">
        <v>129</v>
      </c>
      <c r="G1911" s="1">
        <v>380801</v>
      </c>
      <c r="H1911" s="63">
        <v>45233</v>
      </c>
      <c r="J1911" s="1"/>
      <c r="K1911" s="1">
        <v>3.7</v>
      </c>
      <c r="L1911" s="1" t="s">
        <v>49</v>
      </c>
      <c r="M1911" s="1" t="s">
        <v>21</v>
      </c>
      <c r="N1911" s="1" t="str">
        <f t="shared" si="29"/>
        <v>Normal</v>
      </c>
    </row>
    <row r="1912" spans="1:14" x14ac:dyDescent="0.25">
      <c r="A1912" s="1" t="s">
        <v>3099</v>
      </c>
      <c r="B1912" s="1" t="s">
        <v>23</v>
      </c>
      <c r="C1912" s="1" t="s">
        <v>401</v>
      </c>
      <c r="D1912" s="1" t="s">
        <v>39</v>
      </c>
      <c r="E1912" s="1" t="s">
        <v>77</v>
      </c>
      <c r="F1912" s="1" t="s">
        <v>40</v>
      </c>
      <c r="G1912" s="1">
        <v>82804</v>
      </c>
      <c r="H1912" s="63">
        <v>45133</v>
      </c>
      <c r="I1912" s="63">
        <v>45264</v>
      </c>
      <c r="J1912" s="1">
        <v>131</v>
      </c>
      <c r="K1912" s="1">
        <v>14.5</v>
      </c>
      <c r="L1912" s="1" t="s">
        <v>20</v>
      </c>
      <c r="M1912" s="1" t="s">
        <v>102</v>
      </c>
      <c r="N1912" s="1" t="str">
        <f t="shared" si="29"/>
        <v>Normal</v>
      </c>
    </row>
    <row r="1913" spans="1:14" x14ac:dyDescent="0.25">
      <c r="A1913" s="1" t="s">
        <v>3100</v>
      </c>
      <c r="B1913" s="1" t="s">
        <v>88</v>
      </c>
      <c r="C1913" s="1" t="s">
        <v>56</v>
      </c>
      <c r="D1913" s="1" t="s">
        <v>67</v>
      </c>
      <c r="E1913" s="1" t="s">
        <v>26</v>
      </c>
      <c r="F1913" s="1" t="s">
        <v>53</v>
      </c>
      <c r="G1913" s="1">
        <v>215152</v>
      </c>
      <c r="H1913" s="63">
        <v>44960</v>
      </c>
      <c r="J1913" s="1"/>
      <c r="K1913" s="1"/>
      <c r="L1913" s="1" t="s">
        <v>49</v>
      </c>
      <c r="M1913" s="1" t="s">
        <v>35</v>
      </c>
      <c r="N1913" s="1" t="str">
        <f t="shared" si="29"/>
        <v>Normal</v>
      </c>
    </row>
    <row r="1914" spans="1:14" x14ac:dyDescent="0.25">
      <c r="A1914" s="1" t="s">
        <v>3101</v>
      </c>
      <c r="B1914" s="1" t="s">
        <v>104</v>
      </c>
      <c r="C1914" s="1" t="s">
        <v>227</v>
      </c>
      <c r="D1914" s="1" t="s">
        <v>39</v>
      </c>
      <c r="E1914" s="1" t="s">
        <v>17</v>
      </c>
      <c r="F1914" s="1" t="s">
        <v>18</v>
      </c>
      <c r="G1914" s="1">
        <v>81235</v>
      </c>
      <c r="H1914" s="63">
        <v>45541</v>
      </c>
      <c r="I1914" s="63">
        <v>45572</v>
      </c>
      <c r="J1914" s="1">
        <v>31</v>
      </c>
      <c r="K1914" s="1"/>
      <c r="L1914" s="1" t="s">
        <v>29</v>
      </c>
      <c r="M1914" s="1" t="s">
        <v>149</v>
      </c>
      <c r="N1914" s="1" t="str">
        <f t="shared" si="29"/>
        <v>Normal</v>
      </c>
    </row>
    <row r="1915" spans="1:14" x14ac:dyDescent="0.25">
      <c r="A1915" s="1" t="s">
        <v>3102</v>
      </c>
      <c r="B1915" s="1" t="s">
        <v>84</v>
      </c>
      <c r="C1915" s="1" t="s">
        <v>393</v>
      </c>
      <c r="D1915" s="1" t="s">
        <v>67</v>
      </c>
      <c r="E1915" s="1" t="s">
        <v>77</v>
      </c>
      <c r="F1915" s="1" t="s">
        <v>33</v>
      </c>
      <c r="G1915" s="1">
        <v>223530</v>
      </c>
      <c r="H1915" s="63">
        <v>44987</v>
      </c>
      <c r="J1915" s="1"/>
      <c r="K1915" s="1">
        <v>9.1999999999999993</v>
      </c>
      <c r="L1915" s="1" t="s">
        <v>96</v>
      </c>
      <c r="M1915" s="1" t="s">
        <v>35</v>
      </c>
      <c r="N1915" s="1" t="str">
        <f t="shared" si="29"/>
        <v>Normal</v>
      </c>
    </row>
    <row r="1916" spans="1:14" x14ac:dyDescent="0.25">
      <c r="A1916" s="1" t="s">
        <v>3103</v>
      </c>
      <c r="B1916" s="1" t="s">
        <v>88</v>
      </c>
      <c r="C1916" s="1" t="s">
        <v>667</v>
      </c>
      <c r="D1916" s="1" t="s">
        <v>67</v>
      </c>
      <c r="E1916" s="1" t="s">
        <v>61</v>
      </c>
      <c r="F1916" s="1" t="s">
        <v>18</v>
      </c>
      <c r="G1916" s="1">
        <v>498659</v>
      </c>
      <c r="H1916" s="63">
        <v>44941</v>
      </c>
      <c r="I1916" s="63">
        <v>44984</v>
      </c>
      <c r="J1916" s="1">
        <v>43</v>
      </c>
      <c r="K1916" s="1">
        <v>3.5</v>
      </c>
      <c r="L1916" s="1" t="s">
        <v>49</v>
      </c>
      <c r="M1916" s="1" t="s">
        <v>35</v>
      </c>
      <c r="N1916" s="1" t="str">
        <f t="shared" si="29"/>
        <v>Normal</v>
      </c>
    </row>
    <row r="1917" spans="1:14" x14ac:dyDescent="0.25">
      <c r="A1917" s="1" t="s">
        <v>3104</v>
      </c>
      <c r="B1917" s="1" t="s">
        <v>44</v>
      </c>
      <c r="C1917" s="1" t="s">
        <v>128</v>
      </c>
      <c r="D1917" s="1" t="s">
        <v>16</v>
      </c>
      <c r="E1917" s="1" t="s">
        <v>26</v>
      </c>
      <c r="F1917" s="1" t="s">
        <v>18</v>
      </c>
      <c r="G1917" s="1">
        <v>255140</v>
      </c>
      <c r="H1917" s="63">
        <v>45294</v>
      </c>
      <c r="I1917" s="63">
        <v>45472</v>
      </c>
      <c r="J1917" s="1">
        <v>178</v>
      </c>
      <c r="K1917" s="1"/>
      <c r="L1917" s="1" t="s">
        <v>29</v>
      </c>
      <c r="M1917" s="1" t="s">
        <v>69</v>
      </c>
      <c r="N1917" s="1" t="str">
        <f t="shared" si="29"/>
        <v>Normal</v>
      </c>
    </row>
    <row r="1918" spans="1:14" x14ac:dyDescent="0.25">
      <c r="A1918" s="1" t="s">
        <v>3106</v>
      </c>
      <c r="B1918" s="1" t="s">
        <v>75</v>
      </c>
      <c r="C1918" s="1" t="s">
        <v>264</v>
      </c>
      <c r="D1918" s="1" t="s">
        <v>90</v>
      </c>
      <c r="E1918" s="1" t="s">
        <v>72</v>
      </c>
      <c r="F1918" s="1" t="s">
        <v>27</v>
      </c>
      <c r="G1918" s="1">
        <v>77384</v>
      </c>
      <c r="H1918" s="63">
        <v>45036</v>
      </c>
      <c r="J1918" s="1"/>
      <c r="K1918" s="1"/>
      <c r="L1918" s="1" t="s">
        <v>96</v>
      </c>
      <c r="M1918" s="1" t="s">
        <v>30</v>
      </c>
      <c r="N1918" s="1" t="str">
        <f t="shared" si="29"/>
        <v>Normal</v>
      </c>
    </row>
    <row r="1919" spans="1:14" x14ac:dyDescent="0.25">
      <c r="A1919" s="1" t="s">
        <v>3107</v>
      </c>
      <c r="B1919" s="1" t="s">
        <v>59</v>
      </c>
      <c r="C1919" s="1" t="s">
        <v>1170</v>
      </c>
      <c r="D1919" s="1" t="s">
        <v>90</v>
      </c>
      <c r="E1919" s="1" t="s">
        <v>26</v>
      </c>
      <c r="F1919" s="1" t="s">
        <v>18</v>
      </c>
      <c r="G1919" s="1">
        <v>180158</v>
      </c>
      <c r="H1919" s="63">
        <v>45432</v>
      </c>
      <c r="I1919" s="63">
        <v>45608</v>
      </c>
      <c r="J1919" s="1">
        <v>176</v>
      </c>
      <c r="K1919" s="1">
        <v>11</v>
      </c>
      <c r="L1919" s="1" t="s">
        <v>96</v>
      </c>
      <c r="M1919" s="1" t="s">
        <v>107</v>
      </c>
      <c r="N1919" s="1" t="str">
        <f t="shared" si="29"/>
        <v>Normal</v>
      </c>
    </row>
    <row r="1920" spans="1:14" x14ac:dyDescent="0.25">
      <c r="A1920" s="1" t="s">
        <v>3109</v>
      </c>
      <c r="B1920" s="1" t="s">
        <v>75</v>
      </c>
      <c r="C1920" s="1" t="s">
        <v>676</v>
      </c>
      <c r="D1920" s="1" t="s">
        <v>67</v>
      </c>
      <c r="E1920" s="1" t="s">
        <v>26</v>
      </c>
      <c r="F1920" s="1" t="s">
        <v>53</v>
      </c>
      <c r="G1920" s="1">
        <v>88398</v>
      </c>
      <c r="H1920" s="63">
        <v>45500</v>
      </c>
      <c r="J1920" s="1"/>
      <c r="K1920" s="1">
        <v>9.8000000000000007</v>
      </c>
      <c r="L1920" s="1" t="s">
        <v>96</v>
      </c>
      <c r="M1920" s="1" t="s">
        <v>149</v>
      </c>
      <c r="N1920" s="1" t="str">
        <f t="shared" si="29"/>
        <v>Normal</v>
      </c>
    </row>
    <row r="1921" spans="1:14" x14ac:dyDescent="0.25">
      <c r="A1921" s="1" t="s">
        <v>3110</v>
      </c>
      <c r="B1921" s="1" t="s">
        <v>37</v>
      </c>
      <c r="C1921" s="1" t="s">
        <v>552</v>
      </c>
      <c r="D1921" s="1" t="s">
        <v>16</v>
      </c>
      <c r="E1921" s="1" t="s">
        <v>77</v>
      </c>
      <c r="F1921" s="1" t="s">
        <v>40</v>
      </c>
      <c r="G1921" s="1">
        <v>372578</v>
      </c>
      <c r="H1921" s="63">
        <v>45666</v>
      </c>
      <c r="I1921" s="63">
        <v>45758</v>
      </c>
      <c r="J1921" s="1">
        <v>92</v>
      </c>
      <c r="K1921" s="1">
        <v>21.6</v>
      </c>
      <c r="L1921" s="1" t="s">
        <v>29</v>
      </c>
      <c r="M1921" s="1" t="s">
        <v>63</v>
      </c>
      <c r="N1921" s="1" t="str">
        <f t="shared" si="29"/>
        <v>Normal</v>
      </c>
    </row>
    <row r="1922" spans="1:14" x14ac:dyDescent="0.25">
      <c r="A1922" s="1" t="s">
        <v>3111</v>
      </c>
      <c r="B1922" s="1" t="s">
        <v>23</v>
      </c>
      <c r="C1922" s="1" t="s">
        <v>2503</v>
      </c>
      <c r="D1922" s="1" t="s">
        <v>39</v>
      </c>
      <c r="E1922" s="1" t="s">
        <v>26</v>
      </c>
      <c r="F1922" s="1" t="s">
        <v>40</v>
      </c>
      <c r="G1922" s="1">
        <v>161907</v>
      </c>
      <c r="H1922" s="63">
        <v>45502</v>
      </c>
      <c r="I1922" s="63">
        <v>45557</v>
      </c>
      <c r="J1922" s="1">
        <v>55</v>
      </c>
      <c r="K1922" s="1">
        <v>3.8</v>
      </c>
      <c r="L1922" s="1" t="s">
        <v>20</v>
      </c>
      <c r="M1922" s="1" t="s">
        <v>149</v>
      </c>
      <c r="N1922" s="1" t="str">
        <f t="shared" ref="N1922:N1985" si="30">IF(G1922&gt;$R$5,"High Outlier",IF(G1922&lt;$R$6,"Low Outlier","Normal"))</f>
        <v>Normal</v>
      </c>
    </row>
    <row r="1923" spans="1:14" x14ac:dyDescent="0.25">
      <c r="A1923" s="1" t="s">
        <v>3112</v>
      </c>
      <c r="B1923" s="1" t="s">
        <v>37</v>
      </c>
      <c r="C1923" s="1" t="s">
        <v>528</v>
      </c>
      <c r="D1923" s="1" t="s">
        <v>16</v>
      </c>
      <c r="E1923" s="1" t="s">
        <v>47</v>
      </c>
      <c r="F1923" s="1" t="s">
        <v>40</v>
      </c>
      <c r="G1923" s="1">
        <v>83634</v>
      </c>
      <c r="H1923" s="63">
        <v>45509</v>
      </c>
      <c r="I1923" s="63">
        <v>45648</v>
      </c>
      <c r="J1923" s="1">
        <v>139</v>
      </c>
      <c r="K1923" s="1">
        <v>21.5</v>
      </c>
      <c r="L1923" s="1" t="s">
        <v>20</v>
      </c>
      <c r="M1923" s="1" t="s">
        <v>149</v>
      </c>
      <c r="N1923" s="1" t="str">
        <f t="shared" si="30"/>
        <v>Normal</v>
      </c>
    </row>
    <row r="1924" spans="1:14" x14ac:dyDescent="0.25">
      <c r="A1924" s="1" t="s">
        <v>3113</v>
      </c>
      <c r="B1924" s="1" t="s">
        <v>98</v>
      </c>
      <c r="C1924" s="1" t="s">
        <v>71</v>
      </c>
      <c r="D1924" s="1" t="s">
        <v>90</v>
      </c>
      <c r="E1924" s="1" t="s">
        <v>26</v>
      </c>
      <c r="F1924" s="1" t="s">
        <v>18</v>
      </c>
      <c r="G1924" s="1">
        <v>92521</v>
      </c>
      <c r="H1924" s="63">
        <v>45535</v>
      </c>
      <c r="I1924" s="63">
        <v>45686</v>
      </c>
      <c r="J1924" s="1">
        <v>151</v>
      </c>
      <c r="K1924" s="1">
        <v>3.2</v>
      </c>
      <c r="L1924" s="1" t="s">
        <v>29</v>
      </c>
      <c r="M1924" s="1" t="s">
        <v>149</v>
      </c>
      <c r="N1924" s="1" t="str">
        <f t="shared" si="30"/>
        <v>Normal</v>
      </c>
    </row>
    <row r="1925" spans="1:14" x14ac:dyDescent="0.25">
      <c r="A1925" s="1" t="s">
        <v>3114</v>
      </c>
      <c r="B1925" s="1" t="s">
        <v>84</v>
      </c>
      <c r="C1925" s="1" t="s">
        <v>528</v>
      </c>
      <c r="D1925" s="1" t="s">
        <v>16</v>
      </c>
      <c r="E1925" s="1" t="s">
        <v>94</v>
      </c>
      <c r="F1925" s="1" t="s">
        <v>33</v>
      </c>
      <c r="G1925" s="1">
        <v>348000</v>
      </c>
      <c r="H1925" s="63">
        <v>45120</v>
      </c>
      <c r="J1925" s="1"/>
      <c r="K1925" s="1">
        <v>0.9</v>
      </c>
      <c r="L1925" s="1" t="s">
        <v>29</v>
      </c>
      <c r="M1925" s="1" t="s">
        <v>102</v>
      </c>
      <c r="N1925" s="1" t="str">
        <f t="shared" si="30"/>
        <v>Normal</v>
      </c>
    </row>
    <row r="1926" spans="1:14" x14ac:dyDescent="0.25">
      <c r="A1926" s="1" t="s">
        <v>3115</v>
      </c>
      <c r="B1926" s="1" t="s">
        <v>127</v>
      </c>
      <c r="C1926" s="1" t="s">
        <v>45</v>
      </c>
      <c r="D1926" s="1" t="s">
        <v>46</v>
      </c>
      <c r="E1926" s="1" t="s">
        <v>4845</v>
      </c>
      <c r="F1926" s="1" t="s">
        <v>129</v>
      </c>
      <c r="G1926" s="1">
        <v>380235</v>
      </c>
      <c r="H1926" s="63">
        <v>45410</v>
      </c>
      <c r="J1926" s="1"/>
      <c r="K1926" s="1">
        <v>13.8</v>
      </c>
      <c r="L1926" s="1" t="s">
        <v>20</v>
      </c>
      <c r="M1926" s="1" t="s">
        <v>107</v>
      </c>
      <c r="N1926" s="1" t="str">
        <f t="shared" si="30"/>
        <v>Normal</v>
      </c>
    </row>
    <row r="1927" spans="1:14" x14ac:dyDescent="0.25">
      <c r="A1927" s="1" t="s">
        <v>3116</v>
      </c>
      <c r="B1927" s="1" t="s">
        <v>44</v>
      </c>
      <c r="C1927" s="1" t="s">
        <v>1144</v>
      </c>
      <c r="D1927" s="1" t="s">
        <v>90</v>
      </c>
      <c r="E1927" s="1" t="s">
        <v>17</v>
      </c>
      <c r="F1927" s="1" t="s">
        <v>27</v>
      </c>
      <c r="G1927" s="1">
        <v>360389</v>
      </c>
      <c r="H1927" s="63">
        <v>45553</v>
      </c>
      <c r="J1927" s="1"/>
      <c r="K1927" s="1">
        <v>5</v>
      </c>
      <c r="L1927" s="1" t="s">
        <v>96</v>
      </c>
      <c r="M1927" s="1" t="s">
        <v>149</v>
      </c>
      <c r="N1927" s="1" t="str">
        <f t="shared" si="30"/>
        <v>Normal</v>
      </c>
    </row>
    <row r="1928" spans="1:14" x14ac:dyDescent="0.25">
      <c r="A1928" s="1" t="s">
        <v>3117</v>
      </c>
      <c r="B1928" s="1" t="s">
        <v>75</v>
      </c>
      <c r="C1928" s="1" t="s">
        <v>2987</v>
      </c>
      <c r="D1928" s="1" t="s">
        <v>46</v>
      </c>
      <c r="E1928" s="1" t="s">
        <v>72</v>
      </c>
      <c r="F1928" s="1" t="s">
        <v>129</v>
      </c>
      <c r="G1928" s="1">
        <v>124079</v>
      </c>
      <c r="H1928" s="63">
        <v>45642</v>
      </c>
      <c r="J1928" s="1"/>
      <c r="K1928" s="1">
        <v>11.6</v>
      </c>
      <c r="L1928" s="1" t="s">
        <v>49</v>
      </c>
      <c r="M1928" s="1" t="s">
        <v>42</v>
      </c>
      <c r="N1928" s="1" t="str">
        <f t="shared" si="30"/>
        <v>Normal</v>
      </c>
    </row>
    <row r="1929" spans="1:14" x14ac:dyDescent="0.25">
      <c r="A1929" s="1" t="s">
        <v>3118</v>
      </c>
      <c r="B1929" s="1" t="s">
        <v>14</v>
      </c>
      <c r="C1929" s="1" t="s">
        <v>300</v>
      </c>
      <c r="D1929" s="1" t="s">
        <v>90</v>
      </c>
      <c r="E1929" s="1" t="s">
        <v>77</v>
      </c>
      <c r="F1929" s="1" t="s">
        <v>27</v>
      </c>
      <c r="G1929" s="1">
        <v>246606</v>
      </c>
      <c r="H1929" s="63">
        <v>45272</v>
      </c>
      <c r="J1929" s="1"/>
      <c r="K1929" s="1"/>
      <c r="L1929" s="1" t="s">
        <v>96</v>
      </c>
      <c r="M1929" s="1" t="s">
        <v>21</v>
      </c>
      <c r="N1929" s="1" t="str">
        <f t="shared" si="30"/>
        <v>Normal</v>
      </c>
    </row>
    <row r="1930" spans="1:14" x14ac:dyDescent="0.25">
      <c r="A1930" s="1" t="s">
        <v>3120</v>
      </c>
      <c r="B1930" s="1" t="s">
        <v>173</v>
      </c>
      <c r="C1930" s="1" t="s">
        <v>71</v>
      </c>
      <c r="D1930" s="1" t="s">
        <v>67</v>
      </c>
      <c r="E1930" s="1" t="s">
        <v>72</v>
      </c>
      <c r="F1930" s="1" t="s">
        <v>129</v>
      </c>
      <c r="G1930" s="1">
        <v>90877</v>
      </c>
      <c r="H1930" s="63">
        <v>45141</v>
      </c>
      <c r="J1930" s="1"/>
      <c r="K1930" s="1">
        <v>0.6</v>
      </c>
      <c r="L1930" s="1" t="s">
        <v>49</v>
      </c>
      <c r="M1930" s="1" t="s">
        <v>102</v>
      </c>
      <c r="N1930" s="1" t="str">
        <f t="shared" si="30"/>
        <v>Normal</v>
      </c>
    </row>
    <row r="1931" spans="1:14" x14ac:dyDescent="0.25">
      <c r="A1931" s="1" t="s">
        <v>3121</v>
      </c>
      <c r="B1931" s="1" t="s">
        <v>109</v>
      </c>
      <c r="C1931" s="1" t="s">
        <v>442</v>
      </c>
      <c r="D1931" s="1" t="s">
        <v>16</v>
      </c>
      <c r="E1931" s="1" t="s">
        <v>61</v>
      </c>
      <c r="F1931" s="1" t="s">
        <v>33</v>
      </c>
      <c r="G1931" s="1">
        <v>455998</v>
      </c>
      <c r="H1931" s="63">
        <v>45296</v>
      </c>
      <c r="J1931" s="1"/>
      <c r="K1931" s="1">
        <v>5.2</v>
      </c>
      <c r="L1931" s="1" t="s">
        <v>29</v>
      </c>
      <c r="M1931" s="1" t="s">
        <v>69</v>
      </c>
      <c r="N1931" s="1" t="str">
        <f t="shared" si="30"/>
        <v>Normal</v>
      </c>
    </row>
    <row r="1932" spans="1:14" x14ac:dyDescent="0.25">
      <c r="A1932" s="1" t="s">
        <v>3122</v>
      </c>
      <c r="B1932" s="1" t="s">
        <v>127</v>
      </c>
      <c r="C1932" s="1" t="s">
        <v>364</v>
      </c>
      <c r="D1932" s="1" t="s">
        <v>25</v>
      </c>
      <c r="E1932" s="1" t="s">
        <v>100</v>
      </c>
      <c r="F1932" s="1" t="s">
        <v>18</v>
      </c>
      <c r="G1932" s="1">
        <v>273125</v>
      </c>
      <c r="H1932" s="63">
        <v>45159</v>
      </c>
      <c r="I1932" s="63">
        <v>45282</v>
      </c>
      <c r="J1932" s="1">
        <v>123</v>
      </c>
      <c r="K1932" s="1"/>
      <c r="L1932" s="1" t="s">
        <v>20</v>
      </c>
      <c r="M1932" s="1" t="s">
        <v>102</v>
      </c>
      <c r="N1932" s="1" t="str">
        <f t="shared" si="30"/>
        <v>Normal</v>
      </c>
    </row>
    <row r="1933" spans="1:14" x14ac:dyDescent="0.25">
      <c r="A1933" s="1" t="s">
        <v>3124</v>
      </c>
      <c r="B1933" s="1" t="s">
        <v>104</v>
      </c>
      <c r="C1933" s="1" t="s">
        <v>1142</v>
      </c>
      <c r="D1933" s="1" t="s">
        <v>90</v>
      </c>
      <c r="E1933" s="1" t="s">
        <v>94</v>
      </c>
      <c r="F1933" s="1" t="s">
        <v>40</v>
      </c>
      <c r="G1933" s="1">
        <v>258288</v>
      </c>
      <c r="H1933" s="63">
        <v>45185</v>
      </c>
      <c r="I1933" s="63">
        <v>45295</v>
      </c>
      <c r="J1933" s="1">
        <v>110</v>
      </c>
      <c r="K1933" s="1">
        <v>12.1</v>
      </c>
      <c r="L1933" s="1" t="s">
        <v>20</v>
      </c>
      <c r="M1933" s="1" t="s">
        <v>102</v>
      </c>
      <c r="N1933" s="1" t="str">
        <f t="shared" si="30"/>
        <v>Normal</v>
      </c>
    </row>
    <row r="1934" spans="1:14" x14ac:dyDescent="0.25">
      <c r="A1934" s="1" t="s">
        <v>3125</v>
      </c>
      <c r="B1934" s="1" t="s">
        <v>44</v>
      </c>
      <c r="C1934" s="1" t="s">
        <v>849</v>
      </c>
      <c r="D1934" s="1" t="s">
        <v>16</v>
      </c>
      <c r="E1934" s="1" t="s">
        <v>77</v>
      </c>
      <c r="F1934" s="1" t="s">
        <v>33</v>
      </c>
      <c r="G1934" s="1">
        <v>373485</v>
      </c>
      <c r="H1934" s="63">
        <v>45595</v>
      </c>
      <c r="J1934" s="1"/>
      <c r="K1934" s="1">
        <v>7.6</v>
      </c>
      <c r="L1934" s="1" t="s">
        <v>96</v>
      </c>
      <c r="M1934" s="1" t="s">
        <v>42</v>
      </c>
      <c r="N1934" s="1" t="str">
        <f t="shared" si="30"/>
        <v>Normal</v>
      </c>
    </row>
    <row r="1935" spans="1:14" x14ac:dyDescent="0.25">
      <c r="A1935" s="1" t="s">
        <v>3126</v>
      </c>
      <c r="B1935" s="1" t="s">
        <v>98</v>
      </c>
      <c r="C1935" s="1" t="s">
        <v>192</v>
      </c>
      <c r="D1935" s="1" t="s">
        <v>39</v>
      </c>
      <c r="E1935" s="1" t="s">
        <v>100</v>
      </c>
      <c r="F1935" s="1" t="s">
        <v>18</v>
      </c>
      <c r="G1935" s="1">
        <v>421506</v>
      </c>
      <c r="H1935" s="63">
        <v>44974</v>
      </c>
      <c r="I1935" s="63">
        <v>45131</v>
      </c>
      <c r="J1935" s="1">
        <v>157</v>
      </c>
      <c r="K1935" s="1">
        <v>2.2999999999999998</v>
      </c>
      <c r="L1935" s="1" t="s">
        <v>96</v>
      </c>
      <c r="M1935" s="1" t="s">
        <v>35</v>
      </c>
      <c r="N1935" s="1" t="str">
        <f t="shared" si="30"/>
        <v>Normal</v>
      </c>
    </row>
    <row r="1936" spans="1:14" x14ac:dyDescent="0.25">
      <c r="A1936" s="1" t="s">
        <v>3127</v>
      </c>
      <c r="B1936" s="1" t="s">
        <v>23</v>
      </c>
      <c r="C1936" s="1" t="s">
        <v>483</v>
      </c>
      <c r="D1936" s="1" t="s">
        <v>67</v>
      </c>
      <c r="E1936" s="1" t="s">
        <v>61</v>
      </c>
      <c r="F1936" s="1" t="s">
        <v>33</v>
      </c>
      <c r="G1936" s="1">
        <v>33084</v>
      </c>
      <c r="H1936" s="63">
        <v>45535</v>
      </c>
      <c r="J1936" s="1"/>
      <c r="K1936" s="1">
        <v>13.1</v>
      </c>
      <c r="L1936" s="1" t="s">
        <v>96</v>
      </c>
      <c r="M1936" s="1" t="s">
        <v>149</v>
      </c>
      <c r="N1936" s="1" t="str">
        <f t="shared" si="30"/>
        <v>Normal</v>
      </c>
    </row>
    <row r="1937" spans="1:14" x14ac:dyDescent="0.25">
      <c r="A1937" s="1" t="s">
        <v>3128</v>
      </c>
      <c r="B1937" s="1" t="s">
        <v>14</v>
      </c>
      <c r="C1937" s="1" t="s">
        <v>381</v>
      </c>
      <c r="D1937" s="1" t="s">
        <v>90</v>
      </c>
      <c r="E1937" s="1" t="s">
        <v>4845</v>
      </c>
      <c r="F1937" s="1" t="s">
        <v>27</v>
      </c>
      <c r="G1937" s="1">
        <v>141097</v>
      </c>
      <c r="H1937" s="63">
        <v>44993</v>
      </c>
      <c r="J1937" s="1"/>
      <c r="K1937" s="1">
        <v>9.4</v>
      </c>
      <c r="L1937" s="1" t="s">
        <v>29</v>
      </c>
      <c r="M1937" s="1" t="s">
        <v>35</v>
      </c>
      <c r="N1937" s="1" t="str">
        <f t="shared" si="30"/>
        <v>Normal</v>
      </c>
    </row>
    <row r="1938" spans="1:14" x14ac:dyDescent="0.25">
      <c r="A1938" s="1" t="s">
        <v>3129</v>
      </c>
      <c r="B1938" s="1" t="s">
        <v>84</v>
      </c>
      <c r="C1938" s="1" t="s">
        <v>778</v>
      </c>
      <c r="D1938" s="1" t="s">
        <v>46</v>
      </c>
      <c r="E1938" s="1" t="s">
        <v>4845</v>
      </c>
      <c r="F1938" s="1" t="s">
        <v>40</v>
      </c>
      <c r="G1938" s="1">
        <v>36901</v>
      </c>
      <c r="H1938" s="63">
        <v>45243</v>
      </c>
      <c r="I1938" s="63">
        <v>45372</v>
      </c>
      <c r="J1938" s="1">
        <v>129</v>
      </c>
      <c r="K1938" s="1">
        <v>4.5</v>
      </c>
      <c r="L1938" s="1" t="s">
        <v>29</v>
      </c>
      <c r="M1938" s="1" t="s">
        <v>21</v>
      </c>
      <c r="N1938" s="1" t="str">
        <f t="shared" si="30"/>
        <v>Normal</v>
      </c>
    </row>
    <row r="1939" spans="1:14" x14ac:dyDescent="0.25">
      <c r="A1939" s="1" t="s">
        <v>3130</v>
      </c>
      <c r="B1939" s="1" t="s">
        <v>127</v>
      </c>
      <c r="C1939" s="1" t="s">
        <v>513</v>
      </c>
      <c r="D1939" s="1" t="s">
        <v>39</v>
      </c>
      <c r="E1939" s="1" t="s">
        <v>26</v>
      </c>
      <c r="F1939" s="1" t="s">
        <v>40</v>
      </c>
      <c r="G1939" s="1">
        <v>176210</v>
      </c>
      <c r="H1939" s="63">
        <v>44952</v>
      </c>
      <c r="I1939" s="63">
        <v>45012</v>
      </c>
      <c r="J1939" s="1">
        <v>60</v>
      </c>
      <c r="K1939" s="1">
        <v>6.6</v>
      </c>
      <c r="L1939" s="1" t="s">
        <v>96</v>
      </c>
      <c r="M1939" s="1" t="s">
        <v>35</v>
      </c>
      <c r="N1939" s="1" t="str">
        <f t="shared" si="30"/>
        <v>Normal</v>
      </c>
    </row>
    <row r="1940" spans="1:14" x14ac:dyDescent="0.25">
      <c r="A1940" s="1" t="s">
        <v>3131</v>
      </c>
      <c r="B1940" s="1" t="s">
        <v>75</v>
      </c>
      <c r="C1940" s="1" t="s">
        <v>1136</v>
      </c>
      <c r="D1940" s="1" t="s">
        <v>25</v>
      </c>
      <c r="E1940" s="1" t="s">
        <v>94</v>
      </c>
      <c r="F1940" s="1" t="s">
        <v>33</v>
      </c>
      <c r="G1940" s="1">
        <v>399169</v>
      </c>
      <c r="H1940" s="63">
        <v>45641</v>
      </c>
      <c r="J1940" s="1"/>
      <c r="K1940" s="1">
        <v>2</v>
      </c>
      <c r="L1940" s="1" t="s">
        <v>49</v>
      </c>
      <c r="M1940" s="1" t="s">
        <v>42</v>
      </c>
      <c r="N1940" s="1" t="str">
        <f t="shared" si="30"/>
        <v>Normal</v>
      </c>
    </row>
    <row r="1941" spans="1:14" x14ac:dyDescent="0.25">
      <c r="A1941" s="1" t="s">
        <v>3132</v>
      </c>
      <c r="B1941" s="1" t="s">
        <v>88</v>
      </c>
      <c r="C1941" s="1" t="s">
        <v>420</v>
      </c>
      <c r="D1941" s="1" t="s">
        <v>25</v>
      </c>
      <c r="E1941" s="1" t="s">
        <v>61</v>
      </c>
      <c r="F1941" s="1" t="s">
        <v>40</v>
      </c>
      <c r="G1941" s="1">
        <v>129193</v>
      </c>
      <c r="H1941" s="63">
        <v>45526</v>
      </c>
      <c r="I1941" s="63">
        <v>45570</v>
      </c>
      <c r="J1941" s="1">
        <v>44</v>
      </c>
      <c r="K1941" s="1">
        <v>2.4</v>
      </c>
      <c r="L1941" s="1" t="s">
        <v>20</v>
      </c>
      <c r="M1941" s="1" t="s">
        <v>149</v>
      </c>
      <c r="N1941" s="1" t="str">
        <f t="shared" si="30"/>
        <v>Normal</v>
      </c>
    </row>
    <row r="1942" spans="1:14" x14ac:dyDescent="0.25">
      <c r="A1942" s="1" t="s">
        <v>3133</v>
      </c>
      <c r="B1942" s="1" t="s">
        <v>44</v>
      </c>
      <c r="C1942" s="1" t="s">
        <v>250</v>
      </c>
      <c r="D1942" s="1" t="s">
        <v>16</v>
      </c>
      <c r="E1942" s="1" t="s">
        <v>61</v>
      </c>
      <c r="F1942" s="1" t="s">
        <v>33</v>
      </c>
      <c r="G1942" s="1">
        <v>1149522</v>
      </c>
      <c r="H1942" s="63">
        <v>45605</v>
      </c>
      <c r="J1942" s="1"/>
      <c r="K1942" s="1">
        <v>9.6</v>
      </c>
      <c r="L1942" s="1" t="s">
        <v>96</v>
      </c>
      <c r="M1942" s="1" t="s">
        <v>42</v>
      </c>
      <c r="N1942" s="1" t="str">
        <f t="shared" si="30"/>
        <v>High Outlier</v>
      </c>
    </row>
    <row r="1943" spans="1:14" x14ac:dyDescent="0.25">
      <c r="A1943" s="1" t="s">
        <v>3135</v>
      </c>
      <c r="B1943" s="1" t="s">
        <v>59</v>
      </c>
      <c r="C1943" s="1" t="s">
        <v>640</v>
      </c>
      <c r="D1943" s="1" t="s">
        <v>16</v>
      </c>
      <c r="E1943" s="1" t="s">
        <v>4845</v>
      </c>
      <c r="F1943" s="1" t="s">
        <v>53</v>
      </c>
      <c r="G1943" s="1">
        <v>496633</v>
      </c>
      <c r="H1943" s="63">
        <v>45331</v>
      </c>
      <c r="J1943" s="1"/>
      <c r="K1943" s="1">
        <v>9.6</v>
      </c>
      <c r="L1943" s="1" t="s">
        <v>96</v>
      </c>
      <c r="M1943" s="1" t="s">
        <v>69</v>
      </c>
      <c r="N1943" s="1" t="str">
        <f t="shared" si="30"/>
        <v>Normal</v>
      </c>
    </row>
    <row r="1944" spans="1:14" x14ac:dyDescent="0.25">
      <c r="A1944" s="1" t="s">
        <v>3136</v>
      </c>
      <c r="B1944" s="1" t="s">
        <v>14</v>
      </c>
      <c r="C1944" s="1" t="s">
        <v>667</v>
      </c>
      <c r="D1944" s="1" t="s">
        <v>67</v>
      </c>
      <c r="E1944" s="1" t="s">
        <v>77</v>
      </c>
      <c r="F1944" s="1" t="s">
        <v>18</v>
      </c>
      <c r="G1944" s="1">
        <v>240311</v>
      </c>
      <c r="H1944" s="63">
        <v>45428</v>
      </c>
      <c r="I1944" s="63">
        <v>45526</v>
      </c>
      <c r="J1944" s="1">
        <v>98</v>
      </c>
      <c r="K1944" s="1">
        <v>13.3</v>
      </c>
      <c r="L1944" s="1" t="s">
        <v>96</v>
      </c>
      <c r="M1944" s="1" t="s">
        <v>107</v>
      </c>
      <c r="N1944" s="1" t="str">
        <f t="shared" si="30"/>
        <v>Normal</v>
      </c>
    </row>
    <row r="1945" spans="1:14" x14ac:dyDescent="0.25">
      <c r="A1945" s="1" t="s">
        <v>3138</v>
      </c>
      <c r="B1945" s="1" t="s">
        <v>75</v>
      </c>
      <c r="C1945" s="1" t="s">
        <v>800</v>
      </c>
      <c r="D1945" s="1" t="s">
        <v>39</v>
      </c>
      <c r="E1945" s="1" t="s">
        <v>77</v>
      </c>
      <c r="F1945" s="1" t="s">
        <v>33</v>
      </c>
      <c r="G1945" s="1">
        <v>109894</v>
      </c>
      <c r="H1945" s="63">
        <v>45569</v>
      </c>
      <c r="J1945" s="1"/>
      <c r="K1945" s="1">
        <v>8</v>
      </c>
      <c r="L1945" s="1" t="s">
        <v>20</v>
      </c>
      <c r="M1945" s="1" t="s">
        <v>42</v>
      </c>
      <c r="N1945" s="1" t="str">
        <f t="shared" si="30"/>
        <v>Normal</v>
      </c>
    </row>
    <row r="1946" spans="1:14" x14ac:dyDescent="0.25">
      <c r="A1946" s="1" t="s">
        <v>3139</v>
      </c>
      <c r="B1946" s="1" t="s">
        <v>37</v>
      </c>
      <c r="C1946" s="1" t="s">
        <v>321</v>
      </c>
      <c r="D1946" s="1" t="s">
        <v>16</v>
      </c>
      <c r="E1946" s="1" t="s">
        <v>72</v>
      </c>
      <c r="F1946" s="1" t="s">
        <v>40</v>
      </c>
      <c r="G1946" s="1">
        <v>237072</v>
      </c>
      <c r="H1946" s="63">
        <v>45172</v>
      </c>
      <c r="I1946" s="63">
        <v>45252</v>
      </c>
      <c r="J1946" s="1">
        <v>80</v>
      </c>
      <c r="K1946" s="1">
        <v>17.7</v>
      </c>
      <c r="L1946" s="1" t="s">
        <v>96</v>
      </c>
      <c r="M1946" s="1" t="s">
        <v>102</v>
      </c>
      <c r="N1946" s="1" t="str">
        <f t="shared" si="30"/>
        <v>Normal</v>
      </c>
    </row>
    <row r="1947" spans="1:14" x14ac:dyDescent="0.25">
      <c r="A1947" s="1" t="s">
        <v>3140</v>
      </c>
      <c r="B1947" s="1" t="s">
        <v>23</v>
      </c>
      <c r="C1947" s="1" t="s">
        <v>625</v>
      </c>
      <c r="D1947" s="1" t="s">
        <v>39</v>
      </c>
      <c r="E1947" s="1" t="s">
        <v>72</v>
      </c>
      <c r="F1947" s="1" t="s">
        <v>33</v>
      </c>
      <c r="G1947" s="1">
        <v>196905</v>
      </c>
      <c r="H1947" s="63">
        <v>45437</v>
      </c>
      <c r="J1947" s="1"/>
      <c r="K1947" s="1">
        <v>0.8</v>
      </c>
      <c r="L1947" s="1" t="s">
        <v>49</v>
      </c>
      <c r="M1947" s="1" t="s">
        <v>107</v>
      </c>
      <c r="N1947" s="1" t="str">
        <f t="shared" si="30"/>
        <v>Normal</v>
      </c>
    </row>
    <row r="1948" spans="1:14" x14ac:dyDescent="0.25">
      <c r="A1948" s="1" t="s">
        <v>3141</v>
      </c>
      <c r="B1948" s="1" t="s">
        <v>173</v>
      </c>
      <c r="C1948" s="1" t="s">
        <v>502</v>
      </c>
      <c r="D1948" s="1" t="s">
        <v>67</v>
      </c>
      <c r="E1948" s="1" t="s">
        <v>94</v>
      </c>
      <c r="F1948" s="1" t="s">
        <v>18</v>
      </c>
      <c r="G1948" s="1">
        <v>491148</v>
      </c>
      <c r="H1948" s="63">
        <v>45318</v>
      </c>
      <c r="I1948" s="63">
        <v>45497</v>
      </c>
      <c r="J1948" s="1">
        <v>179</v>
      </c>
      <c r="K1948" s="1"/>
      <c r="L1948" s="1" t="s">
        <v>29</v>
      </c>
      <c r="M1948" s="1" t="s">
        <v>69</v>
      </c>
      <c r="N1948" s="1" t="str">
        <f t="shared" si="30"/>
        <v>Normal</v>
      </c>
    </row>
    <row r="1949" spans="1:14" x14ac:dyDescent="0.25">
      <c r="A1949" s="1" t="s">
        <v>3142</v>
      </c>
      <c r="B1949" s="1" t="s">
        <v>173</v>
      </c>
      <c r="C1949" s="1" t="s">
        <v>1147</v>
      </c>
      <c r="D1949" s="1" t="s">
        <v>90</v>
      </c>
      <c r="E1949" s="1" t="s">
        <v>26</v>
      </c>
      <c r="F1949" s="1" t="s">
        <v>40</v>
      </c>
      <c r="G1949" s="1">
        <v>277696</v>
      </c>
      <c r="H1949" s="63">
        <v>45028</v>
      </c>
      <c r="I1949" s="63">
        <v>45054</v>
      </c>
      <c r="J1949" s="1">
        <v>26</v>
      </c>
      <c r="K1949" s="1">
        <v>4.7</v>
      </c>
      <c r="L1949" s="1" t="s">
        <v>49</v>
      </c>
      <c r="M1949" s="1" t="s">
        <v>30</v>
      </c>
      <c r="N1949" s="1" t="str">
        <f t="shared" si="30"/>
        <v>Normal</v>
      </c>
    </row>
    <row r="1950" spans="1:14" x14ac:dyDescent="0.25">
      <c r="A1950" s="1" t="s">
        <v>3143</v>
      </c>
      <c r="B1950" s="1" t="s">
        <v>173</v>
      </c>
      <c r="C1950" s="1" t="s">
        <v>1812</v>
      </c>
      <c r="D1950" s="1" t="s">
        <v>39</v>
      </c>
      <c r="E1950" s="1" t="s">
        <v>94</v>
      </c>
      <c r="F1950" s="1" t="s">
        <v>27</v>
      </c>
      <c r="G1950" s="1">
        <v>452412</v>
      </c>
      <c r="H1950" s="63">
        <v>45579</v>
      </c>
      <c r="J1950" s="1"/>
      <c r="K1950" s="1"/>
      <c r="L1950" s="1" t="s">
        <v>49</v>
      </c>
      <c r="M1950" s="1" t="s">
        <v>42</v>
      </c>
      <c r="N1950" s="1" t="str">
        <f t="shared" si="30"/>
        <v>Normal</v>
      </c>
    </row>
    <row r="1951" spans="1:14" x14ac:dyDescent="0.25">
      <c r="A1951" s="1" t="s">
        <v>3144</v>
      </c>
      <c r="B1951" s="1" t="s">
        <v>14</v>
      </c>
      <c r="C1951" s="1" t="s">
        <v>497</v>
      </c>
      <c r="D1951" s="1" t="s">
        <v>90</v>
      </c>
      <c r="E1951" s="1" t="s">
        <v>77</v>
      </c>
      <c r="F1951" s="1" t="s">
        <v>33</v>
      </c>
      <c r="G1951" s="1">
        <v>110025</v>
      </c>
      <c r="H1951" s="63">
        <v>45237</v>
      </c>
      <c r="J1951" s="1"/>
      <c r="K1951" s="1"/>
      <c r="L1951" s="1" t="s">
        <v>20</v>
      </c>
      <c r="M1951" s="1" t="s">
        <v>21</v>
      </c>
      <c r="N1951" s="1" t="str">
        <f t="shared" si="30"/>
        <v>Normal</v>
      </c>
    </row>
    <row r="1952" spans="1:14" x14ac:dyDescent="0.25">
      <c r="A1952" s="1" t="s">
        <v>3145</v>
      </c>
      <c r="B1952" s="1" t="s">
        <v>88</v>
      </c>
      <c r="C1952" s="1" t="s">
        <v>622</v>
      </c>
      <c r="D1952" s="1" t="s">
        <v>90</v>
      </c>
      <c r="E1952" s="1" t="s">
        <v>94</v>
      </c>
      <c r="F1952" s="1" t="s">
        <v>18</v>
      </c>
      <c r="G1952" s="1">
        <v>81789</v>
      </c>
      <c r="H1952" s="63">
        <v>45362</v>
      </c>
      <c r="I1952" s="63">
        <v>45422</v>
      </c>
      <c r="J1952" s="1">
        <v>60</v>
      </c>
      <c r="K1952" s="1"/>
      <c r="L1952" s="1" t="s">
        <v>96</v>
      </c>
      <c r="M1952" s="1" t="s">
        <v>69</v>
      </c>
      <c r="N1952" s="1" t="str">
        <f t="shared" si="30"/>
        <v>Normal</v>
      </c>
    </row>
    <row r="1953" spans="1:14" x14ac:dyDescent="0.25">
      <c r="A1953" s="1" t="s">
        <v>3146</v>
      </c>
      <c r="B1953" s="1" t="s">
        <v>59</v>
      </c>
      <c r="C1953" s="1" t="s">
        <v>313</v>
      </c>
      <c r="D1953" s="1" t="s">
        <v>90</v>
      </c>
      <c r="E1953" s="1" t="s">
        <v>47</v>
      </c>
      <c r="F1953" s="1" t="s">
        <v>27</v>
      </c>
      <c r="G1953" s="1">
        <v>1977965</v>
      </c>
      <c r="H1953" s="63">
        <v>45705</v>
      </c>
      <c r="J1953" s="1"/>
      <c r="K1953" s="1">
        <v>2.9</v>
      </c>
      <c r="L1953" s="1" t="s">
        <v>29</v>
      </c>
      <c r="M1953" s="1" t="s">
        <v>63</v>
      </c>
      <c r="N1953" s="1" t="str">
        <f t="shared" si="30"/>
        <v>High Outlier</v>
      </c>
    </row>
    <row r="1954" spans="1:14" x14ac:dyDescent="0.25">
      <c r="A1954" s="1" t="s">
        <v>3147</v>
      </c>
      <c r="B1954" s="1" t="s">
        <v>59</v>
      </c>
      <c r="C1954" s="1" t="s">
        <v>1157</v>
      </c>
      <c r="D1954" s="1" t="s">
        <v>39</v>
      </c>
      <c r="E1954" s="1" t="s">
        <v>100</v>
      </c>
      <c r="F1954" s="1" t="s">
        <v>53</v>
      </c>
      <c r="G1954" s="1">
        <v>285361</v>
      </c>
      <c r="H1954" s="63">
        <v>45046</v>
      </c>
      <c r="J1954" s="1"/>
      <c r="K1954" s="1">
        <v>7.3</v>
      </c>
      <c r="L1954" s="1" t="s">
        <v>29</v>
      </c>
      <c r="M1954" s="1" t="s">
        <v>30</v>
      </c>
      <c r="N1954" s="1" t="str">
        <f t="shared" si="30"/>
        <v>Normal</v>
      </c>
    </row>
    <row r="1955" spans="1:14" x14ac:dyDescent="0.25">
      <c r="A1955" s="1" t="s">
        <v>3148</v>
      </c>
      <c r="B1955" s="1" t="s">
        <v>4829</v>
      </c>
      <c r="C1955" s="1" t="s">
        <v>93</v>
      </c>
      <c r="D1955" s="1" t="s">
        <v>16</v>
      </c>
      <c r="E1955" s="1" t="s">
        <v>17</v>
      </c>
      <c r="F1955" s="1" t="s">
        <v>129</v>
      </c>
      <c r="G1955" s="1">
        <v>195756</v>
      </c>
      <c r="H1955" s="63">
        <v>45613</v>
      </c>
      <c r="J1955" s="1"/>
      <c r="K1955" s="1">
        <v>14.5</v>
      </c>
      <c r="L1955" s="1" t="s">
        <v>96</v>
      </c>
      <c r="M1955" s="1" t="s">
        <v>42</v>
      </c>
      <c r="N1955" s="1" t="str">
        <f t="shared" si="30"/>
        <v>Normal</v>
      </c>
    </row>
    <row r="1956" spans="1:14" x14ac:dyDescent="0.25">
      <c r="A1956" s="1" t="s">
        <v>3149</v>
      </c>
      <c r="B1956" s="1" t="s">
        <v>23</v>
      </c>
      <c r="C1956" s="1" t="s">
        <v>1153</v>
      </c>
      <c r="D1956" s="1" t="s">
        <v>90</v>
      </c>
      <c r="E1956" s="1" t="s">
        <v>47</v>
      </c>
      <c r="F1956" s="1" t="s">
        <v>40</v>
      </c>
      <c r="G1956" s="1">
        <v>466743</v>
      </c>
      <c r="H1956" s="63">
        <v>45286</v>
      </c>
      <c r="I1956" s="63">
        <v>45329</v>
      </c>
      <c r="J1956" s="1">
        <v>43</v>
      </c>
      <c r="K1956" s="1">
        <v>5.9</v>
      </c>
      <c r="L1956" s="1" t="s">
        <v>49</v>
      </c>
      <c r="M1956" s="1" t="s">
        <v>21</v>
      </c>
      <c r="N1956" s="1" t="str">
        <f t="shared" si="30"/>
        <v>Normal</v>
      </c>
    </row>
    <row r="1957" spans="1:14" x14ac:dyDescent="0.25">
      <c r="A1957" s="1" t="s">
        <v>3150</v>
      </c>
      <c r="B1957" s="1" t="s">
        <v>98</v>
      </c>
      <c r="C1957" s="1" t="s">
        <v>198</v>
      </c>
      <c r="D1957" s="1" t="s">
        <v>46</v>
      </c>
      <c r="E1957" s="1" t="s">
        <v>94</v>
      </c>
      <c r="F1957" s="1" t="s">
        <v>33</v>
      </c>
      <c r="G1957" s="1">
        <v>225372</v>
      </c>
      <c r="H1957" s="63">
        <v>45590</v>
      </c>
      <c r="J1957" s="1"/>
      <c r="K1957" s="1">
        <v>1.9</v>
      </c>
      <c r="L1957" s="1" t="s">
        <v>49</v>
      </c>
      <c r="M1957" s="1" t="s">
        <v>42</v>
      </c>
      <c r="N1957" s="1" t="str">
        <f t="shared" si="30"/>
        <v>Normal</v>
      </c>
    </row>
    <row r="1958" spans="1:14" x14ac:dyDescent="0.25">
      <c r="A1958" s="1" t="s">
        <v>3151</v>
      </c>
      <c r="B1958" s="1" t="s">
        <v>80</v>
      </c>
      <c r="C1958" s="1" t="s">
        <v>401</v>
      </c>
      <c r="D1958" s="1" t="s">
        <v>90</v>
      </c>
      <c r="E1958" s="1" t="s">
        <v>72</v>
      </c>
      <c r="F1958" s="1" t="s">
        <v>129</v>
      </c>
      <c r="G1958" s="1">
        <v>272486</v>
      </c>
      <c r="H1958" s="63">
        <v>45724</v>
      </c>
      <c r="J1958" s="1"/>
      <c r="K1958" s="1">
        <v>2.2000000000000002</v>
      </c>
      <c r="L1958" s="1" t="s">
        <v>49</v>
      </c>
      <c r="M1958" s="1" t="s">
        <v>63</v>
      </c>
      <c r="N1958" s="1" t="str">
        <f t="shared" si="30"/>
        <v>Normal</v>
      </c>
    </row>
    <row r="1959" spans="1:14" x14ac:dyDescent="0.25">
      <c r="A1959" s="1" t="s">
        <v>3153</v>
      </c>
      <c r="B1959" s="1" t="s">
        <v>127</v>
      </c>
      <c r="C1959" s="1" t="s">
        <v>859</v>
      </c>
      <c r="D1959" s="1" t="s">
        <v>16</v>
      </c>
      <c r="E1959" s="1" t="s">
        <v>26</v>
      </c>
      <c r="F1959" s="1" t="s">
        <v>40</v>
      </c>
      <c r="G1959" s="1">
        <v>434226</v>
      </c>
      <c r="H1959" s="63">
        <v>45208</v>
      </c>
      <c r="I1959" s="63">
        <v>45336</v>
      </c>
      <c r="J1959" s="1">
        <v>128</v>
      </c>
      <c r="K1959" s="1">
        <v>21.6</v>
      </c>
      <c r="L1959" s="1" t="s">
        <v>96</v>
      </c>
      <c r="M1959" s="1" t="s">
        <v>21</v>
      </c>
      <c r="N1959" s="1" t="str">
        <f t="shared" si="30"/>
        <v>Normal</v>
      </c>
    </row>
    <row r="1960" spans="1:14" x14ac:dyDescent="0.25">
      <c r="A1960" s="1" t="s">
        <v>3155</v>
      </c>
      <c r="B1960" s="1" t="s">
        <v>127</v>
      </c>
      <c r="C1960" s="1" t="s">
        <v>273</v>
      </c>
      <c r="D1960" s="1" t="s">
        <v>90</v>
      </c>
      <c r="E1960" s="1" t="s">
        <v>26</v>
      </c>
      <c r="F1960" s="1" t="s">
        <v>40</v>
      </c>
      <c r="G1960" s="1">
        <v>434837</v>
      </c>
      <c r="H1960" s="63">
        <v>45215</v>
      </c>
      <c r="I1960" s="63">
        <v>45307</v>
      </c>
      <c r="J1960" s="1">
        <v>92</v>
      </c>
      <c r="K1960" s="1">
        <v>0.4</v>
      </c>
      <c r="L1960" s="1" t="s">
        <v>29</v>
      </c>
      <c r="M1960" s="1" t="s">
        <v>21</v>
      </c>
      <c r="N1960" s="1" t="str">
        <f t="shared" si="30"/>
        <v>Normal</v>
      </c>
    </row>
    <row r="1961" spans="1:14" x14ac:dyDescent="0.25">
      <c r="A1961" s="1" t="s">
        <v>3156</v>
      </c>
      <c r="B1961" s="1" t="s">
        <v>98</v>
      </c>
      <c r="C1961" s="1" t="s">
        <v>946</v>
      </c>
      <c r="D1961" s="1" t="s">
        <v>39</v>
      </c>
      <c r="E1961" s="1" t="s">
        <v>72</v>
      </c>
      <c r="F1961" s="1" t="s">
        <v>27</v>
      </c>
      <c r="G1961" s="1">
        <v>406460</v>
      </c>
      <c r="H1961" s="63">
        <v>45616</v>
      </c>
      <c r="J1961" s="1"/>
      <c r="K1961" s="1"/>
      <c r="L1961" s="1" t="s">
        <v>49</v>
      </c>
      <c r="M1961" s="1" t="s">
        <v>42</v>
      </c>
      <c r="N1961" s="1" t="str">
        <f t="shared" si="30"/>
        <v>Normal</v>
      </c>
    </row>
    <row r="1962" spans="1:14" x14ac:dyDescent="0.25">
      <c r="A1962" s="1" t="s">
        <v>3157</v>
      </c>
      <c r="B1962" s="1" t="s">
        <v>104</v>
      </c>
      <c r="C1962" s="1" t="s">
        <v>957</v>
      </c>
      <c r="D1962" s="1" t="s">
        <v>25</v>
      </c>
      <c r="E1962" s="1" t="s">
        <v>47</v>
      </c>
      <c r="F1962" s="1" t="s">
        <v>18</v>
      </c>
      <c r="G1962" s="1">
        <v>70286</v>
      </c>
      <c r="H1962" s="63">
        <v>45383</v>
      </c>
      <c r="I1962" s="63">
        <v>45556</v>
      </c>
      <c r="J1962" s="1">
        <v>173</v>
      </c>
      <c r="K1962" s="1"/>
      <c r="L1962" s="1" t="s">
        <v>96</v>
      </c>
      <c r="M1962" s="1" t="s">
        <v>107</v>
      </c>
      <c r="N1962" s="1" t="str">
        <f t="shared" si="30"/>
        <v>Normal</v>
      </c>
    </row>
    <row r="1963" spans="1:14" x14ac:dyDescent="0.25">
      <c r="A1963" s="1" t="s">
        <v>3158</v>
      </c>
      <c r="B1963" s="1" t="s">
        <v>98</v>
      </c>
      <c r="C1963" s="1" t="s">
        <v>531</v>
      </c>
      <c r="D1963" s="1" t="s">
        <v>16</v>
      </c>
      <c r="E1963" s="1" t="s">
        <v>26</v>
      </c>
      <c r="F1963" s="1" t="s">
        <v>40</v>
      </c>
      <c r="G1963" s="1">
        <v>424139</v>
      </c>
      <c r="H1963" s="63">
        <v>45138</v>
      </c>
      <c r="I1963" s="63">
        <v>45261</v>
      </c>
      <c r="J1963" s="1">
        <v>123</v>
      </c>
      <c r="K1963" s="1">
        <v>21.8</v>
      </c>
      <c r="L1963" s="1" t="s">
        <v>20</v>
      </c>
      <c r="M1963" s="1" t="s">
        <v>102</v>
      </c>
      <c r="N1963" s="1" t="str">
        <f t="shared" si="30"/>
        <v>Normal</v>
      </c>
    </row>
    <row r="1964" spans="1:14" x14ac:dyDescent="0.25">
      <c r="A1964" s="1" t="s">
        <v>3159</v>
      </c>
      <c r="B1964" s="1" t="s">
        <v>104</v>
      </c>
      <c r="C1964" s="1" t="s">
        <v>387</v>
      </c>
      <c r="D1964" s="1" t="s">
        <v>67</v>
      </c>
      <c r="E1964" s="1" t="s">
        <v>17</v>
      </c>
      <c r="F1964" s="1" t="s">
        <v>33</v>
      </c>
      <c r="G1964" s="1">
        <v>286661</v>
      </c>
      <c r="H1964" s="63">
        <v>45502</v>
      </c>
      <c r="J1964" s="1"/>
      <c r="K1964" s="1">
        <v>4.0999999999999996</v>
      </c>
      <c r="L1964" s="1" t="s">
        <v>20</v>
      </c>
      <c r="M1964" s="1" t="s">
        <v>149</v>
      </c>
      <c r="N1964" s="1" t="str">
        <f t="shared" si="30"/>
        <v>Normal</v>
      </c>
    </row>
    <row r="1965" spans="1:14" x14ac:dyDescent="0.25">
      <c r="A1965" s="1" t="s">
        <v>3160</v>
      </c>
      <c r="B1965" s="1" t="s">
        <v>127</v>
      </c>
      <c r="C1965" s="1" t="s">
        <v>76</v>
      </c>
      <c r="D1965" s="1" t="s">
        <v>25</v>
      </c>
      <c r="E1965" s="1" t="s">
        <v>77</v>
      </c>
      <c r="F1965" s="1" t="s">
        <v>18</v>
      </c>
      <c r="G1965" s="1">
        <v>123036</v>
      </c>
      <c r="H1965" s="63">
        <v>44952</v>
      </c>
      <c r="I1965" s="63">
        <v>45020</v>
      </c>
      <c r="J1965" s="1">
        <v>68</v>
      </c>
      <c r="K1965" s="1">
        <v>5.2</v>
      </c>
      <c r="L1965" s="1" t="s">
        <v>20</v>
      </c>
      <c r="M1965" s="1" t="s">
        <v>35</v>
      </c>
      <c r="N1965" s="1" t="str">
        <f t="shared" si="30"/>
        <v>Normal</v>
      </c>
    </row>
    <row r="1966" spans="1:14" x14ac:dyDescent="0.25">
      <c r="A1966" s="1" t="s">
        <v>3161</v>
      </c>
      <c r="B1966" s="1" t="s">
        <v>23</v>
      </c>
      <c r="C1966" s="1" t="s">
        <v>151</v>
      </c>
      <c r="D1966" s="1" t="s">
        <v>46</v>
      </c>
      <c r="E1966" s="1" t="s">
        <v>77</v>
      </c>
      <c r="F1966" s="1" t="s">
        <v>40</v>
      </c>
      <c r="G1966" s="1">
        <v>126317</v>
      </c>
      <c r="H1966" s="63">
        <v>45130</v>
      </c>
      <c r="I1966" s="63">
        <v>45235</v>
      </c>
      <c r="J1966" s="1">
        <v>105</v>
      </c>
      <c r="K1966" s="1">
        <v>19.5</v>
      </c>
      <c r="L1966" s="1" t="s">
        <v>96</v>
      </c>
      <c r="M1966" s="1" t="s">
        <v>102</v>
      </c>
      <c r="N1966" s="1" t="str">
        <f t="shared" si="30"/>
        <v>Normal</v>
      </c>
    </row>
    <row r="1967" spans="1:14" x14ac:dyDescent="0.25">
      <c r="A1967" s="1" t="s">
        <v>3162</v>
      </c>
      <c r="B1967" s="1" t="s">
        <v>127</v>
      </c>
      <c r="C1967" s="1" t="s">
        <v>980</v>
      </c>
      <c r="D1967" s="1" t="s">
        <v>25</v>
      </c>
      <c r="E1967" s="1" t="s">
        <v>77</v>
      </c>
      <c r="F1967" s="1" t="s">
        <v>129</v>
      </c>
      <c r="G1967" s="1">
        <v>57703</v>
      </c>
      <c r="H1967" s="63">
        <v>45277</v>
      </c>
      <c r="J1967" s="1"/>
      <c r="K1967" s="1">
        <v>8</v>
      </c>
      <c r="L1967" s="1" t="s">
        <v>96</v>
      </c>
      <c r="M1967" s="1" t="s">
        <v>21</v>
      </c>
      <c r="N1967" s="1" t="str">
        <f t="shared" si="30"/>
        <v>Normal</v>
      </c>
    </row>
    <row r="1968" spans="1:14" x14ac:dyDescent="0.25">
      <c r="A1968" s="1" t="s">
        <v>3163</v>
      </c>
      <c r="B1968" s="1" t="s">
        <v>14</v>
      </c>
      <c r="C1968" s="1" t="s">
        <v>869</v>
      </c>
      <c r="D1968" s="1" t="s">
        <v>39</v>
      </c>
      <c r="E1968" s="1" t="s">
        <v>17</v>
      </c>
      <c r="F1968" s="1" t="s">
        <v>33</v>
      </c>
      <c r="G1968" s="1">
        <v>363268</v>
      </c>
      <c r="H1968" s="63">
        <v>45647</v>
      </c>
      <c r="J1968" s="1"/>
      <c r="K1968" s="1">
        <v>7.9</v>
      </c>
      <c r="L1968" s="1" t="s">
        <v>20</v>
      </c>
      <c r="M1968" s="1" t="s">
        <v>42</v>
      </c>
      <c r="N1968" s="1" t="str">
        <f t="shared" si="30"/>
        <v>Normal</v>
      </c>
    </row>
    <row r="1969" spans="1:14" x14ac:dyDescent="0.25">
      <c r="A1969" s="1" t="s">
        <v>3165</v>
      </c>
      <c r="B1969" s="1" t="s">
        <v>84</v>
      </c>
      <c r="C1969" s="1" t="s">
        <v>119</v>
      </c>
      <c r="D1969" s="1" t="s">
        <v>46</v>
      </c>
      <c r="E1969" s="1" t="s">
        <v>94</v>
      </c>
      <c r="F1969" s="1" t="s">
        <v>27</v>
      </c>
      <c r="G1969" s="1">
        <v>498123</v>
      </c>
      <c r="H1969" s="63">
        <v>44989</v>
      </c>
      <c r="J1969" s="1"/>
      <c r="K1969" s="1"/>
      <c r="L1969" s="1" t="s">
        <v>20</v>
      </c>
      <c r="M1969" s="1" t="s">
        <v>35</v>
      </c>
      <c r="N1969" s="1" t="str">
        <f t="shared" si="30"/>
        <v>Normal</v>
      </c>
    </row>
    <row r="1970" spans="1:14" x14ac:dyDescent="0.25">
      <c r="A1970" s="1" t="s">
        <v>3166</v>
      </c>
      <c r="B1970" s="1" t="s">
        <v>98</v>
      </c>
      <c r="C1970" s="1" t="s">
        <v>1064</v>
      </c>
      <c r="D1970" s="1" t="s">
        <v>46</v>
      </c>
      <c r="E1970" s="1" t="s">
        <v>77</v>
      </c>
      <c r="F1970" s="1" t="s">
        <v>53</v>
      </c>
      <c r="G1970" s="1">
        <v>386847</v>
      </c>
      <c r="H1970" s="63">
        <v>45024</v>
      </c>
      <c r="J1970" s="1"/>
      <c r="K1970" s="1">
        <v>12.9</v>
      </c>
      <c r="L1970" s="1" t="s">
        <v>29</v>
      </c>
      <c r="M1970" s="1" t="s">
        <v>30</v>
      </c>
      <c r="N1970" s="1" t="str">
        <f t="shared" si="30"/>
        <v>Normal</v>
      </c>
    </row>
    <row r="1971" spans="1:14" x14ac:dyDescent="0.25">
      <c r="A1971" s="1" t="s">
        <v>3167</v>
      </c>
      <c r="B1971" s="1" t="s">
        <v>98</v>
      </c>
      <c r="C1971" s="1" t="s">
        <v>132</v>
      </c>
      <c r="D1971" s="1" t="s">
        <v>16</v>
      </c>
      <c r="E1971" s="1" t="s">
        <v>72</v>
      </c>
      <c r="F1971" s="1" t="s">
        <v>18</v>
      </c>
      <c r="G1971" s="1">
        <v>464348</v>
      </c>
      <c r="H1971" s="63">
        <v>45362</v>
      </c>
      <c r="I1971" s="63">
        <v>45499</v>
      </c>
      <c r="J1971" s="1">
        <v>137</v>
      </c>
      <c r="K1971" s="1"/>
      <c r="L1971" s="1" t="s">
        <v>96</v>
      </c>
      <c r="M1971" s="1" t="s">
        <v>69</v>
      </c>
      <c r="N1971" s="1" t="str">
        <f t="shared" si="30"/>
        <v>Normal</v>
      </c>
    </row>
    <row r="1972" spans="1:14" x14ac:dyDescent="0.25">
      <c r="A1972" s="1" t="s">
        <v>3168</v>
      </c>
      <c r="B1972" s="1" t="s">
        <v>127</v>
      </c>
      <c r="C1972" s="1" t="s">
        <v>778</v>
      </c>
      <c r="D1972" s="1" t="s">
        <v>90</v>
      </c>
      <c r="E1972" s="1" t="s">
        <v>26</v>
      </c>
      <c r="F1972" s="1" t="s">
        <v>40</v>
      </c>
      <c r="G1972" s="1">
        <v>204810</v>
      </c>
      <c r="H1972" s="63">
        <v>45267</v>
      </c>
      <c r="I1972" s="63">
        <v>45410</v>
      </c>
      <c r="J1972" s="1">
        <v>143</v>
      </c>
      <c r="K1972" s="1">
        <v>17.399999999999999</v>
      </c>
      <c r="L1972" s="1" t="s">
        <v>29</v>
      </c>
      <c r="M1972" s="1" t="s">
        <v>21</v>
      </c>
      <c r="N1972" s="1" t="str">
        <f t="shared" si="30"/>
        <v>Normal</v>
      </c>
    </row>
    <row r="1973" spans="1:14" x14ac:dyDescent="0.25">
      <c r="A1973" s="1" t="s">
        <v>3169</v>
      </c>
      <c r="B1973" s="1" t="s">
        <v>23</v>
      </c>
      <c r="C1973" s="1" t="s">
        <v>561</v>
      </c>
      <c r="D1973" s="1" t="s">
        <v>90</v>
      </c>
      <c r="E1973" s="1" t="s">
        <v>4845</v>
      </c>
      <c r="F1973" s="1" t="s">
        <v>40</v>
      </c>
      <c r="G1973" s="1">
        <v>341518</v>
      </c>
      <c r="H1973" s="63">
        <v>45322</v>
      </c>
      <c r="I1973" s="63">
        <v>45412</v>
      </c>
      <c r="J1973" s="1">
        <v>90</v>
      </c>
      <c r="K1973" s="1">
        <v>13.9</v>
      </c>
      <c r="L1973" s="1" t="s">
        <v>49</v>
      </c>
      <c r="M1973" s="1" t="s">
        <v>69</v>
      </c>
      <c r="N1973" s="1" t="str">
        <f t="shared" si="30"/>
        <v>Normal</v>
      </c>
    </row>
    <row r="1974" spans="1:14" x14ac:dyDescent="0.25">
      <c r="A1974" s="1" t="s">
        <v>3171</v>
      </c>
      <c r="B1974" s="1" t="s">
        <v>23</v>
      </c>
      <c r="C1974" s="1" t="s">
        <v>1283</v>
      </c>
      <c r="D1974" s="1" t="s">
        <v>25</v>
      </c>
      <c r="E1974" s="1" t="s">
        <v>61</v>
      </c>
      <c r="F1974" s="1" t="s">
        <v>129</v>
      </c>
      <c r="G1974" s="1">
        <v>268469</v>
      </c>
      <c r="H1974" s="63">
        <v>45535</v>
      </c>
      <c r="J1974" s="1"/>
      <c r="K1974" s="1">
        <v>14.3</v>
      </c>
      <c r="L1974" s="1" t="s">
        <v>20</v>
      </c>
      <c r="M1974" s="1" t="s">
        <v>149</v>
      </c>
      <c r="N1974" s="1" t="str">
        <f t="shared" si="30"/>
        <v>Normal</v>
      </c>
    </row>
    <row r="1975" spans="1:14" x14ac:dyDescent="0.25">
      <c r="A1975" s="1" t="s">
        <v>3172</v>
      </c>
      <c r="B1975" s="1" t="s">
        <v>65</v>
      </c>
      <c r="C1975" s="1" t="s">
        <v>89</v>
      </c>
      <c r="D1975" s="1" t="s">
        <v>16</v>
      </c>
      <c r="E1975" s="1" t="s">
        <v>17</v>
      </c>
      <c r="F1975" s="1" t="s">
        <v>53</v>
      </c>
      <c r="G1975" s="1">
        <v>430859</v>
      </c>
      <c r="H1975" s="63">
        <v>44974</v>
      </c>
      <c r="J1975" s="1"/>
      <c r="K1975" s="1">
        <v>14.9</v>
      </c>
      <c r="L1975" s="1" t="s">
        <v>96</v>
      </c>
      <c r="M1975" s="1" t="s">
        <v>35</v>
      </c>
      <c r="N1975" s="1" t="str">
        <f t="shared" si="30"/>
        <v>Normal</v>
      </c>
    </row>
    <row r="1976" spans="1:14" x14ac:dyDescent="0.25">
      <c r="A1976" s="1" t="s">
        <v>3173</v>
      </c>
      <c r="B1976" s="1" t="s">
        <v>173</v>
      </c>
      <c r="C1976" s="1" t="s">
        <v>732</v>
      </c>
      <c r="D1976" s="1" t="s">
        <v>46</v>
      </c>
      <c r="E1976" s="1" t="s">
        <v>100</v>
      </c>
      <c r="F1976" s="1" t="s">
        <v>40</v>
      </c>
      <c r="G1976" s="1">
        <v>16352</v>
      </c>
      <c r="H1976" s="63">
        <v>45370</v>
      </c>
      <c r="I1976" s="63">
        <v>45548</v>
      </c>
      <c r="J1976" s="1">
        <v>178</v>
      </c>
      <c r="K1976" s="1">
        <v>15.2</v>
      </c>
      <c r="L1976" s="1" t="s">
        <v>20</v>
      </c>
      <c r="M1976" s="1" t="s">
        <v>69</v>
      </c>
      <c r="N1976" s="1" t="str">
        <f t="shared" si="30"/>
        <v>Normal</v>
      </c>
    </row>
    <row r="1977" spans="1:14" x14ac:dyDescent="0.25">
      <c r="A1977" s="1" t="s">
        <v>3174</v>
      </c>
      <c r="B1977" s="1" t="s">
        <v>80</v>
      </c>
      <c r="C1977" s="1" t="s">
        <v>85</v>
      </c>
      <c r="D1977" s="1" t="s">
        <v>90</v>
      </c>
      <c r="E1977" s="1" t="s">
        <v>77</v>
      </c>
      <c r="F1977" s="1" t="s">
        <v>53</v>
      </c>
      <c r="G1977" s="1">
        <v>41830</v>
      </c>
      <c r="H1977" s="63">
        <v>44975</v>
      </c>
      <c r="J1977" s="1"/>
      <c r="K1977" s="1">
        <v>13.9</v>
      </c>
      <c r="L1977" s="1" t="s">
        <v>49</v>
      </c>
      <c r="M1977" s="1" t="s">
        <v>35</v>
      </c>
      <c r="N1977" s="1" t="str">
        <f t="shared" si="30"/>
        <v>Normal</v>
      </c>
    </row>
    <row r="1978" spans="1:14" x14ac:dyDescent="0.25">
      <c r="A1978" s="1" t="s">
        <v>3175</v>
      </c>
      <c r="B1978" s="1" t="s">
        <v>65</v>
      </c>
      <c r="C1978" s="1" t="s">
        <v>162</v>
      </c>
      <c r="D1978" s="1" t="s">
        <v>67</v>
      </c>
      <c r="E1978" s="1" t="s">
        <v>100</v>
      </c>
      <c r="F1978" s="1" t="s">
        <v>129</v>
      </c>
      <c r="G1978" s="1">
        <v>90110</v>
      </c>
      <c r="H1978" s="63">
        <v>45106</v>
      </c>
      <c r="J1978" s="1"/>
      <c r="K1978" s="1">
        <v>3.9</v>
      </c>
      <c r="L1978" s="1" t="s">
        <v>20</v>
      </c>
      <c r="M1978" s="1" t="s">
        <v>30</v>
      </c>
      <c r="N1978" s="1" t="str">
        <f t="shared" si="30"/>
        <v>Normal</v>
      </c>
    </row>
    <row r="1979" spans="1:14" x14ac:dyDescent="0.25">
      <c r="A1979" s="1" t="s">
        <v>3176</v>
      </c>
      <c r="B1979" s="1" t="s">
        <v>84</v>
      </c>
      <c r="C1979" s="1" t="s">
        <v>346</v>
      </c>
      <c r="D1979" s="1" t="s">
        <v>16</v>
      </c>
      <c r="E1979" s="1" t="s">
        <v>61</v>
      </c>
      <c r="F1979" s="1" t="s">
        <v>33</v>
      </c>
      <c r="G1979" s="1">
        <v>85303</v>
      </c>
      <c r="H1979" s="63">
        <v>45102</v>
      </c>
      <c r="J1979" s="1"/>
      <c r="K1979" s="1">
        <v>2.7</v>
      </c>
      <c r="L1979" s="1" t="s">
        <v>49</v>
      </c>
      <c r="M1979" s="1" t="s">
        <v>30</v>
      </c>
      <c r="N1979" s="1" t="str">
        <f t="shared" si="30"/>
        <v>Normal</v>
      </c>
    </row>
    <row r="1980" spans="1:14" x14ac:dyDescent="0.25">
      <c r="A1980" s="1" t="s">
        <v>3177</v>
      </c>
      <c r="B1980" s="1" t="s">
        <v>65</v>
      </c>
      <c r="C1980" s="1" t="s">
        <v>1050</v>
      </c>
      <c r="D1980" s="1" t="s">
        <v>16</v>
      </c>
      <c r="E1980" s="1" t="s">
        <v>26</v>
      </c>
      <c r="F1980" s="1" t="s">
        <v>33</v>
      </c>
      <c r="G1980" s="1">
        <v>318856</v>
      </c>
      <c r="H1980" s="63">
        <v>45517</v>
      </c>
      <c r="J1980" s="1"/>
      <c r="K1980" s="1"/>
      <c r="L1980" s="1" t="s">
        <v>49</v>
      </c>
      <c r="M1980" s="1" t="s">
        <v>149</v>
      </c>
      <c r="N1980" s="1" t="str">
        <f t="shared" si="30"/>
        <v>Normal</v>
      </c>
    </row>
    <row r="1981" spans="1:14" x14ac:dyDescent="0.25">
      <c r="A1981" s="1" t="s">
        <v>3178</v>
      </c>
      <c r="B1981" s="1" t="s">
        <v>98</v>
      </c>
      <c r="C1981" s="1" t="s">
        <v>237</v>
      </c>
      <c r="D1981" s="1" t="s">
        <v>46</v>
      </c>
      <c r="E1981" s="1" t="s">
        <v>26</v>
      </c>
      <c r="F1981" s="1" t="s">
        <v>40</v>
      </c>
      <c r="G1981" s="1">
        <v>210605</v>
      </c>
      <c r="H1981" s="63">
        <v>45743</v>
      </c>
      <c r="I1981" s="63">
        <v>45919</v>
      </c>
      <c r="J1981" s="1">
        <v>176</v>
      </c>
      <c r="K1981" s="1">
        <v>7.4</v>
      </c>
      <c r="L1981" s="1" t="s">
        <v>29</v>
      </c>
      <c r="M1981" s="1" t="s">
        <v>63</v>
      </c>
      <c r="N1981" s="1" t="str">
        <f t="shared" si="30"/>
        <v>Normal</v>
      </c>
    </row>
    <row r="1982" spans="1:14" x14ac:dyDescent="0.25">
      <c r="A1982" s="1" t="s">
        <v>3180</v>
      </c>
      <c r="B1982" s="1" t="s">
        <v>37</v>
      </c>
      <c r="C1982" s="1" t="s">
        <v>539</v>
      </c>
      <c r="D1982" s="1" t="s">
        <v>39</v>
      </c>
      <c r="E1982" s="1" t="s">
        <v>100</v>
      </c>
      <c r="F1982" s="1" t="s">
        <v>53</v>
      </c>
      <c r="G1982" s="1">
        <v>42059</v>
      </c>
      <c r="H1982" s="63">
        <v>45604</v>
      </c>
      <c r="J1982" s="1"/>
      <c r="K1982" s="1">
        <v>14.2</v>
      </c>
      <c r="L1982" s="1" t="s">
        <v>29</v>
      </c>
      <c r="M1982" s="1" t="s">
        <v>42</v>
      </c>
      <c r="N1982" s="1" t="str">
        <f t="shared" si="30"/>
        <v>Normal</v>
      </c>
    </row>
    <row r="1983" spans="1:14" x14ac:dyDescent="0.25">
      <c r="A1983" s="1" t="s">
        <v>3181</v>
      </c>
      <c r="B1983" s="1" t="s">
        <v>88</v>
      </c>
      <c r="C1983" s="1" t="s">
        <v>775</v>
      </c>
      <c r="D1983" s="1" t="s">
        <v>16</v>
      </c>
      <c r="E1983" s="1" t="s">
        <v>61</v>
      </c>
      <c r="F1983" s="1" t="s">
        <v>18</v>
      </c>
      <c r="G1983" s="1">
        <v>197562</v>
      </c>
      <c r="H1983" s="63">
        <v>45442</v>
      </c>
      <c r="I1983" s="63">
        <v>45510</v>
      </c>
      <c r="J1983" s="1">
        <v>68</v>
      </c>
      <c r="K1983" s="1">
        <v>10.6</v>
      </c>
      <c r="L1983" s="1" t="s">
        <v>96</v>
      </c>
      <c r="M1983" s="1" t="s">
        <v>107</v>
      </c>
      <c r="N1983" s="1" t="str">
        <f t="shared" si="30"/>
        <v>Normal</v>
      </c>
    </row>
    <row r="1984" spans="1:14" x14ac:dyDescent="0.25">
      <c r="A1984" s="1" t="s">
        <v>3182</v>
      </c>
      <c r="B1984" s="1" t="s">
        <v>127</v>
      </c>
      <c r="C1984" s="1" t="s">
        <v>423</v>
      </c>
      <c r="D1984" s="1" t="s">
        <v>25</v>
      </c>
      <c r="E1984" s="1" t="s">
        <v>26</v>
      </c>
      <c r="F1984" s="1" t="s">
        <v>53</v>
      </c>
      <c r="G1984" s="1">
        <v>31049</v>
      </c>
      <c r="H1984" s="63">
        <v>44938</v>
      </c>
      <c r="J1984" s="1"/>
      <c r="K1984" s="1"/>
      <c r="L1984" s="1" t="s">
        <v>29</v>
      </c>
      <c r="M1984" s="1" t="s">
        <v>35</v>
      </c>
      <c r="N1984" s="1" t="str">
        <f t="shared" si="30"/>
        <v>Normal</v>
      </c>
    </row>
    <row r="1985" spans="1:14" x14ac:dyDescent="0.25">
      <c r="A1985" s="1" t="s">
        <v>3183</v>
      </c>
      <c r="B1985" s="1" t="s">
        <v>84</v>
      </c>
      <c r="C1985" s="1" t="s">
        <v>247</v>
      </c>
      <c r="D1985" s="1" t="s">
        <v>25</v>
      </c>
      <c r="E1985" s="1" t="s">
        <v>26</v>
      </c>
      <c r="F1985" s="1" t="s">
        <v>18</v>
      </c>
      <c r="G1985" s="1">
        <v>199388</v>
      </c>
      <c r="H1985" s="63">
        <v>45383</v>
      </c>
      <c r="I1985" s="63">
        <v>45452</v>
      </c>
      <c r="J1985" s="1">
        <v>69</v>
      </c>
      <c r="K1985" s="1">
        <v>7</v>
      </c>
      <c r="L1985" s="1" t="s">
        <v>49</v>
      </c>
      <c r="M1985" s="1" t="s">
        <v>107</v>
      </c>
      <c r="N1985" s="1" t="str">
        <f t="shared" si="30"/>
        <v>Normal</v>
      </c>
    </row>
    <row r="1986" spans="1:14" x14ac:dyDescent="0.25">
      <c r="A1986" s="1" t="s">
        <v>3184</v>
      </c>
      <c r="B1986" s="1" t="s">
        <v>65</v>
      </c>
      <c r="C1986" s="1" t="s">
        <v>518</v>
      </c>
      <c r="D1986" s="1" t="s">
        <v>67</v>
      </c>
      <c r="E1986" s="1" t="s">
        <v>26</v>
      </c>
      <c r="F1986" s="1" t="s">
        <v>18</v>
      </c>
      <c r="G1986" s="1">
        <v>39968</v>
      </c>
      <c r="H1986" s="63">
        <v>45405</v>
      </c>
      <c r="I1986" s="63">
        <v>45558</v>
      </c>
      <c r="J1986" s="1">
        <v>153</v>
      </c>
      <c r="K1986" s="1"/>
      <c r="L1986" s="1" t="s">
        <v>49</v>
      </c>
      <c r="M1986" s="1" t="s">
        <v>107</v>
      </c>
      <c r="N1986" s="1" t="str">
        <f t="shared" ref="N1986:N2049" si="31">IF(G1986&gt;$R$5,"High Outlier",IF(G1986&lt;$R$6,"Low Outlier","Normal"))</f>
        <v>Normal</v>
      </c>
    </row>
    <row r="1987" spans="1:14" x14ac:dyDescent="0.25">
      <c r="A1987" s="1" t="s">
        <v>3185</v>
      </c>
      <c r="B1987" s="1" t="s">
        <v>98</v>
      </c>
      <c r="C1987" s="1" t="s">
        <v>1299</v>
      </c>
      <c r="D1987" s="1" t="s">
        <v>39</v>
      </c>
      <c r="E1987" s="1" t="s">
        <v>47</v>
      </c>
      <c r="F1987" s="1" t="s">
        <v>53</v>
      </c>
      <c r="G1987" s="1">
        <v>85457</v>
      </c>
      <c r="H1987" s="63">
        <v>45593</v>
      </c>
      <c r="J1987" s="1"/>
      <c r="K1987" s="1">
        <v>5.7</v>
      </c>
      <c r="L1987" s="1" t="s">
        <v>29</v>
      </c>
      <c r="M1987" s="1" t="s">
        <v>42</v>
      </c>
      <c r="N1987" s="1" t="str">
        <f t="shared" si="31"/>
        <v>Normal</v>
      </c>
    </row>
    <row r="1988" spans="1:14" x14ac:dyDescent="0.25">
      <c r="A1988" s="1" t="s">
        <v>3187</v>
      </c>
      <c r="B1988" s="1" t="s">
        <v>14</v>
      </c>
      <c r="C1988" s="1" t="s">
        <v>300</v>
      </c>
      <c r="D1988" s="1" t="s">
        <v>46</v>
      </c>
      <c r="E1988" s="1" t="s">
        <v>72</v>
      </c>
      <c r="F1988" s="1" t="s">
        <v>33</v>
      </c>
      <c r="G1988" s="1">
        <v>61413</v>
      </c>
      <c r="H1988" s="63">
        <v>45349</v>
      </c>
      <c r="J1988" s="1"/>
      <c r="K1988" s="1">
        <v>13</v>
      </c>
      <c r="L1988" s="1" t="s">
        <v>29</v>
      </c>
      <c r="M1988" s="1" t="s">
        <v>69</v>
      </c>
      <c r="N1988" s="1" t="str">
        <f t="shared" si="31"/>
        <v>Normal</v>
      </c>
    </row>
    <row r="1989" spans="1:14" x14ac:dyDescent="0.25">
      <c r="A1989" s="1" t="s">
        <v>3189</v>
      </c>
      <c r="B1989" s="1" t="s">
        <v>65</v>
      </c>
      <c r="C1989" s="1" t="s">
        <v>144</v>
      </c>
      <c r="D1989" s="1" t="s">
        <v>90</v>
      </c>
      <c r="E1989" s="1" t="s">
        <v>17</v>
      </c>
      <c r="F1989" s="1" t="s">
        <v>53</v>
      </c>
      <c r="G1989" s="1">
        <v>217805</v>
      </c>
      <c r="H1989" s="63">
        <v>45377</v>
      </c>
      <c r="J1989" s="1"/>
      <c r="K1989" s="1"/>
      <c r="L1989" s="1" t="s">
        <v>20</v>
      </c>
      <c r="M1989" s="1" t="s">
        <v>69</v>
      </c>
      <c r="N1989" s="1" t="str">
        <f t="shared" si="31"/>
        <v>Normal</v>
      </c>
    </row>
    <row r="1990" spans="1:14" x14ac:dyDescent="0.25">
      <c r="A1990" s="1" t="s">
        <v>3190</v>
      </c>
      <c r="B1990" s="1" t="s">
        <v>65</v>
      </c>
      <c r="C1990" s="1" t="s">
        <v>247</v>
      </c>
      <c r="D1990" s="1" t="s">
        <v>25</v>
      </c>
      <c r="E1990" s="1" t="s">
        <v>47</v>
      </c>
      <c r="F1990" s="1" t="s">
        <v>53</v>
      </c>
      <c r="G1990" s="1">
        <v>170449</v>
      </c>
      <c r="H1990" s="63">
        <v>45605</v>
      </c>
      <c r="J1990" s="1"/>
      <c r="K1990" s="1">
        <v>11.7</v>
      </c>
      <c r="L1990" s="1" t="s">
        <v>49</v>
      </c>
      <c r="M1990" s="1" t="s">
        <v>42</v>
      </c>
      <c r="N1990" s="1" t="str">
        <f t="shared" si="31"/>
        <v>Normal</v>
      </c>
    </row>
    <row r="1991" spans="1:14" x14ac:dyDescent="0.25">
      <c r="A1991" s="1" t="s">
        <v>3191</v>
      </c>
      <c r="B1991" s="1" t="s">
        <v>37</v>
      </c>
      <c r="C1991" s="1" t="s">
        <v>264</v>
      </c>
      <c r="D1991" s="1" t="s">
        <v>39</v>
      </c>
      <c r="E1991" s="1" t="s">
        <v>26</v>
      </c>
      <c r="F1991" s="1" t="s">
        <v>40</v>
      </c>
      <c r="G1991" s="1">
        <v>291180</v>
      </c>
      <c r="H1991" s="63">
        <v>45588</v>
      </c>
      <c r="I1991" s="63">
        <v>45651</v>
      </c>
      <c r="J1991" s="1">
        <v>63</v>
      </c>
      <c r="K1991" s="1">
        <v>14.9</v>
      </c>
      <c r="L1991" s="1" t="s">
        <v>96</v>
      </c>
      <c r="M1991" s="1" t="s">
        <v>42</v>
      </c>
      <c r="N1991" s="1" t="str">
        <f t="shared" si="31"/>
        <v>Normal</v>
      </c>
    </row>
    <row r="1992" spans="1:14" x14ac:dyDescent="0.25">
      <c r="A1992" s="1" t="s">
        <v>3193</v>
      </c>
      <c r="B1992" s="1" t="s">
        <v>84</v>
      </c>
      <c r="C1992" s="1" t="s">
        <v>676</v>
      </c>
      <c r="D1992" s="1" t="s">
        <v>25</v>
      </c>
      <c r="E1992" s="1" t="s">
        <v>61</v>
      </c>
      <c r="F1992" s="1" t="s">
        <v>129</v>
      </c>
      <c r="G1992" s="1">
        <v>434455</v>
      </c>
      <c r="H1992" s="63">
        <v>45108</v>
      </c>
      <c r="J1992" s="1"/>
      <c r="K1992" s="1">
        <v>11.5</v>
      </c>
      <c r="L1992" s="1" t="s">
        <v>96</v>
      </c>
      <c r="M1992" s="1" t="s">
        <v>102</v>
      </c>
      <c r="N1992" s="1" t="str">
        <f t="shared" si="31"/>
        <v>Normal</v>
      </c>
    </row>
    <row r="1993" spans="1:14" x14ac:dyDescent="0.25">
      <c r="A1993" s="1" t="s">
        <v>3194</v>
      </c>
      <c r="B1993" s="1" t="s">
        <v>173</v>
      </c>
      <c r="C1993" s="1" t="s">
        <v>89</v>
      </c>
      <c r="D1993" s="1" t="s">
        <v>90</v>
      </c>
      <c r="E1993" s="1" t="s">
        <v>61</v>
      </c>
      <c r="F1993" s="1" t="s">
        <v>40</v>
      </c>
      <c r="G1993" s="1">
        <v>314085</v>
      </c>
      <c r="H1993" s="63">
        <v>44994</v>
      </c>
      <c r="I1993" s="63">
        <v>45079</v>
      </c>
      <c r="J1993" s="1">
        <v>85</v>
      </c>
      <c r="K1993" s="1">
        <v>14</v>
      </c>
      <c r="L1993" s="1" t="s">
        <v>29</v>
      </c>
      <c r="M1993" s="1" t="s">
        <v>35</v>
      </c>
      <c r="N1993" s="1" t="str">
        <f t="shared" si="31"/>
        <v>Normal</v>
      </c>
    </row>
    <row r="1994" spans="1:14" x14ac:dyDescent="0.25">
      <c r="A1994" s="1" t="s">
        <v>3195</v>
      </c>
      <c r="B1994" s="1" t="s">
        <v>37</v>
      </c>
      <c r="C1994" s="1" t="s">
        <v>1129</v>
      </c>
      <c r="D1994" s="1" t="s">
        <v>67</v>
      </c>
      <c r="E1994" s="1" t="s">
        <v>26</v>
      </c>
      <c r="F1994" s="1" t="s">
        <v>53</v>
      </c>
      <c r="G1994" s="1">
        <v>494085</v>
      </c>
      <c r="H1994" s="63">
        <v>45013</v>
      </c>
      <c r="J1994" s="1"/>
      <c r="K1994" s="1">
        <v>13.4</v>
      </c>
      <c r="L1994" s="1" t="s">
        <v>29</v>
      </c>
      <c r="M1994" s="1" t="s">
        <v>35</v>
      </c>
      <c r="N1994" s="1" t="str">
        <f t="shared" si="31"/>
        <v>Normal</v>
      </c>
    </row>
    <row r="1995" spans="1:14" x14ac:dyDescent="0.25">
      <c r="A1995" s="1" t="s">
        <v>3196</v>
      </c>
      <c r="B1995" s="1" t="s">
        <v>173</v>
      </c>
      <c r="C1995" s="1" t="s">
        <v>162</v>
      </c>
      <c r="D1995" s="1" t="s">
        <v>16</v>
      </c>
      <c r="E1995" s="1" t="s">
        <v>72</v>
      </c>
      <c r="F1995" s="1" t="s">
        <v>40</v>
      </c>
      <c r="G1995" s="1">
        <v>133874</v>
      </c>
      <c r="H1995" s="63">
        <v>45074</v>
      </c>
      <c r="I1995" s="63">
        <v>45149</v>
      </c>
      <c r="J1995" s="1">
        <v>75</v>
      </c>
      <c r="K1995" s="1">
        <v>8.1</v>
      </c>
      <c r="L1995" s="1" t="s">
        <v>49</v>
      </c>
      <c r="M1995" s="1" t="s">
        <v>30</v>
      </c>
      <c r="N1995" s="1" t="str">
        <f t="shared" si="31"/>
        <v>Normal</v>
      </c>
    </row>
    <row r="1996" spans="1:14" x14ac:dyDescent="0.25">
      <c r="A1996" s="1" t="s">
        <v>3197</v>
      </c>
      <c r="B1996" s="1" t="s">
        <v>14</v>
      </c>
      <c r="C1996" s="1" t="s">
        <v>334</v>
      </c>
      <c r="D1996" s="1" t="s">
        <v>16</v>
      </c>
      <c r="E1996" s="1" t="s">
        <v>94</v>
      </c>
      <c r="F1996" s="1" t="s">
        <v>40</v>
      </c>
      <c r="G1996" s="1">
        <v>486879</v>
      </c>
      <c r="H1996" s="63">
        <v>45539</v>
      </c>
      <c r="I1996" s="63">
        <v>45605</v>
      </c>
      <c r="J1996" s="1">
        <v>66</v>
      </c>
      <c r="K1996" s="1">
        <v>2.2000000000000002</v>
      </c>
      <c r="L1996" s="1" t="s">
        <v>96</v>
      </c>
      <c r="M1996" s="1" t="s">
        <v>149</v>
      </c>
      <c r="N1996" s="1" t="str">
        <f t="shared" si="31"/>
        <v>Normal</v>
      </c>
    </row>
    <row r="1997" spans="1:14" x14ac:dyDescent="0.25">
      <c r="A1997" s="1" t="s">
        <v>3199</v>
      </c>
      <c r="B1997" s="1" t="s">
        <v>75</v>
      </c>
      <c r="C1997" s="1" t="s">
        <v>198</v>
      </c>
      <c r="D1997" s="1" t="s">
        <v>25</v>
      </c>
      <c r="E1997" s="1" t="s">
        <v>77</v>
      </c>
      <c r="F1997" s="1" t="s">
        <v>129</v>
      </c>
      <c r="G1997" s="1">
        <v>56909</v>
      </c>
      <c r="H1997" s="63">
        <v>45386</v>
      </c>
      <c r="J1997" s="1"/>
      <c r="K1997" s="1">
        <v>2.4</v>
      </c>
      <c r="L1997" s="1" t="s">
        <v>49</v>
      </c>
      <c r="M1997" s="1" t="s">
        <v>107</v>
      </c>
      <c r="N1997" s="1" t="str">
        <f t="shared" si="31"/>
        <v>Normal</v>
      </c>
    </row>
    <row r="1998" spans="1:14" x14ac:dyDescent="0.25">
      <c r="A1998" s="1" t="s">
        <v>3201</v>
      </c>
      <c r="B1998" s="1" t="s">
        <v>75</v>
      </c>
      <c r="C1998" s="1" t="s">
        <v>536</v>
      </c>
      <c r="D1998" s="1" t="s">
        <v>16</v>
      </c>
      <c r="E1998" s="1" t="s">
        <v>26</v>
      </c>
      <c r="F1998" s="1" t="s">
        <v>27</v>
      </c>
      <c r="G1998" s="1">
        <v>318041</v>
      </c>
      <c r="H1998" s="63">
        <v>45736</v>
      </c>
      <c r="J1998" s="1"/>
      <c r="K1998" s="1"/>
      <c r="L1998" s="1" t="s">
        <v>96</v>
      </c>
      <c r="M1998" s="1" t="s">
        <v>63</v>
      </c>
      <c r="N1998" s="1" t="str">
        <f t="shared" si="31"/>
        <v>Normal</v>
      </c>
    </row>
    <row r="1999" spans="1:14" x14ac:dyDescent="0.25">
      <c r="A1999" s="1" t="s">
        <v>3202</v>
      </c>
      <c r="B1999" s="1" t="s">
        <v>88</v>
      </c>
      <c r="C1999" s="1" t="s">
        <v>279</v>
      </c>
      <c r="D1999" s="1" t="s">
        <v>67</v>
      </c>
      <c r="E1999" s="1" t="s">
        <v>77</v>
      </c>
      <c r="F1999" s="1" t="s">
        <v>40</v>
      </c>
      <c r="G1999" s="1">
        <v>158371</v>
      </c>
      <c r="H1999" s="63">
        <v>44993</v>
      </c>
      <c r="I1999" s="63">
        <v>45127</v>
      </c>
      <c r="J1999" s="1">
        <v>134</v>
      </c>
      <c r="K1999" s="1">
        <v>14.9</v>
      </c>
      <c r="L1999" s="1" t="s">
        <v>49</v>
      </c>
      <c r="M1999" s="1" t="s">
        <v>35</v>
      </c>
      <c r="N1999" s="1" t="str">
        <f t="shared" si="31"/>
        <v>Normal</v>
      </c>
    </row>
    <row r="2000" spans="1:14" x14ac:dyDescent="0.25">
      <c r="A2000" s="1" t="s">
        <v>3203</v>
      </c>
      <c r="B2000" s="1" t="s">
        <v>14</v>
      </c>
      <c r="C2000" s="1" t="s">
        <v>1157</v>
      </c>
      <c r="D2000" s="1" t="s">
        <v>46</v>
      </c>
      <c r="E2000" s="1" t="s">
        <v>26</v>
      </c>
      <c r="F2000" s="1" t="s">
        <v>33</v>
      </c>
      <c r="G2000" s="1">
        <v>338201</v>
      </c>
      <c r="H2000" s="63">
        <v>44955</v>
      </c>
      <c r="J2000" s="1"/>
      <c r="K2000" s="1">
        <v>7.2</v>
      </c>
      <c r="L2000" s="1" t="s">
        <v>49</v>
      </c>
      <c r="M2000" s="1" t="s">
        <v>35</v>
      </c>
      <c r="N2000" s="1" t="str">
        <f t="shared" si="31"/>
        <v>Normal</v>
      </c>
    </row>
    <row r="2001" spans="1:14" x14ac:dyDescent="0.25">
      <c r="A2001" s="1" t="s">
        <v>3204</v>
      </c>
      <c r="B2001" s="1" t="s">
        <v>84</v>
      </c>
      <c r="C2001" s="1" t="s">
        <v>967</v>
      </c>
      <c r="D2001" s="1" t="s">
        <v>16</v>
      </c>
      <c r="E2001" s="1" t="s">
        <v>26</v>
      </c>
      <c r="F2001" s="1" t="s">
        <v>33</v>
      </c>
      <c r="G2001" s="1">
        <v>488205</v>
      </c>
      <c r="H2001" s="63">
        <v>44976</v>
      </c>
      <c r="J2001" s="1"/>
      <c r="K2001" s="1">
        <v>4.3</v>
      </c>
      <c r="L2001" s="1" t="s">
        <v>96</v>
      </c>
      <c r="M2001" s="1" t="s">
        <v>35</v>
      </c>
      <c r="N2001" s="1" t="str">
        <f t="shared" si="31"/>
        <v>Normal</v>
      </c>
    </row>
    <row r="2002" spans="1:14" x14ac:dyDescent="0.25">
      <c r="A2002" s="1" t="s">
        <v>3206</v>
      </c>
      <c r="B2002" s="1" t="s">
        <v>14</v>
      </c>
      <c r="C2002" s="1" t="s">
        <v>2503</v>
      </c>
      <c r="D2002" s="1" t="s">
        <v>67</v>
      </c>
      <c r="E2002" s="1" t="s">
        <v>100</v>
      </c>
      <c r="F2002" s="1" t="s">
        <v>53</v>
      </c>
      <c r="G2002" s="1">
        <v>132275</v>
      </c>
      <c r="H2002" s="63">
        <v>45128</v>
      </c>
      <c r="J2002" s="1"/>
      <c r="K2002" s="1">
        <v>10.199999999999999</v>
      </c>
      <c r="L2002" s="1" t="s">
        <v>29</v>
      </c>
      <c r="M2002" s="1" t="s">
        <v>102</v>
      </c>
      <c r="N2002" s="1" t="str">
        <f t="shared" si="31"/>
        <v>Normal</v>
      </c>
    </row>
    <row r="2003" spans="1:14" x14ac:dyDescent="0.25">
      <c r="A2003" s="1" t="s">
        <v>3207</v>
      </c>
      <c r="B2003" s="1" t="s">
        <v>104</v>
      </c>
      <c r="C2003" s="1" t="s">
        <v>1057</v>
      </c>
      <c r="D2003" s="1" t="s">
        <v>67</v>
      </c>
      <c r="E2003" s="1" t="s">
        <v>100</v>
      </c>
      <c r="F2003" s="1" t="s">
        <v>129</v>
      </c>
      <c r="G2003" s="1">
        <v>232094</v>
      </c>
      <c r="H2003" s="63">
        <v>45494</v>
      </c>
      <c r="J2003" s="1"/>
      <c r="K2003" s="1"/>
      <c r="L2003" s="1" t="s">
        <v>29</v>
      </c>
      <c r="M2003" s="1" t="s">
        <v>149</v>
      </c>
      <c r="N2003" s="1" t="str">
        <f t="shared" si="31"/>
        <v>Normal</v>
      </c>
    </row>
    <row r="2004" spans="1:14" x14ac:dyDescent="0.25">
      <c r="A2004" s="1" t="s">
        <v>3208</v>
      </c>
      <c r="B2004" s="1" t="s">
        <v>59</v>
      </c>
      <c r="C2004" s="1" t="s">
        <v>398</v>
      </c>
      <c r="D2004" s="1" t="s">
        <v>25</v>
      </c>
      <c r="E2004" s="1" t="s">
        <v>26</v>
      </c>
      <c r="F2004" s="1" t="s">
        <v>53</v>
      </c>
      <c r="G2004" s="1">
        <v>176481</v>
      </c>
      <c r="H2004" s="63">
        <v>45705</v>
      </c>
      <c r="J2004" s="1"/>
      <c r="K2004" s="1">
        <v>0.6</v>
      </c>
      <c r="L2004" s="1" t="s">
        <v>20</v>
      </c>
      <c r="M2004" s="1" t="s">
        <v>63</v>
      </c>
      <c r="N2004" s="1" t="str">
        <f t="shared" si="31"/>
        <v>Normal</v>
      </c>
    </row>
    <row r="2005" spans="1:14" x14ac:dyDescent="0.25">
      <c r="A2005" s="1" t="s">
        <v>3210</v>
      </c>
      <c r="B2005" s="1" t="s">
        <v>98</v>
      </c>
      <c r="C2005" s="1" t="s">
        <v>213</v>
      </c>
      <c r="D2005" s="1" t="s">
        <v>46</v>
      </c>
      <c r="E2005" s="1" t="s">
        <v>17</v>
      </c>
      <c r="F2005" s="1" t="s">
        <v>129</v>
      </c>
      <c r="G2005" s="1">
        <v>322718</v>
      </c>
      <c r="H2005" s="63">
        <v>45222</v>
      </c>
      <c r="J2005" s="1"/>
      <c r="K2005" s="1"/>
      <c r="L2005" s="1" t="s">
        <v>20</v>
      </c>
      <c r="M2005" s="1" t="s">
        <v>21</v>
      </c>
      <c r="N2005" s="1" t="str">
        <f t="shared" si="31"/>
        <v>Normal</v>
      </c>
    </row>
    <row r="2006" spans="1:14" x14ac:dyDescent="0.25">
      <c r="A2006" s="1" t="s">
        <v>3211</v>
      </c>
      <c r="B2006" s="1" t="s">
        <v>84</v>
      </c>
      <c r="C2006" s="1" t="s">
        <v>1064</v>
      </c>
      <c r="D2006" s="1" t="s">
        <v>39</v>
      </c>
      <c r="E2006" s="1" t="s">
        <v>17</v>
      </c>
      <c r="F2006" s="1" t="s">
        <v>40</v>
      </c>
      <c r="G2006" s="1">
        <v>15874</v>
      </c>
      <c r="H2006" s="63">
        <v>45111</v>
      </c>
      <c r="I2006" s="63">
        <v>45204</v>
      </c>
      <c r="J2006" s="1">
        <v>93</v>
      </c>
      <c r="K2006" s="1">
        <v>4.3</v>
      </c>
      <c r="L2006" s="1" t="s">
        <v>29</v>
      </c>
      <c r="M2006" s="1" t="s">
        <v>102</v>
      </c>
      <c r="N2006" s="1" t="str">
        <f t="shared" si="31"/>
        <v>Normal</v>
      </c>
    </row>
    <row r="2007" spans="1:14" x14ac:dyDescent="0.25">
      <c r="A2007" s="1" t="s">
        <v>3212</v>
      </c>
      <c r="B2007" s="1" t="s">
        <v>37</v>
      </c>
      <c r="C2007" s="1" t="s">
        <v>1558</v>
      </c>
      <c r="D2007" s="1" t="s">
        <v>16</v>
      </c>
      <c r="E2007" s="1" t="s">
        <v>47</v>
      </c>
      <c r="F2007" s="1" t="s">
        <v>129</v>
      </c>
      <c r="G2007" s="1">
        <v>342318</v>
      </c>
      <c r="H2007" s="63">
        <v>45457</v>
      </c>
      <c r="J2007" s="1"/>
      <c r="K2007" s="1"/>
      <c r="L2007" s="1" t="s">
        <v>96</v>
      </c>
      <c r="M2007" s="1" t="s">
        <v>107</v>
      </c>
      <c r="N2007" s="1" t="str">
        <f t="shared" si="31"/>
        <v>Normal</v>
      </c>
    </row>
    <row r="2008" spans="1:14" x14ac:dyDescent="0.25">
      <c r="A2008" s="1" t="s">
        <v>3213</v>
      </c>
      <c r="B2008" s="1" t="s">
        <v>127</v>
      </c>
      <c r="C2008" s="1" t="s">
        <v>276</v>
      </c>
      <c r="D2008" s="1" t="s">
        <v>39</v>
      </c>
      <c r="E2008" s="1" t="s">
        <v>77</v>
      </c>
      <c r="F2008" s="1" t="s">
        <v>53</v>
      </c>
      <c r="G2008" s="1">
        <v>403505</v>
      </c>
      <c r="H2008" s="63">
        <v>44952</v>
      </c>
      <c r="J2008" s="1"/>
      <c r="K2008" s="1">
        <v>13.1</v>
      </c>
      <c r="L2008" s="1" t="s">
        <v>20</v>
      </c>
      <c r="M2008" s="1" t="s">
        <v>35</v>
      </c>
      <c r="N2008" s="1" t="str">
        <f t="shared" si="31"/>
        <v>Normal</v>
      </c>
    </row>
    <row r="2009" spans="1:14" x14ac:dyDescent="0.25">
      <c r="A2009" s="1" t="s">
        <v>3214</v>
      </c>
      <c r="B2009" s="1" t="s">
        <v>44</v>
      </c>
      <c r="C2009" s="1" t="s">
        <v>328</v>
      </c>
      <c r="D2009" s="1" t="s">
        <v>90</v>
      </c>
      <c r="E2009" s="1" t="s">
        <v>61</v>
      </c>
      <c r="F2009" s="1" t="s">
        <v>33</v>
      </c>
      <c r="G2009" s="1">
        <v>320554</v>
      </c>
      <c r="H2009" s="63">
        <v>45663</v>
      </c>
      <c r="J2009" s="1"/>
      <c r="K2009" s="1">
        <v>9</v>
      </c>
      <c r="L2009" s="1" t="s">
        <v>96</v>
      </c>
      <c r="M2009" s="1" t="s">
        <v>63</v>
      </c>
      <c r="N2009" s="1" t="str">
        <f t="shared" si="31"/>
        <v>Normal</v>
      </c>
    </row>
    <row r="2010" spans="1:14" x14ac:dyDescent="0.25">
      <c r="A2010" s="1" t="s">
        <v>3215</v>
      </c>
      <c r="B2010" s="1" t="s">
        <v>14</v>
      </c>
      <c r="C2010" s="1" t="s">
        <v>696</v>
      </c>
      <c r="D2010" s="1" t="s">
        <v>46</v>
      </c>
      <c r="E2010" s="1" t="s">
        <v>47</v>
      </c>
      <c r="F2010" s="1" t="s">
        <v>18</v>
      </c>
      <c r="G2010" s="1">
        <v>202163</v>
      </c>
      <c r="H2010" s="63">
        <v>45386</v>
      </c>
      <c r="I2010" s="63">
        <v>45446</v>
      </c>
      <c r="J2010" s="1">
        <v>60</v>
      </c>
      <c r="K2010" s="1"/>
      <c r="L2010" s="1" t="s">
        <v>49</v>
      </c>
      <c r="M2010" s="1" t="s">
        <v>107</v>
      </c>
      <c r="N2010" s="1" t="str">
        <f t="shared" si="31"/>
        <v>Normal</v>
      </c>
    </row>
    <row r="2011" spans="1:14" x14ac:dyDescent="0.25">
      <c r="A2011" s="1" t="s">
        <v>3216</v>
      </c>
      <c r="B2011" s="1" t="s">
        <v>65</v>
      </c>
      <c r="C2011" s="1" t="s">
        <v>693</v>
      </c>
      <c r="D2011" s="1" t="s">
        <v>46</v>
      </c>
      <c r="E2011" s="1" t="s">
        <v>47</v>
      </c>
      <c r="F2011" s="1" t="s">
        <v>40</v>
      </c>
      <c r="G2011" s="1">
        <v>296198</v>
      </c>
      <c r="H2011" s="63">
        <v>45689</v>
      </c>
      <c r="I2011" s="63">
        <v>45775</v>
      </c>
      <c r="J2011" s="1">
        <v>86</v>
      </c>
      <c r="K2011" s="1">
        <v>12.9</v>
      </c>
      <c r="L2011" s="1" t="s">
        <v>49</v>
      </c>
      <c r="M2011" s="1" t="s">
        <v>63</v>
      </c>
      <c r="N2011" s="1" t="str">
        <f t="shared" si="31"/>
        <v>Normal</v>
      </c>
    </row>
    <row r="2012" spans="1:14" x14ac:dyDescent="0.25">
      <c r="A2012" s="1" t="s">
        <v>3217</v>
      </c>
      <c r="B2012" s="1" t="s">
        <v>173</v>
      </c>
      <c r="C2012" s="1" t="s">
        <v>439</v>
      </c>
      <c r="D2012" s="1" t="s">
        <v>90</v>
      </c>
      <c r="E2012" s="1" t="s">
        <v>4845</v>
      </c>
      <c r="F2012" s="1" t="s">
        <v>33</v>
      </c>
      <c r="G2012" s="1">
        <v>184028</v>
      </c>
      <c r="H2012" s="63">
        <v>45279</v>
      </c>
      <c r="J2012" s="1"/>
      <c r="K2012" s="1">
        <v>13.7</v>
      </c>
      <c r="L2012" s="1" t="s">
        <v>49</v>
      </c>
      <c r="M2012" s="1" t="s">
        <v>21</v>
      </c>
      <c r="N2012" s="1" t="str">
        <f t="shared" si="31"/>
        <v>Normal</v>
      </c>
    </row>
    <row r="2013" spans="1:14" x14ac:dyDescent="0.25">
      <c r="A2013" s="1" t="s">
        <v>3218</v>
      </c>
      <c r="B2013" s="1" t="s">
        <v>37</v>
      </c>
      <c r="C2013" s="1" t="s">
        <v>339</v>
      </c>
      <c r="D2013" s="1" t="s">
        <v>39</v>
      </c>
      <c r="E2013" s="1" t="s">
        <v>47</v>
      </c>
      <c r="F2013" s="1" t="s">
        <v>27</v>
      </c>
      <c r="G2013" s="1">
        <v>268321</v>
      </c>
      <c r="H2013" s="63">
        <v>45515</v>
      </c>
      <c r="J2013" s="1"/>
      <c r="K2013" s="1"/>
      <c r="L2013" s="1" t="s">
        <v>29</v>
      </c>
      <c r="M2013" s="1" t="s">
        <v>149</v>
      </c>
      <c r="N2013" s="1" t="str">
        <f t="shared" si="31"/>
        <v>Normal</v>
      </c>
    </row>
    <row r="2014" spans="1:14" x14ac:dyDescent="0.25">
      <c r="A2014" s="1" t="s">
        <v>3219</v>
      </c>
      <c r="B2014" s="1" t="s">
        <v>127</v>
      </c>
      <c r="C2014" s="1" t="s">
        <v>790</v>
      </c>
      <c r="D2014" s="1" t="s">
        <v>90</v>
      </c>
      <c r="E2014" s="1" t="s">
        <v>61</v>
      </c>
      <c r="F2014" s="1" t="s">
        <v>27</v>
      </c>
      <c r="G2014" s="1">
        <v>113662</v>
      </c>
      <c r="H2014" s="63">
        <v>45482</v>
      </c>
      <c r="J2014" s="1"/>
      <c r="K2014" s="1"/>
      <c r="L2014" s="1" t="s">
        <v>96</v>
      </c>
      <c r="M2014" s="1" t="s">
        <v>149</v>
      </c>
      <c r="N2014" s="1" t="str">
        <f t="shared" si="31"/>
        <v>Normal</v>
      </c>
    </row>
    <row r="2015" spans="1:14" x14ac:dyDescent="0.25">
      <c r="A2015" s="1" t="s">
        <v>3220</v>
      </c>
      <c r="B2015" s="1" t="s">
        <v>14</v>
      </c>
      <c r="C2015" s="1" t="s">
        <v>539</v>
      </c>
      <c r="D2015" s="1" t="s">
        <v>46</v>
      </c>
      <c r="E2015" s="1" t="s">
        <v>26</v>
      </c>
      <c r="F2015" s="1" t="s">
        <v>27</v>
      </c>
      <c r="G2015" s="1">
        <v>270051</v>
      </c>
      <c r="H2015" s="63">
        <v>45739</v>
      </c>
      <c r="J2015" s="1"/>
      <c r="K2015" s="1"/>
      <c r="L2015" s="1" t="s">
        <v>49</v>
      </c>
      <c r="M2015" s="1" t="s">
        <v>63</v>
      </c>
      <c r="N2015" s="1" t="str">
        <f t="shared" si="31"/>
        <v>Normal</v>
      </c>
    </row>
    <row r="2016" spans="1:14" x14ac:dyDescent="0.25">
      <c r="A2016" s="1" t="s">
        <v>3221</v>
      </c>
      <c r="B2016" s="1" t="s">
        <v>65</v>
      </c>
      <c r="C2016" s="1" t="s">
        <v>24</v>
      </c>
      <c r="D2016" s="1" t="s">
        <v>90</v>
      </c>
      <c r="E2016" s="1" t="s">
        <v>4845</v>
      </c>
      <c r="F2016" s="1" t="s">
        <v>33</v>
      </c>
      <c r="G2016" s="1">
        <v>102325</v>
      </c>
      <c r="H2016" s="63">
        <v>44939</v>
      </c>
      <c r="J2016" s="1"/>
      <c r="K2016" s="1"/>
      <c r="L2016" s="1" t="s">
        <v>20</v>
      </c>
      <c r="M2016" s="1" t="s">
        <v>35</v>
      </c>
      <c r="N2016" s="1" t="str">
        <f t="shared" si="31"/>
        <v>Normal</v>
      </c>
    </row>
    <row r="2017" spans="1:14" x14ac:dyDescent="0.25">
      <c r="A2017" s="1" t="s">
        <v>3222</v>
      </c>
      <c r="B2017" s="1" t="s">
        <v>14</v>
      </c>
      <c r="C2017" s="1" t="s">
        <v>339</v>
      </c>
      <c r="D2017" s="1" t="s">
        <v>25</v>
      </c>
      <c r="E2017" s="1" t="s">
        <v>72</v>
      </c>
      <c r="F2017" s="1" t="s">
        <v>129</v>
      </c>
      <c r="G2017" s="1">
        <v>489154</v>
      </c>
      <c r="H2017" s="63">
        <v>45698</v>
      </c>
      <c r="J2017" s="1"/>
      <c r="K2017" s="1"/>
      <c r="L2017" s="1" t="s">
        <v>49</v>
      </c>
      <c r="M2017" s="1" t="s">
        <v>63</v>
      </c>
      <c r="N2017" s="1" t="str">
        <f t="shared" si="31"/>
        <v>Normal</v>
      </c>
    </row>
    <row r="2018" spans="1:14" x14ac:dyDescent="0.25">
      <c r="A2018" s="1" t="s">
        <v>3223</v>
      </c>
      <c r="B2018" s="1" t="s">
        <v>44</v>
      </c>
      <c r="C2018" s="1" t="s">
        <v>343</v>
      </c>
      <c r="D2018" s="1" t="s">
        <v>16</v>
      </c>
      <c r="E2018" s="1" t="s">
        <v>47</v>
      </c>
      <c r="F2018" s="1" t="s">
        <v>40</v>
      </c>
      <c r="G2018" s="1">
        <v>16614</v>
      </c>
      <c r="H2018" s="63">
        <v>45074</v>
      </c>
      <c r="I2018" s="63">
        <v>45156</v>
      </c>
      <c r="J2018" s="1">
        <v>82</v>
      </c>
      <c r="K2018" s="1">
        <v>3.5</v>
      </c>
      <c r="L2018" s="1" t="s">
        <v>49</v>
      </c>
      <c r="M2018" s="1" t="s">
        <v>30</v>
      </c>
      <c r="N2018" s="1" t="str">
        <f t="shared" si="31"/>
        <v>Normal</v>
      </c>
    </row>
    <row r="2019" spans="1:14" x14ac:dyDescent="0.25">
      <c r="A2019" s="1" t="s">
        <v>3224</v>
      </c>
      <c r="B2019" s="1" t="s">
        <v>88</v>
      </c>
      <c r="C2019" s="1" t="s">
        <v>261</v>
      </c>
      <c r="D2019" s="1" t="s">
        <v>25</v>
      </c>
      <c r="E2019" s="1" t="s">
        <v>17</v>
      </c>
      <c r="F2019" s="1" t="s">
        <v>40</v>
      </c>
      <c r="G2019" s="1">
        <v>229280</v>
      </c>
      <c r="H2019" s="63">
        <v>45114</v>
      </c>
      <c r="I2019" s="63">
        <v>45241</v>
      </c>
      <c r="J2019" s="1">
        <v>127</v>
      </c>
      <c r="K2019" s="1">
        <v>20</v>
      </c>
      <c r="L2019" s="1" t="s">
        <v>49</v>
      </c>
      <c r="M2019" s="1" t="s">
        <v>102</v>
      </c>
      <c r="N2019" s="1" t="str">
        <f t="shared" si="31"/>
        <v>Normal</v>
      </c>
    </row>
    <row r="2020" spans="1:14" x14ac:dyDescent="0.25">
      <c r="A2020" s="1" t="s">
        <v>3225</v>
      </c>
      <c r="B2020" s="1" t="s">
        <v>84</v>
      </c>
      <c r="C2020" s="1" t="s">
        <v>303</v>
      </c>
      <c r="D2020" s="1" t="s">
        <v>46</v>
      </c>
      <c r="E2020" s="1" t="s">
        <v>100</v>
      </c>
      <c r="F2020" s="1" t="s">
        <v>33</v>
      </c>
      <c r="G2020" s="1">
        <v>1013410</v>
      </c>
      <c r="H2020" s="63">
        <v>45184</v>
      </c>
      <c r="J2020" s="1"/>
      <c r="K2020" s="1">
        <v>6</v>
      </c>
      <c r="L2020" s="1" t="s">
        <v>20</v>
      </c>
      <c r="M2020" s="1" t="s">
        <v>102</v>
      </c>
      <c r="N2020" s="1" t="str">
        <f t="shared" si="31"/>
        <v>High Outlier</v>
      </c>
    </row>
    <row r="2021" spans="1:14" x14ac:dyDescent="0.25">
      <c r="A2021" s="1" t="s">
        <v>3226</v>
      </c>
      <c r="B2021" s="1" t="s">
        <v>127</v>
      </c>
      <c r="C2021" s="1" t="s">
        <v>3227</v>
      </c>
      <c r="D2021" s="1" t="s">
        <v>16</v>
      </c>
      <c r="E2021" s="1" t="s">
        <v>26</v>
      </c>
      <c r="F2021" s="1" t="s">
        <v>53</v>
      </c>
      <c r="G2021" s="1">
        <v>123558</v>
      </c>
      <c r="H2021" s="63">
        <v>45301</v>
      </c>
      <c r="J2021" s="1"/>
      <c r="K2021" s="1"/>
      <c r="L2021" s="1" t="s">
        <v>20</v>
      </c>
      <c r="M2021" s="1" t="s">
        <v>69</v>
      </c>
      <c r="N2021" s="1" t="str">
        <f t="shared" si="31"/>
        <v>Normal</v>
      </c>
    </row>
    <row r="2022" spans="1:14" x14ac:dyDescent="0.25">
      <c r="A2022" s="1" t="s">
        <v>3228</v>
      </c>
      <c r="B2022" s="1" t="s">
        <v>37</v>
      </c>
      <c r="C2022" s="1" t="s">
        <v>809</v>
      </c>
      <c r="D2022" s="1" t="s">
        <v>67</v>
      </c>
      <c r="E2022" s="1" t="s">
        <v>61</v>
      </c>
      <c r="F2022" s="1" t="s">
        <v>129</v>
      </c>
      <c r="G2022" s="1">
        <v>487127</v>
      </c>
      <c r="H2022" s="63">
        <v>45281</v>
      </c>
      <c r="J2022" s="1"/>
      <c r="K2022" s="1"/>
      <c r="L2022" s="1" t="s">
        <v>20</v>
      </c>
      <c r="M2022" s="1" t="s">
        <v>21</v>
      </c>
      <c r="N2022" s="1" t="str">
        <f t="shared" si="31"/>
        <v>Normal</v>
      </c>
    </row>
    <row r="2023" spans="1:14" x14ac:dyDescent="0.25">
      <c r="A2023" s="1" t="s">
        <v>3229</v>
      </c>
      <c r="B2023" s="1" t="s">
        <v>14</v>
      </c>
      <c r="C2023" s="1" t="s">
        <v>944</v>
      </c>
      <c r="D2023" s="1" t="s">
        <v>67</v>
      </c>
      <c r="E2023" s="1" t="s">
        <v>94</v>
      </c>
      <c r="F2023" s="1" t="s">
        <v>40</v>
      </c>
      <c r="G2023" s="1">
        <v>173296</v>
      </c>
      <c r="H2023" s="63">
        <v>45129</v>
      </c>
      <c r="I2023" s="63">
        <v>45206</v>
      </c>
      <c r="J2023" s="1">
        <v>77</v>
      </c>
      <c r="K2023" s="1">
        <v>15.1</v>
      </c>
      <c r="L2023" s="1" t="s">
        <v>49</v>
      </c>
      <c r="M2023" s="1" t="s">
        <v>102</v>
      </c>
      <c r="N2023" s="1" t="str">
        <f t="shared" si="31"/>
        <v>Normal</v>
      </c>
    </row>
    <row r="2024" spans="1:14" x14ac:dyDescent="0.25">
      <c r="A2024" s="1" t="s">
        <v>3230</v>
      </c>
      <c r="B2024" s="1" t="s">
        <v>23</v>
      </c>
      <c r="C2024" s="1" t="s">
        <v>300</v>
      </c>
      <c r="D2024" s="1" t="s">
        <v>16</v>
      </c>
      <c r="E2024" s="1" t="s">
        <v>94</v>
      </c>
      <c r="F2024" s="1" t="s">
        <v>40</v>
      </c>
      <c r="G2024" s="1">
        <v>252748</v>
      </c>
      <c r="H2024" s="63">
        <v>45483</v>
      </c>
      <c r="I2024" s="63">
        <v>45639</v>
      </c>
      <c r="J2024" s="1">
        <v>156</v>
      </c>
      <c r="K2024" s="1">
        <v>10</v>
      </c>
      <c r="L2024" s="1" t="s">
        <v>29</v>
      </c>
      <c r="M2024" s="1" t="s">
        <v>149</v>
      </c>
      <c r="N2024" s="1" t="str">
        <f t="shared" si="31"/>
        <v>Normal</v>
      </c>
    </row>
    <row r="2025" spans="1:14" x14ac:dyDescent="0.25">
      <c r="A2025" s="1" t="s">
        <v>3231</v>
      </c>
      <c r="B2025" s="1" t="s">
        <v>44</v>
      </c>
      <c r="C2025" s="1" t="s">
        <v>1997</v>
      </c>
      <c r="D2025" s="1" t="s">
        <v>39</v>
      </c>
      <c r="E2025" s="1" t="s">
        <v>17</v>
      </c>
      <c r="F2025" s="1" t="s">
        <v>129</v>
      </c>
      <c r="G2025" s="1">
        <v>423024</v>
      </c>
      <c r="H2025" s="63">
        <v>45716</v>
      </c>
      <c r="J2025" s="1"/>
      <c r="K2025" s="1">
        <v>11.2</v>
      </c>
      <c r="L2025" s="1" t="s">
        <v>96</v>
      </c>
      <c r="M2025" s="1" t="s">
        <v>63</v>
      </c>
      <c r="N2025" s="1" t="str">
        <f t="shared" si="31"/>
        <v>Normal</v>
      </c>
    </row>
    <row r="2026" spans="1:14" x14ac:dyDescent="0.25">
      <c r="A2026" s="1" t="s">
        <v>3232</v>
      </c>
      <c r="B2026" s="1" t="s">
        <v>44</v>
      </c>
      <c r="C2026" s="1" t="s">
        <v>1129</v>
      </c>
      <c r="D2026" s="1" t="s">
        <v>16</v>
      </c>
      <c r="E2026" s="1" t="s">
        <v>17</v>
      </c>
      <c r="F2026" s="1" t="s">
        <v>129</v>
      </c>
      <c r="G2026" s="1">
        <v>1842551</v>
      </c>
      <c r="H2026" s="63">
        <v>45391</v>
      </c>
      <c r="J2026" s="1"/>
      <c r="K2026" s="1">
        <v>5.0999999999999996</v>
      </c>
      <c r="L2026" s="1" t="s">
        <v>29</v>
      </c>
      <c r="M2026" s="1" t="s">
        <v>107</v>
      </c>
      <c r="N2026" s="1" t="str">
        <f t="shared" si="31"/>
        <v>High Outlier</v>
      </c>
    </row>
    <row r="2027" spans="1:14" x14ac:dyDescent="0.25">
      <c r="A2027" s="1" t="s">
        <v>3233</v>
      </c>
      <c r="B2027" s="1" t="s">
        <v>88</v>
      </c>
      <c r="C2027" s="1" t="s">
        <v>1087</v>
      </c>
      <c r="D2027" s="1" t="s">
        <v>25</v>
      </c>
      <c r="E2027" s="1" t="s">
        <v>94</v>
      </c>
      <c r="F2027" s="1" t="s">
        <v>53</v>
      </c>
      <c r="G2027" s="1">
        <v>253064</v>
      </c>
      <c r="H2027" s="63">
        <v>44987</v>
      </c>
      <c r="J2027" s="1"/>
      <c r="K2027" s="1">
        <v>13.6</v>
      </c>
      <c r="L2027" s="1" t="s">
        <v>49</v>
      </c>
      <c r="M2027" s="1" t="s">
        <v>35</v>
      </c>
      <c r="N2027" s="1" t="str">
        <f t="shared" si="31"/>
        <v>Normal</v>
      </c>
    </row>
    <row r="2028" spans="1:14" x14ac:dyDescent="0.25">
      <c r="A2028" s="1" t="s">
        <v>3234</v>
      </c>
      <c r="B2028" s="1" t="s">
        <v>88</v>
      </c>
      <c r="C2028" s="1" t="s">
        <v>667</v>
      </c>
      <c r="D2028" s="1" t="s">
        <v>90</v>
      </c>
      <c r="E2028" s="1" t="s">
        <v>72</v>
      </c>
      <c r="F2028" s="1" t="s">
        <v>18</v>
      </c>
      <c r="G2028" s="1">
        <v>30674</v>
      </c>
      <c r="H2028" s="63">
        <v>45533</v>
      </c>
      <c r="I2028" s="63">
        <v>45626</v>
      </c>
      <c r="J2028" s="1">
        <v>93</v>
      </c>
      <c r="K2028" s="1">
        <v>2.4</v>
      </c>
      <c r="L2028" s="1" t="s">
        <v>96</v>
      </c>
      <c r="M2028" s="1" t="s">
        <v>149</v>
      </c>
      <c r="N2028" s="1" t="str">
        <f t="shared" si="31"/>
        <v>Normal</v>
      </c>
    </row>
    <row r="2029" spans="1:14" x14ac:dyDescent="0.25">
      <c r="A2029" s="1" t="s">
        <v>3235</v>
      </c>
      <c r="B2029" s="1" t="s">
        <v>84</v>
      </c>
      <c r="C2029" s="1" t="s">
        <v>1165</v>
      </c>
      <c r="D2029" s="1" t="s">
        <v>67</v>
      </c>
      <c r="E2029" s="1" t="s">
        <v>77</v>
      </c>
      <c r="F2029" s="1" t="s">
        <v>53</v>
      </c>
      <c r="G2029" s="1">
        <v>232006</v>
      </c>
      <c r="H2029" s="63">
        <v>45701</v>
      </c>
      <c r="J2029" s="1"/>
      <c r="K2029" s="1">
        <v>0.4</v>
      </c>
      <c r="L2029" s="1" t="s">
        <v>20</v>
      </c>
      <c r="M2029" s="1" t="s">
        <v>63</v>
      </c>
      <c r="N2029" s="1" t="str">
        <f t="shared" si="31"/>
        <v>Normal</v>
      </c>
    </row>
    <row r="2030" spans="1:14" x14ac:dyDescent="0.25">
      <c r="A2030" s="1" t="s">
        <v>3237</v>
      </c>
      <c r="B2030" s="1" t="s">
        <v>84</v>
      </c>
      <c r="C2030" s="1" t="s">
        <v>168</v>
      </c>
      <c r="D2030" s="1" t="s">
        <v>16</v>
      </c>
      <c r="E2030" s="1" t="s">
        <v>61</v>
      </c>
      <c r="F2030" s="1" t="s">
        <v>40</v>
      </c>
      <c r="G2030" s="1">
        <v>133996</v>
      </c>
      <c r="H2030" s="63">
        <v>45277</v>
      </c>
      <c r="I2030" s="63">
        <v>45401</v>
      </c>
      <c r="J2030" s="1">
        <v>124</v>
      </c>
      <c r="K2030" s="1">
        <v>18.399999999999999</v>
      </c>
      <c r="L2030" s="1" t="s">
        <v>20</v>
      </c>
      <c r="M2030" s="1" t="s">
        <v>21</v>
      </c>
      <c r="N2030" s="1" t="str">
        <f t="shared" si="31"/>
        <v>Normal</v>
      </c>
    </row>
    <row r="2031" spans="1:14" x14ac:dyDescent="0.25">
      <c r="A2031" s="1" t="s">
        <v>3238</v>
      </c>
      <c r="B2031" s="1" t="s">
        <v>84</v>
      </c>
      <c r="C2031" s="1" t="s">
        <v>258</v>
      </c>
      <c r="D2031" s="1" t="s">
        <v>90</v>
      </c>
      <c r="E2031" s="1" t="s">
        <v>61</v>
      </c>
      <c r="F2031" s="1" t="s">
        <v>18</v>
      </c>
      <c r="G2031" s="1">
        <v>61216</v>
      </c>
      <c r="H2031" s="63">
        <v>45125</v>
      </c>
      <c r="I2031" s="63">
        <v>45282</v>
      </c>
      <c r="J2031" s="1">
        <v>157</v>
      </c>
      <c r="K2031" s="1">
        <v>13.8</v>
      </c>
      <c r="L2031" s="1" t="s">
        <v>49</v>
      </c>
      <c r="M2031" s="1" t="s">
        <v>102</v>
      </c>
      <c r="N2031" s="1" t="str">
        <f t="shared" si="31"/>
        <v>Normal</v>
      </c>
    </row>
    <row r="2032" spans="1:14" x14ac:dyDescent="0.25">
      <c r="A2032" s="1" t="s">
        <v>3239</v>
      </c>
      <c r="B2032" s="1" t="s">
        <v>37</v>
      </c>
      <c r="C2032" s="1" t="s">
        <v>157</v>
      </c>
      <c r="D2032" s="1" t="s">
        <v>25</v>
      </c>
      <c r="E2032" s="1" t="s">
        <v>61</v>
      </c>
      <c r="F2032" s="1" t="s">
        <v>27</v>
      </c>
      <c r="G2032" s="1">
        <v>98881</v>
      </c>
      <c r="H2032" s="63">
        <v>45178</v>
      </c>
      <c r="J2032" s="1"/>
      <c r="K2032" s="1"/>
      <c r="L2032" s="1" t="s">
        <v>29</v>
      </c>
      <c r="M2032" s="1" t="s">
        <v>102</v>
      </c>
      <c r="N2032" s="1" t="str">
        <f t="shared" si="31"/>
        <v>Normal</v>
      </c>
    </row>
    <row r="2033" spans="1:14" x14ac:dyDescent="0.25">
      <c r="A2033" s="1" t="s">
        <v>3240</v>
      </c>
      <c r="B2033" s="1" t="s">
        <v>98</v>
      </c>
      <c r="C2033" s="1" t="s">
        <v>831</v>
      </c>
      <c r="D2033" s="1" t="s">
        <v>46</v>
      </c>
      <c r="E2033" s="1" t="s">
        <v>61</v>
      </c>
      <c r="F2033" s="1" t="s">
        <v>33</v>
      </c>
      <c r="G2033" s="1">
        <v>328378</v>
      </c>
      <c r="H2033" s="63">
        <v>45205</v>
      </c>
      <c r="J2033" s="1"/>
      <c r="K2033" s="1">
        <v>3.5</v>
      </c>
      <c r="L2033" s="1" t="s">
        <v>49</v>
      </c>
      <c r="M2033" s="1" t="s">
        <v>21</v>
      </c>
      <c r="N2033" s="1" t="str">
        <f t="shared" si="31"/>
        <v>Normal</v>
      </c>
    </row>
    <row r="2034" spans="1:14" x14ac:dyDescent="0.25">
      <c r="A2034" s="1" t="s">
        <v>3242</v>
      </c>
      <c r="B2034" s="1" t="s">
        <v>80</v>
      </c>
      <c r="C2034" s="1" t="s">
        <v>885</v>
      </c>
      <c r="D2034" s="1" t="s">
        <v>46</v>
      </c>
      <c r="E2034" s="1" t="s">
        <v>94</v>
      </c>
      <c r="F2034" s="1" t="s">
        <v>53</v>
      </c>
      <c r="G2034" s="1">
        <v>396024</v>
      </c>
      <c r="H2034" s="63">
        <v>45744</v>
      </c>
      <c r="J2034" s="1"/>
      <c r="K2034" s="1">
        <v>4.4000000000000004</v>
      </c>
      <c r="L2034" s="1" t="s">
        <v>96</v>
      </c>
      <c r="M2034" s="1" t="s">
        <v>63</v>
      </c>
      <c r="N2034" s="1" t="str">
        <f t="shared" si="31"/>
        <v>Normal</v>
      </c>
    </row>
    <row r="2035" spans="1:14" x14ac:dyDescent="0.25">
      <c r="A2035" s="1" t="s">
        <v>3243</v>
      </c>
      <c r="B2035" s="1" t="s">
        <v>14</v>
      </c>
      <c r="C2035" s="1" t="s">
        <v>292</v>
      </c>
      <c r="D2035" s="1" t="s">
        <v>25</v>
      </c>
      <c r="E2035" s="1" t="s">
        <v>77</v>
      </c>
      <c r="F2035" s="1" t="s">
        <v>33</v>
      </c>
      <c r="G2035" s="1">
        <v>223252</v>
      </c>
      <c r="H2035" s="63">
        <v>45578</v>
      </c>
      <c r="J2035" s="1"/>
      <c r="K2035" s="1">
        <v>7.5</v>
      </c>
      <c r="L2035" s="1" t="s">
        <v>29</v>
      </c>
      <c r="M2035" s="1" t="s">
        <v>42</v>
      </c>
      <c r="N2035" s="1" t="str">
        <f t="shared" si="31"/>
        <v>Normal</v>
      </c>
    </row>
    <row r="2036" spans="1:14" x14ac:dyDescent="0.25">
      <c r="A2036" s="1" t="s">
        <v>3244</v>
      </c>
      <c r="B2036" s="1" t="s">
        <v>80</v>
      </c>
      <c r="C2036" s="1" t="s">
        <v>486</v>
      </c>
      <c r="D2036" s="1" t="s">
        <v>67</v>
      </c>
      <c r="E2036" s="1" t="s">
        <v>100</v>
      </c>
      <c r="F2036" s="1" t="s">
        <v>53</v>
      </c>
      <c r="G2036" s="1">
        <v>197110</v>
      </c>
      <c r="H2036" s="63">
        <v>45384</v>
      </c>
      <c r="J2036" s="1"/>
      <c r="K2036" s="1">
        <v>4.9000000000000004</v>
      </c>
      <c r="L2036" s="1" t="s">
        <v>96</v>
      </c>
      <c r="M2036" s="1" t="s">
        <v>107</v>
      </c>
      <c r="N2036" s="1" t="str">
        <f t="shared" si="31"/>
        <v>Normal</v>
      </c>
    </row>
    <row r="2037" spans="1:14" x14ac:dyDescent="0.25">
      <c r="A2037" s="1" t="s">
        <v>3246</v>
      </c>
      <c r="B2037" s="1" t="s">
        <v>80</v>
      </c>
      <c r="C2037" s="1" t="s">
        <v>128</v>
      </c>
      <c r="D2037" s="1" t="s">
        <v>67</v>
      </c>
      <c r="E2037" s="1" t="s">
        <v>61</v>
      </c>
      <c r="F2037" s="1" t="s">
        <v>18</v>
      </c>
      <c r="G2037" s="1">
        <v>36099</v>
      </c>
      <c r="H2037" s="63">
        <v>45335</v>
      </c>
      <c r="I2037" s="63">
        <v>45406</v>
      </c>
      <c r="J2037" s="1">
        <v>71</v>
      </c>
      <c r="K2037" s="1">
        <v>13.5</v>
      </c>
      <c r="L2037" s="1" t="s">
        <v>96</v>
      </c>
      <c r="M2037" s="1" t="s">
        <v>69</v>
      </c>
      <c r="N2037" s="1" t="str">
        <f t="shared" si="31"/>
        <v>Normal</v>
      </c>
    </row>
    <row r="2038" spans="1:14" x14ac:dyDescent="0.25">
      <c r="A2038" s="1" t="s">
        <v>3247</v>
      </c>
      <c r="B2038" s="1" t="s">
        <v>14</v>
      </c>
      <c r="C2038" s="1" t="s">
        <v>183</v>
      </c>
      <c r="D2038" s="1" t="s">
        <v>67</v>
      </c>
      <c r="E2038" s="1" t="s">
        <v>94</v>
      </c>
      <c r="F2038" s="1" t="s">
        <v>40</v>
      </c>
      <c r="G2038" s="1">
        <v>320992</v>
      </c>
      <c r="H2038" s="63">
        <v>45009</v>
      </c>
      <c r="I2038" s="63">
        <v>45072</v>
      </c>
      <c r="J2038" s="1">
        <v>63</v>
      </c>
      <c r="K2038" s="1">
        <v>7.8</v>
      </c>
      <c r="L2038" s="1" t="s">
        <v>20</v>
      </c>
      <c r="M2038" s="1" t="s">
        <v>35</v>
      </c>
      <c r="N2038" s="1" t="str">
        <f t="shared" si="31"/>
        <v>Normal</v>
      </c>
    </row>
    <row r="2039" spans="1:14" x14ac:dyDescent="0.25">
      <c r="A2039" s="1" t="s">
        <v>3248</v>
      </c>
      <c r="B2039" s="1" t="s">
        <v>4829</v>
      </c>
      <c r="C2039" s="1" t="s">
        <v>273</v>
      </c>
      <c r="D2039" s="1" t="s">
        <v>39</v>
      </c>
      <c r="E2039" s="1" t="s">
        <v>100</v>
      </c>
      <c r="F2039" s="1" t="s">
        <v>18</v>
      </c>
      <c r="G2039" s="1">
        <v>250689</v>
      </c>
      <c r="H2039" s="63">
        <v>45076</v>
      </c>
      <c r="I2039" s="63">
        <v>45156</v>
      </c>
      <c r="J2039" s="1">
        <v>80</v>
      </c>
      <c r="K2039" s="1">
        <v>3.8</v>
      </c>
      <c r="L2039" s="1" t="s">
        <v>20</v>
      </c>
      <c r="M2039" s="1" t="s">
        <v>30</v>
      </c>
      <c r="N2039" s="1" t="str">
        <f t="shared" si="31"/>
        <v>Normal</v>
      </c>
    </row>
    <row r="2040" spans="1:14" x14ac:dyDescent="0.25">
      <c r="A2040" s="1" t="s">
        <v>3249</v>
      </c>
      <c r="B2040" s="1" t="s">
        <v>44</v>
      </c>
      <c r="C2040" s="1" t="s">
        <v>635</v>
      </c>
      <c r="D2040" s="1" t="s">
        <v>90</v>
      </c>
      <c r="E2040" s="1" t="s">
        <v>94</v>
      </c>
      <c r="F2040" s="1" t="s">
        <v>27</v>
      </c>
      <c r="G2040" s="1">
        <v>1488985</v>
      </c>
      <c r="H2040" s="63">
        <v>45229</v>
      </c>
      <c r="J2040" s="1"/>
      <c r="K2040" s="1">
        <v>10.6</v>
      </c>
      <c r="L2040" s="1" t="s">
        <v>20</v>
      </c>
      <c r="M2040" s="1" t="s">
        <v>21</v>
      </c>
      <c r="N2040" s="1" t="str">
        <f t="shared" si="31"/>
        <v>High Outlier</v>
      </c>
    </row>
    <row r="2041" spans="1:14" x14ac:dyDescent="0.25">
      <c r="A2041" s="1" t="s">
        <v>3251</v>
      </c>
      <c r="B2041" s="1" t="s">
        <v>14</v>
      </c>
      <c r="C2041" s="1" t="s">
        <v>393</v>
      </c>
      <c r="D2041" s="1" t="s">
        <v>46</v>
      </c>
      <c r="E2041" s="1" t="s">
        <v>47</v>
      </c>
      <c r="F2041" s="1" t="s">
        <v>33</v>
      </c>
      <c r="G2041" s="1">
        <v>204555</v>
      </c>
      <c r="H2041" s="63">
        <v>45404</v>
      </c>
      <c r="J2041" s="1"/>
      <c r="K2041" s="1">
        <v>2.8</v>
      </c>
      <c r="L2041" s="1" t="s">
        <v>96</v>
      </c>
      <c r="M2041" s="1" t="s">
        <v>107</v>
      </c>
      <c r="N2041" s="1" t="str">
        <f t="shared" si="31"/>
        <v>Normal</v>
      </c>
    </row>
    <row r="2042" spans="1:14" x14ac:dyDescent="0.25">
      <c r="A2042" s="1" t="s">
        <v>3253</v>
      </c>
      <c r="B2042" s="1" t="s">
        <v>23</v>
      </c>
      <c r="C2042" s="1" t="s">
        <v>1914</v>
      </c>
      <c r="D2042" s="1" t="s">
        <v>16</v>
      </c>
      <c r="E2042" s="1" t="s">
        <v>94</v>
      </c>
      <c r="F2042" s="1" t="s">
        <v>53</v>
      </c>
      <c r="G2042" s="1">
        <v>412635</v>
      </c>
      <c r="H2042" s="63">
        <v>44935</v>
      </c>
      <c r="J2042" s="1"/>
      <c r="K2042" s="1">
        <v>1.9</v>
      </c>
      <c r="L2042" s="1" t="s">
        <v>29</v>
      </c>
      <c r="M2042" s="1" t="s">
        <v>35</v>
      </c>
      <c r="N2042" s="1" t="str">
        <f t="shared" si="31"/>
        <v>Normal</v>
      </c>
    </row>
    <row r="2043" spans="1:14" x14ac:dyDescent="0.25">
      <c r="A2043" s="1" t="s">
        <v>3255</v>
      </c>
      <c r="B2043" s="1" t="s">
        <v>23</v>
      </c>
      <c r="C2043" s="1" t="s">
        <v>135</v>
      </c>
      <c r="D2043" s="1" t="s">
        <v>25</v>
      </c>
      <c r="E2043" s="1" t="s">
        <v>26</v>
      </c>
      <c r="F2043" s="1" t="s">
        <v>18</v>
      </c>
      <c r="G2043" s="1">
        <v>449107</v>
      </c>
      <c r="H2043" s="63">
        <v>45133</v>
      </c>
      <c r="I2043" s="63">
        <v>45227</v>
      </c>
      <c r="J2043" s="1">
        <v>94</v>
      </c>
      <c r="K2043" s="1">
        <v>3.2</v>
      </c>
      <c r="L2043" s="1" t="s">
        <v>20</v>
      </c>
      <c r="M2043" s="1" t="s">
        <v>102</v>
      </c>
      <c r="N2043" s="1" t="str">
        <f t="shared" si="31"/>
        <v>Normal</v>
      </c>
    </row>
    <row r="2044" spans="1:14" x14ac:dyDescent="0.25">
      <c r="A2044" s="1" t="s">
        <v>3256</v>
      </c>
      <c r="B2044" s="1" t="s">
        <v>37</v>
      </c>
      <c r="C2044" s="1" t="s">
        <v>387</v>
      </c>
      <c r="D2044" s="1" t="s">
        <v>16</v>
      </c>
      <c r="E2044" s="1" t="s">
        <v>100</v>
      </c>
      <c r="F2044" s="1" t="s">
        <v>40</v>
      </c>
      <c r="G2044" s="1">
        <v>140187</v>
      </c>
      <c r="H2044" s="63">
        <v>45691</v>
      </c>
      <c r="I2044" s="63">
        <v>45867</v>
      </c>
      <c r="J2044" s="1">
        <v>176</v>
      </c>
      <c r="K2044" s="1">
        <v>17.600000000000001</v>
      </c>
      <c r="L2044" s="1" t="s">
        <v>20</v>
      </c>
      <c r="M2044" s="1" t="s">
        <v>63</v>
      </c>
      <c r="N2044" s="1" t="str">
        <f t="shared" si="31"/>
        <v>Normal</v>
      </c>
    </row>
    <row r="2045" spans="1:14" x14ac:dyDescent="0.25">
      <c r="A2045" s="1" t="s">
        <v>3257</v>
      </c>
      <c r="B2045" s="1" t="s">
        <v>80</v>
      </c>
      <c r="C2045" s="1" t="s">
        <v>1334</v>
      </c>
      <c r="D2045" s="1" t="s">
        <v>90</v>
      </c>
      <c r="E2045" s="1" t="s">
        <v>77</v>
      </c>
      <c r="F2045" s="1" t="s">
        <v>53</v>
      </c>
      <c r="G2045" s="1">
        <v>166174</v>
      </c>
      <c r="H2045" s="63">
        <v>45022</v>
      </c>
      <c r="J2045" s="1"/>
      <c r="K2045" s="1">
        <v>1.3</v>
      </c>
      <c r="L2045" s="1" t="s">
        <v>20</v>
      </c>
      <c r="M2045" s="1" t="s">
        <v>30</v>
      </c>
      <c r="N2045" s="1" t="str">
        <f t="shared" si="31"/>
        <v>Normal</v>
      </c>
    </row>
    <row r="2046" spans="1:14" x14ac:dyDescent="0.25">
      <c r="A2046" s="1" t="s">
        <v>3258</v>
      </c>
      <c r="B2046" s="1" t="s">
        <v>75</v>
      </c>
      <c r="C2046" s="1" t="s">
        <v>244</v>
      </c>
      <c r="D2046" s="1" t="s">
        <v>46</v>
      </c>
      <c r="E2046" s="1" t="s">
        <v>26</v>
      </c>
      <c r="F2046" s="1" t="s">
        <v>129</v>
      </c>
      <c r="G2046" s="1">
        <v>391159</v>
      </c>
      <c r="H2046" s="63">
        <v>45502</v>
      </c>
      <c r="J2046" s="1"/>
      <c r="K2046" s="1">
        <v>1.4</v>
      </c>
      <c r="L2046" s="1" t="s">
        <v>49</v>
      </c>
      <c r="M2046" s="1" t="s">
        <v>149</v>
      </c>
      <c r="N2046" s="1" t="str">
        <f t="shared" si="31"/>
        <v>Normal</v>
      </c>
    </row>
    <row r="2047" spans="1:14" x14ac:dyDescent="0.25">
      <c r="A2047" s="1" t="s">
        <v>3259</v>
      </c>
      <c r="B2047" s="1" t="s">
        <v>109</v>
      </c>
      <c r="C2047" s="1" t="s">
        <v>877</v>
      </c>
      <c r="D2047" s="1" t="s">
        <v>46</v>
      </c>
      <c r="E2047" s="1" t="s">
        <v>72</v>
      </c>
      <c r="F2047" s="1" t="s">
        <v>33</v>
      </c>
      <c r="G2047" s="1">
        <v>211830</v>
      </c>
      <c r="H2047" s="63">
        <v>45275</v>
      </c>
      <c r="J2047" s="1"/>
      <c r="K2047" s="1"/>
      <c r="L2047" s="1" t="s">
        <v>49</v>
      </c>
      <c r="M2047" s="1" t="s">
        <v>21</v>
      </c>
      <c r="N2047" s="1" t="str">
        <f t="shared" si="31"/>
        <v>Normal</v>
      </c>
    </row>
    <row r="2048" spans="1:14" x14ac:dyDescent="0.25">
      <c r="A2048" s="1" t="s">
        <v>3260</v>
      </c>
      <c r="B2048" s="1" t="s">
        <v>59</v>
      </c>
      <c r="C2048" s="1" t="s">
        <v>71</v>
      </c>
      <c r="D2048" s="1" t="s">
        <v>39</v>
      </c>
      <c r="E2048" s="1" t="s">
        <v>72</v>
      </c>
      <c r="F2048" s="1" t="s">
        <v>53</v>
      </c>
      <c r="G2048" s="1">
        <v>85809</v>
      </c>
      <c r="H2048" s="63">
        <v>45009</v>
      </c>
      <c r="J2048" s="1"/>
      <c r="K2048" s="1"/>
      <c r="L2048" s="1" t="s">
        <v>20</v>
      </c>
      <c r="M2048" s="1" t="s">
        <v>35</v>
      </c>
      <c r="N2048" s="1" t="str">
        <f t="shared" si="31"/>
        <v>Normal</v>
      </c>
    </row>
    <row r="2049" spans="1:14" x14ac:dyDescent="0.25">
      <c r="A2049" s="1" t="s">
        <v>3261</v>
      </c>
      <c r="B2049" s="1" t="s">
        <v>14</v>
      </c>
      <c r="C2049" s="1" t="s">
        <v>325</v>
      </c>
      <c r="D2049" s="1" t="s">
        <v>25</v>
      </c>
      <c r="E2049" s="1" t="s">
        <v>47</v>
      </c>
      <c r="F2049" s="1" t="s">
        <v>53</v>
      </c>
      <c r="G2049" s="1">
        <v>367885</v>
      </c>
      <c r="H2049" s="63">
        <v>45506</v>
      </c>
      <c r="J2049" s="1"/>
      <c r="K2049" s="1">
        <v>15</v>
      </c>
      <c r="L2049" s="1" t="s">
        <v>49</v>
      </c>
      <c r="M2049" s="1" t="s">
        <v>149</v>
      </c>
      <c r="N2049" s="1" t="str">
        <f t="shared" si="31"/>
        <v>Normal</v>
      </c>
    </row>
    <row r="2050" spans="1:14" x14ac:dyDescent="0.25">
      <c r="A2050" s="1" t="s">
        <v>3262</v>
      </c>
      <c r="B2050" s="1" t="s">
        <v>109</v>
      </c>
      <c r="C2050" s="1" t="s">
        <v>423</v>
      </c>
      <c r="D2050" s="1" t="s">
        <v>39</v>
      </c>
      <c r="E2050" s="1" t="s">
        <v>72</v>
      </c>
      <c r="F2050" s="1" t="s">
        <v>40</v>
      </c>
      <c r="G2050" s="1">
        <v>38738</v>
      </c>
      <c r="H2050" s="63">
        <v>45219</v>
      </c>
      <c r="I2050" s="63">
        <v>45248</v>
      </c>
      <c r="J2050" s="1">
        <v>29</v>
      </c>
      <c r="K2050" s="1">
        <v>5.6</v>
      </c>
      <c r="L2050" s="1" t="s">
        <v>49</v>
      </c>
      <c r="M2050" s="1" t="s">
        <v>21</v>
      </c>
      <c r="N2050" s="1" t="str">
        <f t="shared" ref="N2050:N2113" si="32">IF(G2050&gt;$R$5,"High Outlier",IF(G2050&lt;$R$6,"Low Outlier","Normal"))</f>
        <v>Normal</v>
      </c>
    </row>
    <row r="2051" spans="1:14" x14ac:dyDescent="0.25">
      <c r="A2051" s="1" t="s">
        <v>3263</v>
      </c>
      <c r="B2051" s="1" t="s">
        <v>127</v>
      </c>
      <c r="C2051" s="1" t="s">
        <v>603</v>
      </c>
      <c r="D2051" s="1" t="s">
        <v>39</v>
      </c>
      <c r="E2051" s="1" t="s">
        <v>100</v>
      </c>
      <c r="F2051" s="1" t="s">
        <v>18</v>
      </c>
      <c r="G2051" s="1">
        <v>21153</v>
      </c>
      <c r="H2051" s="63">
        <v>45362</v>
      </c>
      <c r="I2051" s="63">
        <v>45518</v>
      </c>
      <c r="J2051" s="1">
        <v>156</v>
      </c>
      <c r="K2051" s="1">
        <v>14.8</v>
      </c>
      <c r="L2051" s="1" t="s">
        <v>20</v>
      </c>
      <c r="M2051" s="1" t="s">
        <v>69</v>
      </c>
      <c r="N2051" s="1" t="str">
        <f t="shared" si="32"/>
        <v>Normal</v>
      </c>
    </row>
    <row r="2052" spans="1:14" x14ac:dyDescent="0.25">
      <c r="A2052" s="1" t="s">
        <v>3264</v>
      </c>
      <c r="B2052" s="1" t="s">
        <v>88</v>
      </c>
      <c r="C2052" s="1" t="s">
        <v>892</v>
      </c>
      <c r="D2052" s="1" t="s">
        <v>90</v>
      </c>
      <c r="E2052" s="1" t="s">
        <v>47</v>
      </c>
      <c r="F2052" s="1" t="s">
        <v>27</v>
      </c>
      <c r="G2052" s="1">
        <v>25200</v>
      </c>
      <c r="H2052" s="63">
        <v>45618</v>
      </c>
      <c r="J2052" s="1"/>
      <c r="K2052" s="1">
        <v>0.8</v>
      </c>
      <c r="L2052" s="1" t="s">
        <v>96</v>
      </c>
      <c r="M2052" s="1" t="s">
        <v>42</v>
      </c>
      <c r="N2052" s="1" t="str">
        <f t="shared" si="32"/>
        <v>Normal</v>
      </c>
    </row>
    <row r="2053" spans="1:14" x14ac:dyDescent="0.25">
      <c r="A2053" s="1" t="s">
        <v>3265</v>
      </c>
      <c r="B2053" s="1" t="s">
        <v>84</v>
      </c>
      <c r="C2053" s="1" t="s">
        <v>384</v>
      </c>
      <c r="D2053" s="1" t="s">
        <v>16</v>
      </c>
      <c r="E2053" s="1" t="s">
        <v>100</v>
      </c>
      <c r="F2053" s="1" t="s">
        <v>33</v>
      </c>
      <c r="G2053" s="1">
        <v>253535</v>
      </c>
      <c r="H2053" s="63">
        <v>45276</v>
      </c>
      <c r="J2053" s="1"/>
      <c r="K2053" s="1">
        <v>4.5999999999999996</v>
      </c>
      <c r="L2053" s="1" t="s">
        <v>49</v>
      </c>
      <c r="M2053" s="1" t="s">
        <v>21</v>
      </c>
      <c r="N2053" s="1" t="str">
        <f t="shared" si="32"/>
        <v>Normal</v>
      </c>
    </row>
    <row r="2054" spans="1:14" x14ac:dyDescent="0.25">
      <c r="A2054" s="1" t="s">
        <v>3266</v>
      </c>
      <c r="B2054" s="1" t="s">
        <v>59</v>
      </c>
      <c r="C2054" s="1" t="s">
        <v>93</v>
      </c>
      <c r="D2054" s="1" t="s">
        <v>25</v>
      </c>
      <c r="E2054" s="1" t="s">
        <v>100</v>
      </c>
      <c r="F2054" s="1" t="s">
        <v>27</v>
      </c>
      <c r="G2054" s="1">
        <v>349746</v>
      </c>
      <c r="H2054" s="63">
        <v>45578</v>
      </c>
      <c r="J2054" s="1"/>
      <c r="K2054" s="1">
        <v>7</v>
      </c>
      <c r="L2054" s="1" t="s">
        <v>49</v>
      </c>
      <c r="M2054" s="1" t="s">
        <v>42</v>
      </c>
      <c r="N2054" s="1" t="str">
        <f t="shared" si="32"/>
        <v>Normal</v>
      </c>
    </row>
    <row r="2055" spans="1:14" x14ac:dyDescent="0.25">
      <c r="A2055" s="1" t="s">
        <v>3267</v>
      </c>
      <c r="B2055" s="1" t="s">
        <v>84</v>
      </c>
      <c r="C2055" s="1" t="s">
        <v>237</v>
      </c>
      <c r="D2055" s="1" t="s">
        <v>39</v>
      </c>
      <c r="E2055" s="1" t="s">
        <v>77</v>
      </c>
      <c r="F2055" s="1" t="s">
        <v>33</v>
      </c>
      <c r="G2055" s="1">
        <v>127294</v>
      </c>
      <c r="H2055" s="63">
        <v>44985</v>
      </c>
      <c r="J2055" s="1"/>
      <c r="K2055" s="1">
        <v>5.5</v>
      </c>
      <c r="L2055" s="1" t="s">
        <v>20</v>
      </c>
      <c r="M2055" s="1" t="s">
        <v>35</v>
      </c>
      <c r="N2055" s="1" t="str">
        <f t="shared" si="32"/>
        <v>Normal</v>
      </c>
    </row>
    <row r="2056" spans="1:14" x14ac:dyDescent="0.25">
      <c r="A2056" s="1" t="s">
        <v>3268</v>
      </c>
      <c r="B2056" s="1" t="s">
        <v>84</v>
      </c>
      <c r="C2056" s="1" t="s">
        <v>939</v>
      </c>
      <c r="D2056" s="1" t="s">
        <v>46</v>
      </c>
      <c r="E2056" s="1" t="s">
        <v>100</v>
      </c>
      <c r="F2056" s="1" t="s">
        <v>18</v>
      </c>
      <c r="G2056" s="1">
        <v>399061</v>
      </c>
      <c r="H2056" s="63">
        <v>45275</v>
      </c>
      <c r="I2056" s="63">
        <v>45303</v>
      </c>
      <c r="J2056" s="1">
        <v>28</v>
      </c>
      <c r="K2056" s="1">
        <v>11.5</v>
      </c>
      <c r="L2056" s="1" t="s">
        <v>20</v>
      </c>
      <c r="M2056" s="1" t="s">
        <v>21</v>
      </c>
      <c r="N2056" s="1" t="str">
        <f t="shared" si="32"/>
        <v>Normal</v>
      </c>
    </row>
    <row r="2057" spans="1:14" x14ac:dyDescent="0.25">
      <c r="A2057" s="1" t="s">
        <v>3269</v>
      </c>
      <c r="B2057" s="1" t="s">
        <v>104</v>
      </c>
      <c r="C2057" s="1" t="s">
        <v>1153</v>
      </c>
      <c r="D2057" s="1" t="s">
        <v>25</v>
      </c>
      <c r="E2057" s="1" t="s">
        <v>72</v>
      </c>
      <c r="F2057" s="1" t="s">
        <v>40</v>
      </c>
      <c r="G2057" s="1">
        <v>356279</v>
      </c>
      <c r="H2057" s="63">
        <v>45243</v>
      </c>
      <c r="I2057" s="63">
        <v>45330</v>
      </c>
      <c r="J2057" s="1">
        <v>87</v>
      </c>
      <c r="K2057" s="1">
        <v>14</v>
      </c>
      <c r="L2057" s="1" t="s">
        <v>96</v>
      </c>
      <c r="M2057" s="1" t="s">
        <v>21</v>
      </c>
      <c r="N2057" s="1" t="str">
        <f t="shared" si="32"/>
        <v>Normal</v>
      </c>
    </row>
    <row r="2058" spans="1:14" x14ac:dyDescent="0.25">
      <c r="A2058" s="1" t="s">
        <v>3270</v>
      </c>
      <c r="B2058" s="1" t="s">
        <v>80</v>
      </c>
      <c r="C2058" s="1" t="s">
        <v>1334</v>
      </c>
      <c r="D2058" s="1" t="s">
        <v>39</v>
      </c>
      <c r="E2058" s="1" t="s">
        <v>72</v>
      </c>
      <c r="F2058" s="1" t="s">
        <v>33</v>
      </c>
      <c r="G2058" s="1">
        <v>244362</v>
      </c>
      <c r="H2058" s="63">
        <v>45085</v>
      </c>
      <c r="J2058" s="1"/>
      <c r="K2058" s="1"/>
      <c r="L2058" s="1" t="s">
        <v>29</v>
      </c>
      <c r="M2058" s="1" t="s">
        <v>30</v>
      </c>
      <c r="N2058" s="1" t="str">
        <f t="shared" si="32"/>
        <v>Normal</v>
      </c>
    </row>
    <row r="2059" spans="1:14" x14ac:dyDescent="0.25">
      <c r="A2059" s="1" t="s">
        <v>3271</v>
      </c>
      <c r="B2059" s="1" t="s">
        <v>44</v>
      </c>
      <c r="C2059" s="1" t="s">
        <v>218</v>
      </c>
      <c r="D2059" s="1" t="s">
        <v>46</v>
      </c>
      <c r="E2059" s="1" t="s">
        <v>72</v>
      </c>
      <c r="F2059" s="1" t="s">
        <v>18</v>
      </c>
      <c r="G2059" s="1">
        <v>11744</v>
      </c>
      <c r="H2059" s="63">
        <v>44994</v>
      </c>
      <c r="I2059" s="63">
        <v>45078</v>
      </c>
      <c r="J2059" s="1">
        <v>84</v>
      </c>
      <c r="K2059" s="1">
        <v>1.7</v>
      </c>
      <c r="L2059" s="1" t="s">
        <v>96</v>
      </c>
      <c r="M2059" s="1" t="s">
        <v>35</v>
      </c>
      <c r="N2059" s="1" t="str">
        <f t="shared" si="32"/>
        <v>Normal</v>
      </c>
    </row>
    <row r="2060" spans="1:14" x14ac:dyDescent="0.25">
      <c r="A2060" s="1" t="s">
        <v>3272</v>
      </c>
      <c r="B2060" s="1" t="s">
        <v>80</v>
      </c>
      <c r="C2060" s="1" t="s">
        <v>303</v>
      </c>
      <c r="D2060" s="1" t="s">
        <v>39</v>
      </c>
      <c r="E2060" s="1" t="s">
        <v>100</v>
      </c>
      <c r="F2060" s="1" t="s">
        <v>18</v>
      </c>
      <c r="G2060" s="1">
        <v>375578</v>
      </c>
      <c r="H2060" s="63">
        <v>45433</v>
      </c>
      <c r="I2060" s="63">
        <v>45471</v>
      </c>
      <c r="J2060" s="1">
        <v>38</v>
      </c>
      <c r="K2060" s="1">
        <v>11.4</v>
      </c>
      <c r="L2060" s="1" t="s">
        <v>49</v>
      </c>
      <c r="M2060" s="1" t="s">
        <v>107</v>
      </c>
      <c r="N2060" s="1" t="str">
        <f t="shared" si="32"/>
        <v>Normal</v>
      </c>
    </row>
    <row r="2061" spans="1:14" x14ac:dyDescent="0.25">
      <c r="A2061" s="1" t="s">
        <v>3273</v>
      </c>
      <c r="B2061" s="1" t="s">
        <v>59</v>
      </c>
      <c r="C2061" s="1" t="s">
        <v>358</v>
      </c>
      <c r="D2061" s="1" t="s">
        <v>16</v>
      </c>
      <c r="E2061" s="1" t="s">
        <v>72</v>
      </c>
      <c r="F2061" s="1" t="s">
        <v>18</v>
      </c>
      <c r="G2061" s="1">
        <v>243868</v>
      </c>
      <c r="H2061" s="63">
        <v>44995</v>
      </c>
      <c r="I2061" s="63">
        <v>45077</v>
      </c>
      <c r="J2061" s="1">
        <v>82</v>
      </c>
      <c r="K2061" s="1">
        <v>6.5</v>
      </c>
      <c r="L2061" s="1" t="s">
        <v>29</v>
      </c>
      <c r="M2061" s="1" t="s">
        <v>35</v>
      </c>
      <c r="N2061" s="1" t="str">
        <f t="shared" si="32"/>
        <v>Normal</v>
      </c>
    </row>
    <row r="2062" spans="1:14" x14ac:dyDescent="0.25">
      <c r="A2062" s="1" t="s">
        <v>3274</v>
      </c>
      <c r="B2062" s="1" t="s">
        <v>127</v>
      </c>
      <c r="C2062" s="1" t="s">
        <v>1914</v>
      </c>
      <c r="D2062" s="1" t="s">
        <v>25</v>
      </c>
      <c r="E2062" s="1" t="s">
        <v>100</v>
      </c>
      <c r="F2062" s="1" t="s">
        <v>40</v>
      </c>
      <c r="G2062" s="1">
        <v>450973</v>
      </c>
      <c r="H2062" s="63">
        <v>45494</v>
      </c>
      <c r="I2062" s="63">
        <v>45613</v>
      </c>
      <c r="J2062" s="1">
        <v>119</v>
      </c>
      <c r="K2062" s="1">
        <v>21.4</v>
      </c>
      <c r="L2062" s="1" t="s">
        <v>29</v>
      </c>
      <c r="M2062" s="1" t="s">
        <v>149</v>
      </c>
      <c r="N2062" s="1" t="str">
        <f t="shared" si="32"/>
        <v>Normal</v>
      </c>
    </row>
    <row r="2063" spans="1:14" x14ac:dyDescent="0.25">
      <c r="A2063" s="1" t="s">
        <v>3275</v>
      </c>
      <c r="B2063" s="1" t="s">
        <v>75</v>
      </c>
      <c r="C2063" s="1" t="s">
        <v>917</v>
      </c>
      <c r="D2063" s="1" t="s">
        <v>67</v>
      </c>
      <c r="E2063" s="1" t="s">
        <v>47</v>
      </c>
      <c r="F2063" s="1" t="s">
        <v>33</v>
      </c>
      <c r="G2063" s="1">
        <v>1344122</v>
      </c>
      <c r="H2063" s="63">
        <v>45440</v>
      </c>
      <c r="J2063" s="1"/>
      <c r="K2063" s="1">
        <v>4.8</v>
      </c>
      <c r="L2063" s="1" t="s">
        <v>20</v>
      </c>
      <c r="M2063" s="1" t="s">
        <v>107</v>
      </c>
      <c r="N2063" s="1" t="str">
        <f t="shared" si="32"/>
        <v>High Outlier</v>
      </c>
    </row>
    <row r="2064" spans="1:14" x14ac:dyDescent="0.25">
      <c r="A2064" s="1" t="s">
        <v>3276</v>
      </c>
      <c r="B2064" s="1" t="s">
        <v>84</v>
      </c>
      <c r="C2064" s="1" t="s">
        <v>52</v>
      </c>
      <c r="D2064" s="1" t="s">
        <v>39</v>
      </c>
      <c r="E2064" s="1" t="s">
        <v>72</v>
      </c>
      <c r="F2064" s="1" t="s">
        <v>129</v>
      </c>
      <c r="G2064" s="1">
        <v>308108</v>
      </c>
      <c r="H2064" s="63">
        <v>45526</v>
      </c>
      <c r="J2064" s="1"/>
      <c r="K2064" s="1"/>
      <c r="L2064" s="1" t="s">
        <v>29</v>
      </c>
      <c r="M2064" s="1" t="s">
        <v>149</v>
      </c>
      <c r="N2064" s="1" t="str">
        <f t="shared" si="32"/>
        <v>Normal</v>
      </c>
    </row>
    <row r="2065" spans="1:14" x14ac:dyDescent="0.25">
      <c r="A2065" s="1" t="s">
        <v>3277</v>
      </c>
      <c r="B2065" s="1" t="s">
        <v>84</v>
      </c>
      <c r="C2065" s="1" t="s">
        <v>1997</v>
      </c>
      <c r="D2065" s="1" t="s">
        <v>39</v>
      </c>
      <c r="E2065" s="1" t="s">
        <v>47</v>
      </c>
      <c r="F2065" s="1" t="s">
        <v>40</v>
      </c>
      <c r="G2065" s="1">
        <v>283554</v>
      </c>
      <c r="H2065" s="63">
        <v>45518</v>
      </c>
      <c r="I2065" s="63">
        <v>45655</v>
      </c>
      <c r="J2065" s="1">
        <v>137</v>
      </c>
      <c r="K2065" s="1">
        <v>24.4</v>
      </c>
      <c r="L2065" s="1" t="s">
        <v>49</v>
      </c>
      <c r="M2065" s="1" t="s">
        <v>149</v>
      </c>
      <c r="N2065" s="1" t="str">
        <f t="shared" si="32"/>
        <v>Normal</v>
      </c>
    </row>
    <row r="2066" spans="1:14" x14ac:dyDescent="0.25">
      <c r="A2066" s="1" t="s">
        <v>3278</v>
      </c>
      <c r="B2066" s="1" t="s">
        <v>80</v>
      </c>
      <c r="C2066" s="1" t="s">
        <v>89</v>
      </c>
      <c r="D2066" s="1" t="s">
        <v>67</v>
      </c>
      <c r="E2066" s="1" t="s">
        <v>77</v>
      </c>
      <c r="F2066" s="1" t="s">
        <v>18</v>
      </c>
      <c r="G2066" s="1">
        <v>499590</v>
      </c>
      <c r="H2066" s="63">
        <v>45251</v>
      </c>
      <c r="I2066" s="63">
        <v>45295</v>
      </c>
      <c r="J2066" s="1">
        <v>44</v>
      </c>
      <c r="K2066" s="1"/>
      <c r="L2066" s="1" t="s">
        <v>96</v>
      </c>
      <c r="M2066" s="1" t="s">
        <v>21</v>
      </c>
      <c r="N2066" s="1" t="str">
        <f t="shared" si="32"/>
        <v>Normal</v>
      </c>
    </row>
    <row r="2067" spans="1:14" x14ac:dyDescent="0.25">
      <c r="A2067" s="1" t="s">
        <v>3279</v>
      </c>
      <c r="B2067" s="1" t="s">
        <v>84</v>
      </c>
      <c r="C2067" s="1" t="s">
        <v>3227</v>
      </c>
      <c r="D2067" s="1" t="s">
        <v>39</v>
      </c>
      <c r="E2067" s="1" t="s">
        <v>77</v>
      </c>
      <c r="F2067" s="1" t="s">
        <v>53</v>
      </c>
      <c r="G2067" s="1">
        <v>48504</v>
      </c>
      <c r="H2067" s="63">
        <v>45267</v>
      </c>
      <c r="J2067" s="1"/>
      <c r="K2067" s="1">
        <v>10.3</v>
      </c>
      <c r="L2067" s="1" t="s">
        <v>20</v>
      </c>
      <c r="M2067" s="1" t="s">
        <v>21</v>
      </c>
      <c r="N2067" s="1" t="str">
        <f t="shared" si="32"/>
        <v>Normal</v>
      </c>
    </row>
    <row r="2068" spans="1:14" x14ac:dyDescent="0.25">
      <c r="A2068" s="1" t="s">
        <v>3280</v>
      </c>
      <c r="B2068" s="1" t="s">
        <v>75</v>
      </c>
      <c r="C2068" s="1" t="s">
        <v>71</v>
      </c>
      <c r="D2068" s="1" t="s">
        <v>90</v>
      </c>
      <c r="E2068" s="1" t="s">
        <v>47</v>
      </c>
      <c r="F2068" s="1" t="s">
        <v>40</v>
      </c>
      <c r="G2068" s="1">
        <v>487064</v>
      </c>
      <c r="H2068" s="63">
        <v>45652</v>
      </c>
      <c r="I2068" s="63">
        <v>45768</v>
      </c>
      <c r="J2068" s="1">
        <v>116</v>
      </c>
      <c r="K2068" s="1">
        <v>7.6</v>
      </c>
      <c r="L2068" s="1" t="s">
        <v>20</v>
      </c>
      <c r="M2068" s="1" t="s">
        <v>42</v>
      </c>
      <c r="N2068" s="1" t="str">
        <f t="shared" si="32"/>
        <v>Normal</v>
      </c>
    </row>
    <row r="2069" spans="1:14" x14ac:dyDescent="0.25">
      <c r="A2069" s="1" t="s">
        <v>3282</v>
      </c>
      <c r="B2069" s="1" t="s">
        <v>37</v>
      </c>
      <c r="C2069" s="1" t="s">
        <v>775</v>
      </c>
      <c r="D2069" s="1" t="s">
        <v>67</v>
      </c>
      <c r="E2069" s="1" t="s">
        <v>94</v>
      </c>
      <c r="F2069" s="1" t="s">
        <v>27</v>
      </c>
      <c r="G2069" s="1">
        <v>168734</v>
      </c>
      <c r="H2069" s="63">
        <v>45593</v>
      </c>
      <c r="J2069" s="1"/>
      <c r="K2069" s="1">
        <v>13.4</v>
      </c>
      <c r="L2069" s="1" t="s">
        <v>96</v>
      </c>
      <c r="M2069" s="1" t="s">
        <v>42</v>
      </c>
      <c r="N2069" s="1" t="str">
        <f t="shared" si="32"/>
        <v>Normal</v>
      </c>
    </row>
    <row r="2070" spans="1:14" x14ac:dyDescent="0.25">
      <c r="A2070" s="1" t="s">
        <v>3283</v>
      </c>
      <c r="B2070" s="1" t="s">
        <v>59</v>
      </c>
      <c r="C2070" s="1" t="s">
        <v>869</v>
      </c>
      <c r="D2070" s="1" t="s">
        <v>90</v>
      </c>
      <c r="E2070" s="1" t="s">
        <v>72</v>
      </c>
      <c r="F2070" s="1" t="s">
        <v>129</v>
      </c>
      <c r="G2070" s="1">
        <v>287682</v>
      </c>
      <c r="H2070" s="63">
        <v>45669</v>
      </c>
      <c r="J2070" s="1"/>
      <c r="K2070" s="1">
        <v>5.6</v>
      </c>
      <c r="L2070" s="1" t="s">
        <v>29</v>
      </c>
      <c r="M2070" s="1" t="s">
        <v>63</v>
      </c>
      <c r="N2070" s="1" t="str">
        <f t="shared" si="32"/>
        <v>Normal</v>
      </c>
    </row>
    <row r="2071" spans="1:14" x14ac:dyDescent="0.25">
      <c r="A2071" s="1" t="s">
        <v>3284</v>
      </c>
      <c r="B2071" s="1" t="s">
        <v>173</v>
      </c>
      <c r="C2071" s="1" t="s">
        <v>2544</v>
      </c>
      <c r="D2071" s="1" t="s">
        <v>39</v>
      </c>
      <c r="E2071" s="1" t="s">
        <v>26</v>
      </c>
      <c r="F2071" s="1" t="s">
        <v>33</v>
      </c>
      <c r="G2071" s="1">
        <v>276147</v>
      </c>
      <c r="H2071" s="63">
        <v>45628</v>
      </c>
      <c r="J2071" s="1"/>
      <c r="K2071" s="1">
        <v>5.0999999999999996</v>
      </c>
      <c r="L2071" s="1" t="s">
        <v>20</v>
      </c>
      <c r="M2071" s="1" t="s">
        <v>42</v>
      </c>
      <c r="N2071" s="1" t="str">
        <f t="shared" si="32"/>
        <v>Normal</v>
      </c>
    </row>
    <row r="2072" spans="1:14" x14ac:dyDescent="0.25">
      <c r="A2072" s="1" t="s">
        <v>3285</v>
      </c>
      <c r="B2072" s="1" t="s">
        <v>75</v>
      </c>
      <c r="C2072" s="1" t="s">
        <v>113</v>
      </c>
      <c r="D2072" s="1" t="s">
        <v>25</v>
      </c>
      <c r="E2072" s="1" t="s">
        <v>100</v>
      </c>
      <c r="F2072" s="1" t="s">
        <v>18</v>
      </c>
      <c r="G2072" s="1">
        <v>258836</v>
      </c>
      <c r="H2072" s="63">
        <v>45663</v>
      </c>
      <c r="I2072" s="63">
        <v>45700</v>
      </c>
      <c r="J2072" s="1">
        <v>37</v>
      </c>
      <c r="K2072" s="1"/>
      <c r="L2072" s="1" t="s">
        <v>49</v>
      </c>
      <c r="M2072" s="1" t="s">
        <v>63</v>
      </c>
      <c r="N2072" s="1" t="str">
        <f t="shared" si="32"/>
        <v>Normal</v>
      </c>
    </row>
    <row r="2073" spans="1:14" x14ac:dyDescent="0.25">
      <c r="A2073" s="1" t="s">
        <v>3286</v>
      </c>
      <c r="B2073" s="1" t="s">
        <v>173</v>
      </c>
      <c r="C2073" s="1" t="s">
        <v>328</v>
      </c>
      <c r="D2073" s="1" t="s">
        <v>67</v>
      </c>
      <c r="E2073" s="1" t="s">
        <v>77</v>
      </c>
      <c r="F2073" s="1" t="s">
        <v>53</v>
      </c>
      <c r="G2073" s="1">
        <v>47655</v>
      </c>
      <c r="H2073" s="63">
        <v>45470</v>
      </c>
      <c r="J2073" s="1"/>
      <c r="K2073" s="1">
        <v>8.1999999999999993</v>
      </c>
      <c r="L2073" s="1" t="s">
        <v>96</v>
      </c>
      <c r="M2073" s="1" t="s">
        <v>107</v>
      </c>
      <c r="N2073" s="1" t="str">
        <f t="shared" si="32"/>
        <v>Normal</v>
      </c>
    </row>
    <row r="2074" spans="1:14" x14ac:dyDescent="0.25">
      <c r="A2074" s="1" t="s">
        <v>3287</v>
      </c>
      <c r="B2074" s="1" t="s">
        <v>75</v>
      </c>
      <c r="C2074" s="1" t="s">
        <v>1997</v>
      </c>
      <c r="D2074" s="1" t="s">
        <v>67</v>
      </c>
      <c r="E2074" s="1" t="s">
        <v>72</v>
      </c>
      <c r="F2074" s="1" t="s">
        <v>129</v>
      </c>
      <c r="G2074" s="1">
        <v>347110</v>
      </c>
      <c r="H2074" s="63">
        <v>45309</v>
      </c>
      <c r="J2074" s="1"/>
      <c r="K2074" s="1">
        <v>9.3000000000000007</v>
      </c>
      <c r="L2074" s="1" t="s">
        <v>20</v>
      </c>
      <c r="M2074" s="1" t="s">
        <v>69</v>
      </c>
      <c r="N2074" s="1" t="str">
        <f t="shared" si="32"/>
        <v>Normal</v>
      </c>
    </row>
    <row r="2075" spans="1:14" x14ac:dyDescent="0.25">
      <c r="A2075" s="1" t="s">
        <v>3288</v>
      </c>
      <c r="B2075" s="1" t="s">
        <v>44</v>
      </c>
      <c r="C2075" s="1" t="s">
        <v>486</v>
      </c>
      <c r="D2075" s="1" t="s">
        <v>46</v>
      </c>
      <c r="E2075" s="1" t="s">
        <v>100</v>
      </c>
      <c r="F2075" s="1" t="s">
        <v>53</v>
      </c>
      <c r="G2075" s="1">
        <v>225448</v>
      </c>
      <c r="H2075" s="63">
        <v>45683</v>
      </c>
      <c r="J2075" s="1"/>
      <c r="K2075" s="1">
        <v>5.2</v>
      </c>
      <c r="L2075" s="1" t="s">
        <v>49</v>
      </c>
      <c r="M2075" s="1" t="s">
        <v>63</v>
      </c>
      <c r="N2075" s="1" t="str">
        <f t="shared" si="32"/>
        <v>Normal</v>
      </c>
    </row>
    <row r="2076" spans="1:14" x14ac:dyDescent="0.25">
      <c r="A2076" s="1" t="s">
        <v>3289</v>
      </c>
      <c r="B2076" s="1" t="s">
        <v>14</v>
      </c>
      <c r="C2076" s="1" t="s">
        <v>1144</v>
      </c>
      <c r="D2076" s="1" t="s">
        <v>90</v>
      </c>
      <c r="E2076" s="1" t="s">
        <v>77</v>
      </c>
      <c r="F2076" s="1" t="s">
        <v>53</v>
      </c>
      <c r="G2076" s="1">
        <v>113479</v>
      </c>
      <c r="H2076" s="63">
        <v>45440</v>
      </c>
      <c r="J2076" s="1"/>
      <c r="K2076" s="1"/>
      <c r="L2076" s="1" t="s">
        <v>29</v>
      </c>
      <c r="M2076" s="1" t="s">
        <v>107</v>
      </c>
      <c r="N2076" s="1" t="str">
        <f t="shared" si="32"/>
        <v>Normal</v>
      </c>
    </row>
    <row r="2077" spans="1:14" x14ac:dyDescent="0.25">
      <c r="A2077" s="1" t="s">
        <v>3290</v>
      </c>
      <c r="B2077" s="1" t="s">
        <v>127</v>
      </c>
      <c r="C2077" s="1" t="s">
        <v>640</v>
      </c>
      <c r="D2077" s="1" t="s">
        <v>25</v>
      </c>
      <c r="E2077" s="1" t="s">
        <v>4845</v>
      </c>
      <c r="F2077" s="1" t="s">
        <v>129</v>
      </c>
      <c r="G2077" s="1">
        <v>213386</v>
      </c>
      <c r="H2077" s="63">
        <v>45629</v>
      </c>
      <c r="J2077" s="1"/>
      <c r="K2077" s="1"/>
      <c r="L2077" s="1" t="s">
        <v>96</v>
      </c>
      <c r="M2077" s="1" t="s">
        <v>42</v>
      </c>
      <c r="N2077" s="1" t="str">
        <f t="shared" si="32"/>
        <v>Normal</v>
      </c>
    </row>
    <row r="2078" spans="1:14" x14ac:dyDescent="0.25">
      <c r="A2078" s="1" t="s">
        <v>3291</v>
      </c>
      <c r="B2078" s="1" t="s">
        <v>173</v>
      </c>
      <c r="C2078" s="1" t="s">
        <v>874</v>
      </c>
      <c r="D2078" s="1" t="s">
        <v>46</v>
      </c>
      <c r="E2078" s="1" t="s">
        <v>61</v>
      </c>
      <c r="F2078" s="1" t="s">
        <v>27</v>
      </c>
      <c r="G2078" s="1">
        <v>207879</v>
      </c>
      <c r="H2078" s="63">
        <v>45221</v>
      </c>
      <c r="J2078" s="1"/>
      <c r="K2078" s="1">
        <v>6.9</v>
      </c>
      <c r="L2078" s="1" t="s">
        <v>20</v>
      </c>
      <c r="M2078" s="1" t="s">
        <v>21</v>
      </c>
      <c r="N2078" s="1" t="str">
        <f t="shared" si="32"/>
        <v>Normal</v>
      </c>
    </row>
    <row r="2079" spans="1:14" x14ac:dyDescent="0.25">
      <c r="A2079" s="1" t="s">
        <v>3292</v>
      </c>
      <c r="B2079" s="1" t="s">
        <v>109</v>
      </c>
      <c r="C2079" s="1" t="s">
        <v>705</v>
      </c>
      <c r="D2079" s="1" t="s">
        <v>67</v>
      </c>
      <c r="E2079" s="1" t="s">
        <v>94</v>
      </c>
      <c r="F2079" s="1" t="s">
        <v>33</v>
      </c>
      <c r="G2079" s="1">
        <v>314236</v>
      </c>
      <c r="H2079" s="63">
        <v>44958</v>
      </c>
      <c r="J2079" s="1"/>
      <c r="K2079" s="1"/>
      <c r="L2079" s="1" t="s">
        <v>49</v>
      </c>
      <c r="M2079" s="1" t="s">
        <v>35</v>
      </c>
      <c r="N2079" s="1" t="str">
        <f t="shared" si="32"/>
        <v>Normal</v>
      </c>
    </row>
    <row r="2080" spans="1:14" x14ac:dyDescent="0.25">
      <c r="A2080" s="1" t="s">
        <v>3293</v>
      </c>
      <c r="B2080" s="1" t="s">
        <v>23</v>
      </c>
      <c r="C2080" s="1" t="s">
        <v>676</v>
      </c>
      <c r="D2080" s="1" t="s">
        <v>39</v>
      </c>
      <c r="E2080" s="1" t="s">
        <v>77</v>
      </c>
      <c r="F2080" s="1" t="s">
        <v>53</v>
      </c>
      <c r="G2080" s="1">
        <v>456126</v>
      </c>
      <c r="H2080" s="63">
        <v>45481</v>
      </c>
      <c r="J2080" s="1"/>
      <c r="K2080" s="1"/>
      <c r="L2080" s="1" t="s">
        <v>49</v>
      </c>
      <c r="M2080" s="1" t="s">
        <v>149</v>
      </c>
      <c r="N2080" s="1" t="str">
        <f t="shared" si="32"/>
        <v>Normal</v>
      </c>
    </row>
    <row r="2081" spans="1:14" x14ac:dyDescent="0.25">
      <c r="A2081" s="1" t="s">
        <v>3294</v>
      </c>
      <c r="B2081" s="1" t="s">
        <v>37</v>
      </c>
      <c r="C2081" s="1" t="s">
        <v>488</v>
      </c>
      <c r="D2081" s="1" t="s">
        <v>25</v>
      </c>
      <c r="E2081" s="1" t="s">
        <v>61</v>
      </c>
      <c r="F2081" s="1" t="s">
        <v>18</v>
      </c>
      <c r="G2081" s="1">
        <v>78702</v>
      </c>
      <c r="H2081" s="63">
        <v>45502</v>
      </c>
      <c r="I2081" s="63">
        <v>45584</v>
      </c>
      <c r="J2081" s="1">
        <v>82</v>
      </c>
      <c r="K2081" s="1">
        <v>4.4000000000000004</v>
      </c>
      <c r="L2081" s="1" t="s">
        <v>49</v>
      </c>
      <c r="M2081" s="1" t="s">
        <v>149</v>
      </c>
      <c r="N2081" s="1" t="str">
        <f t="shared" si="32"/>
        <v>Normal</v>
      </c>
    </row>
    <row r="2082" spans="1:14" x14ac:dyDescent="0.25">
      <c r="A2082" s="1" t="s">
        <v>3295</v>
      </c>
      <c r="B2082" s="1" t="s">
        <v>127</v>
      </c>
      <c r="C2082" s="1" t="s">
        <v>662</v>
      </c>
      <c r="D2082" s="1" t="s">
        <v>67</v>
      </c>
      <c r="E2082" s="1" t="s">
        <v>4845</v>
      </c>
      <c r="F2082" s="1" t="s">
        <v>33</v>
      </c>
      <c r="G2082" s="1">
        <v>303674</v>
      </c>
      <c r="H2082" s="63">
        <v>45528</v>
      </c>
      <c r="J2082" s="1"/>
      <c r="K2082" s="1"/>
      <c r="L2082" s="1" t="s">
        <v>49</v>
      </c>
      <c r="M2082" s="1" t="s">
        <v>149</v>
      </c>
      <c r="N2082" s="1" t="str">
        <f t="shared" si="32"/>
        <v>Normal</v>
      </c>
    </row>
    <row r="2083" spans="1:14" x14ac:dyDescent="0.25">
      <c r="A2083" s="1" t="s">
        <v>3296</v>
      </c>
      <c r="B2083" s="1" t="s">
        <v>104</v>
      </c>
      <c r="C2083" s="1" t="s">
        <v>944</v>
      </c>
      <c r="D2083" s="1" t="s">
        <v>67</v>
      </c>
      <c r="E2083" s="1" t="s">
        <v>94</v>
      </c>
      <c r="F2083" s="1" t="s">
        <v>33</v>
      </c>
      <c r="G2083" s="1">
        <v>151222</v>
      </c>
      <c r="H2083" s="63">
        <v>45337</v>
      </c>
      <c r="J2083" s="1"/>
      <c r="K2083" s="1"/>
      <c r="L2083" s="1" t="s">
        <v>29</v>
      </c>
      <c r="M2083" s="1" t="s">
        <v>69</v>
      </c>
      <c r="N2083" s="1" t="str">
        <f t="shared" si="32"/>
        <v>Normal</v>
      </c>
    </row>
    <row r="2084" spans="1:14" x14ac:dyDescent="0.25">
      <c r="A2084" s="1" t="s">
        <v>3297</v>
      </c>
      <c r="B2084" s="1" t="s">
        <v>14</v>
      </c>
      <c r="C2084" s="1" t="s">
        <v>116</v>
      </c>
      <c r="D2084" s="1" t="s">
        <v>90</v>
      </c>
      <c r="E2084" s="1" t="s">
        <v>26</v>
      </c>
      <c r="F2084" s="1" t="s">
        <v>40</v>
      </c>
      <c r="G2084" s="1">
        <v>450183</v>
      </c>
      <c r="H2084" s="63">
        <v>44929</v>
      </c>
      <c r="I2084" s="63">
        <v>45086</v>
      </c>
      <c r="J2084" s="1">
        <v>157</v>
      </c>
      <c r="K2084" s="1">
        <v>24.3</v>
      </c>
      <c r="L2084" s="1" t="s">
        <v>96</v>
      </c>
      <c r="M2084" s="1" t="s">
        <v>35</v>
      </c>
      <c r="N2084" s="1" t="str">
        <f t="shared" si="32"/>
        <v>Normal</v>
      </c>
    </row>
    <row r="2085" spans="1:14" x14ac:dyDescent="0.25">
      <c r="A2085" s="1" t="s">
        <v>3298</v>
      </c>
      <c r="B2085" s="1" t="s">
        <v>65</v>
      </c>
      <c r="C2085" s="1" t="s">
        <v>1185</v>
      </c>
      <c r="D2085" s="1" t="s">
        <v>25</v>
      </c>
      <c r="E2085" s="1" t="s">
        <v>61</v>
      </c>
      <c r="F2085" s="1" t="s">
        <v>40</v>
      </c>
      <c r="G2085" s="1">
        <v>82651</v>
      </c>
      <c r="H2085" s="63">
        <v>45442</v>
      </c>
      <c r="I2085" s="63">
        <v>45477</v>
      </c>
      <c r="J2085" s="1">
        <v>35</v>
      </c>
      <c r="K2085" s="1">
        <v>18.3</v>
      </c>
      <c r="L2085" s="1" t="s">
        <v>96</v>
      </c>
      <c r="M2085" s="1" t="s">
        <v>107</v>
      </c>
      <c r="N2085" s="1" t="str">
        <f t="shared" si="32"/>
        <v>Normal</v>
      </c>
    </row>
    <row r="2086" spans="1:14" x14ac:dyDescent="0.25">
      <c r="A2086" s="1" t="s">
        <v>3299</v>
      </c>
      <c r="B2086" s="1" t="s">
        <v>84</v>
      </c>
      <c r="C2086" s="1" t="s">
        <v>885</v>
      </c>
      <c r="D2086" s="1" t="s">
        <v>25</v>
      </c>
      <c r="E2086" s="1" t="s">
        <v>72</v>
      </c>
      <c r="F2086" s="1" t="s">
        <v>129</v>
      </c>
      <c r="G2086" s="1">
        <v>53327</v>
      </c>
      <c r="H2086" s="63">
        <v>45677</v>
      </c>
      <c r="J2086" s="1"/>
      <c r="K2086" s="1">
        <v>1.5</v>
      </c>
      <c r="L2086" s="1" t="s">
        <v>96</v>
      </c>
      <c r="M2086" s="1" t="s">
        <v>63</v>
      </c>
      <c r="N2086" s="1" t="str">
        <f t="shared" si="32"/>
        <v>Normal</v>
      </c>
    </row>
    <row r="2087" spans="1:14" x14ac:dyDescent="0.25">
      <c r="A2087" s="1" t="s">
        <v>3300</v>
      </c>
      <c r="B2087" s="1" t="s">
        <v>44</v>
      </c>
      <c r="C2087" s="1" t="s">
        <v>433</v>
      </c>
      <c r="D2087" s="1" t="s">
        <v>16</v>
      </c>
      <c r="E2087" s="1" t="s">
        <v>61</v>
      </c>
      <c r="F2087" s="1" t="s">
        <v>40</v>
      </c>
      <c r="G2087" s="1">
        <v>426863</v>
      </c>
      <c r="H2087" s="63">
        <v>45384</v>
      </c>
      <c r="I2087" s="63">
        <v>45549</v>
      </c>
      <c r="J2087" s="1">
        <v>165</v>
      </c>
      <c r="K2087" s="1">
        <v>11.7</v>
      </c>
      <c r="L2087" s="1" t="s">
        <v>49</v>
      </c>
      <c r="M2087" s="1" t="s">
        <v>107</v>
      </c>
      <c r="N2087" s="1" t="str">
        <f t="shared" si="32"/>
        <v>Normal</v>
      </c>
    </row>
    <row r="2088" spans="1:14" x14ac:dyDescent="0.25">
      <c r="A2088" s="1" t="s">
        <v>3301</v>
      </c>
      <c r="B2088" s="1" t="s">
        <v>59</v>
      </c>
      <c r="C2088" s="1" t="s">
        <v>415</v>
      </c>
      <c r="D2088" s="1" t="s">
        <v>16</v>
      </c>
      <c r="E2088" s="1" t="s">
        <v>94</v>
      </c>
      <c r="F2088" s="1" t="s">
        <v>18</v>
      </c>
      <c r="G2088" s="1">
        <v>405818</v>
      </c>
      <c r="H2088" s="63">
        <v>44967</v>
      </c>
      <c r="I2088" s="63">
        <v>45124</v>
      </c>
      <c r="J2088" s="1">
        <v>157</v>
      </c>
      <c r="K2088" s="1"/>
      <c r="L2088" s="1" t="s">
        <v>20</v>
      </c>
      <c r="M2088" s="1" t="s">
        <v>35</v>
      </c>
      <c r="N2088" s="1" t="str">
        <f t="shared" si="32"/>
        <v>Normal</v>
      </c>
    </row>
    <row r="2089" spans="1:14" x14ac:dyDescent="0.25">
      <c r="A2089" s="1" t="s">
        <v>3302</v>
      </c>
      <c r="B2089" s="1" t="s">
        <v>84</v>
      </c>
      <c r="C2089" s="1" t="s">
        <v>1172</v>
      </c>
      <c r="D2089" s="1" t="s">
        <v>90</v>
      </c>
      <c r="E2089" s="1" t="s">
        <v>26</v>
      </c>
      <c r="F2089" s="1" t="s">
        <v>27</v>
      </c>
      <c r="G2089" s="1">
        <v>194379</v>
      </c>
      <c r="H2089" s="63">
        <v>45188</v>
      </c>
      <c r="J2089" s="1"/>
      <c r="K2089" s="1">
        <v>0.6</v>
      </c>
      <c r="L2089" s="1" t="s">
        <v>49</v>
      </c>
      <c r="M2089" s="1" t="s">
        <v>102</v>
      </c>
      <c r="N2089" s="1" t="str">
        <f t="shared" si="32"/>
        <v>Normal</v>
      </c>
    </row>
    <row r="2090" spans="1:14" x14ac:dyDescent="0.25">
      <c r="A2090" s="1" t="s">
        <v>3303</v>
      </c>
      <c r="B2090" s="1" t="s">
        <v>23</v>
      </c>
      <c r="C2090" s="1" t="s">
        <v>603</v>
      </c>
      <c r="D2090" s="1" t="s">
        <v>67</v>
      </c>
      <c r="E2090" s="1" t="s">
        <v>94</v>
      </c>
      <c r="F2090" s="1" t="s">
        <v>53</v>
      </c>
      <c r="G2090" s="1">
        <v>68003</v>
      </c>
      <c r="H2090" s="63">
        <v>45109</v>
      </c>
      <c r="J2090" s="1"/>
      <c r="K2090" s="1">
        <v>13</v>
      </c>
      <c r="L2090" s="1" t="s">
        <v>20</v>
      </c>
      <c r="M2090" s="1" t="s">
        <v>102</v>
      </c>
      <c r="N2090" s="1" t="str">
        <f t="shared" si="32"/>
        <v>Normal</v>
      </c>
    </row>
    <row r="2091" spans="1:14" x14ac:dyDescent="0.25">
      <c r="A2091" s="1" t="s">
        <v>3304</v>
      </c>
      <c r="B2091" s="1" t="s">
        <v>109</v>
      </c>
      <c r="C2091" s="1" t="s">
        <v>2503</v>
      </c>
      <c r="D2091" s="1" t="s">
        <v>39</v>
      </c>
      <c r="E2091" s="1" t="s">
        <v>94</v>
      </c>
      <c r="F2091" s="1" t="s">
        <v>53</v>
      </c>
      <c r="G2091" s="1">
        <v>414217</v>
      </c>
      <c r="H2091" s="63">
        <v>45054</v>
      </c>
      <c r="J2091" s="1"/>
      <c r="K2091" s="1"/>
      <c r="L2091" s="1" t="s">
        <v>96</v>
      </c>
      <c r="M2091" s="1" t="s">
        <v>30</v>
      </c>
      <c r="N2091" s="1" t="str">
        <f t="shared" si="32"/>
        <v>Normal</v>
      </c>
    </row>
    <row r="2092" spans="1:14" x14ac:dyDescent="0.25">
      <c r="A2092" s="1" t="s">
        <v>3305</v>
      </c>
      <c r="B2092" s="1" t="s">
        <v>88</v>
      </c>
      <c r="C2092" s="1" t="s">
        <v>85</v>
      </c>
      <c r="D2092" s="1" t="s">
        <v>46</v>
      </c>
      <c r="E2092" s="1" t="s">
        <v>100</v>
      </c>
      <c r="F2092" s="1" t="s">
        <v>27</v>
      </c>
      <c r="G2092" s="1">
        <v>437597</v>
      </c>
      <c r="H2092" s="63">
        <v>45516</v>
      </c>
      <c r="J2092" s="1"/>
      <c r="K2092" s="1">
        <v>7.5</v>
      </c>
      <c r="L2092" s="1" t="s">
        <v>29</v>
      </c>
      <c r="M2092" s="1" t="s">
        <v>149</v>
      </c>
      <c r="N2092" s="1" t="str">
        <f t="shared" si="32"/>
        <v>Normal</v>
      </c>
    </row>
    <row r="2093" spans="1:14" x14ac:dyDescent="0.25">
      <c r="A2093" s="1" t="s">
        <v>3306</v>
      </c>
      <c r="B2093" s="1" t="s">
        <v>88</v>
      </c>
      <c r="C2093" s="1" t="s">
        <v>587</v>
      </c>
      <c r="D2093" s="1" t="s">
        <v>46</v>
      </c>
      <c r="E2093" s="1" t="s">
        <v>4845</v>
      </c>
      <c r="F2093" s="1" t="s">
        <v>40</v>
      </c>
      <c r="G2093" s="1">
        <v>126863</v>
      </c>
      <c r="H2093" s="63">
        <v>45234</v>
      </c>
      <c r="I2093" s="63">
        <v>45258</v>
      </c>
      <c r="J2093" s="1">
        <v>24</v>
      </c>
      <c r="K2093" s="1">
        <v>16.7</v>
      </c>
      <c r="L2093" s="1" t="s">
        <v>49</v>
      </c>
      <c r="M2093" s="1" t="s">
        <v>21</v>
      </c>
      <c r="N2093" s="1" t="str">
        <f t="shared" si="32"/>
        <v>Normal</v>
      </c>
    </row>
    <row r="2094" spans="1:14" x14ac:dyDescent="0.25">
      <c r="A2094" s="1" t="s">
        <v>3307</v>
      </c>
      <c r="B2094" s="1" t="s">
        <v>59</v>
      </c>
      <c r="C2094" s="1" t="s">
        <v>2006</v>
      </c>
      <c r="D2094" s="1" t="s">
        <v>67</v>
      </c>
      <c r="E2094" s="1" t="s">
        <v>72</v>
      </c>
      <c r="F2094" s="1" t="s">
        <v>33</v>
      </c>
      <c r="G2094" s="1">
        <v>64790</v>
      </c>
      <c r="H2094" s="63">
        <v>45112</v>
      </c>
      <c r="J2094" s="1"/>
      <c r="K2094" s="1">
        <v>0.6</v>
      </c>
      <c r="L2094" s="1" t="s">
        <v>96</v>
      </c>
      <c r="M2094" s="1" t="s">
        <v>102</v>
      </c>
      <c r="N2094" s="1" t="str">
        <f t="shared" si="32"/>
        <v>Normal</v>
      </c>
    </row>
    <row r="2095" spans="1:14" x14ac:dyDescent="0.25">
      <c r="A2095" s="1" t="s">
        <v>3308</v>
      </c>
      <c r="B2095" s="1" t="s">
        <v>173</v>
      </c>
      <c r="C2095" s="1" t="s">
        <v>81</v>
      </c>
      <c r="D2095" s="1" t="s">
        <v>46</v>
      </c>
      <c r="E2095" s="1" t="s">
        <v>77</v>
      </c>
      <c r="F2095" s="1" t="s">
        <v>53</v>
      </c>
      <c r="G2095" s="1">
        <v>336981</v>
      </c>
      <c r="H2095" s="63">
        <v>45295</v>
      </c>
      <c r="J2095" s="1"/>
      <c r="K2095" s="1">
        <v>2.1</v>
      </c>
      <c r="L2095" s="1" t="s">
        <v>20</v>
      </c>
      <c r="M2095" s="1" t="s">
        <v>69</v>
      </c>
      <c r="N2095" s="1" t="str">
        <f t="shared" si="32"/>
        <v>Normal</v>
      </c>
    </row>
    <row r="2096" spans="1:14" x14ac:dyDescent="0.25">
      <c r="A2096" s="1" t="s">
        <v>3310</v>
      </c>
      <c r="B2096" s="1" t="s">
        <v>14</v>
      </c>
      <c r="C2096" s="1" t="s">
        <v>279</v>
      </c>
      <c r="D2096" s="1" t="s">
        <v>39</v>
      </c>
      <c r="E2096" s="1" t="s">
        <v>17</v>
      </c>
      <c r="F2096" s="1" t="s">
        <v>53</v>
      </c>
      <c r="G2096" s="1">
        <v>23682</v>
      </c>
      <c r="H2096" s="63">
        <v>45605</v>
      </c>
      <c r="J2096" s="1"/>
      <c r="K2096" s="1">
        <v>7.5</v>
      </c>
      <c r="L2096" s="1" t="s">
        <v>96</v>
      </c>
      <c r="M2096" s="1" t="s">
        <v>42</v>
      </c>
      <c r="N2096" s="1" t="str">
        <f t="shared" si="32"/>
        <v>Normal</v>
      </c>
    </row>
    <row r="2097" spans="1:14" x14ac:dyDescent="0.25">
      <c r="A2097" s="1" t="s">
        <v>3311</v>
      </c>
      <c r="B2097" s="1" t="s">
        <v>23</v>
      </c>
      <c r="C2097" s="1" t="s">
        <v>513</v>
      </c>
      <c r="D2097" s="1" t="s">
        <v>39</v>
      </c>
      <c r="E2097" s="1" t="s">
        <v>94</v>
      </c>
      <c r="F2097" s="1" t="s">
        <v>18</v>
      </c>
      <c r="G2097" s="1">
        <v>76467</v>
      </c>
      <c r="H2097" s="63">
        <v>45693</v>
      </c>
      <c r="I2097" s="63">
        <v>45831</v>
      </c>
      <c r="J2097" s="1">
        <v>138</v>
      </c>
      <c r="K2097" s="1">
        <v>2</v>
      </c>
      <c r="L2097" s="1" t="s">
        <v>49</v>
      </c>
      <c r="M2097" s="1" t="s">
        <v>63</v>
      </c>
      <c r="N2097" s="1" t="str">
        <f t="shared" si="32"/>
        <v>Normal</v>
      </c>
    </row>
    <row r="2098" spans="1:14" x14ac:dyDescent="0.25">
      <c r="A2098" s="1" t="s">
        <v>3312</v>
      </c>
      <c r="B2098" s="1" t="s">
        <v>88</v>
      </c>
      <c r="C2098" s="1" t="s">
        <v>110</v>
      </c>
      <c r="D2098" s="1" t="s">
        <v>46</v>
      </c>
      <c r="E2098" s="1" t="s">
        <v>47</v>
      </c>
      <c r="F2098" s="1" t="s">
        <v>129</v>
      </c>
      <c r="G2098" s="1">
        <v>327201</v>
      </c>
      <c r="H2098" s="63">
        <v>45508</v>
      </c>
      <c r="J2098" s="1"/>
      <c r="K2098" s="1">
        <v>4.8</v>
      </c>
      <c r="L2098" s="1" t="s">
        <v>29</v>
      </c>
      <c r="M2098" s="1" t="s">
        <v>149</v>
      </c>
      <c r="N2098" s="1" t="str">
        <f t="shared" si="32"/>
        <v>Normal</v>
      </c>
    </row>
    <row r="2099" spans="1:14" x14ac:dyDescent="0.25">
      <c r="A2099" s="1" t="s">
        <v>3313</v>
      </c>
      <c r="B2099" s="1" t="s">
        <v>37</v>
      </c>
      <c r="C2099" s="1" t="s">
        <v>1043</v>
      </c>
      <c r="D2099" s="1" t="s">
        <v>90</v>
      </c>
      <c r="E2099" s="1" t="s">
        <v>17</v>
      </c>
      <c r="F2099" s="1" t="s">
        <v>40</v>
      </c>
      <c r="G2099" s="1">
        <v>125678</v>
      </c>
      <c r="H2099" s="63">
        <v>45135</v>
      </c>
      <c r="I2099" s="63">
        <v>45298</v>
      </c>
      <c r="J2099" s="1">
        <v>163</v>
      </c>
      <c r="K2099" s="1">
        <v>21.5</v>
      </c>
      <c r="L2099" s="1" t="s">
        <v>20</v>
      </c>
      <c r="M2099" s="1" t="s">
        <v>102</v>
      </c>
      <c r="N2099" s="1" t="str">
        <f t="shared" si="32"/>
        <v>Normal</v>
      </c>
    </row>
    <row r="2100" spans="1:14" x14ac:dyDescent="0.25">
      <c r="A2100" s="1" t="s">
        <v>3314</v>
      </c>
      <c r="B2100" s="1" t="s">
        <v>4829</v>
      </c>
      <c r="C2100" s="1" t="s">
        <v>622</v>
      </c>
      <c r="D2100" s="1" t="s">
        <v>67</v>
      </c>
      <c r="E2100" s="1" t="s">
        <v>61</v>
      </c>
      <c r="F2100" s="1" t="s">
        <v>40</v>
      </c>
      <c r="G2100" s="1">
        <v>277609</v>
      </c>
      <c r="H2100" s="63">
        <v>45057</v>
      </c>
      <c r="I2100" s="63">
        <v>45147</v>
      </c>
      <c r="J2100" s="1">
        <v>90</v>
      </c>
      <c r="K2100" s="1">
        <v>22.5</v>
      </c>
      <c r="L2100" s="1" t="s">
        <v>96</v>
      </c>
      <c r="M2100" s="1" t="s">
        <v>30</v>
      </c>
      <c r="N2100" s="1" t="str">
        <f t="shared" si="32"/>
        <v>Normal</v>
      </c>
    </row>
    <row r="2101" spans="1:14" x14ac:dyDescent="0.25">
      <c r="A2101" s="1" t="s">
        <v>3315</v>
      </c>
      <c r="B2101" s="1" t="s">
        <v>59</v>
      </c>
      <c r="C2101" s="1" t="s">
        <v>711</v>
      </c>
      <c r="D2101" s="1" t="s">
        <v>46</v>
      </c>
      <c r="E2101" s="1" t="s">
        <v>77</v>
      </c>
      <c r="F2101" s="1" t="s">
        <v>27</v>
      </c>
      <c r="G2101" s="1">
        <v>101488</v>
      </c>
      <c r="H2101" s="63">
        <v>45318</v>
      </c>
      <c r="J2101" s="1"/>
      <c r="K2101" s="1">
        <v>10.7</v>
      </c>
      <c r="L2101" s="1" t="s">
        <v>20</v>
      </c>
      <c r="M2101" s="1" t="s">
        <v>69</v>
      </c>
      <c r="N2101" s="1" t="str">
        <f t="shared" si="32"/>
        <v>Normal</v>
      </c>
    </row>
    <row r="2102" spans="1:14" x14ac:dyDescent="0.25">
      <c r="A2102" s="1" t="s">
        <v>3316</v>
      </c>
      <c r="B2102" s="1" t="s">
        <v>44</v>
      </c>
      <c r="C2102" s="1" t="s">
        <v>564</v>
      </c>
      <c r="D2102" s="1" t="s">
        <v>39</v>
      </c>
      <c r="E2102" s="1" t="s">
        <v>26</v>
      </c>
      <c r="F2102" s="1" t="s">
        <v>53</v>
      </c>
      <c r="G2102" s="1">
        <v>256037</v>
      </c>
      <c r="H2102" s="63">
        <v>45244</v>
      </c>
      <c r="J2102" s="1"/>
      <c r="K2102" s="1">
        <v>8.3000000000000007</v>
      </c>
      <c r="L2102" s="1" t="s">
        <v>20</v>
      </c>
      <c r="M2102" s="1" t="s">
        <v>21</v>
      </c>
      <c r="N2102" s="1" t="str">
        <f t="shared" si="32"/>
        <v>Normal</v>
      </c>
    </row>
    <row r="2103" spans="1:14" x14ac:dyDescent="0.25">
      <c r="A2103" s="1" t="s">
        <v>3318</v>
      </c>
      <c r="B2103" s="1" t="s">
        <v>88</v>
      </c>
      <c r="C2103" s="1" t="s">
        <v>300</v>
      </c>
      <c r="D2103" s="1" t="s">
        <v>90</v>
      </c>
      <c r="E2103" s="1" t="s">
        <v>100</v>
      </c>
      <c r="F2103" s="1" t="s">
        <v>53</v>
      </c>
      <c r="G2103" s="1">
        <v>272931</v>
      </c>
      <c r="H2103" s="63">
        <v>45636</v>
      </c>
      <c r="J2103" s="1"/>
      <c r="K2103" s="1">
        <v>12.6</v>
      </c>
      <c r="L2103" s="1" t="s">
        <v>20</v>
      </c>
      <c r="M2103" s="1" t="s">
        <v>42</v>
      </c>
      <c r="N2103" s="1" t="str">
        <f t="shared" si="32"/>
        <v>Normal</v>
      </c>
    </row>
    <row r="2104" spans="1:14" x14ac:dyDescent="0.25">
      <c r="A2104" s="1" t="s">
        <v>3320</v>
      </c>
      <c r="B2104" s="1" t="s">
        <v>104</v>
      </c>
      <c r="C2104" s="1" t="s">
        <v>122</v>
      </c>
      <c r="D2104" s="1" t="s">
        <v>16</v>
      </c>
      <c r="E2104" s="1" t="s">
        <v>26</v>
      </c>
      <c r="F2104" s="1" t="s">
        <v>27</v>
      </c>
      <c r="G2104" s="1">
        <v>94242</v>
      </c>
      <c r="H2104" s="63">
        <v>44938</v>
      </c>
      <c r="J2104" s="1"/>
      <c r="K2104" s="1"/>
      <c r="L2104" s="1" t="s">
        <v>20</v>
      </c>
      <c r="M2104" s="1" t="s">
        <v>35</v>
      </c>
      <c r="N2104" s="1" t="str">
        <f t="shared" si="32"/>
        <v>Normal</v>
      </c>
    </row>
    <row r="2105" spans="1:14" x14ac:dyDescent="0.25">
      <c r="A2105" s="1" t="s">
        <v>3321</v>
      </c>
      <c r="B2105" s="1" t="s">
        <v>59</v>
      </c>
      <c r="C2105" s="1" t="s">
        <v>287</v>
      </c>
      <c r="D2105" s="1" t="s">
        <v>46</v>
      </c>
      <c r="E2105" s="1" t="s">
        <v>26</v>
      </c>
      <c r="F2105" s="1" t="s">
        <v>40</v>
      </c>
      <c r="G2105" s="1">
        <v>460792</v>
      </c>
      <c r="H2105" s="63">
        <v>45518</v>
      </c>
      <c r="I2105" s="63">
        <v>45608</v>
      </c>
      <c r="J2105" s="1">
        <v>90</v>
      </c>
      <c r="K2105" s="1">
        <v>14.4</v>
      </c>
      <c r="L2105" s="1" t="s">
        <v>96</v>
      </c>
      <c r="M2105" s="1" t="s">
        <v>149</v>
      </c>
      <c r="N2105" s="1" t="str">
        <f t="shared" si="32"/>
        <v>Normal</v>
      </c>
    </row>
    <row r="2106" spans="1:14" x14ac:dyDescent="0.25">
      <c r="A2106" s="1" t="s">
        <v>3322</v>
      </c>
      <c r="B2106" s="1" t="s">
        <v>65</v>
      </c>
      <c r="C2106" s="1" t="s">
        <v>558</v>
      </c>
      <c r="D2106" s="1" t="s">
        <v>46</v>
      </c>
      <c r="E2106" s="1" t="s">
        <v>47</v>
      </c>
      <c r="F2106" s="1" t="s">
        <v>27</v>
      </c>
      <c r="G2106" s="1">
        <v>221543</v>
      </c>
      <c r="H2106" s="63">
        <v>45408</v>
      </c>
      <c r="J2106" s="1"/>
      <c r="K2106" s="1">
        <v>5</v>
      </c>
      <c r="L2106" s="1" t="s">
        <v>96</v>
      </c>
      <c r="M2106" s="1" t="s">
        <v>107</v>
      </c>
      <c r="N2106" s="1" t="str">
        <f t="shared" si="32"/>
        <v>Normal</v>
      </c>
    </row>
    <row r="2107" spans="1:14" x14ac:dyDescent="0.25">
      <c r="A2107" s="1" t="s">
        <v>3323</v>
      </c>
      <c r="B2107" s="1" t="s">
        <v>44</v>
      </c>
      <c r="C2107" s="1" t="s">
        <v>2987</v>
      </c>
      <c r="D2107" s="1" t="s">
        <v>25</v>
      </c>
      <c r="E2107" s="1" t="s">
        <v>17</v>
      </c>
      <c r="F2107" s="1" t="s">
        <v>33</v>
      </c>
      <c r="G2107" s="1">
        <v>406094</v>
      </c>
      <c r="H2107" s="63">
        <v>45582</v>
      </c>
      <c r="J2107" s="1"/>
      <c r="K2107" s="1">
        <v>12.2</v>
      </c>
      <c r="L2107" s="1" t="s">
        <v>29</v>
      </c>
      <c r="M2107" s="1" t="s">
        <v>42</v>
      </c>
      <c r="N2107" s="1" t="str">
        <f t="shared" si="32"/>
        <v>Normal</v>
      </c>
    </row>
    <row r="2108" spans="1:14" x14ac:dyDescent="0.25">
      <c r="A2108" s="1" t="s">
        <v>3324</v>
      </c>
      <c r="B2108" s="1" t="s">
        <v>104</v>
      </c>
      <c r="C2108" s="1" t="s">
        <v>321</v>
      </c>
      <c r="D2108" s="1" t="s">
        <v>16</v>
      </c>
      <c r="E2108" s="1" t="s">
        <v>47</v>
      </c>
      <c r="F2108" s="1" t="s">
        <v>40</v>
      </c>
      <c r="G2108" s="1">
        <v>26639</v>
      </c>
      <c r="H2108" s="63">
        <v>45695</v>
      </c>
      <c r="I2108" s="63">
        <v>45747</v>
      </c>
      <c r="J2108" s="1">
        <v>52</v>
      </c>
      <c r="K2108" s="1">
        <v>19.399999999999999</v>
      </c>
      <c r="L2108" s="1" t="s">
        <v>96</v>
      </c>
      <c r="M2108" s="1" t="s">
        <v>63</v>
      </c>
      <c r="N2108" s="1" t="str">
        <f t="shared" si="32"/>
        <v>Normal</v>
      </c>
    </row>
    <row r="2109" spans="1:14" x14ac:dyDescent="0.25">
      <c r="A2109" s="1" t="s">
        <v>3326</v>
      </c>
      <c r="B2109" s="1" t="s">
        <v>127</v>
      </c>
      <c r="C2109" s="1" t="s">
        <v>735</v>
      </c>
      <c r="D2109" s="1" t="s">
        <v>90</v>
      </c>
      <c r="E2109" s="1" t="s">
        <v>47</v>
      </c>
      <c r="F2109" s="1" t="s">
        <v>129</v>
      </c>
      <c r="G2109" s="1">
        <v>452661</v>
      </c>
      <c r="H2109" s="63">
        <v>45565</v>
      </c>
      <c r="J2109" s="1"/>
      <c r="K2109" s="1">
        <v>4.4000000000000004</v>
      </c>
      <c r="L2109" s="1" t="s">
        <v>96</v>
      </c>
      <c r="M2109" s="1" t="s">
        <v>149</v>
      </c>
      <c r="N2109" s="1" t="str">
        <f t="shared" si="32"/>
        <v>Normal</v>
      </c>
    </row>
    <row r="2110" spans="1:14" x14ac:dyDescent="0.25">
      <c r="A2110" s="1" t="s">
        <v>3327</v>
      </c>
      <c r="B2110" s="1" t="s">
        <v>59</v>
      </c>
      <c r="C2110" s="1" t="s">
        <v>122</v>
      </c>
      <c r="D2110" s="1" t="s">
        <v>16</v>
      </c>
      <c r="E2110" s="1" t="s">
        <v>100</v>
      </c>
      <c r="F2110" s="1" t="s">
        <v>129</v>
      </c>
      <c r="G2110" s="1">
        <v>80427</v>
      </c>
      <c r="H2110" s="63">
        <v>45229</v>
      </c>
      <c r="J2110" s="1"/>
      <c r="K2110" s="1">
        <v>6.7</v>
      </c>
      <c r="L2110" s="1" t="s">
        <v>96</v>
      </c>
      <c r="M2110" s="1" t="s">
        <v>21</v>
      </c>
      <c r="N2110" s="1" t="str">
        <f t="shared" si="32"/>
        <v>Normal</v>
      </c>
    </row>
    <row r="2111" spans="1:14" x14ac:dyDescent="0.25">
      <c r="A2111" s="1" t="s">
        <v>3328</v>
      </c>
      <c r="B2111" s="1" t="s">
        <v>98</v>
      </c>
      <c r="C2111" s="1" t="s">
        <v>105</v>
      </c>
      <c r="D2111" s="1" t="s">
        <v>46</v>
      </c>
      <c r="E2111" s="1" t="s">
        <v>72</v>
      </c>
      <c r="F2111" s="1" t="s">
        <v>33</v>
      </c>
      <c r="G2111" s="1">
        <v>79897</v>
      </c>
      <c r="H2111" s="63">
        <v>44979</v>
      </c>
      <c r="J2111" s="1"/>
      <c r="K2111" s="1">
        <v>6.3</v>
      </c>
      <c r="L2111" s="1" t="s">
        <v>49</v>
      </c>
      <c r="M2111" s="1" t="s">
        <v>35</v>
      </c>
      <c r="N2111" s="1" t="str">
        <f t="shared" si="32"/>
        <v>Normal</v>
      </c>
    </row>
    <row r="2112" spans="1:14" x14ac:dyDescent="0.25">
      <c r="A2112" s="1" t="s">
        <v>3329</v>
      </c>
      <c r="B2112" s="1" t="s">
        <v>80</v>
      </c>
      <c r="C2112" s="1" t="s">
        <v>686</v>
      </c>
      <c r="D2112" s="1" t="s">
        <v>39</v>
      </c>
      <c r="E2112" s="1" t="s">
        <v>77</v>
      </c>
      <c r="F2112" s="1" t="s">
        <v>18</v>
      </c>
      <c r="G2112" s="1">
        <v>278098</v>
      </c>
      <c r="H2112" s="63">
        <v>45346</v>
      </c>
      <c r="I2112" s="63">
        <v>45436</v>
      </c>
      <c r="J2112" s="1">
        <v>90</v>
      </c>
      <c r="K2112" s="1">
        <v>13.2</v>
      </c>
      <c r="L2112" s="1" t="s">
        <v>49</v>
      </c>
      <c r="M2112" s="1" t="s">
        <v>69</v>
      </c>
      <c r="N2112" s="1" t="str">
        <f t="shared" si="32"/>
        <v>Normal</v>
      </c>
    </row>
    <row r="2113" spans="1:14" x14ac:dyDescent="0.25">
      <c r="A2113" s="1" t="s">
        <v>3330</v>
      </c>
      <c r="B2113" s="1" t="s">
        <v>127</v>
      </c>
      <c r="C2113" s="1" t="s">
        <v>625</v>
      </c>
      <c r="D2113" s="1" t="s">
        <v>46</v>
      </c>
      <c r="E2113" s="1" t="s">
        <v>100</v>
      </c>
      <c r="F2113" s="1" t="s">
        <v>33</v>
      </c>
      <c r="G2113" s="1">
        <v>230807</v>
      </c>
      <c r="H2113" s="63">
        <v>45152</v>
      </c>
      <c r="J2113" s="1"/>
      <c r="K2113" s="1"/>
      <c r="L2113" s="1" t="s">
        <v>20</v>
      </c>
      <c r="M2113" s="1" t="s">
        <v>102</v>
      </c>
      <c r="N2113" s="1" t="str">
        <f t="shared" si="32"/>
        <v>Normal</v>
      </c>
    </row>
    <row r="2114" spans="1:14" x14ac:dyDescent="0.25">
      <c r="A2114" s="1" t="s">
        <v>3331</v>
      </c>
      <c r="B2114" s="1" t="s">
        <v>75</v>
      </c>
      <c r="C2114" s="1" t="s">
        <v>1151</v>
      </c>
      <c r="D2114" s="1" t="s">
        <v>67</v>
      </c>
      <c r="E2114" s="1" t="s">
        <v>61</v>
      </c>
      <c r="F2114" s="1" t="s">
        <v>18</v>
      </c>
      <c r="G2114" s="1">
        <v>78501</v>
      </c>
      <c r="H2114" s="63">
        <v>45280</v>
      </c>
      <c r="I2114" s="63">
        <v>45444</v>
      </c>
      <c r="J2114" s="1">
        <v>164</v>
      </c>
      <c r="K2114" s="1">
        <v>7.5</v>
      </c>
      <c r="L2114" s="1" t="s">
        <v>29</v>
      </c>
      <c r="M2114" s="1" t="s">
        <v>21</v>
      </c>
      <c r="N2114" s="1" t="str">
        <f t="shared" ref="N2114:N2177" si="33">IF(G2114&gt;$R$5,"High Outlier",IF(G2114&lt;$R$6,"Low Outlier","Normal"))</f>
        <v>Normal</v>
      </c>
    </row>
    <row r="2115" spans="1:14" x14ac:dyDescent="0.25">
      <c r="A2115" s="1" t="s">
        <v>3332</v>
      </c>
      <c r="B2115" s="1" t="s">
        <v>84</v>
      </c>
      <c r="C2115" s="1" t="s">
        <v>906</v>
      </c>
      <c r="D2115" s="1" t="s">
        <v>90</v>
      </c>
      <c r="E2115" s="1" t="s">
        <v>47</v>
      </c>
      <c r="F2115" s="1" t="s">
        <v>18</v>
      </c>
      <c r="G2115" s="1">
        <v>363965</v>
      </c>
      <c r="H2115" s="63">
        <v>45736</v>
      </c>
      <c r="I2115" s="63">
        <v>45903</v>
      </c>
      <c r="J2115" s="1">
        <v>167</v>
      </c>
      <c r="K2115" s="1">
        <v>14</v>
      </c>
      <c r="L2115" s="1" t="s">
        <v>20</v>
      </c>
      <c r="M2115" s="1" t="s">
        <v>63</v>
      </c>
      <c r="N2115" s="1" t="str">
        <f t="shared" si="33"/>
        <v>Normal</v>
      </c>
    </row>
    <row r="2116" spans="1:14" x14ac:dyDescent="0.25">
      <c r="A2116" s="1" t="s">
        <v>3333</v>
      </c>
      <c r="B2116" s="1" t="s">
        <v>75</v>
      </c>
      <c r="C2116" s="1" t="s">
        <v>536</v>
      </c>
      <c r="D2116" s="1" t="s">
        <v>39</v>
      </c>
      <c r="E2116" s="1" t="s">
        <v>17</v>
      </c>
      <c r="F2116" s="1" t="s">
        <v>53</v>
      </c>
      <c r="G2116" s="1">
        <v>383122</v>
      </c>
      <c r="H2116" s="63">
        <v>44999</v>
      </c>
      <c r="J2116" s="1"/>
      <c r="K2116" s="1"/>
      <c r="L2116" s="1" t="s">
        <v>49</v>
      </c>
      <c r="M2116" s="1" t="s">
        <v>35</v>
      </c>
      <c r="N2116" s="1" t="str">
        <f t="shared" si="33"/>
        <v>Normal</v>
      </c>
    </row>
    <row r="2117" spans="1:14" x14ac:dyDescent="0.25">
      <c r="A2117" s="1" t="s">
        <v>3334</v>
      </c>
      <c r="B2117" s="1" t="s">
        <v>173</v>
      </c>
      <c r="C2117" s="1" t="s">
        <v>1106</v>
      </c>
      <c r="D2117" s="1" t="s">
        <v>16</v>
      </c>
      <c r="E2117" s="1" t="s">
        <v>17</v>
      </c>
      <c r="F2117" s="1" t="s">
        <v>53</v>
      </c>
      <c r="G2117" s="1">
        <v>231892</v>
      </c>
      <c r="H2117" s="63">
        <v>45446</v>
      </c>
      <c r="J2117" s="1"/>
      <c r="K2117" s="1"/>
      <c r="L2117" s="1" t="s">
        <v>20</v>
      </c>
      <c r="M2117" s="1" t="s">
        <v>107</v>
      </c>
      <c r="N2117" s="1" t="str">
        <f t="shared" si="33"/>
        <v>Normal</v>
      </c>
    </row>
    <row r="2118" spans="1:14" x14ac:dyDescent="0.25">
      <c r="A2118" s="1" t="s">
        <v>3335</v>
      </c>
      <c r="B2118" s="1" t="s">
        <v>44</v>
      </c>
      <c r="C2118" s="1" t="s">
        <v>2091</v>
      </c>
      <c r="D2118" s="1" t="s">
        <v>16</v>
      </c>
      <c r="E2118" s="1" t="s">
        <v>47</v>
      </c>
      <c r="F2118" s="1" t="s">
        <v>18</v>
      </c>
      <c r="G2118" s="1">
        <v>338171</v>
      </c>
      <c r="H2118" s="63">
        <v>45202</v>
      </c>
      <c r="I2118" s="63">
        <v>45335</v>
      </c>
      <c r="J2118" s="1">
        <v>133</v>
      </c>
      <c r="K2118" s="1">
        <v>1.5</v>
      </c>
      <c r="L2118" s="1" t="s">
        <v>49</v>
      </c>
      <c r="M2118" s="1" t="s">
        <v>21</v>
      </c>
      <c r="N2118" s="1" t="str">
        <f t="shared" si="33"/>
        <v>Normal</v>
      </c>
    </row>
    <row r="2119" spans="1:14" x14ac:dyDescent="0.25">
      <c r="A2119" s="1" t="s">
        <v>3337</v>
      </c>
      <c r="B2119" s="1" t="s">
        <v>23</v>
      </c>
      <c r="C2119" s="1" t="s">
        <v>983</v>
      </c>
      <c r="D2119" s="1" t="s">
        <v>46</v>
      </c>
      <c r="E2119" s="1" t="s">
        <v>77</v>
      </c>
      <c r="F2119" s="1" t="s">
        <v>33</v>
      </c>
      <c r="G2119" s="1">
        <v>395041</v>
      </c>
      <c r="H2119" s="63">
        <v>45426</v>
      </c>
      <c r="J2119" s="1"/>
      <c r="K2119" s="1">
        <v>3.7</v>
      </c>
      <c r="L2119" s="1" t="s">
        <v>20</v>
      </c>
      <c r="M2119" s="1" t="s">
        <v>107</v>
      </c>
      <c r="N2119" s="1" t="str">
        <f t="shared" si="33"/>
        <v>Normal</v>
      </c>
    </row>
    <row r="2120" spans="1:14" x14ac:dyDescent="0.25">
      <c r="A2120" s="1" t="s">
        <v>3338</v>
      </c>
      <c r="B2120" s="1" t="s">
        <v>84</v>
      </c>
      <c r="C2120" s="1" t="s">
        <v>552</v>
      </c>
      <c r="D2120" s="1" t="s">
        <v>16</v>
      </c>
      <c r="E2120" s="1" t="s">
        <v>17</v>
      </c>
      <c r="F2120" s="1" t="s">
        <v>129</v>
      </c>
      <c r="G2120" s="1">
        <v>447593</v>
      </c>
      <c r="H2120" s="63">
        <v>45731</v>
      </c>
      <c r="J2120" s="1"/>
      <c r="K2120" s="1">
        <v>5.7</v>
      </c>
      <c r="L2120" s="1" t="s">
        <v>49</v>
      </c>
      <c r="M2120" s="1" t="s">
        <v>63</v>
      </c>
      <c r="N2120" s="1" t="str">
        <f t="shared" si="33"/>
        <v>Normal</v>
      </c>
    </row>
    <row r="2121" spans="1:14" x14ac:dyDescent="0.25">
      <c r="A2121" s="1" t="s">
        <v>3339</v>
      </c>
      <c r="B2121" s="1" t="s">
        <v>84</v>
      </c>
      <c r="C2121" s="1" t="s">
        <v>977</v>
      </c>
      <c r="D2121" s="1" t="s">
        <v>67</v>
      </c>
      <c r="E2121" s="1" t="s">
        <v>94</v>
      </c>
      <c r="F2121" s="1" t="s">
        <v>40</v>
      </c>
      <c r="G2121" s="1">
        <v>356122</v>
      </c>
      <c r="H2121" s="63">
        <v>45081</v>
      </c>
      <c r="I2121" s="63">
        <v>45243</v>
      </c>
      <c r="J2121" s="1">
        <v>162</v>
      </c>
      <c r="K2121" s="1">
        <v>15.8</v>
      </c>
      <c r="L2121" s="1" t="s">
        <v>49</v>
      </c>
      <c r="M2121" s="1" t="s">
        <v>30</v>
      </c>
      <c r="N2121" s="1" t="str">
        <f t="shared" si="33"/>
        <v>Normal</v>
      </c>
    </row>
    <row r="2122" spans="1:14" x14ac:dyDescent="0.25">
      <c r="A2122" s="1" t="s">
        <v>3340</v>
      </c>
      <c r="B2122" s="1" t="s">
        <v>44</v>
      </c>
      <c r="C2122" s="1" t="s">
        <v>426</v>
      </c>
      <c r="D2122" s="1" t="s">
        <v>25</v>
      </c>
      <c r="E2122" s="1" t="s">
        <v>77</v>
      </c>
      <c r="F2122" s="1" t="s">
        <v>40</v>
      </c>
      <c r="G2122" s="1">
        <v>293322</v>
      </c>
      <c r="H2122" s="63">
        <v>45398</v>
      </c>
      <c r="I2122" s="63">
        <v>45436</v>
      </c>
      <c r="J2122" s="1">
        <v>38</v>
      </c>
      <c r="K2122" s="1">
        <v>18.899999999999999</v>
      </c>
      <c r="L2122" s="1" t="s">
        <v>29</v>
      </c>
      <c r="M2122" s="1" t="s">
        <v>107</v>
      </c>
      <c r="N2122" s="1" t="str">
        <f t="shared" si="33"/>
        <v>Normal</v>
      </c>
    </row>
    <row r="2123" spans="1:14" x14ac:dyDescent="0.25">
      <c r="A2123" s="1" t="s">
        <v>3342</v>
      </c>
      <c r="B2123" s="1" t="s">
        <v>98</v>
      </c>
      <c r="C2123" s="1" t="s">
        <v>45</v>
      </c>
      <c r="D2123" s="1" t="s">
        <v>16</v>
      </c>
      <c r="E2123" s="1" t="s">
        <v>17</v>
      </c>
      <c r="F2123" s="1" t="s">
        <v>53</v>
      </c>
      <c r="G2123" s="1">
        <v>310346</v>
      </c>
      <c r="H2123" s="63">
        <v>45446</v>
      </c>
      <c r="J2123" s="1"/>
      <c r="K2123" s="1"/>
      <c r="L2123" s="1" t="s">
        <v>29</v>
      </c>
      <c r="M2123" s="1" t="s">
        <v>107</v>
      </c>
      <c r="N2123" s="1" t="str">
        <f t="shared" si="33"/>
        <v>Normal</v>
      </c>
    </row>
    <row r="2124" spans="1:14" x14ac:dyDescent="0.25">
      <c r="A2124" s="1" t="s">
        <v>3343</v>
      </c>
      <c r="B2124" s="1" t="s">
        <v>44</v>
      </c>
      <c r="C2124" s="1" t="s">
        <v>1165</v>
      </c>
      <c r="D2124" s="1" t="s">
        <v>90</v>
      </c>
      <c r="E2124" s="1" t="s">
        <v>47</v>
      </c>
      <c r="F2124" s="1" t="s">
        <v>129</v>
      </c>
      <c r="G2124" s="1">
        <v>389646</v>
      </c>
      <c r="H2124" s="63">
        <v>44989</v>
      </c>
      <c r="J2124" s="1"/>
      <c r="K2124" s="1">
        <v>11</v>
      </c>
      <c r="L2124" s="1" t="s">
        <v>49</v>
      </c>
      <c r="M2124" s="1" t="s">
        <v>35</v>
      </c>
      <c r="N2124" s="1" t="str">
        <f t="shared" si="33"/>
        <v>Normal</v>
      </c>
    </row>
    <row r="2125" spans="1:14" x14ac:dyDescent="0.25">
      <c r="A2125" s="1" t="s">
        <v>3344</v>
      </c>
      <c r="B2125" s="1" t="s">
        <v>65</v>
      </c>
      <c r="C2125" s="1" t="s">
        <v>116</v>
      </c>
      <c r="D2125" s="1" t="s">
        <v>90</v>
      </c>
      <c r="E2125" s="1" t="s">
        <v>100</v>
      </c>
      <c r="F2125" s="1" t="s">
        <v>18</v>
      </c>
      <c r="G2125" s="1">
        <v>396539</v>
      </c>
      <c r="H2125" s="63">
        <v>45611</v>
      </c>
      <c r="I2125" s="63">
        <v>45747</v>
      </c>
      <c r="J2125" s="1">
        <v>136</v>
      </c>
      <c r="K2125" s="1"/>
      <c r="L2125" s="1" t="s">
        <v>29</v>
      </c>
      <c r="M2125" s="1" t="s">
        <v>42</v>
      </c>
      <c r="N2125" s="1" t="str">
        <f t="shared" si="33"/>
        <v>Normal</v>
      </c>
    </row>
    <row r="2126" spans="1:14" x14ac:dyDescent="0.25">
      <c r="A2126" s="1" t="s">
        <v>3345</v>
      </c>
      <c r="B2126" s="1" t="s">
        <v>98</v>
      </c>
      <c r="C2126" s="1" t="s">
        <v>1554</v>
      </c>
      <c r="D2126" s="1" t="s">
        <v>39</v>
      </c>
      <c r="E2126" s="1" t="s">
        <v>100</v>
      </c>
      <c r="F2126" s="1" t="s">
        <v>33</v>
      </c>
      <c r="G2126" s="1">
        <v>403779</v>
      </c>
      <c r="H2126" s="63">
        <v>45490</v>
      </c>
      <c r="J2126" s="1"/>
      <c r="K2126" s="1"/>
      <c r="L2126" s="1" t="s">
        <v>49</v>
      </c>
      <c r="M2126" s="1" t="s">
        <v>149</v>
      </c>
      <c r="N2126" s="1" t="str">
        <f t="shared" si="33"/>
        <v>Normal</v>
      </c>
    </row>
    <row r="2127" spans="1:14" x14ac:dyDescent="0.25">
      <c r="A2127" s="1" t="s">
        <v>3346</v>
      </c>
      <c r="B2127" s="1" t="s">
        <v>75</v>
      </c>
      <c r="C2127" s="1" t="s">
        <v>1087</v>
      </c>
      <c r="D2127" s="1" t="s">
        <v>67</v>
      </c>
      <c r="E2127" s="1" t="s">
        <v>47</v>
      </c>
      <c r="F2127" s="1" t="s">
        <v>40</v>
      </c>
      <c r="G2127" s="1">
        <v>371251</v>
      </c>
      <c r="H2127" s="63">
        <v>45329</v>
      </c>
      <c r="I2127" s="63">
        <v>45430</v>
      </c>
      <c r="J2127" s="1">
        <v>101</v>
      </c>
      <c r="K2127" s="1">
        <v>17.399999999999999</v>
      </c>
      <c r="L2127" s="1" t="s">
        <v>20</v>
      </c>
      <c r="M2127" s="1" t="s">
        <v>69</v>
      </c>
      <c r="N2127" s="1" t="str">
        <f t="shared" si="33"/>
        <v>Normal</v>
      </c>
    </row>
    <row r="2128" spans="1:14" x14ac:dyDescent="0.25">
      <c r="A2128" s="1" t="s">
        <v>3347</v>
      </c>
      <c r="B2128" s="1" t="s">
        <v>59</v>
      </c>
      <c r="C2128" s="1" t="s">
        <v>381</v>
      </c>
      <c r="D2128" s="1" t="s">
        <v>67</v>
      </c>
      <c r="E2128" s="1" t="s">
        <v>17</v>
      </c>
      <c r="F2128" s="1" t="s">
        <v>53</v>
      </c>
      <c r="G2128" s="1">
        <v>469995</v>
      </c>
      <c r="H2128" s="63">
        <v>45045</v>
      </c>
      <c r="J2128" s="1"/>
      <c r="K2128" s="1">
        <v>12</v>
      </c>
      <c r="L2128" s="1" t="s">
        <v>96</v>
      </c>
      <c r="M2128" s="1" t="s">
        <v>30</v>
      </c>
      <c r="N2128" s="1" t="str">
        <f t="shared" si="33"/>
        <v>Normal</v>
      </c>
    </row>
    <row r="2129" spans="1:14" x14ac:dyDescent="0.25">
      <c r="A2129" s="1" t="s">
        <v>3348</v>
      </c>
      <c r="B2129" s="1" t="s">
        <v>59</v>
      </c>
      <c r="C2129" s="1" t="s">
        <v>273</v>
      </c>
      <c r="D2129" s="1" t="s">
        <v>46</v>
      </c>
      <c r="E2129" s="1" t="s">
        <v>100</v>
      </c>
      <c r="F2129" s="1" t="s">
        <v>53</v>
      </c>
      <c r="G2129" s="1">
        <v>53824</v>
      </c>
      <c r="H2129" s="63">
        <v>45383</v>
      </c>
      <c r="J2129" s="1"/>
      <c r="K2129" s="1">
        <v>10.199999999999999</v>
      </c>
      <c r="L2129" s="1" t="s">
        <v>20</v>
      </c>
      <c r="M2129" s="1" t="s">
        <v>107</v>
      </c>
      <c r="N2129" s="1" t="str">
        <f t="shared" si="33"/>
        <v>Normal</v>
      </c>
    </row>
    <row r="2130" spans="1:14" x14ac:dyDescent="0.25">
      <c r="A2130" s="1" t="s">
        <v>3349</v>
      </c>
      <c r="B2130" s="1" t="s">
        <v>88</v>
      </c>
      <c r="C2130" s="1" t="s">
        <v>928</v>
      </c>
      <c r="D2130" s="1" t="s">
        <v>90</v>
      </c>
      <c r="E2130" s="1" t="s">
        <v>72</v>
      </c>
      <c r="F2130" s="1" t="s">
        <v>40</v>
      </c>
      <c r="G2130" s="1">
        <v>207661</v>
      </c>
      <c r="H2130" s="63">
        <v>45687</v>
      </c>
      <c r="I2130" s="63">
        <v>45799</v>
      </c>
      <c r="J2130" s="1">
        <v>112</v>
      </c>
      <c r="K2130" s="1">
        <v>19.600000000000001</v>
      </c>
      <c r="L2130" s="1" t="s">
        <v>20</v>
      </c>
      <c r="M2130" s="1" t="s">
        <v>63</v>
      </c>
      <c r="N2130" s="1" t="str">
        <f t="shared" si="33"/>
        <v>Normal</v>
      </c>
    </row>
    <row r="2131" spans="1:14" x14ac:dyDescent="0.25">
      <c r="A2131" s="1" t="s">
        <v>3350</v>
      </c>
      <c r="B2131" s="1" t="s">
        <v>84</v>
      </c>
      <c r="C2131" s="1" t="s">
        <v>838</v>
      </c>
      <c r="D2131" s="1" t="s">
        <v>25</v>
      </c>
      <c r="E2131" s="1" t="s">
        <v>17</v>
      </c>
      <c r="F2131" s="1" t="s">
        <v>129</v>
      </c>
      <c r="G2131" s="1">
        <v>161506</v>
      </c>
      <c r="H2131" s="63">
        <v>45642</v>
      </c>
      <c r="J2131" s="1"/>
      <c r="K2131" s="1">
        <v>14.4</v>
      </c>
      <c r="L2131" s="1" t="s">
        <v>29</v>
      </c>
      <c r="M2131" s="1" t="s">
        <v>42</v>
      </c>
      <c r="N2131" s="1" t="str">
        <f t="shared" si="33"/>
        <v>Normal</v>
      </c>
    </row>
    <row r="2132" spans="1:14" x14ac:dyDescent="0.25">
      <c r="A2132" s="1" t="s">
        <v>3351</v>
      </c>
      <c r="B2132" s="1" t="s">
        <v>80</v>
      </c>
      <c r="C2132" s="1" t="s">
        <v>676</v>
      </c>
      <c r="D2132" s="1" t="s">
        <v>67</v>
      </c>
      <c r="E2132" s="1" t="s">
        <v>61</v>
      </c>
      <c r="F2132" s="1" t="s">
        <v>40</v>
      </c>
      <c r="G2132" s="1">
        <v>333588</v>
      </c>
      <c r="H2132" s="63">
        <v>45664</v>
      </c>
      <c r="I2132" s="63">
        <v>45825</v>
      </c>
      <c r="J2132" s="1">
        <v>161</v>
      </c>
      <c r="K2132" s="1">
        <v>4.2</v>
      </c>
      <c r="L2132" s="1" t="s">
        <v>96</v>
      </c>
      <c r="M2132" s="1" t="s">
        <v>63</v>
      </c>
      <c r="N2132" s="1" t="str">
        <f t="shared" si="33"/>
        <v>Normal</v>
      </c>
    </row>
    <row r="2133" spans="1:14" x14ac:dyDescent="0.25">
      <c r="A2133" s="1" t="s">
        <v>3352</v>
      </c>
      <c r="B2133" s="1" t="s">
        <v>84</v>
      </c>
      <c r="C2133" s="1" t="s">
        <v>625</v>
      </c>
      <c r="D2133" s="1" t="s">
        <v>90</v>
      </c>
      <c r="E2133" s="1" t="s">
        <v>72</v>
      </c>
      <c r="F2133" s="1" t="s">
        <v>129</v>
      </c>
      <c r="G2133" s="1">
        <v>23259</v>
      </c>
      <c r="H2133" s="63">
        <v>45060</v>
      </c>
      <c r="J2133" s="1"/>
      <c r="K2133" s="1">
        <v>14.8</v>
      </c>
      <c r="L2133" s="1" t="s">
        <v>49</v>
      </c>
      <c r="M2133" s="1" t="s">
        <v>30</v>
      </c>
      <c r="N2133" s="1" t="str">
        <f t="shared" si="33"/>
        <v>Normal</v>
      </c>
    </row>
    <row r="2134" spans="1:14" x14ac:dyDescent="0.25">
      <c r="A2134" s="1" t="s">
        <v>3353</v>
      </c>
      <c r="B2134" s="1" t="s">
        <v>14</v>
      </c>
      <c r="C2134" s="1" t="s">
        <v>939</v>
      </c>
      <c r="D2134" s="1" t="s">
        <v>67</v>
      </c>
      <c r="E2134" s="1" t="s">
        <v>17</v>
      </c>
      <c r="F2134" s="1" t="s">
        <v>27</v>
      </c>
      <c r="G2134" s="1">
        <v>331871</v>
      </c>
      <c r="H2134" s="63">
        <v>45264</v>
      </c>
      <c r="J2134" s="1"/>
      <c r="K2134" s="1"/>
      <c r="L2134" s="1" t="s">
        <v>96</v>
      </c>
      <c r="M2134" s="1" t="s">
        <v>21</v>
      </c>
      <c r="N2134" s="1" t="str">
        <f t="shared" si="33"/>
        <v>Normal</v>
      </c>
    </row>
    <row r="2135" spans="1:14" x14ac:dyDescent="0.25">
      <c r="A2135" s="1" t="s">
        <v>3355</v>
      </c>
      <c r="B2135" s="1" t="s">
        <v>80</v>
      </c>
      <c r="C2135" s="1" t="s">
        <v>1142</v>
      </c>
      <c r="D2135" s="1" t="s">
        <v>90</v>
      </c>
      <c r="E2135" s="1" t="s">
        <v>61</v>
      </c>
      <c r="F2135" s="1" t="s">
        <v>27</v>
      </c>
      <c r="G2135" s="1">
        <v>75444</v>
      </c>
      <c r="H2135" s="63">
        <v>45481</v>
      </c>
      <c r="J2135" s="1"/>
      <c r="K2135" s="1">
        <v>2.6</v>
      </c>
      <c r="L2135" s="1" t="s">
        <v>49</v>
      </c>
      <c r="M2135" s="1" t="s">
        <v>149</v>
      </c>
      <c r="N2135" s="1" t="str">
        <f t="shared" si="33"/>
        <v>Normal</v>
      </c>
    </row>
    <row r="2136" spans="1:14" x14ac:dyDescent="0.25">
      <c r="A2136" s="1" t="s">
        <v>3356</v>
      </c>
      <c r="B2136" s="1" t="s">
        <v>44</v>
      </c>
      <c r="C2136" s="1" t="s">
        <v>45</v>
      </c>
      <c r="D2136" s="1" t="s">
        <v>46</v>
      </c>
      <c r="E2136" s="1" t="s">
        <v>77</v>
      </c>
      <c r="F2136" s="1" t="s">
        <v>27</v>
      </c>
      <c r="G2136" s="1">
        <v>61569</v>
      </c>
      <c r="H2136" s="63">
        <v>45610</v>
      </c>
      <c r="J2136" s="1"/>
      <c r="K2136" s="1">
        <v>13.1</v>
      </c>
      <c r="L2136" s="1" t="s">
        <v>49</v>
      </c>
      <c r="M2136" s="1" t="s">
        <v>42</v>
      </c>
      <c r="N2136" s="1" t="str">
        <f t="shared" si="33"/>
        <v>Normal</v>
      </c>
    </row>
    <row r="2137" spans="1:14" x14ac:dyDescent="0.25">
      <c r="A2137" s="1" t="s">
        <v>3357</v>
      </c>
      <c r="B2137" s="1" t="s">
        <v>88</v>
      </c>
      <c r="C2137" s="1" t="s">
        <v>168</v>
      </c>
      <c r="D2137" s="1" t="s">
        <v>67</v>
      </c>
      <c r="E2137" s="1" t="s">
        <v>77</v>
      </c>
      <c r="F2137" s="1" t="s">
        <v>18</v>
      </c>
      <c r="G2137" s="1">
        <v>497684</v>
      </c>
      <c r="H2137" s="63">
        <v>45053</v>
      </c>
      <c r="I2137" s="63">
        <v>45160</v>
      </c>
      <c r="J2137" s="1">
        <v>107</v>
      </c>
      <c r="K2137" s="1">
        <v>7.2</v>
      </c>
      <c r="L2137" s="1" t="s">
        <v>49</v>
      </c>
      <c r="M2137" s="1" t="s">
        <v>30</v>
      </c>
      <c r="N2137" s="1" t="str">
        <f t="shared" si="33"/>
        <v>Normal</v>
      </c>
    </row>
    <row r="2138" spans="1:14" x14ac:dyDescent="0.25">
      <c r="A2138" s="1" t="s">
        <v>3358</v>
      </c>
      <c r="B2138" s="1" t="s">
        <v>75</v>
      </c>
      <c r="C2138" s="1" t="s">
        <v>1057</v>
      </c>
      <c r="D2138" s="1" t="s">
        <v>39</v>
      </c>
      <c r="E2138" s="1" t="s">
        <v>17</v>
      </c>
      <c r="F2138" s="1" t="s">
        <v>129</v>
      </c>
      <c r="G2138" s="1">
        <v>159195</v>
      </c>
      <c r="H2138" s="63">
        <v>45553</v>
      </c>
      <c r="J2138" s="1"/>
      <c r="K2138" s="1">
        <v>12.7</v>
      </c>
      <c r="L2138" s="1" t="s">
        <v>49</v>
      </c>
      <c r="M2138" s="1" t="s">
        <v>149</v>
      </c>
      <c r="N2138" s="1" t="str">
        <f t="shared" si="33"/>
        <v>Normal</v>
      </c>
    </row>
    <row r="2139" spans="1:14" x14ac:dyDescent="0.25">
      <c r="A2139" s="1" t="s">
        <v>3359</v>
      </c>
      <c r="B2139" s="1" t="s">
        <v>109</v>
      </c>
      <c r="C2139" s="1" t="s">
        <v>110</v>
      </c>
      <c r="D2139" s="1" t="s">
        <v>46</v>
      </c>
      <c r="E2139" s="1" t="s">
        <v>17</v>
      </c>
      <c r="F2139" s="1" t="s">
        <v>129</v>
      </c>
      <c r="G2139" s="1">
        <v>205104</v>
      </c>
      <c r="H2139" s="63">
        <v>44941</v>
      </c>
      <c r="J2139" s="1"/>
      <c r="K2139" s="1"/>
      <c r="L2139" s="1" t="s">
        <v>96</v>
      </c>
      <c r="M2139" s="1" t="s">
        <v>35</v>
      </c>
      <c r="N2139" s="1" t="str">
        <f t="shared" si="33"/>
        <v>Normal</v>
      </c>
    </row>
    <row r="2140" spans="1:14" x14ac:dyDescent="0.25">
      <c r="A2140" s="1" t="s">
        <v>3360</v>
      </c>
      <c r="B2140" s="1" t="s">
        <v>14</v>
      </c>
      <c r="C2140" s="1" t="s">
        <v>295</v>
      </c>
      <c r="D2140" s="1" t="s">
        <v>90</v>
      </c>
      <c r="E2140" s="1" t="s">
        <v>61</v>
      </c>
      <c r="F2140" s="1" t="s">
        <v>40</v>
      </c>
      <c r="G2140" s="1">
        <v>196698</v>
      </c>
      <c r="H2140" s="63">
        <v>45064</v>
      </c>
      <c r="I2140" s="63">
        <v>45080</v>
      </c>
      <c r="J2140" s="1">
        <v>16</v>
      </c>
      <c r="K2140" s="1">
        <v>7</v>
      </c>
      <c r="L2140" s="1" t="s">
        <v>96</v>
      </c>
      <c r="M2140" s="1" t="s">
        <v>30</v>
      </c>
      <c r="N2140" s="1" t="str">
        <f t="shared" si="33"/>
        <v>Normal</v>
      </c>
    </row>
    <row r="2141" spans="1:14" x14ac:dyDescent="0.25">
      <c r="A2141" s="1" t="s">
        <v>3361</v>
      </c>
      <c r="B2141" s="1" t="s">
        <v>127</v>
      </c>
      <c r="C2141" s="1" t="s">
        <v>390</v>
      </c>
      <c r="D2141" s="1" t="s">
        <v>39</v>
      </c>
      <c r="E2141" s="1" t="s">
        <v>72</v>
      </c>
      <c r="F2141" s="1" t="s">
        <v>33</v>
      </c>
      <c r="G2141" s="1">
        <v>151030</v>
      </c>
      <c r="H2141" s="63">
        <v>45740</v>
      </c>
      <c r="J2141" s="1"/>
      <c r="K2141" s="1">
        <v>0.4</v>
      </c>
      <c r="L2141" s="1" t="s">
        <v>49</v>
      </c>
      <c r="M2141" s="1" t="s">
        <v>63</v>
      </c>
      <c r="N2141" s="1" t="str">
        <f t="shared" si="33"/>
        <v>Normal</v>
      </c>
    </row>
    <row r="2142" spans="1:14" x14ac:dyDescent="0.25">
      <c r="A2142" s="1" t="s">
        <v>3362</v>
      </c>
      <c r="B2142" s="1" t="s">
        <v>173</v>
      </c>
      <c r="C2142" s="1" t="s">
        <v>877</v>
      </c>
      <c r="D2142" s="1" t="s">
        <v>67</v>
      </c>
      <c r="E2142" s="1" t="s">
        <v>47</v>
      </c>
      <c r="F2142" s="1" t="s">
        <v>33</v>
      </c>
      <c r="G2142" s="1">
        <v>33664</v>
      </c>
      <c r="H2142" s="63">
        <v>45719</v>
      </c>
      <c r="J2142" s="1"/>
      <c r="K2142" s="1"/>
      <c r="L2142" s="1" t="s">
        <v>20</v>
      </c>
      <c r="M2142" s="1" t="s">
        <v>63</v>
      </c>
      <c r="N2142" s="1" t="str">
        <f t="shared" si="33"/>
        <v>Normal</v>
      </c>
    </row>
    <row r="2143" spans="1:14" x14ac:dyDescent="0.25">
      <c r="A2143" s="1" t="s">
        <v>3363</v>
      </c>
      <c r="B2143" s="1" t="s">
        <v>37</v>
      </c>
      <c r="C2143" s="1" t="s">
        <v>614</v>
      </c>
      <c r="D2143" s="1" t="s">
        <v>39</v>
      </c>
      <c r="E2143" s="1" t="s">
        <v>26</v>
      </c>
      <c r="F2143" s="1" t="s">
        <v>53</v>
      </c>
      <c r="G2143" s="1">
        <v>484881</v>
      </c>
      <c r="H2143" s="63">
        <v>45093</v>
      </c>
      <c r="J2143" s="1"/>
      <c r="K2143" s="1"/>
      <c r="L2143" s="1" t="s">
        <v>20</v>
      </c>
      <c r="M2143" s="1" t="s">
        <v>30</v>
      </c>
      <c r="N2143" s="1" t="str">
        <f t="shared" si="33"/>
        <v>Normal</v>
      </c>
    </row>
    <row r="2144" spans="1:14" x14ac:dyDescent="0.25">
      <c r="A2144" s="1" t="s">
        <v>3365</v>
      </c>
      <c r="B2144" s="1" t="s">
        <v>14</v>
      </c>
      <c r="C2144" s="1" t="s">
        <v>505</v>
      </c>
      <c r="D2144" s="1" t="s">
        <v>39</v>
      </c>
      <c r="E2144" s="1" t="s">
        <v>47</v>
      </c>
      <c r="F2144" s="1" t="s">
        <v>129</v>
      </c>
      <c r="G2144" s="1">
        <v>419909</v>
      </c>
      <c r="H2144" s="63">
        <v>45004</v>
      </c>
      <c r="J2144" s="1"/>
      <c r="K2144" s="1">
        <v>4.3</v>
      </c>
      <c r="L2144" s="1" t="s">
        <v>20</v>
      </c>
      <c r="M2144" s="1" t="s">
        <v>35</v>
      </c>
      <c r="N2144" s="1" t="str">
        <f t="shared" si="33"/>
        <v>Normal</v>
      </c>
    </row>
    <row r="2145" spans="1:14" x14ac:dyDescent="0.25">
      <c r="A2145" s="1" t="s">
        <v>3366</v>
      </c>
      <c r="B2145" s="1" t="s">
        <v>84</v>
      </c>
      <c r="C2145" s="1" t="s">
        <v>276</v>
      </c>
      <c r="D2145" s="1" t="s">
        <v>46</v>
      </c>
      <c r="E2145" s="1" t="s">
        <v>61</v>
      </c>
      <c r="F2145" s="1" t="s">
        <v>18</v>
      </c>
      <c r="G2145" s="1">
        <v>234937</v>
      </c>
      <c r="H2145" s="63">
        <v>45157</v>
      </c>
      <c r="I2145" s="63">
        <v>45258</v>
      </c>
      <c r="J2145" s="1">
        <v>101</v>
      </c>
      <c r="K2145" s="1">
        <v>11.8</v>
      </c>
      <c r="L2145" s="1" t="s">
        <v>29</v>
      </c>
      <c r="M2145" s="1" t="s">
        <v>102</v>
      </c>
      <c r="N2145" s="1" t="str">
        <f t="shared" si="33"/>
        <v>Normal</v>
      </c>
    </row>
    <row r="2146" spans="1:14" x14ac:dyDescent="0.25">
      <c r="A2146" s="1" t="s">
        <v>3367</v>
      </c>
      <c r="B2146" s="1" t="s">
        <v>75</v>
      </c>
      <c r="C2146" s="1" t="s">
        <v>564</v>
      </c>
      <c r="D2146" s="1" t="s">
        <v>67</v>
      </c>
      <c r="E2146" s="1" t="s">
        <v>47</v>
      </c>
      <c r="F2146" s="1" t="s">
        <v>40</v>
      </c>
      <c r="G2146" s="1">
        <v>361375</v>
      </c>
      <c r="H2146" s="63">
        <v>45716</v>
      </c>
      <c r="I2146" s="63">
        <v>45744</v>
      </c>
      <c r="J2146" s="1">
        <v>28</v>
      </c>
      <c r="K2146" s="1">
        <v>6.5</v>
      </c>
      <c r="L2146" s="1" t="s">
        <v>96</v>
      </c>
      <c r="M2146" s="1" t="s">
        <v>63</v>
      </c>
      <c r="N2146" s="1" t="str">
        <f t="shared" si="33"/>
        <v>Normal</v>
      </c>
    </row>
    <row r="2147" spans="1:14" x14ac:dyDescent="0.25">
      <c r="A2147" s="1" t="s">
        <v>3368</v>
      </c>
      <c r="B2147" s="1" t="s">
        <v>37</v>
      </c>
      <c r="C2147" s="1" t="s">
        <v>1554</v>
      </c>
      <c r="D2147" s="1" t="s">
        <v>67</v>
      </c>
      <c r="E2147" s="1" t="s">
        <v>4845</v>
      </c>
      <c r="F2147" s="1" t="s">
        <v>18</v>
      </c>
      <c r="G2147" s="1">
        <v>138211</v>
      </c>
      <c r="H2147" s="63">
        <v>45512</v>
      </c>
      <c r="I2147" s="63">
        <v>45611</v>
      </c>
      <c r="J2147" s="1">
        <v>99</v>
      </c>
      <c r="K2147" s="1">
        <v>14.3</v>
      </c>
      <c r="L2147" s="1" t="s">
        <v>20</v>
      </c>
      <c r="M2147" s="1" t="s">
        <v>149</v>
      </c>
      <c r="N2147" s="1" t="str">
        <f t="shared" si="33"/>
        <v>Normal</v>
      </c>
    </row>
    <row r="2148" spans="1:14" x14ac:dyDescent="0.25">
      <c r="A2148" s="1" t="s">
        <v>3369</v>
      </c>
      <c r="B2148" s="1" t="s">
        <v>88</v>
      </c>
      <c r="C2148" s="1" t="s">
        <v>71</v>
      </c>
      <c r="D2148" s="1" t="s">
        <v>46</v>
      </c>
      <c r="E2148" s="1" t="s">
        <v>61</v>
      </c>
      <c r="F2148" s="1" t="s">
        <v>33</v>
      </c>
      <c r="G2148" s="1">
        <v>33186</v>
      </c>
      <c r="H2148" s="63">
        <v>45408</v>
      </c>
      <c r="J2148" s="1"/>
      <c r="K2148" s="1">
        <v>11</v>
      </c>
      <c r="L2148" s="1" t="s">
        <v>20</v>
      </c>
      <c r="M2148" s="1" t="s">
        <v>107</v>
      </c>
      <c r="N2148" s="1" t="str">
        <f t="shared" si="33"/>
        <v>Normal</v>
      </c>
    </row>
    <row r="2149" spans="1:14" x14ac:dyDescent="0.25">
      <c r="A2149" s="1" t="s">
        <v>3370</v>
      </c>
      <c r="B2149" s="1" t="s">
        <v>44</v>
      </c>
      <c r="C2149" s="1" t="s">
        <v>165</v>
      </c>
      <c r="D2149" s="1" t="s">
        <v>16</v>
      </c>
      <c r="E2149" s="1" t="s">
        <v>61</v>
      </c>
      <c r="F2149" s="1" t="s">
        <v>53</v>
      </c>
      <c r="G2149" s="1">
        <v>230754</v>
      </c>
      <c r="H2149" s="63">
        <v>44959</v>
      </c>
      <c r="J2149" s="1"/>
      <c r="K2149" s="1"/>
      <c r="L2149" s="1" t="s">
        <v>20</v>
      </c>
      <c r="M2149" s="1" t="s">
        <v>35</v>
      </c>
      <c r="N2149" s="1" t="str">
        <f t="shared" si="33"/>
        <v>Normal</v>
      </c>
    </row>
    <row r="2150" spans="1:14" x14ac:dyDescent="0.25">
      <c r="A2150" s="1" t="s">
        <v>3371</v>
      </c>
      <c r="B2150" s="1" t="s">
        <v>88</v>
      </c>
      <c r="C2150" s="1" t="s">
        <v>2047</v>
      </c>
      <c r="D2150" s="1" t="s">
        <v>39</v>
      </c>
      <c r="E2150" s="1" t="s">
        <v>77</v>
      </c>
      <c r="F2150" s="1" t="s">
        <v>53</v>
      </c>
      <c r="G2150" s="1">
        <v>385808</v>
      </c>
      <c r="H2150" s="63">
        <v>45257</v>
      </c>
      <c r="J2150" s="1"/>
      <c r="K2150" s="1"/>
      <c r="L2150" s="1" t="s">
        <v>29</v>
      </c>
      <c r="M2150" s="1" t="s">
        <v>21</v>
      </c>
      <c r="N2150" s="1" t="str">
        <f t="shared" si="33"/>
        <v>Normal</v>
      </c>
    </row>
    <row r="2151" spans="1:14" x14ac:dyDescent="0.25">
      <c r="A2151" s="1" t="s">
        <v>3372</v>
      </c>
      <c r="B2151" s="1" t="s">
        <v>98</v>
      </c>
      <c r="C2151" s="1" t="s">
        <v>1283</v>
      </c>
      <c r="D2151" s="1" t="s">
        <v>39</v>
      </c>
      <c r="E2151" s="1" t="s">
        <v>72</v>
      </c>
      <c r="F2151" s="1" t="s">
        <v>129</v>
      </c>
      <c r="G2151" s="1">
        <v>412123</v>
      </c>
      <c r="H2151" s="63">
        <v>45167</v>
      </c>
      <c r="J2151" s="1"/>
      <c r="K2151" s="1">
        <v>14.5</v>
      </c>
      <c r="L2151" s="1" t="s">
        <v>29</v>
      </c>
      <c r="M2151" s="1" t="s">
        <v>102</v>
      </c>
      <c r="N2151" s="1" t="str">
        <f t="shared" si="33"/>
        <v>Normal</v>
      </c>
    </row>
    <row r="2152" spans="1:14" x14ac:dyDescent="0.25">
      <c r="A2152" s="1" t="s">
        <v>3374</v>
      </c>
      <c r="B2152" s="1" t="s">
        <v>23</v>
      </c>
      <c r="C2152" s="1" t="s">
        <v>415</v>
      </c>
      <c r="D2152" s="1" t="s">
        <v>16</v>
      </c>
      <c r="E2152" s="1" t="s">
        <v>47</v>
      </c>
      <c r="F2152" s="1" t="s">
        <v>53</v>
      </c>
      <c r="G2152" s="1">
        <v>457381</v>
      </c>
      <c r="H2152" s="63">
        <v>45358</v>
      </c>
      <c r="J2152" s="1"/>
      <c r="K2152" s="1">
        <v>3.6</v>
      </c>
      <c r="L2152" s="1" t="s">
        <v>96</v>
      </c>
      <c r="M2152" s="1" t="s">
        <v>69</v>
      </c>
      <c r="N2152" s="1" t="str">
        <f t="shared" si="33"/>
        <v>Normal</v>
      </c>
    </row>
    <row r="2153" spans="1:14" x14ac:dyDescent="0.25">
      <c r="A2153" s="1" t="s">
        <v>3375</v>
      </c>
      <c r="B2153" s="1" t="s">
        <v>37</v>
      </c>
      <c r="C2153" s="1" t="s">
        <v>705</v>
      </c>
      <c r="D2153" s="1" t="s">
        <v>90</v>
      </c>
      <c r="E2153" s="1" t="s">
        <v>47</v>
      </c>
      <c r="F2153" s="1" t="s">
        <v>53</v>
      </c>
      <c r="G2153" s="1">
        <v>367311</v>
      </c>
      <c r="H2153" s="63">
        <v>45233</v>
      </c>
      <c r="J2153" s="1"/>
      <c r="K2153" s="1">
        <v>8.6</v>
      </c>
      <c r="L2153" s="1" t="s">
        <v>49</v>
      </c>
      <c r="M2153" s="1" t="s">
        <v>21</v>
      </c>
      <c r="N2153" s="1" t="str">
        <f t="shared" si="33"/>
        <v>Normal</v>
      </c>
    </row>
    <row r="2154" spans="1:14" x14ac:dyDescent="0.25">
      <c r="A2154" s="1" t="s">
        <v>3376</v>
      </c>
      <c r="B2154" s="1" t="s">
        <v>23</v>
      </c>
      <c r="C2154" s="1" t="s">
        <v>308</v>
      </c>
      <c r="D2154" s="1" t="s">
        <v>90</v>
      </c>
      <c r="E2154" s="1" t="s">
        <v>77</v>
      </c>
      <c r="F2154" s="1" t="s">
        <v>40</v>
      </c>
      <c r="G2154" s="1">
        <v>244166</v>
      </c>
      <c r="H2154" s="63">
        <v>45264</v>
      </c>
      <c r="I2154" s="63">
        <v>45355</v>
      </c>
      <c r="J2154" s="1">
        <v>91</v>
      </c>
      <c r="K2154" s="1">
        <v>20.9</v>
      </c>
      <c r="L2154" s="1" t="s">
        <v>20</v>
      </c>
      <c r="M2154" s="1" t="s">
        <v>21</v>
      </c>
      <c r="N2154" s="1" t="str">
        <f t="shared" si="33"/>
        <v>Normal</v>
      </c>
    </row>
    <row r="2155" spans="1:14" x14ac:dyDescent="0.25">
      <c r="A2155" s="1" t="s">
        <v>3377</v>
      </c>
      <c r="B2155" s="1" t="s">
        <v>127</v>
      </c>
      <c r="C2155" s="1" t="s">
        <v>737</v>
      </c>
      <c r="D2155" s="1" t="s">
        <v>16</v>
      </c>
      <c r="E2155" s="1" t="s">
        <v>61</v>
      </c>
      <c r="F2155" s="1" t="s">
        <v>40</v>
      </c>
      <c r="G2155" s="1">
        <v>473214</v>
      </c>
      <c r="H2155" s="63">
        <v>45325</v>
      </c>
      <c r="I2155" s="63">
        <v>45481</v>
      </c>
      <c r="J2155" s="1">
        <v>156</v>
      </c>
      <c r="K2155" s="1">
        <v>4.8</v>
      </c>
      <c r="L2155" s="1" t="s">
        <v>29</v>
      </c>
      <c r="M2155" s="1" t="s">
        <v>69</v>
      </c>
      <c r="N2155" s="1" t="str">
        <f t="shared" si="33"/>
        <v>Normal</v>
      </c>
    </row>
    <row r="2156" spans="1:14" x14ac:dyDescent="0.25">
      <c r="A2156" s="1" t="s">
        <v>3378</v>
      </c>
      <c r="B2156" s="1" t="s">
        <v>80</v>
      </c>
      <c r="C2156" s="1" t="s">
        <v>295</v>
      </c>
      <c r="D2156" s="1" t="s">
        <v>67</v>
      </c>
      <c r="E2156" s="1" t="s">
        <v>17</v>
      </c>
      <c r="F2156" s="1" t="s">
        <v>40</v>
      </c>
      <c r="G2156" s="1">
        <v>147947</v>
      </c>
      <c r="H2156" s="63">
        <v>45370</v>
      </c>
      <c r="I2156" s="63">
        <v>45471</v>
      </c>
      <c r="J2156" s="1">
        <v>101</v>
      </c>
      <c r="K2156" s="1">
        <v>18.7</v>
      </c>
      <c r="L2156" s="1" t="s">
        <v>20</v>
      </c>
      <c r="M2156" s="1" t="s">
        <v>69</v>
      </c>
      <c r="N2156" s="1" t="str">
        <f t="shared" si="33"/>
        <v>Normal</v>
      </c>
    </row>
    <row r="2157" spans="1:14" x14ac:dyDescent="0.25">
      <c r="A2157" s="1" t="s">
        <v>3380</v>
      </c>
      <c r="B2157" s="1" t="s">
        <v>23</v>
      </c>
      <c r="C2157" s="1" t="s">
        <v>1151</v>
      </c>
      <c r="D2157" s="1" t="s">
        <v>39</v>
      </c>
      <c r="E2157" s="1" t="s">
        <v>47</v>
      </c>
      <c r="F2157" s="1" t="s">
        <v>53</v>
      </c>
      <c r="G2157" s="1">
        <v>214983</v>
      </c>
      <c r="H2157" s="63">
        <v>45278</v>
      </c>
      <c r="J2157" s="1"/>
      <c r="K2157" s="1"/>
      <c r="L2157" s="1" t="s">
        <v>49</v>
      </c>
      <c r="M2157" s="1" t="s">
        <v>21</v>
      </c>
      <c r="N2157" s="1" t="str">
        <f t="shared" si="33"/>
        <v>Normal</v>
      </c>
    </row>
    <row r="2158" spans="1:14" x14ac:dyDescent="0.25">
      <c r="A2158" s="1" t="s">
        <v>3381</v>
      </c>
      <c r="B2158" s="1" t="s">
        <v>65</v>
      </c>
      <c r="C2158" s="1" t="s">
        <v>852</v>
      </c>
      <c r="D2158" s="1" t="s">
        <v>16</v>
      </c>
      <c r="E2158" s="1" t="s">
        <v>17</v>
      </c>
      <c r="F2158" s="1" t="s">
        <v>27</v>
      </c>
      <c r="G2158" s="1">
        <v>242496</v>
      </c>
      <c r="H2158" s="63">
        <v>44929</v>
      </c>
      <c r="J2158" s="1"/>
      <c r="K2158" s="1"/>
      <c r="L2158" s="1" t="s">
        <v>29</v>
      </c>
      <c r="M2158" s="1" t="s">
        <v>35</v>
      </c>
      <c r="N2158" s="1" t="str">
        <f t="shared" si="33"/>
        <v>Normal</v>
      </c>
    </row>
    <row r="2159" spans="1:14" x14ac:dyDescent="0.25">
      <c r="A2159" s="1" t="s">
        <v>3382</v>
      </c>
      <c r="B2159" s="1" t="s">
        <v>80</v>
      </c>
      <c r="C2159" s="1" t="s">
        <v>1470</v>
      </c>
      <c r="D2159" s="1" t="s">
        <v>16</v>
      </c>
      <c r="E2159" s="1" t="s">
        <v>100</v>
      </c>
      <c r="F2159" s="1" t="s">
        <v>40</v>
      </c>
      <c r="G2159" s="1">
        <v>493172</v>
      </c>
      <c r="H2159" s="63">
        <v>45201</v>
      </c>
      <c r="I2159" s="63">
        <v>45372</v>
      </c>
      <c r="J2159" s="1">
        <v>171</v>
      </c>
      <c r="K2159" s="1">
        <v>1.6</v>
      </c>
      <c r="L2159" s="1" t="s">
        <v>96</v>
      </c>
      <c r="M2159" s="1" t="s">
        <v>21</v>
      </c>
      <c r="N2159" s="1" t="str">
        <f t="shared" si="33"/>
        <v>Normal</v>
      </c>
    </row>
    <row r="2160" spans="1:14" x14ac:dyDescent="0.25">
      <c r="A2160" s="1" t="s">
        <v>3383</v>
      </c>
      <c r="B2160" s="1" t="s">
        <v>75</v>
      </c>
      <c r="C2160" s="1" t="s">
        <v>939</v>
      </c>
      <c r="D2160" s="1" t="s">
        <v>90</v>
      </c>
      <c r="E2160" s="1" t="s">
        <v>94</v>
      </c>
      <c r="F2160" s="1" t="s">
        <v>18</v>
      </c>
      <c r="G2160" s="1">
        <v>354337</v>
      </c>
      <c r="H2160" s="63">
        <v>45492</v>
      </c>
      <c r="I2160" s="63">
        <v>45671</v>
      </c>
      <c r="J2160" s="1">
        <v>179</v>
      </c>
      <c r="K2160" s="1">
        <v>9</v>
      </c>
      <c r="L2160" s="1" t="s">
        <v>20</v>
      </c>
      <c r="M2160" s="1" t="s">
        <v>149</v>
      </c>
      <c r="N2160" s="1" t="str">
        <f t="shared" si="33"/>
        <v>Normal</v>
      </c>
    </row>
    <row r="2161" spans="1:14" x14ac:dyDescent="0.25">
      <c r="A2161" s="1" t="s">
        <v>3384</v>
      </c>
      <c r="B2161" s="1" t="s">
        <v>173</v>
      </c>
      <c r="C2161" s="1" t="s">
        <v>972</v>
      </c>
      <c r="D2161" s="1" t="s">
        <v>46</v>
      </c>
      <c r="E2161" s="1" t="s">
        <v>100</v>
      </c>
      <c r="F2161" s="1" t="s">
        <v>129</v>
      </c>
      <c r="G2161" s="1">
        <v>99225</v>
      </c>
      <c r="H2161" s="63">
        <v>45525</v>
      </c>
      <c r="J2161" s="1"/>
      <c r="K2161" s="1">
        <v>12.9</v>
      </c>
      <c r="L2161" s="1" t="s">
        <v>96</v>
      </c>
      <c r="M2161" s="1" t="s">
        <v>149</v>
      </c>
      <c r="N2161" s="1" t="str">
        <f t="shared" si="33"/>
        <v>Normal</v>
      </c>
    </row>
    <row r="2162" spans="1:14" x14ac:dyDescent="0.25">
      <c r="A2162" s="1" t="s">
        <v>3385</v>
      </c>
      <c r="B2162" s="1" t="s">
        <v>59</v>
      </c>
      <c r="C2162" s="1" t="s">
        <v>343</v>
      </c>
      <c r="D2162" s="1" t="s">
        <v>90</v>
      </c>
      <c r="E2162" s="1" t="s">
        <v>100</v>
      </c>
      <c r="F2162" s="1" t="s">
        <v>129</v>
      </c>
      <c r="G2162" s="1">
        <v>120424</v>
      </c>
      <c r="H2162" s="63">
        <v>45691</v>
      </c>
      <c r="J2162" s="1"/>
      <c r="K2162" s="1">
        <v>10.8</v>
      </c>
      <c r="L2162" s="1" t="s">
        <v>29</v>
      </c>
      <c r="M2162" s="1" t="s">
        <v>63</v>
      </c>
      <c r="N2162" s="1" t="str">
        <f t="shared" si="33"/>
        <v>Normal</v>
      </c>
    </row>
    <row r="2163" spans="1:14" x14ac:dyDescent="0.25">
      <c r="A2163" s="1" t="s">
        <v>3386</v>
      </c>
      <c r="B2163" s="1" t="s">
        <v>23</v>
      </c>
      <c r="C2163" s="1" t="s">
        <v>303</v>
      </c>
      <c r="D2163" s="1" t="s">
        <v>67</v>
      </c>
      <c r="E2163" s="1" t="s">
        <v>47</v>
      </c>
      <c r="F2163" s="1" t="s">
        <v>18</v>
      </c>
      <c r="G2163" s="1">
        <v>154799</v>
      </c>
      <c r="H2163" s="63">
        <v>45303</v>
      </c>
      <c r="I2163" s="63">
        <v>45468</v>
      </c>
      <c r="J2163" s="1">
        <v>165</v>
      </c>
      <c r="K2163" s="1">
        <v>4</v>
      </c>
      <c r="L2163" s="1" t="s">
        <v>49</v>
      </c>
      <c r="M2163" s="1" t="s">
        <v>69</v>
      </c>
      <c r="N2163" s="1" t="str">
        <f t="shared" si="33"/>
        <v>Normal</v>
      </c>
    </row>
    <row r="2164" spans="1:14" x14ac:dyDescent="0.25">
      <c r="A2164" s="1" t="s">
        <v>3388</v>
      </c>
      <c r="B2164" s="1" t="s">
        <v>173</v>
      </c>
      <c r="C2164" s="1" t="s">
        <v>1028</v>
      </c>
      <c r="D2164" s="1" t="s">
        <v>67</v>
      </c>
      <c r="E2164" s="1" t="s">
        <v>26</v>
      </c>
      <c r="F2164" s="1" t="s">
        <v>53</v>
      </c>
      <c r="G2164" s="1">
        <v>140351</v>
      </c>
      <c r="H2164" s="63">
        <v>45187</v>
      </c>
      <c r="J2164" s="1"/>
      <c r="K2164" s="1">
        <v>4.8</v>
      </c>
      <c r="L2164" s="1" t="s">
        <v>20</v>
      </c>
      <c r="M2164" s="1" t="s">
        <v>102</v>
      </c>
      <c r="N2164" s="1" t="str">
        <f t="shared" si="33"/>
        <v>Normal</v>
      </c>
    </row>
    <row r="2165" spans="1:14" x14ac:dyDescent="0.25">
      <c r="A2165" s="1" t="s">
        <v>3390</v>
      </c>
      <c r="B2165" s="1" t="s">
        <v>59</v>
      </c>
      <c r="C2165" s="1" t="s">
        <v>384</v>
      </c>
      <c r="D2165" s="1" t="s">
        <v>39</v>
      </c>
      <c r="E2165" s="1" t="s">
        <v>17</v>
      </c>
      <c r="F2165" s="1" t="s">
        <v>129</v>
      </c>
      <c r="G2165" s="1">
        <v>44764</v>
      </c>
      <c r="H2165" s="63">
        <v>44993</v>
      </c>
      <c r="J2165" s="1"/>
      <c r="K2165" s="1">
        <v>4.8</v>
      </c>
      <c r="L2165" s="1" t="s">
        <v>49</v>
      </c>
      <c r="M2165" s="1" t="s">
        <v>35</v>
      </c>
      <c r="N2165" s="1" t="str">
        <f t="shared" si="33"/>
        <v>Normal</v>
      </c>
    </row>
    <row r="2166" spans="1:14" x14ac:dyDescent="0.25">
      <c r="A2166" s="1" t="s">
        <v>3391</v>
      </c>
      <c r="B2166" s="1" t="s">
        <v>80</v>
      </c>
      <c r="C2166" s="1" t="s">
        <v>361</v>
      </c>
      <c r="D2166" s="1" t="s">
        <v>39</v>
      </c>
      <c r="E2166" s="1" t="s">
        <v>17</v>
      </c>
      <c r="F2166" s="1" t="s">
        <v>18</v>
      </c>
      <c r="G2166" s="1">
        <v>427209</v>
      </c>
      <c r="H2166" s="63">
        <v>45396</v>
      </c>
      <c r="I2166" s="63">
        <v>45420</v>
      </c>
      <c r="J2166" s="1">
        <v>24</v>
      </c>
      <c r="K2166" s="1">
        <v>1.6</v>
      </c>
      <c r="L2166" s="1" t="s">
        <v>96</v>
      </c>
      <c r="M2166" s="1" t="s">
        <v>107</v>
      </c>
      <c r="N2166" s="1" t="str">
        <f t="shared" si="33"/>
        <v>Normal</v>
      </c>
    </row>
    <row r="2167" spans="1:14" x14ac:dyDescent="0.25">
      <c r="A2167" s="1" t="s">
        <v>3392</v>
      </c>
      <c r="B2167" s="1" t="s">
        <v>84</v>
      </c>
      <c r="C2167" s="1" t="s">
        <v>693</v>
      </c>
      <c r="D2167" s="1" t="s">
        <v>16</v>
      </c>
      <c r="E2167" s="1" t="s">
        <v>77</v>
      </c>
      <c r="F2167" s="1" t="s">
        <v>27</v>
      </c>
      <c r="G2167" s="1">
        <v>325160</v>
      </c>
      <c r="H2167" s="63">
        <v>45039</v>
      </c>
      <c r="J2167" s="1"/>
      <c r="K2167" s="1">
        <v>10.3</v>
      </c>
      <c r="L2167" s="1" t="s">
        <v>96</v>
      </c>
      <c r="M2167" s="1" t="s">
        <v>30</v>
      </c>
      <c r="N2167" s="1" t="str">
        <f t="shared" si="33"/>
        <v>Normal</v>
      </c>
    </row>
    <row r="2168" spans="1:14" x14ac:dyDescent="0.25">
      <c r="A2168" s="1" t="s">
        <v>3394</v>
      </c>
      <c r="B2168" s="1" t="s">
        <v>84</v>
      </c>
      <c r="C2168" s="1" t="s">
        <v>110</v>
      </c>
      <c r="D2168" s="1" t="s">
        <v>67</v>
      </c>
      <c r="E2168" s="1" t="s">
        <v>61</v>
      </c>
      <c r="F2168" s="1" t="s">
        <v>129</v>
      </c>
      <c r="G2168" s="1">
        <v>488243</v>
      </c>
      <c r="H2168" s="63">
        <v>45122</v>
      </c>
      <c r="J2168" s="1"/>
      <c r="K2168" s="1">
        <v>2.9</v>
      </c>
      <c r="L2168" s="1" t="s">
        <v>96</v>
      </c>
      <c r="M2168" s="1" t="s">
        <v>102</v>
      </c>
      <c r="N2168" s="1" t="str">
        <f t="shared" si="33"/>
        <v>Normal</v>
      </c>
    </row>
    <row r="2169" spans="1:14" x14ac:dyDescent="0.25">
      <c r="A2169" s="1" t="s">
        <v>3395</v>
      </c>
      <c r="B2169" s="1" t="s">
        <v>44</v>
      </c>
      <c r="C2169" s="1" t="s">
        <v>426</v>
      </c>
      <c r="D2169" s="1" t="s">
        <v>67</v>
      </c>
      <c r="E2169" s="1" t="s">
        <v>72</v>
      </c>
      <c r="F2169" s="1" t="s">
        <v>33</v>
      </c>
      <c r="G2169" s="1">
        <v>305698</v>
      </c>
      <c r="H2169" s="63">
        <v>45224</v>
      </c>
      <c r="J2169" s="1"/>
      <c r="K2169" s="1">
        <v>2.5</v>
      </c>
      <c r="L2169" s="1" t="s">
        <v>29</v>
      </c>
      <c r="M2169" s="1" t="s">
        <v>21</v>
      </c>
      <c r="N2169" s="1" t="str">
        <f t="shared" si="33"/>
        <v>Normal</v>
      </c>
    </row>
    <row r="2170" spans="1:14" x14ac:dyDescent="0.25">
      <c r="A2170" s="1" t="s">
        <v>3396</v>
      </c>
      <c r="B2170" s="1" t="s">
        <v>127</v>
      </c>
      <c r="C2170" s="1" t="s">
        <v>71</v>
      </c>
      <c r="D2170" s="1" t="s">
        <v>39</v>
      </c>
      <c r="E2170" s="1" t="s">
        <v>17</v>
      </c>
      <c r="F2170" s="1" t="s">
        <v>18</v>
      </c>
      <c r="G2170" s="1">
        <v>75266</v>
      </c>
      <c r="H2170" s="63">
        <v>45657</v>
      </c>
      <c r="I2170" s="63">
        <v>45753</v>
      </c>
      <c r="J2170" s="1">
        <v>96</v>
      </c>
      <c r="K2170" s="1">
        <v>14.9</v>
      </c>
      <c r="L2170" s="1" t="s">
        <v>29</v>
      </c>
      <c r="M2170" s="1" t="s">
        <v>42</v>
      </c>
      <c r="N2170" s="1" t="str">
        <f t="shared" si="33"/>
        <v>Normal</v>
      </c>
    </row>
    <row r="2171" spans="1:14" x14ac:dyDescent="0.25">
      <c r="A2171" s="1" t="s">
        <v>3398</v>
      </c>
      <c r="B2171" s="1" t="s">
        <v>84</v>
      </c>
      <c r="C2171" s="1" t="s">
        <v>141</v>
      </c>
      <c r="D2171" s="1" t="s">
        <v>67</v>
      </c>
      <c r="E2171" s="1" t="s">
        <v>77</v>
      </c>
      <c r="F2171" s="1" t="s">
        <v>33</v>
      </c>
      <c r="G2171" s="1">
        <v>377810</v>
      </c>
      <c r="H2171" s="63">
        <v>45294</v>
      </c>
      <c r="J2171" s="1"/>
      <c r="K2171" s="1">
        <v>6.8</v>
      </c>
      <c r="L2171" s="1" t="s">
        <v>29</v>
      </c>
      <c r="M2171" s="1" t="s">
        <v>69</v>
      </c>
      <c r="N2171" s="1" t="str">
        <f t="shared" si="33"/>
        <v>Normal</v>
      </c>
    </row>
    <row r="2172" spans="1:14" x14ac:dyDescent="0.25">
      <c r="A2172" s="1" t="s">
        <v>3399</v>
      </c>
      <c r="B2172" s="1" t="s">
        <v>98</v>
      </c>
      <c r="C2172" s="1" t="s">
        <v>590</v>
      </c>
      <c r="D2172" s="1" t="s">
        <v>67</v>
      </c>
      <c r="E2172" s="1" t="s">
        <v>100</v>
      </c>
      <c r="F2172" s="1" t="s">
        <v>18</v>
      </c>
      <c r="G2172" s="1">
        <v>120253</v>
      </c>
      <c r="H2172" s="63">
        <v>45085</v>
      </c>
      <c r="I2172" s="63">
        <v>45182</v>
      </c>
      <c r="J2172" s="1">
        <v>97</v>
      </c>
      <c r="K2172" s="1">
        <v>11.5</v>
      </c>
      <c r="L2172" s="1" t="s">
        <v>29</v>
      </c>
      <c r="M2172" s="1" t="s">
        <v>30</v>
      </c>
      <c r="N2172" s="1" t="str">
        <f t="shared" si="33"/>
        <v>Normal</v>
      </c>
    </row>
    <row r="2173" spans="1:14" x14ac:dyDescent="0.25">
      <c r="A2173" s="1" t="s">
        <v>3400</v>
      </c>
      <c r="B2173" s="1" t="s">
        <v>75</v>
      </c>
      <c r="C2173" s="1" t="s">
        <v>747</v>
      </c>
      <c r="D2173" s="1" t="s">
        <v>16</v>
      </c>
      <c r="E2173" s="1" t="s">
        <v>77</v>
      </c>
      <c r="F2173" s="1" t="s">
        <v>27</v>
      </c>
      <c r="G2173" s="1">
        <v>42916</v>
      </c>
      <c r="H2173" s="63">
        <v>45677</v>
      </c>
      <c r="J2173" s="1"/>
      <c r="K2173" s="1">
        <v>0.9</v>
      </c>
      <c r="L2173" s="1" t="s">
        <v>20</v>
      </c>
      <c r="M2173" s="1" t="s">
        <v>63</v>
      </c>
      <c r="N2173" s="1" t="str">
        <f t="shared" si="33"/>
        <v>Normal</v>
      </c>
    </row>
    <row r="2174" spans="1:14" x14ac:dyDescent="0.25">
      <c r="A2174" s="1" t="s">
        <v>3401</v>
      </c>
      <c r="B2174" s="1" t="s">
        <v>59</v>
      </c>
      <c r="C2174" s="1" t="s">
        <v>767</v>
      </c>
      <c r="D2174" s="1" t="s">
        <v>46</v>
      </c>
      <c r="E2174" s="1" t="s">
        <v>94</v>
      </c>
      <c r="F2174" s="1" t="s">
        <v>129</v>
      </c>
      <c r="G2174" s="1">
        <v>51644</v>
      </c>
      <c r="H2174" s="63">
        <v>45419</v>
      </c>
      <c r="J2174" s="1"/>
      <c r="K2174" s="1"/>
      <c r="L2174" s="1" t="s">
        <v>20</v>
      </c>
      <c r="M2174" s="1" t="s">
        <v>107</v>
      </c>
      <c r="N2174" s="1" t="str">
        <f t="shared" si="33"/>
        <v>Normal</v>
      </c>
    </row>
    <row r="2175" spans="1:14" x14ac:dyDescent="0.25">
      <c r="A2175" s="1" t="s">
        <v>3403</v>
      </c>
      <c r="B2175" s="1" t="s">
        <v>23</v>
      </c>
      <c r="C2175" s="1" t="s">
        <v>406</v>
      </c>
      <c r="D2175" s="1" t="s">
        <v>39</v>
      </c>
      <c r="E2175" s="1" t="s">
        <v>94</v>
      </c>
      <c r="F2175" s="1" t="s">
        <v>40</v>
      </c>
      <c r="G2175" s="1">
        <v>439715</v>
      </c>
      <c r="H2175" s="63">
        <v>45361</v>
      </c>
      <c r="I2175" s="63">
        <v>45520</v>
      </c>
      <c r="J2175" s="1">
        <v>159</v>
      </c>
      <c r="K2175" s="1">
        <v>23.7</v>
      </c>
      <c r="L2175" s="1" t="s">
        <v>29</v>
      </c>
      <c r="M2175" s="1" t="s">
        <v>69</v>
      </c>
      <c r="N2175" s="1" t="str">
        <f t="shared" si="33"/>
        <v>Normal</v>
      </c>
    </row>
    <row r="2176" spans="1:14" x14ac:dyDescent="0.25">
      <c r="A2176" s="1" t="s">
        <v>3404</v>
      </c>
      <c r="B2176" s="1" t="s">
        <v>44</v>
      </c>
      <c r="C2176" s="1" t="s">
        <v>521</v>
      </c>
      <c r="D2176" s="1" t="s">
        <v>90</v>
      </c>
      <c r="E2176" s="1" t="s">
        <v>61</v>
      </c>
      <c r="F2176" s="1" t="s">
        <v>40</v>
      </c>
      <c r="G2176" s="1">
        <v>293155</v>
      </c>
      <c r="H2176" s="63">
        <v>44997</v>
      </c>
      <c r="I2176" s="63">
        <v>45095</v>
      </c>
      <c r="J2176" s="1">
        <v>98</v>
      </c>
      <c r="K2176" s="1">
        <v>23.2</v>
      </c>
      <c r="L2176" s="1" t="s">
        <v>29</v>
      </c>
      <c r="M2176" s="1" t="s">
        <v>35</v>
      </c>
      <c r="N2176" s="1" t="str">
        <f t="shared" si="33"/>
        <v>Normal</v>
      </c>
    </row>
    <row r="2177" spans="1:14" x14ac:dyDescent="0.25">
      <c r="A2177" s="1" t="s">
        <v>3405</v>
      </c>
      <c r="B2177" s="1" t="s">
        <v>65</v>
      </c>
      <c r="C2177" s="1" t="s">
        <v>865</v>
      </c>
      <c r="D2177" s="1" t="s">
        <v>67</v>
      </c>
      <c r="E2177" s="1" t="s">
        <v>47</v>
      </c>
      <c r="F2177" s="1" t="s">
        <v>27</v>
      </c>
      <c r="G2177" s="1">
        <v>329020</v>
      </c>
      <c r="H2177" s="63">
        <v>45030</v>
      </c>
      <c r="J2177" s="1"/>
      <c r="K2177" s="1">
        <v>0.3</v>
      </c>
      <c r="L2177" s="1" t="s">
        <v>96</v>
      </c>
      <c r="M2177" s="1" t="s">
        <v>30</v>
      </c>
      <c r="N2177" s="1" t="str">
        <f t="shared" si="33"/>
        <v>Normal</v>
      </c>
    </row>
    <row r="2178" spans="1:14" x14ac:dyDescent="0.25">
      <c r="A2178" s="1" t="s">
        <v>3406</v>
      </c>
      <c r="B2178" s="1" t="s">
        <v>88</v>
      </c>
      <c r="C2178" s="1" t="s">
        <v>635</v>
      </c>
      <c r="D2178" s="1" t="s">
        <v>46</v>
      </c>
      <c r="E2178" s="1" t="s">
        <v>47</v>
      </c>
      <c r="F2178" s="1" t="s">
        <v>40</v>
      </c>
      <c r="G2178" s="1">
        <v>235442</v>
      </c>
      <c r="H2178" s="63">
        <v>45589</v>
      </c>
      <c r="I2178" s="63">
        <v>45660</v>
      </c>
      <c r="J2178" s="1">
        <v>71</v>
      </c>
      <c r="K2178" s="1">
        <v>1.7</v>
      </c>
      <c r="L2178" s="1" t="s">
        <v>49</v>
      </c>
      <c r="M2178" s="1" t="s">
        <v>42</v>
      </c>
      <c r="N2178" s="1" t="str">
        <f t="shared" ref="N2178:N2241" si="34">IF(G2178&gt;$R$5,"High Outlier",IF(G2178&lt;$R$6,"Low Outlier","Normal"))</f>
        <v>Normal</v>
      </c>
    </row>
    <row r="2179" spans="1:14" x14ac:dyDescent="0.25">
      <c r="A2179" s="1" t="s">
        <v>3407</v>
      </c>
      <c r="B2179" s="1" t="s">
        <v>88</v>
      </c>
      <c r="C2179" s="1" t="s">
        <v>1204</v>
      </c>
      <c r="D2179" s="1" t="s">
        <v>39</v>
      </c>
      <c r="E2179" s="1" t="s">
        <v>100</v>
      </c>
      <c r="F2179" s="1" t="s">
        <v>129</v>
      </c>
      <c r="G2179" s="1">
        <v>230459</v>
      </c>
      <c r="H2179" s="63">
        <v>44979</v>
      </c>
      <c r="J2179" s="1"/>
      <c r="K2179" s="1">
        <v>14.7</v>
      </c>
      <c r="L2179" s="1" t="s">
        <v>20</v>
      </c>
      <c r="M2179" s="1" t="s">
        <v>35</v>
      </c>
      <c r="N2179" s="1" t="str">
        <f t="shared" si="34"/>
        <v>Normal</v>
      </c>
    </row>
    <row r="2180" spans="1:14" x14ac:dyDescent="0.25">
      <c r="A2180" s="1" t="s">
        <v>3408</v>
      </c>
      <c r="B2180" s="1" t="s">
        <v>127</v>
      </c>
      <c r="C2180" s="1" t="s">
        <v>355</v>
      </c>
      <c r="D2180" s="1" t="s">
        <v>67</v>
      </c>
      <c r="E2180" s="1" t="s">
        <v>26</v>
      </c>
      <c r="F2180" s="1" t="s">
        <v>18</v>
      </c>
      <c r="G2180" s="1">
        <v>330745</v>
      </c>
      <c r="H2180" s="63">
        <v>45183</v>
      </c>
      <c r="I2180" s="63">
        <v>45351</v>
      </c>
      <c r="J2180" s="1">
        <v>168</v>
      </c>
      <c r="K2180" s="1">
        <v>9.4</v>
      </c>
      <c r="L2180" s="1" t="s">
        <v>96</v>
      </c>
      <c r="M2180" s="1" t="s">
        <v>102</v>
      </c>
      <c r="N2180" s="1" t="str">
        <f t="shared" si="34"/>
        <v>Normal</v>
      </c>
    </row>
    <row r="2181" spans="1:14" x14ac:dyDescent="0.25">
      <c r="A2181" s="1" t="s">
        <v>3409</v>
      </c>
      <c r="B2181" s="1" t="s">
        <v>23</v>
      </c>
      <c r="C2181" s="1" t="s">
        <v>192</v>
      </c>
      <c r="D2181" s="1" t="s">
        <v>39</v>
      </c>
      <c r="E2181" s="1" t="s">
        <v>26</v>
      </c>
      <c r="F2181" s="1" t="s">
        <v>53</v>
      </c>
      <c r="G2181" s="1">
        <v>428112</v>
      </c>
      <c r="H2181" s="63">
        <v>45029</v>
      </c>
      <c r="J2181" s="1"/>
      <c r="K2181" s="1"/>
      <c r="L2181" s="1" t="s">
        <v>49</v>
      </c>
      <c r="M2181" s="1" t="s">
        <v>30</v>
      </c>
      <c r="N2181" s="1" t="str">
        <f t="shared" si="34"/>
        <v>Normal</v>
      </c>
    </row>
    <row r="2182" spans="1:14" x14ac:dyDescent="0.25">
      <c r="A2182" s="1" t="s">
        <v>3411</v>
      </c>
      <c r="B2182" s="1" t="s">
        <v>14</v>
      </c>
      <c r="C2182" s="1" t="s">
        <v>1415</v>
      </c>
      <c r="D2182" s="1" t="s">
        <v>39</v>
      </c>
      <c r="E2182" s="1" t="s">
        <v>26</v>
      </c>
      <c r="F2182" s="1" t="s">
        <v>129</v>
      </c>
      <c r="G2182" s="1">
        <v>462731</v>
      </c>
      <c r="H2182" s="63">
        <v>45135</v>
      </c>
      <c r="J2182" s="1"/>
      <c r="K2182" s="1"/>
      <c r="L2182" s="1" t="s">
        <v>29</v>
      </c>
      <c r="M2182" s="1" t="s">
        <v>102</v>
      </c>
      <c r="N2182" s="1" t="str">
        <f t="shared" si="34"/>
        <v>Normal</v>
      </c>
    </row>
    <row r="2183" spans="1:14" x14ac:dyDescent="0.25">
      <c r="A2183" s="1" t="s">
        <v>3412</v>
      </c>
      <c r="B2183" s="1" t="s">
        <v>75</v>
      </c>
      <c r="C2183" s="1" t="s">
        <v>1364</v>
      </c>
      <c r="D2183" s="1" t="s">
        <v>25</v>
      </c>
      <c r="E2183" s="1" t="s">
        <v>77</v>
      </c>
      <c r="F2183" s="1" t="s">
        <v>27</v>
      </c>
      <c r="G2183" s="1">
        <v>203618</v>
      </c>
      <c r="H2183" s="63">
        <v>45175</v>
      </c>
      <c r="J2183" s="1"/>
      <c r="K2183" s="1">
        <v>6</v>
      </c>
      <c r="L2183" s="1" t="s">
        <v>29</v>
      </c>
      <c r="M2183" s="1" t="s">
        <v>102</v>
      </c>
      <c r="N2183" s="1" t="str">
        <f t="shared" si="34"/>
        <v>Normal</v>
      </c>
    </row>
    <row r="2184" spans="1:14" x14ac:dyDescent="0.25">
      <c r="A2184" s="1" t="s">
        <v>3413</v>
      </c>
      <c r="B2184" s="1" t="s">
        <v>84</v>
      </c>
      <c r="C2184" s="1" t="s">
        <v>1087</v>
      </c>
      <c r="D2184" s="1" t="s">
        <v>25</v>
      </c>
      <c r="E2184" s="1" t="s">
        <v>77</v>
      </c>
      <c r="F2184" s="1" t="s">
        <v>18</v>
      </c>
      <c r="G2184" s="1">
        <v>224737</v>
      </c>
      <c r="H2184" s="63">
        <v>45729</v>
      </c>
      <c r="I2184" s="63">
        <v>45854</v>
      </c>
      <c r="J2184" s="1">
        <v>125</v>
      </c>
      <c r="K2184" s="1">
        <v>6.2</v>
      </c>
      <c r="L2184" s="1" t="s">
        <v>96</v>
      </c>
      <c r="M2184" s="1" t="s">
        <v>63</v>
      </c>
      <c r="N2184" s="1" t="str">
        <f t="shared" si="34"/>
        <v>Normal</v>
      </c>
    </row>
    <row r="2185" spans="1:14" x14ac:dyDescent="0.25">
      <c r="A2185" s="1" t="s">
        <v>3414</v>
      </c>
      <c r="B2185" s="1" t="s">
        <v>109</v>
      </c>
      <c r="C2185" s="1" t="s">
        <v>676</v>
      </c>
      <c r="D2185" s="1" t="s">
        <v>16</v>
      </c>
      <c r="E2185" s="1" t="s">
        <v>17</v>
      </c>
      <c r="F2185" s="1" t="s">
        <v>33</v>
      </c>
      <c r="G2185" s="1">
        <v>110949</v>
      </c>
      <c r="H2185" s="63">
        <v>45472</v>
      </c>
      <c r="J2185" s="1"/>
      <c r="K2185" s="1">
        <v>4.8</v>
      </c>
      <c r="L2185" s="1" t="s">
        <v>96</v>
      </c>
      <c r="M2185" s="1" t="s">
        <v>107</v>
      </c>
      <c r="N2185" s="1" t="str">
        <f t="shared" si="34"/>
        <v>Normal</v>
      </c>
    </row>
    <row r="2186" spans="1:14" x14ac:dyDescent="0.25">
      <c r="A2186" s="1" t="s">
        <v>3415</v>
      </c>
      <c r="B2186" s="1" t="s">
        <v>173</v>
      </c>
      <c r="C2186" s="1" t="s">
        <v>1742</v>
      </c>
      <c r="D2186" s="1" t="s">
        <v>25</v>
      </c>
      <c r="E2186" s="1" t="s">
        <v>26</v>
      </c>
      <c r="F2186" s="1" t="s">
        <v>129</v>
      </c>
      <c r="G2186" s="1">
        <v>180649</v>
      </c>
      <c r="H2186" s="63">
        <v>45743</v>
      </c>
      <c r="J2186" s="1"/>
      <c r="K2186" s="1">
        <v>5.6</v>
      </c>
      <c r="L2186" s="1" t="s">
        <v>20</v>
      </c>
      <c r="M2186" s="1" t="s">
        <v>63</v>
      </c>
      <c r="N2186" s="1" t="str">
        <f t="shared" si="34"/>
        <v>Normal</v>
      </c>
    </row>
    <row r="2187" spans="1:14" x14ac:dyDescent="0.25">
      <c r="A2187" s="1" t="s">
        <v>3416</v>
      </c>
      <c r="B2187" s="1" t="s">
        <v>59</v>
      </c>
      <c r="C2187" s="1" t="s">
        <v>466</v>
      </c>
      <c r="D2187" s="1" t="s">
        <v>16</v>
      </c>
      <c r="E2187" s="1" t="s">
        <v>72</v>
      </c>
      <c r="F2187" s="1" t="s">
        <v>18</v>
      </c>
      <c r="G2187" s="1">
        <v>490146</v>
      </c>
      <c r="H2187" s="63">
        <v>44940</v>
      </c>
      <c r="I2187" s="63">
        <v>45110</v>
      </c>
      <c r="J2187" s="1">
        <v>170</v>
      </c>
      <c r="K2187" s="1">
        <v>9.6999999999999993</v>
      </c>
      <c r="L2187" s="1" t="s">
        <v>20</v>
      </c>
      <c r="M2187" s="1" t="s">
        <v>35</v>
      </c>
      <c r="N2187" s="1" t="str">
        <f t="shared" si="34"/>
        <v>Normal</v>
      </c>
    </row>
    <row r="2188" spans="1:14" x14ac:dyDescent="0.25">
      <c r="A2188" s="1" t="s">
        <v>3417</v>
      </c>
      <c r="B2188" s="1" t="s">
        <v>75</v>
      </c>
      <c r="C2188" s="1" t="s">
        <v>912</v>
      </c>
      <c r="D2188" s="1" t="s">
        <v>90</v>
      </c>
      <c r="E2188" s="1" t="s">
        <v>100</v>
      </c>
      <c r="F2188" s="1" t="s">
        <v>18</v>
      </c>
      <c r="G2188" s="1">
        <v>63715</v>
      </c>
      <c r="H2188" s="63">
        <v>45139</v>
      </c>
      <c r="I2188" s="63">
        <v>45217</v>
      </c>
      <c r="J2188" s="1">
        <v>78</v>
      </c>
      <c r="K2188" s="1">
        <v>14</v>
      </c>
      <c r="L2188" s="1" t="s">
        <v>49</v>
      </c>
      <c r="M2188" s="1" t="s">
        <v>102</v>
      </c>
      <c r="N2188" s="1" t="str">
        <f t="shared" si="34"/>
        <v>Normal</v>
      </c>
    </row>
    <row r="2189" spans="1:14" x14ac:dyDescent="0.25">
      <c r="A2189" s="1" t="s">
        <v>3418</v>
      </c>
      <c r="B2189" s="1" t="s">
        <v>98</v>
      </c>
      <c r="C2189" s="1" t="s">
        <v>859</v>
      </c>
      <c r="D2189" s="1" t="s">
        <v>25</v>
      </c>
      <c r="E2189" s="1" t="s">
        <v>72</v>
      </c>
      <c r="F2189" s="1" t="s">
        <v>53</v>
      </c>
      <c r="G2189" s="1">
        <v>226851</v>
      </c>
      <c r="H2189" s="63">
        <v>45319</v>
      </c>
      <c r="J2189" s="1"/>
      <c r="K2189" s="1">
        <v>10.8</v>
      </c>
      <c r="L2189" s="1" t="s">
        <v>96</v>
      </c>
      <c r="M2189" s="1" t="s">
        <v>69</v>
      </c>
      <c r="N2189" s="1" t="str">
        <f t="shared" si="34"/>
        <v>Normal</v>
      </c>
    </row>
    <row r="2190" spans="1:14" x14ac:dyDescent="0.25">
      <c r="A2190" s="1" t="s">
        <v>3420</v>
      </c>
      <c r="B2190" s="1" t="s">
        <v>98</v>
      </c>
      <c r="C2190" s="1" t="s">
        <v>352</v>
      </c>
      <c r="D2190" s="1" t="s">
        <v>90</v>
      </c>
      <c r="E2190" s="1" t="s">
        <v>72</v>
      </c>
      <c r="F2190" s="1" t="s">
        <v>53</v>
      </c>
      <c r="G2190" s="1">
        <v>180367</v>
      </c>
      <c r="H2190" s="63">
        <v>44965</v>
      </c>
      <c r="J2190" s="1"/>
      <c r="K2190" s="1"/>
      <c r="L2190" s="1" t="s">
        <v>49</v>
      </c>
      <c r="M2190" s="1" t="s">
        <v>35</v>
      </c>
      <c r="N2190" s="1" t="str">
        <f t="shared" si="34"/>
        <v>Normal</v>
      </c>
    </row>
    <row r="2191" spans="1:14" x14ac:dyDescent="0.25">
      <c r="A2191" s="1" t="s">
        <v>3421</v>
      </c>
      <c r="B2191" s="1" t="s">
        <v>173</v>
      </c>
      <c r="C2191" s="1" t="s">
        <v>521</v>
      </c>
      <c r="D2191" s="1" t="s">
        <v>39</v>
      </c>
      <c r="E2191" s="1" t="s">
        <v>94</v>
      </c>
      <c r="F2191" s="1" t="s">
        <v>53</v>
      </c>
      <c r="G2191" s="1">
        <v>243766</v>
      </c>
      <c r="H2191" s="63">
        <v>45548</v>
      </c>
      <c r="J2191" s="1"/>
      <c r="K2191" s="1">
        <v>1.5</v>
      </c>
      <c r="L2191" s="1" t="s">
        <v>96</v>
      </c>
      <c r="M2191" s="1" t="s">
        <v>149</v>
      </c>
      <c r="N2191" s="1" t="str">
        <f t="shared" si="34"/>
        <v>Normal</v>
      </c>
    </row>
    <row r="2192" spans="1:14" x14ac:dyDescent="0.25">
      <c r="A2192" s="1" t="s">
        <v>3422</v>
      </c>
      <c r="B2192" s="1" t="s">
        <v>104</v>
      </c>
      <c r="C2192" s="1" t="s">
        <v>1191</v>
      </c>
      <c r="D2192" s="1" t="s">
        <v>46</v>
      </c>
      <c r="E2192" s="1" t="s">
        <v>100</v>
      </c>
      <c r="F2192" s="1" t="s">
        <v>40</v>
      </c>
      <c r="G2192" s="1">
        <v>392657</v>
      </c>
      <c r="H2192" s="63">
        <v>45195</v>
      </c>
      <c r="I2192" s="63">
        <v>45338</v>
      </c>
      <c r="J2192" s="1">
        <v>143</v>
      </c>
      <c r="K2192" s="1">
        <v>11.8</v>
      </c>
      <c r="L2192" s="1" t="s">
        <v>29</v>
      </c>
      <c r="M2192" s="1" t="s">
        <v>102</v>
      </c>
      <c r="N2192" s="1" t="str">
        <f t="shared" si="34"/>
        <v>Normal</v>
      </c>
    </row>
    <row r="2193" spans="1:14" x14ac:dyDescent="0.25">
      <c r="A2193" s="1" t="s">
        <v>3423</v>
      </c>
      <c r="B2193" s="1" t="s">
        <v>4829</v>
      </c>
      <c r="C2193" s="1" t="s">
        <v>141</v>
      </c>
      <c r="D2193" s="1" t="s">
        <v>46</v>
      </c>
      <c r="E2193" s="1" t="s">
        <v>72</v>
      </c>
      <c r="F2193" s="1" t="s">
        <v>40</v>
      </c>
      <c r="G2193" s="1">
        <v>234044</v>
      </c>
      <c r="H2193" s="63">
        <v>45425</v>
      </c>
      <c r="I2193" s="63">
        <v>45452</v>
      </c>
      <c r="J2193" s="1">
        <v>27</v>
      </c>
      <c r="K2193" s="1">
        <v>1.5</v>
      </c>
      <c r="L2193" s="1" t="s">
        <v>49</v>
      </c>
      <c r="M2193" s="1" t="s">
        <v>107</v>
      </c>
      <c r="N2193" s="1" t="str">
        <f t="shared" si="34"/>
        <v>Normal</v>
      </c>
    </row>
    <row r="2194" spans="1:14" x14ac:dyDescent="0.25">
      <c r="A2194" s="1" t="s">
        <v>3425</v>
      </c>
      <c r="B2194" s="1" t="s">
        <v>23</v>
      </c>
      <c r="C2194" s="1" t="s">
        <v>574</v>
      </c>
      <c r="D2194" s="1" t="s">
        <v>90</v>
      </c>
      <c r="E2194" s="1" t="s">
        <v>77</v>
      </c>
      <c r="F2194" s="1" t="s">
        <v>33</v>
      </c>
      <c r="G2194" s="1">
        <v>29626</v>
      </c>
      <c r="H2194" s="63">
        <v>45445</v>
      </c>
      <c r="J2194" s="1"/>
      <c r="K2194" s="1"/>
      <c r="L2194" s="1" t="s">
        <v>96</v>
      </c>
      <c r="M2194" s="1" t="s">
        <v>107</v>
      </c>
      <c r="N2194" s="1" t="str">
        <f t="shared" si="34"/>
        <v>Normal</v>
      </c>
    </row>
    <row r="2195" spans="1:14" x14ac:dyDescent="0.25">
      <c r="A2195" s="1" t="s">
        <v>3426</v>
      </c>
      <c r="B2195" s="1" t="s">
        <v>88</v>
      </c>
      <c r="C2195" s="1" t="s">
        <v>1308</v>
      </c>
      <c r="D2195" s="1" t="s">
        <v>25</v>
      </c>
      <c r="E2195" s="1" t="s">
        <v>72</v>
      </c>
      <c r="F2195" s="1" t="s">
        <v>27</v>
      </c>
      <c r="G2195" s="1">
        <v>462303</v>
      </c>
      <c r="H2195" s="63">
        <v>45084</v>
      </c>
      <c r="J2195" s="1"/>
      <c r="K2195" s="1">
        <v>12.4</v>
      </c>
      <c r="L2195" s="1" t="s">
        <v>49</v>
      </c>
      <c r="M2195" s="1" t="s">
        <v>30</v>
      </c>
      <c r="N2195" s="1" t="str">
        <f t="shared" si="34"/>
        <v>Normal</v>
      </c>
    </row>
    <row r="2196" spans="1:14" x14ac:dyDescent="0.25">
      <c r="A2196" s="1" t="s">
        <v>3427</v>
      </c>
      <c r="B2196" s="1" t="s">
        <v>37</v>
      </c>
      <c r="C2196" s="1" t="s">
        <v>255</v>
      </c>
      <c r="D2196" s="1" t="s">
        <v>67</v>
      </c>
      <c r="E2196" s="1" t="s">
        <v>47</v>
      </c>
      <c r="F2196" s="1" t="s">
        <v>40</v>
      </c>
      <c r="G2196" s="1">
        <v>246350</v>
      </c>
      <c r="H2196" s="63">
        <v>44963</v>
      </c>
      <c r="I2196" s="63">
        <v>45001</v>
      </c>
      <c r="J2196" s="1">
        <v>38</v>
      </c>
      <c r="K2196" s="1">
        <v>15.2</v>
      </c>
      <c r="L2196" s="1" t="s">
        <v>29</v>
      </c>
      <c r="M2196" s="1" t="s">
        <v>35</v>
      </c>
      <c r="N2196" s="1" t="str">
        <f t="shared" si="34"/>
        <v>Normal</v>
      </c>
    </row>
    <row r="2197" spans="1:14" x14ac:dyDescent="0.25">
      <c r="A2197" s="1" t="s">
        <v>3429</v>
      </c>
      <c r="B2197" s="1" t="s">
        <v>88</v>
      </c>
      <c r="C2197" s="1" t="s">
        <v>1258</v>
      </c>
      <c r="D2197" s="1" t="s">
        <v>46</v>
      </c>
      <c r="E2197" s="1" t="s">
        <v>26</v>
      </c>
      <c r="F2197" s="1" t="s">
        <v>129</v>
      </c>
      <c r="G2197" s="1">
        <v>171512</v>
      </c>
      <c r="H2197" s="63">
        <v>45052</v>
      </c>
      <c r="J2197" s="1"/>
      <c r="K2197" s="1">
        <v>7.3</v>
      </c>
      <c r="L2197" s="1" t="s">
        <v>20</v>
      </c>
      <c r="M2197" s="1" t="s">
        <v>30</v>
      </c>
      <c r="N2197" s="1" t="str">
        <f t="shared" si="34"/>
        <v>Normal</v>
      </c>
    </row>
    <row r="2198" spans="1:14" x14ac:dyDescent="0.25">
      <c r="A2198" s="1" t="s">
        <v>3430</v>
      </c>
      <c r="B2198" s="1" t="s">
        <v>127</v>
      </c>
      <c r="C2198" s="1" t="s">
        <v>552</v>
      </c>
      <c r="D2198" s="1" t="s">
        <v>16</v>
      </c>
      <c r="E2198" s="1" t="s">
        <v>94</v>
      </c>
      <c r="F2198" s="1" t="s">
        <v>129</v>
      </c>
      <c r="G2198" s="1">
        <v>268021</v>
      </c>
      <c r="H2198" s="63">
        <v>44934</v>
      </c>
      <c r="J2198" s="1"/>
      <c r="K2198" s="1">
        <v>8.4</v>
      </c>
      <c r="L2198" s="1" t="s">
        <v>96</v>
      </c>
      <c r="M2198" s="1" t="s">
        <v>35</v>
      </c>
      <c r="N2198" s="1" t="str">
        <f t="shared" si="34"/>
        <v>Normal</v>
      </c>
    </row>
    <row r="2199" spans="1:14" x14ac:dyDescent="0.25">
      <c r="A2199" s="1" t="s">
        <v>3431</v>
      </c>
      <c r="B2199" s="1" t="s">
        <v>127</v>
      </c>
      <c r="C2199" s="1" t="s">
        <v>865</v>
      </c>
      <c r="D2199" s="1" t="s">
        <v>67</v>
      </c>
      <c r="E2199" s="1" t="s">
        <v>77</v>
      </c>
      <c r="F2199" s="1" t="s">
        <v>129</v>
      </c>
      <c r="G2199" s="1">
        <v>461076</v>
      </c>
      <c r="H2199" s="63">
        <v>45650</v>
      </c>
      <c r="J2199" s="1"/>
      <c r="K2199" s="1">
        <v>2.5</v>
      </c>
      <c r="L2199" s="1" t="s">
        <v>49</v>
      </c>
      <c r="M2199" s="1" t="s">
        <v>42</v>
      </c>
      <c r="N2199" s="1" t="str">
        <f t="shared" si="34"/>
        <v>Normal</v>
      </c>
    </row>
    <row r="2200" spans="1:14" x14ac:dyDescent="0.25">
      <c r="A2200" s="1" t="s">
        <v>3432</v>
      </c>
      <c r="B2200" s="1" t="s">
        <v>98</v>
      </c>
      <c r="C2200" s="1" t="s">
        <v>544</v>
      </c>
      <c r="D2200" s="1" t="s">
        <v>39</v>
      </c>
      <c r="E2200" s="1" t="s">
        <v>94</v>
      </c>
      <c r="F2200" s="1" t="s">
        <v>18</v>
      </c>
      <c r="G2200" s="1">
        <v>404291</v>
      </c>
      <c r="H2200" s="63">
        <v>45636</v>
      </c>
      <c r="I2200" s="63">
        <v>45704</v>
      </c>
      <c r="J2200" s="1">
        <v>68</v>
      </c>
      <c r="K2200" s="1"/>
      <c r="L2200" s="1" t="s">
        <v>96</v>
      </c>
      <c r="M2200" s="1" t="s">
        <v>42</v>
      </c>
      <c r="N2200" s="1" t="str">
        <f t="shared" si="34"/>
        <v>Normal</v>
      </c>
    </row>
    <row r="2201" spans="1:14" x14ac:dyDescent="0.25">
      <c r="A2201" s="1" t="s">
        <v>3433</v>
      </c>
      <c r="B2201" s="1" t="s">
        <v>84</v>
      </c>
      <c r="C2201" s="1" t="s">
        <v>276</v>
      </c>
      <c r="D2201" s="1" t="s">
        <v>90</v>
      </c>
      <c r="E2201" s="1" t="s">
        <v>61</v>
      </c>
      <c r="F2201" s="1" t="s">
        <v>18</v>
      </c>
      <c r="G2201" s="1">
        <v>381351</v>
      </c>
      <c r="H2201" s="63">
        <v>45617</v>
      </c>
      <c r="I2201" s="63">
        <v>45725</v>
      </c>
      <c r="J2201" s="1">
        <v>108</v>
      </c>
      <c r="K2201" s="1">
        <v>13.7</v>
      </c>
      <c r="L2201" s="1" t="s">
        <v>96</v>
      </c>
      <c r="M2201" s="1" t="s">
        <v>42</v>
      </c>
      <c r="N2201" s="1" t="str">
        <f t="shared" si="34"/>
        <v>Normal</v>
      </c>
    </row>
    <row r="2202" spans="1:14" x14ac:dyDescent="0.25">
      <c r="A2202" s="1" t="s">
        <v>3434</v>
      </c>
      <c r="B2202" s="1" t="s">
        <v>98</v>
      </c>
      <c r="C2202" s="1" t="s">
        <v>1776</v>
      </c>
      <c r="D2202" s="1" t="s">
        <v>90</v>
      </c>
      <c r="E2202" s="1" t="s">
        <v>77</v>
      </c>
      <c r="F2202" s="1" t="s">
        <v>33</v>
      </c>
      <c r="G2202" s="1">
        <v>305174</v>
      </c>
      <c r="H2202" s="63">
        <v>45349</v>
      </c>
      <c r="J2202" s="1"/>
      <c r="K2202" s="1"/>
      <c r="L2202" s="1" t="s">
        <v>29</v>
      </c>
      <c r="M2202" s="1" t="s">
        <v>69</v>
      </c>
      <c r="N2202" s="1" t="str">
        <f t="shared" si="34"/>
        <v>Normal</v>
      </c>
    </row>
    <row r="2203" spans="1:14" x14ac:dyDescent="0.25">
      <c r="A2203" s="1" t="s">
        <v>3435</v>
      </c>
      <c r="B2203" s="1" t="s">
        <v>98</v>
      </c>
      <c r="C2203" s="1" t="s">
        <v>805</v>
      </c>
      <c r="D2203" s="1" t="s">
        <v>39</v>
      </c>
      <c r="E2203" s="1" t="s">
        <v>100</v>
      </c>
      <c r="F2203" s="1" t="s">
        <v>129</v>
      </c>
      <c r="G2203" s="1">
        <v>76010</v>
      </c>
      <c r="H2203" s="63">
        <v>45614</v>
      </c>
      <c r="J2203" s="1"/>
      <c r="K2203" s="1">
        <v>6.9</v>
      </c>
      <c r="L2203" s="1" t="s">
        <v>29</v>
      </c>
      <c r="M2203" s="1" t="s">
        <v>42</v>
      </c>
      <c r="N2203" s="1" t="str">
        <f t="shared" si="34"/>
        <v>Normal</v>
      </c>
    </row>
    <row r="2204" spans="1:14" x14ac:dyDescent="0.25">
      <c r="A2204" s="1" t="s">
        <v>3436</v>
      </c>
      <c r="B2204" s="1" t="s">
        <v>173</v>
      </c>
      <c r="C2204" s="1" t="s">
        <v>1455</v>
      </c>
      <c r="D2204" s="1" t="s">
        <v>39</v>
      </c>
      <c r="E2204" s="1" t="s">
        <v>100</v>
      </c>
      <c r="F2204" s="1" t="s">
        <v>18</v>
      </c>
      <c r="G2204" s="1">
        <v>241535</v>
      </c>
      <c r="H2204" s="63">
        <v>45622</v>
      </c>
      <c r="I2204" s="63">
        <v>45780</v>
      </c>
      <c r="J2204" s="1">
        <v>158</v>
      </c>
      <c r="K2204" s="1">
        <v>10.4</v>
      </c>
      <c r="L2204" s="1" t="s">
        <v>49</v>
      </c>
      <c r="M2204" s="1" t="s">
        <v>42</v>
      </c>
      <c r="N2204" s="1" t="str">
        <f t="shared" si="34"/>
        <v>Normal</v>
      </c>
    </row>
    <row r="2205" spans="1:14" x14ac:dyDescent="0.25">
      <c r="A2205" s="1" t="s">
        <v>3437</v>
      </c>
      <c r="B2205" s="1" t="s">
        <v>75</v>
      </c>
      <c r="C2205" s="1" t="s">
        <v>1074</v>
      </c>
      <c r="D2205" s="1" t="s">
        <v>25</v>
      </c>
      <c r="E2205" s="1" t="s">
        <v>17</v>
      </c>
      <c r="F2205" s="1" t="s">
        <v>40</v>
      </c>
      <c r="G2205" s="1">
        <v>227386</v>
      </c>
      <c r="H2205" s="63">
        <v>45268</v>
      </c>
      <c r="I2205" s="63">
        <v>45372</v>
      </c>
      <c r="J2205" s="1">
        <v>104</v>
      </c>
      <c r="K2205" s="1">
        <v>15.9</v>
      </c>
      <c r="L2205" s="1" t="s">
        <v>96</v>
      </c>
      <c r="M2205" s="1" t="s">
        <v>21</v>
      </c>
      <c r="N2205" s="1" t="str">
        <f t="shared" si="34"/>
        <v>Normal</v>
      </c>
    </row>
    <row r="2206" spans="1:14" x14ac:dyDescent="0.25">
      <c r="A2206" s="1" t="s">
        <v>3439</v>
      </c>
      <c r="B2206" s="1" t="s">
        <v>127</v>
      </c>
      <c r="C2206" s="1" t="s">
        <v>220</v>
      </c>
      <c r="D2206" s="1" t="s">
        <v>16</v>
      </c>
      <c r="E2206" s="1" t="s">
        <v>17</v>
      </c>
      <c r="F2206" s="1" t="s">
        <v>33</v>
      </c>
      <c r="G2206" s="1">
        <v>303076</v>
      </c>
      <c r="H2206" s="63">
        <v>45140</v>
      </c>
      <c r="J2206" s="1"/>
      <c r="K2206" s="1">
        <v>12.5</v>
      </c>
      <c r="L2206" s="1" t="s">
        <v>20</v>
      </c>
      <c r="M2206" s="1" t="s">
        <v>102</v>
      </c>
      <c r="N2206" s="1" t="str">
        <f t="shared" si="34"/>
        <v>Normal</v>
      </c>
    </row>
    <row r="2207" spans="1:14" x14ac:dyDescent="0.25">
      <c r="A2207" s="1" t="s">
        <v>3440</v>
      </c>
      <c r="B2207" s="1" t="s">
        <v>98</v>
      </c>
      <c r="C2207" s="1" t="s">
        <v>157</v>
      </c>
      <c r="D2207" s="1" t="s">
        <v>16</v>
      </c>
      <c r="E2207" s="1" t="s">
        <v>17</v>
      </c>
      <c r="F2207" s="1" t="s">
        <v>18</v>
      </c>
      <c r="G2207" s="1">
        <v>360211</v>
      </c>
      <c r="H2207" s="63">
        <v>45742</v>
      </c>
      <c r="I2207" s="63">
        <v>45918</v>
      </c>
      <c r="J2207" s="1">
        <v>176</v>
      </c>
      <c r="K2207" s="1">
        <v>5.4</v>
      </c>
      <c r="L2207" s="1" t="s">
        <v>96</v>
      </c>
      <c r="M2207" s="1" t="s">
        <v>63</v>
      </c>
      <c r="N2207" s="1" t="str">
        <f t="shared" si="34"/>
        <v>Normal</v>
      </c>
    </row>
    <row r="2208" spans="1:14" x14ac:dyDescent="0.25">
      <c r="A2208" s="1" t="s">
        <v>3441</v>
      </c>
      <c r="B2208" s="1" t="s">
        <v>109</v>
      </c>
      <c r="C2208" s="1" t="s">
        <v>596</v>
      </c>
      <c r="D2208" s="1" t="s">
        <v>39</v>
      </c>
      <c r="E2208" s="1" t="s">
        <v>47</v>
      </c>
      <c r="F2208" s="1" t="s">
        <v>40</v>
      </c>
      <c r="G2208" s="1">
        <v>146713</v>
      </c>
      <c r="H2208" s="63">
        <v>45667</v>
      </c>
      <c r="I2208" s="63">
        <v>45728</v>
      </c>
      <c r="J2208" s="1">
        <v>61</v>
      </c>
      <c r="K2208" s="1">
        <v>17.399999999999999</v>
      </c>
      <c r="L2208" s="1" t="s">
        <v>49</v>
      </c>
      <c r="M2208" s="1" t="s">
        <v>63</v>
      </c>
      <c r="N2208" s="1" t="str">
        <f t="shared" si="34"/>
        <v>Normal</v>
      </c>
    </row>
    <row r="2209" spans="1:14" x14ac:dyDescent="0.25">
      <c r="A2209" s="1" t="s">
        <v>3442</v>
      </c>
      <c r="B2209" s="1" t="s">
        <v>44</v>
      </c>
      <c r="C2209" s="1" t="s">
        <v>144</v>
      </c>
      <c r="D2209" s="1" t="s">
        <v>67</v>
      </c>
      <c r="E2209" s="1" t="s">
        <v>77</v>
      </c>
      <c r="F2209" s="1" t="s">
        <v>27</v>
      </c>
      <c r="G2209" s="1">
        <v>16071</v>
      </c>
      <c r="H2209" s="63">
        <v>45180</v>
      </c>
      <c r="J2209" s="1"/>
      <c r="K2209" s="1">
        <v>11.1</v>
      </c>
      <c r="L2209" s="1" t="s">
        <v>29</v>
      </c>
      <c r="M2209" s="1" t="s">
        <v>102</v>
      </c>
      <c r="N2209" s="1" t="str">
        <f t="shared" si="34"/>
        <v>Normal</v>
      </c>
    </row>
    <row r="2210" spans="1:14" x14ac:dyDescent="0.25">
      <c r="A2210" s="1" t="s">
        <v>3443</v>
      </c>
      <c r="B2210" s="1" t="s">
        <v>59</v>
      </c>
      <c r="C2210" s="1" t="s">
        <v>809</v>
      </c>
      <c r="D2210" s="1" t="s">
        <v>39</v>
      </c>
      <c r="E2210" s="1" t="s">
        <v>100</v>
      </c>
      <c r="F2210" s="1" t="s">
        <v>129</v>
      </c>
      <c r="G2210" s="1">
        <v>77815</v>
      </c>
      <c r="H2210" s="63">
        <v>45244</v>
      </c>
      <c r="J2210" s="1"/>
      <c r="K2210" s="1">
        <v>8.5</v>
      </c>
      <c r="L2210" s="1" t="s">
        <v>29</v>
      </c>
      <c r="M2210" s="1" t="s">
        <v>21</v>
      </c>
      <c r="N2210" s="1" t="str">
        <f t="shared" si="34"/>
        <v>Normal</v>
      </c>
    </row>
    <row r="2211" spans="1:14" x14ac:dyDescent="0.25">
      <c r="A2211" s="1" t="s">
        <v>3444</v>
      </c>
      <c r="B2211" s="1" t="s">
        <v>23</v>
      </c>
      <c r="C2211" s="1" t="s">
        <v>1072</v>
      </c>
      <c r="D2211" s="1" t="s">
        <v>67</v>
      </c>
      <c r="E2211" s="1" t="s">
        <v>94</v>
      </c>
      <c r="F2211" s="1" t="s">
        <v>33</v>
      </c>
      <c r="G2211" s="1">
        <v>89081</v>
      </c>
      <c r="H2211" s="63">
        <v>45747</v>
      </c>
      <c r="J2211" s="1"/>
      <c r="K2211" s="1">
        <v>13</v>
      </c>
      <c r="L2211" s="1" t="s">
        <v>20</v>
      </c>
      <c r="M2211" s="1" t="s">
        <v>63</v>
      </c>
      <c r="N2211" s="1" t="str">
        <f t="shared" si="34"/>
        <v>Normal</v>
      </c>
    </row>
    <row r="2212" spans="1:14" x14ac:dyDescent="0.25">
      <c r="A2212" s="1" t="s">
        <v>3445</v>
      </c>
      <c r="B2212" s="1" t="s">
        <v>14</v>
      </c>
      <c r="C2212" s="1" t="s">
        <v>877</v>
      </c>
      <c r="D2212" s="1" t="s">
        <v>39</v>
      </c>
      <c r="E2212" s="1" t="s">
        <v>94</v>
      </c>
      <c r="F2212" s="1" t="s">
        <v>18</v>
      </c>
      <c r="G2212" s="1">
        <v>447985</v>
      </c>
      <c r="H2212" s="63">
        <v>45432</v>
      </c>
      <c r="I2212" s="63">
        <v>45501</v>
      </c>
      <c r="J2212" s="1">
        <v>69</v>
      </c>
      <c r="K2212" s="1">
        <v>14.5</v>
      </c>
      <c r="L2212" s="1" t="s">
        <v>96</v>
      </c>
      <c r="M2212" s="1" t="s">
        <v>107</v>
      </c>
      <c r="N2212" s="1" t="str">
        <f t="shared" si="34"/>
        <v>Normal</v>
      </c>
    </row>
    <row r="2213" spans="1:14" x14ac:dyDescent="0.25">
      <c r="A2213" s="1" t="s">
        <v>3446</v>
      </c>
      <c r="B2213" s="1" t="s">
        <v>84</v>
      </c>
      <c r="C2213" s="1" t="s">
        <v>1354</v>
      </c>
      <c r="D2213" s="1" t="s">
        <v>39</v>
      </c>
      <c r="E2213" s="1" t="s">
        <v>4845</v>
      </c>
      <c r="F2213" s="1" t="s">
        <v>40</v>
      </c>
      <c r="G2213" s="1">
        <v>151461</v>
      </c>
      <c r="H2213" s="63">
        <v>45442</v>
      </c>
      <c r="I2213" s="63">
        <v>45616</v>
      </c>
      <c r="J2213" s="1">
        <v>174</v>
      </c>
      <c r="K2213" s="1">
        <v>4.5999999999999996</v>
      </c>
      <c r="L2213" s="1" t="s">
        <v>96</v>
      </c>
      <c r="M2213" s="1" t="s">
        <v>107</v>
      </c>
      <c r="N2213" s="1" t="str">
        <f t="shared" si="34"/>
        <v>Normal</v>
      </c>
    </row>
    <row r="2214" spans="1:14" x14ac:dyDescent="0.25">
      <c r="A2214" s="1" t="s">
        <v>3447</v>
      </c>
      <c r="B2214" s="1" t="s">
        <v>44</v>
      </c>
      <c r="C2214" s="1" t="s">
        <v>874</v>
      </c>
      <c r="D2214" s="1" t="s">
        <v>16</v>
      </c>
      <c r="E2214" s="1" t="s">
        <v>17</v>
      </c>
      <c r="F2214" s="1" t="s">
        <v>129</v>
      </c>
      <c r="G2214" s="1">
        <v>474732</v>
      </c>
      <c r="H2214" s="63">
        <v>45551</v>
      </c>
      <c r="J2214" s="1"/>
      <c r="K2214" s="1">
        <v>12.4</v>
      </c>
      <c r="L2214" s="1" t="s">
        <v>29</v>
      </c>
      <c r="M2214" s="1" t="s">
        <v>149</v>
      </c>
      <c r="N2214" s="1" t="str">
        <f t="shared" si="34"/>
        <v>Normal</v>
      </c>
    </row>
    <row r="2215" spans="1:14" x14ac:dyDescent="0.25">
      <c r="A2215" s="1" t="s">
        <v>3448</v>
      </c>
      <c r="B2215" s="1" t="s">
        <v>98</v>
      </c>
      <c r="C2215" s="1" t="s">
        <v>295</v>
      </c>
      <c r="D2215" s="1" t="s">
        <v>16</v>
      </c>
      <c r="E2215" s="1" t="s">
        <v>100</v>
      </c>
      <c r="F2215" s="1" t="s">
        <v>53</v>
      </c>
      <c r="G2215" s="1">
        <v>46486</v>
      </c>
      <c r="H2215" s="63">
        <v>45104</v>
      </c>
      <c r="J2215" s="1"/>
      <c r="K2215" s="1">
        <v>10.6</v>
      </c>
      <c r="L2215" s="1" t="s">
        <v>96</v>
      </c>
      <c r="M2215" s="1" t="s">
        <v>30</v>
      </c>
      <c r="N2215" s="1" t="str">
        <f t="shared" si="34"/>
        <v>Normal</v>
      </c>
    </row>
    <row r="2216" spans="1:14" x14ac:dyDescent="0.25">
      <c r="A2216" s="1" t="s">
        <v>3449</v>
      </c>
      <c r="B2216" s="1" t="s">
        <v>80</v>
      </c>
      <c r="C2216" s="1" t="s">
        <v>85</v>
      </c>
      <c r="D2216" s="1" t="s">
        <v>67</v>
      </c>
      <c r="E2216" s="1" t="s">
        <v>47</v>
      </c>
      <c r="F2216" s="1" t="s">
        <v>27</v>
      </c>
      <c r="G2216" s="1">
        <v>430748</v>
      </c>
      <c r="H2216" s="63">
        <v>45235</v>
      </c>
      <c r="J2216" s="1"/>
      <c r="K2216" s="1">
        <v>4.0999999999999996</v>
      </c>
      <c r="L2216" s="1" t="s">
        <v>20</v>
      </c>
      <c r="M2216" s="1" t="s">
        <v>21</v>
      </c>
      <c r="N2216" s="1" t="str">
        <f t="shared" si="34"/>
        <v>Normal</v>
      </c>
    </row>
    <row r="2217" spans="1:14" x14ac:dyDescent="0.25">
      <c r="A2217" s="1" t="s">
        <v>3450</v>
      </c>
      <c r="B2217" s="1" t="s">
        <v>44</v>
      </c>
      <c r="C2217" s="1" t="s">
        <v>603</v>
      </c>
      <c r="D2217" s="1" t="s">
        <v>16</v>
      </c>
      <c r="E2217" s="1" t="s">
        <v>100</v>
      </c>
      <c r="F2217" s="1" t="s">
        <v>129</v>
      </c>
      <c r="G2217" s="1">
        <v>460262</v>
      </c>
      <c r="H2217" s="63">
        <v>45221</v>
      </c>
      <c r="J2217" s="1"/>
      <c r="K2217" s="1"/>
      <c r="L2217" s="1" t="s">
        <v>96</v>
      </c>
      <c r="M2217" s="1" t="s">
        <v>21</v>
      </c>
      <c r="N2217" s="1" t="str">
        <f t="shared" si="34"/>
        <v>Normal</v>
      </c>
    </row>
    <row r="2218" spans="1:14" x14ac:dyDescent="0.25">
      <c r="A2218" s="1" t="s">
        <v>3451</v>
      </c>
      <c r="B2218" s="1" t="s">
        <v>173</v>
      </c>
      <c r="C2218" s="1" t="s">
        <v>1165</v>
      </c>
      <c r="D2218" s="1" t="s">
        <v>39</v>
      </c>
      <c r="E2218" s="1" t="s">
        <v>17</v>
      </c>
      <c r="F2218" s="1" t="s">
        <v>40</v>
      </c>
      <c r="G2218" s="1">
        <v>454136</v>
      </c>
      <c r="H2218" s="63">
        <v>45261</v>
      </c>
      <c r="I2218" s="63">
        <v>45329</v>
      </c>
      <c r="J2218" s="1">
        <v>68</v>
      </c>
      <c r="K2218" s="1">
        <v>3.7</v>
      </c>
      <c r="L2218" s="1" t="s">
        <v>29</v>
      </c>
      <c r="M2218" s="1" t="s">
        <v>21</v>
      </c>
      <c r="N2218" s="1" t="str">
        <f t="shared" si="34"/>
        <v>Normal</v>
      </c>
    </row>
    <row r="2219" spans="1:14" x14ac:dyDescent="0.25">
      <c r="A2219" s="1" t="s">
        <v>3452</v>
      </c>
      <c r="B2219" s="1" t="s">
        <v>65</v>
      </c>
      <c r="C2219" s="1" t="s">
        <v>316</v>
      </c>
      <c r="D2219" s="1" t="s">
        <v>25</v>
      </c>
      <c r="E2219" s="1" t="s">
        <v>72</v>
      </c>
      <c r="F2219" s="1" t="s">
        <v>18</v>
      </c>
      <c r="G2219" s="1">
        <v>432544</v>
      </c>
      <c r="H2219" s="63">
        <v>45018</v>
      </c>
      <c r="I2219" s="63">
        <v>45037</v>
      </c>
      <c r="J2219" s="1">
        <v>19</v>
      </c>
      <c r="K2219" s="1">
        <v>6.2</v>
      </c>
      <c r="L2219" s="1" t="s">
        <v>96</v>
      </c>
      <c r="M2219" s="1" t="s">
        <v>30</v>
      </c>
      <c r="N2219" s="1" t="str">
        <f t="shared" si="34"/>
        <v>Normal</v>
      </c>
    </row>
    <row r="2220" spans="1:14" x14ac:dyDescent="0.25">
      <c r="A2220" s="1" t="s">
        <v>3453</v>
      </c>
      <c r="B2220" s="1" t="s">
        <v>14</v>
      </c>
      <c r="C2220" s="1" t="s">
        <v>775</v>
      </c>
      <c r="D2220" s="1" t="s">
        <v>46</v>
      </c>
      <c r="E2220" s="1" t="s">
        <v>72</v>
      </c>
      <c r="F2220" s="1" t="s">
        <v>18</v>
      </c>
      <c r="G2220" s="1">
        <v>366866</v>
      </c>
      <c r="H2220" s="63">
        <v>44957</v>
      </c>
      <c r="I2220" s="63">
        <v>45108</v>
      </c>
      <c r="J2220" s="1">
        <v>151</v>
      </c>
      <c r="K2220" s="1">
        <v>11</v>
      </c>
      <c r="L2220" s="1" t="s">
        <v>49</v>
      </c>
      <c r="M2220" s="1" t="s">
        <v>35</v>
      </c>
      <c r="N2220" s="1" t="str">
        <f t="shared" si="34"/>
        <v>Normal</v>
      </c>
    </row>
    <row r="2221" spans="1:14" x14ac:dyDescent="0.25">
      <c r="A2221" s="1" t="s">
        <v>3454</v>
      </c>
      <c r="B2221" s="1" t="s">
        <v>59</v>
      </c>
      <c r="C2221" s="1" t="s">
        <v>89</v>
      </c>
      <c r="D2221" s="1" t="s">
        <v>46</v>
      </c>
      <c r="E2221" s="1" t="s">
        <v>47</v>
      </c>
      <c r="F2221" s="1" t="s">
        <v>129</v>
      </c>
      <c r="G2221" s="1">
        <v>48000</v>
      </c>
      <c r="H2221" s="63">
        <v>45212</v>
      </c>
      <c r="J2221" s="1"/>
      <c r="K2221" s="1">
        <v>8.6</v>
      </c>
      <c r="L2221" s="1" t="s">
        <v>96</v>
      </c>
      <c r="M2221" s="1" t="s">
        <v>21</v>
      </c>
      <c r="N2221" s="1" t="str">
        <f t="shared" si="34"/>
        <v>Normal</v>
      </c>
    </row>
    <row r="2222" spans="1:14" x14ac:dyDescent="0.25">
      <c r="A2222" s="1" t="s">
        <v>3455</v>
      </c>
      <c r="B2222" s="1" t="s">
        <v>173</v>
      </c>
      <c r="C2222" s="1" t="s">
        <v>667</v>
      </c>
      <c r="D2222" s="1" t="s">
        <v>16</v>
      </c>
      <c r="E2222" s="1" t="s">
        <v>47</v>
      </c>
      <c r="F2222" s="1" t="s">
        <v>33</v>
      </c>
      <c r="G2222" s="1">
        <v>122106</v>
      </c>
      <c r="H2222" s="63">
        <v>44993</v>
      </c>
      <c r="J2222" s="1"/>
      <c r="K2222" s="1">
        <v>6.4</v>
      </c>
      <c r="L2222" s="1" t="s">
        <v>96</v>
      </c>
      <c r="M2222" s="1" t="s">
        <v>35</v>
      </c>
      <c r="N2222" s="1" t="str">
        <f t="shared" si="34"/>
        <v>Normal</v>
      </c>
    </row>
    <row r="2223" spans="1:14" x14ac:dyDescent="0.25">
      <c r="A2223" s="1" t="s">
        <v>3457</v>
      </c>
      <c r="B2223" s="1" t="s">
        <v>44</v>
      </c>
      <c r="C2223" s="1" t="s">
        <v>2544</v>
      </c>
      <c r="D2223" s="1" t="s">
        <v>46</v>
      </c>
      <c r="E2223" s="1" t="s">
        <v>61</v>
      </c>
      <c r="F2223" s="1" t="s">
        <v>33</v>
      </c>
      <c r="G2223" s="1">
        <v>43535</v>
      </c>
      <c r="H2223" s="63">
        <v>45094</v>
      </c>
      <c r="J2223" s="1"/>
      <c r="K2223" s="1">
        <v>9.1999999999999993</v>
      </c>
      <c r="L2223" s="1" t="s">
        <v>96</v>
      </c>
      <c r="M2223" s="1" t="s">
        <v>30</v>
      </c>
      <c r="N2223" s="1" t="str">
        <f t="shared" si="34"/>
        <v>Normal</v>
      </c>
    </row>
    <row r="2224" spans="1:14" x14ac:dyDescent="0.25">
      <c r="A2224" s="1" t="s">
        <v>3458</v>
      </c>
      <c r="B2224" s="1" t="s">
        <v>127</v>
      </c>
      <c r="C2224" s="1" t="s">
        <v>162</v>
      </c>
      <c r="D2224" s="1" t="s">
        <v>90</v>
      </c>
      <c r="E2224" s="1" t="s">
        <v>77</v>
      </c>
      <c r="F2224" s="1" t="s">
        <v>18</v>
      </c>
      <c r="G2224" s="1">
        <v>372512</v>
      </c>
      <c r="H2224" s="63">
        <v>45425</v>
      </c>
      <c r="I2224" s="63">
        <v>45514</v>
      </c>
      <c r="J2224" s="1">
        <v>89</v>
      </c>
      <c r="K2224" s="1">
        <v>1.5</v>
      </c>
      <c r="L2224" s="1" t="s">
        <v>49</v>
      </c>
      <c r="M2224" s="1" t="s">
        <v>107</v>
      </c>
      <c r="N2224" s="1" t="str">
        <f t="shared" si="34"/>
        <v>Normal</v>
      </c>
    </row>
    <row r="2225" spans="1:14" x14ac:dyDescent="0.25">
      <c r="A2225" s="1" t="s">
        <v>3459</v>
      </c>
      <c r="B2225" s="1" t="s">
        <v>80</v>
      </c>
      <c r="C2225" s="1" t="s">
        <v>52</v>
      </c>
      <c r="D2225" s="1" t="s">
        <v>16</v>
      </c>
      <c r="E2225" s="1" t="s">
        <v>94</v>
      </c>
      <c r="F2225" s="1" t="s">
        <v>40</v>
      </c>
      <c r="G2225" s="1">
        <v>202985</v>
      </c>
      <c r="H2225" s="63">
        <v>45522</v>
      </c>
      <c r="I2225" s="63">
        <v>45612</v>
      </c>
      <c r="J2225" s="1">
        <v>90</v>
      </c>
      <c r="K2225" s="1">
        <v>12.4</v>
      </c>
      <c r="L2225" s="1" t="s">
        <v>49</v>
      </c>
      <c r="M2225" s="1" t="s">
        <v>149</v>
      </c>
      <c r="N2225" s="1" t="str">
        <f t="shared" si="34"/>
        <v>Normal</v>
      </c>
    </row>
    <row r="2226" spans="1:14" x14ac:dyDescent="0.25">
      <c r="A2226" s="1" t="s">
        <v>3460</v>
      </c>
      <c r="B2226" s="1" t="s">
        <v>65</v>
      </c>
      <c r="C2226" s="1" t="s">
        <v>165</v>
      </c>
      <c r="D2226" s="1" t="s">
        <v>16</v>
      </c>
      <c r="E2226" s="1" t="s">
        <v>94</v>
      </c>
      <c r="F2226" s="1" t="s">
        <v>18</v>
      </c>
      <c r="G2226" s="1">
        <v>340624</v>
      </c>
      <c r="H2226" s="63">
        <v>45425</v>
      </c>
      <c r="I2226" s="63">
        <v>45461</v>
      </c>
      <c r="J2226" s="1">
        <v>36</v>
      </c>
      <c r="K2226" s="1"/>
      <c r="L2226" s="1" t="s">
        <v>96</v>
      </c>
      <c r="M2226" s="1" t="s">
        <v>107</v>
      </c>
      <c r="N2226" s="1" t="str">
        <f t="shared" si="34"/>
        <v>Normal</v>
      </c>
    </row>
    <row r="2227" spans="1:14" x14ac:dyDescent="0.25">
      <c r="A2227" s="1" t="s">
        <v>3461</v>
      </c>
      <c r="B2227" s="1" t="s">
        <v>14</v>
      </c>
      <c r="C2227" s="1" t="s">
        <v>298</v>
      </c>
      <c r="D2227" s="1" t="s">
        <v>90</v>
      </c>
      <c r="E2227" s="1" t="s">
        <v>72</v>
      </c>
      <c r="F2227" s="1" t="s">
        <v>40</v>
      </c>
      <c r="G2227" s="1">
        <v>305132</v>
      </c>
      <c r="H2227" s="63">
        <v>45651</v>
      </c>
      <c r="I2227" s="63">
        <v>45827</v>
      </c>
      <c r="J2227" s="1">
        <v>176</v>
      </c>
      <c r="K2227" s="1">
        <v>14.4</v>
      </c>
      <c r="L2227" s="1" t="s">
        <v>49</v>
      </c>
      <c r="M2227" s="1" t="s">
        <v>42</v>
      </c>
      <c r="N2227" s="1" t="str">
        <f t="shared" si="34"/>
        <v>Normal</v>
      </c>
    </row>
    <row r="2228" spans="1:14" x14ac:dyDescent="0.25">
      <c r="A2228" s="1" t="s">
        <v>3462</v>
      </c>
      <c r="B2228" s="1" t="s">
        <v>65</v>
      </c>
      <c r="C2228" s="1" t="s">
        <v>205</v>
      </c>
      <c r="D2228" s="1" t="s">
        <v>25</v>
      </c>
      <c r="E2228" s="1" t="s">
        <v>100</v>
      </c>
      <c r="F2228" s="1" t="s">
        <v>53</v>
      </c>
      <c r="G2228" s="1">
        <v>376820</v>
      </c>
      <c r="H2228" s="63">
        <v>45491</v>
      </c>
      <c r="J2228" s="1"/>
      <c r="K2228" s="1">
        <v>12.4</v>
      </c>
      <c r="L2228" s="1" t="s">
        <v>96</v>
      </c>
      <c r="M2228" s="1" t="s">
        <v>149</v>
      </c>
      <c r="N2228" s="1" t="str">
        <f t="shared" si="34"/>
        <v>Normal</v>
      </c>
    </row>
    <row r="2229" spans="1:14" x14ac:dyDescent="0.25">
      <c r="A2229" s="1" t="s">
        <v>3463</v>
      </c>
      <c r="B2229" s="1" t="s">
        <v>80</v>
      </c>
      <c r="C2229" s="1" t="s">
        <v>528</v>
      </c>
      <c r="D2229" s="1" t="s">
        <v>25</v>
      </c>
      <c r="E2229" s="1" t="s">
        <v>26</v>
      </c>
      <c r="F2229" s="1" t="s">
        <v>40</v>
      </c>
      <c r="G2229" s="1">
        <v>201292</v>
      </c>
      <c r="H2229" s="63">
        <v>45110</v>
      </c>
      <c r="I2229" s="63">
        <v>45233</v>
      </c>
      <c r="J2229" s="1">
        <v>123</v>
      </c>
      <c r="K2229" s="1">
        <v>9.6</v>
      </c>
      <c r="L2229" s="1" t="s">
        <v>96</v>
      </c>
      <c r="M2229" s="1" t="s">
        <v>102</v>
      </c>
      <c r="N2229" s="1" t="str">
        <f t="shared" si="34"/>
        <v>Normal</v>
      </c>
    </row>
    <row r="2230" spans="1:14" x14ac:dyDescent="0.25">
      <c r="A2230" s="1" t="s">
        <v>3464</v>
      </c>
      <c r="B2230" s="1" t="s">
        <v>109</v>
      </c>
      <c r="C2230" s="1" t="s">
        <v>287</v>
      </c>
      <c r="D2230" s="1" t="s">
        <v>25</v>
      </c>
      <c r="E2230" s="1" t="s">
        <v>17</v>
      </c>
      <c r="F2230" s="1" t="s">
        <v>40</v>
      </c>
      <c r="G2230" s="1">
        <v>244725</v>
      </c>
      <c r="H2230" s="63">
        <v>45084</v>
      </c>
      <c r="I2230" s="63">
        <v>45145</v>
      </c>
      <c r="J2230" s="1">
        <v>61</v>
      </c>
      <c r="K2230" s="1">
        <v>9.9</v>
      </c>
      <c r="L2230" s="1" t="s">
        <v>49</v>
      </c>
      <c r="M2230" s="1" t="s">
        <v>30</v>
      </c>
      <c r="N2230" s="1" t="str">
        <f t="shared" si="34"/>
        <v>Normal</v>
      </c>
    </row>
    <row r="2231" spans="1:14" x14ac:dyDescent="0.25">
      <c r="A2231" s="1" t="s">
        <v>3465</v>
      </c>
      <c r="B2231" s="1" t="s">
        <v>65</v>
      </c>
      <c r="C2231" s="1" t="s">
        <v>466</v>
      </c>
      <c r="D2231" s="1" t="s">
        <v>25</v>
      </c>
      <c r="E2231" s="1" t="s">
        <v>17</v>
      </c>
      <c r="F2231" s="1" t="s">
        <v>33</v>
      </c>
      <c r="G2231" s="1">
        <v>368761</v>
      </c>
      <c r="H2231" s="63">
        <v>45623</v>
      </c>
      <c r="J2231" s="1"/>
      <c r="K2231" s="1">
        <v>14.5</v>
      </c>
      <c r="L2231" s="1" t="s">
        <v>29</v>
      </c>
      <c r="M2231" s="1" t="s">
        <v>42</v>
      </c>
      <c r="N2231" s="1" t="str">
        <f t="shared" si="34"/>
        <v>Normal</v>
      </c>
    </row>
    <row r="2232" spans="1:14" x14ac:dyDescent="0.25">
      <c r="A2232" s="1" t="s">
        <v>3466</v>
      </c>
      <c r="B2232" s="1" t="s">
        <v>75</v>
      </c>
      <c r="C2232" s="1" t="s">
        <v>571</v>
      </c>
      <c r="D2232" s="1" t="s">
        <v>39</v>
      </c>
      <c r="E2232" s="1" t="s">
        <v>77</v>
      </c>
      <c r="F2232" s="1" t="s">
        <v>27</v>
      </c>
      <c r="G2232" s="1">
        <v>466837</v>
      </c>
      <c r="H2232" s="63">
        <v>45029</v>
      </c>
      <c r="J2232" s="1"/>
      <c r="K2232" s="1"/>
      <c r="L2232" s="1" t="s">
        <v>96</v>
      </c>
      <c r="M2232" s="1" t="s">
        <v>30</v>
      </c>
      <c r="N2232" s="1" t="str">
        <f t="shared" si="34"/>
        <v>Normal</v>
      </c>
    </row>
    <row r="2233" spans="1:14" x14ac:dyDescent="0.25">
      <c r="A2233" s="1" t="s">
        <v>3467</v>
      </c>
      <c r="B2233" s="1" t="s">
        <v>65</v>
      </c>
      <c r="C2233" s="1" t="s">
        <v>71</v>
      </c>
      <c r="D2233" s="1" t="s">
        <v>25</v>
      </c>
      <c r="E2233" s="1" t="s">
        <v>17</v>
      </c>
      <c r="F2233" s="1" t="s">
        <v>33</v>
      </c>
      <c r="G2233" s="1">
        <v>203142</v>
      </c>
      <c r="H2233" s="63">
        <v>45163</v>
      </c>
      <c r="J2233" s="1"/>
      <c r="K2233" s="1"/>
      <c r="L2233" s="1" t="s">
        <v>29</v>
      </c>
      <c r="M2233" s="1" t="s">
        <v>102</v>
      </c>
      <c r="N2233" s="1" t="str">
        <f t="shared" si="34"/>
        <v>Normal</v>
      </c>
    </row>
    <row r="2234" spans="1:14" x14ac:dyDescent="0.25">
      <c r="A2234" s="1" t="s">
        <v>3468</v>
      </c>
      <c r="B2234" s="1" t="s">
        <v>65</v>
      </c>
      <c r="C2234" s="1" t="s">
        <v>415</v>
      </c>
      <c r="D2234" s="1" t="s">
        <v>46</v>
      </c>
      <c r="E2234" s="1" t="s">
        <v>72</v>
      </c>
      <c r="F2234" s="1" t="s">
        <v>129</v>
      </c>
      <c r="G2234" s="1">
        <v>272274</v>
      </c>
      <c r="H2234" s="63">
        <v>45461</v>
      </c>
      <c r="J2234" s="1"/>
      <c r="K2234" s="1">
        <v>10</v>
      </c>
      <c r="L2234" s="1" t="s">
        <v>49</v>
      </c>
      <c r="M2234" s="1" t="s">
        <v>107</v>
      </c>
      <c r="N2234" s="1" t="str">
        <f t="shared" si="34"/>
        <v>Normal</v>
      </c>
    </row>
    <row r="2235" spans="1:14" x14ac:dyDescent="0.25">
      <c r="A2235" s="1" t="s">
        <v>3469</v>
      </c>
      <c r="B2235" s="1" t="s">
        <v>37</v>
      </c>
      <c r="C2235" s="1" t="s">
        <v>460</v>
      </c>
      <c r="D2235" s="1" t="s">
        <v>39</v>
      </c>
      <c r="E2235" s="1" t="s">
        <v>17</v>
      </c>
      <c r="F2235" s="1" t="s">
        <v>40</v>
      </c>
      <c r="G2235" s="1">
        <v>404291</v>
      </c>
      <c r="H2235" s="63">
        <v>45486</v>
      </c>
      <c r="I2235" s="63">
        <v>45520</v>
      </c>
      <c r="J2235" s="1">
        <v>34</v>
      </c>
      <c r="K2235" s="1">
        <v>8.9</v>
      </c>
      <c r="L2235" s="1" t="s">
        <v>29</v>
      </c>
      <c r="M2235" s="1" t="s">
        <v>149</v>
      </c>
      <c r="N2235" s="1" t="str">
        <f t="shared" si="34"/>
        <v>Normal</v>
      </c>
    </row>
    <row r="2236" spans="1:14" x14ac:dyDescent="0.25">
      <c r="A2236" s="1" t="s">
        <v>3470</v>
      </c>
      <c r="B2236" s="1" t="s">
        <v>65</v>
      </c>
      <c r="C2236" s="1" t="s">
        <v>1018</v>
      </c>
      <c r="D2236" s="1" t="s">
        <v>90</v>
      </c>
      <c r="E2236" s="1" t="s">
        <v>47</v>
      </c>
      <c r="F2236" s="1" t="s">
        <v>33</v>
      </c>
      <c r="G2236" s="1">
        <v>284945</v>
      </c>
      <c r="H2236" s="63">
        <v>45248</v>
      </c>
      <c r="J2236" s="1"/>
      <c r="K2236" s="1">
        <v>7.8</v>
      </c>
      <c r="L2236" s="1" t="s">
        <v>20</v>
      </c>
      <c r="M2236" s="1" t="s">
        <v>21</v>
      </c>
      <c r="N2236" s="1" t="str">
        <f t="shared" si="34"/>
        <v>Normal</v>
      </c>
    </row>
    <row r="2237" spans="1:14" x14ac:dyDescent="0.25">
      <c r="A2237" s="1" t="s">
        <v>3471</v>
      </c>
      <c r="B2237" s="1" t="s">
        <v>44</v>
      </c>
      <c r="C2237" s="1" t="s">
        <v>119</v>
      </c>
      <c r="D2237" s="1" t="s">
        <v>46</v>
      </c>
      <c r="E2237" s="1" t="s">
        <v>100</v>
      </c>
      <c r="F2237" s="1" t="s">
        <v>129</v>
      </c>
      <c r="G2237" s="1">
        <v>407798</v>
      </c>
      <c r="H2237" s="63">
        <v>45499</v>
      </c>
      <c r="J2237" s="1"/>
      <c r="K2237" s="1">
        <v>13</v>
      </c>
      <c r="L2237" s="1" t="s">
        <v>29</v>
      </c>
      <c r="M2237" s="1" t="s">
        <v>149</v>
      </c>
      <c r="N2237" s="1" t="str">
        <f t="shared" si="34"/>
        <v>Normal</v>
      </c>
    </row>
    <row r="2238" spans="1:14" x14ac:dyDescent="0.25">
      <c r="A2238" s="1" t="s">
        <v>3473</v>
      </c>
      <c r="B2238" s="1" t="s">
        <v>84</v>
      </c>
      <c r="C2238" s="1" t="s">
        <v>552</v>
      </c>
      <c r="D2238" s="1" t="s">
        <v>67</v>
      </c>
      <c r="E2238" s="1" t="s">
        <v>77</v>
      </c>
      <c r="F2238" s="1" t="s">
        <v>53</v>
      </c>
      <c r="G2238" s="1">
        <v>200654</v>
      </c>
      <c r="H2238" s="63">
        <v>45390</v>
      </c>
      <c r="J2238" s="1"/>
      <c r="K2238" s="1">
        <v>13</v>
      </c>
      <c r="L2238" s="1" t="s">
        <v>20</v>
      </c>
      <c r="M2238" s="1" t="s">
        <v>107</v>
      </c>
      <c r="N2238" s="1" t="str">
        <f t="shared" si="34"/>
        <v>Normal</v>
      </c>
    </row>
    <row r="2239" spans="1:14" x14ac:dyDescent="0.25">
      <c r="A2239" s="1" t="s">
        <v>3474</v>
      </c>
      <c r="B2239" s="1" t="s">
        <v>127</v>
      </c>
      <c r="C2239" s="1" t="s">
        <v>614</v>
      </c>
      <c r="D2239" s="1" t="s">
        <v>16</v>
      </c>
      <c r="E2239" s="1" t="s">
        <v>100</v>
      </c>
      <c r="F2239" s="1" t="s">
        <v>40</v>
      </c>
      <c r="G2239" s="1">
        <v>143599</v>
      </c>
      <c r="H2239" s="63">
        <v>45699</v>
      </c>
      <c r="I2239" s="63">
        <v>45776</v>
      </c>
      <c r="J2239" s="1">
        <v>77</v>
      </c>
      <c r="K2239" s="1">
        <v>19.899999999999999</v>
      </c>
      <c r="L2239" s="1" t="s">
        <v>49</v>
      </c>
      <c r="M2239" s="1" t="s">
        <v>63</v>
      </c>
      <c r="N2239" s="1" t="str">
        <f t="shared" si="34"/>
        <v>Normal</v>
      </c>
    </row>
    <row r="2240" spans="1:14" x14ac:dyDescent="0.25">
      <c r="A2240" s="1" t="s">
        <v>3475</v>
      </c>
      <c r="B2240" s="1" t="s">
        <v>4829</v>
      </c>
      <c r="C2240" s="1" t="s">
        <v>1165</v>
      </c>
      <c r="D2240" s="1" t="s">
        <v>25</v>
      </c>
      <c r="E2240" s="1" t="s">
        <v>94</v>
      </c>
      <c r="F2240" s="1" t="s">
        <v>129</v>
      </c>
      <c r="G2240" s="1">
        <v>237351</v>
      </c>
      <c r="H2240" s="63">
        <v>45530</v>
      </c>
      <c r="J2240" s="1"/>
      <c r="K2240" s="1">
        <v>8.1</v>
      </c>
      <c r="L2240" s="1" t="s">
        <v>20</v>
      </c>
      <c r="M2240" s="1" t="s">
        <v>149</v>
      </c>
      <c r="N2240" s="1" t="str">
        <f t="shared" si="34"/>
        <v>Normal</v>
      </c>
    </row>
    <row r="2241" spans="1:14" x14ac:dyDescent="0.25">
      <c r="A2241" s="1" t="s">
        <v>3476</v>
      </c>
      <c r="B2241" s="1" t="s">
        <v>44</v>
      </c>
      <c r="C2241" s="1" t="s">
        <v>939</v>
      </c>
      <c r="D2241" s="1" t="s">
        <v>90</v>
      </c>
      <c r="E2241" s="1" t="s">
        <v>94</v>
      </c>
      <c r="F2241" s="1" t="s">
        <v>27</v>
      </c>
      <c r="G2241" s="1">
        <v>382535</v>
      </c>
      <c r="H2241" s="63">
        <v>45060</v>
      </c>
      <c r="J2241" s="1"/>
      <c r="K2241" s="1">
        <v>1.7</v>
      </c>
      <c r="L2241" s="1" t="s">
        <v>29</v>
      </c>
      <c r="M2241" s="1" t="s">
        <v>30</v>
      </c>
      <c r="N2241" s="1" t="str">
        <f t="shared" si="34"/>
        <v>Normal</v>
      </c>
    </row>
    <row r="2242" spans="1:14" x14ac:dyDescent="0.25">
      <c r="A2242" s="1" t="s">
        <v>3477</v>
      </c>
      <c r="B2242" s="1" t="s">
        <v>23</v>
      </c>
      <c r="C2242" s="1" t="s">
        <v>1157</v>
      </c>
      <c r="D2242" s="1" t="s">
        <v>67</v>
      </c>
      <c r="E2242" s="1" t="s">
        <v>72</v>
      </c>
      <c r="F2242" s="1" t="s">
        <v>53</v>
      </c>
      <c r="G2242" s="1">
        <v>111475</v>
      </c>
      <c r="H2242" s="63">
        <v>45657</v>
      </c>
      <c r="J2242" s="1"/>
      <c r="K2242" s="1"/>
      <c r="L2242" s="1" t="s">
        <v>20</v>
      </c>
      <c r="M2242" s="1" t="s">
        <v>42</v>
      </c>
      <c r="N2242" s="1" t="str">
        <f t="shared" ref="N2242:N2305" si="35">IF(G2242&gt;$R$5,"High Outlier",IF(G2242&lt;$R$6,"Low Outlier","Normal"))</f>
        <v>Normal</v>
      </c>
    </row>
    <row r="2243" spans="1:14" x14ac:dyDescent="0.25">
      <c r="A2243" s="1" t="s">
        <v>3478</v>
      </c>
      <c r="B2243" s="1" t="s">
        <v>173</v>
      </c>
      <c r="C2243" s="1" t="s">
        <v>119</v>
      </c>
      <c r="D2243" s="1" t="s">
        <v>39</v>
      </c>
      <c r="E2243" s="1" t="s">
        <v>47</v>
      </c>
      <c r="F2243" s="1" t="s">
        <v>27</v>
      </c>
      <c r="G2243" s="1">
        <v>258349</v>
      </c>
      <c r="H2243" s="63">
        <v>45401</v>
      </c>
      <c r="J2243" s="1"/>
      <c r="K2243" s="1">
        <v>7.5</v>
      </c>
      <c r="L2243" s="1" t="s">
        <v>49</v>
      </c>
      <c r="M2243" s="1" t="s">
        <v>107</v>
      </c>
      <c r="N2243" s="1" t="str">
        <f t="shared" si="35"/>
        <v>Normal</v>
      </c>
    </row>
    <row r="2244" spans="1:14" x14ac:dyDescent="0.25">
      <c r="A2244" s="1" t="s">
        <v>3479</v>
      </c>
      <c r="B2244" s="1" t="s">
        <v>65</v>
      </c>
      <c r="C2244" s="1" t="s">
        <v>1582</v>
      </c>
      <c r="D2244" s="1" t="s">
        <v>39</v>
      </c>
      <c r="E2244" s="1" t="s">
        <v>26</v>
      </c>
      <c r="F2244" s="1" t="s">
        <v>27</v>
      </c>
      <c r="G2244" s="1">
        <v>112030</v>
      </c>
      <c r="H2244" s="63">
        <v>45512</v>
      </c>
      <c r="J2244" s="1"/>
      <c r="K2244" s="1">
        <v>12.1</v>
      </c>
      <c r="L2244" s="1" t="s">
        <v>29</v>
      </c>
      <c r="M2244" s="1" t="s">
        <v>149</v>
      </c>
      <c r="N2244" s="1" t="str">
        <f t="shared" si="35"/>
        <v>Normal</v>
      </c>
    </row>
    <row r="2245" spans="1:14" x14ac:dyDescent="0.25">
      <c r="A2245" s="1" t="s">
        <v>3480</v>
      </c>
      <c r="B2245" s="1" t="s">
        <v>14</v>
      </c>
      <c r="C2245" s="1" t="s">
        <v>662</v>
      </c>
      <c r="D2245" s="1" t="s">
        <v>39</v>
      </c>
      <c r="E2245" s="1" t="s">
        <v>47</v>
      </c>
      <c r="F2245" s="1" t="s">
        <v>129</v>
      </c>
      <c r="G2245" s="1">
        <v>324459</v>
      </c>
      <c r="H2245" s="63">
        <v>45352</v>
      </c>
      <c r="J2245" s="1"/>
      <c r="K2245" s="1">
        <v>6.2</v>
      </c>
      <c r="L2245" s="1" t="s">
        <v>96</v>
      </c>
      <c r="M2245" s="1" t="s">
        <v>69</v>
      </c>
      <c r="N2245" s="1" t="str">
        <f t="shared" si="35"/>
        <v>Normal</v>
      </c>
    </row>
    <row r="2246" spans="1:14" x14ac:dyDescent="0.25">
      <c r="A2246" s="1" t="s">
        <v>3481</v>
      </c>
      <c r="B2246" s="1" t="s">
        <v>104</v>
      </c>
      <c r="C2246" s="1" t="s">
        <v>1170</v>
      </c>
      <c r="D2246" s="1" t="s">
        <v>46</v>
      </c>
      <c r="E2246" s="1" t="s">
        <v>100</v>
      </c>
      <c r="F2246" s="1" t="s">
        <v>18</v>
      </c>
      <c r="G2246" s="1">
        <v>319669</v>
      </c>
      <c r="H2246" s="63">
        <v>45462</v>
      </c>
      <c r="I2246" s="63">
        <v>45493</v>
      </c>
      <c r="J2246" s="1">
        <v>31</v>
      </c>
      <c r="K2246" s="1">
        <v>3.1</v>
      </c>
      <c r="L2246" s="1" t="s">
        <v>49</v>
      </c>
      <c r="M2246" s="1" t="s">
        <v>107</v>
      </c>
      <c r="N2246" s="1" t="str">
        <f t="shared" si="35"/>
        <v>Normal</v>
      </c>
    </row>
    <row r="2247" spans="1:14" x14ac:dyDescent="0.25">
      <c r="A2247" s="1" t="s">
        <v>3482</v>
      </c>
      <c r="B2247" s="1" t="s">
        <v>127</v>
      </c>
      <c r="C2247" s="1" t="s">
        <v>1121</v>
      </c>
      <c r="D2247" s="1" t="s">
        <v>39</v>
      </c>
      <c r="E2247" s="1" t="s">
        <v>94</v>
      </c>
      <c r="F2247" s="1" t="s">
        <v>40</v>
      </c>
      <c r="G2247" s="1">
        <v>419435</v>
      </c>
      <c r="H2247" s="63">
        <v>44998</v>
      </c>
      <c r="I2247" s="63">
        <v>45151</v>
      </c>
      <c r="J2247" s="1">
        <v>153</v>
      </c>
      <c r="K2247" s="1">
        <v>9.6</v>
      </c>
      <c r="L2247" s="1" t="s">
        <v>20</v>
      </c>
      <c r="M2247" s="1" t="s">
        <v>35</v>
      </c>
      <c r="N2247" s="1" t="str">
        <f t="shared" si="35"/>
        <v>Normal</v>
      </c>
    </row>
    <row r="2248" spans="1:14" x14ac:dyDescent="0.25">
      <c r="A2248" s="1" t="s">
        <v>3484</v>
      </c>
      <c r="B2248" s="1" t="s">
        <v>59</v>
      </c>
      <c r="C2248" s="1" t="s">
        <v>298</v>
      </c>
      <c r="D2248" s="1" t="s">
        <v>25</v>
      </c>
      <c r="E2248" s="1" t="s">
        <v>94</v>
      </c>
      <c r="F2248" s="1" t="s">
        <v>33</v>
      </c>
      <c r="G2248" s="1">
        <v>496070</v>
      </c>
      <c r="H2248" s="63">
        <v>45391</v>
      </c>
      <c r="J2248" s="1"/>
      <c r="K2248" s="1"/>
      <c r="L2248" s="1" t="s">
        <v>20</v>
      </c>
      <c r="M2248" s="1" t="s">
        <v>107</v>
      </c>
      <c r="N2248" s="1" t="str">
        <f t="shared" si="35"/>
        <v>Normal</v>
      </c>
    </row>
    <row r="2249" spans="1:14" x14ac:dyDescent="0.25">
      <c r="A2249" s="1" t="s">
        <v>3485</v>
      </c>
      <c r="B2249" s="1" t="s">
        <v>59</v>
      </c>
      <c r="C2249" s="1" t="s">
        <v>1914</v>
      </c>
      <c r="D2249" s="1" t="s">
        <v>90</v>
      </c>
      <c r="E2249" s="1" t="s">
        <v>61</v>
      </c>
      <c r="F2249" s="1" t="s">
        <v>53</v>
      </c>
      <c r="G2249" s="1">
        <v>398862</v>
      </c>
      <c r="H2249" s="63">
        <v>45051</v>
      </c>
      <c r="J2249" s="1"/>
      <c r="K2249" s="1"/>
      <c r="L2249" s="1" t="s">
        <v>96</v>
      </c>
      <c r="M2249" s="1" t="s">
        <v>30</v>
      </c>
      <c r="N2249" s="1" t="str">
        <f t="shared" si="35"/>
        <v>Normal</v>
      </c>
    </row>
    <row r="2250" spans="1:14" x14ac:dyDescent="0.25">
      <c r="A2250" s="1" t="s">
        <v>3486</v>
      </c>
      <c r="B2250" s="1" t="s">
        <v>14</v>
      </c>
      <c r="C2250" s="1" t="s">
        <v>224</v>
      </c>
      <c r="D2250" s="1" t="s">
        <v>16</v>
      </c>
      <c r="E2250" s="1" t="s">
        <v>94</v>
      </c>
      <c r="F2250" s="1" t="s">
        <v>129</v>
      </c>
      <c r="G2250" s="1">
        <v>102696</v>
      </c>
      <c r="H2250" s="63">
        <v>45118</v>
      </c>
      <c r="J2250" s="1"/>
      <c r="K2250" s="1">
        <v>12.3</v>
      </c>
      <c r="L2250" s="1" t="s">
        <v>20</v>
      </c>
      <c r="M2250" s="1" t="s">
        <v>102</v>
      </c>
      <c r="N2250" s="1" t="str">
        <f t="shared" si="35"/>
        <v>Normal</v>
      </c>
    </row>
    <row r="2251" spans="1:14" x14ac:dyDescent="0.25">
      <c r="A2251" s="1" t="s">
        <v>3487</v>
      </c>
      <c r="B2251" s="1" t="s">
        <v>98</v>
      </c>
      <c r="C2251" s="1" t="s">
        <v>558</v>
      </c>
      <c r="D2251" s="1" t="s">
        <v>25</v>
      </c>
      <c r="E2251" s="1" t="s">
        <v>72</v>
      </c>
      <c r="F2251" s="1" t="s">
        <v>18</v>
      </c>
      <c r="G2251" s="1">
        <v>325737</v>
      </c>
      <c r="H2251" s="63">
        <v>45225</v>
      </c>
      <c r="I2251" s="63">
        <v>45276</v>
      </c>
      <c r="J2251" s="1">
        <v>51</v>
      </c>
      <c r="K2251" s="1"/>
      <c r="L2251" s="1" t="s">
        <v>49</v>
      </c>
      <c r="M2251" s="1" t="s">
        <v>21</v>
      </c>
      <c r="N2251" s="1" t="str">
        <f t="shared" si="35"/>
        <v>Normal</v>
      </c>
    </row>
    <row r="2252" spans="1:14" x14ac:dyDescent="0.25">
      <c r="A2252" s="1" t="s">
        <v>3488</v>
      </c>
      <c r="B2252" s="1" t="s">
        <v>109</v>
      </c>
      <c r="C2252" s="1" t="s">
        <v>635</v>
      </c>
      <c r="D2252" s="1" t="s">
        <v>16</v>
      </c>
      <c r="E2252" s="1" t="s">
        <v>77</v>
      </c>
      <c r="F2252" s="1" t="s">
        <v>53</v>
      </c>
      <c r="G2252" s="1">
        <v>184123</v>
      </c>
      <c r="H2252" s="63">
        <v>44995</v>
      </c>
      <c r="J2252" s="1"/>
      <c r="K2252" s="1">
        <v>9</v>
      </c>
      <c r="L2252" s="1" t="s">
        <v>20</v>
      </c>
      <c r="M2252" s="1" t="s">
        <v>35</v>
      </c>
      <c r="N2252" s="1" t="str">
        <f t="shared" si="35"/>
        <v>Normal</v>
      </c>
    </row>
    <row r="2253" spans="1:14" x14ac:dyDescent="0.25">
      <c r="A2253" s="1" t="s">
        <v>3489</v>
      </c>
      <c r="B2253" s="1" t="s">
        <v>65</v>
      </c>
      <c r="C2253" s="1" t="s">
        <v>583</v>
      </c>
      <c r="D2253" s="1" t="s">
        <v>90</v>
      </c>
      <c r="E2253" s="1" t="s">
        <v>4845</v>
      </c>
      <c r="F2253" s="1" t="s">
        <v>18</v>
      </c>
      <c r="G2253" s="1">
        <v>28913</v>
      </c>
      <c r="H2253" s="63">
        <v>45700</v>
      </c>
      <c r="I2253" s="63">
        <v>45849</v>
      </c>
      <c r="J2253" s="1">
        <v>149</v>
      </c>
      <c r="K2253" s="1">
        <v>6</v>
      </c>
      <c r="L2253" s="1" t="s">
        <v>29</v>
      </c>
      <c r="M2253" s="1" t="s">
        <v>63</v>
      </c>
      <c r="N2253" s="1" t="str">
        <f t="shared" si="35"/>
        <v>Normal</v>
      </c>
    </row>
    <row r="2254" spans="1:14" x14ac:dyDescent="0.25">
      <c r="A2254" s="1" t="s">
        <v>3490</v>
      </c>
      <c r="B2254" s="1" t="s">
        <v>4829</v>
      </c>
      <c r="C2254" s="1" t="s">
        <v>720</v>
      </c>
      <c r="D2254" s="1" t="s">
        <v>46</v>
      </c>
      <c r="E2254" s="1" t="s">
        <v>100</v>
      </c>
      <c r="F2254" s="1" t="s">
        <v>33</v>
      </c>
      <c r="G2254" s="1">
        <v>180751</v>
      </c>
      <c r="H2254" s="63">
        <v>45506</v>
      </c>
      <c r="J2254" s="1"/>
      <c r="K2254" s="1"/>
      <c r="L2254" s="1" t="s">
        <v>20</v>
      </c>
      <c r="M2254" s="1" t="s">
        <v>149</v>
      </c>
      <c r="N2254" s="1" t="str">
        <f t="shared" si="35"/>
        <v>Normal</v>
      </c>
    </row>
    <row r="2255" spans="1:14" x14ac:dyDescent="0.25">
      <c r="A2255" s="1" t="s">
        <v>3491</v>
      </c>
      <c r="B2255" s="1" t="s">
        <v>127</v>
      </c>
      <c r="C2255" s="1" t="s">
        <v>1914</v>
      </c>
      <c r="D2255" s="1" t="s">
        <v>46</v>
      </c>
      <c r="E2255" s="1" t="s">
        <v>61</v>
      </c>
      <c r="F2255" s="1" t="s">
        <v>27</v>
      </c>
      <c r="G2255" s="1">
        <v>141620</v>
      </c>
      <c r="H2255" s="63">
        <v>45020</v>
      </c>
      <c r="J2255" s="1"/>
      <c r="K2255" s="1"/>
      <c r="L2255" s="1" t="s">
        <v>49</v>
      </c>
      <c r="M2255" s="1" t="s">
        <v>30</v>
      </c>
      <c r="N2255" s="1" t="str">
        <f t="shared" si="35"/>
        <v>Normal</v>
      </c>
    </row>
    <row r="2256" spans="1:14" x14ac:dyDescent="0.25">
      <c r="A2256" s="1" t="s">
        <v>3492</v>
      </c>
      <c r="B2256" s="1" t="s">
        <v>104</v>
      </c>
      <c r="C2256" s="1" t="s">
        <v>917</v>
      </c>
      <c r="D2256" s="1" t="s">
        <v>67</v>
      </c>
      <c r="E2256" s="1" t="s">
        <v>17</v>
      </c>
      <c r="F2256" s="1" t="s">
        <v>33</v>
      </c>
      <c r="G2256" s="1">
        <v>246005</v>
      </c>
      <c r="H2256" s="63">
        <v>44945</v>
      </c>
      <c r="J2256" s="1"/>
      <c r="K2256" s="1"/>
      <c r="L2256" s="1" t="s">
        <v>29</v>
      </c>
      <c r="M2256" s="1" t="s">
        <v>35</v>
      </c>
      <c r="N2256" s="1" t="str">
        <f t="shared" si="35"/>
        <v>Normal</v>
      </c>
    </row>
    <row r="2257" spans="1:14" x14ac:dyDescent="0.25">
      <c r="A2257" s="1" t="s">
        <v>3494</v>
      </c>
      <c r="B2257" s="1" t="s">
        <v>44</v>
      </c>
      <c r="C2257" s="1" t="s">
        <v>56</v>
      </c>
      <c r="D2257" s="1" t="s">
        <v>90</v>
      </c>
      <c r="E2257" s="1" t="s">
        <v>47</v>
      </c>
      <c r="F2257" s="1" t="s">
        <v>40</v>
      </c>
      <c r="G2257" s="1">
        <v>212050</v>
      </c>
      <c r="H2257" s="63">
        <v>45520</v>
      </c>
      <c r="I2257" s="63">
        <v>45668</v>
      </c>
      <c r="J2257" s="1">
        <v>148</v>
      </c>
      <c r="K2257" s="1">
        <v>5</v>
      </c>
      <c r="L2257" s="1" t="s">
        <v>20</v>
      </c>
      <c r="M2257" s="1" t="s">
        <v>149</v>
      </c>
      <c r="N2257" s="1" t="str">
        <f t="shared" si="35"/>
        <v>Normal</v>
      </c>
    </row>
    <row r="2258" spans="1:14" x14ac:dyDescent="0.25">
      <c r="A2258" s="1" t="s">
        <v>3495</v>
      </c>
      <c r="B2258" s="1" t="s">
        <v>84</v>
      </c>
      <c r="C2258" s="1" t="s">
        <v>531</v>
      </c>
      <c r="D2258" s="1" t="s">
        <v>16</v>
      </c>
      <c r="E2258" s="1" t="s">
        <v>94</v>
      </c>
      <c r="F2258" s="1" t="s">
        <v>33</v>
      </c>
      <c r="G2258" s="1">
        <v>51259</v>
      </c>
      <c r="H2258" s="63">
        <v>45087</v>
      </c>
      <c r="J2258" s="1"/>
      <c r="K2258" s="1">
        <v>5.6</v>
      </c>
      <c r="L2258" s="1" t="s">
        <v>96</v>
      </c>
      <c r="M2258" s="1" t="s">
        <v>30</v>
      </c>
      <c r="N2258" s="1" t="str">
        <f t="shared" si="35"/>
        <v>Normal</v>
      </c>
    </row>
    <row r="2259" spans="1:14" x14ac:dyDescent="0.25">
      <c r="A2259" s="1" t="s">
        <v>3496</v>
      </c>
      <c r="B2259" s="1" t="s">
        <v>109</v>
      </c>
      <c r="C2259" s="1" t="s">
        <v>1278</v>
      </c>
      <c r="D2259" s="1" t="s">
        <v>46</v>
      </c>
      <c r="E2259" s="1" t="s">
        <v>94</v>
      </c>
      <c r="F2259" s="1" t="s">
        <v>18</v>
      </c>
      <c r="G2259" s="1">
        <v>1840460</v>
      </c>
      <c r="H2259" s="63">
        <v>45025</v>
      </c>
      <c r="I2259" s="63">
        <v>45074</v>
      </c>
      <c r="J2259" s="1">
        <v>49</v>
      </c>
      <c r="K2259" s="1">
        <v>1.3</v>
      </c>
      <c r="L2259" s="1" t="s">
        <v>29</v>
      </c>
      <c r="M2259" s="1" t="s">
        <v>30</v>
      </c>
      <c r="N2259" s="1" t="str">
        <f t="shared" si="35"/>
        <v>High Outlier</v>
      </c>
    </row>
    <row r="2260" spans="1:14" x14ac:dyDescent="0.25">
      <c r="A2260" s="1" t="s">
        <v>3497</v>
      </c>
      <c r="B2260" s="1" t="s">
        <v>88</v>
      </c>
      <c r="C2260" s="1" t="s">
        <v>349</v>
      </c>
      <c r="D2260" s="1" t="s">
        <v>67</v>
      </c>
      <c r="E2260" s="1" t="s">
        <v>94</v>
      </c>
      <c r="F2260" s="1" t="s">
        <v>40</v>
      </c>
      <c r="G2260" s="1">
        <v>498867</v>
      </c>
      <c r="H2260" s="63">
        <v>45418</v>
      </c>
      <c r="I2260" s="63">
        <v>45560</v>
      </c>
      <c r="J2260" s="1">
        <v>142</v>
      </c>
      <c r="K2260" s="1">
        <v>24.9</v>
      </c>
      <c r="L2260" s="1" t="s">
        <v>96</v>
      </c>
      <c r="M2260" s="1" t="s">
        <v>107</v>
      </c>
      <c r="N2260" s="1" t="str">
        <f t="shared" si="35"/>
        <v>Normal</v>
      </c>
    </row>
    <row r="2261" spans="1:14" x14ac:dyDescent="0.25">
      <c r="A2261" s="1" t="s">
        <v>3498</v>
      </c>
      <c r="B2261" s="1" t="s">
        <v>65</v>
      </c>
      <c r="C2261" s="1" t="s">
        <v>352</v>
      </c>
      <c r="D2261" s="1" t="s">
        <v>90</v>
      </c>
      <c r="E2261" s="1" t="s">
        <v>72</v>
      </c>
      <c r="F2261" s="1" t="s">
        <v>33</v>
      </c>
      <c r="G2261" s="1">
        <v>319394</v>
      </c>
      <c r="H2261" s="63">
        <v>45283</v>
      </c>
      <c r="J2261" s="1"/>
      <c r="K2261" s="1">
        <v>5.6</v>
      </c>
      <c r="L2261" s="1" t="s">
        <v>29</v>
      </c>
      <c r="M2261" s="1" t="s">
        <v>21</v>
      </c>
      <c r="N2261" s="1" t="str">
        <f t="shared" si="35"/>
        <v>Normal</v>
      </c>
    </row>
    <row r="2262" spans="1:14" x14ac:dyDescent="0.25">
      <c r="A2262" s="1" t="s">
        <v>3499</v>
      </c>
      <c r="B2262" s="1" t="s">
        <v>109</v>
      </c>
      <c r="C2262" s="1" t="s">
        <v>433</v>
      </c>
      <c r="D2262" s="1" t="s">
        <v>25</v>
      </c>
      <c r="E2262" s="1" t="s">
        <v>26</v>
      </c>
      <c r="F2262" s="1" t="s">
        <v>18</v>
      </c>
      <c r="G2262" s="1">
        <v>175217</v>
      </c>
      <c r="H2262" s="63">
        <v>45201</v>
      </c>
      <c r="I2262" s="63">
        <v>45237</v>
      </c>
      <c r="J2262" s="1">
        <v>36</v>
      </c>
      <c r="K2262" s="1">
        <v>15</v>
      </c>
      <c r="L2262" s="1" t="s">
        <v>29</v>
      </c>
      <c r="M2262" s="1" t="s">
        <v>21</v>
      </c>
      <c r="N2262" s="1" t="str">
        <f t="shared" si="35"/>
        <v>Normal</v>
      </c>
    </row>
    <row r="2263" spans="1:14" x14ac:dyDescent="0.25">
      <c r="A2263" s="1" t="s">
        <v>3500</v>
      </c>
      <c r="B2263" s="1" t="s">
        <v>80</v>
      </c>
      <c r="C2263" s="1" t="s">
        <v>852</v>
      </c>
      <c r="D2263" s="1" t="s">
        <v>90</v>
      </c>
      <c r="E2263" s="1" t="s">
        <v>17</v>
      </c>
      <c r="F2263" s="1" t="s">
        <v>40</v>
      </c>
      <c r="G2263" s="1">
        <v>241662</v>
      </c>
      <c r="H2263" s="63">
        <v>45349</v>
      </c>
      <c r="I2263" s="63">
        <v>45430</v>
      </c>
      <c r="J2263" s="1">
        <v>81</v>
      </c>
      <c r="K2263" s="1">
        <v>0.3</v>
      </c>
      <c r="L2263" s="1" t="s">
        <v>29</v>
      </c>
      <c r="M2263" s="1" t="s">
        <v>69</v>
      </c>
      <c r="N2263" s="1" t="str">
        <f t="shared" si="35"/>
        <v>Normal</v>
      </c>
    </row>
    <row r="2264" spans="1:14" x14ac:dyDescent="0.25">
      <c r="A2264" s="1" t="s">
        <v>3501</v>
      </c>
      <c r="B2264" s="1" t="s">
        <v>98</v>
      </c>
      <c r="C2264" s="1" t="s">
        <v>52</v>
      </c>
      <c r="D2264" s="1" t="s">
        <v>67</v>
      </c>
      <c r="E2264" s="1" t="s">
        <v>72</v>
      </c>
      <c r="F2264" s="1" t="s">
        <v>129</v>
      </c>
      <c r="G2264" s="1">
        <v>426074</v>
      </c>
      <c r="H2264" s="63">
        <v>45027</v>
      </c>
      <c r="J2264" s="1"/>
      <c r="K2264" s="1"/>
      <c r="L2264" s="1" t="s">
        <v>29</v>
      </c>
      <c r="M2264" s="1" t="s">
        <v>30</v>
      </c>
      <c r="N2264" s="1" t="str">
        <f t="shared" si="35"/>
        <v>Normal</v>
      </c>
    </row>
    <row r="2265" spans="1:14" x14ac:dyDescent="0.25">
      <c r="A2265" s="1" t="s">
        <v>3502</v>
      </c>
      <c r="B2265" s="1" t="s">
        <v>44</v>
      </c>
      <c r="C2265" s="1" t="s">
        <v>381</v>
      </c>
      <c r="D2265" s="1" t="s">
        <v>90</v>
      </c>
      <c r="E2265" s="1" t="s">
        <v>94</v>
      </c>
      <c r="F2265" s="1" t="s">
        <v>53</v>
      </c>
      <c r="G2265" s="1">
        <v>285876</v>
      </c>
      <c r="H2265" s="63">
        <v>45510</v>
      </c>
      <c r="J2265" s="1"/>
      <c r="K2265" s="1"/>
      <c r="L2265" s="1" t="s">
        <v>20</v>
      </c>
      <c r="M2265" s="1" t="s">
        <v>149</v>
      </c>
      <c r="N2265" s="1" t="str">
        <f t="shared" si="35"/>
        <v>Normal</v>
      </c>
    </row>
    <row r="2266" spans="1:14" x14ac:dyDescent="0.25">
      <c r="A2266" s="1" t="s">
        <v>3503</v>
      </c>
      <c r="B2266" s="1" t="s">
        <v>84</v>
      </c>
      <c r="C2266" s="1" t="s">
        <v>983</v>
      </c>
      <c r="D2266" s="1" t="s">
        <v>25</v>
      </c>
      <c r="E2266" s="1" t="s">
        <v>72</v>
      </c>
      <c r="F2266" s="1" t="s">
        <v>40</v>
      </c>
      <c r="G2266" s="1">
        <v>97905</v>
      </c>
      <c r="H2266" s="63">
        <v>44986</v>
      </c>
      <c r="I2266" s="63">
        <v>45099</v>
      </c>
      <c r="J2266" s="1">
        <v>113</v>
      </c>
      <c r="K2266" s="1">
        <v>5.6</v>
      </c>
      <c r="L2266" s="1" t="s">
        <v>96</v>
      </c>
      <c r="M2266" s="1" t="s">
        <v>35</v>
      </c>
      <c r="N2266" s="1" t="str">
        <f t="shared" si="35"/>
        <v>Normal</v>
      </c>
    </row>
    <row r="2267" spans="1:14" x14ac:dyDescent="0.25">
      <c r="A2267" s="1" t="s">
        <v>3504</v>
      </c>
      <c r="B2267" s="1" t="s">
        <v>104</v>
      </c>
      <c r="C2267" s="1" t="s">
        <v>539</v>
      </c>
      <c r="D2267" s="1" t="s">
        <v>46</v>
      </c>
      <c r="E2267" s="1" t="s">
        <v>47</v>
      </c>
      <c r="F2267" s="1" t="s">
        <v>53</v>
      </c>
      <c r="G2267" s="1">
        <v>373825</v>
      </c>
      <c r="H2267" s="63">
        <v>45119</v>
      </c>
      <c r="J2267" s="1"/>
      <c r="K2267" s="1">
        <v>10.7</v>
      </c>
      <c r="L2267" s="1" t="s">
        <v>96</v>
      </c>
      <c r="M2267" s="1" t="s">
        <v>102</v>
      </c>
      <c r="N2267" s="1" t="str">
        <f t="shared" si="35"/>
        <v>Normal</v>
      </c>
    </row>
    <row r="2268" spans="1:14" x14ac:dyDescent="0.25">
      <c r="A2268" s="1" t="s">
        <v>3505</v>
      </c>
      <c r="B2268" s="1" t="s">
        <v>23</v>
      </c>
      <c r="C2268" s="1" t="s">
        <v>967</v>
      </c>
      <c r="D2268" s="1" t="s">
        <v>25</v>
      </c>
      <c r="E2268" s="1" t="s">
        <v>100</v>
      </c>
      <c r="F2268" s="1" t="s">
        <v>129</v>
      </c>
      <c r="G2268" s="1">
        <v>95823</v>
      </c>
      <c r="H2268" s="63">
        <v>45379</v>
      </c>
      <c r="J2268" s="1"/>
      <c r="K2268" s="1"/>
      <c r="L2268" s="1" t="s">
        <v>29</v>
      </c>
      <c r="M2268" s="1" t="s">
        <v>69</v>
      </c>
      <c r="N2268" s="1" t="str">
        <f t="shared" si="35"/>
        <v>Normal</v>
      </c>
    </row>
    <row r="2269" spans="1:14" x14ac:dyDescent="0.25">
      <c r="A2269" s="1" t="s">
        <v>3506</v>
      </c>
      <c r="B2269" s="1" t="s">
        <v>59</v>
      </c>
      <c r="C2269" s="1" t="s">
        <v>1095</v>
      </c>
      <c r="D2269" s="1" t="s">
        <v>39</v>
      </c>
      <c r="E2269" s="1" t="s">
        <v>77</v>
      </c>
      <c r="F2269" s="1" t="s">
        <v>53</v>
      </c>
      <c r="G2269" s="1">
        <v>225340</v>
      </c>
      <c r="H2269" s="63">
        <v>45058</v>
      </c>
      <c r="J2269" s="1"/>
      <c r="K2269" s="1">
        <v>0.2</v>
      </c>
      <c r="L2269" s="1" t="s">
        <v>96</v>
      </c>
      <c r="M2269" s="1" t="s">
        <v>30</v>
      </c>
      <c r="N2269" s="1" t="str">
        <f t="shared" si="35"/>
        <v>Normal</v>
      </c>
    </row>
    <row r="2270" spans="1:14" x14ac:dyDescent="0.25">
      <c r="A2270" s="1" t="s">
        <v>3507</v>
      </c>
      <c r="B2270" s="1" t="s">
        <v>23</v>
      </c>
      <c r="C2270" s="1" t="s">
        <v>625</v>
      </c>
      <c r="D2270" s="1" t="s">
        <v>46</v>
      </c>
      <c r="E2270" s="1" t="s">
        <v>26</v>
      </c>
      <c r="F2270" s="1" t="s">
        <v>53</v>
      </c>
      <c r="G2270" s="1">
        <v>418307</v>
      </c>
      <c r="H2270" s="63">
        <v>45678</v>
      </c>
      <c r="J2270" s="1"/>
      <c r="K2270" s="1">
        <v>13</v>
      </c>
      <c r="L2270" s="1" t="s">
        <v>20</v>
      </c>
      <c r="M2270" s="1" t="s">
        <v>63</v>
      </c>
      <c r="N2270" s="1" t="str">
        <f t="shared" si="35"/>
        <v>Normal</v>
      </c>
    </row>
    <row r="2271" spans="1:14" x14ac:dyDescent="0.25">
      <c r="A2271" s="1" t="s">
        <v>3509</v>
      </c>
      <c r="B2271" s="1" t="s">
        <v>14</v>
      </c>
      <c r="C2271" s="1" t="s">
        <v>967</v>
      </c>
      <c r="D2271" s="1" t="s">
        <v>25</v>
      </c>
      <c r="E2271" s="1" t="s">
        <v>47</v>
      </c>
      <c r="F2271" s="1" t="s">
        <v>33</v>
      </c>
      <c r="G2271" s="1">
        <v>458332</v>
      </c>
      <c r="H2271" s="63">
        <v>45466</v>
      </c>
      <c r="J2271" s="1"/>
      <c r="K2271" s="1"/>
      <c r="L2271" s="1" t="s">
        <v>49</v>
      </c>
      <c r="M2271" s="1" t="s">
        <v>107</v>
      </c>
      <c r="N2271" s="1" t="str">
        <f t="shared" si="35"/>
        <v>Normal</v>
      </c>
    </row>
    <row r="2272" spans="1:14" x14ac:dyDescent="0.25">
      <c r="A2272" s="1" t="s">
        <v>3511</v>
      </c>
      <c r="B2272" s="1" t="s">
        <v>80</v>
      </c>
      <c r="C2272" s="1" t="s">
        <v>2503</v>
      </c>
      <c r="D2272" s="1" t="s">
        <v>25</v>
      </c>
      <c r="E2272" s="1" t="s">
        <v>26</v>
      </c>
      <c r="F2272" s="1" t="s">
        <v>33</v>
      </c>
      <c r="G2272" s="1">
        <v>258018</v>
      </c>
      <c r="H2272" s="63">
        <v>45142</v>
      </c>
      <c r="J2272" s="1"/>
      <c r="K2272" s="1"/>
      <c r="L2272" s="1" t="s">
        <v>49</v>
      </c>
      <c r="M2272" s="1" t="s">
        <v>102</v>
      </c>
      <c r="N2272" s="1" t="str">
        <f t="shared" si="35"/>
        <v>Normal</v>
      </c>
    </row>
    <row r="2273" spans="1:14" x14ac:dyDescent="0.25">
      <c r="A2273" s="1" t="s">
        <v>3512</v>
      </c>
      <c r="B2273" s="1" t="s">
        <v>14</v>
      </c>
      <c r="C2273" s="1" t="s">
        <v>205</v>
      </c>
      <c r="D2273" s="1" t="s">
        <v>25</v>
      </c>
      <c r="E2273" s="1" t="s">
        <v>94</v>
      </c>
      <c r="F2273" s="1" t="s">
        <v>40</v>
      </c>
      <c r="G2273" s="1">
        <v>399413</v>
      </c>
      <c r="H2273" s="63">
        <v>45612</v>
      </c>
      <c r="I2273" s="63">
        <v>45645</v>
      </c>
      <c r="J2273" s="1">
        <v>33</v>
      </c>
      <c r="K2273" s="1">
        <v>1.2</v>
      </c>
      <c r="L2273" s="1" t="s">
        <v>20</v>
      </c>
      <c r="M2273" s="1" t="s">
        <v>42</v>
      </c>
      <c r="N2273" s="1" t="str">
        <f t="shared" si="35"/>
        <v>Normal</v>
      </c>
    </row>
    <row r="2274" spans="1:14" x14ac:dyDescent="0.25">
      <c r="A2274" s="1" t="s">
        <v>3514</v>
      </c>
      <c r="B2274" s="1" t="s">
        <v>44</v>
      </c>
      <c r="C2274" s="1" t="s">
        <v>237</v>
      </c>
      <c r="D2274" s="1" t="s">
        <v>39</v>
      </c>
      <c r="E2274" s="1" t="s">
        <v>100</v>
      </c>
      <c r="F2274" s="1" t="s">
        <v>33</v>
      </c>
      <c r="G2274" s="1">
        <v>499342</v>
      </c>
      <c r="H2274" s="63">
        <v>45504</v>
      </c>
      <c r="J2274" s="1"/>
      <c r="K2274" s="1">
        <v>4.0999999999999996</v>
      </c>
      <c r="L2274" s="1" t="s">
        <v>20</v>
      </c>
      <c r="M2274" s="1" t="s">
        <v>149</v>
      </c>
      <c r="N2274" s="1" t="str">
        <f t="shared" si="35"/>
        <v>Normal</v>
      </c>
    </row>
    <row r="2275" spans="1:14" x14ac:dyDescent="0.25">
      <c r="A2275" s="1" t="s">
        <v>3515</v>
      </c>
      <c r="B2275" s="1" t="s">
        <v>98</v>
      </c>
      <c r="C2275" s="1" t="s">
        <v>439</v>
      </c>
      <c r="D2275" s="1" t="s">
        <v>90</v>
      </c>
      <c r="E2275" s="1" t="s">
        <v>94</v>
      </c>
      <c r="F2275" s="1" t="s">
        <v>18</v>
      </c>
      <c r="G2275" s="1">
        <v>316343</v>
      </c>
      <c r="H2275" s="63">
        <v>45360</v>
      </c>
      <c r="I2275" s="63">
        <v>45487</v>
      </c>
      <c r="J2275" s="1">
        <v>127</v>
      </c>
      <c r="K2275" s="1">
        <v>14.2</v>
      </c>
      <c r="L2275" s="1" t="s">
        <v>20</v>
      </c>
      <c r="M2275" s="1" t="s">
        <v>69</v>
      </c>
      <c r="N2275" s="1" t="str">
        <f t="shared" si="35"/>
        <v>Normal</v>
      </c>
    </row>
    <row r="2276" spans="1:14" x14ac:dyDescent="0.25">
      <c r="A2276" s="1" t="s">
        <v>3516</v>
      </c>
      <c r="B2276" s="1" t="s">
        <v>127</v>
      </c>
      <c r="C2276" s="1" t="s">
        <v>3227</v>
      </c>
      <c r="D2276" s="1" t="s">
        <v>90</v>
      </c>
      <c r="E2276" s="1" t="s">
        <v>47</v>
      </c>
      <c r="F2276" s="1" t="s">
        <v>33</v>
      </c>
      <c r="G2276" s="1">
        <v>446673</v>
      </c>
      <c r="H2276" s="63">
        <v>45565</v>
      </c>
      <c r="J2276" s="1"/>
      <c r="K2276" s="1"/>
      <c r="L2276" s="1" t="s">
        <v>49</v>
      </c>
      <c r="M2276" s="1" t="s">
        <v>149</v>
      </c>
      <c r="N2276" s="1" t="str">
        <f t="shared" si="35"/>
        <v>Normal</v>
      </c>
    </row>
    <row r="2277" spans="1:14" x14ac:dyDescent="0.25">
      <c r="A2277" s="1" t="s">
        <v>3517</v>
      </c>
      <c r="B2277" s="1" t="s">
        <v>109</v>
      </c>
      <c r="C2277" s="1" t="s">
        <v>869</v>
      </c>
      <c r="D2277" s="1" t="s">
        <v>25</v>
      </c>
      <c r="E2277" s="1" t="s">
        <v>26</v>
      </c>
      <c r="F2277" s="1" t="s">
        <v>129</v>
      </c>
      <c r="G2277" s="1">
        <v>226572</v>
      </c>
      <c r="H2277" s="63">
        <v>45604</v>
      </c>
      <c r="J2277" s="1"/>
      <c r="K2277" s="1">
        <v>1</v>
      </c>
      <c r="L2277" s="1" t="s">
        <v>96</v>
      </c>
      <c r="M2277" s="1" t="s">
        <v>42</v>
      </c>
      <c r="N2277" s="1" t="str">
        <f t="shared" si="35"/>
        <v>Normal</v>
      </c>
    </row>
    <row r="2278" spans="1:14" x14ac:dyDescent="0.25">
      <c r="A2278" s="1" t="s">
        <v>3518</v>
      </c>
      <c r="B2278" s="1" t="s">
        <v>104</v>
      </c>
      <c r="C2278" s="1" t="s">
        <v>1457</v>
      </c>
      <c r="D2278" s="1" t="s">
        <v>67</v>
      </c>
      <c r="E2278" s="1" t="s">
        <v>77</v>
      </c>
      <c r="F2278" s="1" t="s">
        <v>53</v>
      </c>
      <c r="G2278" s="1">
        <v>94064</v>
      </c>
      <c r="H2278" s="63">
        <v>45633</v>
      </c>
      <c r="J2278" s="1"/>
      <c r="K2278" s="1">
        <v>8</v>
      </c>
      <c r="L2278" s="1" t="s">
        <v>49</v>
      </c>
      <c r="M2278" s="1" t="s">
        <v>42</v>
      </c>
      <c r="N2278" s="1" t="str">
        <f t="shared" si="35"/>
        <v>Normal</v>
      </c>
    </row>
    <row r="2279" spans="1:14" x14ac:dyDescent="0.25">
      <c r="A2279" s="1" t="s">
        <v>3520</v>
      </c>
      <c r="B2279" s="1" t="s">
        <v>109</v>
      </c>
      <c r="C2279" s="1" t="s">
        <v>767</v>
      </c>
      <c r="D2279" s="1" t="s">
        <v>90</v>
      </c>
      <c r="E2279" s="1" t="s">
        <v>100</v>
      </c>
      <c r="F2279" s="1" t="s">
        <v>53</v>
      </c>
      <c r="G2279" s="1">
        <v>414262</v>
      </c>
      <c r="H2279" s="63">
        <v>45165</v>
      </c>
      <c r="J2279" s="1"/>
      <c r="K2279" s="1">
        <v>6.8</v>
      </c>
      <c r="L2279" s="1" t="s">
        <v>29</v>
      </c>
      <c r="M2279" s="1" t="s">
        <v>102</v>
      </c>
      <c r="N2279" s="1" t="str">
        <f t="shared" si="35"/>
        <v>Normal</v>
      </c>
    </row>
    <row r="2280" spans="1:14" x14ac:dyDescent="0.25">
      <c r="A2280" s="1" t="s">
        <v>3522</v>
      </c>
      <c r="B2280" s="1" t="s">
        <v>88</v>
      </c>
      <c r="C2280" s="1" t="s">
        <v>767</v>
      </c>
      <c r="D2280" s="1" t="s">
        <v>16</v>
      </c>
      <c r="E2280" s="1" t="s">
        <v>61</v>
      </c>
      <c r="F2280" s="1" t="s">
        <v>18</v>
      </c>
      <c r="G2280" s="1">
        <v>399520</v>
      </c>
      <c r="H2280" s="63">
        <v>45278</v>
      </c>
      <c r="I2280" s="63">
        <v>45309</v>
      </c>
      <c r="J2280" s="1">
        <v>31</v>
      </c>
      <c r="K2280" s="1">
        <v>14.7</v>
      </c>
      <c r="L2280" s="1" t="s">
        <v>49</v>
      </c>
      <c r="M2280" s="1" t="s">
        <v>21</v>
      </c>
      <c r="N2280" s="1" t="str">
        <f t="shared" si="35"/>
        <v>Normal</v>
      </c>
    </row>
    <row r="2281" spans="1:14" x14ac:dyDescent="0.25">
      <c r="A2281" s="1" t="s">
        <v>3523</v>
      </c>
      <c r="B2281" s="1" t="s">
        <v>75</v>
      </c>
      <c r="C2281" s="1" t="s">
        <v>521</v>
      </c>
      <c r="D2281" s="1" t="s">
        <v>46</v>
      </c>
      <c r="E2281" s="1" t="s">
        <v>77</v>
      </c>
      <c r="F2281" s="1" t="s">
        <v>27</v>
      </c>
      <c r="G2281" s="1">
        <v>182470</v>
      </c>
      <c r="H2281" s="63">
        <v>45349</v>
      </c>
      <c r="J2281" s="1"/>
      <c r="K2281" s="1">
        <v>12</v>
      </c>
      <c r="L2281" s="1" t="s">
        <v>49</v>
      </c>
      <c r="M2281" s="1" t="s">
        <v>69</v>
      </c>
      <c r="N2281" s="1" t="str">
        <f t="shared" si="35"/>
        <v>Normal</v>
      </c>
    </row>
    <row r="2282" spans="1:14" x14ac:dyDescent="0.25">
      <c r="A2282" s="1" t="s">
        <v>3524</v>
      </c>
      <c r="B2282" s="1" t="s">
        <v>44</v>
      </c>
      <c r="C2282" s="1" t="s">
        <v>679</v>
      </c>
      <c r="D2282" s="1" t="s">
        <v>90</v>
      </c>
      <c r="E2282" s="1" t="s">
        <v>72</v>
      </c>
      <c r="F2282" s="1" t="s">
        <v>18</v>
      </c>
      <c r="G2282" s="1">
        <v>352533</v>
      </c>
      <c r="H2282" s="63">
        <v>45162</v>
      </c>
      <c r="I2282" s="63">
        <v>45291</v>
      </c>
      <c r="J2282" s="1">
        <v>129</v>
      </c>
      <c r="K2282" s="1">
        <v>3.4</v>
      </c>
      <c r="L2282" s="1" t="s">
        <v>29</v>
      </c>
      <c r="M2282" s="1" t="s">
        <v>102</v>
      </c>
      <c r="N2282" s="1" t="str">
        <f t="shared" si="35"/>
        <v>Normal</v>
      </c>
    </row>
    <row r="2283" spans="1:14" x14ac:dyDescent="0.25">
      <c r="A2283" s="1" t="s">
        <v>3525</v>
      </c>
      <c r="B2283" s="1" t="s">
        <v>4829</v>
      </c>
      <c r="C2283" s="1" t="s">
        <v>113</v>
      </c>
      <c r="D2283" s="1" t="s">
        <v>67</v>
      </c>
      <c r="E2283" s="1" t="s">
        <v>26</v>
      </c>
      <c r="F2283" s="1" t="s">
        <v>33</v>
      </c>
      <c r="G2283" s="1">
        <v>367577</v>
      </c>
      <c r="H2283" s="63">
        <v>45127</v>
      </c>
      <c r="J2283" s="1"/>
      <c r="K2283" s="1">
        <v>2.4</v>
      </c>
      <c r="L2283" s="1" t="s">
        <v>20</v>
      </c>
      <c r="M2283" s="1" t="s">
        <v>102</v>
      </c>
      <c r="N2283" s="1" t="str">
        <f t="shared" si="35"/>
        <v>Normal</v>
      </c>
    </row>
    <row r="2284" spans="1:14" x14ac:dyDescent="0.25">
      <c r="A2284" s="1" t="s">
        <v>3526</v>
      </c>
      <c r="B2284" s="1" t="s">
        <v>44</v>
      </c>
      <c r="C2284" s="1" t="s">
        <v>939</v>
      </c>
      <c r="D2284" s="1" t="s">
        <v>39</v>
      </c>
      <c r="E2284" s="1" t="s">
        <v>94</v>
      </c>
      <c r="F2284" s="1" t="s">
        <v>18</v>
      </c>
      <c r="G2284" s="1">
        <v>291399</v>
      </c>
      <c r="H2284" s="63">
        <v>45544</v>
      </c>
      <c r="I2284" s="63">
        <v>45722</v>
      </c>
      <c r="J2284" s="1">
        <v>178</v>
      </c>
      <c r="K2284" s="1">
        <v>7.1</v>
      </c>
      <c r="L2284" s="1" t="s">
        <v>49</v>
      </c>
      <c r="M2284" s="1" t="s">
        <v>149</v>
      </c>
      <c r="N2284" s="1" t="str">
        <f t="shared" si="35"/>
        <v>Normal</v>
      </c>
    </row>
    <row r="2285" spans="1:14" x14ac:dyDescent="0.25">
      <c r="A2285" s="1" t="s">
        <v>3527</v>
      </c>
      <c r="B2285" s="1" t="s">
        <v>23</v>
      </c>
      <c r="C2285" s="1" t="s">
        <v>790</v>
      </c>
      <c r="D2285" s="1" t="s">
        <v>46</v>
      </c>
      <c r="E2285" s="1" t="s">
        <v>26</v>
      </c>
      <c r="F2285" s="1" t="s">
        <v>33</v>
      </c>
      <c r="G2285" s="1">
        <v>207670</v>
      </c>
      <c r="H2285" s="63">
        <v>45559</v>
      </c>
      <c r="J2285" s="1"/>
      <c r="K2285" s="1">
        <v>14.9</v>
      </c>
      <c r="L2285" s="1" t="s">
        <v>49</v>
      </c>
      <c r="M2285" s="1" t="s">
        <v>149</v>
      </c>
      <c r="N2285" s="1" t="str">
        <f t="shared" si="35"/>
        <v>Normal</v>
      </c>
    </row>
    <row r="2286" spans="1:14" x14ac:dyDescent="0.25">
      <c r="A2286" s="1" t="s">
        <v>3528</v>
      </c>
      <c r="B2286" s="1" t="s">
        <v>37</v>
      </c>
      <c r="C2286" s="1" t="s">
        <v>45</v>
      </c>
      <c r="D2286" s="1" t="s">
        <v>67</v>
      </c>
      <c r="E2286" s="1" t="s">
        <v>61</v>
      </c>
      <c r="F2286" s="1" t="s">
        <v>33</v>
      </c>
      <c r="G2286" s="1">
        <v>157275</v>
      </c>
      <c r="H2286" s="63">
        <v>44971</v>
      </c>
      <c r="J2286" s="1"/>
      <c r="K2286" s="1">
        <v>8.8000000000000007</v>
      </c>
      <c r="L2286" s="1" t="s">
        <v>20</v>
      </c>
      <c r="M2286" s="1" t="s">
        <v>35</v>
      </c>
      <c r="N2286" s="1" t="str">
        <f t="shared" si="35"/>
        <v>Normal</v>
      </c>
    </row>
    <row r="2287" spans="1:14" x14ac:dyDescent="0.25">
      <c r="A2287" s="1" t="s">
        <v>3529</v>
      </c>
      <c r="B2287" s="1" t="s">
        <v>44</v>
      </c>
      <c r="C2287" s="1" t="s">
        <v>71</v>
      </c>
      <c r="D2287" s="1" t="s">
        <v>67</v>
      </c>
      <c r="E2287" s="1" t="s">
        <v>77</v>
      </c>
      <c r="F2287" s="1" t="s">
        <v>40</v>
      </c>
      <c r="G2287" s="1">
        <v>190722</v>
      </c>
      <c r="H2287" s="63">
        <v>45530</v>
      </c>
      <c r="I2287" s="63">
        <v>45690</v>
      </c>
      <c r="J2287" s="1">
        <v>160</v>
      </c>
      <c r="K2287" s="1">
        <v>11.7</v>
      </c>
      <c r="L2287" s="1" t="s">
        <v>29</v>
      </c>
      <c r="M2287" s="1" t="s">
        <v>149</v>
      </c>
      <c r="N2287" s="1" t="str">
        <f t="shared" si="35"/>
        <v>Normal</v>
      </c>
    </row>
    <row r="2288" spans="1:14" x14ac:dyDescent="0.25">
      <c r="A2288" s="1" t="s">
        <v>3530</v>
      </c>
      <c r="B2288" s="1" t="s">
        <v>23</v>
      </c>
      <c r="C2288" s="1" t="s">
        <v>972</v>
      </c>
      <c r="D2288" s="1" t="s">
        <v>39</v>
      </c>
      <c r="E2288" s="1" t="s">
        <v>61</v>
      </c>
      <c r="F2288" s="1" t="s">
        <v>18</v>
      </c>
      <c r="G2288" s="1">
        <v>342469</v>
      </c>
      <c r="H2288" s="63">
        <v>45199</v>
      </c>
      <c r="I2288" s="63">
        <v>45246</v>
      </c>
      <c r="J2288" s="1">
        <v>47</v>
      </c>
      <c r="K2288" s="1"/>
      <c r="L2288" s="1" t="s">
        <v>49</v>
      </c>
      <c r="M2288" s="1" t="s">
        <v>102</v>
      </c>
      <c r="N2288" s="1" t="str">
        <f t="shared" si="35"/>
        <v>Normal</v>
      </c>
    </row>
    <row r="2289" spans="1:14" x14ac:dyDescent="0.25">
      <c r="A2289" s="1" t="s">
        <v>3531</v>
      </c>
      <c r="B2289" s="1" t="s">
        <v>109</v>
      </c>
      <c r="C2289" s="1" t="s">
        <v>552</v>
      </c>
      <c r="D2289" s="1" t="s">
        <v>46</v>
      </c>
      <c r="E2289" s="1" t="s">
        <v>72</v>
      </c>
      <c r="F2289" s="1" t="s">
        <v>53</v>
      </c>
      <c r="G2289" s="1">
        <v>286710</v>
      </c>
      <c r="H2289" s="63">
        <v>45207</v>
      </c>
      <c r="J2289" s="1"/>
      <c r="K2289" s="1"/>
      <c r="L2289" s="1" t="s">
        <v>96</v>
      </c>
      <c r="M2289" s="1" t="s">
        <v>21</v>
      </c>
      <c r="N2289" s="1" t="str">
        <f t="shared" si="35"/>
        <v>Normal</v>
      </c>
    </row>
    <row r="2290" spans="1:14" x14ac:dyDescent="0.25">
      <c r="A2290" s="1" t="s">
        <v>3532</v>
      </c>
      <c r="B2290" s="1" t="s">
        <v>104</v>
      </c>
      <c r="C2290" s="1" t="s">
        <v>505</v>
      </c>
      <c r="D2290" s="1" t="s">
        <v>16</v>
      </c>
      <c r="E2290" s="1" t="s">
        <v>47</v>
      </c>
      <c r="F2290" s="1" t="s">
        <v>27</v>
      </c>
      <c r="G2290" s="1">
        <v>477165</v>
      </c>
      <c r="H2290" s="63">
        <v>45100</v>
      </c>
      <c r="J2290" s="1"/>
      <c r="K2290" s="1"/>
      <c r="L2290" s="1" t="s">
        <v>49</v>
      </c>
      <c r="M2290" s="1" t="s">
        <v>30</v>
      </c>
      <c r="N2290" s="1" t="str">
        <f t="shared" si="35"/>
        <v>Normal</v>
      </c>
    </row>
    <row r="2291" spans="1:14" x14ac:dyDescent="0.25">
      <c r="A2291" s="1" t="s">
        <v>3534</v>
      </c>
      <c r="B2291" s="1" t="s">
        <v>75</v>
      </c>
      <c r="C2291" s="1" t="s">
        <v>390</v>
      </c>
      <c r="D2291" s="1" t="s">
        <v>16</v>
      </c>
      <c r="E2291" s="1" t="s">
        <v>72</v>
      </c>
      <c r="F2291" s="1" t="s">
        <v>40</v>
      </c>
      <c r="G2291" s="1">
        <v>460064</v>
      </c>
      <c r="H2291" s="63">
        <v>45364</v>
      </c>
      <c r="I2291" s="63">
        <v>45422</v>
      </c>
      <c r="J2291" s="1">
        <v>58</v>
      </c>
      <c r="K2291" s="1">
        <v>2.4</v>
      </c>
      <c r="L2291" s="1" t="s">
        <v>20</v>
      </c>
      <c r="M2291" s="1" t="s">
        <v>69</v>
      </c>
      <c r="N2291" s="1" t="str">
        <f t="shared" si="35"/>
        <v>Normal</v>
      </c>
    </row>
    <row r="2292" spans="1:14" x14ac:dyDescent="0.25">
      <c r="A2292" s="1" t="s">
        <v>3535</v>
      </c>
      <c r="B2292" s="1" t="s">
        <v>98</v>
      </c>
      <c r="C2292" s="1" t="s">
        <v>859</v>
      </c>
      <c r="D2292" s="1" t="s">
        <v>67</v>
      </c>
      <c r="E2292" s="1" t="s">
        <v>47</v>
      </c>
      <c r="F2292" s="1" t="s">
        <v>129</v>
      </c>
      <c r="G2292" s="1">
        <v>140008</v>
      </c>
      <c r="H2292" s="63">
        <v>45743</v>
      </c>
      <c r="J2292" s="1"/>
      <c r="K2292" s="1">
        <v>11.1</v>
      </c>
      <c r="L2292" s="1" t="s">
        <v>29</v>
      </c>
      <c r="M2292" s="1" t="s">
        <v>63</v>
      </c>
      <c r="N2292" s="1" t="str">
        <f t="shared" si="35"/>
        <v>Normal</v>
      </c>
    </row>
    <row r="2293" spans="1:14" x14ac:dyDescent="0.25">
      <c r="A2293" s="1" t="s">
        <v>3536</v>
      </c>
      <c r="B2293" s="1" t="s">
        <v>14</v>
      </c>
      <c r="C2293" s="1" t="s">
        <v>1112</v>
      </c>
      <c r="D2293" s="1" t="s">
        <v>46</v>
      </c>
      <c r="E2293" s="1" t="s">
        <v>47</v>
      </c>
      <c r="F2293" s="1" t="s">
        <v>53</v>
      </c>
      <c r="G2293" s="1">
        <v>293446</v>
      </c>
      <c r="H2293" s="63">
        <v>45150</v>
      </c>
      <c r="J2293" s="1"/>
      <c r="K2293" s="1"/>
      <c r="L2293" s="1" t="s">
        <v>20</v>
      </c>
      <c r="M2293" s="1" t="s">
        <v>102</v>
      </c>
      <c r="N2293" s="1" t="str">
        <f t="shared" si="35"/>
        <v>Normal</v>
      </c>
    </row>
    <row r="2294" spans="1:14" x14ac:dyDescent="0.25">
      <c r="A2294" s="1" t="s">
        <v>3537</v>
      </c>
      <c r="B2294" s="1" t="s">
        <v>65</v>
      </c>
      <c r="C2294" s="1" t="s">
        <v>1691</v>
      </c>
      <c r="D2294" s="1" t="s">
        <v>46</v>
      </c>
      <c r="E2294" s="1" t="s">
        <v>61</v>
      </c>
      <c r="F2294" s="1" t="s">
        <v>129</v>
      </c>
      <c r="G2294" s="1">
        <v>470560</v>
      </c>
      <c r="H2294" s="63">
        <v>45225</v>
      </c>
      <c r="J2294" s="1"/>
      <c r="K2294" s="1">
        <v>7</v>
      </c>
      <c r="L2294" s="1" t="s">
        <v>96</v>
      </c>
      <c r="M2294" s="1" t="s">
        <v>21</v>
      </c>
      <c r="N2294" s="1" t="str">
        <f t="shared" si="35"/>
        <v>Normal</v>
      </c>
    </row>
    <row r="2295" spans="1:14" x14ac:dyDescent="0.25">
      <c r="A2295" s="1" t="s">
        <v>3538</v>
      </c>
      <c r="B2295" s="1" t="s">
        <v>23</v>
      </c>
      <c r="C2295" s="1" t="s">
        <v>625</v>
      </c>
      <c r="D2295" s="1" t="s">
        <v>46</v>
      </c>
      <c r="E2295" s="1" t="s">
        <v>100</v>
      </c>
      <c r="F2295" s="1" t="s">
        <v>53</v>
      </c>
      <c r="G2295" s="1">
        <v>104858</v>
      </c>
      <c r="H2295" s="63">
        <v>45339</v>
      </c>
      <c r="J2295" s="1"/>
      <c r="K2295" s="1"/>
      <c r="L2295" s="1" t="s">
        <v>29</v>
      </c>
      <c r="M2295" s="1" t="s">
        <v>69</v>
      </c>
      <c r="N2295" s="1" t="str">
        <f t="shared" si="35"/>
        <v>Normal</v>
      </c>
    </row>
    <row r="2296" spans="1:14" x14ac:dyDescent="0.25">
      <c r="A2296" s="1" t="s">
        <v>3539</v>
      </c>
      <c r="B2296" s="1" t="s">
        <v>23</v>
      </c>
      <c r="C2296" s="1" t="s">
        <v>406</v>
      </c>
      <c r="D2296" s="1" t="s">
        <v>67</v>
      </c>
      <c r="E2296" s="1" t="s">
        <v>47</v>
      </c>
      <c r="F2296" s="1" t="s">
        <v>129</v>
      </c>
      <c r="G2296" s="1">
        <v>177877</v>
      </c>
      <c r="H2296" s="63">
        <v>45516</v>
      </c>
      <c r="J2296" s="1"/>
      <c r="K2296" s="1"/>
      <c r="L2296" s="1" t="s">
        <v>96</v>
      </c>
      <c r="M2296" s="1" t="s">
        <v>149</v>
      </c>
      <c r="N2296" s="1" t="str">
        <f t="shared" si="35"/>
        <v>Normal</v>
      </c>
    </row>
    <row r="2297" spans="1:14" x14ac:dyDescent="0.25">
      <c r="A2297" s="1" t="s">
        <v>3540</v>
      </c>
      <c r="B2297" s="1" t="s">
        <v>173</v>
      </c>
      <c r="C2297" s="1" t="s">
        <v>865</v>
      </c>
      <c r="D2297" s="1" t="s">
        <v>39</v>
      </c>
      <c r="E2297" s="1" t="s">
        <v>47</v>
      </c>
      <c r="F2297" s="1" t="s">
        <v>129</v>
      </c>
      <c r="G2297" s="1">
        <v>348797</v>
      </c>
      <c r="H2297" s="63">
        <v>44961</v>
      </c>
      <c r="J2297" s="1"/>
      <c r="K2297" s="1">
        <v>7.3</v>
      </c>
      <c r="L2297" s="1" t="s">
        <v>29</v>
      </c>
      <c r="M2297" s="1" t="s">
        <v>35</v>
      </c>
      <c r="N2297" s="1" t="str">
        <f t="shared" si="35"/>
        <v>Normal</v>
      </c>
    </row>
    <row r="2298" spans="1:14" x14ac:dyDescent="0.25">
      <c r="A2298" s="1" t="s">
        <v>3542</v>
      </c>
      <c r="B2298" s="1" t="s">
        <v>88</v>
      </c>
      <c r="C2298" s="1" t="s">
        <v>708</v>
      </c>
      <c r="D2298" s="1" t="s">
        <v>39</v>
      </c>
      <c r="E2298" s="1" t="s">
        <v>100</v>
      </c>
      <c r="F2298" s="1" t="s">
        <v>18</v>
      </c>
      <c r="G2298" s="1">
        <v>442377</v>
      </c>
      <c r="H2298" s="63">
        <v>45575</v>
      </c>
      <c r="I2298" s="63">
        <v>45625</v>
      </c>
      <c r="J2298" s="1">
        <v>50</v>
      </c>
      <c r="K2298" s="1">
        <v>0.7</v>
      </c>
      <c r="L2298" s="1" t="s">
        <v>29</v>
      </c>
      <c r="M2298" s="1" t="s">
        <v>42</v>
      </c>
      <c r="N2298" s="1" t="str">
        <f t="shared" si="35"/>
        <v>Normal</v>
      </c>
    </row>
    <row r="2299" spans="1:14" x14ac:dyDescent="0.25">
      <c r="A2299" s="1" t="s">
        <v>3543</v>
      </c>
      <c r="B2299" s="1" t="s">
        <v>59</v>
      </c>
      <c r="C2299" s="1" t="s">
        <v>433</v>
      </c>
      <c r="D2299" s="1" t="s">
        <v>46</v>
      </c>
      <c r="E2299" s="1" t="s">
        <v>17</v>
      </c>
      <c r="F2299" s="1" t="s">
        <v>18</v>
      </c>
      <c r="G2299" s="1">
        <v>265764</v>
      </c>
      <c r="H2299" s="63">
        <v>45383</v>
      </c>
      <c r="I2299" s="63">
        <v>45506</v>
      </c>
      <c r="J2299" s="1">
        <v>123</v>
      </c>
      <c r="K2299" s="1">
        <v>4.0999999999999996</v>
      </c>
      <c r="L2299" s="1" t="s">
        <v>96</v>
      </c>
      <c r="M2299" s="1" t="s">
        <v>107</v>
      </c>
      <c r="N2299" s="1" t="str">
        <f t="shared" si="35"/>
        <v>Normal</v>
      </c>
    </row>
    <row r="2300" spans="1:14" x14ac:dyDescent="0.25">
      <c r="A2300" s="1" t="s">
        <v>3544</v>
      </c>
      <c r="B2300" s="1" t="s">
        <v>37</v>
      </c>
      <c r="C2300" s="1" t="s">
        <v>852</v>
      </c>
      <c r="D2300" s="1" t="s">
        <v>67</v>
      </c>
      <c r="E2300" s="1" t="s">
        <v>26</v>
      </c>
      <c r="F2300" s="1" t="s">
        <v>33</v>
      </c>
      <c r="G2300" s="1">
        <v>97957</v>
      </c>
      <c r="H2300" s="63">
        <v>45359</v>
      </c>
      <c r="J2300" s="1"/>
      <c r="K2300" s="1">
        <v>7.6</v>
      </c>
      <c r="L2300" s="1" t="s">
        <v>29</v>
      </c>
      <c r="M2300" s="1" t="s">
        <v>69</v>
      </c>
      <c r="N2300" s="1" t="str">
        <f t="shared" si="35"/>
        <v>Normal</v>
      </c>
    </row>
    <row r="2301" spans="1:14" x14ac:dyDescent="0.25">
      <c r="A2301" s="1" t="s">
        <v>3546</v>
      </c>
      <c r="B2301" s="1" t="s">
        <v>173</v>
      </c>
      <c r="C2301" s="1" t="s">
        <v>237</v>
      </c>
      <c r="D2301" s="1" t="s">
        <v>67</v>
      </c>
      <c r="E2301" s="1" t="s">
        <v>94</v>
      </c>
      <c r="F2301" s="1" t="s">
        <v>40</v>
      </c>
      <c r="G2301" s="1">
        <v>425669</v>
      </c>
      <c r="H2301" s="63">
        <v>45259</v>
      </c>
      <c r="I2301" s="63">
        <v>45413</v>
      </c>
      <c r="J2301" s="1">
        <v>154</v>
      </c>
      <c r="K2301" s="1">
        <v>3.6</v>
      </c>
      <c r="L2301" s="1" t="s">
        <v>29</v>
      </c>
      <c r="M2301" s="1" t="s">
        <v>21</v>
      </c>
      <c r="N2301" s="1" t="str">
        <f t="shared" si="35"/>
        <v>Normal</v>
      </c>
    </row>
    <row r="2302" spans="1:14" x14ac:dyDescent="0.25">
      <c r="A2302" s="1" t="s">
        <v>3548</v>
      </c>
      <c r="B2302" s="1" t="s">
        <v>127</v>
      </c>
      <c r="C2302" s="1" t="s">
        <v>805</v>
      </c>
      <c r="D2302" s="1" t="s">
        <v>46</v>
      </c>
      <c r="E2302" s="1" t="s">
        <v>4845</v>
      </c>
      <c r="F2302" s="1" t="s">
        <v>33</v>
      </c>
      <c r="G2302" s="1">
        <v>172996</v>
      </c>
      <c r="H2302" s="63">
        <v>44933</v>
      </c>
      <c r="J2302" s="1"/>
      <c r="K2302" s="1">
        <v>12.1</v>
      </c>
      <c r="L2302" s="1" t="s">
        <v>29</v>
      </c>
      <c r="M2302" s="1" t="s">
        <v>35</v>
      </c>
      <c r="N2302" s="1" t="str">
        <f t="shared" si="35"/>
        <v>Normal</v>
      </c>
    </row>
    <row r="2303" spans="1:14" x14ac:dyDescent="0.25">
      <c r="A2303" s="1" t="s">
        <v>3549</v>
      </c>
      <c r="B2303" s="1" t="s">
        <v>23</v>
      </c>
      <c r="C2303" s="1" t="s">
        <v>141</v>
      </c>
      <c r="D2303" s="1" t="s">
        <v>39</v>
      </c>
      <c r="E2303" s="1" t="s">
        <v>47</v>
      </c>
      <c r="F2303" s="1" t="s">
        <v>33</v>
      </c>
      <c r="G2303" s="1">
        <v>276776</v>
      </c>
      <c r="H2303" s="63">
        <v>45668</v>
      </c>
      <c r="J2303" s="1"/>
      <c r="K2303" s="1"/>
      <c r="L2303" s="1" t="s">
        <v>49</v>
      </c>
      <c r="M2303" s="1" t="s">
        <v>63</v>
      </c>
      <c r="N2303" s="1" t="str">
        <f t="shared" si="35"/>
        <v>Normal</v>
      </c>
    </row>
    <row r="2304" spans="1:14" x14ac:dyDescent="0.25">
      <c r="A2304" s="1" t="s">
        <v>3550</v>
      </c>
      <c r="B2304" s="1" t="s">
        <v>37</v>
      </c>
      <c r="C2304" s="1" t="s">
        <v>247</v>
      </c>
      <c r="D2304" s="1" t="s">
        <v>90</v>
      </c>
      <c r="E2304" s="1" t="s">
        <v>47</v>
      </c>
      <c r="F2304" s="1" t="s">
        <v>33</v>
      </c>
      <c r="G2304" s="1">
        <v>192093</v>
      </c>
      <c r="H2304" s="63">
        <v>45594</v>
      </c>
      <c r="J2304" s="1"/>
      <c r="K2304" s="1">
        <v>12.4</v>
      </c>
      <c r="L2304" s="1" t="s">
        <v>49</v>
      </c>
      <c r="M2304" s="1" t="s">
        <v>42</v>
      </c>
      <c r="N2304" s="1" t="str">
        <f t="shared" si="35"/>
        <v>Normal</v>
      </c>
    </row>
    <row r="2305" spans="1:14" x14ac:dyDescent="0.25">
      <c r="A2305" s="1" t="s">
        <v>3551</v>
      </c>
      <c r="B2305" s="1" t="s">
        <v>37</v>
      </c>
      <c r="C2305" s="1" t="s">
        <v>1352</v>
      </c>
      <c r="D2305" s="1" t="s">
        <v>90</v>
      </c>
      <c r="E2305" s="1" t="s">
        <v>17</v>
      </c>
      <c r="F2305" s="1" t="s">
        <v>18</v>
      </c>
      <c r="G2305" s="1">
        <v>308339</v>
      </c>
      <c r="H2305" s="63">
        <v>45269</v>
      </c>
      <c r="I2305" s="63">
        <v>45347</v>
      </c>
      <c r="J2305" s="1">
        <v>78</v>
      </c>
      <c r="K2305" s="1">
        <v>4.9000000000000004</v>
      </c>
      <c r="L2305" s="1" t="s">
        <v>20</v>
      </c>
      <c r="M2305" s="1" t="s">
        <v>21</v>
      </c>
      <c r="N2305" s="1" t="str">
        <f t="shared" si="35"/>
        <v>Normal</v>
      </c>
    </row>
    <row r="2306" spans="1:14" x14ac:dyDescent="0.25">
      <c r="A2306" s="1" t="s">
        <v>3552</v>
      </c>
      <c r="B2306" s="1" t="s">
        <v>88</v>
      </c>
      <c r="C2306" s="1" t="s">
        <v>1339</v>
      </c>
      <c r="D2306" s="1" t="s">
        <v>67</v>
      </c>
      <c r="E2306" s="1" t="s">
        <v>4845</v>
      </c>
      <c r="F2306" s="1" t="s">
        <v>18</v>
      </c>
      <c r="G2306" s="1">
        <v>349235</v>
      </c>
      <c r="H2306" s="63">
        <v>45462</v>
      </c>
      <c r="I2306" s="63">
        <v>45641</v>
      </c>
      <c r="J2306" s="1">
        <v>179</v>
      </c>
      <c r="K2306" s="1">
        <v>9.8000000000000007</v>
      </c>
      <c r="L2306" s="1" t="s">
        <v>29</v>
      </c>
      <c r="M2306" s="1" t="s">
        <v>107</v>
      </c>
      <c r="N2306" s="1" t="str">
        <f t="shared" ref="N2306:N2369" si="36">IF(G2306&gt;$R$5,"High Outlier",IF(G2306&lt;$R$6,"Low Outlier","Normal"))</f>
        <v>Normal</v>
      </c>
    </row>
    <row r="2307" spans="1:14" x14ac:dyDescent="0.25">
      <c r="A2307" s="1" t="s">
        <v>3553</v>
      </c>
      <c r="B2307" s="1" t="s">
        <v>14</v>
      </c>
      <c r="C2307" s="1" t="s">
        <v>699</v>
      </c>
      <c r="D2307" s="1" t="s">
        <v>16</v>
      </c>
      <c r="E2307" s="1" t="s">
        <v>100</v>
      </c>
      <c r="F2307" s="1" t="s">
        <v>53</v>
      </c>
      <c r="G2307" s="1">
        <v>356184</v>
      </c>
      <c r="H2307" s="63">
        <v>45186</v>
      </c>
      <c r="J2307" s="1"/>
      <c r="K2307" s="1">
        <v>9.8000000000000007</v>
      </c>
      <c r="L2307" s="1" t="s">
        <v>49</v>
      </c>
      <c r="M2307" s="1" t="s">
        <v>102</v>
      </c>
      <c r="N2307" s="1" t="str">
        <f t="shared" si="36"/>
        <v>Normal</v>
      </c>
    </row>
    <row r="2308" spans="1:14" x14ac:dyDescent="0.25">
      <c r="A2308" s="1" t="s">
        <v>3554</v>
      </c>
      <c r="B2308" s="1" t="s">
        <v>59</v>
      </c>
      <c r="C2308" s="1" t="s">
        <v>939</v>
      </c>
      <c r="D2308" s="1" t="s">
        <v>46</v>
      </c>
      <c r="E2308" s="1" t="s">
        <v>17</v>
      </c>
      <c r="F2308" s="1" t="s">
        <v>40</v>
      </c>
      <c r="G2308" s="1">
        <v>125229</v>
      </c>
      <c r="H2308" s="63">
        <v>45366</v>
      </c>
      <c r="I2308" s="63">
        <v>45388</v>
      </c>
      <c r="J2308" s="1">
        <v>22</v>
      </c>
      <c r="K2308" s="1">
        <v>9</v>
      </c>
      <c r="L2308" s="1" t="s">
        <v>20</v>
      </c>
      <c r="M2308" s="1" t="s">
        <v>69</v>
      </c>
      <c r="N2308" s="1" t="str">
        <f t="shared" si="36"/>
        <v>Normal</v>
      </c>
    </row>
    <row r="2309" spans="1:14" x14ac:dyDescent="0.25">
      <c r="A2309" s="1" t="s">
        <v>3555</v>
      </c>
      <c r="B2309" s="1" t="s">
        <v>65</v>
      </c>
      <c r="C2309" s="1" t="s">
        <v>138</v>
      </c>
      <c r="D2309" s="1" t="s">
        <v>39</v>
      </c>
      <c r="E2309" s="1" t="s">
        <v>77</v>
      </c>
      <c r="F2309" s="1" t="s">
        <v>40</v>
      </c>
      <c r="G2309" s="1">
        <v>158088</v>
      </c>
      <c r="H2309" s="63">
        <v>45015</v>
      </c>
      <c r="I2309" s="63">
        <v>45153</v>
      </c>
      <c r="J2309" s="1">
        <v>138</v>
      </c>
      <c r="K2309" s="1">
        <v>5</v>
      </c>
      <c r="L2309" s="1" t="s">
        <v>20</v>
      </c>
      <c r="M2309" s="1" t="s">
        <v>35</v>
      </c>
      <c r="N2309" s="1" t="str">
        <f t="shared" si="36"/>
        <v>Normal</v>
      </c>
    </row>
    <row r="2310" spans="1:14" x14ac:dyDescent="0.25">
      <c r="A2310" s="1" t="s">
        <v>3556</v>
      </c>
      <c r="B2310" s="1" t="s">
        <v>109</v>
      </c>
      <c r="C2310" s="1" t="s">
        <v>1566</v>
      </c>
      <c r="D2310" s="1" t="s">
        <v>25</v>
      </c>
      <c r="E2310" s="1" t="s">
        <v>100</v>
      </c>
      <c r="F2310" s="1" t="s">
        <v>27</v>
      </c>
      <c r="G2310" s="1">
        <v>141036</v>
      </c>
      <c r="H2310" s="63">
        <v>45229</v>
      </c>
      <c r="J2310" s="1"/>
      <c r="K2310" s="1">
        <v>5.0999999999999996</v>
      </c>
      <c r="L2310" s="1" t="s">
        <v>49</v>
      </c>
      <c r="M2310" s="1" t="s">
        <v>21</v>
      </c>
      <c r="N2310" s="1" t="str">
        <f t="shared" si="36"/>
        <v>Normal</v>
      </c>
    </row>
    <row r="2311" spans="1:14" x14ac:dyDescent="0.25">
      <c r="A2311" s="1" t="s">
        <v>3557</v>
      </c>
      <c r="B2311" s="1" t="s">
        <v>59</v>
      </c>
      <c r="C2311" s="1" t="s">
        <v>483</v>
      </c>
      <c r="D2311" s="1" t="s">
        <v>46</v>
      </c>
      <c r="E2311" s="1" t="s">
        <v>100</v>
      </c>
      <c r="F2311" s="1" t="s">
        <v>18</v>
      </c>
      <c r="G2311" s="1">
        <v>239921</v>
      </c>
      <c r="H2311" s="63">
        <v>45203</v>
      </c>
      <c r="I2311" s="63">
        <v>45330</v>
      </c>
      <c r="J2311" s="1">
        <v>127</v>
      </c>
      <c r="K2311" s="1">
        <v>0.6</v>
      </c>
      <c r="L2311" s="1" t="s">
        <v>29</v>
      </c>
      <c r="M2311" s="1" t="s">
        <v>21</v>
      </c>
      <c r="N2311" s="1" t="str">
        <f t="shared" si="36"/>
        <v>Normal</v>
      </c>
    </row>
    <row r="2312" spans="1:14" x14ac:dyDescent="0.25">
      <c r="A2312" s="1" t="s">
        <v>3558</v>
      </c>
      <c r="B2312" s="1" t="s">
        <v>44</v>
      </c>
      <c r="C2312" s="1" t="s">
        <v>1106</v>
      </c>
      <c r="D2312" s="1" t="s">
        <v>46</v>
      </c>
      <c r="E2312" s="1" t="s">
        <v>77</v>
      </c>
      <c r="F2312" s="1" t="s">
        <v>40</v>
      </c>
      <c r="G2312" s="1">
        <v>171180</v>
      </c>
      <c r="H2312" s="63">
        <v>45060</v>
      </c>
      <c r="I2312" s="63">
        <v>45095</v>
      </c>
      <c r="J2312" s="1">
        <v>35</v>
      </c>
      <c r="K2312" s="1">
        <v>19.100000000000001</v>
      </c>
      <c r="L2312" s="1" t="s">
        <v>96</v>
      </c>
      <c r="M2312" s="1" t="s">
        <v>30</v>
      </c>
      <c r="N2312" s="1" t="str">
        <f t="shared" si="36"/>
        <v>Normal</v>
      </c>
    </row>
    <row r="2313" spans="1:14" x14ac:dyDescent="0.25">
      <c r="A2313" s="1" t="s">
        <v>3559</v>
      </c>
      <c r="B2313" s="1" t="s">
        <v>75</v>
      </c>
      <c r="C2313" s="1" t="s">
        <v>1470</v>
      </c>
      <c r="D2313" s="1" t="s">
        <v>67</v>
      </c>
      <c r="E2313" s="1" t="s">
        <v>61</v>
      </c>
      <c r="F2313" s="1" t="s">
        <v>40</v>
      </c>
      <c r="G2313" s="1">
        <v>427635</v>
      </c>
      <c r="H2313" s="63">
        <v>45365</v>
      </c>
      <c r="I2313" s="63">
        <v>45460</v>
      </c>
      <c r="J2313" s="1">
        <v>95</v>
      </c>
      <c r="K2313" s="1">
        <v>21.8</v>
      </c>
      <c r="L2313" s="1" t="s">
        <v>20</v>
      </c>
      <c r="M2313" s="1" t="s">
        <v>69</v>
      </c>
      <c r="N2313" s="1" t="str">
        <f t="shared" si="36"/>
        <v>Normal</v>
      </c>
    </row>
    <row r="2314" spans="1:14" x14ac:dyDescent="0.25">
      <c r="A2314" s="1" t="s">
        <v>3560</v>
      </c>
      <c r="B2314" s="1" t="s">
        <v>109</v>
      </c>
      <c r="C2314" s="1" t="s">
        <v>237</v>
      </c>
      <c r="D2314" s="1" t="s">
        <v>67</v>
      </c>
      <c r="E2314" s="1" t="s">
        <v>77</v>
      </c>
      <c r="F2314" s="1" t="s">
        <v>40</v>
      </c>
      <c r="G2314" s="1">
        <v>487880</v>
      </c>
      <c r="H2314" s="63">
        <v>45107</v>
      </c>
      <c r="I2314" s="63">
        <v>45162</v>
      </c>
      <c r="J2314" s="1">
        <v>55</v>
      </c>
      <c r="K2314" s="1">
        <v>1.1000000000000001</v>
      </c>
      <c r="L2314" s="1" t="s">
        <v>49</v>
      </c>
      <c r="M2314" s="1" t="s">
        <v>30</v>
      </c>
      <c r="N2314" s="1" t="str">
        <f t="shared" si="36"/>
        <v>Normal</v>
      </c>
    </row>
    <row r="2315" spans="1:14" x14ac:dyDescent="0.25">
      <c r="A2315" s="1" t="s">
        <v>3561</v>
      </c>
      <c r="B2315" s="1" t="s">
        <v>14</v>
      </c>
      <c r="C2315" s="1" t="s">
        <v>1582</v>
      </c>
      <c r="D2315" s="1" t="s">
        <v>46</v>
      </c>
      <c r="E2315" s="1" t="s">
        <v>47</v>
      </c>
      <c r="F2315" s="1" t="s">
        <v>33</v>
      </c>
      <c r="G2315" s="1">
        <v>348856</v>
      </c>
      <c r="H2315" s="63">
        <v>45284</v>
      </c>
      <c r="J2315" s="1"/>
      <c r="K2315" s="1">
        <v>1.8</v>
      </c>
      <c r="L2315" s="1" t="s">
        <v>96</v>
      </c>
      <c r="M2315" s="1" t="s">
        <v>21</v>
      </c>
      <c r="N2315" s="1" t="str">
        <f t="shared" si="36"/>
        <v>Normal</v>
      </c>
    </row>
    <row r="2316" spans="1:14" x14ac:dyDescent="0.25">
      <c r="A2316" s="1" t="s">
        <v>3563</v>
      </c>
      <c r="B2316" s="1" t="s">
        <v>98</v>
      </c>
      <c r="C2316" s="1" t="s">
        <v>2091</v>
      </c>
      <c r="D2316" s="1" t="s">
        <v>16</v>
      </c>
      <c r="E2316" s="1" t="s">
        <v>72</v>
      </c>
      <c r="F2316" s="1" t="s">
        <v>18</v>
      </c>
      <c r="G2316" s="1">
        <v>435940</v>
      </c>
      <c r="H2316" s="63">
        <v>45267</v>
      </c>
      <c r="I2316" s="63">
        <v>45288</v>
      </c>
      <c r="J2316" s="1">
        <v>21</v>
      </c>
      <c r="K2316" s="1">
        <v>12.8</v>
      </c>
      <c r="L2316" s="1" t="s">
        <v>96</v>
      </c>
      <c r="M2316" s="1" t="s">
        <v>21</v>
      </c>
      <c r="N2316" s="1" t="str">
        <f t="shared" si="36"/>
        <v>Normal</v>
      </c>
    </row>
    <row r="2317" spans="1:14" x14ac:dyDescent="0.25">
      <c r="A2317" s="1" t="s">
        <v>3564</v>
      </c>
      <c r="B2317" s="1" t="s">
        <v>75</v>
      </c>
      <c r="C2317" s="1" t="s">
        <v>85</v>
      </c>
      <c r="D2317" s="1" t="s">
        <v>39</v>
      </c>
      <c r="E2317" s="1" t="s">
        <v>17</v>
      </c>
      <c r="F2317" s="1" t="s">
        <v>40</v>
      </c>
      <c r="G2317" s="1">
        <v>76407</v>
      </c>
      <c r="H2317" s="63">
        <v>45625</v>
      </c>
      <c r="I2317" s="63">
        <v>45770</v>
      </c>
      <c r="J2317" s="1">
        <v>145</v>
      </c>
      <c r="K2317" s="1">
        <v>10.199999999999999</v>
      </c>
      <c r="L2317" s="1" t="s">
        <v>49</v>
      </c>
      <c r="M2317" s="1" t="s">
        <v>42</v>
      </c>
      <c r="N2317" s="1" t="str">
        <f t="shared" si="36"/>
        <v>Normal</v>
      </c>
    </row>
    <row r="2318" spans="1:14" x14ac:dyDescent="0.25">
      <c r="A2318" s="1" t="s">
        <v>3565</v>
      </c>
      <c r="B2318" s="1" t="s">
        <v>59</v>
      </c>
      <c r="C2318" s="1" t="s">
        <v>2503</v>
      </c>
      <c r="D2318" s="1" t="s">
        <v>90</v>
      </c>
      <c r="E2318" s="1" t="s">
        <v>26</v>
      </c>
      <c r="F2318" s="1" t="s">
        <v>33</v>
      </c>
      <c r="G2318" s="1">
        <v>438575</v>
      </c>
      <c r="H2318" s="63">
        <v>45703</v>
      </c>
      <c r="J2318" s="1"/>
      <c r="K2318" s="1">
        <v>10.1</v>
      </c>
      <c r="L2318" s="1" t="s">
        <v>20</v>
      </c>
      <c r="M2318" s="1" t="s">
        <v>63</v>
      </c>
      <c r="N2318" s="1" t="str">
        <f t="shared" si="36"/>
        <v>Normal</v>
      </c>
    </row>
    <row r="2319" spans="1:14" x14ac:dyDescent="0.25">
      <c r="A2319" s="1" t="s">
        <v>3566</v>
      </c>
      <c r="B2319" s="1" t="s">
        <v>14</v>
      </c>
      <c r="C2319" s="1" t="s">
        <v>1299</v>
      </c>
      <c r="D2319" s="1" t="s">
        <v>46</v>
      </c>
      <c r="E2319" s="1" t="s">
        <v>26</v>
      </c>
      <c r="F2319" s="1" t="s">
        <v>53</v>
      </c>
      <c r="G2319" s="1">
        <v>334757</v>
      </c>
      <c r="H2319" s="63">
        <v>45638</v>
      </c>
      <c r="J2319" s="1"/>
      <c r="K2319" s="1">
        <v>5.3</v>
      </c>
      <c r="L2319" s="1" t="s">
        <v>96</v>
      </c>
      <c r="M2319" s="1" t="s">
        <v>42</v>
      </c>
      <c r="N2319" s="1" t="str">
        <f t="shared" si="36"/>
        <v>Normal</v>
      </c>
    </row>
    <row r="2320" spans="1:14" x14ac:dyDescent="0.25">
      <c r="A2320" s="1" t="s">
        <v>3567</v>
      </c>
      <c r="B2320" s="1" t="s">
        <v>65</v>
      </c>
      <c r="C2320" s="1" t="s">
        <v>1283</v>
      </c>
      <c r="D2320" s="1" t="s">
        <v>25</v>
      </c>
      <c r="E2320" s="1" t="s">
        <v>61</v>
      </c>
      <c r="F2320" s="1" t="s">
        <v>33</v>
      </c>
      <c r="G2320" s="1">
        <v>250598</v>
      </c>
      <c r="H2320" s="63">
        <v>45197</v>
      </c>
      <c r="J2320" s="1"/>
      <c r="K2320" s="1">
        <v>14.5</v>
      </c>
      <c r="L2320" s="1" t="s">
        <v>20</v>
      </c>
      <c r="M2320" s="1" t="s">
        <v>102</v>
      </c>
      <c r="N2320" s="1" t="str">
        <f t="shared" si="36"/>
        <v>Normal</v>
      </c>
    </row>
    <row r="2321" spans="1:14" x14ac:dyDescent="0.25">
      <c r="A2321" s="1" t="s">
        <v>3568</v>
      </c>
      <c r="B2321" s="1" t="s">
        <v>104</v>
      </c>
      <c r="C2321" s="1" t="s">
        <v>518</v>
      </c>
      <c r="D2321" s="1" t="s">
        <v>25</v>
      </c>
      <c r="E2321" s="1" t="s">
        <v>17</v>
      </c>
      <c r="F2321" s="1" t="s">
        <v>40</v>
      </c>
      <c r="G2321" s="1">
        <v>32818</v>
      </c>
      <c r="H2321" s="63">
        <v>45371</v>
      </c>
      <c r="I2321" s="63">
        <v>45401</v>
      </c>
      <c r="J2321" s="1">
        <v>30</v>
      </c>
      <c r="K2321" s="1">
        <v>24.8</v>
      </c>
      <c r="L2321" s="1" t="s">
        <v>29</v>
      </c>
      <c r="M2321" s="1" t="s">
        <v>69</v>
      </c>
      <c r="N2321" s="1" t="str">
        <f t="shared" si="36"/>
        <v>Normal</v>
      </c>
    </row>
    <row r="2322" spans="1:14" x14ac:dyDescent="0.25">
      <c r="A2322" s="1" t="s">
        <v>3569</v>
      </c>
      <c r="B2322" s="1" t="s">
        <v>65</v>
      </c>
      <c r="C2322" s="1" t="s">
        <v>1914</v>
      </c>
      <c r="D2322" s="1" t="s">
        <v>16</v>
      </c>
      <c r="E2322" s="1" t="s">
        <v>77</v>
      </c>
      <c r="F2322" s="1" t="s">
        <v>27</v>
      </c>
      <c r="G2322" s="1">
        <v>202896</v>
      </c>
      <c r="H2322" s="63">
        <v>45507</v>
      </c>
      <c r="J2322" s="1"/>
      <c r="K2322" s="1">
        <v>1.8</v>
      </c>
      <c r="L2322" s="1" t="s">
        <v>20</v>
      </c>
      <c r="M2322" s="1" t="s">
        <v>149</v>
      </c>
      <c r="N2322" s="1" t="str">
        <f t="shared" si="36"/>
        <v>Normal</v>
      </c>
    </row>
    <row r="2323" spans="1:14" x14ac:dyDescent="0.25">
      <c r="A2323" s="1" t="s">
        <v>3570</v>
      </c>
      <c r="B2323" s="1" t="s">
        <v>14</v>
      </c>
      <c r="C2323" s="1" t="s">
        <v>160</v>
      </c>
      <c r="D2323" s="1" t="s">
        <v>16</v>
      </c>
      <c r="E2323" s="1" t="s">
        <v>72</v>
      </c>
      <c r="F2323" s="1" t="s">
        <v>33</v>
      </c>
      <c r="G2323" s="1">
        <v>388384</v>
      </c>
      <c r="H2323" s="63">
        <v>45150</v>
      </c>
      <c r="J2323" s="1"/>
      <c r="K2323" s="1">
        <v>2.7</v>
      </c>
      <c r="L2323" s="1" t="s">
        <v>49</v>
      </c>
      <c r="M2323" s="1" t="s">
        <v>102</v>
      </c>
      <c r="N2323" s="1" t="str">
        <f t="shared" si="36"/>
        <v>Normal</v>
      </c>
    </row>
    <row r="2324" spans="1:14" x14ac:dyDescent="0.25">
      <c r="A2324" s="1" t="s">
        <v>3571</v>
      </c>
      <c r="B2324" s="1" t="s">
        <v>44</v>
      </c>
      <c r="C2324" s="1" t="s">
        <v>650</v>
      </c>
      <c r="D2324" s="1" t="s">
        <v>90</v>
      </c>
      <c r="E2324" s="1" t="s">
        <v>26</v>
      </c>
      <c r="F2324" s="1" t="s">
        <v>27</v>
      </c>
      <c r="G2324" s="1">
        <v>206324</v>
      </c>
      <c r="H2324" s="63">
        <v>45624</v>
      </c>
      <c r="J2324" s="1"/>
      <c r="K2324" s="1">
        <v>0.1</v>
      </c>
      <c r="L2324" s="1" t="s">
        <v>96</v>
      </c>
      <c r="M2324" s="1" t="s">
        <v>42</v>
      </c>
      <c r="N2324" s="1" t="str">
        <f t="shared" si="36"/>
        <v>Normal</v>
      </c>
    </row>
    <row r="2325" spans="1:14" x14ac:dyDescent="0.25">
      <c r="A2325" s="1" t="s">
        <v>3572</v>
      </c>
      <c r="B2325" s="1" t="s">
        <v>109</v>
      </c>
      <c r="C2325" s="1" t="s">
        <v>775</v>
      </c>
      <c r="D2325" s="1" t="s">
        <v>39</v>
      </c>
      <c r="E2325" s="1" t="s">
        <v>47</v>
      </c>
      <c r="F2325" s="1" t="s">
        <v>129</v>
      </c>
      <c r="G2325" s="1">
        <v>13014</v>
      </c>
      <c r="H2325" s="63">
        <v>45432</v>
      </c>
      <c r="J2325" s="1"/>
      <c r="K2325" s="1">
        <v>3.6</v>
      </c>
      <c r="L2325" s="1" t="s">
        <v>20</v>
      </c>
      <c r="M2325" s="1" t="s">
        <v>107</v>
      </c>
      <c r="N2325" s="1" t="str">
        <f t="shared" si="36"/>
        <v>Normal</v>
      </c>
    </row>
    <row r="2326" spans="1:14" x14ac:dyDescent="0.25">
      <c r="A2326" s="1" t="s">
        <v>3573</v>
      </c>
      <c r="B2326" s="1" t="s">
        <v>104</v>
      </c>
      <c r="C2326" s="1" t="s">
        <v>2334</v>
      </c>
      <c r="D2326" s="1" t="s">
        <v>16</v>
      </c>
      <c r="E2326" s="1" t="s">
        <v>94</v>
      </c>
      <c r="F2326" s="1" t="s">
        <v>53</v>
      </c>
      <c r="G2326" s="1">
        <v>242570</v>
      </c>
      <c r="H2326" s="63">
        <v>45430</v>
      </c>
      <c r="J2326" s="1"/>
      <c r="K2326" s="1"/>
      <c r="L2326" s="1" t="s">
        <v>49</v>
      </c>
      <c r="M2326" s="1" t="s">
        <v>107</v>
      </c>
      <c r="N2326" s="1" t="str">
        <f t="shared" si="36"/>
        <v>Normal</v>
      </c>
    </row>
    <row r="2327" spans="1:14" x14ac:dyDescent="0.25">
      <c r="A2327" s="1" t="s">
        <v>3574</v>
      </c>
      <c r="B2327" s="1" t="s">
        <v>109</v>
      </c>
      <c r="C2327" s="1" t="s">
        <v>614</v>
      </c>
      <c r="D2327" s="1" t="s">
        <v>39</v>
      </c>
      <c r="E2327" s="1" t="s">
        <v>94</v>
      </c>
      <c r="F2327" s="1" t="s">
        <v>33</v>
      </c>
      <c r="G2327" s="1">
        <v>337189</v>
      </c>
      <c r="H2327" s="63">
        <v>44948</v>
      </c>
      <c r="J2327" s="1"/>
      <c r="K2327" s="1"/>
      <c r="L2327" s="1" t="s">
        <v>29</v>
      </c>
      <c r="M2327" s="1" t="s">
        <v>35</v>
      </c>
      <c r="N2327" s="1" t="str">
        <f t="shared" si="36"/>
        <v>Normal</v>
      </c>
    </row>
    <row r="2328" spans="1:14" x14ac:dyDescent="0.25">
      <c r="A2328" s="1" t="s">
        <v>3575</v>
      </c>
      <c r="B2328" s="1" t="s">
        <v>14</v>
      </c>
      <c r="C2328" s="1" t="s">
        <v>614</v>
      </c>
      <c r="D2328" s="1" t="s">
        <v>67</v>
      </c>
      <c r="E2328" s="1" t="s">
        <v>47</v>
      </c>
      <c r="F2328" s="1" t="s">
        <v>18</v>
      </c>
      <c r="G2328" s="1">
        <v>193297</v>
      </c>
      <c r="H2328" s="63">
        <v>45356</v>
      </c>
      <c r="I2328" s="63">
        <v>45393</v>
      </c>
      <c r="J2328" s="1">
        <v>37</v>
      </c>
      <c r="K2328" s="1"/>
      <c r="L2328" s="1" t="s">
        <v>96</v>
      </c>
      <c r="M2328" s="1" t="s">
        <v>69</v>
      </c>
      <c r="N2328" s="1" t="str">
        <f t="shared" si="36"/>
        <v>Normal</v>
      </c>
    </row>
    <row r="2329" spans="1:14" x14ac:dyDescent="0.25">
      <c r="A2329" s="1" t="s">
        <v>3576</v>
      </c>
      <c r="B2329" s="1" t="s">
        <v>44</v>
      </c>
      <c r="C2329" s="1" t="s">
        <v>32</v>
      </c>
      <c r="D2329" s="1" t="s">
        <v>67</v>
      </c>
      <c r="E2329" s="1" t="s">
        <v>17</v>
      </c>
      <c r="F2329" s="1" t="s">
        <v>33</v>
      </c>
      <c r="G2329" s="1">
        <v>319415</v>
      </c>
      <c r="H2329" s="63">
        <v>45252</v>
      </c>
      <c r="J2329" s="1"/>
      <c r="K2329" s="1">
        <v>10.7</v>
      </c>
      <c r="L2329" s="1" t="s">
        <v>20</v>
      </c>
      <c r="M2329" s="1" t="s">
        <v>21</v>
      </c>
      <c r="N2329" s="1" t="str">
        <f t="shared" si="36"/>
        <v>Normal</v>
      </c>
    </row>
    <row r="2330" spans="1:14" x14ac:dyDescent="0.25">
      <c r="A2330" s="1" t="s">
        <v>3577</v>
      </c>
      <c r="B2330" s="1" t="s">
        <v>84</v>
      </c>
      <c r="C2330" s="1" t="s">
        <v>528</v>
      </c>
      <c r="D2330" s="1" t="s">
        <v>67</v>
      </c>
      <c r="E2330" s="1" t="s">
        <v>77</v>
      </c>
      <c r="F2330" s="1" t="s">
        <v>33</v>
      </c>
      <c r="G2330" s="1">
        <v>335287</v>
      </c>
      <c r="H2330" s="63">
        <v>45042</v>
      </c>
      <c r="J2330" s="1"/>
      <c r="K2330" s="1"/>
      <c r="L2330" s="1" t="s">
        <v>29</v>
      </c>
      <c r="M2330" s="1" t="s">
        <v>30</v>
      </c>
      <c r="N2330" s="1" t="str">
        <f t="shared" si="36"/>
        <v>Normal</v>
      </c>
    </row>
    <row r="2331" spans="1:14" x14ac:dyDescent="0.25">
      <c r="A2331" s="1" t="s">
        <v>3579</v>
      </c>
      <c r="B2331" s="1" t="s">
        <v>98</v>
      </c>
      <c r="C2331" s="1" t="s">
        <v>135</v>
      </c>
      <c r="D2331" s="1" t="s">
        <v>90</v>
      </c>
      <c r="E2331" s="1" t="s">
        <v>94</v>
      </c>
      <c r="F2331" s="1" t="s">
        <v>53</v>
      </c>
      <c r="G2331" s="1">
        <v>71260</v>
      </c>
      <c r="H2331" s="63">
        <v>45696</v>
      </c>
      <c r="J2331" s="1"/>
      <c r="K2331" s="1">
        <v>4.5999999999999996</v>
      </c>
      <c r="L2331" s="1" t="s">
        <v>96</v>
      </c>
      <c r="M2331" s="1" t="s">
        <v>63</v>
      </c>
      <c r="N2331" s="1" t="str">
        <f t="shared" si="36"/>
        <v>Normal</v>
      </c>
    </row>
    <row r="2332" spans="1:14" x14ac:dyDescent="0.25">
      <c r="A2332" s="1" t="s">
        <v>3580</v>
      </c>
      <c r="B2332" s="1" t="s">
        <v>44</v>
      </c>
      <c r="C2332" s="1" t="s">
        <v>620</v>
      </c>
      <c r="D2332" s="1" t="s">
        <v>46</v>
      </c>
      <c r="E2332" s="1" t="s">
        <v>47</v>
      </c>
      <c r="F2332" s="1" t="s">
        <v>129</v>
      </c>
      <c r="G2332" s="1">
        <v>383539</v>
      </c>
      <c r="H2332" s="63">
        <v>45180</v>
      </c>
      <c r="J2332" s="1"/>
      <c r="K2332" s="1">
        <v>13.8</v>
      </c>
      <c r="L2332" s="1" t="s">
        <v>20</v>
      </c>
      <c r="M2332" s="1" t="s">
        <v>102</v>
      </c>
      <c r="N2332" s="1" t="str">
        <f t="shared" si="36"/>
        <v>Normal</v>
      </c>
    </row>
    <row r="2333" spans="1:14" x14ac:dyDescent="0.25">
      <c r="A2333" s="1" t="s">
        <v>3581</v>
      </c>
      <c r="B2333" s="1" t="s">
        <v>37</v>
      </c>
      <c r="C2333" s="1" t="s">
        <v>967</v>
      </c>
      <c r="D2333" s="1" t="s">
        <v>25</v>
      </c>
      <c r="E2333" s="1" t="s">
        <v>72</v>
      </c>
      <c r="F2333" s="1" t="s">
        <v>18</v>
      </c>
      <c r="G2333" s="1">
        <v>82405</v>
      </c>
      <c r="H2333" s="63">
        <v>45699</v>
      </c>
      <c r="I2333" s="63">
        <v>45836</v>
      </c>
      <c r="J2333" s="1">
        <v>137</v>
      </c>
      <c r="K2333" s="1">
        <v>0.8</v>
      </c>
      <c r="L2333" s="1" t="s">
        <v>49</v>
      </c>
      <c r="M2333" s="1" t="s">
        <v>63</v>
      </c>
      <c r="N2333" s="1" t="str">
        <f t="shared" si="36"/>
        <v>Normal</v>
      </c>
    </row>
    <row r="2334" spans="1:14" x14ac:dyDescent="0.25">
      <c r="A2334" s="1" t="s">
        <v>3582</v>
      </c>
      <c r="B2334" s="1" t="s">
        <v>127</v>
      </c>
      <c r="C2334" s="1" t="s">
        <v>1558</v>
      </c>
      <c r="D2334" s="1" t="s">
        <v>46</v>
      </c>
      <c r="E2334" s="1" t="s">
        <v>17</v>
      </c>
      <c r="F2334" s="1" t="s">
        <v>27</v>
      </c>
      <c r="G2334" s="1">
        <v>205189</v>
      </c>
      <c r="H2334" s="63">
        <v>45095</v>
      </c>
      <c r="J2334" s="1"/>
      <c r="K2334" s="1">
        <v>1.4</v>
      </c>
      <c r="L2334" s="1" t="s">
        <v>20</v>
      </c>
      <c r="M2334" s="1" t="s">
        <v>30</v>
      </c>
      <c r="N2334" s="1" t="str">
        <f t="shared" si="36"/>
        <v>Normal</v>
      </c>
    </row>
    <row r="2335" spans="1:14" x14ac:dyDescent="0.25">
      <c r="A2335" s="1" t="s">
        <v>3584</v>
      </c>
      <c r="B2335" s="1" t="s">
        <v>109</v>
      </c>
      <c r="C2335" s="1" t="s">
        <v>160</v>
      </c>
      <c r="D2335" s="1" t="s">
        <v>67</v>
      </c>
      <c r="E2335" s="1" t="s">
        <v>17</v>
      </c>
      <c r="F2335" s="1" t="s">
        <v>129</v>
      </c>
      <c r="G2335" s="1">
        <v>461042</v>
      </c>
      <c r="H2335" s="63">
        <v>45627</v>
      </c>
      <c r="J2335" s="1"/>
      <c r="K2335" s="1">
        <v>11.1</v>
      </c>
      <c r="L2335" s="1" t="s">
        <v>96</v>
      </c>
      <c r="M2335" s="1" t="s">
        <v>42</v>
      </c>
      <c r="N2335" s="1" t="str">
        <f t="shared" si="36"/>
        <v>Normal</v>
      </c>
    </row>
    <row r="2336" spans="1:14" x14ac:dyDescent="0.25">
      <c r="A2336" s="1" t="s">
        <v>3585</v>
      </c>
      <c r="B2336" s="1" t="s">
        <v>75</v>
      </c>
      <c r="C2336" s="1" t="s">
        <v>186</v>
      </c>
      <c r="D2336" s="1" t="s">
        <v>39</v>
      </c>
      <c r="E2336" s="1" t="s">
        <v>26</v>
      </c>
      <c r="F2336" s="1" t="s">
        <v>53</v>
      </c>
      <c r="G2336" s="1">
        <v>42901</v>
      </c>
      <c r="H2336" s="63">
        <v>45303</v>
      </c>
      <c r="J2336" s="1"/>
      <c r="K2336" s="1">
        <v>14.2</v>
      </c>
      <c r="L2336" s="1" t="s">
        <v>29</v>
      </c>
      <c r="M2336" s="1" t="s">
        <v>69</v>
      </c>
      <c r="N2336" s="1" t="str">
        <f t="shared" si="36"/>
        <v>Normal</v>
      </c>
    </row>
    <row r="2337" spans="1:14" x14ac:dyDescent="0.25">
      <c r="A2337" s="1" t="s">
        <v>3586</v>
      </c>
      <c r="B2337" s="1" t="s">
        <v>14</v>
      </c>
      <c r="C2337" s="1" t="s">
        <v>767</v>
      </c>
      <c r="D2337" s="1" t="s">
        <v>25</v>
      </c>
      <c r="E2337" s="1" t="s">
        <v>77</v>
      </c>
      <c r="F2337" s="1" t="s">
        <v>129</v>
      </c>
      <c r="G2337" s="1">
        <v>107483</v>
      </c>
      <c r="H2337" s="63">
        <v>45219</v>
      </c>
      <c r="J2337" s="1"/>
      <c r="K2337" s="1">
        <v>12.8</v>
      </c>
      <c r="L2337" s="1" t="s">
        <v>20</v>
      </c>
      <c r="M2337" s="1" t="s">
        <v>21</v>
      </c>
      <c r="N2337" s="1" t="str">
        <f t="shared" si="36"/>
        <v>Normal</v>
      </c>
    </row>
    <row r="2338" spans="1:14" x14ac:dyDescent="0.25">
      <c r="A2338" s="1" t="s">
        <v>3587</v>
      </c>
      <c r="B2338" s="1" t="s">
        <v>37</v>
      </c>
      <c r="C2338" s="1" t="s">
        <v>497</v>
      </c>
      <c r="D2338" s="1" t="s">
        <v>90</v>
      </c>
      <c r="E2338" s="1" t="s">
        <v>100</v>
      </c>
      <c r="F2338" s="1" t="s">
        <v>129</v>
      </c>
      <c r="G2338" s="1">
        <v>240614</v>
      </c>
      <c r="H2338" s="63">
        <v>45085</v>
      </c>
      <c r="J2338" s="1"/>
      <c r="K2338" s="1">
        <v>11.2</v>
      </c>
      <c r="L2338" s="1" t="s">
        <v>29</v>
      </c>
      <c r="M2338" s="1" t="s">
        <v>30</v>
      </c>
      <c r="N2338" s="1" t="str">
        <f t="shared" si="36"/>
        <v>Normal</v>
      </c>
    </row>
    <row r="2339" spans="1:14" x14ac:dyDescent="0.25">
      <c r="A2339" s="1" t="s">
        <v>3588</v>
      </c>
      <c r="B2339" s="1" t="s">
        <v>84</v>
      </c>
      <c r="C2339" s="1" t="s">
        <v>71</v>
      </c>
      <c r="D2339" s="1" t="s">
        <v>46</v>
      </c>
      <c r="E2339" s="1" t="s">
        <v>72</v>
      </c>
      <c r="F2339" s="1" t="s">
        <v>18</v>
      </c>
      <c r="G2339" s="1">
        <v>331547</v>
      </c>
      <c r="H2339" s="63">
        <v>45059</v>
      </c>
      <c r="I2339" s="63">
        <v>45228</v>
      </c>
      <c r="J2339" s="1">
        <v>169</v>
      </c>
      <c r="K2339" s="1"/>
      <c r="L2339" s="1" t="s">
        <v>20</v>
      </c>
      <c r="M2339" s="1" t="s">
        <v>30</v>
      </c>
      <c r="N2339" s="1" t="str">
        <f t="shared" si="36"/>
        <v>Normal</v>
      </c>
    </row>
    <row r="2340" spans="1:14" x14ac:dyDescent="0.25">
      <c r="A2340" s="1" t="s">
        <v>3589</v>
      </c>
      <c r="B2340" s="1" t="s">
        <v>23</v>
      </c>
      <c r="C2340" s="1" t="s">
        <v>1842</v>
      </c>
      <c r="D2340" s="1" t="s">
        <v>16</v>
      </c>
      <c r="E2340" s="1" t="s">
        <v>47</v>
      </c>
      <c r="F2340" s="1" t="s">
        <v>40</v>
      </c>
      <c r="G2340" s="1">
        <v>121598</v>
      </c>
      <c r="H2340" s="63">
        <v>45547</v>
      </c>
      <c r="I2340" s="63">
        <v>45573</v>
      </c>
      <c r="J2340" s="1">
        <v>26</v>
      </c>
      <c r="K2340" s="1">
        <v>5.0999999999999996</v>
      </c>
      <c r="L2340" s="1" t="s">
        <v>29</v>
      </c>
      <c r="M2340" s="1" t="s">
        <v>149</v>
      </c>
      <c r="N2340" s="1" t="str">
        <f t="shared" si="36"/>
        <v>Normal</v>
      </c>
    </row>
    <row r="2341" spans="1:14" x14ac:dyDescent="0.25">
      <c r="A2341" s="1" t="s">
        <v>3591</v>
      </c>
      <c r="B2341" s="1" t="s">
        <v>127</v>
      </c>
      <c r="C2341" s="1" t="s">
        <v>620</v>
      </c>
      <c r="D2341" s="1" t="s">
        <v>90</v>
      </c>
      <c r="E2341" s="1" t="s">
        <v>100</v>
      </c>
      <c r="F2341" s="1" t="s">
        <v>18</v>
      </c>
      <c r="G2341" s="1">
        <v>245245</v>
      </c>
      <c r="H2341" s="63">
        <v>45183</v>
      </c>
      <c r="I2341" s="63">
        <v>45232</v>
      </c>
      <c r="J2341" s="1">
        <v>49</v>
      </c>
      <c r="K2341" s="1">
        <v>9.8000000000000007</v>
      </c>
      <c r="L2341" s="1" t="s">
        <v>29</v>
      </c>
      <c r="M2341" s="1" t="s">
        <v>102</v>
      </c>
      <c r="N2341" s="1" t="str">
        <f t="shared" si="36"/>
        <v>Normal</v>
      </c>
    </row>
    <row r="2342" spans="1:14" x14ac:dyDescent="0.25">
      <c r="A2342" s="1" t="s">
        <v>3592</v>
      </c>
      <c r="B2342" s="1" t="s">
        <v>44</v>
      </c>
      <c r="C2342" s="1" t="s">
        <v>466</v>
      </c>
      <c r="D2342" s="1" t="s">
        <v>46</v>
      </c>
      <c r="E2342" s="1" t="s">
        <v>17</v>
      </c>
      <c r="F2342" s="1" t="s">
        <v>27</v>
      </c>
      <c r="G2342" s="1">
        <v>145006</v>
      </c>
      <c r="H2342" s="63">
        <v>45651</v>
      </c>
      <c r="J2342" s="1"/>
      <c r="K2342" s="1">
        <v>7.8</v>
      </c>
      <c r="L2342" s="1" t="s">
        <v>20</v>
      </c>
      <c r="M2342" s="1" t="s">
        <v>42</v>
      </c>
      <c r="N2342" s="1" t="str">
        <f t="shared" si="36"/>
        <v>Normal</v>
      </c>
    </row>
    <row r="2343" spans="1:14" x14ac:dyDescent="0.25">
      <c r="A2343" s="1" t="s">
        <v>3593</v>
      </c>
      <c r="B2343" s="1" t="s">
        <v>98</v>
      </c>
      <c r="C2343" s="1" t="s">
        <v>224</v>
      </c>
      <c r="D2343" s="1" t="s">
        <v>16</v>
      </c>
      <c r="E2343" s="1" t="s">
        <v>17</v>
      </c>
      <c r="F2343" s="1" t="s">
        <v>18</v>
      </c>
      <c r="G2343" s="1">
        <v>369674</v>
      </c>
      <c r="H2343" s="63">
        <v>45077</v>
      </c>
      <c r="I2343" s="63">
        <v>45103</v>
      </c>
      <c r="J2343" s="1">
        <v>26</v>
      </c>
      <c r="K2343" s="1"/>
      <c r="L2343" s="1" t="s">
        <v>20</v>
      </c>
      <c r="M2343" s="1" t="s">
        <v>30</v>
      </c>
      <c r="N2343" s="1" t="str">
        <f t="shared" si="36"/>
        <v>Normal</v>
      </c>
    </row>
    <row r="2344" spans="1:14" x14ac:dyDescent="0.25">
      <c r="A2344" s="1" t="s">
        <v>3594</v>
      </c>
      <c r="B2344" s="1" t="s">
        <v>59</v>
      </c>
      <c r="C2344" s="1" t="s">
        <v>162</v>
      </c>
      <c r="D2344" s="1" t="s">
        <v>39</v>
      </c>
      <c r="E2344" s="1" t="s">
        <v>47</v>
      </c>
      <c r="F2344" s="1" t="s">
        <v>33</v>
      </c>
      <c r="G2344" s="1">
        <v>125259</v>
      </c>
      <c r="H2344" s="63">
        <v>44944</v>
      </c>
      <c r="J2344" s="1"/>
      <c r="K2344" s="1">
        <v>3</v>
      </c>
      <c r="L2344" s="1" t="s">
        <v>49</v>
      </c>
      <c r="M2344" s="1" t="s">
        <v>35</v>
      </c>
      <c r="N2344" s="1" t="str">
        <f t="shared" si="36"/>
        <v>Normal</v>
      </c>
    </row>
    <row r="2345" spans="1:14" x14ac:dyDescent="0.25">
      <c r="A2345" s="1" t="s">
        <v>3595</v>
      </c>
      <c r="B2345" s="1" t="s">
        <v>14</v>
      </c>
      <c r="C2345" s="1" t="s">
        <v>676</v>
      </c>
      <c r="D2345" s="1" t="s">
        <v>90</v>
      </c>
      <c r="E2345" s="1" t="s">
        <v>77</v>
      </c>
      <c r="F2345" s="1" t="s">
        <v>53</v>
      </c>
      <c r="G2345" s="1">
        <v>305272</v>
      </c>
      <c r="H2345" s="63">
        <v>44941</v>
      </c>
      <c r="J2345" s="1"/>
      <c r="K2345" s="1">
        <v>6.9</v>
      </c>
      <c r="L2345" s="1" t="s">
        <v>29</v>
      </c>
      <c r="M2345" s="1" t="s">
        <v>35</v>
      </c>
      <c r="N2345" s="1" t="str">
        <f t="shared" si="36"/>
        <v>Normal</v>
      </c>
    </row>
    <row r="2346" spans="1:14" x14ac:dyDescent="0.25">
      <c r="A2346" s="1" t="s">
        <v>3596</v>
      </c>
      <c r="B2346" s="1" t="s">
        <v>173</v>
      </c>
      <c r="C2346" s="1" t="s">
        <v>177</v>
      </c>
      <c r="D2346" s="1" t="s">
        <v>46</v>
      </c>
      <c r="E2346" s="1" t="s">
        <v>47</v>
      </c>
      <c r="F2346" s="1" t="s">
        <v>27</v>
      </c>
      <c r="G2346" s="1">
        <v>87920</v>
      </c>
      <c r="H2346" s="63">
        <v>45114</v>
      </c>
      <c r="J2346" s="1"/>
      <c r="K2346" s="1"/>
      <c r="L2346" s="1" t="s">
        <v>20</v>
      </c>
      <c r="M2346" s="1" t="s">
        <v>102</v>
      </c>
      <c r="N2346" s="1" t="str">
        <f t="shared" si="36"/>
        <v>Normal</v>
      </c>
    </row>
    <row r="2347" spans="1:14" x14ac:dyDescent="0.25">
      <c r="A2347" s="1" t="s">
        <v>3597</v>
      </c>
      <c r="B2347" s="1" t="s">
        <v>44</v>
      </c>
      <c r="C2347" s="1" t="s">
        <v>552</v>
      </c>
      <c r="D2347" s="1" t="s">
        <v>16</v>
      </c>
      <c r="E2347" s="1" t="s">
        <v>72</v>
      </c>
      <c r="F2347" s="1" t="s">
        <v>18</v>
      </c>
      <c r="G2347" s="1">
        <v>294337</v>
      </c>
      <c r="H2347" s="63">
        <v>45695</v>
      </c>
      <c r="I2347" s="63">
        <v>45813</v>
      </c>
      <c r="J2347" s="1">
        <v>118</v>
      </c>
      <c r="K2347" s="1"/>
      <c r="L2347" s="1" t="s">
        <v>49</v>
      </c>
      <c r="M2347" s="1" t="s">
        <v>63</v>
      </c>
      <c r="N2347" s="1" t="str">
        <f t="shared" si="36"/>
        <v>Normal</v>
      </c>
    </row>
    <row r="2348" spans="1:14" x14ac:dyDescent="0.25">
      <c r="A2348" s="1" t="s">
        <v>3598</v>
      </c>
      <c r="B2348" s="1" t="s">
        <v>59</v>
      </c>
      <c r="C2348" s="1" t="s">
        <v>471</v>
      </c>
      <c r="D2348" s="1" t="s">
        <v>90</v>
      </c>
      <c r="E2348" s="1" t="s">
        <v>77</v>
      </c>
      <c r="F2348" s="1" t="s">
        <v>129</v>
      </c>
      <c r="G2348" s="1">
        <v>452500</v>
      </c>
      <c r="H2348" s="63">
        <v>45668</v>
      </c>
      <c r="J2348" s="1"/>
      <c r="K2348" s="1">
        <v>14.3</v>
      </c>
      <c r="L2348" s="1" t="s">
        <v>29</v>
      </c>
      <c r="M2348" s="1" t="s">
        <v>63</v>
      </c>
      <c r="N2348" s="1" t="str">
        <f t="shared" si="36"/>
        <v>Normal</v>
      </c>
    </row>
    <row r="2349" spans="1:14" x14ac:dyDescent="0.25">
      <c r="A2349" s="1" t="s">
        <v>3599</v>
      </c>
      <c r="B2349" s="1" t="s">
        <v>173</v>
      </c>
      <c r="C2349" s="1" t="s">
        <v>987</v>
      </c>
      <c r="D2349" s="1" t="s">
        <v>90</v>
      </c>
      <c r="E2349" s="1" t="s">
        <v>72</v>
      </c>
      <c r="F2349" s="1" t="s">
        <v>40</v>
      </c>
      <c r="G2349" s="1">
        <v>490314</v>
      </c>
      <c r="H2349" s="63">
        <v>45059</v>
      </c>
      <c r="I2349" s="63">
        <v>45141</v>
      </c>
      <c r="J2349" s="1">
        <v>82</v>
      </c>
      <c r="K2349" s="1">
        <v>23.4</v>
      </c>
      <c r="L2349" s="1" t="s">
        <v>49</v>
      </c>
      <c r="M2349" s="1" t="s">
        <v>30</v>
      </c>
      <c r="N2349" s="1" t="str">
        <f t="shared" si="36"/>
        <v>Normal</v>
      </c>
    </row>
    <row r="2350" spans="1:14" x14ac:dyDescent="0.25">
      <c r="A2350" s="1" t="s">
        <v>3600</v>
      </c>
      <c r="B2350" s="1" t="s">
        <v>173</v>
      </c>
      <c r="C2350" s="1" t="s">
        <v>980</v>
      </c>
      <c r="D2350" s="1" t="s">
        <v>16</v>
      </c>
      <c r="E2350" s="1" t="s">
        <v>17</v>
      </c>
      <c r="F2350" s="1" t="s">
        <v>40</v>
      </c>
      <c r="G2350" s="1">
        <v>466056</v>
      </c>
      <c r="H2350" s="63">
        <v>45512</v>
      </c>
      <c r="I2350" s="63">
        <v>45656</v>
      </c>
      <c r="J2350" s="1">
        <v>144</v>
      </c>
      <c r="K2350" s="1">
        <v>12.4</v>
      </c>
      <c r="L2350" s="1" t="s">
        <v>96</v>
      </c>
      <c r="M2350" s="1" t="s">
        <v>149</v>
      </c>
      <c r="N2350" s="1" t="str">
        <f t="shared" si="36"/>
        <v>Normal</v>
      </c>
    </row>
    <row r="2351" spans="1:14" x14ac:dyDescent="0.25">
      <c r="A2351" s="1" t="s">
        <v>3601</v>
      </c>
      <c r="B2351" s="1" t="s">
        <v>88</v>
      </c>
      <c r="C2351" s="1" t="s">
        <v>401</v>
      </c>
      <c r="D2351" s="1" t="s">
        <v>16</v>
      </c>
      <c r="E2351" s="1" t="s">
        <v>100</v>
      </c>
      <c r="F2351" s="1" t="s">
        <v>33</v>
      </c>
      <c r="G2351" s="1">
        <v>434753</v>
      </c>
      <c r="H2351" s="63">
        <v>45533</v>
      </c>
      <c r="J2351" s="1"/>
      <c r="K2351" s="1"/>
      <c r="L2351" s="1" t="s">
        <v>29</v>
      </c>
      <c r="M2351" s="1" t="s">
        <v>149</v>
      </c>
      <c r="N2351" s="1" t="str">
        <f t="shared" si="36"/>
        <v>Normal</v>
      </c>
    </row>
    <row r="2352" spans="1:14" x14ac:dyDescent="0.25">
      <c r="A2352" s="1" t="s">
        <v>3602</v>
      </c>
      <c r="B2352" s="1" t="s">
        <v>59</v>
      </c>
      <c r="C2352" s="1" t="s">
        <v>805</v>
      </c>
      <c r="D2352" s="1" t="s">
        <v>46</v>
      </c>
      <c r="E2352" s="1" t="s">
        <v>17</v>
      </c>
      <c r="F2352" s="1" t="s">
        <v>53</v>
      </c>
      <c r="G2352" s="1">
        <v>470732</v>
      </c>
      <c r="H2352" s="63">
        <v>45300</v>
      </c>
      <c r="J2352" s="1"/>
      <c r="K2352" s="1">
        <v>10.199999999999999</v>
      </c>
      <c r="L2352" s="1" t="s">
        <v>49</v>
      </c>
      <c r="M2352" s="1" t="s">
        <v>69</v>
      </c>
      <c r="N2352" s="1" t="str">
        <f t="shared" si="36"/>
        <v>Normal</v>
      </c>
    </row>
    <row r="2353" spans="1:14" x14ac:dyDescent="0.25">
      <c r="A2353" s="1" t="s">
        <v>3604</v>
      </c>
      <c r="B2353" s="1" t="s">
        <v>109</v>
      </c>
      <c r="C2353" s="1" t="s">
        <v>93</v>
      </c>
      <c r="D2353" s="1" t="s">
        <v>25</v>
      </c>
      <c r="E2353" s="1" t="s">
        <v>17</v>
      </c>
      <c r="F2353" s="1" t="s">
        <v>129</v>
      </c>
      <c r="G2353" s="1">
        <v>32112</v>
      </c>
      <c r="H2353" s="63">
        <v>45165</v>
      </c>
      <c r="J2353" s="1"/>
      <c r="K2353" s="1">
        <v>14.2</v>
      </c>
      <c r="L2353" s="1" t="s">
        <v>29</v>
      </c>
      <c r="M2353" s="1" t="s">
        <v>102</v>
      </c>
      <c r="N2353" s="1" t="str">
        <f t="shared" si="36"/>
        <v>Normal</v>
      </c>
    </row>
    <row r="2354" spans="1:14" x14ac:dyDescent="0.25">
      <c r="A2354" s="1" t="s">
        <v>3605</v>
      </c>
      <c r="B2354" s="1" t="s">
        <v>65</v>
      </c>
      <c r="C2354" s="1" t="s">
        <v>898</v>
      </c>
      <c r="D2354" s="1" t="s">
        <v>25</v>
      </c>
      <c r="E2354" s="1" t="s">
        <v>17</v>
      </c>
      <c r="F2354" s="1" t="s">
        <v>53</v>
      </c>
      <c r="G2354" s="1">
        <v>267479</v>
      </c>
      <c r="H2354" s="63">
        <v>45219</v>
      </c>
      <c r="J2354" s="1"/>
      <c r="K2354" s="1">
        <v>3.4</v>
      </c>
      <c r="L2354" s="1" t="s">
        <v>20</v>
      </c>
      <c r="M2354" s="1" t="s">
        <v>21</v>
      </c>
      <c r="N2354" s="1" t="str">
        <f t="shared" si="36"/>
        <v>Normal</v>
      </c>
    </row>
    <row r="2355" spans="1:14" x14ac:dyDescent="0.25">
      <c r="A2355" s="1" t="s">
        <v>3606</v>
      </c>
      <c r="B2355" s="1" t="s">
        <v>104</v>
      </c>
      <c r="C2355" s="1" t="s">
        <v>292</v>
      </c>
      <c r="D2355" s="1" t="s">
        <v>39</v>
      </c>
      <c r="E2355" s="1" t="s">
        <v>17</v>
      </c>
      <c r="F2355" s="1" t="s">
        <v>27</v>
      </c>
      <c r="G2355" s="1">
        <v>346275</v>
      </c>
      <c r="H2355" s="63">
        <v>45062</v>
      </c>
      <c r="J2355" s="1"/>
      <c r="K2355" s="1">
        <v>7.7</v>
      </c>
      <c r="L2355" s="1" t="s">
        <v>20</v>
      </c>
      <c r="M2355" s="1" t="s">
        <v>30</v>
      </c>
      <c r="N2355" s="1" t="str">
        <f t="shared" si="36"/>
        <v>Normal</v>
      </c>
    </row>
    <row r="2356" spans="1:14" x14ac:dyDescent="0.25">
      <c r="A2356" s="1" t="s">
        <v>3607</v>
      </c>
      <c r="B2356" s="1" t="s">
        <v>75</v>
      </c>
      <c r="C2356" s="1" t="s">
        <v>735</v>
      </c>
      <c r="D2356" s="1" t="s">
        <v>46</v>
      </c>
      <c r="E2356" s="1" t="s">
        <v>100</v>
      </c>
      <c r="F2356" s="1" t="s">
        <v>40</v>
      </c>
      <c r="G2356" s="1">
        <v>104311</v>
      </c>
      <c r="H2356" s="63">
        <v>45313</v>
      </c>
      <c r="I2356" s="63">
        <v>45347</v>
      </c>
      <c r="J2356" s="1">
        <v>34</v>
      </c>
      <c r="K2356" s="1">
        <v>6.5</v>
      </c>
      <c r="L2356" s="1" t="s">
        <v>96</v>
      </c>
      <c r="M2356" s="1" t="s">
        <v>69</v>
      </c>
      <c r="N2356" s="1" t="str">
        <f t="shared" si="36"/>
        <v>Normal</v>
      </c>
    </row>
    <row r="2357" spans="1:14" x14ac:dyDescent="0.25">
      <c r="A2357" s="1" t="s">
        <v>3608</v>
      </c>
      <c r="B2357" s="1" t="s">
        <v>59</v>
      </c>
      <c r="C2357" s="1" t="s">
        <v>944</v>
      </c>
      <c r="D2357" s="1" t="s">
        <v>25</v>
      </c>
      <c r="E2357" s="1" t="s">
        <v>4845</v>
      </c>
      <c r="F2357" s="1" t="s">
        <v>53</v>
      </c>
      <c r="G2357" s="1">
        <v>179909</v>
      </c>
      <c r="H2357" s="63">
        <v>45521</v>
      </c>
      <c r="J2357" s="1"/>
      <c r="K2357" s="1">
        <v>5.2</v>
      </c>
      <c r="L2357" s="1" t="s">
        <v>20</v>
      </c>
      <c r="M2357" s="1" t="s">
        <v>149</v>
      </c>
      <c r="N2357" s="1" t="str">
        <f t="shared" si="36"/>
        <v>Normal</v>
      </c>
    </row>
    <row r="2358" spans="1:14" x14ac:dyDescent="0.25">
      <c r="A2358" s="1" t="s">
        <v>3609</v>
      </c>
      <c r="B2358" s="1" t="s">
        <v>14</v>
      </c>
      <c r="C2358" s="1" t="s">
        <v>99</v>
      </c>
      <c r="D2358" s="1" t="s">
        <v>46</v>
      </c>
      <c r="E2358" s="1" t="s">
        <v>94</v>
      </c>
      <c r="F2358" s="1" t="s">
        <v>33</v>
      </c>
      <c r="G2358" s="1">
        <v>97745</v>
      </c>
      <c r="H2358" s="63">
        <v>45525</v>
      </c>
      <c r="J2358" s="1"/>
      <c r="K2358" s="1">
        <v>1.8</v>
      </c>
      <c r="L2358" s="1" t="s">
        <v>96</v>
      </c>
      <c r="M2358" s="1" t="s">
        <v>149</v>
      </c>
      <c r="N2358" s="1" t="str">
        <f t="shared" si="36"/>
        <v>Normal</v>
      </c>
    </row>
    <row r="2359" spans="1:14" x14ac:dyDescent="0.25">
      <c r="A2359" s="1" t="s">
        <v>3610</v>
      </c>
      <c r="B2359" s="1" t="s">
        <v>109</v>
      </c>
      <c r="C2359" s="1" t="s">
        <v>346</v>
      </c>
      <c r="D2359" s="1" t="s">
        <v>67</v>
      </c>
      <c r="E2359" s="1" t="s">
        <v>77</v>
      </c>
      <c r="F2359" s="1" t="s">
        <v>40</v>
      </c>
      <c r="G2359" s="1">
        <v>450805</v>
      </c>
      <c r="H2359" s="63">
        <v>45686</v>
      </c>
      <c r="I2359" s="63">
        <v>45854</v>
      </c>
      <c r="J2359" s="1">
        <v>168</v>
      </c>
      <c r="K2359" s="1">
        <v>4.3</v>
      </c>
      <c r="L2359" s="1" t="s">
        <v>20</v>
      </c>
      <c r="M2359" s="1" t="s">
        <v>63</v>
      </c>
      <c r="N2359" s="1" t="str">
        <f t="shared" si="36"/>
        <v>Normal</v>
      </c>
    </row>
    <row r="2360" spans="1:14" x14ac:dyDescent="0.25">
      <c r="A2360" s="1" t="s">
        <v>3611</v>
      </c>
      <c r="B2360" s="1" t="s">
        <v>127</v>
      </c>
      <c r="C2360" s="1" t="s">
        <v>284</v>
      </c>
      <c r="D2360" s="1" t="s">
        <v>67</v>
      </c>
      <c r="E2360" s="1" t="s">
        <v>61</v>
      </c>
      <c r="F2360" s="1" t="s">
        <v>40</v>
      </c>
      <c r="G2360" s="1">
        <v>405226</v>
      </c>
      <c r="H2360" s="63">
        <v>45583</v>
      </c>
      <c r="I2360" s="63">
        <v>45691</v>
      </c>
      <c r="J2360" s="1">
        <v>108</v>
      </c>
      <c r="K2360" s="1">
        <v>0.7</v>
      </c>
      <c r="L2360" s="1" t="s">
        <v>20</v>
      </c>
      <c r="M2360" s="1" t="s">
        <v>42</v>
      </c>
      <c r="N2360" s="1" t="str">
        <f t="shared" si="36"/>
        <v>Normal</v>
      </c>
    </row>
    <row r="2361" spans="1:14" x14ac:dyDescent="0.25">
      <c r="A2361" s="1" t="s">
        <v>3612</v>
      </c>
      <c r="B2361" s="1" t="s">
        <v>84</v>
      </c>
      <c r="C2361" s="1" t="s">
        <v>287</v>
      </c>
      <c r="D2361" s="1" t="s">
        <v>25</v>
      </c>
      <c r="E2361" s="1" t="s">
        <v>47</v>
      </c>
      <c r="F2361" s="1" t="s">
        <v>40</v>
      </c>
      <c r="G2361" s="1">
        <v>39007</v>
      </c>
      <c r="H2361" s="63">
        <v>45012</v>
      </c>
      <c r="I2361" s="63">
        <v>45107</v>
      </c>
      <c r="J2361" s="1">
        <v>95</v>
      </c>
      <c r="K2361" s="1">
        <v>21.7</v>
      </c>
      <c r="L2361" s="1" t="s">
        <v>20</v>
      </c>
      <c r="M2361" s="1" t="s">
        <v>35</v>
      </c>
      <c r="N2361" s="1" t="str">
        <f t="shared" si="36"/>
        <v>Normal</v>
      </c>
    </row>
    <row r="2362" spans="1:14" x14ac:dyDescent="0.25">
      <c r="A2362" s="1" t="s">
        <v>3613</v>
      </c>
      <c r="B2362" s="1" t="s">
        <v>23</v>
      </c>
      <c r="C2362" s="1" t="s">
        <v>141</v>
      </c>
      <c r="D2362" s="1" t="s">
        <v>90</v>
      </c>
      <c r="E2362" s="1" t="s">
        <v>100</v>
      </c>
      <c r="F2362" s="1" t="s">
        <v>53</v>
      </c>
      <c r="G2362" s="1">
        <v>256394</v>
      </c>
      <c r="H2362" s="63">
        <v>45616</v>
      </c>
      <c r="J2362" s="1"/>
      <c r="K2362" s="1">
        <v>1</v>
      </c>
      <c r="L2362" s="1" t="s">
        <v>29</v>
      </c>
      <c r="M2362" s="1" t="s">
        <v>42</v>
      </c>
      <c r="N2362" s="1" t="str">
        <f t="shared" si="36"/>
        <v>Normal</v>
      </c>
    </row>
    <row r="2363" spans="1:14" x14ac:dyDescent="0.25">
      <c r="A2363" s="1" t="s">
        <v>3614</v>
      </c>
      <c r="B2363" s="1" t="s">
        <v>14</v>
      </c>
      <c r="C2363" s="1" t="s">
        <v>208</v>
      </c>
      <c r="D2363" s="1" t="s">
        <v>25</v>
      </c>
      <c r="E2363" s="1" t="s">
        <v>26</v>
      </c>
      <c r="F2363" s="1" t="s">
        <v>129</v>
      </c>
      <c r="G2363" s="1">
        <v>1571766</v>
      </c>
      <c r="H2363" s="63">
        <v>45285</v>
      </c>
      <c r="J2363" s="1"/>
      <c r="K2363" s="1">
        <v>1.7</v>
      </c>
      <c r="L2363" s="1" t="s">
        <v>20</v>
      </c>
      <c r="M2363" s="1" t="s">
        <v>21</v>
      </c>
      <c r="N2363" s="1" t="str">
        <f t="shared" si="36"/>
        <v>High Outlier</v>
      </c>
    </row>
    <row r="2364" spans="1:14" x14ac:dyDescent="0.25">
      <c r="A2364" s="1" t="s">
        <v>3615</v>
      </c>
      <c r="B2364" s="1" t="s">
        <v>88</v>
      </c>
      <c r="C2364" s="1" t="s">
        <v>390</v>
      </c>
      <c r="D2364" s="1" t="s">
        <v>46</v>
      </c>
      <c r="E2364" s="1" t="s">
        <v>94</v>
      </c>
      <c r="F2364" s="1" t="s">
        <v>129</v>
      </c>
      <c r="G2364" s="1">
        <v>186513</v>
      </c>
      <c r="H2364" s="63">
        <v>45029</v>
      </c>
      <c r="J2364" s="1"/>
      <c r="K2364" s="1">
        <v>2.8</v>
      </c>
      <c r="L2364" s="1" t="s">
        <v>29</v>
      </c>
      <c r="M2364" s="1" t="s">
        <v>30</v>
      </c>
      <c r="N2364" s="1" t="str">
        <f t="shared" si="36"/>
        <v>Normal</v>
      </c>
    </row>
    <row r="2365" spans="1:14" x14ac:dyDescent="0.25">
      <c r="A2365" s="1" t="s">
        <v>3617</v>
      </c>
      <c r="B2365" s="1" t="s">
        <v>44</v>
      </c>
      <c r="C2365" s="1" t="s">
        <v>1470</v>
      </c>
      <c r="D2365" s="1" t="s">
        <v>39</v>
      </c>
      <c r="E2365" s="1" t="s">
        <v>17</v>
      </c>
      <c r="F2365" s="1" t="s">
        <v>40</v>
      </c>
      <c r="G2365" s="1">
        <v>412189</v>
      </c>
      <c r="H2365" s="63">
        <v>45210</v>
      </c>
      <c r="I2365" s="63">
        <v>45344</v>
      </c>
      <c r="J2365" s="1">
        <v>134</v>
      </c>
      <c r="K2365" s="1">
        <v>22</v>
      </c>
      <c r="L2365" s="1" t="s">
        <v>29</v>
      </c>
      <c r="M2365" s="1" t="s">
        <v>21</v>
      </c>
      <c r="N2365" s="1" t="str">
        <f t="shared" si="36"/>
        <v>Normal</v>
      </c>
    </row>
    <row r="2366" spans="1:14" x14ac:dyDescent="0.25">
      <c r="A2366" s="1" t="s">
        <v>3618</v>
      </c>
      <c r="B2366" s="1" t="s">
        <v>104</v>
      </c>
      <c r="C2366" s="1" t="s">
        <v>1172</v>
      </c>
      <c r="D2366" s="1" t="s">
        <v>90</v>
      </c>
      <c r="E2366" s="1" t="s">
        <v>77</v>
      </c>
      <c r="F2366" s="1" t="s">
        <v>27</v>
      </c>
      <c r="G2366" s="1">
        <v>491023</v>
      </c>
      <c r="H2366" s="63">
        <v>45446</v>
      </c>
      <c r="J2366" s="1"/>
      <c r="K2366" s="1">
        <v>10.6</v>
      </c>
      <c r="L2366" s="1" t="s">
        <v>96</v>
      </c>
      <c r="M2366" s="1" t="s">
        <v>107</v>
      </c>
      <c r="N2366" s="1" t="str">
        <f t="shared" si="36"/>
        <v>Normal</v>
      </c>
    </row>
    <row r="2367" spans="1:14" x14ac:dyDescent="0.25">
      <c r="A2367" s="1" t="s">
        <v>3619</v>
      </c>
      <c r="B2367" s="1" t="s">
        <v>65</v>
      </c>
      <c r="C2367" s="1" t="s">
        <v>433</v>
      </c>
      <c r="D2367" s="1" t="s">
        <v>46</v>
      </c>
      <c r="E2367" s="1" t="s">
        <v>94</v>
      </c>
      <c r="F2367" s="1" t="s">
        <v>27</v>
      </c>
      <c r="G2367" s="1">
        <v>452060</v>
      </c>
      <c r="H2367" s="63">
        <v>45614</v>
      </c>
      <c r="J2367" s="1"/>
      <c r="K2367" s="1"/>
      <c r="L2367" s="1" t="s">
        <v>96</v>
      </c>
      <c r="M2367" s="1" t="s">
        <v>42</v>
      </c>
      <c r="N2367" s="1" t="str">
        <f t="shared" si="36"/>
        <v>Normal</v>
      </c>
    </row>
    <row r="2368" spans="1:14" x14ac:dyDescent="0.25">
      <c r="A2368" s="1" t="s">
        <v>3620</v>
      </c>
      <c r="B2368" s="1" t="s">
        <v>44</v>
      </c>
      <c r="C2368" s="1" t="s">
        <v>1334</v>
      </c>
      <c r="D2368" s="1" t="s">
        <v>25</v>
      </c>
      <c r="E2368" s="1" t="s">
        <v>100</v>
      </c>
      <c r="F2368" s="1" t="s">
        <v>129</v>
      </c>
      <c r="G2368" s="1">
        <v>204027</v>
      </c>
      <c r="H2368" s="63">
        <v>45405</v>
      </c>
      <c r="J2368" s="1"/>
      <c r="K2368" s="1">
        <v>11.2</v>
      </c>
      <c r="L2368" s="1" t="s">
        <v>49</v>
      </c>
      <c r="M2368" s="1" t="s">
        <v>107</v>
      </c>
      <c r="N2368" s="1" t="str">
        <f t="shared" si="36"/>
        <v>Normal</v>
      </c>
    </row>
    <row r="2369" spans="1:14" x14ac:dyDescent="0.25">
      <c r="A2369" s="1" t="s">
        <v>3621</v>
      </c>
      <c r="B2369" s="1" t="s">
        <v>59</v>
      </c>
      <c r="C2369" s="1" t="s">
        <v>1157</v>
      </c>
      <c r="D2369" s="1" t="s">
        <v>16</v>
      </c>
      <c r="E2369" s="1" t="s">
        <v>17</v>
      </c>
      <c r="F2369" s="1" t="s">
        <v>40</v>
      </c>
      <c r="G2369" s="1">
        <v>219843</v>
      </c>
      <c r="H2369" s="63">
        <v>45210</v>
      </c>
      <c r="I2369" s="63">
        <v>45306</v>
      </c>
      <c r="J2369" s="1">
        <v>96</v>
      </c>
      <c r="K2369" s="1">
        <v>18.5</v>
      </c>
      <c r="L2369" s="1" t="s">
        <v>29</v>
      </c>
      <c r="M2369" s="1" t="s">
        <v>21</v>
      </c>
      <c r="N2369" s="1" t="str">
        <f t="shared" si="36"/>
        <v>Normal</v>
      </c>
    </row>
    <row r="2370" spans="1:14" x14ac:dyDescent="0.25">
      <c r="A2370" s="1" t="s">
        <v>3622</v>
      </c>
      <c r="B2370" s="1" t="s">
        <v>65</v>
      </c>
      <c r="C2370" s="1" t="s">
        <v>1112</v>
      </c>
      <c r="D2370" s="1" t="s">
        <v>25</v>
      </c>
      <c r="E2370" s="1" t="s">
        <v>61</v>
      </c>
      <c r="F2370" s="1" t="s">
        <v>33</v>
      </c>
      <c r="G2370" s="1">
        <v>423210</v>
      </c>
      <c r="H2370" s="63">
        <v>45398</v>
      </c>
      <c r="J2370" s="1"/>
      <c r="K2370" s="1">
        <v>8.6</v>
      </c>
      <c r="L2370" s="1" t="s">
        <v>20</v>
      </c>
      <c r="M2370" s="1" t="s">
        <v>107</v>
      </c>
      <c r="N2370" s="1" t="str">
        <f t="shared" ref="N2370:N2433" si="37">IF(G2370&gt;$R$5,"High Outlier",IF(G2370&lt;$R$6,"Low Outlier","Normal"))</f>
        <v>Normal</v>
      </c>
    </row>
    <row r="2371" spans="1:14" x14ac:dyDescent="0.25">
      <c r="A2371" s="1" t="s">
        <v>3623</v>
      </c>
      <c r="B2371" s="1" t="s">
        <v>65</v>
      </c>
      <c r="C2371" s="1" t="s">
        <v>89</v>
      </c>
      <c r="D2371" s="1" t="s">
        <v>46</v>
      </c>
      <c r="E2371" s="1" t="s">
        <v>100</v>
      </c>
      <c r="F2371" s="1" t="s">
        <v>27</v>
      </c>
      <c r="G2371" s="1">
        <v>196048</v>
      </c>
      <c r="H2371" s="63">
        <v>45709</v>
      </c>
      <c r="J2371" s="1"/>
      <c r="K2371" s="1">
        <v>6.4</v>
      </c>
      <c r="L2371" s="1" t="s">
        <v>96</v>
      </c>
      <c r="M2371" s="1" t="s">
        <v>63</v>
      </c>
      <c r="N2371" s="1" t="str">
        <f t="shared" si="37"/>
        <v>Normal</v>
      </c>
    </row>
    <row r="2372" spans="1:14" x14ac:dyDescent="0.25">
      <c r="A2372" s="1" t="s">
        <v>3624</v>
      </c>
      <c r="B2372" s="1" t="s">
        <v>98</v>
      </c>
      <c r="C2372" s="1" t="s">
        <v>583</v>
      </c>
      <c r="D2372" s="1" t="s">
        <v>90</v>
      </c>
      <c r="E2372" s="1" t="s">
        <v>26</v>
      </c>
      <c r="F2372" s="1" t="s">
        <v>33</v>
      </c>
      <c r="G2372" s="1">
        <v>392260</v>
      </c>
      <c r="H2372" s="63">
        <v>45003</v>
      </c>
      <c r="J2372" s="1"/>
      <c r="K2372" s="1"/>
      <c r="L2372" s="1" t="s">
        <v>29</v>
      </c>
      <c r="M2372" s="1" t="s">
        <v>35</v>
      </c>
      <c r="N2372" s="1" t="str">
        <f t="shared" si="37"/>
        <v>Normal</v>
      </c>
    </row>
    <row r="2373" spans="1:14" x14ac:dyDescent="0.25">
      <c r="A2373" s="1" t="s">
        <v>3625</v>
      </c>
      <c r="B2373" s="1" t="s">
        <v>75</v>
      </c>
      <c r="C2373" s="1" t="s">
        <v>1172</v>
      </c>
      <c r="D2373" s="1" t="s">
        <v>90</v>
      </c>
      <c r="E2373" s="1" t="s">
        <v>61</v>
      </c>
      <c r="F2373" s="1" t="s">
        <v>129</v>
      </c>
      <c r="G2373" s="1">
        <v>314496</v>
      </c>
      <c r="H2373" s="63">
        <v>45252</v>
      </c>
      <c r="J2373" s="1"/>
      <c r="K2373" s="1"/>
      <c r="L2373" s="1" t="s">
        <v>49</v>
      </c>
      <c r="M2373" s="1" t="s">
        <v>21</v>
      </c>
      <c r="N2373" s="1" t="str">
        <f t="shared" si="37"/>
        <v>Normal</v>
      </c>
    </row>
    <row r="2374" spans="1:14" x14ac:dyDescent="0.25">
      <c r="A2374" s="1" t="s">
        <v>3626</v>
      </c>
      <c r="B2374" s="1" t="s">
        <v>75</v>
      </c>
      <c r="C2374" s="1" t="s">
        <v>724</v>
      </c>
      <c r="D2374" s="1" t="s">
        <v>39</v>
      </c>
      <c r="E2374" s="1" t="s">
        <v>61</v>
      </c>
      <c r="F2374" s="1" t="s">
        <v>33</v>
      </c>
      <c r="G2374" s="1">
        <v>171115</v>
      </c>
      <c r="H2374" s="63">
        <v>45325</v>
      </c>
      <c r="J2374" s="1"/>
      <c r="K2374" s="1"/>
      <c r="L2374" s="1" t="s">
        <v>49</v>
      </c>
      <c r="M2374" s="1" t="s">
        <v>69</v>
      </c>
      <c r="N2374" s="1" t="str">
        <f t="shared" si="37"/>
        <v>Normal</v>
      </c>
    </row>
    <row r="2375" spans="1:14" x14ac:dyDescent="0.25">
      <c r="A2375" s="1" t="s">
        <v>3627</v>
      </c>
      <c r="B2375" s="1" t="s">
        <v>173</v>
      </c>
      <c r="C2375" s="1" t="s">
        <v>255</v>
      </c>
      <c r="D2375" s="1" t="s">
        <v>67</v>
      </c>
      <c r="E2375" s="1" t="s">
        <v>26</v>
      </c>
      <c r="F2375" s="1" t="s">
        <v>33</v>
      </c>
      <c r="G2375" s="1">
        <v>444775</v>
      </c>
      <c r="H2375" s="63">
        <v>45369</v>
      </c>
      <c r="J2375" s="1"/>
      <c r="K2375" s="1"/>
      <c r="L2375" s="1" t="s">
        <v>49</v>
      </c>
      <c r="M2375" s="1" t="s">
        <v>69</v>
      </c>
      <c r="N2375" s="1" t="str">
        <f t="shared" si="37"/>
        <v>Normal</v>
      </c>
    </row>
    <row r="2376" spans="1:14" x14ac:dyDescent="0.25">
      <c r="A2376" s="1" t="s">
        <v>3629</v>
      </c>
      <c r="B2376" s="1" t="s">
        <v>59</v>
      </c>
      <c r="C2376" s="1" t="s">
        <v>160</v>
      </c>
      <c r="D2376" s="1" t="s">
        <v>46</v>
      </c>
      <c r="E2376" s="1" t="s">
        <v>94</v>
      </c>
      <c r="F2376" s="1" t="s">
        <v>53</v>
      </c>
      <c r="G2376" s="1">
        <v>401116</v>
      </c>
      <c r="H2376" s="63">
        <v>45546</v>
      </c>
      <c r="J2376" s="1"/>
      <c r="K2376" s="1">
        <v>12.6</v>
      </c>
      <c r="L2376" s="1" t="s">
        <v>20</v>
      </c>
      <c r="M2376" s="1" t="s">
        <v>149</v>
      </c>
      <c r="N2376" s="1" t="str">
        <f t="shared" si="37"/>
        <v>Normal</v>
      </c>
    </row>
    <row r="2377" spans="1:14" x14ac:dyDescent="0.25">
      <c r="A2377" s="1" t="s">
        <v>3630</v>
      </c>
      <c r="B2377" s="1" t="s">
        <v>23</v>
      </c>
      <c r="C2377" s="1" t="s">
        <v>497</v>
      </c>
      <c r="D2377" s="1" t="s">
        <v>39</v>
      </c>
      <c r="E2377" s="1" t="s">
        <v>72</v>
      </c>
      <c r="F2377" s="1" t="s">
        <v>18</v>
      </c>
      <c r="G2377" s="1">
        <v>317013</v>
      </c>
      <c r="H2377" s="63">
        <v>45584</v>
      </c>
      <c r="I2377" s="63">
        <v>45738</v>
      </c>
      <c r="J2377" s="1">
        <v>154</v>
      </c>
      <c r="K2377" s="1">
        <v>14.7</v>
      </c>
      <c r="L2377" s="1" t="s">
        <v>49</v>
      </c>
      <c r="M2377" s="1" t="s">
        <v>42</v>
      </c>
      <c r="N2377" s="1" t="str">
        <f t="shared" si="37"/>
        <v>Normal</v>
      </c>
    </row>
    <row r="2378" spans="1:14" x14ac:dyDescent="0.25">
      <c r="A2378" s="1" t="s">
        <v>3631</v>
      </c>
      <c r="B2378" s="1" t="s">
        <v>75</v>
      </c>
      <c r="C2378" s="1" t="s">
        <v>355</v>
      </c>
      <c r="D2378" s="1" t="s">
        <v>46</v>
      </c>
      <c r="E2378" s="1" t="s">
        <v>26</v>
      </c>
      <c r="F2378" s="1" t="s">
        <v>33</v>
      </c>
      <c r="G2378" s="1">
        <v>150513</v>
      </c>
      <c r="H2378" s="63">
        <v>45436</v>
      </c>
      <c r="J2378" s="1"/>
      <c r="K2378" s="1">
        <v>7.1</v>
      </c>
      <c r="L2378" s="1" t="s">
        <v>29</v>
      </c>
      <c r="M2378" s="1" t="s">
        <v>107</v>
      </c>
      <c r="N2378" s="1" t="str">
        <f t="shared" si="37"/>
        <v>Normal</v>
      </c>
    </row>
    <row r="2379" spans="1:14" x14ac:dyDescent="0.25">
      <c r="A2379" s="1" t="s">
        <v>3632</v>
      </c>
      <c r="B2379" s="1" t="s">
        <v>65</v>
      </c>
      <c r="C2379" s="1" t="s">
        <v>3227</v>
      </c>
      <c r="D2379" s="1" t="s">
        <v>67</v>
      </c>
      <c r="E2379" s="1" t="s">
        <v>77</v>
      </c>
      <c r="F2379" s="1" t="s">
        <v>53</v>
      </c>
      <c r="G2379" s="1">
        <v>90603</v>
      </c>
      <c r="H2379" s="63">
        <v>45372</v>
      </c>
      <c r="J2379" s="1"/>
      <c r="K2379" s="1">
        <v>3.4</v>
      </c>
      <c r="L2379" s="1" t="s">
        <v>49</v>
      </c>
      <c r="M2379" s="1" t="s">
        <v>69</v>
      </c>
      <c r="N2379" s="1" t="str">
        <f t="shared" si="37"/>
        <v>Normal</v>
      </c>
    </row>
    <row r="2380" spans="1:14" x14ac:dyDescent="0.25">
      <c r="A2380" s="1" t="s">
        <v>3633</v>
      </c>
      <c r="B2380" s="1" t="s">
        <v>88</v>
      </c>
      <c r="C2380" s="1" t="s">
        <v>132</v>
      </c>
      <c r="D2380" s="1" t="s">
        <v>16</v>
      </c>
      <c r="E2380" s="1" t="s">
        <v>17</v>
      </c>
      <c r="F2380" s="1" t="s">
        <v>40</v>
      </c>
      <c r="G2380" s="1">
        <v>188753</v>
      </c>
      <c r="H2380" s="63">
        <v>45563</v>
      </c>
      <c r="I2380" s="63">
        <v>45689</v>
      </c>
      <c r="J2380" s="1">
        <v>126</v>
      </c>
      <c r="K2380" s="1">
        <v>19.600000000000001</v>
      </c>
      <c r="L2380" s="1" t="s">
        <v>96</v>
      </c>
      <c r="M2380" s="1" t="s">
        <v>149</v>
      </c>
      <c r="N2380" s="1" t="str">
        <f t="shared" si="37"/>
        <v>Normal</v>
      </c>
    </row>
    <row r="2381" spans="1:14" x14ac:dyDescent="0.25">
      <c r="A2381" s="1" t="s">
        <v>3634</v>
      </c>
      <c r="B2381" s="1" t="s">
        <v>109</v>
      </c>
      <c r="C2381" s="1" t="s">
        <v>967</v>
      </c>
      <c r="D2381" s="1" t="s">
        <v>16</v>
      </c>
      <c r="E2381" s="1" t="s">
        <v>72</v>
      </c>
      <c r="F2381" s="1" t="s">
        <v>33</v>
      </c>
      <c r="G2381" s="1">
        <v>482804</v>
      </c>
      <c r="H2381" s="63">
        <v>45688</v>
      </c>
      <c r="J2381" s="1"/>
      <c r="K2381" s="1"/>
      <c r="L2381" s="1" t="s">
        <v>96</v>
      </c>
      <c r="M2381" s="1" t="s">
        <v>63</v>
      </c>
      <c r="N2381" s="1" t="str">
        <f t="shared" si="37"/>
        <v>Normal</v>
      </c>
    </row>
    <row r="2382" spans="1:14" x14ac:dyDescent="0.25">
      <c r="A2382" s="1" t="s">
        <v>3636</v>
      </c>
      <c r="B2382" s="1" t="s">
        <v>104</v>
      </c>
      <c r="C2382" s="1" t="s">
        <v>767</v>
      </c>
      <c r="D2382" s="1" t="s">
        <v>39</v>
      </c>
      <c r="E2382" s="1" t="s">
        <v>61</v>
      </c>
      <c r="F2382" s="1" t="s">
        <v>40</v>
      </c>
      <c r="G2382" s="1">
        <v>462094</v>
      </c>
      <c r="H2382" s="63">
        <v>45378</v>
      </c>
      <c r="I2382" s="63">
        <v>45509</v>
      </c>
      <c r="J2382" s="1">
        <v>131</v>
      </c>
      <c r="K2382" s="1">
        <v>9.4</v>
      </c>
      <c r="L2382" s="1" t="s">
        <v>96</v>
      </c>
      <c r="M2382" s="1" t="s">
        <v>69</v>
      </c>
      <c r="N2382" s="1" t="str">
        <f t="shared" si="37"/>
        <v>Normal</v>
      </c>
    </row>
    <row r="2383" spans="1:14" x14ac:dyDescent="0.25">
      <c r="A2383" s="1" t="s">
        <v>3637</v>
      </c>
      <c r="B2383" s="1" t="s">
        <v>23</v>
      </c>
      <c r="C2383" s="1" t="s">
        <v>1410</v>
      </c>
      <c r="D2383" s="1" t="s">
        <v>67</v>
      </c>
      <c r="E2383" s="1" t="s">
        <v>72</v>
      </c>
      <c r="F2383" s="1" t="s">
        <v>18</v>
      </c>
      <c r="G2383" s="1">
        <v>303043</v>
      </c>
      <c r="H2383" s="63">
        <v>45692</v>
      </c>
      <c r="I2383" s="63">
        <v>45730</v>
      </c>
      <c r="J2383" s="1">
        <v>38</v>
      </c>
      <c r="K2383" s="1">
        <v>9.1</v>
      </c>
      <c r="L2383" s="1" t="s">
        <v>96</v>
      </c>
      <c r="M2383" s="1" t="s">
        <v>63</v>
      </c>
      <c r="N2383" s="1" t="str">
        <f t="shared" si="37"/>
        <v>Normal</v>
      </c>
    </row>
    <row r="2384" spans="1:14" x14ac:dyDescent="0.25">
      <c r="A2384" s="1" t="s">
        <v>3638</v>
      </c>
      <c r="B2384" s="1" t="s">
        <v>109</v>
      </c>
      <c r="C2384" s="1" t="s">
        <v>132</v>
      </c>
      <c r="D2384" s="1" t="s">
        <v>46</v>
      </c>
      <c r="E2384" s="1" t="s">
        <v>72</v>
      </c>
      <c r="F2384" s="1" t="s">
        <v>53</v>
      </c>
      <c r="G2384" s="1">
        <v>472571</v>
      </c>
      <c r="H2384" s="63">
        <v>45607</v>
      </c>
      <c r="J2384" s="1"/>
      <c r="K2384" s="1"/>
      <c r="L2384" s="1" t="s">
        <v>20</v>
      </c>
      <c r="M2384" s="1" t="s">
        <v>42</v>
      </c>
      <c r="N2384" s="1" t="str">
        <f t="shared" si="37"/>
        <v>Normal</v>
      </c>
    </row>
    <row r="2385" spans="1:14" x14ac:dyDescent="0.25">
      <c r="A2385" s="1" t="s">
        <v>3639</v>
      </c>
      <c r="B2385" s="1" t="s">
        <v>23</v>
      </c>
      <c r="C2385" s="1" t="s">
        <v>1153</v>
      </c>
      <c r="D2385" s="1" t="s">
        <v>16</v>
      </c>
      <c r="E2385" s="1" t="s">
        <v>77</v>
      </c>
      <c r="F2385" s="1" t="s">
        <v>40</v>
      </c>
      <c r="G2385" s="1">
        <v>154293</v>
      </c>
      <c r="H2385" s="63">
        <v>44941</v>
      </c>
      <c r="I2385" s="63">
        <v>44984</v>
      </c>
      <c r="J2385" s="1">
        <v>43</v>
      </c>
      <c r="K2385" s="1">
        <v>22.8</v>
      </c>
      <c r="L2385" s="1" t="s">
        <v>29</v>
      </c>
      <c r="M2385" s="1" t="s">
        <v>35</v>
      </c>
      <c r="N2385" s="1" t="str">
        <f t="shared" si="37"/>
        <v>Normal</v>
      </c>
    </row>
    <row r="2386" spans="1:14" x14ac:dyDescent="0.25">
      <c r="A2386" s="1" t="s">
        <v>3640</v>
      </c>
      <c r="B2386" s="1" t="s">
        <v>44</v>
      </c>
      <c r="C2386" s="1" t="s">
        <v>85</v>
      </c>
      <c r="D2386" s="1" t="s">
        <v>16</v>
      </c>
      <c r="E2386" s="1" t="s">
        <v>77</v>
      </c>
      <c r="F2386" s="1" t="s">
        <v>18</v>
      </c>
      <c r="G2386" s="1">
        <v>418693</v>
      </c>
      <c r="H2386" s="63">
        <v>45412</v>
      </c>
      <c r="I2386" s="63">
        <v>45493</v>
      </c>
      <c r="J2386" s="1">
        <v>81</v>
      </c>
      <c r="K2386" s="1">
        <v>5.2</v>
      </c>
      <c r="L2386" s="1" t="s">
        <v>29</v>
      </c>
      <c r="M2386" s="1" t="s">
        <v>107</v>
      </c>
      <c r="N2386" s="1" t="str">
        <f t="shared" si="37"/>
        <v>Normal</v>
      </c>
    </row>
    <row r="2387" spans="1:14" x14ac:dyDescent="0.25">
      <c r="A2387" s="1" t="s">
        <v>3641</v>
      </c>
      <c r="B2387" s="1" t="s">
        <v>37</v>
      </c>
      <c r="C2387" s="1" t="s">
        <v>583</v>
      </c>
      <c r="D2387" s="1" t="s">
        <v>46</v>
      </c>
      <c r="E2387" s="1" t="s">
        <v>77</v>
      </c>
      <c r="F2387" s="1" t="s">
        <v>40</v>
      </c>
      <c r="G2387" s="1">
        <v>319580</v>
      </c>
      <c r="H2387" s="63">
        <v>45317</v>
      </c>
      <c r="I2387" s="63">
        <v>45357</v>
      </c>
      <c r="J2387" s="1">
        <v>40</v>
      </c>
      <c r="K2387" s="1">
        <v>3.9</v>
      </c>
      <c r="L2387" s="1" t="s">
        <v>96</v>
      </c>
      <c r="M2387" s="1" t="s">
        <v>69</v>
      </c>
      <c r="N2387" s="1" t="str">
        <f t="shared" si="37"/>
        <v>Normal</v>
      </c>
    </row>
    <row r="2388" spans="1:14" x14ac:dyDescent="0.25">
      <c r="A2388" s="1" t="s">
        <v>3642</v>
      </c>
      <c r="B2388" s="1" t="s">
        <v>44</v>
      </c>
      <c r="C2388" s="1" t="s">
        <v>113</v>
      </c>
      <c r="D2388" s="1" t="s">
        <v>16</v>
      </c>
      <c r="E2388" s="1" t="s">
        <v>94</v>
      </c>
      <c r="F2388" s="1" t="s">
        <v>18</v>
      </c>
      <c r="G2388" s="1">
        <v>31431</v>
      </c>
      <c r="H2388" s="63">
        <v>45089</v>
      </c>
      <c r="I2388" s="63">
        <v>45253</v>
      </c>
      <c r="J2388" s="1">
        <v>164</v>
      </c>
      <c r="K2388" s="1"/>
      <c r="L2388" s="1" t="s">
        <v>96</v>
      </c>
      <c r="M2388" s="1" t="s">
        <v>30</v>
      </c>
      <c r="N2388" s="1" t="str">
        <f t="shared" si="37"/>
        <v>Normal</v>
      </c>
    </row>
    <row r="2389" spans="1:14" x14ac:dyDescent="0.25">
      <c r="A2389" s="1" t="s">
        <v>3643</v>
      </c>
      <c r="B2389" s="1" t="s">
        <v>84</v>
      </c>
      <c r="C2389" s="1" t="s">
        <v>457</v>
      </c>
      <c r="D2389" s="1" t="s">
        <v>39</v>
      </c>
      <c r="E2389" s="1" t="s">
        <v>17</v>
      </c>
      <c r="F2389" s="1" t="s">
        <v>40</v>
      </c>
      <c r="G2389" s="1">
        <v>246647</v>
      </c>
      <c r="H2389" s="63">
        <v>45005</v>
      </c>
      <c r="I2389" s="63">
        <v>45067</v>
      </c>
      <c r="J2389" s="1">
        <v>62</v>
      </c>
      <c r="K2389" s="1">
        <v>2.1</v>
      </c>
      <c r="L2389" s="1" t="s">
        <v>96</v>
      </c>
      <c r="M2389" s="1" t="s">
        <v>35</v>
      </c>
      <c r="N2389" s="1" t="str">
        <f t="shared" si="37"/>
        <v>Normal</v>
      </c>
    </row>
    <row r="2390" spans="1:14" x14ac:dyDescent="0.25">
      <c r="A2390" s="1" t="s">
        <v>3644</v>
      </c>
      <c r="B2390" s="1" t="s">
        <v>37</v>
      </c>
      <c r="C2390" s="1" t="s">
        <v>300</v>
      </c>
      <c r="D2390" s="1" t="s">
        <v>46</v>
      </c>
      <c r="E2390" s="1" t="s">
        <v>61</v>
      </c>
      <c r="F2390" s="1" t="s">
        <v>53</v>
      </c>
      <c r="G2390" s="1">
        <v>164945</v>
      </c>
      <c r="H2390" s="63">
        <v>45475</v>
      </c>
      <c r="J2390" s="1"/>
      <c r="K2390" s="1"/>
      <c r="L2390" s="1" t="s">
        <v>96</v>
      </c>
      <c r="M2390" s="1" t="s">
        <v>149</v>
      </c>
      <c r="N2390" s="1" t="str">
        <f t="shared" si="37"/>
        <v>Normal</v>
      </c>
    </row>
    <row r="2391" spans="1:14" x14ac:dyDescent="0.25">
      <c r="A2391" s="1" t="s">
        <v>3646</v>
      </c>
      <c r="B2391" s="1" t="s">
        <v>173</v>
      </c>
      <c r="C2391" s="1" t="s">
        <v>1112</v>
      </c>
      <c r="D2391" s="1" t="s">
        <v>67</v>
      </c>
      <c r="E2391" s="1" t="s">
        <v>17</v>
      </c>
      <c r="F2391" s="1" t="s">
        <v>53</v>
      </c>
      <c r="G2391" s="1">
        <v>364816</v>
      </c>
      <c r="H2391" s="63">
        <v>45480</v>
      </c>
      <c r="J2391" s="1"/>
      <c r="K2391" s="1">
        <v>13.2</v>
      </c>
      <c r="L2391" s="1" t="s">
        <v>29</v>
      </c>
      <c r="M2391" s="1" t="s">
        <v>149</v>
      </c>
      <c r="N2391" s="1" t="str">
        <f t="shared" si="37"/>
        <v>Normal</v>
      </c>
    </row>
    <row r="2392" spans="1:14" x14ac:dyDescent="0.25">
      <c r="A2392" s="1" t="s">
        <v>3647</v>
      </c>
      <c r="B2392" s="1" t="s">
        <v>37</v>
      </c>
      <c r="C2392" s="1" t="s">
        <v>693</v>
      </c>
      <c r="D2392" s="1" t="s">
        <v>67</v>
      </c>
      <c r="E2392" s="1" t="s">
        <v>94</v>
      </c>
      <c r="F2392" s="1" t="s">
        <v>18</v>
      </c>
      <c r="G2392" s="1">
        <v>356861</v>
      </c>
      <c r="H2392" s="63">
        <v>45641</v>
      </c>
      <c r="I2392" s="63">
        <v>45808</v>
      </c>
      <c r="J2392" s="1">
        <v>167</v>
      </c>
      <c r="K2392" s="1"/>
      <c r="L2392" s="1" t="s">
        <v>20</v>
      </c>
      <c r="M2392" s="1" t="s">
        <v>42</v>
      </c>
      <c r="N2392" s="1" t="str">
        <f t="shared" si="37"/>
        <v>Normal</v>
      </c>
    </row>
    <row r="2393" spans="1:14" x14ac:dyDescent="0.25">
      <c r="A2393" s="1" t="s">
        <v>3648</v>
      </c>
      <c r="B2393" s="1" t="s">
        <v>80</v>
      </c>
      <c r="C2393" s="1" t="s">
        <v>852</v>
      </c>
      <c r="D2393" s="1" t="s">
        <v>67</v>
      </c>
      <c r="E2393" s="1" t="s">
        <v>26</v>
      </c>
      <c r="F2393" s="1" t="s">
        <v>27</v>
      </c>
      <c r="G2393" s="1">
        <v>488204</v>
      </c>
      <c r="H2393" s="63">
        <v>45318</v>
      </c>
      <c r="J2393" s="1"/>
      <c r="K2393" s="1">
        <v>7.7</v>
      </c>
      <c r="L2393" s="1" t="s">
        <v>96</v>
      </c>
      <c r="M2393" s="1" t="s">
        <v>69</v>
      </c>
      <c r="N2393" s="1" t="str">
        <f t="shared" si="37"/>
        <v>Normal</v>
      </c>
    </row>
    <row r="2394" spans="1:14" x14ac:dyDescent="0.25">
      <c r="A2394" s="1" t="s">
        <v>3649</v>
      </c>
      <c r="B2394" s="1" t="s">
        <v>14</v>
      </c>
      <c r="C2394" s="1" t="s">
        <v>300</v>
      </c>
      <c r="D2394" s="1" t="s">
        <v>46</v>
      </c>
      <c r="E2394" s="1" t="s">
        <v>61</v>
      </c>
      <c r="F2394" s="1" t="s">
        <v>40</v>
      </c>
      <c r="G2394" s="1">
        <v>337191</v>
      </c>
      <c r="H2394" s="63">
        <v>45313</v>
      </c>
      <c r="I2394" s="63">
        <v>45330</v>
      </c>
      <c r="J2394" s="1">
        <v>17</v>
      </c>
      <c r="K2394" s="1">
        <v>13</v>
      </c>
      <c r="L2394" s="1" t="s">
        <v>20</v>
      </c>
      <c r="M2394" s="1" t="s">
        <v>69</v>
      </c>
      <c r="N2394" s="1" t="str">
        <f t="shared" si="37"/>
        <v>Normal</v>
      </c>
    </row>
    <row r="2395" spans="1:14" x14ac:dyDescent="0.25">
      <c r="A2395" s="1" t="s">
        <v>3650</v>
      </c>
      <c r="B2395" s="1" t="s">
        <v>37</v>
      </c>
      <c r="C2395" s="1" t="s">
        <v>474</v>
      </c>
      <c r="D2395" s="1" t="s">
        <v>16</v>
      </c>
      <c r="E2395" s="1" t="s">
        <v>17</v>
      </c>
      <c r="F2395" s="1" t="s">
        <v>33</v>
      </c>
      <c r="G2395" s="1">
        <v>12141</v>
      </c>
      <c r="H2395" s="63">
        <v>45113</v>
      </c>
      <c r="J2395" s="1"/>
      <c r="K2395" s="1">
        <v>10.3</v>
      </c>
      <c r="L2395" s="1" t="s">
        <v>29</v>
      </c>
      <c r="M2395" s="1" t="s">
        <v>102</v>
      </c>
      <c r="N2395" s="1" t="str">
        <f t="shared" si="37"/>
        <v>Normal</v>
      </c>
    </row>
    <row r="2396" spans="1:14" x14ac:dyDescent="0.25">
      <c r="A2396" s="1" t="s">
        <v>3651</v>
      </c>
      <c r="B2396" s="1" t="s">
        <v>44</v>
      </c>
      <c r="C2396" s="1" t="s">
        <v>1842</v>
      </c>
      <c r="D2396" s="1" t="s">
        <v>16</v>
      </c>
      <c r="E2396" s="1" t="s">
        <v>61</v>
      </c>
      <c r="F2396" s="1" t="s">
        <v>40</v>
      </c>
      <c r="G2396" s="1">
        <v>382210</v>
      </c>
      <c r="H2396" s="63">
        <v>45689</v>
      </c>
      <c r="I2396" s="63">
        <v>45744</v>
      </c>
      <c r="J2396" s="1">
        <v>55</v>
      </c>
      <c r="K2396" s="1">
        <v>0.5</v>
      </c>
      <c r="L2396" s="1" t="s">
        <v>29</v>
      </c>
      <c r="M2396" s="1" t="s">
        <v>63</v>
      </c>
      <c r="N2396" s="1" t="str">
        <f t="shared" si="37"/>
        <v>Normal</v>
      </c>
    </row>
    <row r="2397" spans="1:14" x14ac:dyDescent="0.25">
      <c r="A2397" s="1" t="s">
        <v>3652</v>
      </c>
      <c r="B2397" s="1" t="s">
        <v>23</v>
      </c>
      <c r="C2397" s="1" t="s">
        <v>571</v>
      </c>
      <c r="D2397" s="1" t="s">
        <v>46</v>
      </c>
      <c r="E2397" s="1" t="s">
        <v>47</v>
      </c>
      <c r="F2397" s="1" t="s">
        <v>129</v>
      </c>
      <c r="G2397" s="1">
        <v>455899</v>
      </c>
      <c r="H2397" s="63">
        <v>45639</v>
      </c>
      <c r="J2397" s="1"/>
      <c r="K2397" s="1"/>
      <c r="L2397" s="1" t="s">
        <v>29</v>
      </c>
      <c r="M2397" s="1" t="s">
        <v>42</v>
      </c>
      <c r="N2397" s="1" t="str">
        <f t="shared" si="37"/>
        <v>Normal</v>
      </c>
    </row>
    <row r="2398" spans="1:14" x14ac:dyDescent="0.25">
      <c r="A2398" s="1" t="s">
        <v>3653</v>
      </c>
      <c r="B2398" s="1" t="s">
        <v>84</v>
      </c>
      <c r="C2398" s="1" t="s">
        <v>270</v>
      </c>
      <c r="D2398" s="1" t="s">
        <v>90</v>
      </c>
      <c r="E2398" s="1" t="s">
        <v>72</v>
      </c>
      <c r="F2398" s="1" t="s">
        <v>129</v>
      </c>
      <c r="G2398" s="1">
        <v>193276</v>
      </c>
      <c r="H2398" s="63">
        <v>45597</v>
      </c>
      <c r="J2398" s="1"/>
      <c r="K2398" s="1">
        <v>11.7</v>
      </c>
      <c r="L2398" s="1" t="s">
        <v>20</v>
      </c>
      <c r="M2398" s="1" t="s">
        <v>42</v>
      </c>
      <c r="N2398" s="1" t="str">
        <f t="shared" si="37"/>
        <v>Normal</v>
      </c>
    </row>
    <row r="2399" spans="1:14" x14ac:dyDescent="0.25">
      <c r="A2399" s="1" t="s">
        <v>3654</v>
      </c>
      <c r="B2399" s="1" t="s">
        <v>80</v>
      </c>
      <c r="C2399" s="1" t="s">
        <v>273</v>
      </c>
      <c r="D2399" s="1" t="s">
        <v>90</v>
      </c>
      <c r="E2399" s="1" t="s">
        <v>17</v>
      </c>
      <c r="F2399" s="1" t="s">
        <v>27</v>
      </c>
      <c r="G2399" s="1">
        <v>89484</v>
      </c>
      <c r="H2399" s="63">
        <v>45368</v>
      </c>
      <c r="J2399" s="1"/>
      <c r="K2399" s="1">
        <v>13.2</v>
      </c>
      <c r="L2399" s="1" t="s">
        <v>20</v>
      </c>
      <c r="M2399" s="1" t="s">
        <v>69</v>
      </c>
      <c r="N2399" s="1" t="str">
        <f t="shared" si="37"/>
        <v>Normal</v>
      </c>
    </row>
    <row r="2400" spans="1:14" x14ac:dyDescent="0.25">
      <c r="A2400" s="1" t="s">
        <v>3655</v>
      </c>
      <c r="B2400" s="1" t="s">
        <v>98</v>
      </c>
      <c r="C2400" s="1" t="s">
        <v>1057</v>
      </c>
      <c r="D2400" s="1" t="s">
        <v>16</v>
      </c>
      <c r="E2400" s="1" t="s">
        <v>100</v>
      </c>
      <c r="F2400" s="1" t="s">
        <v>18</v>
      </c>
      <c r="G2400" s="1">
        <v>347524</v>
      </c>
      <c r="H2400" s="63">
        <v>45412</v>
      </c>
      <c r="I2400" s="63">
        <v>45554</v>
      </c>
      <c r="J2400" s="1">
        <v>142</v>
      </c>
      <c r="K2400" s="1"/>
      <c r="L2400" s="1" t="s">
        <v>29</v>
      </c>
      <c r="M2400" s="1" t="s">
        <v>107</v>
      </c>
      <c r="N2400" s="1" t="str">
        <f t="shared" si="37"/>
        <v>Normal</v>
      </c>
    </row>
    <row r="2401" spans="1:14" x14ac:dyDescent="0.25">
      <c r="A2401" s="1" t="s">
        <v>3656</v>
      </c>
      <c r="B2401" s="1" t="s">
        <v>109</v>
      </c>
      <c r="C2401" s="1" t="s">
        <v>2091</v>
      </c>
      <c r="D2401" s="1" t="s">
        <v>90</v>
      </c>
      <c r="E2401" s="1" t="s">
        <v>61</v>
      </c>
      <c r="F2401" s="1" t="s">
        <v>27</v>
      </c>
      <c r="G2401" s="1">
        <v>372383</v>
      </c>
      <c r="H2401" s="63">
        <v>45005</v>
      </c>
      <c r="J2401" s="1"/>
      <c r="K2401" s="1">
        <v>6.9</v>
      </c>
      <c r="L2401" s="1" t="s">
        <v>96</v>
      </c>
      <c r="M2401" s="1" t="s">
        <v>35</v>
      </c>
      <c r="N2401" s="1" t="str">
        <f t="shared" si="37"/>
        <v>Normal</v>
      </c>
    </row>
    <row r="2402" spans="1:14" x14ac:dyDescent="0.25">
      <c r="A2402" s="1" t="s">
        <v>3657</v>
      </c>
      <c r="B2402" s="1" t="s">
        <v>104</v>
      </c>
      <c r="C2402" s="1" t="s">
        <v>2006</v>
      </c>
      <c r="D2402" s="1" t="s">
        <v>39</v>
      </c>
      <c r="E2402" s="1" t="s">
        <v>94</v>
      </c>
      <c r="F2402" s="1" t="s">
        <v>33</v>
      </c>
      <c r="G2402" s="1">
        <v>352462</v>
      </c>
      <c r="H2402" s="63">
        <v>44938</v>
      </c>
      <c r="J2402" s="1"/>
      <c r="K2402" s="1"/>
      <c r="L2402" s="1" t="s">
        <v>20</v>
      </c>
      <c r="M2402" s="1" t="s">
        <v>35</v>
      </c>
      <c r="N2402" s="1" t="str">
        <f t="shared" si="37"/>
        <v>Normal</v>
      </c>
    </row>
    <row r="2403" spans="1:14" x14ac:dyDescent="0.25">
      <c r="A2403" s="1" t="s">
        <v>3658</v>
      </c>
      <c r="B2403" s="1" t="s">
        <v>104</v>
      </c>
      <c r="C2403" s="1" t="s">
        <v>1074</v>
      </c>
      <c r="D2403" s="1" t="s">
        <v>90</v>
      </c>
      <c r="E2403" s="1" t="s">
        <v>100</v>
      </c>
      <c r="F2403" s="1" t="s">
        <v>18</v>
      </c>
      <c r="G2403" s="1">
        <v>194939</v>
      </c>
      <c r="H2403" s="63">
        <v>45556</v>
      </c>
      <c r="I2403" s="63">
        <v>45597</v>
      </c>
      <c r="J2403" s="1">
        <v>41</v>
      </c>
      <c r="K2403" s="1">
        <v>10.1</v>
      </c>
      <c r="L2403" s="1" t="s">
        <v>20</v>
      </c>
      <c r="M2403" s="1" t="s">
        <v>149</v>
      </c>
      <c r="N2403" s="1" t="str">
        <f t="shared" si="37"/>
        <v>Normal</v>
      </c>
    </row>
    <row r="2404" spans="1:14" x14ac:dyDescent="0.25">
      <c r="A2404" s="1" t="s">
        <v>3659</v>
      </c>
      <c r="B2404" s="1" t="s">
        <v>59</v>
      </c>
      <c r="C2404" s="1" t="s">
        <v>247</v>
      </c>
      <c r="D2404" s="1" t="s">
        <v>25</v>
      </c>
      <c r="E2404" s="1" t="s">
        <v>17</v>
      </c>
      <c r="F2404" s="1" t="s">
        <v>40</v>
      </c>
      <c r="G2404" s="1">
        <v>189982</v>
      </c>
      <c r="H2404" s="63">
        <v>45473</v>
      </c>
      <c r="I2404" s="63">
        <v>45526</v>
      </c>
      <c r="J2404" s="1">
        <v>53</v>
      </c>
      <c r="K2404" s="1">
        <v>15.9</v>
      </c>
      <c r="L2404" s="1" t="s">
        <v>20</v>
      </c>
      <c r="M2404" s="1" t="s">
        <v>107</v>
      </c>
      <c r="N2404" s="1" t="str">
        <f t="shared" si="37"/>
        <v>Normal</v>
      </c>
    </row>
    <row r="2405" spans="1:14" x14ac:dyDescent="0.25">
      <c r="A2405" s="1" t="s">
        <v>3660</v>
      </c>
      <c r="B2405" s="1" t="s">
        <v>44</v>
      </c>
      <c r="C2405" s="1" t="s">
        <v>654</v>
      </c>
      <c r="D2405" s="1" t="s">
        <v>16</v>
      </c>
      <c r="E2405" s="1" t="s">
        <v>77</v>
      </c>
      <c r="F2405" s="1" t="s">
        <v>53</v>
      </c>
      <c r="G2405" s="1">
        <v>73177</v>
      </c>
      <c r="H2405" s="63">
        <v>45215</v>
      </c>
      <c r="J2405" s="1"/>
      <c r="K2405" s="1">
        <v>6.1</v>
      </c>
      <c r="L2405" s="1" t="s">
        <v>96</v>
      </c>
      <c r="M2405" s="1" t="s">
        <v>21</v>
      </c>
      <c r="N2405" s="1" t="str">
        <f t="shared" si="37"/>
        <v>Normal</v>
      </c>
    </row>
    <row r="2406" spans="1:14" x14ac:dyDescent="0.25">
      <c r="A2406" s="1" t="s">
        <v>3661</v>
      </c>
      <c r="B2406" s="1" t="s">
        <v>84</v>
      </c>
      <c r="C2406" s="1" t="s">
        <v>737</v>
      </c>
      <c r="D2406" s="1" t="s">
        <v>16</v>
      </c>
      <c r="E2406" s="1" t="s">
        <v>77</v>
      </c>
      <c r="F2406" s="1" t="s">
        <v>53</v>
      </c>
      <c r="G2406" s="1">
        <v>211860</v>
      </c>
      <c r="H2406" s="63">
        <v>45433</v>
      </c>
      <c r="J2406" s="1"/>
      <c r="K2406" s="1">
        <v>6.4</v>
      </c>
      <c r="L2406" s="1" t="s">
        <v>20</v>
      </c>
      <c r="M2406" s="1" t="s">
        <v>107</v>
      </c>
      <c r="N2406" s="1" t="str">
        <f t="shared" si="37"/>
        <v>Normal</v>
      </c>
    </row>
    <row r="2407" spans="1:14" x14ac:dyDescent="0.25">
      <c r="A2407" s="1" t="s">
        <v>3662</v>
      </c>
      <c r="B2407" s="1" t="s">
        <v>44</v>
      </c>
      <c r="C2407" s="1" t="s">
        <v>571</v>
      </c>
      <c r="D2407" s="1" t="s">
        <v>90</v>
      </c>
      <c r="E2407" s="1" t="s">
        <v>72</v>
      </c>
      <c r="F2407" s="1" t="s">
        <v>33</v>
      </c>
      <c r="G2407" s="1">
        <v>465436</v>
      </c>
      <c r="H2407" s="63">
        <v>45307</v>
      </c>
      <c r="J2407" s="1"/>
      <c r="K2407" s="1"/>
      <c r="L2407" s="1" t="s">
        <v>29</v>
      </c>
      <c r="M2407" s="1" t="s">
        <v>69</v>
      </c>
      <c r="N2407" s="1" t="str">
        <f t="shared" si="37"/>
        <v>Normal</v>
      </c>
    </row>
    <row r="2408" spans="1:14" x14ac:dyDescent="0.25">
      <c r="A2408" s="1" t="s">
        <v>3664</v>
      </c>
      <c r="B2408" s="1" t="s">
        <v>75</v>
      </c>
      <c r="C2408" s="1" t="s">
        <v>518</v>
      </c>
      <c r="D2408" s="1" t="s">
        <v>16</v>
      </c>
      <c r="E2408" s="1" t="s">
        <v>17</v>
      </c>
      <c r="F2408" s="1" t="s">
        <v>33</v>
      </c>
      <c r="G2408" s="1">
        <v>369537</v>
      </c>
      <c r="H2408" s="63">
        <v>45708</v>
      </c>
      <c r="J2408" s="1"/>
      <c r="K2408" s="1">
        <v>11.7</v>
      </c>
      <c r="L2408" s="1" t="s">
        <v>49</v>
      </c>
      <c r="M2408" s="1" t="s">
        <v>63</v>
      </c>
      <c r="N2408" s="1" t="str">
        <f t="shared" si="37"/>
        <v>Normal</v>
      </c>
    </row>
    <row r="2409" spans="1:14" x14ac:dyDescent="0.25">
      <c r="A2409" s="1" t="s">
        <v>3666</v>
      </c>
      <c r="B2409" s="1" t="s">
        <v>14</v>
      </c>
      <c r="C2409" s="1" t="s">
        <v>831</v>
      </c>
      <c r="D2409" s="1" t="s">
        <v>39</v>
      </c>
      <c r="E2409" s="1" t="s">
        <v>17</v>
      </c>
      <c r="F2409" s="1" t="s">
        <v>18</v>
      </c>
      <c r="G2409" s="1">
        <v>265969</v>
      </c>
      <c r="H2409" s="63">
        <v>45685</v>
      </c>
      <c r="I2409" s="63">
        <v>45704</v>
      </c>
      <c r="J2409" s="1">
        <v>19</v>
      </c>
      <c r="K2409" s="1">
        <v>13</v>
      </c>
      <c r="L2409" s="1" t="s">
        <v>49</v>
      </c>
      <c r="M2409" s="1" t="s">
        <v>63</v>
      </c>
      <c r="N2409" s="1" t="str">
        <f t="shared" si="37"/>
        <v>Normal</v>
      </c>
    </row>
    <row r="2410" spans="1:14" x14ac:dyDescent="0.25">
      <c r="A2410" s="1" t="s">
        <v>3667</v>
      </c>
      <c r="B2410" s="1" t="s">
        <v>84</v>
      </c>
      <c r="C2410" s="1" t="s">
        <v>128</v>
      </c>
      <c r="D2410" s="1" t="s">
        <v>39</v>
      </c>
      <c r="E2410" s="1" t="s">
        <v>94</v>
      </c>
      <c r="F2410" s="1" t="s">
        <v>40</v>
      </c>
      <c r="G2410" s="1">
        <v>462237</v>
      </c>
      <c r="H2410" s="63">
        <v>45063</v>
      </c>
      <c r="I2410" s="63">
        <v>45161</v>
      </c>
      <c r="J2410" s="1">
        <v>98</v>
      </c>
      <c r="K2410" s="1">
        <v>17.7</v>
      </c>
      <c r="L2410" s="1" t="s">
        <v>49</v>
      </c>
      <c r="M2410" s="1" t="s">
        <v>30</v>
      </c>
      <c r="N2410" s="1" t="str">
        <f t="shared" si="37"/>
        <v>Normal</v>
      </c>
    </row>
    <row r="2411" spans="1:14" x14ac:dyDescent="0.25">
      <c r="A2411" s="1" t="s">
        <v>3668</v>
      </c>
      <c r="B2411" s="1" t="s">
        <v>173</v>
      </c>
      <c r="C2411" s="1" t="s">
        <v>328</v>
      </c>
      <c r="D2411" s="1" t="s">
        <v>39</v>
      </c>
      <c r="E2411" s="1" t="s">
        <v>17</v>
      </c>
      <c r="F2411" s="1" t="s">
        <v>40</v>
      </c>
      <c r="G2411" s="1">
        <v>62406</v>
      </c>
      <c r="H2411" s="63">
        <v>45705</v>
      </c>
      <c r="I2411" s="63">
        <v>45775</v>
      </c>
      <c r="J2411" s="1">
        <v>70</v>
      </c>
      <c r="K2411" s="1">
        <v>5.7</v>
      </c>
      <c r="L2411" s="1" t="s">
        <v>96</v>
      </c>
      <c r="M2411" s="1" t="s">
        <v>63</v>
      </c>
      <c r="N2411" s="1" t="str">
        <f t="shared" si="37"/>
        <v>Normal</v>
      </c>
    </row>
    <row r="2412" spans="1:14" x14ac:dyDescent="0.25">
      <c r="A2412" s="1" t="s">
        <v>3669</v>
      </c>
      <c r="B2412" s="1" t="s">
        <v>75</v>
      </c>
      <c r="C2412" s="1" t="s">
        <v>2185</v>
      </c>
      <c r="D2412" s="1" t="s">
        <v>46</v>
      </c>
      <c r="E2412" s="1" t="s">
        <v>61</v>
      </c>
      <c r="F2412" s="1" t="s">
        <v>18</v>
      </c>
      <c r="G2412" s="1">
        <v>267765</v>
      </c>
      <c r="H2412" s="63">
        <v>45332</v>
      </c>
      <c r="I2412" s="63">
        <v>45459</v>
      </c>
      <c r="J2412" s="1">
        <v>127</v>
      </c>
      <c r="K2412" s="1"/>
      <c r="L2412" s="1" t="s">
        <v>20</v>
      </c>
      <c r="M2412" s="1" t="s">
        <v>69</v>
      </c>
      <c r="N2412" s="1" t="str">
        <f t="shared" si="37"/>
        <v>Normal</v>
      </c>
    </row>
    <row r="2413" spans="1:14" x14ac:dyDescent="0.25">
      <c r="A2413" s="1" t="s">
        <v>3670</v>
      </c>
      <c r="B2413" s="1" t="s">
        <v>23</v>
      </c>
      <c r="C2413" s="1" t="s">
        <v>1397</v>
      </c>
      <c r="D2413" s="1" t="s">
        <v>16</v>
      </c>
      <c r="E2413" s="1" t="s">
        <v>94</v>
      </c>
      <c r="F2413" s="1" t="s">
        <v>27</v>
      </c>
      <c r="G2413" s="1">
        <v>133542</v>
      </c>
      <c r="H2413" s="63">
        <v>45469</v>
      </c>
      <c r="J2413" s="1"/>
      <c r="K2413" s="1">
        <v>14.7</v>
      </c>
      <c r="L2413" s="1" t="s">
        <v>29</v>
      </c>
      <c r="M2413" s="1" t="s">
        <v>107</v>
      </c>
      <c r="N2413" s="1" t="str">
        <f t="shared" si="37"/>
        <v>Normal</v>
      </c>
    </row>
    <row r="2414" spans="1:14" x14ac:dyDescent="0.25">
      <c r="A2414" s="1" t="s">
        <v>3671</v>
      </c>
      <c r="B2414" s="1" t="s">
        <v>109</v>
      </c>
      <c r="C2414" s="1" t="s">
        <v>287</v>
      </c>
      <c r="D2414" s="1" t="s">
        <v>25</v>
      </c>
      <c r="E2414" s="1" t="s">
        <v>17</v>
      </c>
      <c r="F2414" s="1" t="s">
        <v>53</v>
      </c>
      <c r="G2414" s="1">
        <v>879556</v>
      </c>
      <c r="H2414" s="63">
        <v>45647</v>
      </c>
      <c r="J2414" s="1"/>
      <c r="K2414" s="1"/>
      <c r="L2414" s="1" t="s">
        <v>49</v>
      </c>
      <c r="M2414" s="1" t="s">
        <v>42</v>
      </c>
      <c r="N2414" s="1" t="str">
        <f t="shared" si="37"/>
        <v>Normal</v>
      </c>
    </row>
    <row r="2415" spans="1:14" x14ac:dyDescent="0.25">
      <c r="A2415" s="1" t="s">
        <v>3672</v>
      </c>
      <c r="B2415" s="1" t="s">
        <v>80</v>
      </c>
      <c r="C2415" s="1" t="s">
        <v>1742</v>
      </c>
      <c r="D2415" s="1" t="s">
        <v>90</v>
      </c>
      <c r="E2415" s="1" t="s">
        <v>26</v>
      </c>
      <c r="F2415" s="1" t="s">
        <v>40</v>
      </c>
      <c r="G2415" s="1">
        <v>174077</v>
      </c>
      <c r="H2415" s="63">
        <v>45201</v>
      </c>
      <c r="I2415" s="63">
        <v>45260</v>
      </c>
      <c r="J2415" s="1">
        <v>59</v>
      </c>
      <c r="K2415" s="1">
        <v>18.2</v>
      </c>
      <c r="L2415" s="1" t="s">
        <v>29</v>
      </c>
      <c r="M2415" s="1" t="s">
        <v>21</v>
      </c>
      <c r="N2415" s="1" t="str">
        <f t="shared" si="37"/>
        <v>Normal</v>
      </c>
    </row>
    <row r="2416" spans="1:14" x14ac:dyDescent="0.25">
      <c r="A2416" s="1" t="s">
        <v>3674</v>
      </c>
      <c r="B2416" s="1" t="s">
        <v>65</v>
      </c>
      <c r="C2416" s="1" t="s">
        <v>587</v>
      </c>
      <c r="D2416" s="1" t="s">
        <v>39</v>
      </c>
      <c r="E2416" s="1" t="s">
        <v>61</v>
      </c>
      <c r="F2416" s="1" t="s">
        <v>27</v>
      </c>
      <c r="G2416" s="1">
        <v>212824</v>
      </c>
      <c r="H2416" s="63">
        <v>45415</v>
      </c>
      <c r="J2416" s="1"/>
      <c r="K2416" s="1">
        <v>3.9</v>
      </c>
      <c r="L2416" s="1" t="s">
        <v>29</v>
      </c>
      <c r="M2416" s="1" t="s">
        <v>107</v>
      </c>
      <c r="N2416" s="1" t="str">
        <f t="shared" si="37"/>
        <v>Normal</v>
      </c>
    </row>
    <row r="2417" spans="1:14" x14ac:dyDescent="0.25">
      <c r="A2417" s="1" t="s">
        <v>3675</v>
      </c>
      <c r="B2417" s="1" t="s">
        <v>37</v>
      </c>
      <c r="C2417" s="1" t="s">
        <v>1566</v>
      </c>
      <c r="D2417" s="1" t="s">
        <v>16</v>
      </c>
      <c r="E2417" s="1" t="s">
        <v>47</v>
      </c>
      <c r="F2417" s="1" t="s">
        <v>129</v>
      </c>
      <c r="G2417" s="1">
        <v>234399</v>
      </c>
      <c r="H2417" s="63">
        <v>45350</v>
      </c>
      <c r="J2417" s="1"/>
      <c r="K2417" s="1">
        <v>13.4</v>
      </c>
      <c r="L2417" s="1" t="s">
        <v>20</v>
      </c>
      <c r="M2417" s="1" t="s">
        <v>69</v>
      </c>
      <c r="N2417" s="1" t="str">
        <f t="shared" si="37"/>
        <v>Normal</v>
      </c>
    </row>
    <row r="2418" spans="1:14" x14ac:dyDescent="0.25">
      <c r="A2418" s="1" t="s">
        <v>3677</v>
      </c>
      <c r="B2418" s="1" t="s">
        <v>14</v>
      </c>
      <c r="C2418" s="1" t="s">
        <v>767</v>
      </c>
      <c r="D2418" s="1" t="s">
        <v>46</v>
      </c>
      <c r="E2418" s="1" t="s">
        <v>100</v>
      </c>
      <c r="F2418" s="1" t="s">
        <v>27</v>
      </c>
      <c r="G2418" s="1">
        <v>127686</v>
      </c>
      <c r="H2418" s="63">
        <v>45151</v>
      </c>
      <c r="J2418" s="1"/>
      <c r="K2418" s="1"/>
      <c r="L2418" s="1" t="s">
        <v>29</v>
      </c>
      <c r="M2418" s="1" t="s">
        <v>102</v>
      </c>
      <c r="N2418" s="1" t="str">
        <f t="shared" si="37"/>
        <v>Normal</v>
      </c>
    </row>
    <row r="2419" spans="1:14" x14ac:dyDescent="0.25">
      <c r="A2419" s="1" t="s">
        <v>3678</v>
      </c>
      <c r="B2419" s="1" t="s">
        <v>65</v>
      </c>
      <c r="C2419" s="1" t="s">
        <v>15</v>
      </c>
      <c r="D2419" s="1" t="s">
        <v>25</v>
      </c>
      <c r="E2419" s="1" t="s">
        <v>61</v>
      </c>
      <c r="F2419" s="1" t="s">
        <v>53</v>
      </c>
      <c r="G2419" s="1">
        <v>264210</v>
      </c>
      <c r="H2419" s="63">
        <v>45365</v>
      </c>
      <c r="J2419" s="1"/>
      <c r="K2419" s="1">
        <v>0.8</v>
      </c>
      <c r="L2419" s="1" t="s">
        <v>49</v>
      </c>
      <c r="M2419" s="1" t="s">
        <v>69</v>
      </c>
      <c r="N2419" s="1" t="str">
        <f t="shared" si="37"/>
        <v>Normal</v>
      </c>
    </row>
    <row r="2420" spans="1:14" x14ac:dyDescent="0.25">
      <c r="A2420" s="1" t="s">
        <v>3679</v>
      </c>
      <c r="B2420" s="1" t="s">
        <v>98</v>
      </c>
      <c r="C2420" s="1" t="s">
        <v>1136</v>
      </c>
      <c r="D2420" s="1" t="s">
        <v>67</v>
      </c>
      <c r="E2420" s="1" t="s">
        <v>100</v>
      </c>
      <c r="F2420" s="1" t="s">
        <v>33</v>
      </c>
      <c r="G2420" s="1">
        <v>1502805</v>
      </c>
      <c r="H2420" s="63">
        <v>45727</v>
      </c>
      <c r="J2420" s="1"/>
      <c r="K2420" s="1">
        <v>6.1</v>
      </c>
      <c r="L2420" s="1" t="s">
        <v>29</v>
      </c>
      <c r="M2420" s="1" t="s">
        <v>63</v>
      </c>
      <c r="N2420" s="1" t="str">
        <f t="shared" si="37"/>
        <v>High Outlier</v>
      </c>
    </row>
    <row r="2421" spans="1:14" x14ac:dyDescent="0.25">
      <c r="A2421" s="1" t="s">
        <v>3680</v>
      </c>
      <c r="B2421" s="1" t="s">
        <v>44</v>
      </c>
      <c r="C2421" s="1" t="s">
        <v>205</v>
      </c>
      <c r="D2421" s="1" t="s">
        <v>67</v>
      </c>
      <c r="E2421" s="1" t="s">
        <v>72</v>
      </c>
      <c r="F2421" s="1" t="s">
        <v>53</v>
      </c>
      <c r="G2421" s="1">
        <v>143527</v>
      </c>
      <c r="H2421" s="63">
        <v>45154</v>
      </c>
      <c r="J2421" s="1"/>
      <c r="K2421" s="1">
        <v>9.5</v>
      </c>
      <c r="L2421" s="1" t="s">
        <v>20</v>
      </c>
      <c r="M2421" s="1" t="s">
        <v>102</v>
      </c>
      <c r="N2421" s="1" t="str">
        <f t="shared" si="37"/>
        <v>Normal</v>
      </c>
    </row>
    <row r="2422" spans="1:14" x14ac:dyDescent="0.25">
      <c r="A2422" s="1" t="s">
        <v>3681</v>
      </c>
      <c r="B2422" s="1" t="s">
        <v>109</v>
      </c>
      <c r="C2422" s="1" t="s">
        <v>1334</v>
      </c>
      <c r="D2422" s="1" t="s">
        <v>39</v>
      </c>
      <c r="E2422" s="1" t="s">
        <v>61</v>
      </c>
      <c r="F2422" s="1" t="s">
        <v>53</v>
      </c>
      <c r="G2422" s="1">
        <v>38520</v>
      </c>
      <c r="H2422" s="63">
        <v>45086</v>
      </c>
      <c r="J2422" s="1"/>
      <c r="K2422" s="1"/>
      <c r="L2422" s="1" t="s">
        <v>20</v>
      </c>
      <c r="M2422" s="1" t="s">
        <v>30</v>
      </c>
      <c r="N2422" s="1" t="str">
        <f t="shared" si="37"/>
        <v>Normal</v>
      </c>
    </row>
    <row r="2423" spans="1:14" x14ac:dyDescent="0.25">
      <c r="A2423" s="1" t="s">
        <v>3682</v>
      </c>
      <c r="B2423" s="1" t="s">
        <v>75</v>
      </c>
      <c r="C2423" s="1" t="s">
        <v>177</v>
      </c>
      <c r="D2423" s="1" t="s">
        <v>67</v>
      </c>
      <c r="E2423" s="1" t="s">
        <v>94</v>
      </c>
      <c r="F2423" s="1" t="s">
        <v>27</v>
      </c>
      <c r="G2423" s="1">
        <v>265563</v>
      </c>
      <c r="H2423" s="63">
        <v>45015</v>
      </c>
      <c r="J2423" s="1"/>
      <c r="K2423" s="1">
        <v>7.1</v>
      </c>
      <c r="L2423" s="1" t="s">
        <v>96</v>
      </c>
      <c r="M2423" s="1" t="s">
        <v>35</v>
      </c>
      <c r="N2423" s="1" t="str">
        <f t="shared" si="37"/>
        <v>Normal</v>
      </c>
    </row>
    <row r="2424" spans="1:14" x14ac:dyDescent="0.25">
      <c r="A2424" s="1" t="s">
        <v>3683</v>
      </c>
      <c r="B2424" s="1" t="s">
        <v>75</v>
      </c>
      <c r="C2424" s="1" t="s">
        <v>980</v>
      </c>
      <c r="D2424" s="1" t="s">
        <v>90</v>
      </c>
      <c r="E2424" s="1" t="s">
        <v>26</v>
      </c>
      <c r="F2424" s="1" t="s">
        <v>40</v>
      </c>
      <c r="G2424" s="1">
        <v>230215</v>
      </c>
      <c r="H2424" s="63">
        <v>45398</v>
      </c>
      <c r="I2424" s="63">
        <v>45432</v>
      </c>
      <c r="J2424" s="1">
        <v>34</v>
      </c>
      <c r="K2424" s="1">
        <v>17.100000000000001</v>
      </c>
      <c r="L2424" s="1" t="s">
        <v>20</v>
      </c>
      <c r="M2424" s="1" t="s">
        <v>107</v>
      </c>
      <c r="N2424" s="1" t="str">
        <f t="shared" si="37"/>
        <v>Normal</v>
      </c>
    </row>
    <row r="2425" spans="1:14" x14ac:dyDescent="0.25">
      <c r="A2425" s="1" t="s">
        <v>3684</v>
      </c>
      <c r="B2425" s="1" t="s">
        <v>173</v>
      </c>
      <c r="C2425" s="1" t="s">
        <v>2334</v>
      </c>
      <c r="D2425" s="1" t="s">
        <v>25</v>
      </c>
      <c r="E2425" s="1" t="s">
        <v>100</v>
      </c>
      <c r="F2425" s="1" t="s">
        <v>18</v>
      </c>
      <c r="G2425" s="1">
        <v>26182</v>
      </c>
      <c r="H2425" s="63">
        <v>45429</v>
      </c>
      <c r="I2425" s="63">
        <v>45536</v>
      </c>
      <c r="J2425" s="1">
        <v>107</v>
      </c>
      <c r="K2425" s="1"/>
      <c r="L2425" s="1" t="s">
        <v>96</v>
      </c>
      <c r="M2425" s="1" t="s">
        <v>107</v>
      </c>
      <c r="N2425" s="1" t="str">
        <f t="shared" si="37"/>
        <v>Normal</v>
      </c>
    </row>
    <row r="2426" spans="1:14" x14ac:dyDescent="0.25">
      <c r="A2426" s="1" t="s">
        <v>3685</v>
      </c>
      <c r="B2426" s="1" t="s">
        <v>23</v>
      </c>
      <c r="C2426" s="1" t="s">
        <v>474</v>
      </c>
      <c r="D2426" s="1" t="s">
        <v>16</v>
      </c>
      <c r="E2426" s="1" t="s">
        <v>100</v>
      </c>
      <c r="F2426" s="1" t="s">
        <v>40</v>
      </c>
      <c r="G2426" s="1">
        <v>209145</v>
      </c>
      <c r="H2426" s="63">
        <v>45030</v>
      </c>
      <c r="I2426" s="63">
        <v>45080</v>
      </c>
      <c r="J2426" s="1">
        <v>50</v>
      </c>
      <c r="K2426" s="1">
        <v>22.1</v>
      </c>
      <c r="L2426" s="1" t="s">
        <v>49</v>
      </c>
      <c r="M2426" s="1" t="s">
        <v>30</v>
      </c>
      <c r="N2426" s="1" t="str">
        <f t="shared" si="37"/>
        <v>Normal</v>
      </c>
    </row>
    <row r="2427" spans="1:14" x14ac:dyDescent="0.25">
      <c r="A2427" s="1" t="s">
        <v>3686</v>
      </c>
      <c r="B2427" s="1" t="s">
        <v>104</v>
      </c>
      <c r="C2427" s="1" t="s">
        <v>747</v>
      </c>
      <c r="D2427" s="1" t="s">
        <v>46</v>
      </c>
      <c r="E2427" s="1" t="s">
        <v>26</v>
      </c>
      <c r="F2427" s="1" t="s">
        <v>40</v>
      </c>
      <c r="G2427" s="1">
        <v>388492</v>
      </c>
      <c r="H2427" s="63">
        <v>44978</v>
      </c>
      <c r="I2427" s="63">
        <v>45028</v>
      </c>
      <c r="J2427" s="1">
        <v>50</v>
      </c>
      <c r="K2427" s="1">
        <v>5.0999999999999996</v>
      </c>
      <c r="L2427" s="1" t="s">
        <v>49</v>
      </c>
      <c r="M2427" s="1" t="s">
        <v>35</v>
      </c>
      <c r="N2427" s="1" t="str">
        <f t="shared" si="37"/>
        <v>Normal</v>
      </c>
    </row>
    <row r="2428" spans="1:14" x14ac:dyDescent="0.25">
      <c r="A2428" s="1" t="s">
        <v>3688</v>
      </c>
      <c r="B2428" s="1" t="s">
        <v>37</v>
      </c>
      <c r="C2428" s="1" t="s">
        <v>24</v>
      </c>
      <c r="D2428" s="1" t="s">
        <v>25</v>
      </c>
      <c r="E2428" s="1" t="s">
        <v>94</v>
      </c>
      <c r="F2428" s="1" t="s">
        <v>129</v>
      </c>
      <c r="G2428" s="1">
        <v>300165</v>
      </c>
      <c r="H2428" s="63">
        <v>45420</v>
      </c>
      <c r="J2428" s="1"/>
      <c r="K2428" s="1">
        <v>8.6</v>
      </c>
      <c r="L2428" s="1" t="s">
        <v>20</v>
      </c>
      <c r="M2428" s="1" t="s">
        <v>107</v>
      </c>
      <c r="N2428" s="1" t="str">
        <f t="shared" si="37"/>
        <v>Normal</v>
      </c>
    </row>
    <row r="2429" spans="1:14" x14ac:dyDescent="0.25">
      <c r="A2429" s="1" t="s">
        <v>3689</v>
      </c>
      <c r="B2429" s="1" t="s">
        <v>80</v>
      </c>
      <c r="C2429" s="1" t="s">
        <v>693</v>
      </c>
      <c r="D2429" s="1" t="s">
        <v>25</v>
      </c>
      <c r="E2429" s="1" t="s">
        <v>77</v>
      </c>
      <c r="F2429" s="1" t="s">
        <v>40</v>
      </c>
      <c r="G2429" s="1">
        <v>378732</v>
      </c>
      <c r="H2429" s="63">
        <v>45605</v>
      </c>
      <c r="I2429" s="63">
        <v>45732</v>
      </c>
      <c r="J2429" s="1">
        <v>127</v>
      </c>
      <c r="K2429" s="1">
        <v>12.7</v>
      </c>
      <c r="L2429" s="1" t="s">
        <v>29</v>
      </c>
      <c r="M2429" s="1" t="s">
        <v>42</v>
      </c>
      <c r="N2429" s="1" t="str">
        <f t="shared" si="37"/>
        <v>Normal</v>
      </c>
    </row>
    <row r="2430" spans="1:14" x14ac:dyDescent="0.25">
      <c r="A2430" s="1" t="s">
        <v>3690</v>
      </c>
      <c r="B2430" s="1" t="s">
        <v>104</v>
      </c>
      <c r="C2430" s="1" t="s">
        <v>45</v>
      </c>
      <c r="D2430" s="1" t="s">
        <v>67</v>
      </c>
      <c r="E2430" s="1" t="s">
        <v>61</v>
      </c>
      <c r="F2430" s="1" t="s">
        <v>40</v>
      </c>
      <c r="G2430" s="1">
        <v>344537</v>
      </c>
      <c r="H2430" s="63">
        <v>45246</v>
      </c>
      <c r="I2430" s="63">
        <v>45398</v>
      </c>
      <c r="J2430" s="1">
        <v>152</v>
      </c>
      <c r="K2430" s="1">
        <v>7.3</v>
      </c>
      <c r="L2430" s="1" t="s">
        <v>96</v>
      </c>
      <c r="M2430" s="1" t="s">
        <v>21</v>
      </c>
      <c r="N2430" s="1" t="str">
        <f t="shared" si="37"/>
        <v>Normal</v>
      </c>
    </row>
    <row r="2431" spans="1:14" x14ac:dyDescent="0.25">
      <c r="A2431" s="1" t="s">
        <v>3692</v>
      </c>
      <c r="B2431" s="1" t="s">
        <v>65</v>
      </c>
      <c r="C2431" s="1" t="s">
        <v>1151</v>
      </c>
      <c r="D2431" s="1" t="s">
        <v>46</v>
      </c>
      <c r="E2431" s="1" t="s">
        <v>100</v>
      </c>
      <c r="F2431" s="1" t="s">
        <v>53</v>
      </c>
      <c r="G2431" s="1">
        <v>175434</v>
      </c>
      <c r="H2431" s="63">
        <v>45119</v>
      </c>
      <c r="J2431" s="1"/>
      <c r="K2431" s="1"/>
      <c r="L2431" s="1" t="s">
        <v>49</v>
      </c>
      <c r="M2431" s="1" t="s">
        <v>102</v>
      </c>
      <c r="N2431" s="1" t="str">
        <f t="shared" si="37"/>
        <v>Normal</v>
      </c>
    </row>
    <row r="2432" spans="1:14" x14ac:dyDescent="0.25">
      <c r="A2432" s="1" t="s">
        <v>3693</v>
      </c>
      <c r="B2432" s="1" t="s">
        <v>37</v>
      </c>
      <c r="C2432" s="1" t="s">
        <v>693</v>
      </c>
      <c r="D2432" s="1" t="s">
        <v>39</v>
      </c>
      <c r="E2432" s="1" t="s">
        <v>17</v>
      </c>
      <c r="F2432" s="1" t="s">
        <v>40</v>
      </c>
      <c r="G2432" s="1">
        <v>146025</v>
      </c>
      <c r="H2432" s="63">
        <v>44982</v>
      </c>
      <c r="I2432" s="63">
        <v>45020</v>
      </c>
      <c r="J2432" s="1">
        <v>38</v>
      </c>
      <c r="K2432" s="1">
        <v>10.7</v>
      </c>
      <c r="L2432" s="1" t="s">
        <v>49</v>
      </c>
      <c r="M2432" s="1" t="s">
        <v>35</v>
      </c>
      <c r="N2432" s="1" t="str">
        <f t="shared" si="37"/>
        <v>Normal</v>
      </c>
    </row>
    <row r="2433" spans="1:14" x14ac:dyDescent="0.25">
      <c r="A2433" s="1" t="s">
        <v>3694</v>
      </c>
      <c r="B2433" s="1" t="s">
        <v>75</v>
      </c>
      <c r="C2433" s="1" t="s">
        <v>539</v>
      </c>
      <c r="D2433" s="1" t="s">
        <v>39</v>
      </c>
      <c r="E2433" s="1" t="s">
        <v>4845</v>
      </c>
      <c r="F2433" s="1" t="s">
        <v>33</v>
      </c>
      <c r="G2433" s="1">
        <v>127780</v>
      </c>
      <c r="H2433" s="63">
        <v>45408</v>
      </c>
      <c r="J2433" s="1"/>
      <c r="K2433" s="1">
        <v>6.1</v>
      </c>
      <c r="L2433" s="1" t="s">
        <v>49</v>
      </c>
      <c r="M2433" s="1" t="s">
        <v>107</v>
      </c>
      <c r="N2433" s="1" t="str">
        <f t="shared" si="37"/>
        <v>Normal</v>
      </c>
    </row>
    <row r="2434" spans="1:14" x14ac:dyDescent="0.25">
      <c r="A2434" s="1" t="s">
        <v>3695</v>
      </c>
      <c r="B2434" s="1" t="s">
        <v>44</v>
      </c>
      <c r="C2434" s="1" t="s">
        <v>157</v>
      </c>
      <c r="D2434" s="1" t="s">
        <v>46</v>
      </c>
      <c r="E2434" s="1" t="s">
        <v>26</v>
      </c>
      <c r="F2434" s="1" t="s">
        <v>129</v>
      </c>
      <c r="G2434" s="1">
        <v>430827</v>
      </c>
      <c r="H2434" s="63">
        <v>45727</v>
      </c>
      <c r="J2434" s="1"/>
      <c r="K2434" s="1">
        <v>10.3</v>
      </c>
      <c r="L2434" s="1" t="s">
        <v>49</v>
      </c>
      <c r="M2434" s="1" t="s">
        <v>63</v>
      </c>
      <c r="N2434" s="1" t="str">
        <f t="shared" ref="N2434:N2501" si="38">IF(G2434&gt;$R$5,"High Outlier",IF(G2434&lt;$R$6,"Low Outlier","Normal"))</f>
        <v>Normal</v>
      </c>
    </row>
    <row r="2435" spans="1:14" x14ac:dyDescent="0.25">
      <c r="A2435" s="1" t="s">
        <v>3696</v>
      </c>
      <c r="B2435" s="1" t="s">
        <v>80</v>
      </c>
      <c r="C2435" s="1" t="s">
        <v>865</v>
      </c>
      <c r="D2435" s="1" t="s">
        <v>16</v>
      </c>
      <c r="E2435" s="1" t="s">
        <v>26</v>
      </c>
      <c r="F2435" s="1" t="s">
        <v>53</v>
      </c>
      <c r="G2435" s="1">
        <v>59749</v>
      </c>
      <c r="H2435" s="63">
        <v>45684</v>
      </c>
      <c r="J2435" s="1"/>
      <c r="K2435" s="1"/>
      <c r="L2435" s="1" t="s">
        <v>20</v>
      </c>
      <c r="M2435" s="1" t="s">
        <v>63</v>
      </c>
      <c r="N2435" s="1" t="str">
        <f t="shared" si="38"/>
        <v>Normal</v>
      </c>
    </row>
    <row r="2436" spans="1:14" x14ac:dyDescent="0.25">
      <c r="A2436" s="1" t="s">
        <v>3697</v>
      </c>
      <c r="B2436" s="1" t="s">
        <v>173</v>
      </c>
      <c r="C2436" s="1" t="s">
        <v>1018</v>
      </c>
      <c r="D2436" s="1" t="s">
        <v>67</v>
      </c>
      <c r="E2436" s="1" t="s">
        <v>77</v>
      </c>
      <c r="F2436" s="1" t="s">
        <v>53</v>
      </c>
      <c r="G2436" s="1">
        <v>341930</v>
      </c>
      <c r="H2436" s="63">
        <v>45273</v>
      </c>
      <c r="J2436" s="1"/>
      <c r="K2436" s="1">
        <v>6</v>
      </c>
      <c r="L2436" s="1" t="s">
        <v>96</v>
      </c>
      <c r="M2436" s="1" t="s">
        <v>21</v>
      </c>
      <c r="N2436" s="1" t="str">
        <f t="shared" si="38"/>
        <v>Normal</v>
      </c>
    </row>
    <row r="2437" spans="1:14" x14ac:dyDescent="0.25">
      <c r="A2437" s="1" t="s">
        <v>3698</v>
      </c>
      <c r="B2437" s="1" t="s">
        <v>65</v>
      </c>
      <c r="C2437" s="1" t="s">
        <v>583</v>
      </c>
      <c r="D2437" s="1" t="s">
        <v>16</v>
      </c>
      <c r="E2437" s="1" t="s">
        <v>100</v>
      </c>
      <c r="F2437" s="1" t="s">
        <v>40</v>
      </c>
      <c r="G2437" s="1">
        <v>120774</v>
      </c>
      <c r="H2437" s="63">
        <v>45191</v>
      </c>
      <c r="I2437" s="63">
        <v>45309</v>
      </c>
      <c r="J2437" s="1">
        <v>118</v>
      </c>
      <c r="K2437" s="1">
        <v>14.9</v>
      </c>
      <c r="L2437" s="1" t="s">
        <v>29</v>
      </c>
      <c r="M2437" s="1" t="s">
        <v>102</v>
      </c>
      <c r="N2437" s="1" t="str">
        <f t="shared" si="38"/>
        <v>Normal</v>
      </c>
    </row>
    <row r="2438" spans="1:14" x14ac:dyDescent="0.25">
      <c r="A2438" s="1" t="s">
        <v>3699</v>
      </c>
      <c r="B2438" s="1" t="s">
        <v>104</v>
      </c>
      <c r="C2438" s="1" t="s">
        <v>157</v>
      </c>
      <c r="D2438" s="1" t="s">
        <v>67</v>
      </c>
      <c r="E2438" s="1" t="s">
        <v>72</v>
      </c>
      <c r="F2438" s="1" t="s">
        <v>33</v>
      </c>
      <c r="G2438" s="1">
        <v>363024</v>
      </c>
      <c r="H2438" s="63">
        <v>45108</v>
      </c>
      <c r="J2438" s="1"/>
      <c r="K2438" s="1">
        <v>0.5</v>
      </c>
      <c r="L2438" s="1" t="s">
        <v>20</v>
      </c>
      <c r="M2438" s="1" t="s">
        <v>102</v>
      </c>
      <c r="N2438" s="1" t="str">
        <f t="shared" si="38"/>
        <v>Normal</v>
      </c>
    </row>
    <row r="2439" spans="1:14" x14ac:dyDescent="0.25">
      <c r="A2439" s="1" t="s">
        <v>3700</v>
      </c>
      <c r="B2439" s="1" t="s">
        <v>127</v>
      </c>
      <c r="C2439" s="1" t="s">
        <v>552</v>
      </c>
      <c r="D2439" s="1" t="s">
        <v>16</v>
      </c>
      <c r="E2439" s="1" t="s">
        <v>26</v>
      </c>
      <c r="F2439" s="1" t="s">
        <v>40</v>
      </c>
      <c r="G2439" s="1">
        <v>293392</v>
      </c>
      <c r="H2439" s="63">
        <v>45709</v>
      </c>
      <c r="I2439" s="63">
        <v>45732</v>
      </c>
      <c r="J2439" s="1">
        <v>23</v>
      </c>
      <c r="K2439" s="1">
        <v>22</v>
      </c>
      <c r="L2439" s="1" t="s">
        <v>96</v>
      </c>
      <c r="M2439" s="1" t="s">
        <v>63</v>
      </c>
      <c r="N2439" s="1" t="str">
        <f t="shared" si="38"/>
        <v>Normal</v>
      </c>
    </row>
    <row r="2440" spans="1:14" x14ac:dyDescent="0.25">
      <c r="A2440" s="1" t="s">
        <v>3701</v>
      </c>
      <c r="B2440" s="1" t="s">
        <v>23</v>
      </c>
      <c r="C2440" s="1" t="s">
        <v>303</v>
      </c>
      <c r="D2440" s="1" t="s">
        <v>46</v>
      </c>
      <c r="E2440" s="1" t="s">
        <v>61</v>
      </c>
      <c r="F2440" s="1" t="s">
        <v>18</v>
      </c>
      <c r="G2440" s="1">
        <v>58034</v>
      </c>
      <c r="H2440" s="63">
        <v>45433</v>
      </c>
      <c r="I2440" s="63">
        <v>45483</v>
      </c>
      <c r="J2440" s="1">
        <v>50</v>
      </c>
      <c r="K2440" s="1">
        <v>6.1</v>
      </c>
      <c r="L2440" s="1" t="s">
        <v>29</v>
      </c>
      <c r="M2440" s="1" t="s">
        <v>107</v>
      </c>
      <c r="N2440" s="1" t="str">
        <f t="shared" si="38"/>
        <v>Normal</v>
      </c>
    </row>
    <row r="2441" spans="1:14" x14ac:dyDescent="0.25">
      <c r="A2441" s="1" t="s">
        <v>3702</v>
      </c>
      <c r="B2441" s="1" t="s">
        <v>44</v>
      </c>
      <c r="C2441" s="1" t="s">
        <v>1064</v>
      </c>
      <c r="D2441" s="1" t="s">
        <v>39</v>
      </c>
      <c r="E2441" s="1" t="s">
        <v>17</v>
      </c>
      <c r="F2441" s="1" t="s">
        <v>18</v>
      </c>
      <c r="G2441" s="1">
        <v>300848</v>
      </c>
      <c r="H2441" s="63">
        <v>45132</v>
      </c>
      <c r="I2441" s="63">
        <v>45179</v>
      </c>
      <c r="J2441" s="1">
        <v>47</v>
      </c>
      <c r="K2441" s="1">
        <v>0.5</v>
      </c>
      <c r="L2441" s="1" t="s">
        <v>96</v>
      </c>
      <c r="M2441" s="1" t="s">
        <v>102</v>
      </c>
      <c r="N2441" s="1" t="str">
        <f t="shared" si="38"/>
        <v>Normal</v>
      </c>
    </row>
    <row r="2442" spans="1:14" x14ac:dyDescent="0.25">
      <c r="A2442" s="1" t="s">
        <v>3703</v>
      </c>
      <c r="B2442" s="1" t="s">
        <v>23</v>
      </c>
      <c r="C2442" s="1" t="s">
        <v>957</v>
      </c>
      <c r="D2442" s="1" t="s">
        <v>25</v>
      </c>
      <c r="E2442" s="1" t="s">
        <v>100</v>
      </c>
      <c r="F2442" s="1" t="s">
        <v>40</v>
      </c>
      <c r="G2442" s="1">
        <v>202746</v>
      </c>
      <c r="H2442" s="63">
        <v>45436</v>
      </c>
      <c r="I2442" s="63">
        <v>45472</v>
      </c>
      <c r="J2442" s="1">
        <v>36</v>
      </c>
      <c r="K2442" s="1">
        <v>21.1</v>
      </c>
      <c r="L2442" s="1" t="s">
        <v>49</v>
      </c>
      <c r="M2442" s="1" t="s">
        <v>107</v>
      </c>
      <c r="N2442" s="1" t="str">
        <f t="shared" si="38"/>
        <v>Normal</v>
      </c>
    </row>
    <row r="2443" spans="1:14" x14ac:dyDescent="0.25">
      <c r="A2443" s="1" t="s">
        <v>3704</v>
      </c>
      <c r="B2443" s="1" t="s">
        <v>80</v>
      </c>
      <c r="C2443" s="1" t="s">
        <v>518</v>
      </c>
      <c r="D2443" s="1" t="s">
        <v>25</v>
      </c>
      <c r="E2443" s="1" t="s">
        <v>100</v>
      </c>
      <c r="F2443" s="1" t="s">
        <v>53</v>
      </c>
      <c r="G2443" s="1">
        <v>272800</v>
      </c>
      <c r="H2443" s="63">
        <v>44990</v>
      </c>
      <c r="J2443" s="1"/>
      <c r="K2443" s="1">
        <v>9.4</v>
      </c>
      <c r="L2443" s="1" t="s">
        <v>96</v>
      </c>
      <c r="M2443" s="1" t="s">
        <v>35</v>
      </c>
      <c r="N2443" s="1" t="str">
        <f t="shared" si="38"/>
        <v>Normal</v>
      </c>
    </row>
    <row r="2444" spans="1:14" x14ac:dyDescent="0.25">
      <c r="A2444" s="1" t="s">
        <v>3705</v>
      </c>
      <c r="B2444" s="1" t="s">
        <v>4829</v>
      </c>
      <c r="C2444" s="1" t="s">
        <v>561</v>
      </c>
      <c r="D2444" s="1" t="s">
        <v>67</v>
      </c>
      <c r="E2444" s="1" t="s">
        <v>26</v>
      </c>
      <c r="F2444" s="1" t="s">
        <v>18</v>
      </c>
      <c r="G2444" s="1">
        <v>480335</v>
      </c>
      <c r="H2444" s="63">
        <v>45130</v>
      </c>
      <c r="I2444" s="63">
        <v>45167</v>
      </c>
      <c r="J2444" s="1">
        <v>37</v>
      </c>
      <c r="K2444" s="1"/>
      <c r="L2444" s="1" t="s">
        <v>20</v>
      </c>
      <c r="M2444" s="1" t="s">
        <v>102</v>
      </c>
      <c r="N2444" s="1" t="str">
        <f t="shared" si="38"/>
        <v>Normal</v>
      </c>
    </row>
    <row r="2445" spans="1:14" x14ac:dyDescent="0.25">
      <c r="A2445" s="1" t="s">
        <v>3706</v>
      </c>
      <c r="B2445" s="1" t="s">
        <v>80</v>
      </c>
      <c r="C2445" s="1" t="s">
        <v>980</v>
      </c>
      <c r="D2445" s="1" t="s">
        <v>90</v>
      </c>
      <c r="E2445" s="1" t="s">
        <v>47</v>
      </c>
      <c r="F2445" s="1" t="s">
        <v>18</v>
      </c>
      <c r="G2445" s="1">
        <v>146408</v>
      </c>
      <c r="H2445" s="63">
        <v>45450</v>
      </c>
      <c r="I2445" s="63">
        <v>45540</v>
      </c>
      <c r="J2445" s="1">
        <v>90</v>
      </c>
      <c r="K2445" s="1"/>
      <c r="L2445" s="1" t="s">
        <v>49</v>
      </c>
      <c r="M2445" s="1" t="s">
        <v>107</v>
      </c>
      <c r="N2445" s="1" t="str">
        <f t="shared" si="38"/>
        <v>Normal</v>
      </c>
    </row>
    <row r="2446" spans="1:14" x14ac:dyDescent="0.25">
      <c r="A2446" s="1" t="s">
        <v>3708</v>
      </c>
      <c r="B2446" s="1" t="s">
        <v>98</v>
      </c>
      <c r="C2446" s="1" t="s">
        <v>237</v>
      </c>
      <c r="D2446" s="1" t="s">
        <v>67</v>
      </c>
      <c r="E2446" s="1" t="s">
        <v>26</v>
      </c>
      <c r="F2446" s="1" t="s">
        <v>129</v>
      </c>
      <c r="G2446" s="1">
        <v>41339</v>
      </c>
      <c r="H2446" s="63">
        <v>45640</v>
      </c>
      <c r="J2446" s="1"/>
      <c r="K2446" s="1">
        <v>8</v>
      </c>
      <c r="L2446" s="1" t="s">
        <v>96</v>
      </c>
      <c r="M2446" s="1" t="s">
        <v>42</v>
      </c>
      <c r="N2446" s="1" t="str">
        <f t="shared" si="38"/>
        <v>Normal</v>
      </c>
    </row>
    <row r="2447" spans="1:14" x14ac:dyDescent="0.25">
      <c r="A2447" s="1" t="s">
        <v>3709</v>
      </c>
      <c r="B2447" s="1" t="s">
        <v>173</v>
      </c>
      <c r="C2447" s="1" t="s">
        <v>505</v>
      </c>
      <c r="D2447" s="1" t="s">
        <v>39</v>
      </c>
      <c r="E2447" s="1" t="s">
        <v>72</v>
      </c>
      <c r="F2447" s="1" t="s">
        <v>33</v>
      </c>
      <c r="G2447" s="1">
        <v>372659</v>
      </c>
      <c r="H2447" s="63">
        <v>45655</v>
      </c>
      <c r="J2447" s="1"/>
      <c r="K2447" s="1">
        <v>11.9</v>
      </c>
      <c r="L2447" s="1" t="s">
        <v>96</v>
      </c>
      <c r="M2447" s="1" t="s">
        <v>42</v>
      </c>
      <c r="N2447" s="1" t="str">
        <f t="shared" si="38"/>
        <v>Normal</v>
      </c>
    </row>
    <row r="2448" spans="1:14" x14ac:dyDescent="0.25">
      <c r="A2448" s="1" t="s">
        <v>3710</v>
      </c>
      <c r="B2448" s="1" t="s">
        <v>109</v>
      </c>
      <c r="C2448" s="1" t="s">
        <v>980</v>
      </c>
      <c r="D2448" s="1" t="s">
        <v>39</v>
      </c>
      <c r="E2448" s="1" t="s">
        <v>72</v>
      </c>
      <c r="F2448" s="1" t="s">
        <v>33</v>
      </c>
      <c r="G2448" s="1">
        <v>438620</v>
      </c>
      <c r="H2448" s="63">
        <v>45466</v>
      </c>
      <c r="J2448" s="1"/>
      <c r="K2448" s="1"/>
      <c r="L2448" s="1" t="s">
        <v>96</v>
      </c>
      <c r="M2448" s="1" t="s">
        <v>107</v>
      </c>
      <c r="N2448" s="1" t="str">
        <f t="shared" si="38"/>
        <v>Normal</v>
      </c>
    </row>
    <row r="2449" spans="1:14" x14ac:dyDescent="0.25">
      <c r="A2449" s="1" t="s">
        <v>3711</v>
      </c>
      <c r="B2449" s="1" t="s">
        <v>98</v>
      </c>
      <c r="C2449" s="1" t="s">
        <v>116</v>
      </c>
      <c r="D2449" s="1" t="s">
        <v>25</v>
      </c>
      <c r="E2449" s="1" t="s">
        <v>100</v>
      </c>
      <c r="F2449" s="1" t="s">
        <v>129</v>
      </c>
      <c r="G2449" s="1">
        <v>161952</v>
      </c>
      <c r="H2449" s="63">
        <v>45699</v>
      </c>
      <c r="J2449" s="1"/>
      <c r="K2449" s="1">
        <v>14.7</v>
      </c>
      <c r="L2449" s="1" t="s">
        <v>29</v>
      </c>
      <c r="M2449" s="1" t="s">
        <v>63</v>
      </c>
      <c r="N2449" s="1" t="str">
        <f t="shared" si="38"/>
        <v>Normal</v>
      </c>
    </row>
    <row r="2450" spans="1:14" x14ac:dyDescent="0.25">
      <c r="A2450" s="1" t="s">
        <v>3712</v>
      </c>
      <c r="B2450" s="1" t="s">
        <v>65</v>
      </c>
      <c r="C2450" s="1" t="s">
        <v>273</v>
      </c>
      <c r="D2450" s="1" t="s">
        <v>39</v>
      </c>
      <c r="E2450" s="1" t="s">
        <v>94</v>
      </c>
      <c r="F2450" s="1" t="s">
        <v>33</v>
      </c>
      <c r="G2450" s="1">
        <v>488343</v>
      </c>
      <c r="H2450" s="63">
        <v>45424</v>
      </c>
      <c r="J2450" s="1"/>
      <c r="K2450" s="1">
        <v>10.9</v>
      </c>
      <c r="L2450" s="1" t="s">
        <v>96</v>
      </c>
      <c r="M2450" s="1" t="s">
        <v>107</v>
      </c>
      <c r="N2450" s="1" t="str">
        <f t="shared" si="38"/>
        <v>Normal</v>
      </c>
    </row>
    <row r="2451" spans="1:14" x14ac:dyDescent="0.25">
      <c r="A2451" s="1" t="s">
        <v>3713</v>
      </c>
      <c r="B2451" s="1" t="s">
        <v>98</v>
      </c>
      <c r="C2451" s="1" t="s">
        <v>805</v>
      </c>
      <c r="D2451" s="1" t="s">
        <v>46</v>
      </c>
      <c r="E2451" s="1" t="s">
        <v>77</v>
      </c>
      <c r="F2451" s="1" t="s">
        <v>33</v>
      </c>
      <c r="G2451" s="1">
        <v>475490</v>
      </c>
      <c r="H2451" s="63">
        <v>45515</v>
      </c>
      <c r="J2451" s="1"/>
      <c r="K2451" s="1">
        <v>9.6</v>
      </c>
      <c r="L2451" s="1" t="s">
        <v>96</v>
      </c>
      <c r="M2451" s="1" t="s">
        <v>149</v>
      </c>
      <c r="N2451" s="1" t="str">
        <f t="shared" si="38"/>
        <v>Normal</v>
      </c>
    </row>
    <row r="2452" spans="1:14" x14ac:dyDescent="0.25">
      <c r="A2452" s="1" t="s">
        <v>3714</v>
      </c>
      <c r="B2452" s="1" t="s">
        <v>173</v>
      </c>
      <c r="C2452" s="1" t="s">
        <v>162</v>
      </c>
      <c r="D2452" s="1" t="s">
        <v>90</v>
      </c>
      <c r="E2452" s="1" t="s">
        <v>77</v>
      </c>
      <c r="F2452" s="1" t="s">
        <v>53</v>
      </c>
      <c r="G2452" s="1">
        <v>71862</v>
      </c>
      <c r="H2452" s="63">
        <v>45303</v>
      </c>
      <c r="J2452" s="1"/>
      <c r="K2452" s="1">
        <v>5.3</v>
      </c>
      <c r="L2452" s="1" t="s">
        <v>96</v>
      </c>
      <c r="M2452" s="1" t="s">
        <v>69</v>
      </c>
      <c r="N2452" s="1" t="str">
        <f t="shared" si="38"/>
        <v>Normal</v>
      </c>
    </row>
    <row r="2453" spans="1:14" x14ac:dyDescent="0.25">
      <c r="A2453" s="1" t="s">
        <v>3716</v>
      </c>
      <c r="B2453" s="1" t="s">
        <v>23</v>
      </c>
      <c r="C2453" s="1" t="s">
        <v>654</v>
      </c>
      <c r="D2453" s="1" t="s">
        <v>39</v>
      </c>
      <c r="E2453" s="1" t="s">
        <v>94</v>
      </c>
      <c r="F2453" s="1" t="s">
        <v>40</v>
      </c>
      <c r="G2453" s="1">
        <v>1637232</v>
      </c>
      <c r="H2453" s="63">
        <v>45212</v>
      </c>
      <c r="I2453" s="63">
        <v>45309</v>
      </c>
      <c r="J2453" s="1">
        <v>97</v>
      </c>
      <c r="K2453" s="1">
        <v>5.5</v>
      </c>
      <c r="L2453" s="1" t="s">
        <v>49</v>
      </c>
      <c r="M2453" s="1" t="s">
        <v>21</v>
      </c>
      <c r="N2453" s="1" t="str">
        <f t="shared" si="38"/>
        <v>High Outlier</v>
      </c>
    </row>
    <row r="2454" spans="1:14" x14ac:dyDescent="0.25">
      <c r="A2454" s="1" t="s">
        <v>3717</v>
      </c>
      <c r="B2454" s="1" t="s">
        <v>88</v>
      </c>
      <c r="C2454" s="1" t="s">
        <v>1299</v>
      </c>
      <c r="D2454" s="1" t="s">
        <v>16</v>
      </c>
      <c r="E2454" s="1" t="s">
        <v>26</v>
      </c>
      <c r="F2454" s="1" t="s">
        <v>40</v>
      </c>
      <c r="G2454" s="1">
        <v>340445</v>
      </c>
      <c r="H2454" s="63">
        <v>45630</v>
      </c>
      <c r="I2454" s="63">
        <v>45807</v>
      </c>
      <c r="J2454" s="1">
        <v>177</v>
      </c>
      <c r="K2454" s="1">
        <v>7.9</v>
      </c>
      <c r="L2454" s="1" t="s">
        <v>20</v>
      </c>
      <c r="M2454" s="1" t="s">
        <v>42</v>
      </c>
      <c r="N2454" s="1" t="str">
        <f t="shared" si="38"/>
        <v>Normal</v>
      </c>
    </row>
    <row r="2455" spans="1:14" x14ac:dyDescent="0.25">
      <c r="A2455" s="1" t="s">
        <v>3718</v>
      </c>
      <c r="B2455" s="1" t="s">
        <v>59</v>
      </c>
      <c r="C2455" s="1" t="s">
        <v>650</v>
      </c>
      <c r="D2455" s="1" t="s">
        <v>46</v>
      </c>
      <c r="E2455" s="1" t="s">
        <v>77</v>
      </c>
      <c r="F2455" s="1" t="s">
        <v>18</v>
      </c>
      <c r="G2455" s="1">
        <v>450205</v>
      </c>
      <c r="H2455" s="63">
        <v>45068</v>
      </c>
      <c r="I2455" s="63">
        <v>45180</v>
      </c>
      <c r="J2455" s="1">
        <v>112</v>
      </c>
      <c r="K2455" s="1">
        <v>5.5</v>
      </c>
      <c r="L2455" s="1" t="s">
        <v>29</v>
      </c>
      <c r="M2455" s="1" t="s">
        <v>30</v>
      </c>
      <c r="N2455" s="1" t="str">
        <f t="shared" si="38"/>
        <v>Normal</v>
      </c>
    </row>
    <row r="2456" spans="1:14" x14ac:dyDescent="0.25">
      <c r="A2456" s="1" t="s">
        <v>3719</v>
      </c>
      <c r="B2456" s="1" t="s">
        <v>80</v>
      </c>
      <c r="C2456" s="1" t="s">
        <v>119</v>
      </c>
      <c r="D2456" s="1" t="s">
        <v>67</v>
      </c>
      <c r="E2456" s="1" t="s">
        <v>26</v>
      </c>
      <c r="F2456" s="1" t="s">
        <v>40</v>
      </c>
      <c r="G2456" s="1">
        <v>371781</v>
      </c>
      <c r="H2456" s="63">
        <v>45325</v>
      </c>
      <c r="I2456" s="63">
        <v>45354</v>
      </c>
      <c r="J2456" s="1">
        <v>29</v>
      </c>
      <c r="K2456" s="1">
        <v>11.1</v>
      </c>
      <c r="L2456" s="1" t="s">
        <v>20</v>
      </c>
      <c r="M2456" s="1" t="s">
        <v>69</v>
      </c>
      <c r="N2456" s="1" t="str">
        <f t="shared" si="38"/>
        <v>Normal</v>
      </c>
    </row>
    <row r="2457" spans="1:14" x14ac:dyDescent="0.25">
      <c r="A2457" s="1" t="s">
        <v>3720</v>
      </c>
      <c r="B2457" s="1" t="s">
        <v>127</v>
      </c>
      <c r="C2457" s="1" t="s">
        <v>141</v>
      </c>
      <c r="D2457" s="1" t="s">
        <v>25</v>
      </c>
      <c r="E2457" s="1" t="s">
        <v>61</v>
      </c>
      <c r="F2457" s="1" t="s">
        <v>27</v>
      </c>
      <c r="G2457" s="1">
        <v>460374</v>
      </c>
      <c r="H2457" s="63">
        <v>45208</v>
      </c>
      <c r="J2457" s="1"/>
      <c r="K2457" s="1"/>
      <c r="L2457" s="1" t="s">
        <v>20</v>
      </c>
      <c r="M2457" s="1" t="s">
        <v>21</v>
      </c>
      <c r="N2457" s="1" t="str">
        <f t="shared" si="38"/>
        <v>Normal</v>
      </c>
    </row>
    <row r="2458" spans="1:14" x14ac:dyDescent="0.25">
      <c r="A2458" s="1" t="s">
        <v>3721</v>
      </c>
      <c r="B2458" s="1" t="s">
        <v>104</v>
      </c>
      <c r="C2458" s="1" t="s">
        <v>328</v>
      </c>
      <c r="D2458" s="1" t="s">
        <v>90</v>
      </c>
      <c r="E2458" s="1" t="s">
        <v>61</v>
      </c>
      <c r="F2458" s="1" t="s">
        <v>18</v>
      </c>
      <c r="G2458" s="1">
        <v>222416</v>
      </c>
      <c r="H2458" s="63">
        <v>45719</v>
      </c>
      <c r="I2458" s="63">
        <v>45738</v>
      </c>
      <c r="J2458" s="1">
        <v>19</v>
      </c>
      <c r="K2458" s="1"/>
      <c r="L2458" s="1" t="s">
        <v>96</v>
      </c>
      <c r="M2458" s="1" t="s">
        <v>63</v>
      </c>
      <c r="N2458" s="1" t="str">
        <f t="shared" si="38"/>
        <v>Normal</v>
      </c>
    </row>
    <row r="2459" spans="1:14" x14ac:dyDescent="0.25">
      <c r="A2459" s="1" t="s">
        <v>3722</v>
      </c>
      <c r="B2459" s="1" t="s">
        <v>80</v>
      </c>
      <c r="C2459" s="1" t="s">
        <v>93</v>
      </c>
      <c r="D2459" s="1" t="s">
        <v>67</v>
      </c>
      <c r="E2459" s="1" t="s">
        <v>77</v>
      </c>
      <c r="F2459" s="1" t="s">
        <v>27</v>
      </c>
      <c r="G2459" s="1">
        <v>416907</v>
      </c>
      <c r="H2459" s="63">
        <v>45687</v>
      </c>
      <c r="J2459" s="1"/>
      <c r="K2459" s="1"/>
      <c r="L2459" s="1" t="s">
        <v>20</v>
      </c>
      <c r="M2459" s="1" t="s">
        <v>63</v>
      </c>
      <c r="N2459" s="1" t="str">
        <f t="shared" si="38"/>
        <v>Normal</v>
      </c>
    </row>
    <row r="2460" spans="1:14" x14ac:dyDescent="0.25">
      <c r="A2460" s="1" t="s">
        <v>3723</v>
      </c>
      <c r="B2460" s="1" t="s">
        <v>98</v>
      </c>
      <c r="C2460" s="1" t="s">
        <v>862</v>
      </c>
      <c r="D2460" s="1" t="s">
        <v>46</v>
      </c>
      <c r="E2460" s="1" t="s">
        <v>26</v>
      </c>
      <c r="F2460" s="1" t="s">
        <v>27</v>
      </c>
      <c r="G2460" s="1">
        <v>156811</v>
      </c>
      <c r="H2460" s="63">
        <v>45705</v>
      </c>
      <c r="J2460" s="1"/>
      <c r="K2460" s="1">
        <v>14.3</v>
      </c>
      <c r="L2460" s="1" t="s">
        <v>29</v>
      </c>
      <c r="M2460" s="1" t="s">
        <v>63</v>
      </c>
      <c r="N2460" s="1" t="str">
        <f t="shared" si="38"/>
        <v>Normal</v>
      </c>
    </row>
    <row r="2461" spans="1:14" x14ac:dyDescent="0.25">
      <c r="A2461" s="1" t="s">
        <v>3724</v>
      </c>
      <c r="B2461" s="1" t="s">
        <v>88</v>
      </c>
      <c r="C2461" s="1" t="s">
        <v>1339</v>
      </c>
      <c r="D2461" s="1" t="s">
        <v>46</v>
      </c>
      <c r="E2461" s="1" t="s">
        <v>47</v>
      </c>
      <c r="F2461" s="1" t="s">
        <v>40</v>
      </c>
      <c r="G2461" s="1">
        <v>56657</v>
      </c>
      <c r="H2461" s="63">
        <v>45263</v>
      </c>
      <c r="I2461" s="63">
        <v>45367</v>
      </c>
      <c r="J2461" s="1">
        <v>104</v>
      </c>
      <c r="K2461" s="1">
        <v>23.9</v>
      </c>
      <c r="L2461" s="1" t="s">
        <v>20</v>
      </c>
      <c r="M2461" s="1" t="s">
        <v>21</v>
      </c>
      <c r="N2461" s="1" t="str">
        <f t="shared" si="38"/>
        <v>Normal</v>
      </c>
    </row>
    <row r="2462" spans="1:14" x14ac:dyDescent="0.25">
      <c r="A2462" s="1" t="s">
        <v>3725</v>
      </c>
      <c r="B2462" s="1" t="s">
        <v>127</v>
      </c>
      <c r="C2462" s="1" t="s">
        <v>583</v>
      </c>
      <c r="D2462" s="1" t="s">
        <v>90</v>
      </c>
      <c r="E2462" s="1" t="s">
        <v>100</v>
      </c>
      <c r="F2462" s="1" t="s">
        <v>40</v>
      </c>
      <c r="G2462" s="1">
        <v>374102</v>
      </c>
      <c r="H2462" s="63">
        <v>45206</v>
      </c>
      <c r="I2462" s="63">
        <v>45350</v>
      </c>
      <c r="J2462" s="1">
        <v>144</v>
      </c>
      <c r="K2462" s="1">
        <v>18.100000000000001</v>
      </c>
      <c r="L2462" s="1" t="s">
        <v>29</v>
      </c>
      <c r="M2462" s="1" t="s">
        <v>21</v>
      </c>
      <c r="N2462" s="1" t="str">
        <f t="shared" si="38"/>
        <v>Normal</v>
      </c>
    </row>
    <row r="2463" spans="1:14" x14ac:dyDescent="0.25">
      <c r="A2463" s="1" t="s">
        <v>3726</v>
      </c>
      <c r="B2463" s="1" t="s">
        <v>59</v>
      </c>
      <c r="C2463" s="1" t="s">
        <v>141</v>
      </c>
      <c r="D2463" s="1" t="s">
        <v>39</v>
      </c>
      <c r="E2463" s="1" t="s">
        <v>4845</v>
      </c>
      <c r="F2463" s="1" t="s">
        <v>53</v>
      </c>
      <c r="G2463" s="1">
        <v>104979</v>
      </c>
      <c r="H2463" s="63">
        <v>45120</v>
      </c>
      <c r="J2463" s="1"/>
      <c r="K2463" s="1"/>
      <c r="L2463" s="1" t="s">
        <v>96</v>
      </c>
      <c r="M2463" s="1" t="s">
        <v>102</v>
      </c>
      <c r="N2463" s="1" t="str">
        <f t="shared" si="38"/>
        <v>Normal</v>
      </c>
    </row>
    <row r="2464" spans="1:14" x14ac:dyDescent="0.25">
      <c r="A2464" s="1" t="s">
        <v>3727</v>
      </c>
      <c r="B2464" s="1" t="s">
        <v>173</v>
      </c>
      <c r="C2464" s="1" t="s">
        <v>295</v>
      </c>
      <c r="D2464" s="1" t="s">
        <v>39</v>
      </c>
      <c r="E2464" s="1" t="s">
        <v>94</v>
      </c>
      <c r="F2464" s="1" t="s">
        <v>18</v>
      </c>
      <c r="G2464" s="1">
        <v>21733</v>
      </c>
      <c r="H2464" s="63">
        <v>45060</v>
      </c>
      <c r="I2464" s="63">
        <v>45107</v>
      </c>
      <c r="J2464" s="1">
        <v>47</v>
      </c>
      <c r="K2464" s="1">
        <v>8</v>
      </c>
      <c r="L2464" s="1" t="s">
        <v>96</v>
      </c>
      <c r="M2464" s="1" t="s">
        <v>30</v>
      </c>
      <c r="N2464" s="1" t="str">
        <f t="shared" si="38"/>
        <v>Normal</v>
      </c>
    </row>
    <row r="2465" spans="1:14" x14ac:dyDescent="0.25">
      <c r="A2465" s="1" t="s">
        <v>3728</v>
      </c>
      <c r="B2465" s="1" t="s">
        <v>88</v>
      </c>
      <c r="C2465" s="1" t="s">
        <v>132</v>
      </c>
      <c r="D2465" s="1" t="s">
        <v>90</v>
      </c>
      <c r="E2465" s="1" t="s">
        <v>72</v>
      </c>
      <c r="F2465" s="1" t="s">
        <v>18</v>
      </c>
      <c r="G2465" s="1">
        <v>33717</v>
      </c>
      <c r="H2465" s="63">
        <v>45290</v>
      </c>
      <c r="I2465" s="63">
        <v>45419</v>
      </c>
      <c r="J2465" s="1">
        <v>129</v>
      </c>
      <c r="K2465" s="1">
        <v>9.5</v>
      </c>
      <c r="L2465" s="1" t="s">
        <v>20</v>
      </c>
      <c r="M2465" s="1" t="s">
        <v>21</v>
      </c>
      <c r="N2465" s="1" t="str">
        <f t="shared" si="38"/>
        <v>Normal</v>
      </c>
    </row>
    <row r="2466" spans="1:14" x14ac:dyDescent="0.25">
      <c r="A2466" s="1" t="s">
        <v>3729</v>
      </c>
      <c r="B2466" s="1" t="s">
        <v>75</v>
      </c>
      <c r="C2466" s="1" t="s">
        <v>720</v>
      </c>
      <c r="D2466" s="1" t="s">
        <v>25</v>
      </c>
      <c r="E2466" s="1" t="s">
        <v>100</v>
      </c>
      <c r="F2466" s="1" t="s">
        <v>18</v>
      </c>
      <c r="G2466" s="1">
        <v>119980</v>
      </c>
      <c r="H2466" s="63">
        <v>45598</v>
      </c>
      <c r="I2466" s="63">
        <v>45621</v>
      </c>
      <c r="J2466" s="1">
        <v>23</v>
      </c>
      <c r="K2466" s="1">
        <v>5.9</v>
      </c>
      <c r="L2466" s="1" t="s">
        <v>96</v>
      </c>
      <c r="M2466" s="1" t="s">
        <v>42</v>
      </c>
      <c r="N2466" s="1" t="str">
        <f t="shared" si="38"/>
        <v>Normal</v>
      </c>
    </row>
    <row r="2467" spans="1:14" x14ac:dyDescent="0.25">
      <c r="A2467" s="1" t="s">
        <v>3730</v>
      </c>
      <c r="B2467" s="1" t="s">
        <v>84</v>
      </c>
      <c r="C2467" s="1" t="s">
        <v>747</v>
      </c>
      <c r="D2467" s="1" t="s">
        <v>39</v>
      </c>
      <c r="E2467" s="1" t="s">
        <v>4845</v>
      </c>
      <c r="F2467" s="1" t="s">
        <v>27</v>
      </c>
      <c r="G2467" s="1">
        <v>33133</v>
      </c>
      <c r="H2467" s="63">
        <v>45714</v>
      </c>
      <c r="J2467" s="1"/>
      <c r="K2467" s="1">
        <v>1.8</v>
      </c>
      <c r="L2467" s="1" t="s">
        <v>96</v>
      </c>
      <c r="M2467" s="1" t="s">
        <v>63</v>
      </c>
      <c r="N2467" s="1" t="str">
        <f t="shared" si="38"/>
        <v>Normal</v>
      </c>
    </row>
    <row r="2468" spans="1:14" x14ac:dyDescent="0.25">
      <c r="A2468" s="1" t="s">
        <v>3731</v>
      </c>
      <c r="B2468" s="1" t="s">
        <v>104</v>
      </c>
      <c r="C2468" s="1" t="s">
        <v>679</v>
      </c>
      <c r="D2468" s="1" t="s">
        <v>90</v>
      </c>
      <c r="E2468" s="1" t="s">
        <v>94</v>
      </c>
      <c r="F2468" s="1" t="s">
        <v>33</v>
      </c>
      <c r="G2468" s="1">
        <v>243264</v>
      </c>
      <c r="H2468" s="63">
        <v>45548</v>
      </c>
      <c r="J2468" s="1"/>
      <c r="K2468" s="1"/>
      <c r="L2468" s="1" t="s">
        <v>29</v>
      </c>
      <c r="M2468" s="1" t="s">
        <v>149</v>
      </c>
      <c r="N2468" s="1" t="str">
        <f t="shared" si="38"/>
        <v>Normal</v>
      </c>
    </row>
    <row r="2469" spans="1:14" x14ac:dyDescent="0.25">
      <c r="A2469" s="1" t="s">
        <v>3732</v>
      </c>
      <c r="B2469" s="1" t="s">
        <v>127</v>
      </c>
      <c r="C2469" s="1" t="s">
        <v>625</v>
      </c>
      <c r="D2469" s="1" t="s">
        <v>39</v>
      </c>
      <c r="E2469" s="1" t="s">
        <v>61</v>
      </c>
      <c r="F2469" s="1" t="s">
        <v>53</v>
      </c>
      <c r="G2469" s="1">
        <v>199533</v>
      </c>
      <c r="H2469" s="63">
        <v>45314</v>
      </c>
      <c r="J2469" s="1"/>
      <c r="K2469" s="1">
        <v>12</v>
      </c>
      <c r="L2469" s="1" t="s">
        <v>49</v>
      </c>
      <c r="M2469" s="1" t="s">
        <v>69</v>
      </c>
      <c r="N2469" s="1" t="str">
        <f t="shared" si="38"/>
        <v>Normal</v>
      </c>
    </row>
    <row r="2470" spans="1:14" x14ac:dyDescent="0.25">
      <c r="A2470" s="1" t="s">
        <v>3733</v>
      </c>
      <c r="B2470" s="1" t="s">
        <v>65</v>
      </c>
      <c r="C2470" s="1" t="s">
        <v>387</v>
      </c>
      <c r="D2470" s="1" t="s">
        <v>25</v>
      </c>
      <c r="E2470" s="1" t="s">
        <v>47</v>
      </c>
      <c r="F2470" s="1" t="s">
        <v>18</v>
      </c>
      <c r="G2470" s="1">
        <v>439014</v>
      </c>
      <c r="H2470" s="63">
        <v>45451</v>
      </c>
      <c r="I2470" s="63">
        <v>45613</v>
      </c>
      <c r="J2470" s="1">
        <v>162</v>
      </c>
      <c r="K2470" s="1">
        <v>3.9</v>
      </c>
      <c r="L2470" s="1" t="s">
        <v>29</v>
      </c>
      <c r="M2470" s="1" t="s">
        <v>107</v>
      </c>
      <c r="N2470" s="1" t="str">
        <f t="shared" si="38"/>
        <v>Normal</v>
      </c>
    </row>
    <row r="2471" spans="1:14" x14ac:dyDescent="0.25">
      <c r="A2471" s="1" t="s">
        <v>3734</v>
      </c>
      <c r="B2471" s="1" t="s">
        <v>23</v>
      </c>
      <c r="C2471" s="1" t="s">
        <v>343</v>
      </c>
      <c r="D2471" s="1" t="s">
        <v>39</v>
      </c>
      <c r="E2471" s="1" t="s">
        <v>94</v>
      </c>
      <c r="F2471" s="1" t="s">
        <v>129</v>
      </c>
      <c r="G2471" s="1">
        <v>11116</v>
      </c>
      <c r="H2471" s="63">
        <v>45288</v>
      </c>
      <c r="J2471" s="1"/>
      <c r="K2471" s="1">
        <v>5.0999999999999996</v>
      </c>
      <c r="L2471" s="1" t="s">
        <v>29</v>
      </c>
      <c r="M2471" s="1" t="s">
        <v>21</v>
      </c>
      <c r="N2471" s="1" t="str">
        <f t="shared" si="38"/>
        <v>Normal</v>
      </c>
    </row>
    <row r="2472" spans="1:14" x14ac:dyDescent="0.25">
      <c r="A2472" s="1" t="s">
        <v>3735</v>
      </c>
      <c r="B2472" s="1" t="s">
        <v>127</v>
      </c>
      <c r="C2472" s="1" t="s">
        <v>1225</v>
      </c>
      <c r="D2472" s="1" t="s">
        <v>16</v>
      </c>
      <c r="E2472" s="1" t="s">
        <v>4845</v>
      </c>
      <c r="F2472" s="1" t="s">
        <v>33</v>
      </c>
      <c r="G2472" s="1">
        <v>320043</v>
      </c>
      <c r="H2472" s="63">
        <v>45298</v>
      </c>
      <c r="J2472" s="1"/>
      <c r="K2472" s="1"/>
      <c r="L2472" s="1" t="s">
        <v>20</v>
      </c>
      <c r="M2472" s="1" t="s">
        <v>69</v>
      </c>
      <c r="N2472" s="1" t="str">
        <f t="shared" si="38"/>
        <v>Normal</v>
      </c>
    </row>
    <row r="2473" spans="1:14" x14ac:dyDescent="0.25">
      <c r="A2473" s="1" t="s">
        <v>3736</v>
      </c>
      <c r="B2473" s="1" t="s">
        <v>23</v>
      </c>
      <c r="C2473" s="1" t="s">
        <v>116</v>
      </c>
      <c r="D2473" s="1" t="s">
        <v>16</v>
      </c>
      <c r="E2473" s="1" t="s">
        <v>17</v>
      </c>
      <c r="F2473" s="1" t="s">
        <v>53</v>
      </c>
      <c r="G2473" s="1">
        <v>38350</v>
      </c>
      <c r="H2473" s="63">
        <v>45607</v>
      </c>
      <c r="J2473" s="1"/>
      <c r="K2473" s="1">
        <v>14.8</v>
      </c>
      <c r="L2473" s="1" t="s">
        <v>29</v>
      </c>
      <c r="M2473" s="1" t="s">
        <v>42</v>
      </c>
      <c r="N2473" s="1" t="str">
        <f t="shared" si="38"/>
        <v>Normal</v>
      </c>
    </row>
    <row r="2474" spans="1:14" x14ac:dyDescent="0.25">
      <c r="A2474" s="1" t="s">
        <v>3737</v>
      </c>
      <c r="B2474" s="1" t="s">
        <v>14</v>
      </c>
      <c r="C2474" s="1" t="s">
        <v>433</v>
      </c>
      <c r="D2474" s="1" t="s">
        <v>16</v>
      </c>
      <c r="E2474" s="1" t="s">
        <v>17</v>
      </c>
      <c r="F2474" s="1" t="s">
        <v>53</v>
      </c>
      <c r="G2474" s="1">
        <v>280313</v>
      </c>
      <c r="H2474" s="63">
        <v>45676</v>
      </c>
      <c r="J2474" s="1"/>
      <c r="K2474" s="1"/>
      <c r="L2474" s="1" t="s">
        <v>20</v>
      </c>
      <c r="M2474" s="1" t="s">
        <v>63</v>
      </c>
      <c r="N2474" s="1" t="str">
        <f t="shared" si="38"/>
        <v>Normal</v>
      </c>
    </row>
    <row r="2475" spans="1:14" x14ac:dyDescent="0.25">
      <c r="A2475" s="1" t="s">
        <v>3738</v>
      </c>
      <c r="B2475" s="1" t="s">
        <v>65</v>
      </c>
      <c r="C2475" s="1" t="s">
        <v>258</v>
      </c>
      <c r="D2475" s="1" t="s">
        <v>16</v>
      </c>
      <c r="E2475" s="1" t="s">
        <v>61</v>
      </c>
      <c r="F2475" s="1" t="s">
        <v>18</v>
      </c>
      <c r="G2475" s="1">
        <v>313350</v>
      </c>
      <c r="H2475" s="63">
        <v>45508</v>
      </c>
      <c r="I2475" s="63">
        <v>45630</v>
      </c>
      <c r="J2475" s="1">
        <v>122</v>
      </c>
      <c r="K2475" s="1">
        <v>8</v>
      </c>
      <c r="L2475" s="1" t="s">
        <v>96</v>
      </c>
      <c r="M2475" s="1" t="s">
        <v>149</v>
      </c>
      <c r="N2475" s="1" t="str">
        <f t="shared" si="38"/>
        <v>Normal</v>
      </c>
    </row>
    <row r="2476" spans="1:14" x14ac:dyDescent="0.25">
      <c r="A2476" s="1" t="s">
        <v>3739</v>
      </c>
      <c r="B2476" s="1" t="s">
        <v>109</v>
      </c>
      <c r="C2476" s="1" t="s">
        <v>406</v>
      </c>
      <c r="D2476" s="1" t="s">
        <v>90</v>
      </c>
      <c r="E2476" s="1" t="s">
        <v>100</v>
      </c>
      <c r="F2476" s="1" t="s">
        <v>40</v>
      </c>
      <c r="G2476" s="1">
        <v>302316</v>
      </c>
      <c r="H2476" s="63">
        <v>45139</v>
      </c>
      <c r="I2476" s="63">
        <v>45166</v>
      </c>
      <c r="J2476" s="1">
        <v>27</v>
      </c>
      <c r="K2476" s="1">
        <v>1.4</v>
      </c>
      <c r="L2476" s="1" t="s">
        <v>49</v>
      </c>
      <c r="M2476" s="1" t="s">
        <v>102</v>
      </c>
      <c r="N2476" s="1" t="str">
        <f t="shared" si="38"/>
        <v>Normal</v>
      </c>
    </row>
    <row r="2477" spans="1:14" x14ac:dyDescent="0.25">
      <c r="A2477" s="1" t="s">
        <v>3740</v>
      </c>
      <c r="B2477" s="1" t="s">
        <v>23</v>
      </c>
      <c r="C2477" s="1" t="s">
        <v>521</v>
      </c>
      <c r="D2477" s="1" t="s">
        <v>90</v>
      </c>
      <c r="E2477" s="1" t="s">
        <v>77</v>
      </c>
      <c r="F2477" s="1" t="s">
        <v>33</v>
      </c>
      <c r="G2477" s="1">
        <v>923296</v>
      </c>
      <c r="H2477" s="63">
        <v>45410</v>
      </c>
      <c r="J2477" s="1"/>
      <c r="K2477" s="1"/>
      <c r="L2477" s="1" t="s">
        <v>20</v>
      </c>
      <c r="M2477" s="1" t="s">
        <v>107</v>
      </c>
      <c r="N2477" s="1" t="str">
        <f t="shared" si="38"/>
        <v>High Outlier</v>
      </c>
    </row>
    <row r="2478" spans="1:14" x14ac:dyDescent="0.25">
      <c r="A2478" s="1" t="s">
        <v>3741</v>
      </c>
      <c r="B2478" s="1" t="s">
        <v>80</v>
      </c>
      <c r="C2478" s="1" t="s">
        <v>110</v>
      </c>
      <c r="D2478" s="1" t="s">
        <v>39</v>
      </c>
      <c r="E2478" s="1" t="s">
        <v>4845</v>
      </c>
      <c r="F2478" s="1" t="s">
        <v>40</v>
      </c>
      <c r="G2478" s="1">
        <v>184520</v>
      </c>
      <c r="H2478" s="63">
        <v>44992</v>
      </c>
      <c r="I2478" s="63">
        <v>45155</v>
      </c>
      <c r="J2478" s="1">
        <v>163</v>
      </c>
      <c r="K2478" s="1">
        <v>9.4</v>
      </c>
      <c r="L2478" s="1" t="s">
        <v>29</v>
      </c>
      <c r="M2478" s="1" t="s">
        <v>35</v>
      </c>
      <c r="N2478" s="1" t="str">
        <f t="shared" si="38"/>
        <v>Normal</v>
      </c>
    </row>
    <row r="2479" spans="1:14" x14ac:dyDescent="0.25">
      <c r="A2479" s="1" t="s">
        <v>3742</v>
      </c>
      <c r="B2479" s="1" t="s">
        <v>44</v>
      </c>
      <c r="C2479" s="1" t="s">
        <v>99</v>
      </c>
      <c r="D2479" s="1" t="s">
        <v>67</v>
      </c>
      <c r="E2479" s="1" t="s">
        <v>4845</v>
      </c>
      <c r="F2479" s="1" t="s">
        <v>40</v>
      </c>
      <c r="G2479" s="1">
        <v>108648</v>
      </c>
      <c r="H2479" s="63">
        <v>45045</v>
      </c>
      <c r="I2479" s="63">
        <v>45206</v>
      </c>
      <c r="J2479" s="1">
        <v>161</v>
      </c>
      <c r="K2479" s="1">
        <v>21.3</v>
      </c>
      <c r="L2479" s="1" t="s">
        <v>20</v>
      </c>
      <c r="M2479" s="1" t="s">
        <v>30</v>
      </c>
      <c r="N2479" s="1" t="str">
        <f t="shared" si="38"/>
        <v>Normal</v>
      </c>
    </row>
    <row r="2480" spans="1:14" x14ac:dyDescent="0.25">
      <c r="A2480" s="1" t="s">
        <v>3743</v>
      </c>
      <c r="B2480" s="1" t="s">
        <v>98</v>
      </c>
      <c r="C2480" s="1" t="s">
        <v>1095</v>
      </c>
      <c r="D2480" s="1" t="s">
        <v>90</v>
      </c>
      <c r="E2480" s="1" t="s">
        <v>72</v>
      </c>
      <c r="F2480" s="1" t="s">
        <v>129</v>
      </c>
      <c r="G2480" s="1">
        <v>118592</v>
      </c>
      <c r="H2480" s="63">
        <v>45745</v>
      </c>
      <c r="J2480" s="1"/>
      <c r="K2480" s="1">
        <v>14.6</v>
      </c>
      <c r="L2480" s="1" t="s">
        <v>96</v>
      </c>
      <c r="M2480" s="1" t="s">
        <v>63</v>
      </c>
      <c r="N2480" s="1" t="str">
        <f t="shared" si="38"/>
        <v>Normal</v>
      </c>
    </row>
    <row r="2481" spans="1:14" x14ac:dyDescent="0.25">
      <c r="A2481" s="1" t="s">
        <v>3744</v>
      </c>
      <c r="B2481" s="1" t="s">
        <v>59</v>
      </c>
      <c r="C2481" s="1" t="s">
        <v>147</v>
      </c>
      <c r="D2481" s="1" t="s">
        <v>39</v>
      </c>
      <c r="E2481" s="1" t="s">
        <v>100</v>
      </c>
      <c r="F2481" s="1" t="s">
        <v>33</v>
      </c>
      <c r="G2481" s="1">
        <v>251885</v>
      </c>
      <c r="H2481" s="63">
        <v>45136</v>
      </c>
      <c r="J2481" s="1"/>
      <c r="K2481" s="1">
        <v>3.2</v>
      </c>
      <c r="L2481" s="1" t="s">
        <v>20</v>
      </c>
      <c r="M2481" s="1" t="s">
        <v>102</v>
      </c>
      <c r="N2481" s="1" t="str">
        <f t="shared" si="38"/>
        <v>Normal</v>
      </c>
    </row>
    <row r="2482" spans="1:14" x14ac:dyDescent="0.25">
      <c r="A2482" s="1" t="s">
        <v>3745</v>
      </c>
      <c r="B2482" s="1" t="s">
        <v>80</v>
      </c>
      <c r="C2482" s="1" t="s">
        <v>1410</v>
      </c>
      <c r="D2482" s="1" t="s">
        <v>46</v>
      </c>
      <c r="E2482" s="1" t="s">
        <v>47</v>
      </c>
      <c r="F2482" s="1" t="s">
        <v>40</v>
      </c>
      <c r="G2482" s="1">
        <v>301118</v>
      </c>
      <c r="H2482" s="63">
        <v>45381</v>
      </c>
      <c r="I2482" s="63">
        <v>45476</v>
      </c>
      <c r="J2482" s="1">
        <v>95</v>
      </c>
      <c r="K2482" s="1">
        <v>6.8</v>
      </c>
      <c r="L2482" s="1" t="s">
        <v>49</v>
      </c>
      <c r="M2482" s="1" t="s">
        <v>69</v>
      </c>
      <c r="N2482" s="1" t="str">
        <f t="shared" si="38"/>
        <v>Normal</v>
      </c>
    </row>
    <row r="2483" spans="1:14" x14ac:dyDescent="0.25">
      <c r="A2483" s="1" t="s">
        <v>3746</v>
      </c>
      <c r="B2483" s="1" t="s">
        <v>23</v>
      </c>
      <c r="C2483" s="1" t="s">
        <v>1050</v>
      </c>
      <c r="D2483" s="1" t="s">
        <v>46</v>
      </c>
      <c r="E2483" s="1" t="s">
        <v>100</v>
      </c>
      <c r="F2483" s="1" t="s">
        <v>27</v>
      </c>
      <c r="G2483" s="1">
        <v>40748</v>
      </c>
      <c r="H2483" s="63">
        <v>45557</v>
      </c>
      <c r="J2483" s="1"/>
      <c r="K2483" s="1">
        <v>5.4</v>
      </c>
      <c r="L2483" s="1" t="s">
        <v>20</v>
      </c>
      <c r="M2483" s="1" t="s">
        <v>149</v>
      </c>
      <c r="N2483" s="1" t="str">
        <f t="shared" si="38"/>
        <v>Normal</v>
      </c>
    </row>
    <row r="2484" spans="1:14" x14ac:dyDescent="0.25">
      <c r="A2484" s="1" t="s">
        <v>3747</v>
      </c>
      <c r="B2484" s="1" t="s">
        <v>98</v>
      </c>
      <c r="C2484" s="1" t="s">
        <v>237</v>
      </c>
      <c r="D2484" s="1" t="s">
        <v>39</v>
      </c>
      <c r="E2484" s="1" t="s">
        <v>100</v>
      </c>
      <c r="F2484" s="1" t="s">
        <v>53</v>
      </c>
      <c r="G2484" s="1">
        <v>476356</v>
      </c>
      <c r="H2484" s="63">
        <v>45092</v>
      </c>
      <c r="J2484" s="1"/>
      <c r="K2484" s="1">
        <v>5.0999999999999996</v>
      </c>
      <c r="L2484" s="1" t="s">
        <v>20</v>
      </c>
      <c r="M2484" s="1" t="s">
        <v>30</v>
      </c>
      <c r="N2484" s="1" t="str">
        <f t="shared" si="38"/>
        <v>Normal</v>
      </c>
    </row>
    <row r="2485" spans="1:14" x14ac:dyDescent="0.25">
      <c r="A2485" s="1" t="s">
        <v>3748</v>
      </c>
      <c r="B2485" s="1" t="s">
        <v>173</v>
      </c>
      <c r="C2485" s="1" t="s">
        <v>151</v>
      </c>
      <c r="D2485" s="1" t="s">
        <v>46</v>
      </c>
      <c r="E2485" s="1" t="s">
        <v>61</v>
      </c>
      <c r="F2485" s="1" t="s">
        <v>40</v>
      </c>
      <c r="G2485" s="1">
        <v>112934</v>
      </c>
      <c r="H2485" s="63">
        <v>45517</v>
      </c>
      <c r="I2485" s="63">
        <v>45638</v>
      </c>
      <c r="J2485" s="1">
        <v>121</v>
      </c>
      <c r="K2485" s="1">
        <v>2.1</v>
      </c>
      <c r="L2485" s="1" t="s">
        <v>20</v>
      </c>
      <c r="M2485" s="1" t="s">
        <v>149</v>
      </c>
      <c r="N2485" s="1" t="str">
        <f t="shared" si="38"/>
        <v>Normal</v>
      </c>
    </row>
    <row r="2486" spans="1:14" x14ac:dyDescent="0.25">
      <c r="A2486" s="1" t="s">
        <v>3749</v>
      </c>
      <c r="B2486" s="1" t="s">
        <v>84</v>
      </c>
      <c r="C2486" s="1" t="s">
        <v>596</v>
      </c>
      <c r="D2486" s="1" t="s">
        <v>46</v>
      </c>
      <c r="E2486" s="1" t="s">
        <v>17</v>
      </c>
      <c r="F2486" s="1" t="s">
        <v>33</v>
      </c>
      <c r="G2486" s="1">
        <v>266428</v>
      </c>
      <c r="H2486" s="63">
        <v>45067</v>
      </c>
      <c r="J2486" s="1"/>
      <c r="K2486" s="1">
        <v>4.3</v>
      </c>
      <c r="L2486" s="1" t="s">
        <v>29</v>
      </c>
      <c r="M2486" s="1" t="s">
        <v>30</v>
      </c>
      <c r="N2486" s="1" t="str">
        <f t="shared" si="38"/>
        <v>Normal</v>
      </c>
    </row>
    <row r="2487" spans="1:14" x14ac:dyDescent="0.25">
      <c r="A2487" s="1" t="s">
        <v>3750</v>
      </c>
      <c r="B2487" s="1" t="s">
        <v>109</v>
      </c>
      <c r="C2487" s="1" t="s">
        <v>1457</v>
      </c>
      <c r="D2487" s="1" t="s">
        <v>25</v>
      </c>
      <c r="E2487" s="1" t="s">
        <v>100</v>
      </c>
      <c r="F2487" s="1" t="s">
        <v>129</v>
      </c>
      <c r="G2487" s="1">
        <v>480689</v>
      </c>
      <c r="H2487" s="63">
        <v>45193</v>
      </c>
      <c r="J2487" s="1"/>
      <c r="K2487" s="1">
        <v>0.4</v>
      </c>
      <c r="L2487" s="1" t="s">
        <v>49</v>
      </c>
      <c r="M2487" s="1" t="s">
        <v>102</v>
      </c>
      <c r="N2487" s="1" t="str">
        <f t="shared" si="38"/>
        <v>Normal</v>
      </c>
    </row>
    <row r="2488" spans="1:14" x14ac:dyDescent="0.25">
      <c r="A2488" s="1" t="s">
        <v>3752</v>
      </c>
      <c r="B2488" s="1" t="s">
        <v>104</v>
      </c>
      <c r="C2488" s="1" t="s">
        <v>488</v>
      </c>
      <c r="D2488" s="1" t="s">
        <v>25</v>
      </c>
      <c r="E2488" s="1" t="s">
        <v>72</v>
      </c>
      <c r="F2488" s="1" t="s">
        <v>40</v>
      </c>
      <c r="G2488" s="1">
        <v>43907</v>
      </c>
      <c r="H2488" s="63">
        <v>45310</v>
      </c>
      <c r="I2488" s="63">
        <v>45419</v>
      </c>
      <c r="J2488" s="1">
        <v>109</v>
      </c>
      <c r="K2488" s="1">
        <v>14.3</v>
      </c>
      <c r="L2488" s="1" t="s">
        <v>49</v>
      </c>
      <c r="M2488" s="1" t="s">
        <v>69</v>
      </c>
      <c r="N2488" s="1" t="str">
        <f t="shared" si="38"/>
        <v>Normal</v>
      </c>
    </row>
    <row r="2489" spans="1:14" x14ac:dyDescent="0.25">
      <c r="A2489" s="1" t="s">
        <v>3753</v>
      </c>
      <c r="B2489" s="1" t="s">
        <v>109</v>
      </c>
      <c r="C2489" s="1" t="s">
        <v>1136</v>
      </c>
      <c r="D2489" s="1" t="s">
        <v>90</v>
      </c>
      <c r="E2489" s="1" t="s">
        <v>26</v>
      </c>
      <c r="F2489" s="1" t="s">
        <v>33</v>
      </c>
      <c r="G2489" s="1">
        <v>223981</v>
      </c>
      <c r="H2489" s="63">
        <v>45310</v>
      </c>
      <c r="J2489" s="1"/>
      <c r="K2489" s="1">
        <v>7.1</v>
      </c>
      <c r="L2489" s="1" t="s">
        <v>96</v>
      </c>
      <c r="M2489" s="1" t="s">
        <v>69</v>
      </c>
      <c r="N2489" s="1" t="str">
        <f t="shared" si="38"/>
        <v>Normal</v>
      </c>
    </row>
    <row r="2490" spans="1:14" x14ac:dyDescent="0.25">
      <c r="A2490" s="1" t="s">
        <v>3754</v>
      </c>
      <c r="B2490" s="1" t="s">
        <v>109</v>
      </c>
      <c r="C2490" s="1" t="s">
        <v>174</v>
      </c>
      <c r="D2490" s="1" t="s">
        <v>16</v>
      </c>
      <c r="E2490" s="1" t="s">
        <v>100</v>
      </c>
      <c r="F2490" s="1" t="s">
        <v>18</v>
      </c>
      <c r="G2490" s="1">
        <v>193562</v>
      </c>
      <c r="H2490" s="63">
        <v>45586</v>
      </c>
      <c r="I2490" s="63">
        <v>45615</v>
      </c>
      <c r="J2490" s="1">
        <v>29</v>
      </c>
      <c r="K2490" s="1"/>
      <c r="L2490" s="1" t="s">
        <v>96</v>
      </c>
      <c r="M2490" s="1" t="s">
        <v>42</v>
      </c>
      <c r="N2490" s="1" t="str">
        <f t="shared" si="38"/>
        <v>Normal</v>
      </c>
    </row>
    <row r="2491" spans="1:14" x14ac:dyDescent="0.25">
      <c r="A2491" s="1" t="s">
        <v>3755</v>
      </c>
      <c r="B2491" s="1" t="s">
        <v>59</v>
      </c>
      <c r="C2491" s="1" t="s">
        <v>160</v>
      </c>
      <c r="D2491" s="1" t="s">
        <v>67</v>
      </c>
      <c r="E2491" s="1" t="s">
        <v>17</v>
      </c>
      <c r="F2491" s="1" t="s">
        <v>33</v>
      </c>
      <c r="G2491" s="1">
        <v>355197</v>
      </c>
      <c r="H2491" s="63">
        <v>45020</v>
      </c>
      <c r="J2491" s="1"/>
      <c r="K2491" s="1"/>
      <c r="L2491" s="1" t="s">
        <v>20</v>
      </c>
      <c r="M2491" s="1" t="s">
        <v>30</v>
      </c>
      <c r="N2491" s="1" t="str">
        <f t="shared" si="38"/>
        <v>Normal</v>
      </c>
    </row>
    <row r="2492" spans="1:14" x14ac:dyDescent="0.25">
      <c r="A2492" s="1" t="s">
        <v>3756</v>
      </c>
      <c r="B2492" s="1" t="s">
        <v>44</v>
      </c>
      <c r="C2492" s="1" t="s">
        <v>587</v>
      </c>
      <c r="D2492" s="1" t="s">
        <v>25</v>
      </c>
      <c r="E2492" s="1" t="s">
        <v>100</v>
      </c>
      <c r="F2492" s="1" t="s">
        <v>40</v>
      </c>
      <c r="G2492" s="1">
        <v>75307</v>
      </c>
      <c r="H2492" s="63">
        <v>45343</v>
      </c>
      <c r="I2492" s="63">
        <v>45414</v>
      </c>
      <c r="J2492" s="1">
        <v>71</v>
      </c>
      <c r="K2492" s="1">
        <v>15.2</v>
      </c>
      <c r="L2492" s="1" t="s">
        <v>29</v>
      </c>
      <c r="M2492" s="1" t="s">
        <v>69</v>
      </c>
      <c r="N2492" s="1" t="str">
        <f t="shared" si="38"/>
        <v>Normal</v>
      </c>
    </row>
    <row r="2493" spans="1:14" x14ac:dyDescent="0.25">
      <c r="A2493" s="1" t="s">
        <v>3758</v>
      </c>
      <c r="B2493" s="1" t="s">
        <v>23</v>
      </c>
      <c r="C2493" s="1" t="s">
        <v>859</v>
      </c>
      <c r="D2493" s="1" t="s">
        <v>46</v>
      </c>
      <c r="E2493" s="1" t="s">
        <v>26</v>
      </c>
      <c r="F2493" s="1" t="s">
        <v>33</v>
      </c>
      <c r="G2493" s="1">
        <v>421877</v>
      </c>
      <c r="H2493" s="63">
        <v>45206</v>
      </c>
      <c r="J2493" s="1"/>
      <c r="K2493" s="1">
        <v>6.7</v>
      </c>
      <c r="L2493" s="1" t="s">
        <v>20</v>
      </c>
      <c r="M2493" s="1" t="s">
        <v>21</v>
      </c>
      <c r="N2493" s="1" t="str">
        <f t="shared" si="38"/>
        <v>Normal</v>
      </c>
    </row>
    <row r="2494" spans="1:14" x14ac:dyDescent="0.25">
      <c r="A2494" s="1" t="s">
        <v>3759</v>
      </c>
      <c r="B2494" s="1" t="s">
        <v>109</v>
      </c>
      <c r="C2494" s="1" t="s">
        <v>113</v>
      </c>
      <c r="D2494" s="1" t="s">
        <v>39</v>
      </c>
      <c r="E2494" s="1" t="s">
        <v>26</v>
      </c>
      <c r="F2494" s="1" t="s">
        <v>27</v>
      </c>
      <c r="G2494" s="1">
        <v>406915</v>
      </c>
      <c r="H2494" s="63">
        <v>45732</v>
      </c>
      <c r="J2494" s="1"/>
      <c r="K2494" s="1"/>
      <c r="L2494" s="1" t="s">
        <v>49</v>
      </c>
      <c r="M2494" s="1" t="s">
        <v>63</v>
      </c>
      <c r="N2494" s="1" t="str">
        <f t="shared" si="38"/>
        <v>Normal</v>
      </c>
    </row>
    <row r="2495" spans="1:14" x14ac:dyDescent="0.25">
      <c r="A2495" s="1" t="s">
        <v>3760</v>
      </c>
      <c r="B2495" s="1" t="s">
        <v>75</v>
      </c>
      <c r="C2495" s="1" t="s">
        <v>308</v>
      </c>
      <c r="D2495" s="1" t="s">
        <v>16</v>
      </c>
      <c r="E2495" s="1" t="s">
        <v>94</v>
      </c>
      <c r="F2495" s="1" t="s">
        <v>40</v>
      </c>
      <c r="G2495" s="1">
        <v>426415</v>
      </c>
      <c r="H2495" s="63">
        <v>45558</v>
      </c>
      <c r="I2495" s="63">
        <v>45641</v>
      </c>
      <c r="J2495" s="1">
        <v>83</v>
      </c>
      <c r="K2495" s="1">
        <v>18.399999999999999</v>
      </c>
      <c r="L2495" s="1" t="s">
        <v>49</v>
      </c>
      <c r="M2495" s="1" t="s">
        <v>149</v>
      </c>
      <c r="N2495" s="1" t="str">
        <f t="shared" si="38"/>
        <v>Normal</v>
      </c>
    </row>
    <row r="2496" spans="1:14" x14ac:dyDescent="0.25">
      <c r="A2496" s="1" t="s">
        <v>3761</v>
      </c>
      <c r="B2496" s="1" t="s">
        <v>23</v>
      </c>
      <c r="C2496" s="1" t="s">
        <v>877</v>
      </c>
      <c r="D2496" s="1" t="s">
        <v>67</v>
      </c>
      <c r="E2496" s="1" t="s">
        <v>17</v>
      </c>
      <c r="F2496" s="1" t="s">
        <v>53</v>
      </c>
      <c r="G2496" s="1">
        <v>204632</v>
      </c>
      <c r="H2496" s="63">
        <v>45172</v>
      </c>
      <c r="J2496" s="1"/>
      <c r="K2496" s="1">
        <v>12.6</v>
      </c>
      <c r="L2496" s="1" t="s">
        <v>96</v>
      </c>
      <c r="M2496" s="1" t="s">
        <v>102</v>
      </c>
      <c r="N2496" s="1" t="str">
        <f t="shared" si="38"/>
        <v>Normal</v>
      </c>
    </row>
    <row r="2497" spans="1:14" x14ac:dyDescent="0.25">
      <c r="A2497" s="1" t="s">
        <v>3762</v>
      </c>
      <c r="B2497" s="1" t="s">
        <v>65</v>
      </c>
      <c r="C2497" s="1" t="s">
        <v>270</v>
      </c>
      <c r="D2497" s="1" t="s">
        <v>90</v>
      </c>
      <c r="E2497" s="1" t="s">
        <v>61</v>
      </c>
      <c r="F2497" s="1" t="s">
        <v>40</v>
      </c>
      <c r="G2497" s="1">
        <v>459475</v>
      </c>
      <c r="H2497" s="63">
        <v>45473</v>
      </c>
      <c r="I2497" s="63">
        <v>45521</v>
      </c>
      <c r="J2497" s="1">
        <v>48</v>
      </c>
      <c r="K2497" s="1">
        <v>2.1</v>
      </c>
      <c r="L2497" s="1" t="s">
        <v>49</v>
      </c>
      <c r="M2497" s="1" t="s">
        <v>107</v>
      </c>
      <c r="N2497" s="1" t="str">
        <f t="shared" si="38"/>
        <v>Normal</v>
      </c>
    </row>
    <row r="2498" spans="1:14" x14ac:dyDescent="0.25">
      <c r="A2498" s="1" t="s">
        <v>3763</v>
      </c>
      <c r="B2498" s="1" t="s">
        <v>104</v>
      </c>
      <c r="C2498" s="1" t="s">
        <v>679</v>
      </c>
      <c r="D2498" s="1" t="s">
        <v>39</v>
      </c>
      <c r="E2498" s="1" t="s">
        <v>77</v>
      </c>
      <c r="F2498" s="1" t="s">
        <v>40</v>
      </c>
      <c r="G2498" s="1">
        <v>299023</v>
      </c>
      <c r="H2498" s="63">
        <v>44977</v>
      </c>
      <c r="I2498" s="63">
        <v>45043</v>
      </c>
      <c r="J2498" s="1">
        <v>66</v>
      </c>
      <c r="K2498" s="1">
        <v>0.8</v>
      </c>
      <c r="L2498" s="1" t="s">
        <v>20</v>
      </c>
      <c r="M2498" s="1" t="s">
        <v>35</v>
      </c>
      <c r="N2498" s="1" t="str">
        <f t="shared" si="38"/>
        <v>Normal</v>
      </c>
    </row>
    <row r="2499" spans="1:14" x14ac:dyDescent="0.25">
      <c r="A2499" s="1" t="s">
        <v>3764</v>
      </c>
      <c r="B2499" s="1" t="s">
        <v>109</v>
      </c>
      <c r="C2499" s="1" t="s">
        <v>449</v>
      </c>
      <c r="D2499" s="1" t="s">
        <v>46</v>
      </c>
      <c r="E2499" s="1" t="s">
        <v>61</v>
      </c>
      <c r="F2499" s="1" t="s">
        <v>40</v>
      </c>
      <c r="G2499" s="1">
        <v>326491</v>
      </c>
      <c r="H2499" s="63">
        <v>45459</v>
      </c>
      <c r="I2499" s="63">
        <v>45627</v>
      </c>
      <c r="J2499" s="1">
        <v>168</v>
      </c>
      <c r="K2499" s="1">
        <v>24.7</v>
      </c>
      <c r="L2499" s="1" t="s">
        <v>49</v>
      </c>
      <c r="M2499" s="1" t="s">
        <v>107</v>
      </c>
      <c r="N2499" s="1" t="str">
        <f t="shared" si="38"/>
        <v>Normal</v>
      </c>
    </row>
    <row r="2500" spans="1:14" x14ac:dyDescent="0.25">
      <c r="A2500" s="1" t="s">
        <v>3765</v>
      </c>
      <c r="B2500" s="1" t="s">
        <v>37</v>
      </c>
      <c r="C2500" s="1" t="s">
        <v>71</v>
      </c>
      <c r="D2500" s="1" t="s">
        <v>90</v>
      </c>
      <c r="E2500" s="1" t="s">
        <v>94</v>
      </c>
      <c r="F2500" s="1" t="s">
        <v>53</v>
      </c>
      <c r="G2500" s="1">
        <v>46960</v>
      </c>
      <c r="H2500" s="63">
        <v>45399</v>
      </c>
      <c r="J2500" s="1"/>
      <c r="K2500" s="1"/>
      <c r="L2500" s="1" t="s">
        <v>49</v>
      </c>
      <c r="M2500" s="1" t="s">
        <v>107</v>
      </c>
      <c r="N2500" s="1" t="str">
        <f t="shared" si="38"/>
        <v>Normal</v>
      </c>
    </row>
    <row r="2501" spans="1:14" x14ac:dyDescent="0.25">
      <c r="A2501" s="1" t="s">
        <v>3766</v>
      </c>
      <c r="B2501" s="1" t="s">
        <v>80</v>
      </c>
      <c r="C2501" s="1" t="s">
        <v>874</v>
      </c>
      <c r="D2501" s="1" t="s">
        <v>25</v>
      </c>
      <c r="E2501" s="1" t="s">
        <v>4845</v>
      </c>
      <c r="F2501" s="1" t="s">
        <v>27</v>
      </c>
      <c r="G2501" s="1">
        <v>130587</v>
      </c>
      <c r="H2501" s="63">
        <v>45030</v>
      </c>
      <c r="J2501" s="1"/>
      <c r="K2501" s="1"/>
      <c r="L2501" s="1" t="s">
        <v>20</v>
      </c>
      <c r="M2501" s="1" t="s">
        <v>30</v>
      </c>
      <c r="N2501" s="1" t="str">
        <f t="shared" si="38"/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D6EF-F64D-4A9E-A8DB-D2AB0CD2D0A0}">
  <dimension ref="A1:O1051"/>
  <sheetViews>
    <sheetView workbookViewId="0">
      <selection activeCell="J20" sqref="J20"/>
    </sheetView>
  </sheetViews>
  <sheetFormatPr defaultRowHeight="15" x14ac:dyDescent="0.25"/>
  <cols>
    <col min="1" max="1" width="12.85546875" bestFit="1" customWidth="1"/>
    <col min="2" max="2" width="13.42578125" bestFit="1" customWidth="1"/>
    <col min="3" max="3" width="17.85546875" bestFit="1" customWidth="1"/>
    <col min="4" max="4" width="14.140625" bestFit="1" customWidth="1"/>
    <col min="5" max="5" width="13.85546875" bestFit="1" customWidth="1"/>
    <col min="6" max="6" width="21.85546875" bestFit="1" customWidth="1"/>
    <col min="7" max="7" width="12.42578125" customWidth="1"/>
    <col min="8" max="8" width="14.28515625" customWidth="1"/>
    <col min="9" max="9" width="15" style="3" bestFit="1" customWidth="1"/>
    <col min="10" max="10" width="17" bestFit="1" customWidth="1"/>
    <col min="11" max="11" width="16.5703125" bestFit="1" customWidth="1"/>
    <col min="12" max="12" width="12.28515625" bestFit="1" customWidth="1"/>
    <col min="13" max="13" width="13.5703125" bestFit="1" customWidth="1"/>
    <col min="14" max="14" width="19.42578125" bestFit="1" customWidth="1"/>
    <col min="15" max="15" width="33.28515625" bestFit="1" customWidth="1"/>
    <col min="16" max="16" width="13.140625" bestFit="1" customWidth="1"/>
  </cols>
  <sheetData>
    <row r="1" spans="1:15" x14ac:dyDescent="0.25">
      <c r="A1" t="s">
        <v>3767</v>
      </c>
      <c r="B1" t="s">
        <v>3768</v>
      </c>
      <c r="C1" t="s">
        <v>3769</v>
      </c>
      <c r="D1" t="s">
        <v>3770</v>
      </c>
      <c r="E1" t="s">
        <v>3771</v>
      </c>
      <c r="F1" t="s">
        <v>3772</v>
      </c>
      <c r="G1" t="s">
        <v>4898</v>
      </c>
      <c r="H1" t="s">
        <v>3773</v>
      </c>
      <c r="I1" s="3" t="s">
        <v>3774</v>
      </c>
      <c r="J1" t="s">
        <v>3775</v>
      </c>
      <c r="K1" t="s">
        <v>3776</v>
      </c>
      <c r="L1" t="s">
        <v>3777</v>
      </c>
      <c r="M1" t="s">
        <v>3778</v>
      </c>
      <c r="N1" t="s">
        <v>4879</v>
      </c>
      <c r="O1" t="s">
        <v>4880</v>
      </c>
    </row>
    <row r="2" spans="1:15" x14ac:dyDescent="0.25">
      <c r="A2" s="1" t="s">
        <v>3779</v>
      </c>
      <c r="B2" s="1" t="s">
        <v>4877</v>
      </c>
      <c r="C2" s="1" t="s">
        <v>3780</v>
      </c>
      <c r="D2" s="1" t="s">
        <v>3781</v>
      </c>
      <c r="E2">
        <v>209189</v>
      </c>
      <c r="F2">
        <v>170793.17</v>
      </c>
      <c r="G2">
        <f t="shared" ref="G2:G33" si="0">IF(F2="","",E2-F2)</f>
        <v>38395.829999999987</v>
      </c>
      <c r="H2">
        <v>38395.83</v>
      </c>
      <c r="I2" s="3">
        <v>45126</v>
      </c>
      <c r="J2" s="1" t="s">
        <v>3782</v>
      </c>
      <c r="K2" s="1" t="s">
        <v>3783</v>
      </c>
      <c r="L2" s="1" t="s">
        <v>3784</v>
      </c>
      <c r="M2" s="1" t="s">
        <v>3785</v>
      </c>
      <c r="N2" t="str">
        <f>IF(E2&lt;0,"Credit/Refund","Expense")</f>
        <v>Expense</v>
      </c>
      <c r="O2" t="str">
        <f>IF(AND(OR(J2="Pending",J2="Rejected"),E2&gt;200000),"Flag: High-Value "&amp;J2,"")</f>
        <v>Flag: High-Value Pending</v>
      </c>
    </row>
    <row r="3" spans="1:15" x14ac:dyDescent="0.25">
      <c r="A3" s="1" t="s">
        <v>3786</v>
      </c>
      <c r="B3" s="1" t="s">
        <v>3787</v>
      </c>
      <c r="C3" s="1" t="s">
        <v>3788</v>
      </c>
      <c r="D3" s="1" t="s">
        <v>3789</v>
      </c>
      <c r="E3">
        <v>6214</v>
      </c>
      <c r="F3">
        <v>7523.05</v>
      </c>
      <c r="G3">
        <f t="shared" si="0"/>
        <v>-1309.0500000000002</v>
      </c>
      <c r="H3">
        <v>-1309.05</v>
      </c>
      <c r="I3" s="3">
        <v>45209</v>
      </c>
      <c r="J3" s="1" t="s">
        <v>3790</v>
      </c>
      <c r="K3" s="1" t="s">
        <v>3791</v>
      </c>
      <c r="L3" s="1" t="s">
        <v>3784</v>
      </c>
      <c r="M3" s="1" t="s">
        <v>3792</v>
      </c>
      <c r="N3" t="str">
        <f t="shared" ref="N3:N66" si="1">IF(E3&lt;0,"Credit/Refund","Expense")</f>
        <v>Expense</v>
      </c>
      <c r="O3" t="str">
        <f t="shared" ref="O3:O66" si="2">IF(AND(OR(J3="Pending",J3="Rejected"),E3&gt;200000),"Flag: High-Value "&amp;J3,"")</f>
        <v/>
      </c>
    </row>
    <row r="4" spans="1:15" x14ac:dyDescent="0.25">
      <c r="A4" s="1" t="s">
        <v>3793</v>
      </c>
      <c r="B4" s="1" t="s">
        <v>3794</v>
      </c>
      <c r="C4" s="1" t="s">
        <v>3795</v>
      </c>
      <c r="D4" s="1" t="s">
        <v>3796</v>
      </c>
      <c r="E4">
        <v>499533</v>
      </c>
      <c r="F4">
        <v>550589.56000000006</v>
      </c>
      <c r="G4">
        <f t="shared" si="0"/>
        <v>-51056.560000000056</v>
      </c>
      <c r="H4">
        <v>-51056.56</v>
      </c>
      <c r="I4" s="3">
        <v>45310</v>
      </c>
      <c r="J4" s="1" t="s">
        <v>3790</v>
      </c>
      <c r="K4" s="1" t="s">
        <v>3791</v>
      </c>
      <c r="L4" s="1" t="s">
        <v>3784</v>
      </c>
      <c r="M4" s="1" t="s">
        <v>3792</v>
      </c>
      <c r="N4" t="str">
        <f t="shared" si="1"/>
        <v>Expense</v>
      </c>
      <c r="O4" t="str">
        <f t="shared" si="2"/>
        <v/>
      </c>
    </row>
    <row r="5" spans="1:15" x14ac:dyDescent="0.25">
      <c r="A5" s="1" t="s">
        <v>3797</v>
      </c>
      <c r="B5" s="1" t="s">
        <v>3798</v>
      </c>
      <c r="C5" s="1" t="s">
        <v>3788</v>
      </c>
      <c r="D5" s="1" t="s">
        <v>3799</v>
      </c>
      <c r="E5">
        <v>403234</v>
      </c>
      <c r="F5">
        <v>426617.54</v>
      </c>
      <c r="G5">
        <f t="shared" si="0"/>
        <v>-23383.539999999979</v>
      </c>
      <c r="H5">
        <v>-23383.54</v>
      </c>
      <c r="I5" s="3">
        <v>45732</v>
      </c>
      <c r="J5" s="1" t="s">
        <v>3790</v>
      </c>
      <c r="K5" s="1" t="s">
        <v>3791</v>
      </c>
      <c r="L5" s="1" t="s">
        <v>3800</v>
      </c>
      <c r="M5" s="1" t="s">
        <v>51</v>
      </c>
      <c r="N5" t="str">
        <f t="shared" si="1"/>
        <v>Expense</v>
      </c>
      <c r="O5" t="str">
        <f t="shared" si="2"/>
        <v/>
      </c>
    </row>
    <row r="6" spans="1:15" x14ac:dyDescent="0.25">
      <c r="A6" s="1" t="s">
        <v>3801</v>
      </c>
      <c r="B6" s="1" t="s">
        <v>4877</v>
      </c>
      <c r="C6" s="1" t="s">
        <v>3780</v>
      </c>
      <c r="D6" s="1" t="s">
        <v>3802</v>
      </c>
      <c r="E6">
        <v>187461</v>
      </c>
      <c r="F6">
        <v>156297.94</v>
      </c>
      <c r="G6">
        <f t="shared" si="0"/>
        <v>31163.059999999998</v>
      </c>
      <c r="H6">
        <v>31163.06</v>
      </c>
      <c r="I6" s="3">
        <v>44963</v>
      </c>
      <c r="J6" s="1" t="s">
        <v>3790</v>
      </c>
      <c r="K6" s="1" t="s">
        <v>3803</v>
      </c>
      <c r="L6" s="1" t="s">
        <v>3804</v>
      </c>
      <c r="M6" s="1" t="s">
        <v>51</v>
      </c>
      <c r="N6" t="str">
        <f t="shared" si="1"/>
        <v>Expense</v>
      </c>
      <c r="O6" t="str">
        <f t="shared" si="2"/>
        <v/>
      </c>
    </row>
    <row r="7" spans="1:15" x14ac:dyDescent="0.25">
      <c r="A7" s="1" t="s">
        <v>3805</v>
      </c>
      <c r="B7" s="1" t="s">
        <v>3794</v>
      </c>
      <c r="C7" s="1" t="s">
        <v>3806</v>
      </c>
      <c r="D7" s="1" t="s">
        <v>3802</v>
      </c>
      <c r="E7">
        <v>352393</v>
      </c>
      <c r="F7">
        <v>449410.33</v>
      </c>
      <c r="G7">
        <f t="shared" si="0"/>
        <v>-97017.330000000016</v>
      </c>
      <c r="H7">
        <v>-97017.33</v>
      </c>
      <c r="I7" s="3">
        <v>45365</v>
      </c>
      <c r="J7" s="1" t="s">
        <v>3790</v>
      </c>
      <c r="K7" s="1" t="s">
        <v>3791</v>
      </c>
      <c r="L7" s="1" t="s">
        <v>3784</v>
      </c>
      <c r="M7" s="1" t="s">
        <v>51</v>
      </c>
      <c r="N7" t="str">
        <f t="shared" si="1"/>
        <v>Expense</v>
      </c>
      <c r="O7" t="str">
        <f t="shared" si="2"/>
        <v/>
      </c>
    </row>
    <row r="8" spans="1:15" x14ac:dyDescent="0.25">
      <c r="A8" s="1" t="s">
        <v>3807</v>
      </c>
      <c r="B8" s="1" t="s">
        <v>3808</v>
      </c>
      <c r="C8" s="1" t="s">
        <v>3806</v>
      </c>
      <c r="D8" s="1" t="s">
        <v>3781</v>
      </c>
      <c r="E8">
        <v>361946</v>
      </c>
      <c r="F8">
        <v>354476.37</v>
      </c>
      <c r="G8">
        <f t="shared" si="0"/>
        <v>7469.6300000000047</v>
      </c>
      <c r="H8">
        <v>7469.63</v>
      </c>
      <c r="I8" s="3">
        <v>45152</v>
      </c>
      <c r="J8" s="1" t="s">
        <v>3782</v>
      </c>
      <c r="K8" s="1" t="s">
        <v>3783</v>
      </c>
      <c r="L8" s="1" t="s">
        <v>3784</v>
      </c>
      <c r="M8" s="1" t="s">
        <v>3809</v>
      </c>
      <c r="N8" t="str">
        <f t="shared" si="1"/>
        <v>Expense</v>
      </c>
      <c r="O8" t="str">
        <f t="shared" si="2"/>
        <v>Flag: High-Value Pending</v>
      </c>
    </row>
    <row r="9" spans="1:15" x14ac:dyDescent="0.25">
      <c r="A9" s="1" t="s">
        <v>3810</v>
      </c>
      <c r="B9" s="1" t="s">
        <v>3811</v>
      </c>
      <c r="C9" s="1" t="s">
        <v>3812</v>
      </c>
      <c r="D9" s="1" t="s">
        <v>3813</v>
      </c>
      <c r="E9">
        <v>398503</v>
      </c>
      <c r="F9">
        <v>438557.67</v>
      </c>
      <c r="G9">
        <f t="shared" si="0"/>
        <v>-40054.669999999984</v>
      </c>
      <c r="H9">
        <v>-40054.67</v>
      </c>
      <c r="I9" s="3">
        <v>45145</v>
      </c>
      <c r="J9" s="1" t="s">
        <v>3790</v>
      </c>
      <c r="K9" s="1" t="s">
        <v>3803</v>
      </c>
      <c r="L9" s="1" t="s">
        <v>3784</v>
      </c>
      <c r="M9" s="1" t="s">
        <v>51</v>
      </c>
      <c r="N9" t="str">
        <f t="shared" si="1"/>
        <v>Expense</v>
      </c>
      <c r="O9" t="str">
        <f t="shared" si="2"/>
        <v/>
      </c>
    </row>
    <row r="10" spans="1:15" x14ac:dyDescent="0.25">
      <c r="A10" s="1" t="s">
        <v>3814</v>
      </c>
      <c r="B10" s="1" t="s">
        <v>3811</v>
      </c>
      <c r="C10" s="1" t="s">
        <v>3815</v>
      </c>
      <c r="D10" s="1" t="s">
        <v>3816</v>
      </c>
      <c r="E10">
        <v>345565</v>
      </c>
      <c r="F10">
        <v>382355.25</v>
      </c>
      <c r="G10">
        <f t="shared" si="0"/>
        <v>-36790.25</v>
      </c>
      <c r="H10">
        <v>-36790.25</v>
      </c>
      <c r="I10" s="3">
        <v>45437</v>
      </c>
      <c r="J10" s="1" t="s">
        <v>3790</v>
      </c>
      <c r="K10" s="1" t="s">
        <v>3783</v>
      </c>
      <c r="L10" s="1" t="s">
        <v>3800</v>
      </c>
      <c r="M10" s="1" t="s">
        <v>3817</v>
      </c>
      <c r="N10" t="str">
        <f t="shared" si="1"/>
        <v>Expense</v>
      </c>
      <c r="O10" t="str">
        <f t="shared" si="2"/>
        <v/>
      </c>
    </row>
    <row r="11" spans="1:15" x14ac:dyDescent="0.25">
      <c r="A11" s="1" t="s">
        <v>3818</v>
      </c>
      <c r="B11" s="1" t="s">
        <v>3808</v>
      </c>
      <c r="C11" s="1" t="s">
        <v>3806</v>
      </c>
      <c r="D11" s="1" t="s">
        <v>3789</v>
      </c>
      <c r="E11">
        <v>441930</v>
      </c>
      <c r="F11">
        <v>426169.24</v>
      </c>
      <c r="G11">
        <f t="shared" si="0"/>
        <v>15760.760000000009</v>
      </c>
      <c r="H11">
        <v>15760.76</v>
      </c>
      <c r="I11" s="3">
        <v>45740</v>
      </c>
      <c r="J11" s="1" t="s">
        <v>3790</v>
      </c>
      <c r="K11" s="1" t="s">
        <v>3803</v>
      </c>
      <c r="L11" s="1" t="s">
        <v>3800</v>
      </c>
      <c r="M11" s="1" t="s">
        <v>3785</v>
      </c>
      <c r="N11" t="str">
        <f t="shared" si="1"/>
        <v>Expense</v>
      </c>
      <c r="O11" t="str">
        <f t="shared" si="2"/>
        <v/>
      </c>
    </row>
    <row r="12" spans="1:15" x14ac:dyDescent="0.25">
      <c r="A12" s="1" t="s">
        <v>3819</v>
      </c>
      <c r="B12" s="1" t="s">
        <v>4877</v>
      </c>
      <c r="C12" s="1" t="s">
        <v>3812</v>
      </c>
      <c r="D12" s="1" t="s">
        <v>3796</v>
      </c>
      <c r="E12">
        <v>304214</v>
      </c>
      <c r="F12">
        <v>345611.18</v>
      </c>
      <c r="G12">
        <f t="shared" si="0"/>
        <v>-41397.179999999993</v>
      </c>
      <c r="H12">
        <v>-41397.18</v>
      </c>
      <c r="I12" s="3">
        <v>45689</v>
      </c>
      <c r="J12" s="1" t="s">
        <v>3790</v>
      </c>
      <c r="K12" s="1" t="s">
        <v>3791</v>
      </c>
      <c r="L12" s="1" t="s">
        <v>3800</v>
      </c>
      <c r="M12" s="1" t="s">
        <v>3792</v>
      </c>
      <c r="N12" t="str">
        <f t="shared" si="1"/>
        <v>Expense</v>
      </c>
      <c r="O12" t="str">
        <f t="shared" si="2"/>
        <v/>
      </c>
    </row>
    <row r="13" spans="1:15" x14ac:dyDescent="0.25">
      <c r="A13" s="1" t="s">
        <v>3820</v>
      </c>
      <c r="B13" s="1" t="s">
        <v>3811</v>
      </c>
      <c r="C13" s="1" t="s">
        <v>3821</v>
      </c>
      <c r="D13" s="1" t="s">
        <v>3822</v>
      </c>
      <c r="E13">
        <v>65791</v>
      </c>
      <c r="F13">
        <v>59739.7</v>
      </c>
      <c r="G13">
        <f t="shared" si="0"/>
        <v>6051.3000000000029</v>
      </c>
      <c r="H13">
        <v>6051.3</v>
      </c>
      <c r="I13" s="3">
        <v>45346</v>
      </c>
      <c r="J13" s="1" t="s">
        <v>3790</v>
      </c>
      <c r="K13" s="1" t="s">
        <v>3823</v>
      </c>
      <c r="L13" s="1" t="s">
        <v>3784</v>
      </c>
      <c r="M13" s="1" t="s">
        <v>3785</v>
      </c>
      <c r="N13" t="str">
        <f t="shared" si="1"/>
        <v>Expense</v>
      </c>
      <c r="O13" t="str">
        <f t="shared" si="2"/>
        <v/>
      </c>
    </row>
    <row r="14" spans="1:15" x14ac:dyDescent="0.25">
      <c r="A14" s="1" t="s">
        <v>3824</v>
      </c>
      <c r="B14" s="1" t="s">
        <v>3808</v>
      </c>
      <c r="C14" s="1" t="s">
        <v>3825</v>
      </c>
      <c r="D14" s="1" t="s">
        <v>3826</v>
      </c>
      <c r="E14">
        <v>49237</v>
      </c>
      <c r="G14" t="str">
        <f t="shared" si="0"/>
        <v/>
      </c>
      <c r="H14">
        <v>7036.11</v>
      </c>
      <c r="I14" s="3">
        <v>45457</v>
      </c>
      <c r="J14" s="1" t="s">
        <v>3782</v>
      </c>
      <c r="K14" s="1" t="s">
        <v>3823</v>
      </c>
      <c r="L14" s="1" t="s">
        <v>3800</v>
      </c>
      <c r="M14" s="1" t="s">
        <v>3817</v>
      </c>
      <c r="N14" t="str">
        <f t="shared" si="1"/>
        <v>Expense</v>
      </c>
      <c r="O14" t="str">
        <f t="shared" si="2"/>
        <v/>
      </c>
    </row>
    <row r="15" spans="1:15" x14ac:dyDescent="0.25">
      <c r="A15" s="1" t="s">
        <v>3827</v>
      </c>
      <c r="B15" s="1" t="s">
        <v>3828</v>
      </c>
      <c r="C15" s="1" t="s">
        <v>3812</v>
      </c>
      <c r="D15" s="1" t="s">
        <v>3802</v>
      </c>
      <c r="E15">
        <v>365283</v>
      </c>
      <c r="F15">
        <v>359381.54</v>
      </c>
      <c r="G15">
        <f t="shared" si="0"/>
        <v>5901.460000000021</v>
      </c>
      <c r="H15">
        <v>5901.46</v>
      </c>
      <c r="I15" s="3">
        <v>45645</v>
      </c>
      <c r="J15" s="1" t="s">
        <v>3790</v>
      </c>
      <c r="K15" s="1" t="s">
        <v>3803</v>
      </c>
      <c r="L15" s="1" t="s">
        <v>3800</v>
      </c>
      <c r="M15" s="1" t="s">
        <v>51</v>
      </c>
      <c r="N15" t="str">
        <f t="shared" si="1"/>
        <v>Expense</v>
      </c>
      <c r="O15" t="str">
        <f t="shared" si="2"/>
        <v/>
      </c>
    </row>
    <row r="16" spans="1:15" x14ac:dyDescent="0.25">
      <c r="A16" s="1" t="s">
        <v>3829</v>
      </c>
      <c r="B16" s="1" t="s">
        <v>3828</v>
      </c>
      <c r="C16" s="1" t="s">
        <v>3815</v>
      </c>
      <c r="D16" s="1" t="s">
        <v>3826</v>
      </c>
      <c r="E16">
        <v>201346</v>
      </c>
      <c r="F16">
        <v>197464.53</v>
      </c>
      <c r="G16">
        <f t="shared" si="0"/>
        <v>3881.4700000000012</v>
      </c>
      <c r="I16" s="3">
        <v>45719</v>
      </c>
      <c r="J16" s="1" t="s">
        <v>3782</v>
      </c>
      <c r="K16" s="1" t="s">
        <v>3791</v>
      </c>
      <c r="L16" s="1" t="s">
        <v>3800</v>
      </c>
      <c r="M16" s="1" t="s">
        <v>3785</v>
      </c>
      <c r="N16" t="str">
        <f t="shared" si="1"/>
        <v>Expense</v>
      </c>
      <c r="O16" t="str">
        <f t="shared" si="2"/>
        <v>Flag: High-Value Pending</v>
      </c>
    </row>
    <row r="17" spans="1:15" x14ac:dyDescent="0.25">
      <c r="A17" s="1" t="s">
        <v>3830</v>
      </c>
      <c r="B17" s="1" t="s">
        <v>3794</v>
      </c>
      <c r="C17" s="1" t="s">
        <v>3806</v>
      </c>
      <c r="D17" s="1" t="s">
        <v>3789</v>
      </c>
      <c r="E17">
        <v>375484</v>
      </c>
      <c r="F17">
        <v>303740.88</v>
      </c>
      <c r="G17">
        <f t="shared" si="0"/>
        <v>71743.12</v>
      </c>
      <c r="H17">
        <v>71743.12</v>
      </c>
      <c r="I17" s="3">
        <v>45454</v>
      </c>
      <c r="J17" s="1" t="s">
        <v>3782</v>
      </c>
      <c r="K17" s="1" t="s">
        <v>3791</v>
      </c>
      <c r="L17" s="1" t="s">
        <v>3800</v>
      </c>
      <c r="M17" s="1" t="s">
        <v>3831</v>
      </c>
      <c r="N17" t="str">
        <f t="shared" si="1"/>
        <v>Expense</v>
      </c>
      <c r="O17" t="str">
        <f t="shared" si="2"/>
        <v>Flag: High-Value Pending</v>
      </c>
    </row>
    <row r="18" spans="1:15" x14ac:dyDescent="0.25">
      <c r="A18" s="1" t="s">
        <v>3832</v>
      </c>
      <c r="B18" s="1" t="s">
        <v>3787</v>
      </c>
      <c r="C18" s="1" t="s">
        <v>3780</v>
      </c>
      <c r="D18" s="1" t="s">
        <v>3813</v>
      </c>
      <c r="E18">
        <v>91274</v>
      </c>
      <c r="F18">
        <v>117271.6</v>
      </c>
      <c r="G18">
        <f t="shared" si="0"/>
        <v>-25997.600000000006</v>
      </c>
      <c r="H18">
        <v>-25997.599999999999</v>
      </c>
      <c r="I18" s="3">
        <v>45367</v>
      </c>
      <c r="J18" s="1" t="s">
        <v>3790</v>
      </c>
      <c r="K18" s="1" t="s">
        <v>3823</v>
      </c>
      <c r="L18" s="1" t="s">
        <v>3784</v>
      </c>
      <c r="M18" s="1" t="s">
        <v>51</v>
      </c>
      <c r="N18" t="str">
        <f t="shared" si="1"/>
        <v>Expense</v>
      </c>
      <c r="O18" t="str">
        <f t="shared" si="2"/>
        <v/>
      </c>
    </row>
    <row r="19" spans="1:15" x14ac:dyDescent="0.25">
      <c r="A19" s="1" t="s">
        <v>3833</v>
      </c>
      <c r="B19" s="1" t="s">
        <v>3798</v>
      </c>
      <c r="C19" s="1" t="s">
        <v>3806</v>
      </c>
      <c r="D19" s="1" t="s">
        <v>3834</v>
      </c>
      <c r="E19">
        <v>58546</v>
      </c>
      <c r="F19">
        <v>54790.73</v>
      </c>
      <c r="G19">
        <f t="shared" si="0"/>
        <v>3755.2699999999968</v>
      </c>
      <c r="H19">
        <v>3755.27</v>
      </c>
      <c r="I19" s="3">
        <v>45324</v>
      </c>
      <c r="J19" s="1" t="s">
        <v>3790</v>
      </c>
      <c r="K19" s="1" t="s">
        <v>3823</v>
      </c>
      <c r="L19" s="1" t="s">
        <v>3784</v>
      </c>
      <c r="M19" s="1" t="s">
        <v>3785</v>
      </c>
      <c r="N19" t="str">
        <f t="shared" si="1"/>
        <v>Expense</v>
      </c>
      <c r="O19" t="str">
        <f t="shared" si="2"/>
        <v/>
      </c>
    </row>
    <row r="20" spans="1:15" x14ac:dyDescent="0.25">
      <c r="A20" s="1" t="s">
        <v>3835</v>
      </c>
      <c r="B20" s="1" t="s">
        <v>4877</v>
      </c>
      <c r="C20" s="1" t="s">
        <v>3795</v>
      </c>
      <c r="D20" s="1" t="s">
        <v>3796</v>
      </c>
      <c r="E20">
        <v>10904</v>
      </c>
      <c r="F20">
        <v>13676.8</v>
      </c>
      <c r="G20">
        <f t="shared" si="0"/>
        <v>-2772.7999999999993</v>
      </c>
      <c r="H20">
        <v>-2772.8</v>
      </c>
      <c r="I20" s="3">
        <v>44973</v>
      </c>
      <c r="J20" s="1" t="s">
        <v>3790</v>
      </c>
      <c r="K20" s="1" t="s">
        <v>3783</v>
      </c>
      <c r="L20" s="1" t="s">
        <v>3804</v>
      </c>
      <c r="M20" s="1" t="s">
        <v>3817</v>
      </c>
      <c r="N20" t="str">
        <f t="shared" si="1"/>
        <v>Expense</v>
      </c>
      <c r="O20" t="str">
        <f t="shared" si="2"/>
        <v/>
      </c>
    </row>
    <row r="21" spans="1:15" x14ac:dyDescent="0.25">
      <c r="A21" s="1" t="s">
        <v>3836</v>
      </c>
      <c r="B21" s="1" t="s">
        <v>3787</v>
      </c>
      <c r="C21" s="1" t="s">
        <v>3788</v>
      </c>
      <c r="D21" s="1" t="s">
        <v>3837</v>
      </c>
      <c r="E21">
        <v>65481</v>
      </c>
      <c r="F21">
        <v>81303.61</v>
      </c>
      <c r="G21">
        <f t="shared" si="0"/>
        <v>-15822.61</v>
      </c>
      <c r="H21">
        <v>-15822.61</v>
      </c>
      <c r="I21" s="3">
        <v>44962</v>
      </c>
      <c r="J21" s="1" t="s">
        <v>3782</v>
      </c>
      <c r="K21" s="1" t="s">
        <v>3783</v>
      </c>
      <c r="L21" s="1" t="s">
        <v>3804</v>
      </c>
      <c r="M21" s="1" t="s">
        <v>3817</v>
      </c>
      <c r="N21" t="str">
        <f t="shared" si="1"/>
        <v>Expense</v>
      </c>
      <c r="O21" t="str">
        <f t="shared" si="2"/>
        <v/>
      </c>
    </row>
    <row r="22" spans="1:15" x14ac:dyDescent="0.25">
      <c r="A22" s="1" t="s">
        <v>3838</v>
      </c>
      <c r="B22" s="1" t="s">
        <v>3839</v>
      </c>
      <c r="C22" s="1" t="s">
        <v>3795</v>
      </c>
      <c r="D22" s="1" t="s">
        <v>3789</v>
      </c>
      <c r="E22">
        <v>66000</v>
      </c>
      <c r="F22">
        <v>78840.27</v>
      </c>
      <c r="G22">
        <f t="shared" si="0"/>
        <v>-12840.270000000004</v>
      </c>
      <c r="H22">
        <v>-12840.27</v>
      </c>
      <c r="I22" s="3">
        <v>45341</v>
      </c>
      <c r="J22" s="1" t="s">
        <v>3790</v>
      </c>
      <c r="K22" s="1" t="s">
        <v>3803</v>
      </c>
      <c r="L22" s="1" t="s">
        <v>3784</v>
      </c>
      <c r="M22" s="1" t="s">
        <v>3785</v>
      </c>
      <c r="N22" t="str">
        <f t="shared" si="1"/>
        <v>Expense</v>
      </c>
      <c r="O22" t="str">
        <f t="shared" si="2"/>
        <v/>
      </c>
    </row>
    <row r="23" spans="1:15" x14ac:dyDescent="0.25">
      <c r="A23" s="1" t="s">
        <v>3840</v>
      </c>
      <c r="B23" s="1" t="s">
        <v>3798</v>
      </c>
      <c r="C23" s="1" t="s">
        <v>3812</v>
      </c>
      <c r="D23" s="1" t="s">
        <v>3781</v>
      </c>
      <c r="E23">
        <v>32147</v>
      </c>
      <c r="F23">
        <v>36235.03</v>
      </c>
      <c r="G23">
        <f t="shared" si="0"/>
        <v>-4088.0299999999988</v>
      </c>
      <c r="H23">
        <v>-4088.03</v>
      </c>
      <c r="I23" s="3">
        <v>45247</v>
      </c>
      <c r="J23" s="1" t="s">
        <v>3790</v>
      </c>
      <c r="K23" s="1" t="s">
        <v>3803</v>
      </c>
      <c r="L23" s="1" t="s">
        <v>3784</v>
      </c>
      <c r="M23" s="1" t="s">
        <v>51</v>
      </c>
      <c r="N23" t="str">
        <f t="shared" si="1"/>
        <v>Expense</v>
      </c>
      <c r="O23" t="str">
        <f t="shared" si="2"/>
        <v/>
      </c>
    </row>
    <row r="24" spans="1:15" x14ac:dyDescent="0.25">
      <c r="A24" s="1" t="s">
        <v>3841</v>
      </c>
      <c r="B24" s="1" t="s">
        <v>4877</v>
      </c>
      <c r="C24" s="1" t="s">
        <v>3815</v>
      </c>
      <c r="D24" s="1" t="s">
        <v>3813</v>
      </c>
      <c r="E24">
        <v>312310</v>
      </c>
      <c r="F24">
        <v>339411.41</v>
      </c>
      <c r="G24">
        <f t="shared" si="0"/>
        <v>-27101.409999999974</v>
      </c>
      <c r="H24">
        <v>-27101.41</v>
      </c>
      <c r="I24" s="3">
        <v>45270</v>
      </c>
      <c r="J24" s="1" t="s">
        <v>3782</v>
      </c>
      <c r="K24" s="1" t="s">
        <v>3791</v>
      </c>
      <c r="L24" s="1" t="s">
        <v>3784</v>
      </c>
      <c r="M24" s="1" t="s">
        <v>3817</v>
      </c>
      <c r="N24" t="str">
        <f t="shared" si="1"/>
        <v>Expense</v>
      </c>
      <c r="O24" t="str">
        <f t="shared" si="2"/>
        <v>Flag: High-Value Pending</v>
      </c>
    </row>
    <row r="25" spans="1:15" x14ac:dyDescent="0.25">
      <c r="A25" s="1" t="s">
        <v>3842</v>
      </c>
      <c r="B25" s="1" t="s">
        <v>3828</v>
      </c>
      <c r="C25" s="1" t="s">
        <v>3788</v>
      </c>
      <c r="D25" s="1" t="s">
        <v>3799</v>
      </c>
      <c r="E25">
        <v>145866</v>
      </c>
      <c r="F25">
        <v>176369.11</v>
      </c>
      <c r="G25">
        <f t="shared" si="0"/>
        <v>-30503.109999999986</v>
      </c>
      <c r="H25">
        <v>-30503.11</v>
      </c>
      <c r="I25" s="3">
        <v>45589</v>
      </c>
      <c r="J25" s="1" t="s">
        <v>3790</v>
      </c>
      <c r="K25" s="1" t="s">
        <v>3823</v>
      </c>
      <c r="L25" s="1" t="s">
        <v>3800</v>
      </c>
      <c r="M25" s="1" t="s">
        <v>3792</v>
      </c>
      <c r="N25" t="str">
        <f t="shared" si="1"/>
        <v>Expense</v>
      </c>
      <c r="O25" t="str">
        <f t="shared" si="2"/>
        <v/>
      </c>
    </row>
    <row r="26" spans="1:15" x14ac:dyDescent="0.25">
      <c r="A26" s="1" t="s">
        <v>3843</v>
      </c>
      <c r="B26" s="1" t="s">
        <v>3798</v>
      </c>
      <c r="C26" s="1" t="s">
        <v>3844</v>
      </c>
      <c r="D26" s="1" t="s">
        <v>3816</v>
      </c>
      <c r="E26">
        <v>-270391</v>
      </c>
      <c r="F26">
        <v>224861.48</v>
      </c>
      <c r="G26">
        <f t="shared" si="0"/>
        <v>-495252.47999999998</v>
      </c>
      <c r="H26">
        <v>45529.52</v>
      </c>
      <c r="I26" s="3">
        <v>44992</v>
      </c>
      <c r="J26" s="1" t="s">
        <v>3790</v>
      </c>
      <c r="K26" s="1" t="s">
        <v>3803</v>
      </c>
      <c r="L26" s="1" t="s">
        <v>3804</v>
      </c>
      <c r="M26" s="1" t="s">
        <v>3817</v>
      </c>
      <c r="N26" t="str">
        <f t="shared" si="1"/>
        <v>Credit/Refund</v>
      </c>
      <c r="O26" t="str">
        <f t="shared" si="2"/>
        <v/>
      </c>
    </row>
    <row r="27" spans="1:15" x14ac:dyDescent="0.25">
      <c r="A27" s="1" t="s">
        <v>3845</v>
      </c>
      <c r="B27" s="1" t="s">
        <v>3828</v>
      </c>
      <c r="C27" s="1" t="s">
        <v>3806</v>
      </c>
      <c r="D27" s="1" t="s">
        <v>3846</v>
      </c>
      <c r="E27">
        <v>410046</v>
      </c>
      <c r="F27">
        <v>483620.72</v>
      </c>
      <c r="G27">
        <f t="shared" si="0"/>
        <v>-73574.719999999972</v>
      </c>
      <c r="H27">
        <v>-73574.720000000001</v>
      </c>
      <c r="I27" s="3">
        <v>45456</v>
      </c>
      <c r="J27" s="1" t="s">
        <v>3790</v>
      </c>
      <c r="K27" s="1" t="s">
        <v>3823</v>
      </c>
      <c r="L27" s="1" t="s">
        <v>3800</v>
      </c>
      <c r="M27" s="1" t="s">
        <v>51</v>
      </c>
      <c r="N27" t="str">
        <f t="shared" si="1"/>
        <v>Expense</v>
      </c>
      <c r="O27" t="str">
        <f t="shared" si="2"/>
        <v/>
      </c>
    </row>
    <row r="28" spans="1:15" x14ac:dyDescent="0.25">
      <c r="A28" s="1" t="s">
        <v>3847</v>
      </c>
      <c r="B28" s="1" t="s">
        <v>3794</v>
      </c>
      <c r="C28" s="1" t="s">
        <v>3848</v>
      </c>
      <c r="D28" s="1" t="s">
        <v>3816</v>
      </c>
      <c r="E28">
        <v>406494</v>
      </c>
      <c r="G28" t="str">
        <f t="shared" si="0"/>
        <v/>
      </c>
      <c r="H28">
        <v>-13532</v>
      </c>
      <c r="I28" s="3">
        <v>45553</v>
      </c>
      <c r="J28" s="1" t="s">
        <v>3790</v>
      </c>
      <c r="K28" s="1" t="s">
        <v>3803</v>
      </c>
      <c r="L28" s="1" t="s">
        <v>3800</v>
      </c>
      <c r="M28" s="1" t="s">
        <v>3792</v>
      </c>
      <c r="N28" t="str">
        <f t="shared" si="1"/>
        <v>Expense</v>
      </c>
      <c r="O28" t="str">
        <f t="shared" si="2"/>
        <v/>
      </c>
    </row>
    <row r="29" spans="1:15" x14ac:dyDescent="0.25">
      <c r="A29" s="1" t="s">
        <v>3849</v>
      </c>
      <c r="B29" s="1" t="s">
        <v>3808</v>
      </c>
      <c r="C29" s="1" t="s">
        <v>3821</v>
      </c>
      <c r="D29" s="1" t="s">
        <v>3850</v>
      </c>
      <c r="E29">
        <v>66859</v>
      </c>
      <c r="F29">
        <v>75521.94</v>
      </c>
      <c r="G29">
        <f t="shared" si="0"/>
        <v>-8662.9400000000023</v>
      </c>
      <c r="H29">
        <v>-8662.94</v>
      </c>
      <c r="I29" s="3">
        <v>45442</v>
      </c>
      <c r="J29" s="1" t="s">
        <v>3790</v>
      </c>
      <c r="K29" s="1" t="s">
        <v>3823</v>
      </c>
      <c r="L29" s="1" t="s">
        <v>3800</v>
      </c>
      <c r="M29" s="1" t="s">
        <v>51</v>
      </c>
      <c r="N29" t="str">
        <f t="shared" si="1"/>
        <v>Expense</v>
      </c>
      <c r="O29" t="str">
        <f t="shared" si="2"/>
        <v/>
      </c>
    </row>
    <row r="30" spans="1:15" x14ac:dyDescent="0.25">
      <c r="A30" s="1" t="s">
        <v>3851</v>
      </c>
      <c r="B30" s="1" t="s">
        <v>3811</v>
      </c>
      <c r="C30" s="1" t="s">
        <v>3815</v>
      </c>
      <c r="D30" s="1" t="s">
        <v>3816</v>
      </c>
      <c r="E30">
        <v>389612</v>
      </c>
      <c r="F30">
        <v>356713.15</v>
      </c>
      <c r="G30">
        <f t="shared" si="0"/>
        <v>32898.849999999977</v>
      </c>
      <c r="H30">
        <v>32898.85</v>
      </c>
      <c r="I30" s="3">
        <v>45486</v>
      </c>
      <c r="J30" s="1" t="s">
        <v>3782</v>
      </c>
      <c r="K30" s="1" t="s">
        <v>3823</v>
      </c>
      <c r="L30" s="1" t="s">
        <v>3800</v>
      </c>
      <c r="M30" s="1" t="s">
        <v>51</v>
      </c>
      <c r="N30" t="str">
        <f t="shared" si="1"/>
        <v>Expense</v>
      </c>
      <c r="O30" t="str">
        <f t="shared" si="2"/>
        <v>Flag: High-Value Pending</v>
      </c>
    </row>
    <row r="31" spans="1:15" x14ac:dyDescent="0.25">
      <c r="A31" s="1" t="s">
        <v>3852</v>
      </c>
      <c r="B31" s="1" t="s">
        <v>3794</v>
      </c>
      <c r="C31" s="1" t="s">
        <v>3848</v>
      </c>
      <c r="D31" s="1" t="s">
        <v>3802</v>
      </c>
      <c r="E31">
        <v>397643</v>
      </c>
      <c r="F31">
        <v>366588.32</v>
      </c>
      <c r="G31">
        <f t="shared" si="0"/>
        <v>31054.679999999993</v>
      </c>
      <c r="I31" s="3">
        <v>45309</v>
      </c>
      <c r="J31" s="1" t="s">
        <v>3782</v>
      </c>
      <c r="K31" s="1" t="s">
        <v>3823</v>
      </c>
      <c r="L31" s="1" t="s">
        <v>3784</v>
      </c>
      <c r="M31" s="1" t="s">
        <v>51</v>
      </c>
      <c r="N31" t="str">
        <f t="shared" si="1"/>
        <v>Expense</v>
      </c>
      <c r="O31" t="str">
        <f t="shared" si="2"/>
        <v>Flag: High-Value Pending</v>
      </c>
    </row>
    <row r="32" spans="1:15" x14ac:dyDescent="0.25">
      <c r="A32" s="1" t="s">
        <v>3853</v>
      </c>
      <c r="B32" s="1" t="s">
        <v>3794</v>
      </c>
      <c r="C32" s="1" t="s">
        <v>3825</v>
      </c>
      <c r="D32" s="1" t="s">
        <v>3826</v>
      </c>
      <c r="E32">
        <v>367122</v>
      </c>
      <c r="F32">
        <v>465065.53</v>
      </c>
      <c r="G32">
        <f t="shared" si="0"/>
        <v>-97943.530000000028</v>
      </c>
      <c r="H32">
        <v>-97943.53</v>
      </c>
      <c r="I32" s="3">
        <v>45084</v>
      </c>
      <c r="J32" s="1" t="s">
        <v>3782</v>
      </c>
      <c r="K32" s="1" t="s">
        <v>3803</v>
      </c>
      <c r="L32" s="1" t="s">
        <v>3784</v>
      </c>
      <c r="M32" s="1" t="s">
        <v>3831</v>
      </c>
      <c r="N32" t="str">
        <f t="shared" si="1"/>
        <v>Expense</v>
      </c>
      <c r="O32" t="str">
        <f t="shared" si="2"/>
        <v>Flag: High-Value Pending</v>
      </c>
    </row>
    <row r="33" spans="1:15" x14ac:dyDescent="0.25">
      <c r="A33" s="1" t="s">
        <v>3854</v>
      </c>
      <c r="B33" s="1" t="s">
        <v>3839</v>
      </c>
      <c r="C33" s="1" t="s">
        <v>3821</v>
      </c>
      <c r="D33" s="1" t="s">
        <v>3855</v>
      </c>
      <c r="E33">
        <v>65667</v>
      </c>
      <c r="F33">
        <v>72499.12</v>
      </c>
      <c r="G33">
        <f t="shared" si="0"/>
        <v>-6832.1199999999953</v>
      </c>
      <c r="H33">
        <v>-6832.12</v>
      </c>
      <c r="I33" s="3">
        <v>45077</v>
      </c>
      <c r="J33" s="1" t="s">
        <v>3790</v>
      </c>
      <c r="K33" s="1" t="s">
        <v>3823</v>
      </c>
      <c r="L33" s="1" t="s">
        <v>3784</v>
      </c>
      <c r="M33" s="1" t="s">
        <v>51</v>
      </c>
      <c r="N33" t="str">
        <f t="shared" si="1"/>
        <v>Expense</v>
      </c>
      <c r="O33" t="str">
        <f t="shared" si="2"/>
        <v/>
      </c>
    </row>
    <row r="34" spans="1:15" x14ac:dyDescent="0.25">
      <c r="A34" s="1" t="s">
        <v>3856</v>
      </c>
      <c r="B34" s="1" t="s">
        <v>4877</v>
      </c>
      <c r="C34" s="1" t="s">
        <v>3848</v>
      </c>
      <c r="D34" s="1" t="s">
        <v>3813</v>
      </c>
      <c r="E34">
        <v>350446</v>
      </c>
      <c r="F34">
        <v>293167.5</v>
      </c>
      <c r="G34">
        <f t="shared" ref="G34:G65" si="3">IF(F34="","",E34-F34)</f>
        <v>57278.5</v>
      </c>
      <c r="H34">
        <v>57278.5</v>
      </c>
      <c r="I34" s="3">
        <v>45395</v>
      </c>
      <c r="J34" s="1" t="s">
        <v>3790</v>
      </c>
      <c r="K34" s="1" t="s">
        <v>3783</v>
      </c>
      <c r="L34" s="1" t="s">
        <v>3800</v>
      </c>
      <c r="M34" s="1" t="s">
        <v>51</v>
      </c>
      <c r="N34" t="str">
        <f t="shared" si="1"/>
        <v>Expense</v>
      </c>
      <c r="O34" t="str">
        <f t="shared" si="2"/>
        <v/>
      </c>
    </row>
    <row r="35" spans="1:15" x14ac:dyDescent="0.25">
      <c r="A35" s="1" t="s">
        <v>3857</v>
      </c>
      <c r="B35" s="1" t="s">
        <v>3811</v>
      </c>
      <c r="C35" s="1" t="s">
        <v>3858</v>
      </c>
      <c r="D35" s="1" t="s">
        <v>3813</v>
      </c>
      <c r="E35">
        <v>215496</v>
      </c>
      <c r="F35">
        <v>269360.68</v>
      </c>
      <c r="G35">
        <f t="shared" si="3"/>
        <v>-53864.679999999993</v>
      </c>
      <c r="I35" s="3">
        <v>45427</v>
      </c>
      <c r="J35" s="1" t="s">
        <v>3859</v>
      </c>
      <c r="K35" s="1" t="s">
        <v>3823</v>
      </c>
      <c r="L35" s="1" t="s">
        <v>3800</v>
      </c>
      <c r="M35" s="1" t="s">
        <v>3817</v>
      </c>
      <c r="N35" t="str">
        <f t="shared" si="1"/>
        <v>Expense</v>
      </c>
      <c r="O35" t="str">
        <f t="shared" si="2"/>
        <v>Flag: High-Value Rejected</v>
      </c>
    </row>
    <row r="36" spans="1:15" x14ac:dyDescent="0.25">
      <c r="A36" s="1" t="s">
        <v>3860</v>
      </c>
      <c r="B36" s="1" t="s">
        <v>3794</v>
      </c>
      <c r="C36" s="1" t="s">
        <v>3861</v>
      </c>
      <c r="D36" s="1" t="s">
        <v>3822</v>
      </c>
      <c r="E36">
        <v>7227</v>
      </c>
      <c r="F36">
        <v>9023.9</v>
      </c>
      <c r="G36">
        <f t="shared" si="3"/>
        <v>-1796.8999999999996</v>
      </c>
      <c r="H36">
        <v>-1796.9</v>
      </c>
      <c r="I36" s="3">
        <v>45131</v>
      </c>
      <c r="J36" s="1" t="s">
        <v>3790</v>
      </c>
      <c r="K36" s="1" t="s">
        <v>3783</v>
      </c>
      <c r="L36" s="1" t="s">
        <v>3784</v>
      </c>
      <c r="M36" s="1" t="s">
        <v>51</v>
      </c>
      <c r="N36" t="str">
        <f t="shared" si="1"/>
        <v>Expense</v>
      </c>
      <c r="O36" t="str">
        <f t="shared" si="2"/>
        <v/>
      </c>
    </row>
    <row r="37" spans="1:15" x14ac:dyDescent="0.25">
      <c r="A37" s="1" t="s">
        <v>3862</v>
      </c>
      <c r="B37" s="1" t="s">
        <v>3787</v>
      </c>
      <c r="C37" s="1" t="s">
        <v>3821</v>
      </c>
      <c r="D37" s="1" t="s">
        <v>3837</v>
      </c>
      <c r="E37">
        <v>481644</v>
      </c>
      <c r="F37">
        <v>431586.58</v>
      </c>
      <c r="G37">
        <f t="shared" si="3"/>
        <v>50057.419999999984</v>
      </c>
      <c r="H37">
        <v>50057.42</v>
      </c>
      <c r="I37" s="3">
        <v>45338</v>
      </c>
      <c r="J37" s="1" t="s">
        <v>3790</v>
      </c>
      <c r="K37" s="1" t="s">
        <v>3783</v>
      </c>
      <c r="L37" s="1" t="s">
        <v>3784</v>
      </c>
      <c r="M37" s="1" t="s">
        <v>3809</v>
      </c>
      <c r="N37" t="str">
        <f t="shared" si="1"/>
        <v>Expense</v>
      </c>
      <c r="O37" t="str">
        <f t="shared" si="2"/>
        <v/>
      </c>
    </row>
    <row r="38" spans="1:15" x14ac:dyDescent="0.25">
      <c r="A38" s="1" t="s">
        <v>3863</v>
      </c>
      <c r="B38" s="1" t="s">
        <v>3794</v>
      </c>
      <c r="C38" s="1" t="s">
        <v>3861</v>
      </c>
      <c r="D38" s="1" t="s">
        <v>3837</v>
      </c>
      <c r="E38">
        <v>-214583</v>
      </c>
      <c r="F38">
        <v>220195.61</v>
      </c>
      <c r="G38">
        <f t="shared" si="3"/>
        <v>-434778.61</v>
      </c>
      <c r="H38">
        <v>-5612.61</v>
      </c>
      <c r="I38" s="3">
        <v>45157</v>
      </c>
      <c r="J38" s="1" t="s">
        <v>3790</v>
      </c>
      <c r="K38" s="1" t="s">
        <v>3823</v>
      </c>
      <c r="L38" s="1" t="s">
        <v>3784</v>
      </c>
      <c r="M38" s="1" t="s">
        <v>51</v>
      </c>
      <c r="N38" t="str">
        <f t="shared" si="1"/>
        <v>Credit/Refund</v>
      </c>
      <c r="O38" t="str">
        <f t="shared" si="2"/>
        <v/>
      </c>
    </row>
    <row r="39" spans="1:15" x14ac:dyDescent="0.25">
      <c r="A39" s="1" t="s">
        <v>3864</v>
      </c>
      <c r="B39" s="1" t="s">
        <v>3794</v>
      </c>
      <c r="C39" s="1" t="s">
        <v>3788</v>
      </c>
      <c r="D39" s="1" t="s">
        <v>3789</v>
      </c>
      <c r="E39">
        <v>71717</v>
      </c>
      <c r="F39">
        <v>89231.77</v>
      </c>
      <c r="G39">
        <f t="shared" si="3"/>
        <v>-17514.770000000004</v>
      </c>
      <c r="H39">
        <v>-17514.77</v>
      </c>
      <c r="I39" s="3">
        <v>45573</v>
      </c>
      <c r="J39" s="1" t="s">
        <v>3790</v>
      </c>
      <c r="K39" s="1" t="s">
        <v>3803</v>
      </c>
      <c r="L39" s="1" t="s">
        <v>3800</v>
      </c>
      <c r="M39" s="1" t="s">
        <v>3809</v>
      </c>
      <c r="N39" t="str">
        <f t="shared" si="1"/>
        <v>Expense</v>
      </c>
      <c r="O39" t="str">
        <f t="shared" si="2"/>
        <v/>
      </c>
    </row>
    <row r="40" spans="1:15" x14ac:dyDescent="0.25">
      <c r="A40" s="1" t="s">
        <v>3865</v>
      </c>
      <c r="B40" s="1" t="s">
        <v>3808</v>
      </c>
      <c r="C40" s="1" t="s">
        <v>3844</v>
      </c>
      <c r="D40" s="1" t="s">
        <v>3799</v>
      </c>
      <c r="E40">
        <v>352092</v>
      </c>
      <c r="F40">
        <v>424330.22</v>
      </c>
      <c r="G40">
        <f t="shared" si="3"/>
        <v>-72238.219999999972</v>
      </c>
      <c r="H40">
        <v>-72238.22</v>
      </c>
      <c r="I40" s="3">
        <v>45540</v>
      </c>
      <c r="J40" s="1" t="s">
        <v>3790</v>
      </c>
      <c r="K40" s="1" t="s">
        <v>3791</v>
      </c>
      <c r="L40" s="1" t="s">
        <v>3800</v>
      </c>
      <c r="M40" s="1" t="s">
        <v>3831</v>
      </c>
      <c r="N40" t="str">
        <f t="shared" si="1"/>
        <v>Expense</v>
      </c>
      <c r="O40" t="str">
        <f t="shared" si="2"/>
        <v/>
      </c>
    </row>
    <row r="41" spans="1:15" x14ac:dyDescent="0.25">
      <c r="A41" s="1" t="s">
        <v>3866</v>
      </c>
      <c r="B41" s="1" t="s">
        <v>3828</v>
      </c>
      <c r="C41" s="1" t="s">
        <v>3812</v>
      </c>
      <c r="D41" s="1" t="s">
        <v>3867</v>
      </c>
      <c r="E41">
        <v>3606815</v>
      </c>
      <c r="F41">
        <v>3411626.72</v>
      </c>
      <c r="G41">
        <f t="shared" si="3"/>
        <v>195188.2799999998</v>
      </c>
      <c r="H41">
        <v>195188.28</v>
      </c>
      <c r="I41" s="3">
        <v>45464</v>
      </c>
      <c r="J41" s="1" t="s">
        <v>3782</v>
      </c>
      <c r="K41" s="1" t="s">
        <v>3791</v>
      </c>
      <c r="L41" s="1" t="s">
        <v>3800</v>
      </c>
      <c r="M41" s="1" t="s">
        <v>3792</v>
      </c>
      <c r="N41" t="str">
        <f t="shared" si="1"/>
        <v>Expense</v>
      </c>
      <c r="O41" t="str">
        <f t="shared" si="2"/>
        <v>Flag: High-Value Pending</v>
      </c>
    </row>
    <row r="42" spans="1:15" x14ac:dyDescent="0.25">
      <c r="A42" s="1" t="s">
        <v>3868</v>
      </c>
      <c r="B42" s="1" t="s">
        <v>3794</v>
      </c>
      <c r="C42" s="1" t="s">
        <v>3780</v>
      </c>
      <c r="D42" s="1" t="s">
        <v>3813</v>
      </c>
      <c r="E42">
        <v>128850</v>
      </c>
      <c r="F42">
        <v>118183.64</v>
      </c>
      <c r="G42">
        <f t="shared" si="3"/>
        <v>10666.36</v>
      </c>
      <c r="H42">
        <v>10666.36</v>
      </c>
      <c r="I42" s="3">
        <v>45143</v>
      </c>
      <c r="J42" s="1" t="s">
        <v>3790</v>
      </c>
      <c r="K42" s="1" t="s">
        <v>3783</v>
      </c>
      <c r="L42" s="1" t="s">
        <v>3784</v>
      </c>
      <c r="M42" s="1" t="s">
        <v>51</v>
      </c>
      <c r="N42" t="str">
        <f t="shared" si="1"/>
        <v>Expense</v>
      </c>
      <c r="O42" t="str">
        <f t="shared" si="2"/>
        <v/>
      </c>
    </row>
    <row r="43" spans="1:15" x14ac:dyDescent="0.25">
      <c r="A43" s="1" t="s">
        <v>3869</v>
      </c>
      <c r="B43" s="1" t="s">
        <v>3787</v>
      </c>
      <c r="C43" s="1" t="s">
        <v>3788</v>
      </c>
      <c r="D43" s="1" t="s">
        <v>3796</v>
      </c>
      <c r="E43">
        <v>166769</v>
      </c>
      <c r="F43">
        <v>196065.31</v>
      </c>
      <c r="G43">
        <f t="shared" si="3"/>
        <v>-29296.309999999998</v>
      </c>
      <c r="H43">
        <v>-29296.31</v>
      </c>
      <c r="I43" s="3">
        <v>45175</v>
      </c>
      <c r="J43" s="1" t="s">
        <v>3790</v>
      </c>
      <c r="K43" s="1" t="s">
        <v>3803</v>
      </c>
      <c r="L43" s="1" t="s">
        <v>3784</v>
      </c>
      <c r="M43" s="1" t="s">
        <v>3792</v>
      </c>
      <c r="N43" t="str">
        <f t="shared" si="1"/>
        <v>Expense</v>
      </c>
      <c r="O43" t="str">
        <f t="shared" si="2"/>
        <v/>
      </c>
    </row>
    <row r="44" spans="1:15" x14ac:dyDescent="0.25">
      <c r="A44" s="1" t="s">
        <v>3870</v>
      </c>
      <c r="B44" s="1" t="s">
        <v>3811</v>
      </c>
      <c r="C44" s="1" t="s">
        <v>3825</v>
      </c>
      <c r="D44" s="1" t="s">
        <v>3855</v>
      </c>
      <c r="E44">
        <v>454117</v>
      </c>
      <c r="G44" t="str">
        <f t="shared" si="3"/>
        <v/>
      </c>
      <c r="H44">
        <v>-112004.76</v>
      </c>
      <c r="I44" s="3">
        <v>45077</v>
      </c>
      <c r="J44" s="1" t="s">
        <v>3790</v>
      </c>
      <c r="K44" s="1" t="s">
        <v>3783</v>
      </c>
      <c r="L44" s="1" t="s">
        <v>3784</v>
      </c>
      <c r="M44" s="1" t="s">
        <v>3785</v>
      </c>
      <c r="N44" t="str">
        <f t="shared" si="1"/>
        <v>Expense</v>
      </c>
      <c r="O44" t="str">
        <f t="shared" si="2"/>
        <v/>
      </c>
    </row>
    <row r="45" spans="1:15" x14ac:dyDescent="0.25">
      <c r="A45" s="1" t="s">
        <v>3871</v>
      </c>
      <c r="B45" s="1" t="s">
        <v>3794</v>
      </c>
      <c r="C45" s="1" t="s">
        <v>3861</v>
      </c>
      <c r="D45" s="1" t="s">
        <v>3826</v>
      </c>
      <c r="E45">
        <v>225901</v>
      </c>
      <c r="F45">
        <v>254208.33</v>
      </c>
      <c r="G45">
        <f t="shared" si="3"/>
        <v>-28307.329999999987</v>
      </c>
      <c r="H45">
        <v>-28307.33</v>
      </c>
      <c r="I45" s="3">
        <v>45520</v>
      </c>
      <c r="J45" s="1" t="s">
        <v>3790</v>
      </c>
      <c r="K45" s="1" t="s">
        <v>3823</v>
      </c>
      <c r="L45" s="1" t="s">
        <v>3800</v>
      </c>
      <c r="M45" s="1" t="s">
        <v>3792</v>
      </c>
      <c r="N45" t="str">
        <f t="shared" si="1"/>
        <v>Expense</v>
      </c>
      <c r="O45" t="str">
        <f t="shared" si="2"/>
        <v/>
      </c>
    </row>
    <row r="46" spans="1:15" x14ac:dyDescent="0.25">
      <c r="A46" s="1" t="s">
        <v>3872</v>
      </c>
      <c r="B46" s="1" t="s">
        <v>3808</v>
      </c>
      <c r="C46" s="1" t="s">
        <v>3844</v>
      </c>
      <c r="D46" s="1" t="s">
        <v>3837</v>
      </c>
      <c r="E46">
        <v>173047</v>
      </c>
      <c r="F46">
        <v>149662.31</v>
      </c>
      <c r="G46">
        <f t="shared" si="3"/>
        <v>23384.690000000002</v>
      </c>
      <c r="I46" s="3">
        <v>45249</v>
      </c>
      <c r="J46" s="1" t="s">
        <v>3790</v>
      </c>
      <c r="K46" s="1" t="s">
        <v>3783</v>
      </c>
      <c r="L46" s="1" t="s">
        <v>3784</v>
      </c>
      <c r="M46" s="1" t="s">
        <v>3785</v>
      </c>
      <c r="N46" t="str">
        <f t="shared" si="1"/>
        <v>Expense</v>
      </c>
      <c r="O46" t="str">
        <f t="shared" si="2"/>
        <v/>
      </c>
    </row>
    <row r="47" spans="1:15" x14ac:dyDescent="0.25">
      <c r="A47" s="1" t="s">
        <v>3873</v>
      </c>
      <c r="B47" s="1" t="s">
        <v>3798</v>
      </c>
      <c r="C47" s="1" t="s">
        <v>3858</v>
      </c>
      <c r="D47" s="1" t="s">
        <v>3799</v>
      </c>
      <c r="E47">
        <v>247370</v>
      </c>
      <c r="F47">
        <v>268703.57</v>
      </c>
      <c r="G47">
        <f t="shared" si="3"/>
        <v>-21333.570000000007</v>
      </c>
      <c r="H47">
        <v>-21333.57</v>
      </c>
      <c r="I47" s="3">
        <v>45554</v>
      </c>
      <c r="J47" s="1" t="s">
        <v>3790</v>
      </c>
      <c r="K47" s="1" t="s">
        <v>3791</v>
      </c>
      <c r="L47" s="1" t="s">
        <v>3800</v>
      </c>
      <c r="M47" s="1" t="s">
        <v>51</v>
      </c>
      <c r="N47" t="str">
        <f t="shared" si="1"/>
        <v>Expense</v>
      </c>
      <c r="O47" t="str">
        <f t="shared" si="2"/>
        <v/>
      </c>
    </row>
    <row r="48" spans="1:15" x14ac:dyDescent="0.25">
      <c r="A48" s="1" t="s">
        <v>3874</v>
      </c>
      <c r="B48" s="1" t="s">
        <v>3808</v>
      </c>
      <c r="C48" s="1" t="s">
        <v>3795</v>
      </c>
      <c r="D48" s="1" t="s">
        <v>3813</v>
      </c>
      <c r="E48">
        <v>295595</v>
      </c>
      <c r="F48">
        <v>333028.71000000002</v>
      </c>
      <c r="G48">
        <f t="shared" si="3"/>
        <v>-37433.710000000021</v>
      </c>
      <c r="H48">
        <v>-37433.71</v>
      </c>
      <c r="I48" s="3">
        <v>45555</v>
      </c>
      <c r="J48" s="1" t="s">
        <v>3782</v>
      </c>
      <c r="K48" s="1" t="s">
        <v>3783</v>
      </c>
      <c r="L48" s="1" t="s">
        <v>3800</v>
      </c>
      <c r="M48" s="1" t="s">
        <v>3809</v>
      </c>
      <c r="N48" t="str">
        <f t="shared" si="1"/>
        <v>Expense</v>
      </c>
      <c r="O48" t="str">
        <f t="shared" si="2"/>
        <v>Flag: High-Value Pending</v>
      </c>
    </row>
    <row r="49" spans="1:15" x14ac:dyDescent="0.25">
      <c r="A49" s="1" t="s">
        <v>3875</v>
      </c>
      <c r="B49" s="1" t="s">
        <v>3798</v>
      </c>
      <c r="C49" s="1" t="s">
        <v>3844</v>
      </c>
      <c r="D49" s="1" t="s">
        <v>3789</v>
      </c>
      <c r="E49">
        <v>344780</v>
      </c>
      <c r="F49">
        <v>378391.66</v>
      </c>
      <c r="G49">
        <f t="shared" si="3"/>
        <v>-33611.659999999974</v>
      </c>
      <c r="H49">
        <v>-33611.660000000003</v>
      </c>
      <c r="I49" s="3">
        <v>44976</v>
      </c>
      <c r="J49" s="1" t="s">
        <v>3790</v>
      </c>
      <c r="K49" s="1" t="s">
        <v>3791</v>
      </c>
      <c r="L49" s="1" t="s">
        <v>3804</v>
      </c>
      <c r="M49" s="1" t="s">
        <v>51</v>
      </c>
      <c r="N49" t="str">
        <f t="shared" si="1"/>
        <v>Expense</v>
      </c>
      <c r="O49" t="str">
        <f t="shared" si="2"/>
        <v/>
      </c>
    </row>
    <row r="50" spans="1:15" x14ac:dyDescent="0.25">
      <c r="A50" s="1" t="s">
        <v>3876</v>
      </c>
      <c r="B50" s="1" t="s">
        <v>3798</v>
      </c>
      <c r="C50" s="1" t="s">
        <v>3844</v>
      </c>
      <c r="D50" s="1" t="s">
        <v>3781</v>
      </c>
      <c r="E50">
        <v>228003</v>
      </c>
      <c r="F50">
        <v>192790.08</v>
      </c>
      <c r="G50">
        <f t="shared" si="3"/>
        <v>35212.920000000013</v>
      </c>
      <c r="H50">
        <v>35212.92</v>
      </c>
      <c r="I50" s="3">
        <v>45366</v>
      </c>
      <c r="J50" s="1" t="s">
        <v>3790</v>
      </c>
      <c r="K50" s="1" t="s">
        <v>3803</v>
      </c>
      <c r="L50" s="1" t="s">
        <v>3784</v>
      </c>
      <c r="M50" s="1" t="s">
        <v>3785</v>
      </c>
      <c r="N50" t="str">
        <f t="shared" si="1"/>
        <v>Expense</v>
      </c>
      <c r="O50" t="str">
        <f t="shared" si="2"/>
        <v/>
      </c>
    </row>
    <row r="51" spans="1:15" x14ac:dyDescent="0.25">
      <c r="A51" s="1" t="s">
        <v>3877</v>
      </c>
      <c r="B51" s="1" t="s">
        <v>3811</v>
      </c>
      <c r="C51" s="1" t="s">
        <v>3844</v>
      </c>
      <c r="D51" s="1" t="s">
        <v>3867</v>
      </c>
      <c r="E51">
        <v>205500</v>
      </c>
      <c r="F51">
        <v>166546.9</v>
      </c>
      <c r="G51">
        <f t="shared" si="3"/>
        <v>38953.100000000006</v>
      </c>
      <c r="H51">
        <v>38953.1</v>
      </c>
      <c r="I51" s="3">
        <v>45180</v>
      </c>
      <c r="J51" s="1" t="s">
        <v>3790</v>
      </c>
      <c r="K51" s="1" t="s">
        <v>3783</v>
      </c>
      <c r="L51" s="1" t="s">
        <v>3784</v>
      </c>
      <c r="M51" s="1" t="s">
        <v>3817</v>
      </c>
      <c r="N51" t="str">
        <f t="shared" si="1"/>
        <v>Expense</v>
      </c>
      <c r="O51" t="str">
        <f t="shared" si="2"/>
        <v/>
      </c>
    </row>
    <row r="52" spans="1:15" x14ac:dyDescent="0.25">
      <c r="A52" s="1" t="s">
        <v>3878</v>
      </c>
      <c r="B52" s="1" t="s">
        <v>3794</v>
      </c>
      <c r="C52" s="1" t="s">
        <v>3788</v>
      </c>
      <c r="D52" s="1" t="s">
        <v>3855</v>
      </c>
      <c r="E52">
        <v>336583</v>
      </c>
      <c r="F52">
        <v>372109.92</v>
      </c>
      <c r="G52">
        <f t="shared" si="3"/>
        <v>-35526.919999999984</v>
      </c>
      <c r="H52">
        <v>-35526.92</v>
      </c>
      <c r="I52" s="3">
        <v>44983</v>
      </c>
      <c r="J52" s="1" t="s">
        <v>3790</v>
      </c>
      <c r="K52" s="1" t="s">
        <v>3803</v>
      </c>
      <c r="L52" s="1" t="s">
        <v>3804</v>
      </c>
      <c r="M52" s="1" t="s">
        <v>3785</v>
      </c>
      <c r="N52" t="str">
        <f t="shared" si="1"/>
        <v>Expense</v>
      </c>
      <c r="O52" t="str">
        <f t="shared" si="2"/>
        <v/>
      </c>
    </row>
    <row r="53" spans="1:15" x14ac:dyDescent="0.25">
      <c r="A53" s="1" t="s">
        <v>3879</v>
      </c>
      <c r="B53" s="1" t="s">
        <v>3811</v>
      </c>
      <c r="C53" s="1" t="s">
        <v>3861</v>
      </c>
      <c r="D53" s="1" t="s">
        <v>3834</v>
      </c>
      <c r="E53">
        <v>76037</v>
      </c>
      <c r="F53">
        <v>88996.479999999996</v>
      </c>
      <c r="G53">
        <f t="shared" si="3"/>
        <v>-12959.479999999996</v>
      </c>
      <c r="H53">
        <v>-12959.48</v>
      </c>
      <c r="I53" s="3">
        <v>45229</v>
      </c>
      <c r="J53" s="1" t="s">
        <v>3790</v>
      </c>
      <c r="K53" s="1" t="s">
        <v>3791</v>
      </c>
      <c r="L53" s="1" t="s">
        <v>3784</v>
      </c>
      <c r="M53" s="1" t="s">
        <v>51</v>
      </c>
      <c r="N53" t="str">
        <f t="shared" si="1"/>
        <v>Expense</v>
      </c>
      <c r="O53" t="str">
        <f t="shared" si="2"/>
        <v/>
      </c>
    </row>
    <row r="54" spans="1:15" x14ac:dyDescent="0.25">
      <c r="A54" s="1" t="s">
        <v>3880</v>
      </c>
      <c r="B54" s="1" t="s">
        <v>3811</v>
      </c>
      <c r="C54" s="1" t="s">
        <v>3806</v>
      </c>
      <c r="D54" s="1" t="s">
        <v>3867</v>
      </c>
      <c r="E54">
        <v>51292</v>
      </c>
      <c r="F54">
        <v>52199.26</v>
      </c>
      <c r="G54">
        <f t="shared" si="3"/>
        <v>-907.26000000000204</v>
      </c>
      <c r="H54">
        <v>-907.26</v>
      </c>
      <c r="I54" s="3">
        <v>45250</v>
      </c>
      <c r="J54" s="1" t="s">
        <v>3790</v>
      </c>
      <c r="K54" s="1" t="s">
        <v>3823</v>
      </c>
      <c r="L54" s="1" t="s">
        <v>3784</v>
      </c>
      <c r="M54" s="1" t="s">
        <v>3809</v>
      </c>
      <c r="N54" t="str">
        <f t="shared" si="1"/>
        <v>Expense</v>
      </c>
      <c r="O54" t="str">
        <f t="shared" si="2"/>
        <v/>
      </c>
    </row>
    <row r="55" spans="1:15" x14ac:dyDescent="0.25">
      <c r="A55" s="1" t="s">
        <v>3881</v>
      </c>
      <c r="B55" s="1" t="s">
        <v>3811</v>
      </c>
      <c r="C55" s="1" t="s">
        <v>3844</v>
      </c>
      <c r="D55" s="1" t="s">
        <v>3789</v>
      </c>
      <c r="E55">
        <v>-307191</v>
      </c>
      <c r="F55">
        <v>328740.27</v>
      </c>
      <c r="G55">
        <f t="shared" si="3"/>
        <v>-635931.27</v>
      </c>
      <c r="H55">
        <v>-21549.27</v>
      </c>
      <c r="I55" s="3">
        <v>45684</v>
      </c>
      <c r="J55" s="1" t="s">
        <v>3790</v>
      </c>
      <c r="K55" s="1" t="s">
        <v>3791</v>
      </c>
      <c r="L55" s="1" t="s">
        <v>3800</v>
      </c>
      <c r="M55" s="1" t="s">
        <v>3785</v>
      </c>
      <c r="N55" t="str">
        <f t="shared" si="1"/>
        <v>Credit/Refund</v>
      </c>
      <c r="O55" t="str">
        <f t="shared" si="2"/>
        <v/>
      </c>
    </row>
    <row r="56" spans="1:15" x14ac:dyDescent="0.25">
      <c r="A56" s="1" t="s">
        <v>3882</v>
      </c>
      <c r="B56" s="1" t="s">
        <v>3787</v>
      </c>
      <c r="C56" s="1" t="s">
        <v>3795</v>
      </c>
      <c r="D56" s="1" t="s">
        <v>3799</v>
      </c>
      <c r="E56">
        <v>333909</v>
      </c>
      <c r="F56">
        <v>401580.86</v>
      </c>
      <c r="G56">
        <f t="shared" si="3"/>
        <v>-67671.859999999986</v>
      </c>
      <c r="H56">
        <v>-67671.86</v>
      </c>
      <c r="I56" s="3">
        <v>45317</v>
      </c>
      <c r="J56" s="1" t="s">
        <v>3859</v>
      </c>
      <c r="K56" s="1" t="s">
        <v>3791</v>
      </c>
      <c r="L56" s="1" t="s">
        <v>3784</v>
      </c>
      <c r="M56" s="1" t="s">
        <v>3792</v>
      </c>
      <c r="N56" t="str">
        <f t="shared" si="1"/>
        <v>Expense</v>
      </c>
      <c r="O56" t="str">
        <f t="shared" si="2"/>
        <v>Flag: High-Value Rejected</v>
      </c>
    </row>
    <row r="57" spans="1:15" x14ac:dyDescent="0.25">
      <c r="A57" s="1" t="s">
        <v>3883</v>
      </c>
      <c r="B57" s="1" t="s">
        <v>3798</v>
      </c>
      <c r="C57" s="1" t="s">
        <v>3844</v>
      </c>
      <c r="D57" s="1" t="s">
        <v>3796</v>
      </c>
      <c r="E57">
        <v>325449</v>
      </c>
      <c r="F57">
        <v>392529.63</v>
      </c>
      <c r="G57">
        <f t="shared" si="3"/>
        <v>-67080.63</v>
      </c>
      <c r="H57">
        <v>-67080.63</v>
      </c>
      <c r="I57" s="3">
        <v>45709</v>
      </c>
      <c r="J57" s="1" t="s">
        <v>3790</v>
      </c>
      <c r="K57" s="1" t="s">
        <v>3791</v>
      </c>
      <c r="L57" s="1" t="s">
        <v>3800</v>
      </c>
      <c r="M57" s="1" t="s">
        <v>3809</v>
      </c>
      <c r="N57" t="str">
        <f t="shared" si="1"/>
        <v>Expense</v>
      </c>
      <c r="O57" t="str">
        <f t="shared" si="2"/>
        <v/>
      </c>
    </row>
    <row r="58" spans="1:15" x14ac:dyDescent="0.25">
      <c r="A58" s="1" t="s">
        <v>3884</v>
      </c>
      <c r="B58" s="1" t="s">
        <v>3787</v>
      </c>
      <c r="C58" s="1" t="s">
        <v>3815</v>
      </c>
      <c r="D58" s="1" t="s">
        <v>3813</v>
      </c>
      <c r="E58">
        <v>10526</v>
      </c>
      <c r="F58">
        <v>9003.5300000000007</v>
      </c>
      <c r="G58">
        <f t="shared" si="3"/>
        <v>1522.4699999999993</v>
      </c>
      <c r="H58">
        <v>1522.47</v>
      </c>
      <c r="I58" s="3">
        <v>45217</v>
      </c>
      <c r="J58" s="1" t="s">
        <v>3790</v>
      </c>
      <c r="K58" s="1" t="s">
        <v>3791</v>
      </c>
      <c r="L58" s="1" t="s">
        <v>3784</v>
      </c>
      <c r="M58" s="1" t="s">
        <v>3785</v>
      </c>
      <c r="N58" t="str">
        <f t="shared" si="1"/>
        <v>Expense</v>
      </c>
      <c r="O58" t="str">
        <f t="shared" si="2"/>
        <v/>
      </c>
    </row>
    <row r="59" spans="1:15" x14ac:dyDescent="0.25">
      <c r="A59" s="1" t="s">
        <v>3885</v>
      </c>
      <c r="B59" s="1" t="s">
        <v>3794</v>
      </c>
      <c r="C59" s="1" t="s">
        <v>4878</v>
      </c>
      <c r="D59" s="1" t="s">
        <v>3796</v>
      </c>
      <c r="E59">
        <v>464884</v>
      </c>
      <c r="F59">
        <v>581075.86</v>
      </c>
      <c r="G59">
        <f t="shared" si="3"/>
        <v>-116191.85999999999</v>
      </c>
      <c r="H59">
        <v>-116191.86</v>
      </c>
      <c r="I59" s="3">
        <v>45636</v>
      </c>
      <c r="J59" s="1" t="s">
        <v>3859</v>
      </c>
      <c r="K59" s="1" t="s">
        <v>3783</v>
      </c>
      <c r="L59" s="1" t="s">
        <v>3800</v>
      </c>
      <c r="M59" s="1" t="s">
        <v>3817</v>
      </c>
      <c r="N59" t="str">
        <f t="shared" si="1"/>
        <v>Expense</v>
      </c>
      <c r="O59" t="str">
        <f t="shared" si="2"/>
        <v>Flag: High-Value Rejected</v>
      </c>
    </row>
    <row r="60" spans="1:15" x14ac:dyDescent="0.25">
      <c r="A60" s="1" t="s">
        <v>3886</v>
      </c>
      <c r="B60" s="1" t="s">
        <v>3794</v>
      </c>
      <c r="C60" s="1" t="s">
        <v>3861</v>
      </c>
      <c r="D60" s="1" t="s">
        <v>3855</v>
      </c>
      <c r="E60">
        <v>265649</v>
      </c>
      <c r="F60">
        <v>235191.89</v>
      </c>
      <c r="G60">
        <f t="shared" si="3"/>
        <v>30457.109999999986</v>
      </c>
      <c r="H60">
        <v>30457.11</v>
      </c>
      <c r="I60" s="3">
        <v>45298</v>
      </c>
      <c r="J60" s="1" t="s">
        <v>3790</v>
      </c>
      <c r="K60" s="1" t="s">
        <v>3803</v>
      </c>
      <c r="L60" s="1" t="s">
        <v>3784</v>
      </c>
      <c r="M60" s="1" t="s">
        <v>51</v>
      </c>
      <c r="N60" t="str">
        <f t="shared" si="1"/>
        <v>Expense</v>
      </c>
      <c r="O60" t="str">
        <f t="shared" si="2"/>
        <v/>
      </c>
    </row>
    <row r="61" spans="1:15" x14ac:dyDescent="0.25">
      <c r="A61" s="1" t="s">
        <v>3887</v>
      </c>
      <c r="B61" s="1" t="s">
        <v>3798</v>
      </c>
      <c r="C61" s="1" t="s">
        <v>3821</v>
      </c>
      <c r="D61" s="1" t="s">
        <v>3855</v>
      </c>
      <c r="E61">
        <v>32268</v>
      </c>
      <c r="F61">
        <v>26832.63</v>
      </c>
      <c r="G61">
        <f t="shared" si="3"/>
        <v>5435.369999999999</v>
      </c>
      <c r="H61">
        <v>5435.37</v>
      </c>
      <c r="I61" s="3">
        <v>45157</v>
      </c>
      <c r="J61" s="1" t="s">
        <v>3790</v>
      </c>
      <c r="K61" s="1" t="s">
        <v>3803</v>
      </c>
      <c r="L61" s="1" t="s">
        <v>3784</v>
      </c>
      <c r="M61" s="1" t="s">
        <v>3785</v>
      </c>
      <c r="N61" t="str">
        <f t="shared" si="1"/>
        <v>Expense</v>
      </c>
      <c r="O61" t="str">
        <f t="shared" si="2"/>
        <v/>
      </c>
    </row>
    <row r="62" spans="1:15" x14ac:dyDescent="0.25">
      <c r="A62" s="1" t="s">
        <v>3888</v>
      </c>
      <c r="B62" s="1" t="s">
        <v>3798</v>
      </c>
      <c r="C62" s="1" t="s">
        <v>3806</v>
      </c>
      <c r="D62" s="1" t="s">
        <v>3813</v>
      </c>
      <c r="E62">
        <v>79555</v>
      </c>
      <c r="F62">
        <v>101962.75</v>
      </c>
      <c r="G62">
        <f t="shared" si="3"/>
        <v>-22407.75</v>
      </c>
      <c r="H62">
        <v>-22407.75</v>
      </c>
      <c r="I62" s="3">
        <v>44958</v>
      </c>
      <c r="J62" s="1" t="s">
        <v>3790</v>
      </c>
      <c r="K62" s="1" t="s">
        <v>3791</v>
      </c>
      <c r="L62" s="1" t="s">
        <v>3804</v>
      </c>
      <c r="M62" s="1" t="s">
        <v>51</v>
      </c>
      <c r="N62" t="str">
        <f t="shared" si="1"/>
        <v>Expense</v>
      </c>
      <c r="O62" t="str">
        <f t="shared" si="2"/>
        <v/>
      </c>
    </row>
    <row r="63" spans="1:15" x14ac:dyDescent="0.25">
      <c r="A63" s="1" t="s">
        <v>3889</v>
      </c>
      <c r="B63" s="1" t="s">
        <v>3794</v>
      </c>
      <c r="C63" s="1" t="s">
        <v>3788</v>
      </c>
      <c r="D63" s="1" t="s">
        <v>3850</v>
      </c>
      <c r="E63">
        <v>411030</v>
      </c>
      <c r="F63">
        <v>392369.5</v>
      </c>
      <c r="G63">
        <f t="shared" si="3"/>
        <v>18660.5</v>
      </c>
      <c r="H63">
        <v>18660.5</v>
      </c>
      <c r="I63" s="3">
        <v>44966</v>
      </c>
      <c r="J63" s="1" t="s">
        <v>3790</v>
      </c>
      <c r="K63" s="1" t="s">
        <v>3783</v>
      </c>
      <c r="L63" s="1" t="s">
        <v>3804</v>
      </c>
      <c r="M63" s="1" t="s">
        <v>51</v>
      </c>
      <c r="N63" t="str">
        <f t="shared" si="1"/>
        <v>Expense</v>
      </c>
      <c r="O63" t="str">
        <f t="shared" si="2"/>
        <v/>
      </c>
    </row>
    <row r="64" spans="1:15" x14ac:dyDescent="0.25">
      <c r="A64" s="1" t="s">
        <v>3890</v>
      </c>
      <c r="B64" s="1" t="s">
        <v>3798</v>
      </c>
      <c r="C64" s="1" t="s">
        <v>3780</v>
      </c>
      <c r="D64" s="1" t="s">
        <v>3789</v>
      </c>
      <c r="E64">
        <v>2583687</v>
      </c>
      <c r="F64">
        <v>2695007.68</v>
      </c>
      <c r="G64">
        <f t="shared" si="3"/>
        <v>-111320.68000000017</v>
      </c>
      <c r="H64">
        <v>-111320.68</v>
      </c>
      <c r="I64" s="3">
        <v>45655</v>
      </c>
      <c r="J64" s="1" t="s">
        <v>3782</v>
      </c>
      <c r="K64" s="1" t="s">
        <v>3783</v>
      </c>
      <c r="L64" s="1" t="s">
        <v>3800</v>
      </c>
      <c r="M64" s="1" t="s">
        <v>51</v>
      </c>
      <c r="N64" t="str">
        <f t="shared" si="1"/>
        <v>Expense</v>
      </c>
      <c r="O64" t="str">
        <f t="shared" si="2"/>
        <v>Flag: High-Value Pending</v>
      </c>
    </row>
    <row r="65" spans="1:15" x14ac:dyDescent="0.25">
      <c r="A65" s="1" t="s">
        <v>3891</v>
      </c>
      <c r="B65" s="1" t="s">
        <v>3794</v>
      </c>
      <c r="C65" s="1" t="s">
        <v>3821</v>
      </c>
      <c r="D65" s="1" t="s">
        <v>3850</v>
      </c>
      <c r="E65">
        <v>99203</v>
      </c>
      <c r="F65">
        <v>111995.57</v>
      </c>
      <c r="G65">
        <f t="shared" si="3"/>
        <v>-12792.570000000007</v>
      </c>
      <c r="H65">
        <v>-12792.57</v>
      </c>
      <c r="I65" s="3">
        <v>45616</v>
      </c>
      <c r="J65" s="1" t="s">
        <v>3790</v>
      </c>
      <c r="K65" s="1" t="s">
        <v>3791</v>
      </c>
      <c r="L65" s="1" t="s">
        <v>3800</v>
      </c>
      <c r="M65" s="1" t="s">
        <v>51</v>
      </c>
      <c r="N65" t="str">
        <f t="shared" si="1"/>
        <v>Expense</v>
      </c>
      <c r="O65" t="str">
        <f t="shared" si="2"/>
        <v/>
      </c>
    </row>
    <row r="66" spans="1:15" x14ac:dyDescent="0.25">
      <c r="A66" s="1" t="s">
        <v>3892</v>
      </c>
      <c r="B66" s="1" t="s">
        <v>3811</v>
      </c>
      <c r="C66" s="1" t="s">
        <v>3844</v>
      </c>
      <c r="D66" s="1" t="s">
        <v>3855</v>
      </c>
      <c r="E66">
        <v>413818</v>
      </c>
      <c r="F66">
        <v>475823.4</v>
      </c>
      <c r="G66">
        <f t="shared" ref="G66:G129" si="4">IF(F66="","",E66-F66)</f>
        <v>-62005.400000000023</v>
      </c>
      <c r="H66">
        <v>-62005.4</v>
      </c>
      <c r="I66" s="3">
        <v>45461</v>
      </c>
      <c r="J66" s="1" t="s">
        <v>3782</v>
      </c>
      <c r="K66" s="1" t="s">
        <v>3803</v>
      </c>
      <c r="L66" s="1" t="s">
        <v>3800</v>
      </c>
      <c r="M66" s="1" t="s">
        <v>51</v>
      </c>
      <c r="N66" t="str">
        <f t="shared" si="1"/>
        <v>Expense</v>
      </c>
      <c r="O66" t="str">
        <f t="shared" si="2"/>
        <v>Flag: High-Value Pending</v>
      </c>
    </row>
    <row r="67" spans="1:15" x14ac:dyDescent="0.25">
      <c r="A67" s="1" t="s">
        <v>3893</v>
      </c>
      <c r="B67" s="1" t="s">
        <v>3828</v>
      </c>
      <c r="C67" s="1" t="s">
        <v>3788</v>
      </c>
      <c r="D67" s="1" t="s">
        <v>3867</v>
      </c>
      <c r="E67">
        <v>277583</v>
      </c>
      <c r="F67">
        <v>262488.11</v>
      </c>
      <c r="G67">
        <f t="shared" si="4"/>
        <v>15094.890000000014</v>
      </c>
      <c r="H67">
        <v>15094.89</v>
      </c>
      <c r="I67" s="3">
        <v>45270</v>
      </c>
      <c r="J67" s="1" t="s">
        <v>3782</v>
      </c>
      <c r="K67" s="1" t="s">
        <v>3803</v>
      </c>
      <c r="L67" s="1" t="s">
        <v>3784</v>
      </c>
      <c r="M67" s="1" t="s">
        <v>3809</v>
      </c>
      <c r="N67" t="str">
        <f t="shared" ref="N67:N130" si="5">IF(E67&lt;0,"Credit/Refund","Expense")</f>
        <v>Expense</v>
      </c>
      <c r="O67" t="str">
        <f t="shared" ref="O67:O130" si="6">IF(AND(OR(J67="Pending",J67="Rejected"),E67&gt;200000),"Flag: High-Value "&amp;J67,"")</f>
        <v>Flag: High-Value Pending</v>
      </c>
    </row>
    <row r="68" spans="1:15" x14ac:dyDescent="0.25">
      <c r="A68" s="1" t="s">
        <v>3894</v>
      </c>
      <c r="B68" s="1" t="s">
        <v>3794</v>
      </c>
      <c r="C68" s="1" t="s">
        <v>3844</v>
      </c>
      <c r="D68" s="1" t="s">
        <v>3895</v>
      </c>
      <c r="E68">
        <v>457651</v>
      </c>
      <c r="F68">
        <v>467629.28</v>
      </c>
      <c r="G68">
        <f t="shared" si="4"/>
        <v>-9978.2800000000279</v>
      </c>
      <c r="H68">
        <v>-9978.2800000000007</v>
      </c>
      <c r="I68" s="3">
        <v>45307</v>
      </c>
      <c r="J68" s="1" t="s">
        <v>3790</v>
      </c>
      <c r="K68" s="1" t="s">
        <v>3783</v>
      </c>
      <c r="L68" s="1" t="s">
        <v>3784</v>
      </c>
      <c r="M68" s="1" t="s">
        <v>3809</v>
      </c>
      <c r="N68" t="str">
        <f t="shared" si="5"/>
        <v>Expense</v>
      </c>
      <c r="O68" t="str">
        <f t="shared" si="6"/>
        <v/>
      </c>
    </row>
    <row r="69" spans="1:15" x14ac:dyDescent="0.25">
      <c r="A69" s="1" t="s">
        <v>3896</v>
      </c>
      <c r="B69" s="1" t="s">
        <v>3811</v>
      </c>
      <c r="C69" s="1" t="s">
        <v>3848</v>
      </c>
      <c r="D69" s="1" t="s">
        <v>3826</v>
      </c>
      <c r="E69">
        <v>62205</v>
      </c>
      <c r="F69">
        <v>68491.3</v>
      </c>
      <c r="G69">
        <f t="shared" si="4"/>
        <v>-6286.3000000000029</v>
      </c>
      <c r="I69" s="3">
        <v>45306</v>
      </c>
      <c r="J69" s="1" t="s">
        <v>3790</v>
      </c>
      <c r="K69" s="1" t="s">
        <v>3823</v>
      </c>
      <c r="L69" s="1" t="s">
        <v>3784</v>
      </c>
      <c r="M69" s="1" t="s">
        <v>3792</v>
      </c>
      <c r="N69" t="str">
        <f t="shared" si="5"/>
        <v>Expense</v>
      </c>
      <c r="O69" t="str">
        <f t="shared" si="6"/>
        <v/>
      </c>
    </row>
    <row r="70" spans="1:15" x14ac:dyDescent="0.25">
      <c r="A70" s="1" t="s">
        <v>3897</v>
      </c>
      <c r="B70" s="1" t="s">
        <v>3811</v>
      </c>
      <c r="C70" s="1" t="s">
        <v>3788</v>
      </c>
      <c r="D70" s="1" t="s">
        <v>3789</v>
      </c>
      <c r="E70">
        <v>395114</v>
      </c>
      <c r="F70">
        <v>453184.31</v>
      </c>
      <c r="G70">
        <f t="shared" si="4"/>
        <v>-58070.31</v>
      </c>
      <c r="H70">
        <v>-58070.31</v>
      </c>
      <c r="I70" s="3">
        <v>44998</v>
      </c>
      <c r="J70" s="1" t="s">
        <v>3782</v>
      </c>
      <c r="K70" s="1" t="s">
        <v>3823</v>
      </c>
      <c r="L70" s="1" t="s">
        <v>3804</v>
      </c>
      <c r="M70" s="1" t="s">
        <v>3809</v>
      </c>
      <c r="N70" t="str">
        <f t="shared" si="5"/>
        <v>Expense</v>
      </c>
      <c r="O70" t="str">
        <f t="shared" si="6"/>
        <v>Flag: High-Value Pending</v>
      </c>
    </row>
    <row r="71" spans="1:15" x14ac:dyDescent="0.25">
      <c r="A71" s="1" t="s">
        <v>3898</v>
      </c>
      <c r="B71" s="1" t="s">
        <v>3794</v>
      </c>
      <c r="C71" s="1" t="s">
        <v>3812</v>
      </c>
      <c r="D71" s="1" t="s">
        <v>3846</v>
      </c>
      <c r="E71">
        <v>97690</v>
      </c>
      <c r="F71">
        <v>91260.03</v>
      </c>
      <c r="G71">
        <f t="shared" si="4"/>
        <v>6429.9700000000012</v>
      </c>
      <c r="H71">
        <v>6429.97</v>
      </c>
      <c r="I71" s="3">
        <v>45440</v>
      </c>
      <c r="J71" s="1" t="s">
        <v>3790</v>
      </c>
      <c r="K71" s="1" t="s">
        <v>3823</v>
      </c>
      <c r="L71" s="1" t="s">
        <v>3800</v>
      </c>
      <c r="M71" s="1" t="s">
        <v>51</v>
      </c>
      <c r="N71" t="str">
        <f t="shared" si="5"/>
        <v>Expense</v>
      </c>
      <c r="O71" t="str">
        <f t="shared" si="6"/>
        <v/>
      </c>
    </row>
    <row r="72" spans="1:15" x14ac:dyDescent="0.25">
      <c r="A72" s="1" t="s">
        <v>3899</v>
      </c>
      <c r="B72" s="1" t="s">
        <v>3787</v>
      </c>
      <c r="C72" s="1" t="s">
        <v>3861</v>
      </c>
      <c r="D72" s="1" t="s">
        <v>3850</v>
      </c>
      <c r="E72">
        <v>491563</v>
      </c>
      <c r="F72">
        <v>637066.96</v>
      </c>
      <c r="G72">
        <f t="shared" si="4"/>
        <v>-145503.95999999996</v>
      </c>
      <c r="H72">
        <v>-145503.96</v>
      </c>
      <c r="I72" s="3">
        <v>44937</v>
      </c>
      <c r="J72" s="1" t="s">
        <v>3790</v>
      </c>
      <c r="K72" s="1" t="s">
        <v>3783</v>
      </c>
      <c r="L72" s="1" t="s">
        <v>3804</v>
      </c>
      <c r="M72" s="1" t="s">
        <v>3792</v>
      </c>
      <c r="N72" t="str">
        <f t="shared" si="5"/>
        <v>Expense</v>
      </c>
      <c r="O72" t="str">
        <f t="shared" si="6"/>
        <v/>
      </c>
    </row>
    <row r="73" spans="1:15" x14ac:dyDescent="0.25">
      <c r="A73" s="1" t="s">
        <v>3900</v>
      </c>
      <c r="B73" s="1" t="s">
        <v>3811</v>
      </c>
      <c r="C73" s="1" t="s">
        <v>3858</v>
      </c>
      <c r="D73" s="1" t="s">
        <v>3816</v>
      </c>
      <c r="E73">
        <v>417255</v>
      </c>
      <c r="F73">
        <v>398887.4</v>
      </c>
      <c r="G73">
        <f t="shared" si="4"/>
        <v>18367.599999999977</v>
      </c>
      <c r="H73">
        <v>18367.599999999999</v>
      </c>
      <c r="I73" s="3">
        <v>45228</v>
      </c>
      <c r="J73" s="1" t="s">
        <v>3790</v>
      </c>
      <c r="K73" s="1" t="s">
        <v>3783</v>
      </c>
      <c r="L73" s="1" t="s">
        <v>3784</v>
      </c>
      <c r="M73" s="1" t="s">
        <v>3817</v>
      </c>
      <c r="N73" t="str">
        <f t="shared" si="5"/>
        <v>Expense</v>
      </c>
      <c r="O73" t="str">
        <f t="shared" si="6"/>
        <v/>
      </c>
    </row>
    <row r="74" spans="1:15" x14ac:dyDescent="0.25">
      <c r="A74" s="1" t="s">
        <v>3901</v>
      </c>
      <c r="B74" s="1" t="s">
        <v>3808</v>
      </c>
      <c r="C74" s="1" t="s">
        <v>3788</v>
      </c>
      <c r="D74" s="1" t="s">
        <v>3789</v>
      </c>
      <c r="E74">
        <v>388564</v>
      </c>
      <c r="F74">
        <v>433099.82</v>
      </c>
      <c r="G74">
        <f t="shared" si="4"/>
        <v>-44535.820000000007</v>
      </c>
      <c r="H74">
        <v>-44535.82</v>
      </c>
      <c r="I74" s="3">
        <v>45302</v>
      </c>
      <c r="J74" s="1" t="s">
        <v>3790</v>
      </c>
      <c r="K74" s="1" t="s">
        <v>3803</v>
      </c>
      <c r="L74" s="1" t="s">
        <v>3784</v>
      </c>
      <c r="M74" s="1" t="s">
        <v>3809</v>
      </c>
      <c r="N74" t="str">
        <f t="shared" si="5"/>
        <v>Expense</v>
      </c>
      <c r="O74" t="str">
        <f t="shared" si="6"/>
        <v/>
      </c>
    </row>
    <row r="75" spans="1:15" x14ac:dyDescent="0.25">
      <c r="A75" s="1" t="s">
        <v>3902</v>
      </c>
      <c r="B75" s="1" t="s">
        <v>3794</v>
      </c>
      <c r="C75" s="1" t="s">
        <v>4878</v>
      </c>
      <c r="D75" s="1" t="s">
        <v>3895</v>
      </c>
      <c r="E75">
        <v>476675</v>
      </c>
      <c r="F75">
        <v>601228.87</v>
      </c>
      <c r="G75">
        <f t="shared" si="4"/>
        <v>-124553.87</v>
      </c>
      <c r="H75">
        <v>-124553.87</v>
      </c>
      <c r="I75" s="3">
        <v>45426</v>
      </c>
      <c r="J75" s="1" t="s">
        <v>3790</v>
      </c>
      <c r="K75" s="1" t="s">
        <v>3783</v>
      </c>
      <c r="L75" s="1" t="s">
        <v>3800</v>
      </c>
      <c r="M75" s="1" t="s">
        <v>3817</v>
      </c>
      <c r="N75" t="str">
        <f t="shared" si="5"/>
        <v>Expense</v>
      </c>
      <c r="O75" t="str">
        <f t="shared" si="6"/>
        <v/>
      </c>
    </row>
    <row r="76" spans="1:15" x14ac:dyDescent="0.25">
      <c r="A76" s="1" t="s">
        <v>3903</v>
      </c>
      <c r="B76" s="1" t="s">
        <v>3794</v>
      </c>
      <c r="C76" s="1" t="s">
        <v>3825</v>
      </c>
      <c r="D76" s="1" t="s">
        <v>3789</v>
      </c>
      <c r="E76">
        <v>118973</v>
      </c>
      <c r="F76">
        <v>134000.41</v>
      </c>
      <c r="G76">
        <f t="shared" si="4"/>
        <v>-15027.410000000003</v>
      </c>
      <c r="H76">
        <v>-15027.41</v>
      </c>
      <c r="I76" s="3">
        <v>45671</v>
      </c>
      <c r="J76" s="1" t="s">
        <v>3790</v>
      </c>
      <c r="K76" s="1" t="s">
        <v>3783</v>
      </c>
      <c r="L76" s="1" t="s">
        <v>3800</v>
      </c>
      <c r="M76" s="1" t="s">
        <v>51</v>
      </c>
      <c r="N76" t="str">
        <f t="shared" si="5"/>
        <v>Expense</v>
      </c>
      <c r="O76" t="str">
        <f t="shared" si="6"/>
        <v/>
      </c>
    </row>
    <row r="77" spans="1:15" x14ac:dyDescent="0.25">
      <c r="A77" s="1" t="s">
        <v>3904</v>
      </c>
      <c r="B77" s="1" t="s">
        <v>3811</v>
      </c>
      <c r="C77" s="1" t="s">
        <v>3858</v>
      </c>
      <c r="D77" s="1" t="s">
        <v>3796</v>
      </c>
      <c r="E77">
        <v>22538</v>
      </c>
      <c r="F77">
        <v>19899.53</v>
      </c>
      <c r="G77">
        <f t="shared" si="4"/>
        <v>2638.4700000000012</v>
      </c>
      <c r="H77">
        <v>2638.47</v>
      </c>
      <c r="I77" s="3">
        <v>45425</v>
      </c>
      <c r="J77" s="1" t="s">
        <v>3790</v>
      </c>
      <c r="K77" s="1" t="s">
        <v>3783</v>
      </c>
      <c r="L77" s="1" t="s">
        <v>3800</v>
      </c>
      <c r="M77" s="1" t="s">
        <v>51</v>
      </c>
      <c r="N77" t="str">
        <f t="shared" si="5"/>
        <v>Expense</v>
      </c>
      <c r="O77" t="str">
        <f t="shared" si="6"/>
        <v/>
      </c>
    </row>
    <row r="78" spans="1:15" x14ac:dyDescent="0.25">
      <c r="A78" s="1" t="s">
        <v>3905</v>
      </c>
      <c r="B78" s="1" t="s">
        <v>3798</v>
      </c>
      <c r="C78" s="1" t="s">
        <v>3812</v>
      </c>
      <c r="D78" s="1" t="s">
        <v>3850</v>
      </c>
      <c r="E78">
        <v>443662</v>
      </c>
      <c r="G78" t="str">
        <f t="shared" si="4"/>
        <v/>
      </c>
      <c r="H78">
        <v>85569.69</v>
      </c>
      <c r="I78" s="3">
        <v>45673</v>
      </c>
      <c r="J78" s="1" t="s">
        <v>3782</v>
      </c>
      <c r="K78" s="1" t="s">
        <v>3783</v>
      </c>
      <c r="L78" s="1" t="s">
        <v>3800</v>
      </c>
      <c r="M78" s="1" t="s">
        <v>3831</v>
      </c>
      <c r="N78" t="str">
        <f t="shared" si="5"/>
        <v>Expense</v>
      </c>
      <c r="O78" t="str">
        <f t="shared" si="6"/>
        <v>Flag: High-Value Pending</v>
      </c>
    </row>
    <row r="79" spans="1:15" x14ac:dyDescent="0.25">
      <c r="A79" s="1" t="s">
        <v>3906</v>
      </c>
      <c r="B79" s="1" t="s">
        <v>3811</v>
      </c>
      <c r="C79" s="1" t="s">
        <v>3821</v>
      </c>
      <c r="D79" s="1" t="s">
        <v>3781</v>
      </c>
      <c r="E79">
        <v>353333</v>
      </c>
      <c r="F79">
        <v>458964.2</v>
      </c>
      <c r="G79">
        <f t="shared" si="4"/>
        <v>-105631.20000000001</v>
      </c>
      <c r="H79">
        <v>-105631.2</v>
      </c>
      <c r="I79" s="3">
        <v>45702</v>
      </c>
      <c r="J79" s="1" t="s">
        <v>3790</v>
      </c>
      <c r="K79" s="1" t="s">
        <v>3803</v>
      </c>
      <c r="L79" s="1" t="s">
        <v>3800</v>
      </c>
      <c r="M79" s="1" t="s">
        <v>3809</v>
      </c>
      <c r="N79" t="str">
        <f t="shared" si="5"/>
        <v>Expense</v>
      </c>
      <c r="O79" t="str">
        <f t="shared" si="6"/>
        <v/>
      </c>
    </row>
    <row r="80" spans="1:15" x14ac:dyDescent="0.25">
      <c r="A80" s="1" t="s">
        <v>3907</v>
      </c>
      <c r="B80" s="1" t="s">
        <v>3839</v>
      </c>
      <c r="C80" s="1" t="s">
        <v>3861</v>
      </c>
      <c r="D80" s="1" t="s">
        <v>3816</v>
      </c>
      <c r="E80">
        <v>290249</v>
      </c>
      <c r="F80">
        <v>369613.63</v>
      </c>
      <c r="G80">
        <f t="shared" si="4"/>
        <v>-79364.63</v>
      </c>
      <c r="H80">
        <v>-79364.63</v>
      </c>
      <c r="I80" s="3">
        <v>45299</v>
      </c>
      <c r="J80" s="1" t="s">
        <v>3790</v>
      </c>
      <c r="K80" s="1" t="s">
        <v>3823</v>
      </c>
      <c r="L80" s="1" t="s">
        <v>3784</v>
      </c>
      <c r="M80" s="1" t="s">
        <v>3785</v>
      </c>
      <c r="N80" t="str">
        <f t="shared" si="5"/>
        <v>Expense</v>
      </c>
      <c r="O80" t="str">
        <f t="shared" si="6"/>
        <v/>
      </c>
    </row>
    <row r="81" spans="1:15" x14ac:dyDescent="0.25">
      <c r="A81" s="1" t="s">
        <v>3908</v>
      </c>
      <c r="B81" s="1" t="s">
        <v>3798</v>
      </c>
      <c r="C81" s="1" t="s">
        <v>3821</v>
      </c>
      <c r="D81" s="1" t="s">
        <v>3789</v>
      </c>
      <c r="E81">
        <v>309034</v>
      </c>
      <c r="F81">
        <v>273262.53000000003</v>
      </c>
      <c r="G81">
        <f t="shared" si="4"/>
        <v>35771.469999999972</v>
      </c>
      <c r="H81">
        <v>35771.47</v>
      </c>
      <c r="I81" s="3">
        <v>45384</v>
      </c>
      <c r="J81" s="1" t="s">
        <v>3782</v>
      </c>
      <c r="K81" s="1" t="s">
        <v>3823</v>
      </c>
      <c r="L81" s="1" t="s">
        <v>3800</v>
      </c>
      <c r="M81" s="1" t="s">
        <v>3792</v>
      </c>
      <c r="N81" t="str">
        <f t="shared" si="5"/>
        <v>Expense</v>
      </c>
      <c r="O81" t="str">
        <f t="shared" si="6"/>
        <v>Flag: High-Value Pending</v>
      </c>
    </row>
    <row r="82" spans="1:15" x14ac:dyDescent="0.25">
      <c r="A82" s="1" t="s">
        <v>3909</v>
      </c>
      <c r="B82" s="1" t="s">
        <v>3808</v>
      </c>
      <c r="C82" s="1" t="s">
        <v>3821</v>
      </c>
      <c r="D82" s="1" t="s">
        <v>3846</v>
      </c>
      <c r="E82">
        <v>106902</v>
      </c>
      <c r="F82">
        <v>123641.31</v>
      </c>
      <c r="G82">
        <f t="shared" si="4"/>
        <v>-16739.309999999998</v>
      </c>
      <c r="H82">
        <v>-16739.310000000001</v>
      </c>
      <c r="I82" s="3">
        <v>45022</v>
      </c>
      <c r="J82" s="1" t="s">
        <v>3782</v>
      </c>
      <c r="K82" s="1" t="s">
        <v>3803</v>
      </c>
      <c r="L82" s="1" t="s">
        <v>3784</v>
      </c>
      <c r="M82" s="1" t="s">
        <v>51</v>
      </c>
      <c r="N82" t="str">
        <f t="shared" si="5"/>
        <v>Expense</v>
      </c>
      <c r="O82" t="str">
        <f t="shared" si="6"/>
        <v/>
      </c>
    </row>
    <row r="83" spans="1:15" x14ac:dyDescent="0.25">
      <c r="A83" s="1" t="s">
        <v>3910</v>
      </c>
      <c r="B83" s="1" t="s">
        <v>3787</v>
      </c>
      <c r="C83" s="1" t="s">
        <v>3821</v>
      </c>
      <c r="D83" s="1" t="s">
        <v>3822</v>
      </c>
      <c r="E83">
        <v>429973</v>
      </c>
      <c r="F83">
        <v>376365.53</v>
      </c>
      <c r="G83">
        <f t="shared" si="4"/>
        <v>53607.469999999972</v>
      </c>
      <c r="H83">
        <v>53607.47</v>
      </c>
      <c r="I83" s="3">
        <v>45230</v>
      </c>
      <c r="J83" s="1" t="s">
        <v>3782</v>
      </c>
      <c r="K83" s="1" t="s">
        <v>3783</v>
      </c>
      <c r="L83" s="1" t="s">
        <v>3784</v>
      </c>
      <c r="M83" s="1" t="s">
        <v>51</v>
      </c>
      <c r="N83" t="str">
        <f t="shared" si="5"/>
        <v>Expense</v>
      </c>
      <c r="O83" t="str">
        <f t="shared" si="6"/>
        <v>Flag: High-Value Pending</v>
      </c>
    </row>
    <row r="84" spans="1:15" x14ac:dyDescent="0.25">
      <c r="A84" s="1" t="s">
        <v>3911</v>
      </c>
      <c r="B84" s="1" t="s">
        <v>3787</v>
      </c>
      <c r="C84" s="1" t="s">
        <v>3812</v>
      </c>
      <c r="D84" s="1" t="s">
        <v>3837</v>
      </c>
      <c r="E84">
        <v>206116</v>
      </c>
      <c r="F84">
        <v>229625.18</v>
      </c>
      <c r="G84">
        <f t="shared" si="4"/>
        <v>-23509.179999999993</v>
      </c>
      <c r="H84">
        <v>-23509.18</v>
      </c>
      <c r="I84" s="3">
        <v>45699</v>
      </c>
      <c r="J84" s="1" t="s">
        <v>3782</v>
      </c>
      <c r="K84" s="1" t="s">
        <v>3783</v>
      </c>
      <c r="L84" s="1" t="s">
        <v>3800</v>
      </c>
      <c r="M84" s="1" t="s">
        <v>51</v>
      </c>
      <c r="N84" t="str">
        <f t="shared" si="5"/>
        <v>Expense</v>
      </c>
      <c r="O84" t="str">
        <f t="shared" si="6"/>
        <v>Flag: High-Value Pending</v>
      </c>
    </row>
    <row r="85" spans="1:15" x14ac:dyDescent="0.25">
      <c r="A85" s="1" t="s">
        <v>3912</v>
      </c>
      <c r="B85" s="1" t="s">
        <v>4877</v>
      </c>
      <c r="C85" s="1" t="s">
        <v>3821</v>
      </c>
      <c r="D85" s="1" t="s">
        <v>3846</v>
      </c>
      <c r="E85">
        <v>1422304</v>
      </c>
      <c r="F85">
        <v>1675743.07</v>
      </c>
      <c r="G85">
        <f t="shared" si="4"/>
        <v>-253439.07000000007</v>
      </c>
      <c r="H85">
        <v>-253439.07</v>
      </c>
      <c r="I85" s="3">
        <v>45310</v>
      </c>
      <c r="J85" s="1" t="s">
        <v>3790</v>
      </c>
      <c r="K85" s="1" t="s">
        <v>3791</v>
      </c>
      <c r="L85" s="1" t="s">
        <v>3784</v>
      </c>
      <c r="M85" s="1" t="s">
        <v>3792</v>
      </c>
      <c r="N85" t="str">
        <f t="shared" si="5"/>
        <v>Expense</v>
      </c>
      <c r="O85" t="str">
        <f t="shared" si="6"/>
        <v/>
      </c>
    </row>
    <row r="86" spans="1:15" x14ac:dyDescent="0.25">
      <c r="A86" s="1" t="s">
        <v>3913</v>
      </c>
      <c r="B86" s="1" t="s">
        <v>3787</v>
      </c>
      <c r="C86" s="1" t="s">
        <v>3825</v>
      </c>
      <c r="D86" s="1" t="s">
        <v>3855</v>
      </c>
      <c r="E86">
        <v>495376</v>
      </c>
      <c r="F86">
        <v>532148.51</v>
      </c>
      <c r="G86">
        <f t="shared" si="4"/>
        <v>-36772.510000000009</v>
      </c>
      <c r="H86">
        <v>-36772.51</v>
      </c>
      <c r="I86" s="3">
        <v>45728</v>
      </c>
      <c r="J86" s="1" t="s">
        <v>3782</v>
      </c>
      <c r="K86" s="1" t="s">
        <v>3823</v>
      </c>
      <c r="L86" s="1" t="s">
        <v>3800</v>
      </c>
      <c r="M86" s="1" t="s">
        <v>3792</v>
      </c>
      <c r="N86" t="str">
        <f t="shared" si="5"/>
        <v>Expense</v>
      </c>
      <c r="O86" t="str">
        <f t="shared" si="6"/>
        <v>Flag: High-Value Pending</v>
      </c>
    </row>
    <row r="87" spans="1:15" x14ac:dyDescent="0.25">
      <c r="A87" s="1" t="s">
        <v>3914</v>
      </c>
      <c r="B87" s="1" t="s">
        <v>3828</v>
      </c>
      <c r="C87" s="1" t="s">
        <v>3780</v>
      </c>
      <c r="D87" s="1" t="s">
        <v>3850</v>
      </c>
      <c r="E87">
        <v>374421</v>
      </c>
      <c r="F87">
        <v>472252.91</v>
      </c>
      <c r="G87">
        <f t="shared" si="4"/>
        <v>-97831.909999999974</v>
      </c>
      <c r="H87">
        <v>-97831.91</v>
      </c>
      <c r="I87" s="3">
        <v>45125</v>
      </c>
      <c r="J87" s="1" t="s">
        <v>3790</v>
      </c>
      <c r="K87" s="1" t="s">
        <v>3803</v>
      </c>
      <c r="L87" s="1" t="s">
        <v>3784</v>
      </c>
      <c r="M87" s="1" t="s">
        <v>51</v>
      </c>
      <c r="N87" t="str">
        <f t="shared" si="5"/>
        <v>Expense</v>
      </c>
      <c r="O87" t="str">
        <f t="shared" si="6"/>
        <v/>
      </c>
    </row>
    <row r="88" spans="1:15" x14ac:dyDescent="0.25">
      <c r="A88" s="1" t="s">
        <v>3915</v>
      </c>
      <c r="B88" s="1" t="s">
        <v>3828</v>
      </c>
      <c r="C88" s="1" t="s">
        <v>3812</v>
      </c>
      <c r="D88" s="1" t="s">
        <v>3781</v>
      </c>
      <c r="E88">
        <v>277952</v>
      </c>
      <c r="F88">
        <v>236373.9</v>
      </c>
      <c r="G88">
        <f t="shared" si="4"/>
        <v>41578.100000000006</v>
      </c>
      <c r="H88">
        <v>41578.1</v>
      </c>
      <c r="I88" s="3">
        <v>45665</v>
      </c>
      <c r="J88" s="1" t="s">
        <v>3859</v>
      </c>
      <c r="K88" s="1" t="s">
        <v>3803</v>
      </c>
      <c r="L88" s="1" t="s">
        <v>3800</v>
      </c>
      <c r="M88" s="1" t="s">
        <v>51</v>
      </c>
      <c r="N88" t="str">
        <f t="shared" si="5"/>
        <v>Expense</v>
      </c>
      <c r="O88" t="str">
        <f t="shared" si="6"/>
        <v>Flag: High-Value Rejected</v>
      </c>
    </row>
    <row r="89" spans="1:15" x14ac:dyDescent="0.25">
      <c r="A89" s="1" t="s">
        <v>3916</v>
      </c>
      <c r="B89" s="1" t="s">
        <v>3798</v>
      </c>
      <c r="C89" s="1" t="s">
        <v>3858</v>
      </c>
      <c r="D89" s="1" t="s">
        <v>3895</v>
      </c>
      <c r="E89">
        <v>314597</v>
      </c>
      <c r="F89">
        <v>405247.51</v>
      </c>
      <c r="G89">
        <f t="shared" si="4"/>
        <v>-90650.510000000009</v>
      </c>
      <c r="H89">
        <v>-90650.51</v>
      </c>
      <c r="I89" s="3">
        <v>45576</v>
      </c>
      <c r="J89" s="1" t="s">
        <v>3782</v>
      </c>
      <c r="K89" s="1" t="s">
        <v>3791</v>
      </c>
      <c r="L89" s="1" t="s">
        <v>3800</v>
      </c>
      <c r="M89" s="1" t="s">
        <v>3792</v>
      </c>
      <c r="N89" t="str">
        <f t="shared" si="5"/>
        <v>Expense</v>
      </c>
      <c r="O89" t="str">
        <f t="shared" si="6"/>
        <v>Flag: High-Value Pending</v>
      </c>
    </row>
    <row r="90" spans="1:15" x14ac:dyDescent="0.25">
      <c r="A90" s="1" t="s">
        <v>3917</v>
      </c>
      <c r="B90" s="1" t="s">
        <v>3811</v>
      </c>
      <c r="C90" s="1" t="s">
        <v>3825</v>
      </c>
      <c r="D90" s="1" t="s">
        <v>3867</v>
      </c>
      <c r="E90">
        <v>109346</v>
      </c>
      <c r="F90">
        <v>139986.84</v>
      </c>
      <c r="G90">
        <f t="shared" si="4"/>
        <v>-30640.839999999997</v>
      </c>
      <c r="H90">
        <v>-30640.84</v>
      </c>
      <c r="I90" s="3">
        <v>45178</v>
      </c>
      <c r="J90" s="1" t="s">
        <v>3782</v>
      </c>
      <c r="K90" s="1" t="s">
        <v>3803</v>
      </c>
      <c r="L90" s="1" t="s">
        <v>3784</v>
      </c>
      <c r="M90" s="1" t="s">
        <v>3792</v>
      </c>
      <c r="N90" t="str">
        <f t="shared" si="5"/>
        <v>Expense</v>
      </c>
      <c r="O90" t="str">
        <f t="shared" si="6"/>
        <v/>
      </c>
    </row>
    <row r="91" spans="1:15" x14ac:dyDescent="0.25">
      <c r="A91" s="1" t="s">
        <v>3918</v>
      </c>
      <c r="B91" s="1" t="s">
        <v>3794</v>
      </c>
      <c r="C91" s="1" t="s">
        <v>3812</v>
      </c>
      <c r="D91" s="1" t="s">
        <v>3822</v>
      </c>
      <c r="E91">
        <v>-57182</v>
      </c>
      <c r="F91">
        <v>60104.14</v>
      </c>
      <c r="G91">
        <f t="shared" si="4"/>
        <v>-117286.14</v>
      </c>
      <c r="I91" s="3">
        <v>45051</v>
      </c>
      <c r="J91" s="1" t="s">
        <v>3790</v>
      </c>
      <c r="K91" s="1" t="s">
        <v>3791</v>
      </c>
      <c r="L91" s="1" t="s">
        <v>3784</v>
      </c>
      <c r="M91" s="1" t="s">
        <v>51</v>
      </c>
      <c r="N91" t="str">
        <f t="shared" si="5"/>
        <v>Credit/Refund</v>
      </c>
      <c r="O91" t="str">
        <f t="shared" si="6"/>
        <v/>
      </c>
    </row>
    <row r="92" spans="1:15" x14ac:dyDescent="0.25">
      <c r="A92" s="1" t="s">
        <v>3919</v>
      </c>
      <c r="B92" s="1" t="s">
        <v>3828</v>
      </c>
      <c r="C92" s="1" t="s">
        <v>3812</v>
      </c>
      <c r="D92" s="1" t="s">
        <v>3796</v>
      </c>
      <c r="E92">
        <v>429501</v>
      </c>
      <c r="F92">
        <v>466352.17</v>
      </c>
      <c r="G92">
        <f t="shared" si="4"/>
        <v>-36851.169999999984</v>
      </c>
      <c r="H92">
        <v>-36851.17</v>
      </c>
      <c r="I92" s="3">
        <v>45638</v>
      </c>
      <c r="J92" s="1" t="s">
        <v>3782</v>
      </c>
      <c r="K92" s="1" t="s">
        <v>3803</v>
      </c>
      <c r="L92" s="1" t="s">
        <v>3800</v>
      </c>
      <c r="M92" s="1" t="s">
        <v>3792</v>
      </c>
      <c r="N92" t="str">
        <f t="shared" si="5"/>
        <v>Expense</v>
      </c>
      <c r="O92" t="str">
        <f t="shared" si="6"/>
        <v>Flag: High-Value Pending</v>
      </c>
    </row>
    <row r="93" spans="1:15" x14ac:dyDescent="0.25">
      <c r="A93" s="1" t="s">
        <v>3920</v>
      </c>
      <c r="B93" s="1" t="s">
        <v>3794</v>
      </c>
      <c r="C93" s="1" t="s">
        <v>3821</v>
      </c>
      <c r="D93" s="1" t="s">
        <v>3895</v>
      </c>
      <c r="E93">
        <v>478753</v>
      </c>
      <c r="F93">
        <v>566440.71</v>
      </c>
      <c r="G93">
        <f t="shared" si="4"/>
        <v>-87687.709999999963</v>
      </c>
      <c r="H93">
        <v>-87687.71</v>
      </c>
      <c r="I93" s="3">
        <v>45164</v>
      </c>
      <c r="J93" s="1" t="s">
        <v>3782</v>
      </c>
      <c r="K93" s="1" t="s">
        <v>3791</v>
      </c>
      <c r="L93" s="1" t="s">
        <v>3784</v>
      </c>
      <c r="M93" s="1" t="s">
        <v>3792</v>
      </c>
      <c r="N93" t="str">
        <f t="shared" si="5"/>
        <v>Expense</v>
      </c>
      <c r="O93" t="str">
        <f t="shared" si="6"/>
        <v>Flag: High-Value Pending</v>
      </c>
    </row>
    <row r="94" spans="1:15" x14ac:dyDescent="0.25">
      <c r="A94" s="1" t="s">
        <v>3921</v>
      </c>
      <c r="B94" s="1" t="s">
        <v>3794</v>
      </c>
      <c r="C94" s="1" t="s">
        <v>3844</v>
      </c>
      <c r="D94" s="1" t="s">
        <v>3781</v>
      </c>
      <c r="E94">
        <v>62031</v>
      </c>
      <c r="F94">
        <v>62498.04</v>
      </c>
      <c r="G94">
        <f t="shared" si="4"/>
        <v>-467.04000000000087</v>
      </c>
      <c r="H94">
        <v>-467.04</v>
      </c>
      <c r="I94" s="3">
        <v>45178</v>
      </c>
      <c r="J94" s="1" t="s">
        <v>3859</v>
      </c>
      <c r="K94" s="1" t="s">
        <v>3791</v>
      </c>
      <c r="L94" s="1" t="s">
        <v>3784</v>
      </c>
      <c r="M94" s="1" t="s">
        <v>51</v>
      </c>
      <c r="N94" t="str">
        <f t="shared" si="5"/>
        <v>Expense</v>
      </c>
      <c r="O94" t="str">
        <f t="shared" si="6"/>
        <v/>
      </c>
    </row>
    <row r="95" spans="1:15" x14ac:dyDescent="0.25">
      <c r="A95" s="1" t="s">
        <v>3922</v>
      </c>
      <c r="B95" s="1" t="s">
        <v>3839</v>
      </c>
      <c r="C95" s="1" t="s">
        <v>3795</v>
      </c>
      <c r="D95" s="1" t="s">
        <v>3781</v>
      </c>
      <c r="E95">
        <v>288581</v>
      </c>
      <c r="F95">
        <v>353638.16</v>
      </c>
      <c r="G95">
        <f t="shared" si="4"/>
        <v>-65057.159999999974</v>
      </c>
      <c r="H95">
        <v>-65057.16</v>
      </c>
      <c r="I95" s="3">
        <v>45602</v>
      </c>
      <c r="J95" s="1" t="s">
        <v>3790</v>
      </c>
      <c r="K95" s="1" t="s">
        <v>3791</v>
      </c>
      <c r="L95" s="1" t="s">
        <v>3800</v>
      </c>
      <c r="M95" s="1" t="s">
        <v>3817</v>
      </c>
      <c r="N95" t="str">
        <f t="shared" si="5"/>
        <v>Expense</v>
      </c>
      <c r="O95" t="str">
        <f t="shared" si="6"/>
        <v/>
      </c>
    </row>
    <row r="96" spans="1:15" x14ac:dyDescent="0.25">
      <c r="A96" s="1" t="s">
        <v>3923</v>
      </c>
      <c r="B96" s="1" t="s">
        <v>3839</v>
      </c>
      <c r="C96" s="1" t="s">
        <v>3788</v>
      </c>
      <c r="D96" s="1" t="s">
        <v>3816</v>
      </c>
      <c r="E96">
        <v>123062</v>
      </c>
      <c r="F96">
        <v>152975.35</v>
      </c>
      <c r="G96">
        <f t="shared" si="4"/>
        <v>-29913.350000000006</v>
      </c>
      <c r="H96">
        <v>-29913.35</v>
      </c>
      <c r="I96" s="3">
        <v>45200</v>
      </c>
      <c r="J96" s="1" t="s">
        <v>3782</v>
      </c>
      <c r="K96" s="1" t="s">
        <v>3783</v>
      </c>
      <c r="L96" s="1" t="s">
        <v>3784</v>
      </c>
      <c r="M96" s="1" t="s">
        <v>3817</v>
      </c>
      <c r="N96" t="str">
        <f t="shared" si="5"/>
        <v>Expense</v>
      </c>
      <c r="O96" t="str">
        <f t="shared" si="6"/>
        <v/>
      </c>
    </row>
    <row r="97" spans="1:15" x14ac:dyDescent="0.25">
      <c r="A97" s="1" t="s">
        <v>3924</v>
      </c>
      <c r="B97" s="1" t="s">
        <v>3839</v>
      </c>
      <c r="C97" s="1" t="s">
        <v>3815</v>
      </c>
      <c r="D97" s="1" t="s">
        <v>3826</v>
      </c>
      <c r="E97">
        <v>481569</v>
      </c>
      <c r="F97">
        <v>451100.97</v>
      </c>
      <c r="G97">
        <f t="shared" si="4"/>
        <v>30468.030000000028</v>
      </c>
      <c r="H97">
        <v>30468.03</v>
      </c>
      <c r="I97" s="3">
        <v>45078</v>
      </c>
      <c r="J97" s="1" t="s">
        <v>3790</v>
      </c>
      <c r="K97" s="1" t="s">
        <v>3823</v>
      </c>
      <c r="L97" s="1" t="s">
        <v>3784</v>
      </c>
      <c r="M97" s="1" t="s">
        <v>51</v>
      </c>
      <c r="N97" t="str">
        <f t="shared" si="5"/>
        <v>Expense</v>
      </c>
      <c r="O97" t="str">
        <f t="shared" si="6"/>
        <v/>
      </c>
    </row>
    <row r="98" spans="1:15" x14ac:dyDescent="0.25">
      <c r="A98" s="1" t="s">
        <v>3925</v>
      </c>
      <c r="B98" s="1" t="s">
        <v>3794</v>
      </c>
      <c r="C98" s="1" t="s">
        <v>3815</v>
      </c>
      <c r="D98" s="1" t="s">
        <v>3895</v>
      </c>
      <c r="E98">
        <v>163410</v>
      </c>
      <c r="F98">
        <v>200577.85</v>
      </c>
      <c r="G98">
        <f t="shared" si="4"/>
        <v>-37167.850000000006</v>
      </c>
      <c r="I98" s="3">
        <v>45458</v>
      </c>
      <c r="J98" s="1" t="s">
        <v>3790</v>
      </c>
      <c r="K98" s="1" t="s">
        <v>3791</v>
      </c>
      <c r="L98" s="1" t="s">
        <v>3800</v>
      </c>
      <c r="M98" s="1" t="s">
        <v>3809</v>
      </c>
      <c r="N98" t="str">
        <f t="shared" si="5"/>
        <v>Expense</v>
      </c>
      <c r="O98" t="str">
        <f t="shared" si="6"/>
        <v/>
      </c>
    </row>
    <row r="99" spans="1:15" x14ac:dyDescent="0.25">
      <c r="A99" s="1" t="s">
        <v>3926</v>
      </c>
      <c r="B99" s="1" t="s">
        <v>3828</v>
      </c>
      <c r="C99" s="1" t="s">
        <v>3821</v>
      </c>
      <c r="D99" s="1" t="s">
        <v>3802</v>
      </c>
      <c r="E99">
        <v>377326</v>
      </c>
      <c r="F99">
        <v>461081.99</v>
      </c>
      <c r="G99">
        <f t="shared" si="4"/>
        <v>-83755.989999999991</v>
      </c>
      <c r="H99">
        <v>-83755.990000000005</v>
      </c>
      <c r="I99" s="3">
        <v>45255</v>
      </c>
      <c r="J99" s="1" t="s">
        <v>3790</v>
      </c>
      <c r="K99" s="1" t="s">
        <v>3783</v>
      </c>
      <c r="L99" s="1" t="s">
        <v>3784</v>
      </c>
      <c r="M99" s="1" t="s">
        <v>51</v>
      </c>
      <c r="N99" t="str">
        <f t="shared" si="5"/>
        <v>Expense</v>
      </c>
      <c r="O99" t="str">
        <f t="shared" si="6"/>
        <v/>
      </c>
    </row>
    <row r="100" spans="1:15" x14ac:dyDescent="0.25">
      <c r="A100" s="1" t="s">
        <v>3927</v>
      </c>
      <c r="B100" s="1" t="s">
        <v>3787</v>
      </c>
      <c r="C100" s="1" t="s">
        <v>3795</v>
      </c>
      <c r="D100" s="1" t="s">
        <v>3802</v>
      </c>
      <c r="E100">
        <v>79297</v>
      </c>
      <c r="F100">
        <v>66599.44</v>
      </c>
      <c r="G100">
        <f t="shared" si="4"/>
        <v>12697.559999999998</v>
      </c>
      <c r="H100">
        <v>12697.56</v>
      </c>
      <c r="I100" s="3">
        <v>45023</v>
      </c>
      <c r="J100" s="1" t="s">
        <v>3790</v>
      </c>
      <c r="K100" s="1" t="s">
        <v>3823</v>
      </c>
      <c r="L100" s="1" t="s">
        <v>3784</v>
      </c>
      <c r="M100" s="1" t="s">
        <v>3785</v>
      </c>
      <c r="N100" t="str">
        <f t="shared" si="5"/>
        <v>Expense</v>
      </c>
      <c r="O100" t="str">
        <f t="shared" si="6"/>
        <v/>
      </c>
    </row>
    <row r="101" spans="1:15" x14ac:dyDescent="0.25">
      <c r="A101" s="1" t="s">
        <v>3928</v>
      </c>
      <c r="B101" s="1" t="s">
        <v>3798</v>
      </c>
      <c r="C101" s="1" t="s">
        <v>3806</v>
      </c>
      <c r="D101" s="1" t="s">
        <v>3895</v>
      </c>
      <c r="E101">
        <v>487901</v>
      </c>
      <c r="F101">
        <v>465035.01</v>
      </c>
      <c r="G101">
        <f t="shared" si="4"/>
        <v>22865.989999999991</v>
      </c>
      <c r="H101">
        <v>22865.99</v>
      </c>
      <c r="I101" s="3">
        <v>45391</v>
      </c>
      <c r="J101" s="1" t="s">
        <v>3790</v>
      </c>
      <c r="K101" s="1" t="s">
        <v>3803</v>
      </c>
      <c r="L101" s="1" t="s">
        <v>3800</v>
      </c>
      <c r="M101" s="1" t="s">
        <v>51</v>
      </c>
      <c r="N101" t="str">
        <f t="shared" si="5"/>
        <v>Expense</v>
      </c>
      <c r="O101" t="str">
        <f t="shared" si="6"/>
        <v/>
      </c>
    </row>
    <row r="102" spans="1:15" x14ac:dyDescent="0.25">
      <c r="A102" s="1" t="s">
        <v>3929</v>
      </c>
      <c r="B102" s="1" t="s">
        <v>3811</v>
      </c>
      <c r="C102" s="1" t="s">
        <v>3795</v>
      </c>
      <c r="D102" s="1" t="s">
        <v>3802</v>
      </c>
      <c r="E102">
        <v>369434</v>
      </c>
      <c r="F102">
        <v>401049.67</v>
      </c>
      <c r="G102">
        <f t="shared" si="4"/>
        <v>-31615.669999999984</v>
      </c>
      <c r="H102">
        <v>-31615.67</v>
      </c>
      <c r="I102" s="3">
        <v>45242</v>
      </c>
      <c r="J102" s="1" t="s">
        <v>3790</v>
      </c>
      <c r="K102" s="1" t="s">
        <v>3783</v>
      </c>
      <c r="L102" s="1" t="s">
        <v>3784</v>
      </c>
      <c r="M102" s="1" t="s">
        <v>51</v>
      </c>
      <c r="N102" t="str">
        <f t="shared" si="5"/>
        <v>Expense</v>
      </c>
      <c r="O102" t="str">
        <f t="shared" si="6"/>
        <v/>
      </c>
    </row>
    <row r="103" spans="1:15" x14ac:dyDescent="0.25">
      <c r="A103" s="1" t="s">
        <v>3930</v>
      </c>
      <c r="B103" s="1" t="s">
        <v>3798</v>
      </c>
      <c r="C103" s="1" t="s">
        <v>3815</v>
      </c>
      <c r="D103" s="1" t="s">
        <v>3855</v>
      </c>
      <c r="E103">
        <v>132717</v>
      </c>
      <c r="F103">
        <v>125986.01</v>
      </c>
      <c r="G103">
        <f t="shared" si="4"/>
        <v>6730.9900000000052</v>
      </c>
      <c r="H103">
        <v>6730.99</v>
      </c>
      <c r="I103" s="3">
        <v>45229</v>
      </c>
      <c r="J103" s="1" t="s">
        <v>3790</v>
      </c>
      <c r="K103" s="1" t="s">
        <v>3783</v>
      </c>
      <c r="L103" s="1" t="s">
        <v>3784</v>
      </c>
      <c r="M103" s="1" t="s">
        <v>3785</v>
      </c>
      <c r="N103" t="str">
        <f t="shared" si="5"/>
        <v>Expense</v>
      </c>
      <c r="O103" t="str">
        <f t="shared" si="6"/>
        <v/>
      </c>
    </row>
    <row r="104" spans="1:15" x14ac:dyDescent="0.25">
      <c r="A104" s="1" t="s">
        <v>3931</v>
      </c>
      <c r="B104" s="1" t="s">
        <v>3808</v>
      </c>
      <c r="C104" s="1" t="s">
        <v>3844</v>
      </c>
      <c r="D104" s="1" t="s">
        <v>3789</v>
      </c>
      <c r="E104">
        <v>367110</v>
      </c>
      <c r="F104">
        <v>473125.19</v>
      </c>
      <c r="G104">
        <f t="shared" si="4"/>
        <v>-106015.19</v>
      </c>
      <c r="H104">
        <v>-106015.19</v>
      </c>
      <c r="I104" s="3">
        <v>45022</v>
      </c>
      <c r="J104" s="1" t="s">
        <v>3790</v>
      </c>
      <c r="K104" s="1" t="s">
        <v>3783</v>
      </c>
      <c r="L104" s="1" t="s">
        <v>3784</v>
      </c>
      <c r="M104" s="1" t="s">
        <v>3831</v>
      </c>
      <c r="N104" t="str">
        <f t="shared" si="5"/>
        <v>Expense</v>
      </c>
      <c r="O104" t="str">
        <f t="shared" si="6"/>
        <v/>
      </c>
    </row>
    <row r="105" spans="1:15" x14ac:dyDescent="0.25">
      <c r="A105" s="1" t="s">
        <v>3932</v>
      </c>
      <c r="B105" s="1" t="s">
        <v>3808</v>
      </c>
      <c r="C105" s="1" t="s">
        <v>3825</v>
      </c>
      <c r="D105" s="1" t="s">
        <v>3855</v>
      </c>
      <c r="E105">
        <v>308360</v>
      </c>
      <c r="F105">
        <v>252679.46</v>
      </c>
      <c r="G105">
        <f t="shared" si="4"/>
        <v>55680.540000000008</v>
      </c>
      <c r="H105">
        <v>55680.54</v>
      </c>
      <c r="I105" s="3">
        <v>45736</v>
      </c>
      <c r="J105" s="1" t="s">
        <v>3782</v>
      </c>
      <c r="K105" s="1" t="s">
        <v>3803</v>
      </c>
      <c r="L105" s="1" t="s">
        <v>3800</v>
      </c>
      <c r="M105" s="1" t="s">
        <v>3785</v>
      </c>
      <c r="N105" t="str">
        <f t="shared" si="5"/>
        <v>Expense</v>
      </c>
      <c r="O105" t="str">
        <f t="shared" si="6"/>
        <v>Flag: High-Value Pending</v>
      </c>
    </row>
    <row r="106" spans="1:15" x14ac:dyDescent="0.25">
      <c r="A106" s="1" t="s">
        <v>3933</v>
      </c>
      <c r="B106" s="1" t="s">
        <v>3794</v>
      </c>
      <c r="C106" s="1" t="s">
        <v>3806</v>
      </c>
      <c r="D106" s="1" t="s">
        <v>3816</v>
      </c>
      <c r="E106">
        <v>224677</v>
      </c>
      <c r="F106">
        <v>281998.19</v>
      </c>
      <c r="G106">
        <f t="shared" si="4"/>
        <v>-57321.19</v>
      </c>
      <c r="H106">
        <v>-57321.19</v>
      </c>
      <c r="I106" s="3">
        <v>45189</v>
      </c>
      <c r="J106" s="1" t="s">
        <v>3790</v>
      </c>
      <c r="K106" s="1" t="s">
        <v>3803</v>
      </c>
      <c r="L106" s="1" t="s">
        <v>3784</v>
      </c>
      <c r="M106" s="1" t="s">
        <v>3792</v>
      </c>
      <c r="N106" t="str">
        <f t="shared" si="5"/>
        <v>Expense</v>
      </c>
      <c r="O106" t="str">
        <f t="shared" si="6"/>
        <v/>
      </c>
    </row>
    <row r="107" spans="1:15" x14ac:dyDescent="0.25">
      <c r="A107" s="1" t="s">
        <v>3934</v>
      </c>
      <c r="B107" s="1" t="s">
        <v>3787</v>
      </c>
      <c r="C107" s="1" t="s">
        <v>3788</v>
      </c>
      <c r="D107" s="1" t="s">
        <v>3834</v>
      </c>
      <c r="E107">
        <v>494166</v>
      </c>
      <c r="F107">
        <v>404213.86</v>
      </c>
      <c r="G107">
        <f t="shared" si="4"/>
        <v>89952.140000000014</v>
      </c>
      <c r="H107">
        <v>89952.14</v>
      </c>
      <c r="I107" s="3">
        <v>45203</v>
      </c>
      <c r="J107" s="1" t="s">
        <v>3790</v>
      </c>
      <c r="K107" s="1" t="s">
        <v>3823</v>
      </c>
      <c r="L107" s="1" t="s">
        <v>3784</v>
      </c>
      <c r="M107" s="1" t="s">
        <v>3785</v>
      </c>
      <c r="N107" t="str">
        <f t="shared" si="5"/>
        <v>Expense</v>
      </c>
      <c r="O107" t="str">
        <f t="shared" si="6"/>
        <v/>
      </c>
    </row>
    <row r="108" spans="1:15" x14ac:dyDescent="0.25">
      <c r="A108" s="1" t="s">
        <v>3935</v>
      </c>
      <c r="B108" s="1" t="s">
        <v>3828</v>
      </c>
      <c r="C108" s="1" t="s">
        <v>3812</v>
      </c>
      <c r="D108" s="1" t="s">
        <v>3846</v>
      </c>
      <c r="E108">
        <v>195900</v>
      </c>
      <c r="F108">
        <v>190971.73</v>
      </c>
      <c r="G108">
        <f t="shared" si="4"/>
        <v>4928.2699999999895</v>
      </c>
      <c r="H108">
        <v>4928.2700000000004</v>
      </c>
      <c r="I108" s="3">
        <v>45721</v>
      </c>
      <c r="J108" s="1" t="s">
        <v>3790</v>
      </c>
      <c r="K108" s="1" t="s">
        <v>3803</v>
      </c>
      <c r="L108" s="1" t="s">
        <v>3800</v>
      </c>
      <c r="M108" s="1" t="s">
        <v>51</v>
      </c>
      <c r="N108" t="str">
        <f t="shared" si="5"/>
        <v>Expense</v>
      </c>
      <c r="O108" t="str">
        <f t="shared" si="6"/>
        <v/>
      </c>
    </row>
    <row r="109" spans="1:15" x14ac:dyDescent="0.25">
      <c r="A109" s="1" t="s">
        <v>3936</v>
      </c>
      <c r="B109" s="1" t="s">
        <v>3794</v>
      </c>
      <c r="C109" s="1" t="s">
        <v>3780</v>
      </c>
      <c r="D109" s="1" t="s">
        <v>3855</v>
      </c>
      <c r="E109">
        <v>335390</v>
      </c>
      <c r="F109">
        <v>302933.23</v>
      </c>
      <c r="G109">
        <f t="shared" si="4"/>
        <v>32456.770000000019</v>
      </c>
      <c r="H109">
        <v>32456.77</v>
      </c>
      <c r="I109" s="3">
        <v>45698</v>
      </c>
      <c r="J109" s="1" t="s">
        <v>3790</v>
      </c>
      <c r="K109" s="1" t="s">
        <v>3823</v>
      </c>
      <c r="L109" s="1" t="s">
        <v>3800</v>
      </c>
      <c r="M109" s="1" t="s">
        <v>3831</v>
      </c>
      <c r="N109" t="str">
        <f t="shared" si="5"/>
        <v>Expense</v>
      </c>
      <c r="O109" t="str">
        <f t="shared" si="6"/>
        <v/>
      </c>
    </row>
    <row r="110" spans="1:15" x14ac:dyDescent="0.25">
      <c r="A110" s="1" t="s">
        <v>3937</v>
      </c>
      <c r="B110" s="1" t="s">
        <v>3808</v>
      </c>
      <c r="C110" s="1" t="s">
        <v>3848</v>
      </c>
      <c r="D110" s="1" t="s">
        <v>3895</v>
      </c>
      <c r="E110">
        <v>177021</v>
      </c>
      <c r="F110">
        <v>158438.09</v>
      </c>
      <c r="G110">
        <f t="shared" si="4"/>
        <v>18582.910000000003</v>
      </c>
      <c r="H110">
        <v>18582.91</v>
      </c>
      <c r="I110" s="3">
        <v>45500</v>
      </c>
      <c r="J110" s="1" t="s">
        <v>3782</v>
      </c>
      <c r="K110" s="1" t="s">
        <v>3791</v>
      </c>
      <c r="L110" s="1" t="s">
        <v>3800</v>
      </c>
      <c r="M110" s="1" t="s">
        <v>51</v>
      </c>
      <c r="N110" t="str">
        <f t="shared" si="5"/>
        <v>Expense</v>
      </c>
      <c r="O110" t="str">
        <f t="shared" si="6"/>
        <v/>
      </c>
    </row>
    <row r="111" spans="1:15" x14ac:dyDescent="0.25">
      <c r="A111" s="1" t="s">
        <v>3938</v>
      </c>
      <c r="B111" s="1" t="s">
        <v>3828</v>
      </c>
      <c r="C111" s="1" t="s">
        <v>3815</v>
      </c>
      <c r="D111" s="1" t="s">
        <v>3846</v>
      </c>
      <c r="E111">
        <v>314105</v>
      </c>
      <c r="F111">
        <v>386778.37</v>
      </c>
      <c r="G111">
        <f t="shared" si="4"/>
        <v>-72673.37</v>
      </c>
      <c r="H111">
        <v>-72673.37</v>
      </c>
      <c r="I111" s="3">
        <v>45137</v>
      </c>
      <c r="J111" s="1" t="s">
        <v>3859</v>
      </c>
      <c r="K111" s="1" t="s">
        <v>3803</v>
      </c>
      <c r="L111" s="1" t="s">
        <v>3784</v>
      </c>
      <c r="M111" s="1" t="s">
        <v>51</v>
      </c>
      <c r="N111" t="str">
        <f t="shared" si="5"/>
        <v>Expense</v>
      </c>
      <c r="O111" t="str">
        <f t="shared" si="6"/>
        <v>Flag: High-Value Rejected</v>
      </c>
    </row>
    <row r="112" spans="1:15" x14ac:dyDescent="0.25">
      <c r="A112" s="1" t="s">
        <v>3939</v>
      </c>
      <c r="B112" s="1" t="s">
        <v>3787</v>
      </c>
      <c r="C112" s="1" t="s">
        <v>3861</v>
      </c>
      <c r="D112" s="1" t="s">
        <v>3813</v>
      </c>
      <c r="E112">
        <v>3110100</v>
      </c>
      <c r="F112">
        <v>2633787.69</v>
      </c>
      <c r="G112">
        <f t="shared" si="4"/>
        <v>476312.31000000006</v>
      </c>
      <c r="H112">
        <v>476312.31</v>
      </c>
      <c r="I112" s="3">
        <v>45154</v>
      </c>
      <c r="J112" s="1" t="s">
        <v>3782</v>
      </c>
      <c r="K112" s="1" t="s">
        <v>3803</v>
      </c>
      <c r="L112" s="1" t="s">
        <v>3784</v>
      </c>
      <c r="M112" s="1" t="s">
        <v>51</v>
      </c>
      <c r="N112" t="str">
        <f t="shared" si="5"/>
        <v>Expense</v>
      </c>
      <c r="O112" t="str">
        <f t="shared" si="6"/>
        <v>Flag: High-Value Pending</v>
      </c>
    </row>
    <row r="113" spans="1:15" x14ac:dyDescent="0.25">
      <c r="A113" s="1" t="s">
        <v>3940</v>
      </c>
      <c r="B113" s="1" t="s">
        <v>3794</v>
      </c>
      <c r="C113" s="1" t="s">
        <v>3815</v>
      </c>
      <c r="D113" s="1" t="s">
        <v>3826</v>
      </c>
      <c r="E113">
        <v>262104</v>
      </c>
      <c r="F113">
        <v>215755.98</v>
      </c>
      <c r="G113">
        <f t="shared" si="4"/>
        <v>46348.01999999999</v>
      </c>
      <c r="H113">
        <v>46348.02</v>
      </c>
      <c r="I113" s="3">
        <v>44949</v>
      </c>
      <c r="J113" s="1" t="s">
        <v>3790</v>
      </c>
      <c r="K113" s="1" t="s">
        <v>3791</v>
      </c>
      <c r="L113" s="1" t="s">
        <v>3804</v>
      </c>
      <c r="M113" s="1" t="s">
        <v>3792</v>
      </c>
      <c r="N113" t="str">
        <f t="shared" si="5"/>
        <v>Expense</v>
      </c>
      <c r="O113" t="str">
        <f t="shared" si="6"/>
        <v/>
      </c>
    </row>
    <row r="114" spans="1:15" x14ac:dyDescent="0.25">
      <c r="A114" s="1" t="s">
        <v>3941</v>
      </c>
      <c r="B114" s="1" t="s">
        <v>3839</v>
      </c>
      <c r="C114" s="1" t="s">
        <v>3844</v>
      </c>
      <c r="D114" s="1" t="s">
        <v>3846</v>
      </c>
      <c r="E114">
        <v>298624</v>
      </c>
      <c r="F114">
        <v>355869.66</v>
      </c>
      <c r="G114">
        <f t="shared" si="4"/>
        <v>-57245.659999999974</v>
      </c>
      <c r="H114">
        <v>-57245.66</v>
      </c>
      <c r="I114" s="3">
        <v>45729</v>
      </c>
      <c r="J114" s="1" t="s">
        <v>3790</v>
      </c>
      <c r="K114" s="1" t="s">
        <v>3791</v>
      </c>
      <c r="L114" s="1" t="s">
        <v>3800</v>
      </c>
      <c r="M114" s="1" t="s">
        <v>51</v>
      </c>
      <c r="N114" t="str">
        <f t="shared" si="5"/>
        <v>Expense</v>
      </c>
      <c r="O114" t="str">
        <f t="shared" si="6"/>
        <v/>
      </c>
    </row>
    <row r="115" spans="1:15" x14ac:dyDescent="0.25">
      <c r="A115" s="1" t="s">
        <v>3942</v>
      </c>
      <c r="B115" s="1" t="s">
        <v>3787</v>
      </c>
      <c r="C115" s="1" t="s">
        <v>3861</v>
      </c>
      <c r="D115" s="1" t="s">
        <v>3822</v>
      </c>
      <c r="E115">
        <v>244479</v>
      </c>
      <c r="F115">
        <v>229972.17</v>
      </c>
      <c r="G115">
        <f t="shared" si="4"/>
        <v>14506.829999999987</v>
      </c>
      <c r="H115">
        <v>14506.83</v>
      </c>
      <c r="I115" s="3">
        <v>45092</v>
      </c>
      <c r="J115" s="1" t="s">
        <v>3790</v>
      </c>
      <c r="K115" s="1" t="s">
        <v>3823</v>
      </c>
      <c r="L115" s="1" t="s">
        <v>3784</v>
      </c>
      <c r="M115" s="1" t="s">
        <v>3831</v>
      </c>
      <c r="N115" t="str">
        <f t="shared" si="5"/>
        <v>Expense</v>
      </c>
      <c r="O115" t="str">
        <f t="shared" si="6"/>
        <v/>
      </c>
    </row>
    <row r="116" spans="1:15" x14ac:dyDescent="0.25">
      <c r="A116" s="1" t="s">
        <v>3943</v>
      </c>
      <c r="B116" s="1" t="s">
        <v>3794</v>
      </c>
      <c r="C116" s="1" t="s">
        <v>3821</v>
      </c>
      <c r="D116" s="1" t="s">
        <v>3789</v>
      </c>
      <c r="E116">
        <v>458092</v>
      </c>
      <c r="F116">
        <v>415250.85</v>
      </c>
      <c r="G116">
        <f t="shared" si="4"/>
        <v>42841.150000000023</v>
      </c>
      <c r="H116">
        <v>42841.15</v>
      </c>
      <c r="I116" s="3">
        <v>45172</v>
      </c>
      <c r="J116" s="1" t="s">
        <v>3790</v>
      </c>
      <c r="K116" s="1" t="s">
        <v>3783</v>
      </c>
      <c r="L116" s="1" t="s">
        <v>3784</v>
      </c>
      <c r="M116" s="1" t="s">
        <v>3809</v>
      </c>
      <c r="N116" t="str">
        <f t="shared" si="5"/>
        <v>Expense</v>
      </c>
      <c r="O116" t="str">
        <f t="shared" si="6"/>
        <v/>
      </c>
    </row>
    <row r="117" spans="1:15" x14ac:dyDescent="0.25">
      <c r="A117" s="1" t="s">
        <v>3944</v>
      </c>
      <c r="B117" s="1" t="s">
        <v>3828</v>
      </c>
      <c r="C117" s="1" t="s">
        <v>3795</v>
      </c>
      <c r="D117" s="1" t="s">
        <v>3816</v>
      </c>
      <c r="E117">
        <v>216848</v>
      </c>
      <c r="F117">
        <v>187274.9</v>
      </c>
      <c r="G117">
        <f t="shared" si="4"/>
        <v>29573.100000000006</v>
      </c>
      <c r="I117" s="3">
        <v>45718</v>
      </c>
      <c r="J117" s="1" t="s">
        <v>3790</v>
      </c>
      <c r="K117" s="1" t="s">
        <v>3803</v>
      </c>
      <c r="L117" s="1" t="s">
        <v>3800</v>
      </c>
      <c r="M117" s="1" t="s">
        <v>51</v>
      </c>
      <c r="N117" t="str">
        <f t="shared" si="5"/>
        <v>Expense</v>
      </c>
      <c r="O117" t="str">
        <f t="shared" si="6"/>
        <v/>
      </c>
    </row>
    <row r="118" spans="1:15" x14ac:dyDescent="0.25">
      <c r="A118" s="1" t="s">
        <v>3945</v>
      </c>
      <c r="B118" s="1" t="s">
        <v>3808</v>
      </c>
      <c r="C118" s="1" t="s">
        <v>3844</v>
      </c>
      <c r="D118" s="1" t="s">
        <v>3802</v>
      </c>
      <c r="E118">
        <v>369273</v>
      </c>
      <c r="F118">
        <v>394727.13</v>
      </c>
      <c r="G118">
        <f t="shared" si="4"/>
        <v>-25454.130000000005</v>
      </c>
      <c r="H118">
        <v>-25454.13</v>
      </c>
      <c r="I118" s="3">
        <v>45064</v>
      </c>
      <c r="J118" s="1" t="s">
        <v>3790</v>
      </c>
      <c r="K118" s="1" t="s">
        <v>3823</v>
      </c>
      <c r="L118" s="1" t="s">
        <v>3784</v>
      </c>
      <c r="M118" s="1" t="s">
        <v>51</v>
      </c>
      <c r="N118" t="str">
        <f t="shared" si="5"/>
        <v>Expense</v>
      </c>
      <c r="O118" t="str">
        <f t="shared" si="6"/>
        <v/>
      </c>
    </row>
    <row r="119" spans="1:15" x14ac:dyDescent="0.25">
      <c r="A119" s="1" t="s">
        <v>3946</v>
      </c>
      <c r="B119" s="1" t="s">
        <v>3808</v>
      </c>
      <c r="C119" s="1" t="s">
        <v>3844</v>
      </c>
      <c r="D119" s="1" t="s">
        <v>3813</v>
      </c>
      <c r="E119">
        <v>482284</v>
      </c>
      <c r="F119">
        <v>386418.85</v>
      </c>
      <c r="G119">
        <f t="shared" si="4"/>
        <v>95865.150000000023</v>
      </c>
      <c r="H119">
        <v>95865.15</v>
      </c>
      <c r="I119" s="3">
        <v>45141</v>
      </c>
      <c r="J119" s="1" t="s">
        <v>3790</v>
      </c>
      <c r="K119" s="1" t="s">
        <v>3823</v>
      </c>
      <c r="L119" s="1" t="s">
        <v>3784</v>
      </c>
      <c r="M119" s="1" t="s">
        <v>51</v>
      </c>
      <c r="N119" t="str">
        <f t="shared" si="5"/>
        <v>Expense</v>
      </c>
      <c r="O119" t="str">
        <f t="shared" si="6"/>
        <v/>
      </c>
    </row>
    <row r="120" spans="1:15" x14ac:dyDescent="0.25">
      <c r="A120" s="1" t="s">
        <v>3947</v>
      </c>
      <c r="B120" s="1" t="s">
        <v>3828</v>
      </c>
      <c r="C120" s="1" t="s">
        <v>3821</v>
      </c>
      <c r="D120" s="1" t="s">
        <v>3850</v>
      </c>
      <c r="E120">
        <v>114547</v>
      </c>
      <c r="F120">
        <v>143027.81</v>
      </c>
      <c r="G120">
        <f t="shared" si="4"/>
        <v>-28480.809999999998</v>
      </c>
      <c r="H120">
        <v>-28480.81</v>
      </c>
      <c r="I120" s="3">
        <v>44948</v>
      </c>
      <c r="J120" s="1" t="s">
        <v>3790</v>
      </c>
      <c r="K120" s="1" t="s">
        <v>3783</v>
      </c>
      <c r="L120" s="1" t="s">
        <v>3804</v>
      </c>
      <c r="M120" s="1" t="s">
        <v>3785</v>
      </c>
      <c r="N120" t="str">
        <f t="shared" si="5"/>
        <v>Expense</v>
      </c>
      <c r="O120" t="str">
        <f t="shared" si="6"/>
        <v/>
      </c>
    </row>
    <row r="121" spans="1:15" x14ac:dyDescent="0.25">
      <c r="A121" s="1" t="s">
        <v>3948</v>
      </c>
      <c r="B121" s="1" t="s">
        <v>3811</v>
      </c>
      <c r="C121" s="1" t="s">
        <v>3861</v>
      </c>
      <c r="D121" s="1" t="s">
        <v>3799</v>
      </c>
      <c r="E121">
        <v>334243</v>
      </c>
      <c r="F121">
        <v>335560.21</v>
      </c>
      <c r="G121">
        <f t="shared" si="4"/>
        <v>-1317.210000000021</v>
      </c>
      <c r="H121">
        <v>-1317.21</v>
      </c>
      <c r="I121" s="3">
        <v>45487</v>
      </c>
      <c r="J121" s="1" t="s">
        <v>3790</v>
      </c>
      <c r="K121" s="1" t="s">
        <v>3791</v>
      </c>
      <c r="L121" s="1" t="s">
        <v>3800</v>
      </c>
      <c r="M121" s="1" t="s">
        <v>51</v>
      </c>
      <c r="N121" t="str">
        <f t="shared" si="5"/>
        <v>Expense</v>
      </c>
      <c r="O121" t="str">
        <f t="shared" si="6"/>
        <v/>
      </c>
    </row>
    <row r="122" spans="1:15" x14ac:dyDescent="0.25">
      <c r="A122" s="1" t="s">
        <v>3949</v>
      </c>
      <c r="B122" s="1" t="s">
        <v>3798</v>
      </c>
      <c r="C122" s="1" t="s">
        <v>3848</v>
      </c>
      <c r="D122" s="1" t="s">
        <v>3837</v>
      </c>
      <c r="E122">
        <v>47119</v>
      </c>
      <c r="F122">
        <v>38820.36</v>
      </c>
      <c r="G122">
        <f t="shared" si="4"/>
        <v>8298.64</v>
      </c>
      <c r="H122">
        <v>8298.64</v>
      </c>
      <c r="I122" s="3">
        <v>45258</v>
      </c>
      <c r="J122" s="1" t="s">
        <v>3859</v>
      </c>
      <c r="K122" s="1" t="s">
        <v>3791</v>
      </c>
      <c r="L122" s="1" t="s">
        <v>3784</v>
      </c>
      <c r="M122" s="1" t="s">
        <v>51</v>
      </c>
      <c r="N122" t="str">
        <f t="shared" si="5"/>
        <v>Expense</v>
      </c>
      <c r="O122" t="str">
        <f t="shared" si="6"/>
        <v/>
      </c>
    </row>
    <row r="123" spans="1:15" x14ac:dyDescent="0.25">
      <c r="A123" s="1" t="s">
        <v>3950</v>
      </c>
      <c r="B123" s="1" t="s">
        <v>3828</v>
      </c>
      <c r="C123" s="1" t="s">
        <v>3821</v>
      </c>
      <c r="D123" s="1" t="s">
        <v>3846</v>
      </c>
      <c r="E123">
        <v>364029</v>
      </c>
      <c r="F123">
        <v>317442.38</v>
      </c>
      <c r="G123">
        <f t="shared" si="4"/>
        <v>46586.619999999995</v>
      </c>
      <c r="H123">
        <v>46586.62</v>
      </c>
      <c r="I123" s="3">
        <v>45514</v>
      </c>
      <c r="J123" s="1" t="s">
        <v>3790</v>
      </c>
      <c r="K123" s="1" t="s">
        <v>3823</v>
      </c>
      <c r="L123" s="1" t="s">
        <v>3800</v>
      </c>
      <c r="M123" s="1" t="s">
        <v>3785</v>
      </c>
      <c r="N123" t="str">
        <f t="shared" si="5"/>
        <v>Expense</v>
      </c>
      <c r="O123" t="str">
        <f t="shared" si="6"/>
        <v/>
      </c>
    </row>
    <row r="124" spans="1:15" x14ac:dyDescent="0.25">
      <c r="A124" s="1" t="s">
        <v>3951</v>
      </c>
      <c r="B124" s="1" t="s">
        <v>3787</v>
      </c>
      <c r="C124" s="1" t="s">
        <v>3821</v>
      </c>
      <c r="D124" s="1" t="s">
        <v>3834</v>
      </c>
      <c r="E124">
        <v>169355</v>
      </c>
      <c r="F124">
        <v>195933.87</v>
      </c>
      <c r="G124">
        <f t="shared" si="4"/>
        <v>-26578.869999999995</v>
      </c>
      <c r="H124">
        <v>-26578.87</v>
      </c>
      <c r="I124" s="3">
        <v>45014</v>
      </c>
      <c r="J124" s="1" t="s">
        <v>3790</v>
      </c>
      <c r="K124" s="1" t="s">
        <v>3791</v>
      </c>
      <c r="L124" s="1" t="s">
        <v>3804</v>
      </c>
      <c r="M124" s="1" t="s">
        <v>3792</v>
      </c>
      <c r="N124" t="str">
        <f t="shared" si="5"/>
        <v>Expense</v>
      </c>
      <c r="O124" t="str">
        <f t="shared" si="6"/>
        <v/>
      </c>
    </row>
    <row r="125" spans="1:15" x14ac:dyDescent="0.25">
      <c r="A125" s="1" t="s">
        <v>3952</v>
      </c>
      <c r="B125" s="1" t="s">
        <v>3808</v>
      </c>
      <c r="C125" s="1" t="s">
        <v>3788</v>
      </c>
      <c r="D125" s="1" t="s">
        <v>3789</v>
      </c>
      <c r="E125">
        <v>137124</v>
      </c>
      <c r="F125">
        <v>141448.92000000001</v>
      </c>
      <c r="G125">
        <f t="shared" si="4"/>
        <v>-4324.9200000000128</v>
      </c>
      <c r="H125">
        <v>-4324.92</v>
      </c>
      <c r="I125" s="3">
        <v>45391</v>
      </c>
      <c r="J125" s="1" t="s">
        <v>3782</v>
      </c>
      <c r="K125" s="1" t="s">
        <v>3791</v>
      </c>
      <c r="L125" s="1" t="s">
        <v>3800</v>
      </c>
      <c r="M125" s="1" t="s">
        <v>51</v>
      </c>
      <c r="N125" t="str">
        <f t="shared" si="5"/>
        <v>Expense</v>
      </c>
      <c r="O125" t="str">
        <f t="shared" si="6"/>
        <v/>
      </c>
    </row>
    <row r="126" spans="1:15" x14ac:dyDescent="0.25">
      <c r="A126" s="1" t="s">
        <v>3953</v>
      </c>
      <c r="B126" s="1" t="s">
        <v>3839</v>
      </c>
      <c r="C126" s="1" t="s">
        <v>4878</v>
      </c>
      <c r="D126" s="1" t="s">
        <v>3837</v>
      </c>
      <c r="E126">
        <v>326044</v>
      </c>
      <c r="F126">
        <v>276349.53999999998</v>
      </c>
      <c r="G126">
        <f t="shared" si="4"/>
        <v>49694.460000000021</v>
      </c>
      <c r="H126">
        <v>49694.46</v>
      </c>
      <c r="I126" s="3">
        <v>45200</v>
      </c>
      <c r="J126" s="1" t="s">
        <v>3790</v>
      </c>
      <c r="K126" s="1" t="s">
        <v>3783</v>
      </c>
      <c r="L126" s="1" t="s">
        <v>3784</v>
      </c>
      <c r="M126" s="1" t="s">
        <v>51</v>
      </c>
      <c r="N126" t="str">
        <f t="shared" si="5"/>
        <v>Expense</v>
      </c>
      <c r="O126" t="str">
        <f t="shared" si="6"/>
        <v/>
      </c>
    </row>
    <row r="127" spans="1:15" x14ac:dyDescent="0.25">
      <c r="A127" s="1" t="s">
        <v>3954</v>
      </c>
      <c r="B127" s="1" t="s">
        <v>3798</v>
      </c>
      <c r="C127" s="1" t="s">
        <v>3861</v>
      </c>
      <c r="D127" s="1" t="s">
        <v>3799</v>
      </c>
      <c r="E127">
        <v>488286</v>
      </c>
      <c r="F127">
        <v>445059.53</v>
      </c>
      <c r="G127">
        <f t="shared" si="4"/>
        <v>43226.469999999972</v>
      </c>
      <c r="H127">
        <v>43226.47</v>
      </c>
      <c r="I127" s="3">
        <v>44979</v>
      </c>
      <c r="J127" s="1" t="s">
        <v>3782</v>
      </c>
      <c r="K127" s="1" t="s">
        <v>3803</v>
      </c>
      <c r="L127" s="1" t="s">
        <v>3804</v>
      </c>
      <c r="M127" s="1" t="s">
        <v>3817</v>
      </c>
      <c r="N127" t="str">
        <f t="shared" si="5"/>
        <v>Expense</v>
      </c>
      <c r="O127" t="str">
        <f t="shared" si="6"/>
        <v>Flag: High-Value Pending</v>
      </c>
    </row>
    <row r="128" spans="1:15" x14ac:dyDescent="0.25">
      <c r="A128" s="1" t="s">
        <v>3955</v>
      </c>
      <c r="B128" s="1" t="s">
        <v>3794</v>
      </c>
      <c r="C128" s="1" t="s">
        <v>3806</v>
      </c>
      <c r="D128" s="1" t="s">
        <v>3781</v>
      </c>
      <c r="E128">
        <v>249928</v>
      </c>
      <c r="F128">
        <v>252956.29</v>
      </c>
      <c r="G128">
        <f t="shared" si="4"/>
        <v>-3028.2900000000081</v>
      </c>
      <c r="H128">
        <v>-3028.29</v>
      </c>
      <c r="I128" s="3">
        <v>45577</v>
      </c>
      <c r="J128" s="1" t="s">
        <v>3790</v>
      </c>
      <c r="K128" s="1" t="s">
        <v>3823</v>
      </c>
      <c r="L128" s="1" t="s">
        <v>3800</v>
      </c>
      <c r="M128" s="1" t="s">
        <v>51</v>
      </c>
      <c r="N128" t="str">
        <f t="shared" si="5"/>
        <v>Expense</v>
      </c>
      <c r="O128" t="str">
        <f t="shared" si="6"/>
        <v/>
      </c>
    </row>
    <row r="129" spans="1:15" x14ac:dyDescent="0.25">
      <c r="A129" s="1" t="s">
        <v>3956</v>
      </c>
      <c r="B129" s="1" t="s">
        <v>3798</v>
      </c>
      <c r="C129" s="1" t="s">
        <v>3815</v>
      </c>
      <c r="D129" s="1" t="s">
        <v>3781</v>
      </c>
      <c r="E129">
        <v>380262</v>
      </c>
      <c r="F129">
        <v>429276.79</v>
      </c>
      <c r="G129">
        <f t="shared" si="4"/>
        <v>-49014.789999999979</v>
      </c>
      <c r="H129">
        <v>-49014.79</v>
      </c>
      <c r="I129" s="3">
        <v>45520</v>
      </c>
      <c r="J129" s="1" t="s">
        <v>3790</v>
      </c>
      <c r="K129" s="1" t="s">
        <v>3803</v>
      </c>
      <c r="L129" s="1" t="s">
        <v>3800</v>
      </c>
      <c r="M129" s="1" t="s">
        <v>51</v>
      </c>
      <c r="N129" t="str">
        <f t="shared" si="5"/>
        <v>Expense</v>
      </c>
      <c r="O129" t="str">
        <f t="shared" si="6"/>
        <v/>
      </c>
    </row>
    <row r="130" spans="1:15" x14ac:dyDescent="0.25">
      <c r="A130" s="1" t="s">
        <v>3957</v>
      </c>
      <c r="B130" s="1" t="s">
        <v>4877</v>
      </c>
      <c r="C130" s="1" t="s">
        <v>3780</v>
      </c>
      <c r="D130" s="1" t="s">
        <v>3789</v>
      </c>
      <c r="E130">
        <v>497608</v>
      </c>
      <c r="F130">
        <v>610444.68999999994</v>
      </c>
      <c r="G130">
        <f t="shared" ref="G130:G193" si="7">IF(F130="","",E130-F130)</f>
        <v>-112836.68999999994</v>
      </c>
      <c r="H130">
        <v>-112836.69</v>
      </c>
      <c r="I130" s="3">
        <v>45541</v>
      </c>
      <c r="J130" s="1" t="s">
        <v>3859</v>
      </c>
      <c r="K130" s="1" t="s">
        <v>3783</v>
      </c>
      <c r="L130" s="1" t="s">
        <v>3800</v>
      </c>
      <c r="M130" s="1" t="s">
        <v>51</v>
      </c>
      <c r="N130" t="str">
        <f t="shared" si="5"/>
        <v>Expense</v>
      </c>
      <c r="O130" t="str">
        <f t="shared" si="6"/>
        <v>Flag: High-Value Rejected</v>
      </c>
    </row>
    <row r="131" spans="1:15" x14ac:dyDescent="0.25">
      <c r="A131" s="1" t="s">
        <v>3958</v>
      </c>
      <c r="B131" s="1" t="s">
        <v>3839</v>
      </c>
      <c r="C131" s="1" t="s">
        <v>3821</v>
      </c>
      <c r="D131" s="1" t="s">
        <v>3867</v>
      </c>
      <c r="E131">
        <v>132369</v>
      </c>
      <c r="F131">
        <v>155770.21</v>
      </c>
      <c r="G131">
        <f t="shared" si="7"/>
        <v>-23401.209999999992</v>
      </c>
      <c r="H131">
        <v>-23401.21</v>
      </c>
      <c r="I131" s="3">
        <v>45599</v>
      </c>
      <c r="J131" s="1" t="s">
        <v>3790</v>
      </c>
      <c r="K131" s="1" t="s">
        <v>3783</v>
      </c>
      <c r="L131" s="1" t="s">
        <v>3800</v>
      </c>
      <c r="M131" s="1" t="s">
        <v>3831</v>
      </c>
      <c r="N131" t="str">
        <f t="shared" ref="N131:N194" si="8">IF(E131&lt;0,"Credit/Refund","Expense")</f>
        <v>Expense</v>
      </c>
      <c r="O131" t="str">
        <f t="shared" ref="O131:O194" si="9">IF(AND(OR(J131="Pending",J131="Rejected"),E131&gt;200000),"Flag: High-Value "&amp;J131,"")</f>
        <v/>
      </c>
    </row>
    <row r="132" spans="1:15" x14ac:dyDescent="0.25">
      <c r="A132" s="1" t="s">
        <v>3959</v>
      </c>
      <c r="B132" s="1" t="s">
        <v>3787</v>
      </c>
      <c r="C132" s="1" t="s">
        <v>3780</v>
      </c>
      <c r="D132" s="1" t="s">
        <v>3781</v>
      </c>
      <c r="E132">
        <v>113120</v>
      </c>
      <c r="F132">
        <v>128850.06</v>
      </c>
      <c r="G132">
        <f t="shared" si="7"/>
        <v>-15730.059999999998</v>
      </c>
      <c r="H132">
        <v>-15730.06</v>
      </c>
      <c r="I132" s="3">
        <v>45409</v>
      </c>
      <c r="J132" s="1" t="s">
        <v>3790</v>
      </c>
      <c r="K132" s="1" t="s">
        <v>3803</v>
      </c>
      <c r="L132" s="1" t="s">
        <v>3800</v>
      </c>
      <c r="M132" s="1" t="s">
        <v>51</v>
      </c>
      <c r="N132" t="str">
        <f t="shared" si="8"/>
        <v>Expense</v>
      </c>
      <c r="O132" t="str">
        <f t="shared" si="9"/>
        <v/>
      </c>
    </row>
    <row r="133" spans="1:15" x14ac:dyDescent="0.25">
      <c r="A133" s="1" t="s">
        <v>3960</v>
      </c>
      <c r="B133" s="1" t="s">
        <v>3798</v>
      </c>
      <c r="C133" s="1" t="s">
        <v>3844</v>
      </c>
      <c r="D133" s="1" t="s">
        <v>3867</v>
      </c>
      <c r="E133">
        <v>339860</v>
      </c>
      <c r="F133">
        <v>388536.49</v>
      </c>
      <c r="G133">
        <f t="shared" si="7"/>
        <v>-48676.489999999991</v>
      </c>
      <c r="H133">
        <v>-48676.49</v>
      </c>
      <c r="I133" s="3">
        <v>45680</v>
      </c>
      <c r="J133" s="1" t="s">
        <v>3790</v>
      </c>
      <c r="K133" s="1" t="s">
        <v>3783</v>
      </c>
      <c r="L133" s="1" t="s">
        <v>3800</v>
      </c>
      <c r="M133" s="1" t="s">
        <v>51</v>
      </c>
      <c r="N133" t="str">
        <f t="shared" si="8"/>
        <v>Expense</v>
      </c>
      <c r="O133" t="str">
        <f t="shared" si="9"/>
        <v/>
      </c>
    </row>
    <row r="134" spans="1:15" x14ac:dyDescent="0.25">
      <c r="A134" s="1" t="s">
        <v>3961</v>
      </c>
      <c r="B134" s="1" t="s">
        <v>3811</v>
      </c>
      <c r="C134" s="1" t="s">
        <v>3858</v>
      </c>
      <c r="D134" s="1" t="s">
        <v>3895</v>
      </c>
      <c r="E134">
        <v>51429</v>
      </c>
      <c r="F134">
        <v>53477.37</v>
      </c>
      <c r="G134">
        <f t="shared" si="7"/>
        <v>-2048.3700000000026</v>
      </c>
      <c r="H134">
        <v>-2048.37</v>
      </c>
      <c r="I134" s="3">
        <v>45657</v>
      </c>
      <c r="J134" s="1" t="s">
        <v>3790</v>
      </c>
      <c r="K134" s="1" t="s">
        <v>3791</v>
      </c>
      <c r="L134" s="1" t="s">
        <v>3800</v>
      </c>
      <c r="M134" s="1" t="s">
        <v>3831</v>
      </c>
      <c r="N134" t="str">
        <f t="shared" si="8"/>
        <v>Expense</v>
      </c>
      <c r="O134" t="str">
        <f t="shared" si="9"/>
        <v/>
      </c>
    </row>
    <row r="135" spans="1:15" x14ac:dyDescent="0.25">
      <c r="A135" s="1" t="s">
        <v>3962</v>
      </c>
      <c r="B135" s="1" t="s">
        <v>3798</v>
      </c>
      <c r="C135" s="1" t="s">
        <v>3795</v>
      </c>
      <c r="D135" s="1" t="s">
        <v>3850</v>
      </c>
      <c r="E135">
        <v>115872</v>
      </c>
      <c r="F135">
        <v>115147.65</v>
      </c>
      <c r="G135">
        <f t="shared" si="7"/>
        <v>724.35000000000582</v>
      </c>
      <c r="H135">
        <v>724.35</v>
      </c>
      <c r="I135" s="3">
        <v>45656</v>
      </c>
      <c r="J135" s="1" t="s">
        <v>3790</v>
      </c>
      <c r="K135" s="1" t="s">
        <v>3823</v>
      </c>
      <c r="L135" s="1" t="s">
        <v>3800</v>
      </c>
      <c r="M135" s="1" t="s">
        <v>51</v>
      </c>
      <c r="N135" t="str">
        <f t="shared" si="8"/>
        <v>Expense</v>
      </c>
      <c r="O135" t="str">
        <f t="shared" si="9"/>
        <v/>
      </c>
    </row>
    <row r="136" spans="1:15" x14ac:dyDescent="0.25">
      <c r="A136" s="1" t="s">
        <v>3963</v>
      </c>
      <c r="B136" s="1" t="s">
        <v>3794</v>
      </c>
      <c r="C136" s="1" t="s">
        <v>3788</v>
      </c>
      <c r="D136" s="1" t="s">
        <v>3895</v>
      </c>
      <c r="E136">
        <v>365187</v>
      </c>
      <c r="F136">
        <v>331945.39</v>
      </c>
      <c r="G136">
        <f t="shared" si="7"/>
        <v>33241.609999999986</v>
      </c>
      <c r="H136">
        <v>33241.61</v>
      </c>
      <c r="I136" s="3">
        <v>45404</v>
      </c>
      <c r="J136" s="1" t="s">
        <v>3790</v>
      </c>
      <c r="K136" s="1" t="s">
        <v>3791</v>
      </c>
      <c r="L136" s="1" t="s">
        <v>3800</v>
      </c>
      <c r="M136" s="1" t="s">
        <v>3792</v>
      </c>
      <c r="N136" t="str">
        <f t="shared" si="8"/>
        <v>Expense</v>
      </c>
      <c r="O136" t="str">
        <f t="shared" si="9"/>
        <v/>
      </c>
    </row>
    <row r="137" spans="1:15" x14ac:dyDescent="0.25">
      <c r="A137" s="1" t="s">
        <v>3964</v>
      </c>
      <c r="B137" s="1" t="s">
        <v>3839</v>
      </c>
      <c r="C137" s="1" t="s">
        <v>3821</v>
      </c>
      <c r="D137" s="1" t="s">
        <v>3781</v>
      </c>
      <c r="E137">
        <v>171763</v>
      </c>
      <c r="F137">
        <v>214301.63</v>
      </c>
      <c r="G137">
        <f t="shared" si="7"/>
        <v>-42538.630000000005</v>
      </c>
      <c r="H137">
        <v>-42538.63</v>
      </c>
      <c r="I137" s="3">
        <v>45707</v>
      </c>
      <c r="J137" s="1" t="s">
        <v>3790</v>
      </c>
      <c r="K137" s="1" t="s">
        <v>3823</v>
      </c>
      <c r="L137" s="1" t="s">
        <v>3800</v>
      </c>
      <c r="M137" s="1" t="s">
        <v>3809</v>
      </c>
      <c r="N137" t="str">
        <f t="shared" si="8"/>
        <v>Expense</v>
      </c>
      <c r="O137" t="str">
        <f t="shared" si="9"/>
        <v/>
      </c>
    </row>
    <row r="138" spans="1:15" x14ac:dyDescent="0.25">
      <c r="A138" s="1" t="s">
        <v>3965</v>
      </c>
      <c r="B138" s="1" t="s">
        <v>3798</v>
      </c>
      <c r="C138" s="1" t="s">
        <v>3821</v>
      </c>
      <c r="D138" s="1" t="s">
        <v>3802</v>
      </c>
      <c r="E138">
        <v>348146</v>
      </c>
      <c r="F138">
        <v>280719.95</v>
      </c>
      <c r="G138">
        <f t="shared" si="7"/>
        <v>67426.049999999988</v>
      </c>
      <c r="H138">
        <v>67426.05</v>
      </c>
      <c r="I138" s="3">
        <v>45111</v>
      </c>
      <c r="J138" s="1" t="s">
        <v>3790</v>
      </c>
      <c r="K138" s="1" t="s">
        <v>3783</v>
      </c>
      <c r="L138" s="1" t="s">
        <v>3784</v>
      </c>
      <c r="M138" s="1" t="s">
        <v>51</v>
      </c>
      <c r="N138" t="str">
        <f t="shared" si="8"/>
        <v>Expense</v>
      </c>
      <c r="O138" t="str">
        <f t="shared" si="9"/>
        <v/>
      </c>
    </row>
    <row r="139" spans="1:15" x14ac:dyDescent="0.25">
      <c r="A139" s="1" t="s">
        <v>3966</v>
      </c>
      <c r="B139" s="1" t="s">
        <v>3811</v>
      </c>
      <c r="C139" s="1" t="s">
        <v>3848</v>
      </c>
      <c r="D139" s="1" t="s">
        <v>3802</v>
      </c>
      <c r="E139">
        <v>480801</v>
      </c>
      <c r="F139">
        <v>468031.05</v>
      </c>
      <c r="G139">
        <f t="shared" si="7"/>
        <v>12769.950000000012</v>
      </c>
      <c r="H139">
        <v>12769.95</v>
      </c>
      <c r="I139" s="3">
        <v>45265</v>
      </c>
      <c r="J139" s="1" t="s">
        <v>3790</v>
      </c>
      <c r="K139" s="1" t="s">
        <v>3803</v>
      </c>
      <c r="L139" s="1" t="s">
        <v>3784</v>
      </c>
      <c r="M139" s="1" t="s">
        <v>51</v>
      </c>
      <c r="N139" t="str">
        <f t="shared" si="8"/>
        <v>Expense</v>
      </c>
      <c r="O139" t="str">
        <f t="shared" si="9"/>
        <v/>
      </c>
    </row>
    <row r="140" spans="1:15" x14ac:dyDescent="0.25">
      <c r="A140" s="1" t="s">
        <v>3967</v>
      </c>
      <c r="B140" s="1" t="s">
        <v>3839</v>
      </c>
      <c r="C140" s="1" t="s">
        <v>3788</v>
      </c>
      <c r="D140" s="1" t="s">
        <v>3802</v>
      </c>
      <c r="E140">
        <v>428532</v>
      </c>
      <c r="F140">
        <v>371172.94</v>
      </c>
      <c r="G140">
        <f t="shared" si="7"/>
        <v>57359.06</v>
      </c>
      <c r="H140">
        <v>57359.06</v>
      </c>
      <c r="I140" s="3">
        <v>45626</v>
      </c>
      <c r="J140" s="1" t="s">
        <v>3790</v>
      </c>
      <c r="K140" s="1" t="s">
        <v>3823</v>
      </c>
      <c r="L140" s="1" t="s">
        <v>3800</v>
      </c>
      <c r="M140" s="1" t="s">
        <v>3817</v>
      </c>
      <c r="N140" t="str">
        <f t="shared" si="8"/>
        <v>Expense</v>
      </c>
      <c r="O140" t="str">
        <f t="shared" si="9"/>
        <v/>
      </c>
    </row>
    <row r="141" spans="1:15" x14ac:dyDescent="0.25">
      <c r="A141" s="1" t="s">
        <v>3968</v>
      </c>
      <c r="B141" s="1" t="s">
        <v>3798</v>
      </c>
      <c r="C141" s="1" t="s">
        <v>3821</v>
      </c>
      <c r="D141" s="1" t="s">
        <v>3802</v>
      </c>
      <c r="E141">
        <v>27222</v>
      </c>
      <c r="F141">
        <v>29959.3</v>
      </c>
      <c r="G141">
        <f t="shared" si="7"/>
        <v>-2737.2999999999993</v>
      </c>
      <c r="H141">
        <v>-2737.3</v>
      </c>
      <c r="I141" s="3">
        <v>45694</v>
      </c>
      <c r="J141" s="1" t="s">
        <v>3782</v>
      </c>
      <c r="K141" s="1" t="s">
        <v>3803</v>
      </c>
      <c r="L141" s="1" t="s">
        <v>3800</v>
      </c>
      <c r="M141" s="1" t="s">
        <v>51</v>
      </c>
      <c r="N141" t="str">
        <f t="shared" si="8"/>
        <v>Expense</v>
      </c>
      <c r="O141" t="str">
        <f t="shared" si="9"/>
        <v/>
      </c>
    </row>
    <row r="142" spans="1:15" x14ac:dyDescent="0.25">
      <c r="A142" s="1" t="s">
        <v>3969</v>
      </c>
      <c r="B142" s="1" t="s">
        <v>4877</v>
      </c>
      <c r="C142" s="1" t="s">
        <v>3858</v>
      </c>
      <c r="D142" s="1" t="s">
        <v>3834</v>
      </c>
      <c r="E142">
        <v>242230</v>
      </c>
      <c r="F142">
        <v>281806.86</v>
      </c>
      <c r="G142">
        <f t="shared" si="7"/>
        <v>-39576.859999999986</v>
      </c>
      <c r="H142">
        <v>-39576.86</v>
      </c>
      <c r="I142" s="3">
        <v>45303</v>
      </c>
      <c r="J142" s="1" t="s">
        <v>3790</v>
      </c>
      <c r="K142" s="1" t="s">
        <v>3823</v>
      </c>
      <c r="L142" s="1" t="s">
        <v>3784</v>
      </c>
      <c r="M142" s="1" t="s">
        <v>51</v>
      </c>
      <c r="N142" t="str">
        <f t="shared" si="8"/>
        <v>Expense</v>
      </c>
      <c r="O142" t="str">
        <f t="shared" si="9"/>
        <v/>
      </c>
    </row>
    <row r="143" spans="1:15" x14ac:dyDescent="0.25">
      <c r="A143" s="1" t="s">
        <v>3970</v>
      </c>
      <c r="B143" s="1" t="s">
        <v>3798</v>
      </c>
      <c r="C143" s="1" t="s">
        <v>3821</v>
      </c>
      <c r="D143" s="1" t="s">
        <v>3802</v>
      </c>
      <c r="E143">
        <v>392038</v>
      </c>
      <c r="F143">
        <v>455114.05</v>
      </c>
      <c r="G143">
        <f t="shared" si="7"/>
        <v>-63076.049999999988</v>
      </c>
      <c r="H143">
        <v>-63076.05</v>
      </c>
      <c r="I143" s="3">
        <v>45282</v>
      </c>
      <c r="J143" s="1" t="s">
        <v>3782</v>
      </c>
      <c r="K143" s="1" t="s">
        <v>3823</v>
      </c>
      <c r="L143" s="1" t="s">
        <v>3784</v>
      </c>
      <c r="M143" s="1" t="s">
        <v>3785</v>
      </c>
      <c r="N143" t="str">
        <f t="shared" si="8"/>
        <v>Expense</v>
      </c>
      <c r="O143" t="str">
        <f t="shared" si="9"/>
        <v>Flag: High-Value Pending</v>
      </c>
    </row>
    <row r="144" spans="1:15" x14ac:dyDescent="0.25">
      <c r="A144" s="1" t="s">
        <v>3971</v>
      </c>
      <c r="B144" s="1" t="s">
        <v>3787</v>
      </c>
      <c r="C144" s="1" t="s">
        <v>3795</v>
      </c>
      <c r="D144" s="1" t="s">
        <v>3837</v>
      </c>
      <c r="E144">
        <v>410556</v>
      </c>
      <c r="F144">
        <v>369988.01</v>
      </c>
      <c r="G144">
        <f t="shared" si="7"/>
        <v>40567.989999999991</v>
      </c>
      <c r="H144">
        <v>40567.99</v>
      </c>
      <c r="I144" s="3">
        <v>45432</v>
      </c>
      <c r="J144" s="1" t="s">
        <v>3790</v>
      </c>
      <c r="K144" s="1" t="s">
        <v>3823</v>
      </c>
      <c r="L144" s="1" t="s">
        <v>3800</v>
      </c>
      <c r="M144" s="1" t="s">
        <v>51</v>
      </c>
      <c r="N144" t="str">
        <f t="shared" si="8"/>
        <v>Expense</v>
      </c>
      <c r="O144" t="str">
        <f t="shared" si="9"/>
        <v/>
      </c>
    </row>
    <row r="145" spans="1:15" x14ac:dyDescent="0.25">
      <c r="A145" s="1" t="s">
        <v>3972</v>
      </c>
      <c r="B145" s="1" t="s">
        <v>3828</v>
      </c>
      <c r="C145" s="1" t="s">
        <v>3795</v>
      </c>
      <c r="D145" s="1" t="s">
        <v>3789</v>
      </c>
      <c r="E145">
        <v>316670</v>
      </c>
      <c r="F145">
        <v>330471.40999999997</v>
      </c>
      <c r="G145">
        <f t="shared" si="7"/>
        <v>-13801.409999999974</v>
      </c>
      <c r="H145">
        <v>-13801.41</v>
      </c>
      <c r="I145" s="3">
        <v>45711</v>
      </c>
      <c r="J145" s="1" t="s">
        <v>3790</v>
      </c>
      <c r="K145" s="1" t="s">
        <v>3803</v>
      </c>
      <c r="L145" s="1" t="s">
        <v>3800</v>
      </c>
      <c r="M145" s="1" t="s">
        <v>3792</v>
      </c>
      <c r="N145" t="str">
        <f t="shared" si="8"/>
        <v>Expense</v>
      </c>
      <c r="O145" t="str">
        <f t="shared" si="9"/>
        <v/>
      </c>
    </row>
    <row r="146" spans="1:15" x14ac:dyDescent="0.25">
      <c r="A146" s="1" t="s">
        <v>3973</v>
      </c>
      <c r="B146" s="1" t="s">
        <v>3839</v>
      </c>
      <c r="C146" s="1" t="s">
        <v>3861</v>
      </c>
      <c r="D146" s="1" t="s">
        <v>3822</v>
      </c>
      <c r="E146">
        <v>160486</v>
      </c>
      <c r="F146">
        <v>139737.38</v>
      </c>
      <c r="G146">
        <f t="shared" si="7"/>
        <v>20748.619999999995</v>
      </c>
      <c r="H146">
        <v>20748.62</v>
      </c>
      <c r="I146" s="3">
        <v>45327</v>
      </c>
      <c r="J146" s="1" t="s">
        <v>3782</v>
      </c>
      <c r="K146" s="1" t="s">
        <v>3783</v>
      </c>
      <c r="L146" s="1" t="s">
        <v>3784</v>
      </c>
      <c r="M146" s="1" t="s">
        <v>51</v>
      </c>
      <c r="N146" t="str">
        <f t="shared" si="8"/>
        <v>Expense</v>
      </c>
      <c r="O146" t="str">
        <f t="shared" si="9"/>
        <v/>
      </c>
    </row>
    <row r="147" spans="1:15" x14ac:dyDescent="0.25">
      <c r="A147" s="1" t="s">
        <v>3974</v>
      </c>
      <c r="B147" s="1" t="s">
        <v>3828</v>
      </c>
      <c r="C147" s="1" t="s">
        <v>3795</v>
      </c>
      <c r="D147" s="1" t="s">
        <v>3895</v>
      </c>
      <c r="E147">
        <v>109864</v>
      </c>
      <c r="F147">
        <v>96347.03</v>
      </c>
      <c r="G147">
        <f t="shared" si="7"/>
        <v>13516.970000000001</v>
      </c>
      <c r="H147">
        <v>13516.97</v>
      </c>
      <c r="I147" s="3">
        <v>45560</v>
      </c>
      <c r="J147" s="1" t="s">
        <v>3790</v>
      </c>
      <c r="K147" s="1" t="s">
        <v>3791</v>
      </c>
      <c r="L147" s="1" t="s">
        <v>3800</v>
      </c>
      <c r="M147" s="1" t="s">
        <v>51</v>
      </c>
      <c r="N147" t="str">
        <f t="shared" si="8"/>
        <v>Expense</v>
      </c>
      <c r="O147" t="str">
        <f t="shared" si="9"/>
        <v/>
      </c>
    </row>
    <row r="148" spans="1:15" x14ac:dyDescent="0.25">
      <c r="A148" s="1" t="s">
        <v>3975</v>
      </c>
      <c r="B148" s="1" t="s">
        <v>3828</v>
      </c>
      <c r="C148" s="1" t="s">
        <v>3821</v>
      </c>
      <c r="D148" s="1" t="s">
        <v>3781</v>
      </c>
      <c r="E148">
        <v>61031</v>
      </c>
      <c r="F148">
        <v>71993.47</v>
      </c>
      <c r="G148">
        <f t="shared" si="7"/>
        <v>-10962.470000000001</v>
      </c>
      <c r="H148">
        <v>-10962.47</v>
      </c>
      <c r="I148" s="3">
        <v>45339</v>
      </c>
      <c r="J148" s="1" t="s">
        <v>3790</v>
      </c>
      <c r="K148" s="1" t="s">
        <v>3803</v>
      </c>
      <c r="L148" s="1" t="s">
        <v>3784</v>
      </c>
      <c r="M148" s="1" t="s">
        <v>3817</v>
      </c>
      <c r="N148" t="str">
        <f t="shared" si="8"/>
        <v>Expense</v>
      </c>
      <c r="O148" t="str">
        <f t="shared" si="9"/>
        <v/>
      </c>
    </row>
    <row r="149" spans="1:15" x14ac:dyDescent="0.25">
      <c r="A149" s="1" t="s">
        <v>3976</v>
      </c>
      <c r="B149" s="1" t="s">
        <v>3794</v>
      </c>
      <c r="C149" s="1" t="s">
        <v>3844</v>
      </c>
      <c r="D149" s="1" t="s">
        <v>3799</v>
      </c>
      <c r="E149">
        <v>464497</v>
      </c>
      <c r="F149">
        <v>444903.98</v>
      </c>
      <c r="G149">
        <f t="shared" si="7"/>
        <v>19593.020000000019</v>
      </c>
      <c r="H149">
        <v>19593.02</v>
      </c>
      <c r="I149" s="3">
        <v>45107</v>
      </c>
      <c r="J149" s="1" t="s">
        <v>3790</v>
      </c>
      <c r="K149" s="1" t="s">
        <v>3783</v>
      </c>
      <c r="L149" s="1" t="s">
        <v>3784</v>
      </c>
      <c r="M149" s="1" t="s">
        <v>51</v>
      </c>
      <c r="N149" t="str">
        <f t="shared" si="8"/>
        <v>Expense</v>
      </c>
      <c r="O149" t="str">
        <f t="shared" si="9"/>
        <v/>
      </c>
    </row>
    <row r="150" spans="1:15" x14ac:dyDescent="0.25">
      <c r="A150" s="1" t="s">
        <v>3977</v>
      </c>
      <c r="B150" s="1" t="s">
        <v>3808</v>
      </c>
      <c r="C150" s="1" t="s">
        <v>3806</v>
      </c>
      <c r="D150" s="1" t="s">
        <v>3855</v>
      </c>
      <c r="E150">
        <v>422084</v>
      </c>
      <c r="G150" t="str">
        <f t="shared" si="7"/>
        <v/>
      </c>
      <c r="H150">
        <v>-106956.09</v>
      </c>
      <c r="I150" s="3">
        <v>45310</v>
      </c>
      <c r="J150" s="1" t="s">
        <v>3790</v>
      </c>
      <c r="K150" s="1" t="s">
        <v>3823</v>
      </c>
      <c r="L150" s="1" t="s">
        <v>3784</v>
      </c>
      <c r="M150" s="1" t="s">
        <v>51</v>
      </c>
      <c r="N150" t="str">
        <f t="shared" si="8"/>
        <v>Expense</v>
      </c>
      <c r="O150" t="str">
        <f t="shared" si="9"/>
        <v/>
      </c>
    </row>
    <row r="151" spans="1:15" x14ac:dyDescent="0.25">
      <c r="A151" s="1" t="s">
        <v>3978</v>
      </c>
      <c r="B151" s="1" t="s">
        <v>3811</v>
      </c>
      <c r="C151" s="1" t="s">
        <v>3821</v>
      </c>
      <c r="D151" s="1" t="s">
        <v>3834</v>
      </c>
      <c r="E151">
        <v>477890</v>
      </c>
      <c r="F151">
        <v>544686.32999999996</v>
      </c>
      <c r="G151">
        <f t="shared" si="7"/>
        <v>-66796.329999999958</v>
      </c>
      <c r="H151">
        <v>-66796.33</v>
      </c>
      <c r="I151" s="3">
        <v>45631</v>
      </c>
      <c r="J151" s="1" t="s">
        <v>3790</v>
      </c>
      <c r="K151" s="1" t="s">
        <v>3823</v>
      </c>
      <c r="L151" s="1" t="s">
        <v>3800</v>
      </c>
      <c r="M151" s="1" t="s">
        <v>3831</v>
      </c>
      <c r="N151" t="str">
        <f t="shared" si="8"/>
        <v>Expense</v>
      </c>
      <c r="O151" t="str">
        <f t="shared" si="9"/>
        <v/>
      </c>
    </row>
    <row r="152" spans="1:15" x14ac:dyDescent="0.25">
      <c r="A152" s="1" t="s">
        <v>3979</v>
      </c>
      <c r="B152" s="1" t="s">
        <v>4877</v>
      </c>
      <c r="C152" s="1" t="s">
        <v>3848</v>
      </c>
      <c r="D152" s="1" t="s">
        <v>3895</v>
      </c>
      <c r="E152">
        <v>337982</v>
      </c>
      <c r="F152">
        <v>423284.97</v>
      </c>
      <c r="G152">
        <f t="shared" si="7"/>
        <v>-85302.969999999972</v>
      </c>
      <c r="H152">
        <v>-85302.97</v>
      </c>
      <c r="I152" s="3">
        <v>45734</v>
      </c>
      <c r="J152" s="1" t="s">
        <v>3790</v>
      </c>
      <c r="K152" s="1" t="s">
        <v>3823</v>
      </c>
      <c r="L152" s="1" t="s">
        <v>3800</v>
      </c>
      <c r="M152" s="1" t="s">
        <v>51</v>
      </c>
      <c r="N152" t="str">
        <f t="shared" si="8"/>
        <v>Expense</v>
      </c>
      <c r="O152" t="str">
        <f t="shared" si="9"/>
        <v/>
      </c>
    </row>
    <row r="153" spans="1:15" x14ac:dyDescent="0.25">
      <c r="A153" s="1" t="s">
        <v>3980</v>
      </c>
      <c r="B153" s="1" t="s">
        <v>3828</v>
      </c>
      <c r="C153" s="1" t="s">
        <v>4878</v>
      </c>
      <c r="D153" s="1" t="s">
        <v>3822</v>
      </c>
      <c r="E153">
        <v>454577</v>
      </c>
      <c r="F153">
        <v>580311.71</v>
      </c>
      <c r="G153">
        <f t="shared" si="7"/>
        <v>-125734.70999999996</v>
      </c>
      <c r="H153">
        <v>-125734.71</v>
      </c>
      <c r="I153" s="3">
        <v>45018</v>
      </c>
      <c r="J153" s="1" t="s">
        <v>3790</v>
      </c>
      <c r="K153" s="1" t="s">
        <v>3823</v>
      </c>
      <c r="L153" s="1" t="s">
        <v>3784</v>
      </c>
      <c r="M153" s="1" t="s">
        <v>51</v>
      </c>
      <c r="N153" t="str">
        <f t="shared" si="8"/>
        <v>Expense</v>
      </c>
      <c r="O153" t="str">
        <f t="shared" si="9"/>
        <v/>
      </c>
    </row>
    <row r="154" spans="1:15" x14ac:dyDescent="0.25">
      <c r="A154" s="1" t="s">
        <v>3981</v>
      </c>
      <c r="B154" s="1" t="s">
        <v>4877</v>
      </c>
      <c r="C154" s="1" t="s">
        <v>3821</v>
      </c>
      <c r="D154" s="1" t="s">
        <v>3855</v>
      </c>
      <c r="E154">
        <v>226756</v>
      </c>
      <c r="F154">
        <v>211964.68</v>
      </c>
      <c r="G154">
        <f t="shared" si="7"/>
        <v>14791.320000000007</v>
      </c>
      <c r="H154">
        <v>14791.32</v>
      </c>
      <c r="I154" s="3">
        <v>45415</v>
      </c>
      <c r="J154" s="1" t="s">
        <v>3790</v>
      </c>
      <c r="K154" s="1" t="s">
        <v>3803</v>
      </c>
      <c r="L154" s="1" t="s">
        <v>3800</v>
      </c>
      <c r="M154" s="1" t="s">
        <v>51</v>
      </c>
      <c r="N154" t="str">
        <f t="shared" si="8"/>
        <v>Expense</v>
      </c>
      <c r="O154" t="str">
        <f t="shared" si="9"/>
        <v/>
      </c>
    </row>
    <row r="155" spans="1:15" x14ac:dyDescent="0.25">
      <c r="A155" s="1" t="s">
        <v>3982</v>
      </c>
      <c r="B155" s="1" t="s">
        <v>3839</v>
      </c>
      <c r="C155" s="1" t="s">
        <v>3795</v>
      </c>
      <c r="D155" s="1" t="s">
        <v>3826</v>
      </c>
      <c r="E155">
        <v>244563</v>
      </c>
      <c r="F155">
        <v>224303.12</v>
      </c>
      <c r="G155">
        <f t="shared" si="7"/>
        <v>20259.880000000005</v>
      </c>
      <c r="H155">
        <v>20259.88</v>
      </c>
      <c r="I155" s="3">
        <v>45247</v>
      </c>
      <c r="J155" s="1" t="s">
        <v>3790</v>
      </c>
      <c r="K155" s="1" t="s">
        <v>3823</v>
      </c>
      <c r="L155" s="1" t="s">
        <v>3784</v>
      </c>
      <c r="M155" s="1" t="s">
        <v>3817</v>
      </c>
      <c r="N155" t="str">
        <f t="shared" si="8"/>
        <v>Expense</v>
      </c>
      <c r="O155" t="str">
        <f t="shared" si="9"/>
        <v/>
      </c>
    </row>
    <row r="156" spans="1:15" x14ac:dyDescent="0.25">
      <c r="A156" s="1" t="s">
        <v>3983</v>
      </c>
      <c r="B156" s="1" t="s">
        <v>3787</v>
      </c>
      <c r="C156" s="1" t="s">
        <v>3825</v>
      </c>
      <c r="D156" s="1" t="s">
        <v>3822</v>
      </c>
      <c r="E156">
        <v>349024</v>
      </c>
      <c r="F156">
        <v>295827.33</v>
      </c>
      <c r="G156">
        <f t="shared" si="7"/>
        <v>53196.669999999984</v>
      </c>
      <c r="H156">
        <v>53196.67</v>
      </c>
      <c r="I156" s="3">
        <v>45414</v>
      </c>
      <c r="J156" s="1" t="s">
        <v>3790</v>
      </c>
      <c r="K156" s="1" t="s">
        <v>3823</v>
      </c>
      <c r="L156" s="1" t="s">
        <v>3800</v>
      </c>
      <c r="M156" s="1" t="s">
        <v>3817</v>
      </c>
      <c r="N156" t="str">
        <f t="shared" si="8"/>
        <v>Expense</v>
      </c>
      <c r="O156" t="str">
        <f t="shared" si="9"/>
        <v/>
      </c>
    </row>
    <row r="157" spans="1:15" x14ac:dyDescent="0.25">
      <c r="A157" s="1" t="s">
        <v>3984</v>
      </c>
      <c r="B157" s="1" t="s">
        <v>3808</v>
      </c>
      <c r="C157" s="1" t="s">
        <v>3780</v>
      </c>
      <c r="D157" s="1" t="s">
        <v>3867</v>
      </c>
      <c r="E157">
        <v>39030</v>
      </c>
      <c r="F157">
        <v>46367.88</v>
      </c>
      <c r="G157">
        <f t="shared" si="7"/>
        <v>-7337.8799999999974</v>
      </c>
      <c r="H157">
        <v>-7337.88</v>
      </c>
      <c r="I157" s="3">
        <v>45350</v>
      </c>
      <c r="J157" s="1" t="s">
        <v>3790</v>
      </c>
      <c r="K157" s="1" t="s">
        <v>3803</v>
      </c>
      <c r="L157" s="1" t="s">
        <v>3784</v>
      </c>
      <c r="M157" s="1" t="s">
        <v>3831</v>
      </c>
      <c r="N157" t="str">
        <f t="shared" si="8"/>
        <v>Expense</v>
      </c>
      <c r="O157" t="str">
        <f t="shared" si="9"/>
        <v/>
      </c>
    </row>
    <row r="158" spans="1:15" x14ac:dyDescent="0.25">
      <c r="A158" s="1" t="s">
        <v>3985</v>
      </c>
      <c r="B158" s="1" t="s">
        <v>3808</v>
      </c>
      <c r="C158" s="1" t="s">
        <v>3806</v>
      </c>
      <c r="D158" s="1" t="s">
        <v>3789</v>
      </c>
      <c r="E158">
        <v>42427</v>
      </c>
      <c r="F158">
        <v>43196.66</v>
      </c>
      <c r="G158">
        <f t="shared" si="7"/>
        <v>-769.66000000000349</v>
      </c>
      <c r="H158">
        <v>-769.66</v>
      </c>
      <c r="I158" s="3">
        <v>45135</v>
      </c>
      <c r="J158" s="1" t="s">
        <v>3859</v>
      </c>
      <c r="K158" s="1" t="s">
        <v>3803</v>
      </c>
      <c r="L158" s="1" t="s">
        <v>3784</v>
      </c>
      <c r="M158" s="1" t="s">
        <v>51</v>
      </c>
      <c r="N158" t="str">
        <f t="shared" si="8"/>
        <v>Expense</v>
      </c>
      <c r="O158" t="str">
        <f t="shared" si="9"/>
        <v/>
      </c>
    </row>
    <row r="159" spans="1:15" x14ac:dyDescent="0.25">
      <c r="A159" s="1" t="s">
        <v>3986</v>
      </c>
      <c r="B159" s="1" t="s">
        <v>3798</v>
      </c>
      <c r="C159" s="1" t="s">
        <v>3844</v>
      </c>
      <c r="D159" s="1" t="s">
        <v>3781</v>
      </c>
      <c r="E159">
        <v>176689</v>
      </c>
      <c r="F159">
        <v>163052.01999999999</v>
      </c>
      <c r="G159">
        <f t="shared" si="7"/>
        <v>13636.98000000001</v>
      </c>
      <c r="H159">
        <v>13636.98</v>
      </c>
      <c r="I159" s="3">
        <v>45398</v>
      </c>
      <c r="J159" s="1" t="s">
        <v>3790</v>
      </c>
      <c r="K159" s="1" t="s">
        <v>3823</v>
      </c>
      <c r="L159" s="1" t="s">
        <v>3800</v>
      </c>
      <c r="M159" s="1" t="s">
        <v>3792</v>
      </c>
      <c r="N159" t="str">
        <f t="shared" si="8"/>
        <v>Expense</v>
      </c>
      <c r="O159" t="str">
        <f t="shared" si="9"/>
        <v/>
      </c>
    </row>
    <row r="160" spans="1:15" x14ac:dyDescent="0.25">
      <c r="A160" s="1" t="s">
        <v>3987</v>
      </c>
      <c r="B160" s="1" t="s">
        <v>3828</v>
      </c>
      <c r="C160" s="1" t="s">
        <v>3848</v>
      </c>
      <c r="D160" s="1" t="s">
        <v>3789</v>
      </c>
      <c r="E160">
        <v>83678</v>
      </c>
      <c r="F160">
        <v>69242.31</v>
      </c>
      <c r="G160">
        <f t="shared" si="7"/>
        <v>14435.690000000002</v>
      </c>
      <c r="H160">
        <v>14435.69</v>
      </c>
      <c r="I160" s="3">
        <v>44939</v>
      </c>
      <c r="J160" s="1" t="s">
        <v>3790</v>
      </c>
      <c r="K160" s="1" t="s">
        <v>3803</v>
      </c>
      <c r="L160" s="1" t="s">
        <v>3804</v>
      </c>
      <c r="M160" s="1" t="s">
        <v>51</v>
      </c>
      <c r="N160" t="str">
        <f t="shared" si="8"/>
        <v>Expense</v>
      </c>
      <c r="O160" t="str">
        <f t="shared" si="9"/>
        <v/>
      </c>
    </row>
    <row r="161" spans="1:15" x14ac:dyDescent="0.25">
      <c r="A161" s="1" t="s">
        <v>3988</v>
      </c>
      <c r="B161" s="1" t="s">
        <v>3808</v>
      </c>
      <c r="C161" s="1" t="s">
        <v>3844</v>
      </c>
      <c r="D161" s="1" t="s">
        <v>3796</v>
      </c>
      <c r="E161">
        <v>-457910</v>
      </c>
      <c r="F161">
        <v>396108.52</v>
      </c>
      <c r="G161">
        <f t="shared" si="7"/>
        <v>-854018.52</v>
      </c>
      <c r="H161">
        <v>61801.48</v>
      </c>
      <c r="I161" s="3">
        <v>45562</v>
      </c>
      <c r="J161" s="1" t="s">
        <v>3782</v>
      </c>
      <c r="K161" s="1" t="s">
        <v>3823</v>
      </c>
      <c r="L161" s="1" t="s">
        <v>3800</v>
      </c>
      <c r="M161" s="1" t="s">
        <v>51</v>
      </c>
      <c r="N161" t="str">
        <f t="shared" si="8"/>
        <v>Credit/Refund</v>
      </c>
      <c r="O161" t="str">
        <f t="shared" si="9"/>
        <v/>
      </c>
    </row>
    <row r="162" spans="1:15" x14ac:dyDescent="0.25">
      <c r="A162" s="1" t="s">
        <v>3989</v>
      </c>
      <c r="B162" s="1" t="s">
        <v>3839</v>
      </c>
      <c r="C162" s="1" t="s">
        <v>3858</v>
      </c>
      <c r="D162" s="1" t="s">
        <v>3816</v>
      </c>
      <c r="E162">
        <v>153180</v>
      </c>
      <c r="F162">
        <v>192658</v>
      </c>
      <c r="G162">
        <f t="shared" si="7"/>
        <v>-39478</v>
      </c>
      <c r="H162">
        <v>-39478</v>
      </c>
      <c r="I162" s="3">
        <v>45084</v>
      </c>
      <c r="J162" s="1" t="s">
        <v>3859</v>
      </c>
      <c r="K162" s="1" t="s">
        <v>3783</v>
      </c>
      <c r="L162" s="1" t="s">
        <v>3784</v>
      </c>
      <c r="M162" s="1" t="s">
        <v>3809</v>
      </c>
      <c r="N162" t="str">
        <f t="shared" si="8"/>
        <v>Expense</v>
      </c>
      <c r="O162" t="str">
        <f t="shared" si="9"/>
        <v/>
      </c>
    </row>
    <row r="163" spans="1:15" x14ac:dyDescent="0.25">
      <c r="A163" s="1" t="s">
        <v>3990</v>
      </c>
      <c r="B163" s="1" t="s">
        <v>3787</v>
      </c>
      <c r="C163" s="1" t="s">
        <v>3825</v>
      </c>
      <c r="D163" s="1" t="s">
        <v>3781</v>
      </c>
      <c r="E163">
        <v>488021</v>
      </c>
      <c r="F163">
        <v>444651.21</v>
      </c>
      <c r="G163">
        <f t="shared" si="7"/>
        <v>43369.789999999979</v>
      </c>
      <c r="H163">
        <v>43369.79</v>
      </c>
      <c r="I163" s="3">
        <v>45161</v>
      </c>
      <c r="J163" s="1" t="s">
        <v>3790</v>
      </c>
      <c r="K163" s="1" t="s">
        <v>3791</v>
      </c>
      <c r="L163" s="1" t="s">
        <v>3784</v>
      </c>
      <c r="M163" s="1" t="s">
        <v>3817</v>
      </c>
      <c r="N163" t="str">
        <f t="shared" si="8"/>
        <v>Expense</v>
      </c>
      <c r="O163" t="str">
        <f t="shared" si="9"/>
        <v/>
      </c>
    </row>
    <row r="164" spans="1:15" x14ac:dyDescent="0.25">
      <c r="A164" s="1" t="s">
        <v>3991</v>
      </c>
      <c r="B164" s="1" t="s">
        <v>3787</v>
      </c>
      <c r="C164" s="1" t="s">
        <v>3780</v>
      </c>
      <c r="D164" s="1" t="s">
        <v>3837</v>
      </c>
      <c r="E164">
        <v>-200949</v>
      </c>
      <c r="F164">
        <v>190209.9</v>
      </c>
      <c r="G164">
        <f t="shared" si="7"/>
        <v>-391158.9</v>
      </c>
      <c r="H164">
        <v>10739.1</v>
      </c>
      <c r="I164" s="3">
        <v>45380</v>
      </c>
      <c r="J164" s="1" t="s">
        <v>3790</v>
      </c>
      <c r="K164" s="1" t="s">
        <v>3791</v>
      </c>
      <c r="L164" s="1" t="s">
        <v>3784</v>
      </c>
      <c r="M164" s="1" t="s">
        <v>3785</v>
      </c>
      <c r="N164" t="str">
        <f t="shared" si="8"/>
        <v>Credit/Refund</v>
      </c>
      <c r="O164" t="str">
        <f t="shared" si="9"/>
        <v/>
      </c>
    </row>
    <row r="165" spans="1:15" x14ac:dyDescent="0.25">
      <c r="A165" s="1" t="s">
        <v>3992</v>
      </c>
      <c r="B165" s="1" t="s">
        <v>3839</v>
      </c>
      <c r="C165" s="1" t="s">
        <v>3825</v>
      </c>
      <c r="D165" s="1" t="s">
        <v>3826</v>
      </c>
      <c r="E165">
        <v>145470</v>
      </c>
      <c r="F165">
        <v>180539.45</v>
      </c>
      <c r="G165">
        <f t="shared" si="7"/>
        <v>-35069.450000000012</v>
      </c>
      <c r="H165">
        <v>-35069.449999999997</v>
      </c>
      <c r="I165" s="3">
        <v>45569</v>
      </c>
      <c r="J165" s="1" t="s">
        <v>3859</v>
      </c>
      <c r="K165" s="1" t="s">
        <v>3791</v>
      </c>
      <c r="L165" s="1" t="s">
        <v>3800</v>
      </c>
      <c r="M165" s="1" t="s">
        <v>51</v>
      </c>
      <c r="N165" t="str">
        <f t="shared" si="8"/>
        <v>Expense</v>
      </c>
      <c r="O165" t="str">
        <f t="shared" si="9"/>
        <v/>
      </c>
    </row>
    <row r="166" spans="1:15" x14ac:dyDescent="0.25">
      <c r="A166" s="1" t="s">
        <v>3993</v>
      </c>
      <c r="B166" s="1" t="s">
        <v>4877</v>
      </c>
      <c r="C166" s="1" t="s">
        <v>3861</v>
      </c>
      <c r="D166" s="1" t="s">
        <v>3822</v>
      </c>
      <c r="E166">
        <v>240723</v>
      </c>
      <c r="F166">
        <v>257329.16</v>
      </c>
      <c r="G166">
        <f t="shared" si="7"/>
        <v>-16606.160000000003</v>
      </c>
      <c r="H166">
        <v>-16606.16</v>
      </c>
      <c r="I166" s="3">
        <v>45573</v>
      </c>
      <c r="J166" s="1" t="s">
        <v>3790</v>
      </c>
      <c r="K166" s="1" t="s">
        <v>3803</v>
      </c>
      <c r="L166" s="1" t="s">
        <v>3800</v>
      </c>
      <c r="M166" s="1" t="s">
        <v>51</v>
      </c>
      <c r="N166" t="str">
        <f t="shared" si="8"/>
        <v>Expense</v>
      </c>
      <c r="O166" t="str">
        <f t="shared" si="9"/>
        <v/>
      </c>
    </row>
    <row r="167" spans="1:15" x14ac:dyDescent="0.25">
      <c r="A167" s="1" t="s">
        <v>3994</v>
      </c>
      <c r="B167" s="1" t="s">
        <v>3794</v>
      </c>
      <c r="C167" s="1" t="s">
        <v>3861</v>
      </c>
      <c r="D167" s="1" t="s">
        <v>3826</v>
      </c>
      <c r="E167">
        <v>446250</v>
      </c>
      <c r="F167">
        <v>566865.56000000006</v>
      </c>
      <c r="G167">
        <f t="shared" si="7"/>
        <v>-120615.56000000006</v>
      </c>
      <c r="H167">
        <v>-120615.56</v>
      </c>
      <c r="I167" s="3">
        <v>45668</v>
      </c>
      <c r="J167" s="1" t="s">
        <v>3859</v>
      </c>
      <c r="K167" s="1" t="s">
        <v>3791</v>
      </c>
      <c r="L167" s="1" t="s">
        <v>3800</v>
      </c>
      <c r="M167" s="1" t="s">
        <v>51</v>
      </c>
      <c r="N167" t="str">
        <f t="shared" si="8"/>
        <v>Expense</v>
      </c>
      <c r="O167" t="str">
        <f t="shared" si="9"/>
        <v>Flag: High-Value Rejected</v>
      </c>
    </row>
    <row r="168" spans="1:15" x14ac:dyDescent="0.25">
      <c r="A168" s="1" t="s">
        <v>3995</v>
      </c>
      <c r="B168" s="1" t="s">
        <v>3794</v>
      </c>
      <c r="C168" s="1" t="s">
        <v>3780</v>
      </c>
      <c r="D168" s="1" t="s">
        <v>3867</v>
      </c>
      <c r="E168">
        <v>166850</v>
      </c>
      <c r="F168">
        <v>169233.68</v>
      </c>
      <c r="G168">
        <f t="shared" si="7"/>
        <v>-2383.679999999993</v>
      </c>
      <c r="H168">
        <v>-2383.6799999999998</v>
      </c>
      <c r="I168" s="3">
        <v>45594</v>
      </c>
      <c r="J168" s="1" t="s">
        <v>3790</v>
      </c>
      <c r="K168" s="1" t="s">
        <v>3803</v>
      </c>
      <c r="L168" s="1" t="s">
        <v>3800</v>
      </c>
      <c r="M168" s="1" t="s">
        <v>3831</v>
      </c>
      <c r="N168" t="str">
        <f t="shared" si="8"/>
        <v>Expense</v>
      </c>
      <c r="O168" t="str">
        <f t="shared" si="9"/>
        <v/>
      </c>
    </row>
    <row r="169" spans="1:15" x14ac:dyDescent="0.25">
      <c r="A169" s="1" t="s">
        <v>3996</v>
      </c>
      <c r="B169" s="1" t="s">
        <v>3794</v>
      </c>
      <c r="C169" s="1" t="s">
        <v>3812</v>
      </c>
      <c r="D169" s="1" t="s">
        <v>3796</v>
      </c>
      <c r="E169">
        <v>196494</v>
      </c>
      <c r="F169">
        <v>177665.33</v>
      </c>
      <c r="G169">
        <f t="shared" si="7"/>
        <v>18828.670000000013</v>
      </c>
      <c r="H169">
        <v>18828.669999999998</v>
      </c>
      <c r="I169" s="3">
        <v>45655</v>
      </c>
      <c r="J169" s="1" t="s">
        <v>3782</v>
      </c>
      <c r="K169" s="1" t="s">
        <v>3823</v>
      </c>
      <c r="L169" s="1" t="s">
        <v>3800</v>
      </c>
      <c r="M169" s="1" t="s">
        <v>3817</v>
      </c>
      <c r="N169" t="str">
        <f t="shared" si="8"/>
        <v>Expense</v>
      </c>
      <c r="O169" t="str">
        <f t="shared" si="9"/>
        <v/>
      </c>
    </row>
    <row r="170" spans="1:15" x14ac:dyDescent="0.25">
      <c r="A170" s="1" t="s">
        <v>3997</v>
      </c>
      <c r="B170" s="1" t="s">
        <v>3839</v>
      </c>
      <c r="C170" s="1" t="s">
        <v>3821</v>
      </c>
      <c r="D170" s="1" t="s">
        <v>3837</v>
      </c>
      <c r="E170">
        <v>408520</v>
      </c>
      <c r="F170">
        <v>396403.55</v>
      </c>
      <c r="G170">
        <f t="shared" si="7"/>
        <v>12116.450000000012</v>
      </c>
      <c r="H170">
        <v>12116.45</v>
      </c>
      <c r="I170" s="3">
        <v>45083</v>
      </c>
      <c r="J170" s="1" t="s">
        <v>3782</v>
      </c>
      <c r="K170" s="1" t="s">
        <v>3803</v>
      </c>
      <c r="L170" s="1" t="s">
        <v>3784</v>
      </c>
      <c r="M170" s="1" t="s">
        <v>3831</v>
      </c>
      <c r="N170" t="str">
        <f t="shared" si="8"/>
        <v>Expense</v>
      </c>
      <c r="O170" t="str">
        <f t="shared" si="9"/>
        <v>Flag: High-Value Pending</v>
      </c>
    </row>
    <row r="171" spans="1:15" x14ac:dyDescent="0.25">
      <c r="A171" s="1" t="s">
        <v>3998</v>
      </c>
      <c r="B171" s="1" t="s">
        <v>3794</v>
      </c>
      <c r="C171" s="1" t="s">
        <v>3815</v>
      </c>
      <c r="D171" s="1" t="s">
        <v>3837</v>
      </c>
      <c r="E171">
        <v>421940</v>
      </c>
      <c r="F171">
        <v>481074.03</v>
      </c>
      <c r="G171">
        <f t="shared" si="7"/>
        <v>-59134.030000000028</v>
      </c>
      <c r="H171">
        <v>-59134.03</v>
      </c>
      <c r="I171" s="3">
        <v>45255</v>
      </c>
      <c r="J171" s="1" t="s">
        <v>3790</v>
      </c>
      <c r="K171" s="1" t="s">
        <v>3783</v>
      </c>
      <c r="L171" s="1" t="s">
        <v>3784</v>
      </c>
      <c r="M171" s="1" t="s">
        <v>3792</v>
      </c>
      <c r="N171" t="str">
        <f t="shared" si="8"/>
        <v>Expense</v>
      </c>
      <c r="O171" t="str">
        <f t="shared" si="9"/>
        <v/>
      </c>
    </row>
    <row r="172" spans="1:15" x14ac:dyDescent="0.25">
      <c r="A172" s="1" t="s">
        <v>3999</v>
      </c>
      <c r="B172" s="1" t="s">
        <v>3794</v>
      </c>
      <c r="C172" s="1" t="s">
        <v>3825</v>
      </c>
      <c r="D172" s="1" t="s">
        <v>3781</v>
      </c>
      <c r="E172">
        <v>216958</v>
      </c>
      <c r="F172">
        <v>200250.56</v>
      </c>
      <c r="G172">
        <f t="shared" si="7"/>
        <v>16707.440000000002</v>
      </c>
      <c r="H172">
        <v>16707.439999999999</v>
      </c>
      <c r="I172" s="3">
        <v>44929</v>
      </c>
      <c r="J172" s="1" t="s">
        <v>3859</v>
      </c>
      <c r="K172" s="1" t="s">
        <v>3791</v>
      </c>
      <c r="L172" s="1" t="s">
        <v>3804</v>
      </c>
      <c r="M172" s="1" t="s">
        <v>51</v>
      </c>
      <c r="N172" t="str">
        <f t="shared" si="8"/>
        <v>Expense</v>
      </c>
      <c r="O172" t="str">
        <f t="shared" si="9"/>
        <v>Flag: High-Value Rejected</v>
      </c>
    </row>
    <row r="173" spans="1:15" x14ac:dyDescent="0.25">
      <c r="A173" s="1" t="s">
        <v>4000</v>
      </c>
      <c r="B173" s="1" t="s">
        <v>3839</v>
      </c>
      <c r="C173" s="1" t="s">
        <v>3806</v>
      </c>
      <c r="D173" s="1" t="s">
        <v>3799</v>
      </c>
      <c r="E173">
        <v>-415686</v>
      </c>
      <c r="G173" t="str">
        <f t="shared" si="7"/>
        <v/>
      </c>
      <c r="H173">
        <v>-120435.6</v>
      </c>
      <c r="I173" s="3">
        <v>45065</v>
      </c>
      <c r="J173" s="1" t="s">
        <v>3790</v>
      </c>
      <c r="K173" s="1" t="s">
        <v>3823</v>
      </c>
      <c r="L173" s="1" t="s">
        <v>3784</v>
      </c>
      <c r="M173" s="1" t="s">
        <v>3817</v>
      </c>
      <c r="N173" t="str">
        <f t="shared" si="8"/>
        <v>Credit/Refund</v>
      </c>
      <c r="O173" t="str">
        <f t="shared" si="9"/>
        <v/>
      </c>
    </row>
    <row r="174" spans="1:15" x14ac:dyDescent="0.25">
      <c r="A174" s="1" t="s">
        <v>4001</v>
      </c>
      <c r="B174" s="1" t="s">
        <v>3811</v>
      </c>
      <c r="C174" s="1" t="s">
        <v>3795</v>
      </c>
      <c r="D174" s="1" t="s">
        <v>3850</v>
      </c>
      <c r="E174">
        <v>184393</v>
      </c>
      <c r="F174">
        <v>177852.39</v>
      </c>
      <c r="G174">
        <f t="shared" si="7"/>
        <v>6540.609999999986</v>
      </c>
      <c r="H174">
        <v>6540.61</v>
      </c>
      <c r="I174" s="3">
        <v>45123</v>
      </c>
      <c r="J174" s="1" t="s">
        <v>3859</v>
      </c>
      <c r="K174" s="1" t="s">
        <v>3823</v>
      </c>
      <c r="L174" s="1" t="s">
        <v>3784</v>
      </c>
      <c r="M174" s="1" t="s">
        <v>3809</v>
      </c>
      <c r="N174" t="str">
        <f t="shared" si="8"/>
        <v>Expense</v>
      </c>
      <c r="O174" t="str">
        <f t="shared" si="9"/>
        <v/>
      </c>
    </row>
    <row r="175" spans="1:15" x14ac:dyDescent="0.25">
      <c r="A175" s="1" t="s">
        <v>4002</v>
      </c>
      <c r="B175" s="1" t="s">
        <v>3828</v>
      </c>
      <c r="C175" s="1" t="s">
        <v>3858</v>
      </c>
      <c r="D175" s="1" t="s">
        <v>3834</v>
      </c>
      <c r="E175">
        <v>179590</v>
      </c>
      <c r="F175">
        <v>150858.98000000001</v>
      </c>
      <c r="G175">
        <f t="shared" si="7"/>
        <v>28731.01999999999</v>
      </c>
      <c r="H175">
        <v>28731.02</v>
      </c>
      <c r="I175" s="3">
        <v>45093</v>
      </c>
      <c r="J175" s="1" t="s">
        <v>3790</v>
      </c>
      <c r="K175" s="1" t="s">
        <v>3791</v>
      </c>
      <c r="L175" s="1" t="s">
        <v>3784</v>
      </c>
      <c r="M175" s="1" t="s">
        <v>3785</v>
      </c>
      <c r="N175" t="str">
        <f t="shared" si="8"/>
        <v>Expense</v>
      </c>
      <c r="O175" t="str">
        <f t="shared" si="9"/>
        <v/>
      </c>
    </row>
    <row r="176" spans="1:15" x14ac:dyDescent="0.25">
      <c r="A176" s="1" t="s">
        <v>4003</v>
      </c>
      <c r="B176" s="1" t="s">
        <v>3794</v>
      </c>
      <c r="C176" s="1" t="s">
        <v>3795</v>
      </c>
      <c r="D176" s="1" t="s">
        <v>3846</v>
      </c>
      <c r="E176">
        <v>273756</v>
      </c>
      <c r="F176">
        <v>346697.43</v>
      </c>
      <c r="G176">
        <f t="shared" si="7"/>
        <v>-72941.429999999993</v>
      </c>
      <c r="H176">
        <v>-72941.429999999993</v>
      </c>
      <c r="I176" s="3">
        <v>44982</v>
      </c>
      <c r="J176" s="1" t="s">
        <v>3790</v>
      </c>
      <c r="K176" s="1" t="s">
        <v>3791</v>
      </c>
      <c r="L176" s="1" t="s">
        <v>3804</v>
      </c>
      <c r="M176" s="1" t="s">
        <v>3817</v>
      </c>
      <c r="N176" t="str">
        <f t="shared" si="8"/>
        <v>Expense</v>
      </c>
      <c r="O176" t="str">
        <f t="shared" si="9"/>
        <v/>
      </c>
    </row>
    <row r="177" spans="1:15" x14ac:dyDescent="0.25">
      <c r="A177" s="1" t="s">
        <v>4004</v>
      </c>
      <c r="B177" s="1" t="s">
        <v>3787</v>
      </c>
      <c r="C177" s="1" t="s">
        <v>3861</v>
      </c>
      <c r="D177" s="1" t="s">
        <v>3799</v>
      </c>
      <c r="E177">
        <v>198526</v>
      </c>
      <c r="G177" t="str">
        <f t="shared" si="7"/>
        <v/>
      </c>
      <c r="H177">
        <v>-637.71</v>
      </c>
      <c r="I177" s="3">
        <v>45295</v>
      </c>
      <c r="J177" s="1" t="s">
        <v>3790</v>
      </c>
      <c r="K177" s="1" t="s">
        <v>3823</v>
      </c>
      <c r="L177" s="1" t="s">
        <v>3784</v>
      </c>
      <c r="M177" s="1" t="s">
        <v>3817</v>
      </c>
      <c r="N177" t="str">
        <f t="shared" si="8"/>
        <v>Expense</v>
      </c>
      <c r="O177" t="str">
        <f t="shared" si="9"/>
        <v/>
      </c>
    </row>
    <row r="178" spans="1:15" x14ac:dyDescent="0.25">
      <c r="A178" s="1" t="s">
        <v>4005</v>
      </c>
      <c r="B178" s="1" t="s">
        <v>3808</v>
      </c>
      <c r="C178" s="1" t="s">
        <v>3848</v>
      </c>
      <c r="D178" s="1" t="s">
        <v>3855</v>
      </c>
      <c r="E178">
        <v>122121</v>
      </c>
      <c r="F178">
        <v>133734.62</v>
      </c>
      <c r="G178">
        <f t="shared" si="7"/>
        <v>-11613.619999999995</v>
      </c>
      <c r="H178">
        <v>-11613.62</v>
      </c>
      <c r="I178" s="3">
        <v>45586</v>
      </c>
      <c r="J178" s="1" t="s">
        <v>3790</v>
      </c>
      <c r="K178" s="1" t="s">
        <v>3803</v>
      </c>
      <c r="L178" s="1" t="s">
        <v>3800</v>
      </c>
      <c r="M178" s="1" t="s">
        <v>3831</v>
      </c>
      <c r="N178" t="str">
        <f t="shared" si="8"/>
        <v>Expense</v>
      </c>
      <c r="O178" t="str">
        <f t="shared" si="9"/>
        <v/>
      </c>
    </row>
    <row r="179" spans="1:15" x14ac:dyDescent="0.25">
      <c r="A179" s="1" t="s">
        <v>4006</v>
      </c>
      <c r="B179" s="1" t="s">
        <v>3828</v>
      </c>
      <c r="C179" s="1" t="s">
        <v>3861</v>
      </c>
      <c r="D179" s="1" t="s">
        <v>3822</v>
      </c>
      <c r="E179">
        <v>269682</v>
      </c>
      <c r="F179">
        <v>285890.94</v>
      </c>
      <c r="G179">
        <f t="shared" si="7"/>
        <v>-16208.940000000002</v>
      </c>
      <c r="H179">
        <v>-16208.94</v>
      </c>
      <c r="I179" s="3">
        <v>45078</v>
      </c>
      <c r="J179" s="1" t="s">
        <v>3790</v>
      </c>
      <c r="K179" s="1" t="s">
        <v>3791</v>
      </c>
      <c r="L179" s="1" t="s">
        <v>3784</v>
      </c>
      <c r="M179" s="1" t="s">
        <v>51</v>
      </c>
      <c r="N179" t="str">
        <f t="shared" si="8"/>
        <v>Expense</v>
      </c>
      <c r="O179" t="str">
        <f t="shared" si="9"/>
        <v/>
      </c>
    </row>
    <row r="180" spans="1:15" x14ac:dyDescent="0.25">
      <c r="A180" s="1" t="s">
        <v>4007</v>
      </c>
      <c r="B180" s="1" t="s">
        <v>3798</v>
      </c>
      <c r="C180" s="1" t="s">
        <v>3844</v>
      </c>
      <c r="D180" s="1" t="s">
        <v>3802</v>
      </c>
      <c r="E180">
        <v>231321</v>
      </c>
      <c r="F180">
        <v>266216.59000000003</v>
      </c>
      <c r="G180">
        <f t="shared" si="7"/>
        <v>-34895.590000000026</v>
      </c>
      <c r="H180">
        <v>-34895.589999999997</v>
      </c>
      <c r="I180" s="3">
        <v>45034</v>
      </c>
      <c r="J180" s="1" t="s">
        <v>3790</v>
      </c>
      <c r="K180" s="1" t="s">
        <v>3783</v>
      </c>
      <c r="L180" s="1" t="s">
        <v>3784</v>
      </c>
      <c r="M180" s="1" t="s">
        <v>51</v>
      </c>
      <c r="N180" t="str">
        <f t="shared" si="8"/>
        <v>Expense</v>
      </c>
      <c r="O180" t="str">
        <f t="shared" si="9"/>
        <v/>
      </c>
    </row>
    <row r="181" spans="1:15" x14ac:dyDescent="0.25">
      <c r="A181" s="1" t="s">
        <v>4008</v>
      </c>
      <c r="B181" s="1" t="s">
        <v>3808</v>
      </c>
      <c r="C181" s="1" t="s">
        <v>3815</v>
      </c>
      <c r="D181" s="1" t="s">
        <v>3781</v>
      </c>
      <c r="E181">
        <v>140762</v>
      </c>
      <c r="F181">
        <v>149735.54999999999</v>
      </c>
      <c r="G181">
        <f t="shared" si="7"/>
        <v>-8973.5499999999884</v>
      </c>
      <c r="H181">
        <v>-8973.5499999999993</v>
      </c>
      <c r="I181" s="3">
        <v>45638</v>
      </c>
      <c r="J181" s="1" t="s">
        <v>3782</v>
      </c>
      <c r="K181" s="1" t="s">
        <v>3783</v>
      </c>
      <c r="L181" s="1" t="s">
        <v>3800</v>
      </c>
      <c r="M181" s="1" t="s">
        <v>51</v>
      </c>
      <c r="N181" t="str">
        <f t="shared" si="8"/>
        <v>Expense</v>
      </c>
      <c r="O181" t="str">
        <f t="shared" si="9"/>
        <v/>
      </c>
    </row>
    <row r="182" spans="1:15" x14ac:dyDescent="0.25">
      <c r="A182" s="1" t="s">
        <v>4009</v>
      </c>
      <c r="B182" s="1" t="s">
        <v>3794</v>
      </c>
      <c r="C182" s="1" t="s">
        <v>3812</v>
      </c>
      <c r="D182" s="1" t="s">
        <v>3781</v>
      </c>
      <c r="E182">
        <v>28743</v>
      </c>
      <c r="F182">
        <v>37250.660000000003</v>
      </c>
      <c r="G182">
        <f t="shared" si="7"/>
        <v>-8507.6600000000035</v>
      </c>
      <c r="H182">
        <v>-8507.66</v>
      </c>
      <c r="I182" s="3">
        <v>45164</v>
      </c>
      <c r="J182" s="1" t="s">
        <v>3859</v>
      </c>
      <c r="K182" s="1" t="s">
        <v>3823</v>
      </c>
      <c r="L182" s="1" t="s">
        <v>3784</v>
      </c>
      <c r="M182" s="1" t="s">
        <v>3785</v>
      </c>
      <c r="N182" t="str">
        <f t="shared" si="8"/>
        <v>Expense</v>
      </c>
      <c r="O182" t="str">
        <f t="shared" si="9"/>
        <v/>
      </c>
    </row>
    <row r="183" spans="1:15" x14ac:dyDescent="0.25">
      <c r="A183" s="1" t="s">
        <v>4010</v>
      </c>
      <c r="B183" s="1" t="s">
        <v>3794</v>
      </c>
      <c r="C183" s="1" t="s">
        <v>3825</v>
      </c>
      <c r="D183" s="1" t="s">
        <v>3867</v>
      </c>
      <c r="E183">
        <v>100219</v>
      </c>
      <c r="F183">
        <v>105905.2</v>
      </c>
      <c r="G183">
        <f t="shared" si="7"/>
        <v>-5686.1999999999971</v>
      </c>
      <c r="H183">
        <v>-5686.2</v>
      </c>
      <c r="I183" s="3">
        <v>45072</v>
      </c>
      <c r="J183" s="1" t="s">
        <v>3790</v>
      </c>
      <c r="K183" s="1" t="s">
        <v>3803</v>
      </c>
      <c r="L183" s="1" t="s">
        <v>3784</v>
      </c>
      <c r="M183" s="1" t="s">
        <v>3785</v>
      </c>
      <c r="N183" t="str">
        <f t="shared" si="8"/>
        <v>Expense</v>
      </c>
      <c r="O183" t="str">
        <f t="shared" si="9"/>
        <v/>
      </c>
    </row>
    <row r="184" spans="1:15" x14ac:dyDescent="0.25">
      <c r="A184" s="1" t="s">
        <v>4011</v>
      </c>
      <c r="B184" s="1" t="s">
        <v>3808</v>
      </c>
      <c r="C184" s="1" t="s">
        <v>3806</v>
      </c>
      <c r="D184" s="1" t="s">
        <v>3846</v>
      </c>
      <c r="E184">
        <v>84007</v>
      </c>
      <c r="F184">
        <v>85989.72</v>
      </c>
      <c r="G184">
        <f t="shared" si="7"/>
        <v>-1982.7200000000012</v>
      </c>
      <c r="H184">
        <v>-1982.72</v>
      </c>
      <c r="I184" s="3">
        <v>45060</v>
      </c>
      <c r="J184" s="1" t="s">
        <v>3790</v>
      </c>
      <c r="K184" s="1" t="s">
        <v>3783</v>
      </c>
      <c r="L184" s="1" t="s">
        <v>3784</v>
      </c>
      <c r="M184" s="1" t="s">
        <v>51</v>
      </c>
      <c r="N184" t="str">
        <f t="shared" si="8"/>
        <v>Expense</v>
      </c>
      <c r="O184" t="str">
        <f t="shared" si="9"/>
        <v/>
      </c>
    </row>
    <row r="185" spans="1:15" x14ac:dyDescent="0.25">
      <c r="A185" s="1" t="s">
        <v>4012</v>
      </c>
      <c r="B185" s="1" t="s">
        <v>3787</v>
      </c>
      <c r="C185" s="1" t="s">
        <v>3821</v>
      </c>
      <c r="D185" s="1" t="s">
        <v>3846</v>
      </c>
      <c r="E185">
        <v>154564</v>
      </c>
      <c r="F185">
        <v>152945.44</v>
      </c>
      <c r="G185">
        <f t="shared" si="7"/>
        <v>1618.5599999999977</v>
      </c>
      <c r="H185">
        <v>1618.56</v>
      </c>
      <c r="I185" s="3">
        <v>45295</v>
      </c>
      <c r="J185" s="1" t="s">
        <v>3859</v>
      </c>
      <c r="K185" s="1" t="s">
        <v>3791</v>
      </c>
      <c r="L185" s="1" t="s">
        <v>3784</v>
      </c>
      <c r="M185" s="1" t="s">
        <v>51</v>
      </c>
      <c r="N185" t="str">
        <f t="shared" si="8"/>
        <v>Expense</v>
      </c>
      <c r="O185" t="str">
        <f t="shared" si="9"/>
        <v/>
      </c>
    </row>
    <row r="186" spans="1:15" x14ac:dyDescent="0.25">
      <c r="A186" s="1" t="s">
        <v>4013</v>
      </c>
      <c r="B186" s="1" t="s">
        <v>3839</v>
      </c>
      <c r="C186" s="1" t="s">
        <v>3861</v>
      </c>
      <c r="D186" s="1" t="s">
        <v>3796</v>
      </c>
      <c r="E186">
        <v>263639</v>
      </c>
      <c r="F186">
        <v>307345.42</v>
      </c>
      <c r="G186">
        <f t="shared" si="7"/>
        <v>-43706.419999999984</v>
      </c>
      <c r="H186">
        <v>-43706.42</v>
      </c>
      <c r="I186" s="3">
        <v>45467</v>
      </c>
      <c r="J186" s="1" t="s">
        <v>3790</v>
      </c>
      <c r="K186" s="1" t="s">
        <v>3803</v>
      </c>
      <c r="L186" s="1" t="s">
        <v>3800</v>
      </c>
      <c r="M186" s="1" t="s">
        <v>51</v>
      </c>
      <c r="N186" t="str">
        <f t="shared" si="8"/>
        <v>Expense</v>
      </c>
      <c r="O186" t="str">
        <f t="shared" si="9"/>
        <v/>
      </c>
    </row>
    <row r="187" spans="1:15" x14ac:dyDescent="0.25">
      <c r="A187" s="1" t="s">
        <v>4014</v>
      </c>
      <c r="B187" s="1" t="s">
        <v>3798</v>
      </c>
      <c r="C187" s="1" t="s">
        <v>3821</v>
      </c>
      <c r="D187" s="1" t="s">
        <v>3789</v>
      </c>
      <c r="E187">
        <v>179272</v>
      </c>
      <c r="F187">
        <v>163363.64000000001</v>
      </c>
      <c r="G187">
        <f t="shared" si="7"/>
        <v>15908.359999999986</v>
      </c>
      <c r="H187">
        <v>15908.36</v>
      </c>
      <c r="I187" s="3">
        <v>45685</v>
      </c>
      <c r="J187" s="1" t="s">
        <v>3790</v>
      </c>
      <c r="K187" s="1" t="s">
        <v>3783</v>
      </c>
      <c r="L187" s="1" t="s">
        <v>3800</v>
      </c>
      <c r="M187" s="1" t="s">
        <v>3785</v>
      </c>
      <c r="N187" t="str">
        <f t="shared" si="8"/>
        <v>Expense</v>
      </c>
      <c r="O187" t="str">
        <f t="shared" si="9"/>
        <v/>
      </c>
    </row>
    <row r="188" spans="1:15" x14ac:dyDescent="0.25">
      <c r="A188" s="1" t="s">
        <v>4015</v>
      </c>
      <c r="B188" s="1" t="s">
        <v>3798</v>
      </c>
      <c r="C188" s="1" t="s">
        <v>3821</v>
      </c>
      <c r="D188" s="1" t="s">
        <v>3846</v>
      </c>
      <c r="E188">
        <v>163804</v>
      </c>
      <c r="F188">
        <v>169256.65</v>
      </c>
      <c r="G188">
        <f t="shared" si="7"/>
        <v>-5452.6499999999942</v>
      </c>
      <c r="H188">
        <v>-5452.65</v>
      </c>
      <c r="I188" s="3">
        <v>45340</v>
      </c>
      <c r="J188" s="1" t="s">
        <v>3782</v>
      </c>
      <c r="K188" s="1" t="s">
        <v>3803</v>
      </c>
      <c r="L188" s="1" t="s">
        <v>3784</v>
      </c>
      <c r="M188" s="1" t="s">
        <v>3809</v>
      </c>
      <c r="N188" t="str">
        <f t="shared" si="8"/>
        <v>Expense</v>
      </c>
      <c r="O188" t="str">
        <f t="shared" si="9"/>
        <v/>
      </c>
    </row>
    <row r="189" spans="1:15" x14ac:dyDescent="0.25">
      <c r="A189" s="1" t="s">
        <v>4016</v>
      </c>
      <c r="B189" s="1" t="s">
        <v>3828</v>
      </c>
      <c r="C189" s="1" t="s">
        <v>3806</v>
      </c>
      <c r="D189" s="1" t="s">
        <v>3850</v>
      </c>
      <c r="E189">
        <v>464663</v>
      </c>
      <c r="F189">
        <v>446327.43</v>
      </c>
      <c r="G189">
        <f t="shared" si="7"/>
        <v>18335.570000000007</v>
      </c>
      <c r="H189">
        <v>18335.57</v>
      </c>
      <c r="I189" s="3">
        <v>45348</v>
      </c>
      <c r="J189" s="1" t="s">
        <v>3790</v>
      </c>
      <c r="K189" s="1" t="s">
        <v>3823</v>
      </c>
      <c r="L189" s="1" t="s">
        <v>3784</v>
      </c>
      <c r="M189" s="1" t="s">
        <v>51</v>
      </c>
      <c r="N189" t="str">
        <f t="shared" si="8"/>
        <v>Expense</v>
      </c>
      <c r="O189" t="str">
        <f t="shared" si="9"/>
        <v/>
      </c>
    </row>
    <row r="190" spans="1:15" x14ac:dyDescent="0.25">
      <c r="A190" s="1" t="s">
        <v>4017</v>
      </c>
      <c r="B190" s="1" t="s">
        <v>3787</v>
      </c>
      <c r="C190" s="1" t="s">
        <v>3806</v>
      </c>
      <c r="D190" s="1" t="s">
        <v>3799</v>
      </c>
      <c r="E190">
        <v>108818</v>
      </c>
      <c r="F190">
        <v>96064.58</v>
      </c>
      <c r="G190">
        <f t="shared" si="7"/>
        <v>12753.419999999998</v>
      </c>
      <c r="H190">
        <v>12753.42</v>
      </c>
      <c r="I190" s="3">
        <v>45130</v>
      </c>
      <c r="J190" s="1" t="s">
        <v>3790</v>
      </c>
      <c r="K190" s="1" t="s">
        <v>3791</v>
      </c>
      <c r="L190" s="1" t="s">
        <v>3784</v>
      </c>
      <c r="M190" s="1" t="s">
        <v>51</v>
      </c>
      <c r="N190" t="str">
        <f t="shared" si="8"/>
        <v>Expense</v>
      </c>
      <c r="O190" t="str">
        <f t="shared" si="9"/>
        <v/>
      </c>
    </row>
    <row r="191" spans="1:15" x14ac:dyDescent="0.25">
      <c r="A191" s="1" t="s">
        <v>4018</v>
      </c>
      <c r="B191" s="1" t="s">
        <v>3787</v>
      </c>
      <c r="C191" s="1" t="s">
        <v>3795</v>
      </c>
      <c r="D191" s="1" t="s">
        <v>3813</v>
      </c>
      <c r="E191">
        <v>209841</v>
      </c>
      <c r="F191">
        <v>267667.65000000002</v>
      </c>
      <c r="G191">
        <f t="shared" si="7"/>
        <v>-57826.650000000023</v>
      </c>
      <c r="H191">
        <v>-57826.65</v>
      </c>
      <c r="I191" s="3">
        <v>45566</v>
      </c>
      <c r="J191" s="1" t="s">
        <v>3790</v>
      </c>
      <c r="K191" s="1" t="s">
        <v>3803</v>
      </c>
      <c r="L191" s="1" t="s">
        <v>3800</v>
      </c>
      <c r="M191" s="1" t="s">
        <v>3831</v>
      </c>
      <c r="N191" t="str">
        <f t="shared" si="8"/>
        <v>Expense</v>
      </c>
      <c r="O191" t="str">
        <f t="shared" si="9"/>
        <v/>
      </c>
    </row>
    <row r="192" spans="1:15" x14ac:dyDescent="0.25">
      <c r="A192" s="1" t="s">
        <v>4019</v>
      </c>
      <c r="B192" s="1" t="s">
        <v>3828</v>
      </c>
      <c r="C192" s="1" t="s">
        <v>3858</v>
      </c>
      <c r="D192" s="1" t="s">
        <v>3813</v>
      </c>
      <c r="E192">
        <v>403040</v>
      </c>
      <c r="F192">
        <v>409228.69</v>
      </c>
      <c r="G192">
        <f t="shared" si="7"/>
        <v>-6188.6900000000023</v>
      </c>
      <c r="H192">
        <v>-6188.69</v>
      </c>
      <c r="I192" s="3">
        <v>45018</v>
      </c>
      <c r="J192" s="1" t="s">
        <v>3790</v>
      </c>
      <c r="K192" s="1" t="s">
        <v>3783</v>
      </c>
      <c r="L192" s="1" t="s">
        <v>3784</v>
      </c>
      <c r="M192" s="1" t="s">
        <v>51</v>
      </c>
      <c r="N192" t="str">
        <f t="shared" si="8"/>
        <v>Expense</v>
      </c>
      <c r="O192" t="str">
        <f t="shared" si="9"/>
        <v/>
      </c>
    </row>
    <row r="193" spans="1:15" x14ac:dyDescent="0.25">
      <c r="A193" s="1" t="s">
        <v>4020</v>
      </c>
      <c r="B193" s="1" t="s">
        <v>3794</v>
      </c>
      <c r="C193" s="1" t="s">
        <v>3858</v>
      </c>
      <c r="D193" s="1" t="s">
        <v>3789</v>
      </c>
      <c r="E193">
        <v>391100</v>
      </c>
      <c r="F193">
        <v>435730.43</v>
      </c>
      <c r="G193">
        <f t="shared" si="7"/>
        <v>-44630.429999999993</v>
      </c>
      <c r="H193">
        <v>-44630.43</v>
      </c>
      <c r="I193" s="3">
        <v>45659</v>
      </c>
      <c r="J193" s="1" t="s">
        <v>3782</v>
      </c>
      <c r="K193" s="1" t="s">
        <v>3823</v>
      </c>
      <c r="L193" s="1" t="s">
        <v>3800</v>
      </c>
      <c r="M193" s="1" t="s">
        <v>3809</v>
      </c>
      <c r="N193" t="str">
        <f t="shared" si="8"/>
        <v>Expense</v>
      </c>
      <c r="O193" t="str">
        <f t="shared" si="9"/>
        <v>Flag: High-Value Pending</v>
      </c>
    </row>
    <row r="194" spans="1:15" x14ac:dyDescent="0.25">
      <c r="A194" s="1" t="s">
        <v>4021</v>
      </c>
      <c r="B194" s="1" t="s">
        <v>3798</v>
      </c>
      <c r="C194" s="1" t="s">
        <v>3848</v>
      </c>
      <c r="D194" s="1" t="s">
        <v>3837</v>
      </c>
      <c r="E194">
        <v>218566</v>
      </c>
      <c r="F194">
        <v>184113.08</v>
      </c>
      <c r="G194">
        <f t="shared" ref="G194:G257" si="10">IF(F194="","",E194-F194)</f>
        <v>34452.920000000013</v>
      </c>
      <c r="H194">
        <v>34452.92</v>
      </c>
      <c r="I194" s="3">
        <v>45441</v>
      </c>
      <c r="J194" s="1" t="s">
        <v>3782</v>
      </c>
      <c r="K194" s="1" t="s">
        <v>3791</v>
      </c>
      <c r="L194" s="1" t="s">
        <v>3800</v>
      </c>
      <c r="M194" s="1" t="s">
        <v>3817</v>
      </c>
      <c r="N194" t="str">
        <f t="shared" si="8"/>
        <v>Expense</v>
      </c>
      <c r="O194" t="str">
        <f t="shared" si="9"/>
        <v>Flag: High-Value Pending</v>
      </c>
    </row>
    <row r="195" spans="1:15" x14ac:dyDescent="0.25">
      <c r="A195" s="1" t="s">
        <v>4022</v>
      </c>
      <c r="B195" s="1" t="s">
        <v>3787</v>
      </c>
      <c r="C195" s="1" t="s">
        <v>3861</v>
      </c>
      <c r="D195" s="1" t="s">
        <v>3781</v>
      </c>
      <c r="E195">
        <v>256504</v>
      </c>
      <c r="F195">
        <v>211732.84</v>
      </c>
      <c r="G195">
        <f t="shared" si="10"/>
        <v>44771.16</v>
      </c>
      <c r="H195">
        <v>44771.16</v>
      </c>
      <c r="I195" s="3">
        <v>45398</v>
      </c>
      <c r="J195" s="1" t="s">
        <v>3790</v>
      </c>
      <c r="K195" s="1" t="s">
        <v>3803</v>
      </c>
      <c r="L195" s="1" t="s">
        <v>3800</v>
      </c>
      <c r="M195" s="1" t="s">
        <v>3831</v>
      </c>
      <c r="N195" t="str">
        <f t="shared" ref="N195:N258" si="11">IF(E195&lt;0,"Credit/Refund","Expense")</f>
        <v>Expense</v>
      </c>
      <c r="O195" t="str">
        <f t="shared" ref="O195:O258" si="12">IF(AND(OR(J195="Pending",J195="Rejected"),E195&gt;200000),"Flag: High-Value "&amp;J195,"")</f>
        <v/>
      </c>
    </row>
    <row r="196" spans="1:15" x14ac:dyDescent="0.25">
      <c r="A196" s="1" t="s">
        <v>4023</v>
      </c>
      <c r="B196" s="1" t="s">
        <v>3808</v>
      </c>
      <c r="C196" s="1" t="s">
        <v>3806</v>
      </c>
      <c r="D196" s="1" t="s">
        <v>3816</v>
      </c>
      <c r="E196">
        <v>62023</v>
      </c>
      <c r="F196">
        <v>63121.35</v>
      </c>
      <c r="G196">
        <f t="shared" si="10"/>
        <v>-1098.3499999999985</v>
      </c>
      <c r="H196">
        <v>-1098.3499999999999</v>
      </c>
      <c r="I196" s="3">
        <v>45616</v>
      </c>
      <c r="J196" s="1" t="s">
        <v>3782</v>
      </c>
      <c r="K196" s="1" t="s">
        <v>3823</v>
      </c>
      <c r="L196" s="1" t="s">
        <v>3800</v>
      </c>
      <c r="M196" s="1" t="s">
        <v>51</v>
      </c>
      <c r="N196" t="str">
        <f t="shared" si="11"/>
        <v>Expense</v>
      </c>
      <c r="O196" t="str">
        <f t="shared" si="12"/>
        <v/>
      </c>
    </row>
    <row r="197" spans="1:15" x14ac:dyDescent="0.25">
      <c r="A197" s="1" t="s">
        <v>4024</v>
      </c>
      <c r="B197" s="1" t="s">
        <v>3794</v>
      </c>
      <c r="C197" s="1" t="s">
        <v>3795</v>
      </c>
      <c r="D197" s="1" t="s">
        <v>3834</v>
      </c>
      <c r="E197">
        <v>402315</v>
      </c>
      <c r="F197">
        <v>503453.96</v>
      </c>
      <c r="G197">
        <f t="shared" si="10"/>
        <v>-101138.96000000002</v>
      </c>
      <c r="H197">
        <v>-101138.96</v>
      </c>
      <c r="I197" s="3">
        <v>45003</v>
      </c>
      <c r="J197" s="1" t="s">
        <v>3790</v>
      </c>
      <c r="K197" s="1" t="s">
        <v>3783</v>
      </c>
      <c r="L197" s="1" t="s">
        <v>3804</v>
      </c>
      <c r="M197" s="1" t="s">
        <v>51</v>
      </c>
      <c r="N197" t="str">
        <f t="shared" si="11"/>
        <v>Expense</v>
      </c>
      <c r="O197" t="str">
        <f t="shared" si="12"/>
        <v/>
      </c>
    </row>
    <row r="198" spans="1:15" x14ac:dyDescent="0.25">
      <c r="A198" s="1" t="s">
        <v>4025</v>
      </c>
      <c r="B198" s="1" t="s">
        <v>3808</v>
      </c>
      <c r="C198" s="1" t="s">
        <v>3858</v>
      </c>
      <c r="D198" s="1" t="s">
        <v>3846</v>
      </c>
      <c r="E198">
        <v>190234</v>
      </c>
      <c r="F198">
        <v>195022.49</v>
      </c>
      <c r="G198">
        <f t="shared" si="10"/>
        <v>-4788.4899999999907</v>
      </c>
      <c r="H198">
        <v>-4788.49</v>
      </c>
      <c r="I198" s="3">
        <v>45323</v>
      </c>
      <c r="J198" s="1" t="s">
        <v>3790</v>
      </c>
      <c r="K198" s="1" t="s">
        <v>3783</v>
      </c>
      <c r="L198" s="1" t="s">
        <v>3784</v>
      </c>
      <c r="M198" s="1" t="s">
        <v>3831</v>
      </c>
      <c r="N198" t="str">
        <f t="shared" si="11"/>
        <v>Expense</v>
      </c>
      <c r="O198" t="str">
        <f t="shared" si="12"/>
        <v/>
      </c>
    </row>
    <row r="199" spans="1:15" x14ac:dyDescent="0.25">
      <c r="A199" s="1" t="s">
        <v>4026</v>
      </c>
      <c r="B199" s="1" t="s">
        <v>3811</v>
      </c>
      <c r="C199" s="1" t="s">
        <v>3821</v>
      </c>
      <c r="D199" s="1" t="s">
        <v>3834</v>
      </c>
      <c r="E199">
        <v>430666</v>
      </c>
      <c r="F199">
        <v>491719.94</v>
      </c>
      <c r="G199">
        <f t="shared" si="10"/>
        <v>-61053.94</v>
      </c>
      <c r="H199">
        <v>-61053.94</v>
      </c>
      <c r="I199" s="3">
        <v>45125</v>
      </c>
      <c r="J199" s="1" t="s">
        <v>3790</v>
      </c>
      <c r="K199" s="1" t="s">
        <v>3791</v>
      </c>
      <c r="L199" s="1" t="s">
        <v>3784</v>
      </c>
      <c r="M199" s="1" t="s">
        <v>3792</v>
      </c>
      <c r="N199" t="str">
        <f t="shared" si="11"/>
        <v>Expense</v>
      </c>
      <c r="O199" t="str">
        <f t="shared" si="12"/>
        <v/>
      </c>
    </row>
    <row r="200" spans="1:15" x14ac:dyDescent="0.25">
      <c r="A200" s="1" t="s">
        <v>4027</v>
      </c>
      <c r="B200" s="1" t="s">
        <v>3798</v>
      </c>
      <c r="C200" s="1" t="s">
        <v>3806</v>
      </c>
      <c r="D200" s="1" t="s">
        <v>3796</v>
      </c>
      <c r="E200">
        <v>426807</v>
      </c>
      <c r="F200">
        <v>517878.65</v>
      </c>
      <c r="G200">
        <f t="shared" si="10"/>
        <v>-91071.650000000023</v>
      </c>
      <c r="H200">
        <v>-91071.65</v>
      </c>
      <c r="I200" s="3">
        <v>45082</v>
      </c>
      <c r="J200" s="1" t="s">
        <v>3790</v>
      </c>
      <c r="K200" s="1" t="s">
        <v>3823</v>
      </c>
      <c r="L200" s="1" t="s">
        <v>3784</v>
      </c>
      <c r="M200" s="1" t="s">
        <v>3792</v>
      </c>
      <c r="N200" t="str">
        <f t="shared" si="11"/>
        <v>Expense</v>
      </c>
      <c r="O200" t="str">
        <f t="shared" si="12"/>
        <v/>
      </c>
    </row>
    <row r="201" spans="1:15" x14ac:dyDescent="0.25">
      <c r="A201" s="1" t="s">
        <v>4028</v>
      </c>
      <c r="B201" s="1" t="s">
        <v>3808</v>
      </c>
      <c r="C201" s="1" t="s">
        <v>3812</v>
      </c>
      <c r="D201" s="1" t="s">
        <v>3837</v>
      </c>
      <c r="E201">
        <v>81607</v>
      </c>
      <c r="F201">
        <v>88342.07</v>
      </c>
      <c r="G201">
        <f t="shared" si="10"/>
        <v>-6735.070000000007</v>
      </c>
      <c r="H201">
        <v>-6735.07</v>
      </c>
      <c r="I201" s="3">
        <v>45152</v>
      </c>
      <c r="J201" s="1" t="s">
        <v>3790</v>
      </c>
      <c r="K201" s="1" t="s">
        <v>3791</v>
      </c>
      <c r="L201" s="1" t="s">
        <v>3784</v>
      </c>
      <c r="M201" s="1" t="s">
        <v>3792</v>
      </c>
      <c r="N201" t="str">
        <f t="shared" si="11"/>
        <v>Expense</v>
      </c>
      <c r="O201" t="str">
        <f t="shared" si="12"/>
        <v/>
      </c>
    </row>
    <row r="202" spans="1:15" x14ac:dyDescent="0.25">
      <c r="A202" s="1" t="s">
        <v>4029</v>
      </c>
      <c r="B202" s="1" t="s">
        <v>3808</v>
      </c>
      <c r="C202" s="1" t="s">
        <v>3795</v>
      </c>
      <c r="D202" s="1" t="s">
        <v>3822</v>
      </c>
      <c r="E202">
        <v>-1506386</v>
      </c>
      <c r="F202">
        <v>1551861.49</v>
      </c>
      <c r="G202">
        <f t="shared" si="10"/>
        <v>-3058247.49</v>
      </c>
      <c r="H202">
        <v>-45475.49</v>
      </c>
      <c r="I202" s="3">
        <v>45704</v>
      </c>
      <c r="J202" s="1" t="s">
        <v>3782</v>
      </c>
      <c r="K202" s="1" t="s">
        <v>3803</v>
      </c>
      <c r="L202" s="1" t="s">
        <v>3800</v>
      </c>
      <c r="M202" s="1" t="s">
        <v>3831</v>
      </c>
      <c r="N202" t="str">
        <f t="shared" si="11"/>
        <v>Credit/Refund</v>
      </c>
      <c r="O202" t="str">
        <f t="shared" si="12"/>
        <v/>
      </c>
    </row>
    <row r="203" spans="1:15" x14ac:dyDescent="0.25">
      <c r="A203" s="1" t="s">
        <v>4030</v>
      </c>
      <c r="B203" s="1" t="s">
        <v>3839</v>
      </c>
      <c r="C203" s="1" t="s">
        <v>3844</v>
      </c>
      <c r="D203" s="1" t="s">
        <v>3837</v>
      </c>
      <c r="E203">
        <v>163855</v>
      </c>
      <c r="F203">
        <v>132397.54</v>
      </c>
      <c r="G203">
        <f t="shared" si="10"/>
        <v>31457.459999999992</v>
      </c>
      <c r="H203">
        <v>31457.46</v>
      </c>
      <c r="I203" s="3">
        <v>45487</v>
      </c>
      <c r="J203" s="1" t="s">
        <v>3790</v>
      </c>
      <c r="K203" s="1" t="s">
        <v>3803</v>
      </c>
      <c r="L203" s="1" t="s">
        <v>3800</v>
      </c>
      <c r="M203" s="1" t="s">
        <v>51</v>
      </c>
      <c r="N203" t="str">
        <f t="shared" si="11"/>
        <v>Expense</v>
      </c>
      <c r="O203" t="str">
        <f t="shared" si="12"/>
        <v/>
      </c>
    </row>
    <row r="204" spans="1:15" x14ac:dyDescent="0.25">
      <c r="A204" s="1" t="s">
        <v>4031</v>
      </c>
      <c r="B204" s="1" t="s">
        <v>3839</v>
      </c>
      <c r="C204" s="1" t="s">
        <v>3780</v>
      </c>
      <c r="D204" s="1" t="s">
        <v>3816</v>
      </c>
      <c r="E204">
        <v>369117</v>
      </c>
      <c r="F204">
        <v>446534.05</v>
      </c>
      <c r="G204">
        <f t="shared" si="10"/>
        <v>-77417.049999999988</v>
      </c>
      <c r="H204">
        <v>-77417.05</v>
      </c>
      <c r="I204" s="3">
        <v>45127</v>
      </c>
      <c r="J204" s="1" t="s">
        <v>3790</v>
      </c>
      <c r="K204" s="1" t="s">
        <v>3823</v>
      </c>
      <c r="L204" s="1" t="s">
        <v>3784</v>
      </c>
      <c r="M204" s="1" t="s">
        <v>3785</v>
      </c>
      <c r="N204" t="str">
        <f t="shared" si="11"/>
        <v>Expense</v>
      </c>
      <c r="O204" t="str">
        <f t="shared" si="12"/>
        <v/>
      </c>
    </row>
    <row r="205" spans="1:15" x14ac:dyDescent="0.25">
      <c r="A205" s="1" t="s">
        <v>4032</v>
      </c>
      <c r="B205" s="1" t="s">
        <v>3798</v>
      </c>
      <c r="C205" s="1" t="s">
        <v>3825</v>
      </c>
      <c r="D205" s="1" t="s">
        <v>3826</v>
      </c>
      <c r="E205">
        <v>7963</v>
      </c>
      <c r="F205">
        <v>7018.02</v>
      </c>
      <c r="G205">
        <f t="shared" si="10"/>
        <v>944.97999999999956</v>
      </c>
      <c r="H205">
        <v>944.98</v>
      </c>
      <c r="I205" s="3">
        <v>44949</v>
      </c>
      <c r="J205" s="1" t="s">
        <v>3790</v>
      </c>
      <c r="K205" s="1" t="s">
        <v>3791</v>
      </c>
      <c r="L205" s="1" t="s">
        <v>3804</v>
      </c>
      <c r="M205" s="1" t="s">
        <v>3831</v>
      </c>
      <c r="N205" t="str">
        <f t="shared" si="11"/>
        <v>Expense</v>
      </c>
      <c r="O205" t="str">
        <f t="shared" si="12"/>
        <v/>
      </c>
    </row>
    <row r="206" spans="1:15" x14ac:dyDescent="0.25">
      <c r="A206" s="1" t="s">
        <v>4033</v>
      </c>
      <c r="B206" s="1" t="s">
        <v>3808</v>
      </c>
      <c r="C206" s="1" t="s">
        <v>3812</v>
      </c>
      <c r="D206" s="1" t="s">
        <v>3855</v>
      </c>
      <c r="E206">
        <v>188886</v>
      </c>
      <c r="F206">
        <v>226410.36</v>
      </c>
      <c r="G206">
        <f t="shared" si="10"/>
        <v>-37524.359999999986</v>
      </c>
      <c r="H206">
        <v>-37524.36</v>
      </c>
      <c r="I206" s="3">
        <v>45024</v>
      </c>
      <c r="J206" s="1" t="s">
        <v>3790</v>
      </c>
      <c r="K206" s="1" t="s">
        <v>3783</v>
      </c>
      <c r="L206" s="1" t="s">
        <v>3784</v>
      </c>
      <c r="M206" s="1" t="s">
        <v>3785</v>
      </c>
      <c r="N206" t="str">
        <f t="shared" si="11"/>
        <v>Expense</v>
      </c>
      <c r="O206" t="str">
        <f t="shared" si="12"/>
        <v/>
      </c>
    </row>
    <row r="207" spans="1:15" x14ac:dyDescent="0.25">
      <c r="A207" s="1" t="s">
        <v>4034</v>
      </c>
      <c r="B207" s="1" t="s">
        <v>3794</v>
      </c>
      <c r="C207" s="1" t="s">
        <v>3812</v>
      </c>
      <c r="D207" s="1" t="s">
        <v>3799</v>
      </c>
      <c r="E207">
        <v>276595</v>
      </c>
      <c r="F207">
        <v>268972.81</v>
      </c>
      <c r="G207">
        <f t="shared" si="10"/>
        <v>7622.1900000000023</v>
      </c>
      <c r="H207">
        <v>7622.19</v>
      </c>
      <c r="I207" s="3">
        <v>45497</v>
      </c>
      <c r="J207" s="1" t="s">
        <v>3790</v>
      </c>
      <c r="K207" s="1" t="s">
        <v>3783</v>
      </c>
      <c r="L207" s="1" t="s">
        <v>3800</v>
      </c>
      <c r="M207" s="1" t="s">
        <v>51</v>
      </c>
      <c r="N207" t="str">
        <f t="shared" si="11"/>
        <v>Expense</v>
      </c>
      <c r="O207" t="str">
        <f t="shared" si="12"/>
        <v/>
      </c>
    </row>
    <row r="208" spans="1:15" x14ac:dyDescent="0.25">
      <c r="A208" s="1" t="s">
        <v>4035</v>
      </c>
      <c r="B208" s="1" t="s">
        <v>3794</v>
      </c>
      <c r="C208" s="1" t="s">
        <v>3795</v>
      </c>
      <c r="D208" s="1" t="s">
        <v>3834</v>
      </c>
      <c r="E208">
        <v>44240</v>
      </c>
      <c r="F208">
        <v>52340.94</v>
      </c>
      <c r="G208">
        <f t="shared" si="10"/>
        <v>-8100.9400000000023</v>
      </c>
      <c r="H208">
        <v>-8100.94</v>
      </c>
      <c r="I208" s="3">
        <v>45056</v>
      </c>
      <c r="J208" s="1" t="s">
        <v>3790</v>
      </c>
      <c r="K208" s="1" t="s">
        <v>3791</v>
      </c>
      <c r="L208" s="1" t="s">
        <v>3784</v>
      </c>
      <c r="M208" s="1" t="s">
        <v>3809</v>
      </c>
      <c r="N208" t="str">
        <f t="shared" si="11"/>
        <v>Expense</v>
      </c>
      <c r="O208" t="str">
        <f t="shared" si="12"/>
        <v/>
      </c>
    </row>
    <row r="209" spans="1:15" x14ac:dyDescent="0.25">
      <c r="A209" s="1" t="s">
        <v>4036</v>
      </c>
      <c r="B209" s="1" t="s">
        <v>3828</v>
      </c>
      <c r="C209" s="1" t="s">
        <v>3780</v>
      </c>
      <c r="D209" s="1" t="s">
        <v>3855</v>
      </c>
      <c r="E209">
        <v>143366</v>
      </c>
      <c r="F209">
        <v>181407.49</v>
      </c>
      <c r="G209">
        <f t="shared" si="10"/>
        <v>-38041.489999999991</v>
      </c>
      <c r="H209">
        <v>-38041.49</v>
      </c>
      <c r="I209" s="3">
        <v>45428</v>
      </c>
      <c r="J209" s="1" t="s">
        <v>3790</v>
      </c>
      <c r="K209" s="1" t="s">
        <v>3791</v>
      </c>
      <c r="L209" s="1" t="s">
        <v>3800</v>
      </c>
      <c r="M209" s="1" t="s">
        <v>3817</v>
      </c>
      <c r="N209" t="str">
        <f t="shared" si="11"/>
        <v>Expense</v>
      </c>
      <c r="O209" t="str">
        <f t="shared" si="12"/>
        <v/>
      </c>
    </row>
    <row r="210" spans="1:15" x14ac:dyDescent="0.25">
      <c r="A210" s="1" t="s">
        <v>4037</v>
      </c>
      <c r="B210" s="1" t="s">
        <v>3828</v>
      </c>
      <c r="C210" s="1" t="s">
        <v>3812</v>
      </c>
      <c r="D210" s="1" t="s">
        <v>3846</v>
      </c>
      <c r="E210">
        <v>258034</v>
      </c>
      <c r="F210">
        <v>224063.19</v>
      </c>
      <c r="G210">
        <f t="shared" si="10"/>
        <v>33970.81</v>
      </c>
      <c r="H210">
        <v>33970.81</v>
      </c>
      <c r="I210" s="3">
        <v>45242</v>
      </c>
      <c r="J210" s="1" t="s">
        <v>3790</v>
      </c>
      <c r="K210" s="1" t="s">
        <v>3823</v>
      </c>
      <c r="L210" s="1" t="s">
        <v>3784</v>
      </c>
      <c r="M210" s="1" t="s">
        <v>3809</v>
      </c>
      <c r="N210" t="str">
        <f t="shared" si="11"/>
        <v>Expense</v>
      </c>
      <c r="O210" t="str">
        <f t="shared" si="12"/>
        <v/>
      </c>
    </row>
    <row r="211" spans="1:15" x14ac:dyDescent="0.25">
      <c r="A211" s="1" t="s">
        <v>4038</v>
      </c>
      <c r="B211" s="1" t="s">
        <v>3811</v>
      </c>
      <c r="C211" s="1" t="s">
        <v>3821</v>
      </c>
      <c r="D211" s="1" t="s">
        <v>3781</v>
      </c>
      <c r="E211">
        <v>281507</v>
      </c>
      <c r="F211">
        <v>318929.33</v>
      </c>
      <c r="G211">
        <f t="shared" si="10"/>
        <v>-37422.330000000016</v>
      </c>
      <c r="H211">
        <v>-37422.33</v>
      </c>
      <c r="I211" s="3">
        <v>45588</v>
      </c>
      <c r="J211" s="1" t="s">
        <v>3790</v>
      </c>
      <c r="K211" s="1" t="s">
        <v>3791</v>
      </c>
      <c r="L211" s="1" t="s">
        <v>3800</v>
      </c>
      <c r="M211" s="1" t="s">
        <v>3809</v>
      </c>
      <c r="N211" t="str">
        <f t="shared" si="11"/>
        <v>Expense</v>
      </c>
      <c r="O211" t="str">
        <f t="shared" si="12"/>
        <v/>
      </c>
    </row>
    <row r="212" spans="1:15" x14ac:dyDescent="0.25">
      <c r="A212" s="1" t="s">
        <v>4039</v>
      </c>
      <c r="B212" s="1" t="s">
        <v>3787</v>
      </c>
      <c r="C212" s="1" t="s">
        <v>3815</v>
      </c>
      <c r="D212" s="1" t="s">
        <v>3799</v>
      </c>
      <c r="E212">
        <v>-39522</v>
      </c>
      <c r="F212">
        <v>49554.94</v>
      </c>
      <c r="G212">
        <f t="shared" si="10"/>
        <v>-89076.94</v>
      </c>
      <c r="H212">
        <v>-10032.94</v>
      </c>
      <c r="I212" s="3">
        <v>45191</v>
      </c>
      <c r="J212" s="1" t="s">
        <v>3790</v>
      </c>
      <c r="K212" s="1" t="s">
        <v>3791</v>
      </c>
      <c r="L212" s="1" t="s">
        <v>3784</v>
      </c>
      <c r="M212" s="1" t="s">
        <v>3785</v>
      </c>
      <c r="N212" t="str">
        <f t="shared" si="11"/>
        <v>Credit/Refund</v>
      </c>
      <c r="O212" t="str">
        <f t="shared" si="12"/>
        <v/>
      </c>
    </row>
    <row r="213" spans="1:15" x14ac:dyDescent="0.25">
      <c r="A213" s="1" t="s">
        <v>4040</v>
      </c>
      <c r="B213" s="1" t="s">
        <v>3787</v>
      </c>
      <c r="C213" s="1" t="s">
        <v>3821</v>
      </c>
      <c r="D213" s="1" t="s">
        <v>3781</v>
      </c>
      <c r="E213">
        <v>331249</v>
      </c>
      <c r="F213">
        <v>422562.5</v>
      </c>
      <c r="G213">
        <f t="shared" si="10"/>
        <v>-91313.5</v>
      </c>
      <c r="I213" s="3">
        <v>45496</v>
      </c>
      <c r="J213" s="1" t="s">
        <v>3790</v>
      </c>
      <c r="K213" s="1" t="s">
        <v>3791</v>
      </c>
      <c r="L213" s="1" t="s">
        <v>3800</v>
      </c>
      <c r="M213" s="1" t="s">
        <v>3831</v>
      </c>
      <c r="N213" t="str">
        <f t="shared" si="11"/>
        <v>Expense</v>
      </c>
      <c r="O213" t="str">
        <f t="shared" si="12"/>
        <v/>
      </c>
    </row>
    <row r="214" spans="1:15" x14ac:dyDescent="0.25">
      <c r="A214" s="1" t="s">
        <v>4041</v>
      </c>
      <c r="B214" s="1" t="s">
        <v>3828</v>
      </c>
      <c r="C214" s="1" t="s">
        <v>3806</v>
      </c>
      <c r="D214" s="1" t="s">
        <v>3813</v>
      </c>
      <c r="E214">
        <v>393018</v>
      </c>
      <c r="F214">
        <v>315468.99</v>
      </c>
      <c r="G214">
        <f t="shared" si="10"/>
        <v>77549.010000000009</v>
      </c>
      <c r="H214">
        <v>77549.009999999995</v>
      </c>
      <c r="I214" s="3">
        <v>45652</v>
      </c>
      <c r="J214" s="1" t="s">
        <v>3859</v>
      </c>
      <c r="K214" s="1" t="s">
        <v>3791</v>
      </c>
      <c r="L214" s="1" t="s">
        <v>3800</v>
      </c>
      <c r="M214" s="1" t="s">
        <v>3792</v>
      </c>
      <c r="N214" t="str">
        <f t="shared" si="11"/>
        <v>Expense</v>
      </c>
      <c r="O214" t="str">
        <f t="shared" si="12"/>
        <v>Flag: High-Value Rejected</v>
      </c>
    </row>
    <row r="215" spans="1:15" x14ac:dyDescent="0.25">
      <c r="A215" s="1" t="s">
        <v>4042</v>
      </c>
      <c r="B215" s="1" t="s">
        <v>3839</v>
      </c>
      <c r="C215" s="1" t="s">
        <v>3844</v>
      </c>
      <c r="D215" s="1" t="s">
        <v>3867</v>
      </c>
      <c r="E215">
        <v>340412</v>
      </c>
      <c r="F215">
        <v>417538.8</v>
      </c>
      <c r="G215">
        <f t="shared" si="10"/>
        <v>-77126.799999999988</v>
      </c>
      <c r="H215">
        <v>-77126.8</v>
      </c>
      <c r="I215" s="3">
        <v>45212</v>
      </c>
      <c r="J215" s="1" t="s">
        <v>3790</v>
      </c>
      <c r="K215" s="1" t="s">
        <v>3783</v>
      </c>
      <c r="L215" s="1" t="s">
        <v>3784</v>
      </c>
      <c r="M215" s="1" t="s">
        <v>51</v>
      </c>
      <c r="N215" t="str">
        <f t="shared" si="11"/>
        <v>Expense</v>
      </c>
      <c r="O215" t="str">
        <f t="shared" si="12"/>
        <v/>
      </c>
    </row>
    <row r="216" spans="1:15" x14ac:dyDescent="0.25">
      <c r="A216" s="1" t="s">
        <v>4043</v>
      </c>
      <c r="B216" s="1" t="s">
        <v>3811</v>
      </c>
      <c r="C216" s="1" t="s">
        <v>3780</v>
      </c>
      <c r="D216" s="1" t="s">
        <v>3802</v>
      </c>
      <c r="E216">
        <v>81882</v>
      </c>
      <c r="F216">
        <v>87003.26</v>
      </c>
      <c r="G216">
        <f t="shared" si="10"/>
        <v>-5121.2599999999948</v>
      </c>
      <c r="H216">
        <v>-5121.26</v>
      </c>
      <c r="I216" s="3">
        <v>45377</v>
      </c>
      <c r="J216" s="1" t="s">
        <v>3782</v>
      </c>
      <c r="K216" s="1" t="s">
        <v>3791</v>
      </c>
      <c r="L216" s="1" t="s">
        <v>3784</v>
      </c>
      <c r="M216" s="1" t="s">
        <v>3792</v>
      </c>
      <c r="N216" t="str">
        <f t="shared" si="11"/>
        <v>Expense</v>
      </c>
      <c r="O216" t="str">
        <f t="shared" si="12"/>
        <v/>
      </c>
    </row>
    <row r="217" spans="1:15" x14ac:dyDescent="0.25">
      <c r="A217" s="1" t="s">
        <v>4044</v>
      </c>
      <c r="B217" s="1" t="s">
        <v>3828</v>
      </c>
      <c r="C217" s="1" t="s">
        <v>3825</v>
      </c>
      <c r="D217" s="1" t="s">
        <v>3822</v>
      </c>
      <c r="E217">
        <v>37534</v>
      </c>
      <c r="F217">
        <v>31854.25</v>
      </c>
      <c r="G217">
        <f t="shared" si="10"/>
        <v>5679.75</v>
      </c>
      <c r="H217">
        <v>5679.75</v>
      </c>
      <c r="I217" s="3">
        <v>45565</v>
      </c>
      <c r="J217" s="1" t="s">
        <v>3790</v>
      </c>
      <c r="K217" s="1" t="s">
        <v>3791</v>
      </c>
      <c r="L217" s="1" t="s">
        <v>3800</v>
      </c>
      <c r="M217" s="1" t="s">
        <v>51</v>
      </c>
      <c r="N217" t="str">
        <f t="shared" si="11"/>
        <v>Expense</v>
      </c>
      <c r="O217" t="str">
        <f t="shared" si="12"/>
        <v/>
      </c>
    </row>
    <row r="218" spans="1:15" x14ac:dyDescent="0.25">
      <c r="A218" s="1" t="s">
        <v>4045</v>
      </c>
      <c r="B218" s="1" t="s">
        <v>3839</v>
      </c>
      <c r="C218" s="1" t="s">
        <v>3825</v>
      </c>
      <c r="D218" s="1" t="s">
        <v>3796</v>
      </c>
      <c r="E218">
        <v>340834</v>
      </c>
      <c r="F218">
        <v>280310.48</v>
      </c>
      <c r="G218">
        <f t="shared" si="10"/>
        <v>60523.520000000019</v>
      </c>
      <c r="H218">
        <v>60523.519999999997</v>
      </c>
      <c r="I218" s="3">
        <v>45234</v>
      </c>
      <c r="J218" s="1" t="s">
        <v>3790</v>
      </c>
      <c r="K218" s="1" t="s">
        <v>3823</v>
      </c>
      <c r="L218" s="1" t="s">
        <v>3784</v>
      </c>
      <c r="M218" s="1" t="s">
        <v>3817</v>
      </c>
      <c r="N218" t="str">
        <f t="shared" si="11"/>
        <v>Expense</v>
      </c>
      <c r="O218" t="str">
        <f t="shared" si="12"/>
        <v/>
      </c>
    </row>
    <row r="219" spans="1:15" x14ac:dyDescent="0.25">
      <c r="A219" s="1" t="s">
        <v>4046</v>
      </c>
      <c r="B219" s="1" t="s">
        <v>3787</v>
      </c>
      <c r="C219" s="1" t="s">
        <v>3858</v>
      </c>
      <c r="D219" s="1" t="s">
        <v>3802</v>
      </c>
      <c r="E219">
        <v>392114</v>
      </c>
      <c r="F219">
        <v>347030.43</v>
      </c>
      <c r="G219">
        <f t="shared" si="10"/>
        <v>45083.570000000007</v>
      </c>
      <c r="H219">
        <v>45083.57</v>
      </c>
      <c r="I219" s="3">
        <v>45111</v>
      </c>
      <c r="J219" s="1" t="s">
        <v>3790</v>
      </c>
      <c r="K219" s="1" t="s">
        <v>3791</v>
      </c>
      <c r="L219" s="1" t="s">
        <v>3784</v>
      </c>
      <c r="M219" s="1" t="s">
        <v>3785</v>
      </c>
      <c r="N219" t="str">
        <f t="shared" si="11"/>
        <v>Expense</v>
      </c>
      <c r="O219" t="str">
        <f t="shared" si="12"/>
        <v/>
      </c>
    </row>
    <row r="220" spans="1:15" x14ac:dyDescent="0.25">
      <c r="A220" s="1" t="s">
        <v>4047</v>
      </c>
      <c r="B220" s="1" t="s">
        <v>3787</v>
      </c>
      <c r="C220" s="1" t="s">
        <v>3858</v>
      </c>
      <c r="D220" s="1" t="s">
        <v>3799</v>
      </c>
      <c r="E220">
        <v>386213</v>
      </c>
      <c r="F220">
        <v>442191.91</v>
      </c>
      <c r="G220">
        <f t="shared" si="10"/>
        <v>-55978.909999999974</v>
      </c>
      <c r="H220">
        <v>-55978.91</v>
      </c>
      <c r="I220" s="3">
        <v>45660</v>
      </c>
      <c r="J220" s="1" t="s">
        <v>3790</v>
      </c>
      <c r="K220" s="1" t="s">
        <v>3783</v>
      </c>
      <c r="L220" s="1" t="s">
        <v>3800</v>
      </c>
      <c r="M220" s="1" t="s">
        <v>51</v>
      </c>
      <c r="N220" t="str">
        <f t="shared" si="11"/>
        <v>Expense</v>
      </c>
      <c r="O220" t="str">
        <f t="shared" si="12"/>
        <v/>
      </c>
    </row>
    <row r="221" spans="1:15" x14ac:dyDescent="0.25">
      <c r="A221" s="1" t="s">
        <v>4048</v>
      </c>
      <c r="B221" s="1" t="s">
        <v>3828</v>
      </c>
      <c r="C221" s="1" t="s">
        <v>3795</v>
      </c>
      <c r="D221" s="1" t="s">
        <v>3834</v>
      </c>
      <c r="E221">
        <v>27258</v>
      </c>
      <c r="F221">
        <v>33695.97</v>
      </c>
      <c r="G221">
        <f t="shared" si="10"/>
        <v>-6437.9700000000012</v>
      </c>
      <c r="H221">
        <v>-6437.97</v>
      </c>
      <c r="I221" s="3">
        <v>45662</v>
      </c>
      <c r="J221" s="1" t="s">
        <v>3790</v>
      </c>
      <c r="K221" s="1" t="s">
        <v>3791</v>
      </c>
      <c r="L221" s="1" t="s">
        <v>3800</v>
      </c>
      <c r="M221" s="1" t="s">
        <v>3809</v>
      </c>
      <c r="N221" t="str">
        <f t="shared" si="11"/>
        <v>Expense</v>
      </c>
      <c r="O221" t="str">
        <f t="shared" si="12"/>
        <v/>
      </c>
    </row>
    <row r="222" spans="1:15" x14ac:dyDescent="0.25">
      <c r="A222" s="1" t="s">
        <v>4049</v>
      </c>
      <c r="B222" s="1" t="s">
        <v>3808</v>
      </c>
      <c r="C222" s="1" t="s">
        <v>3806</v>
      </c>
      <c r="D222" s="1" t="s">
        <v>3834</v>
      </c>
      <c r="E222">
        <v>-248623</v>
      </c>
      <c r="G222" t="str">
        <f t="shared" si="10"/>
        <v/>
      </c>
      <c r="H222">
        <v>16498.91</v>
      </c>
      <c r="I222" s="3">
        <v>45460</v>
      </c>
      <c r="J222" s="1" t="s">
        <v>3782</v>
      </c>
      <c r="K222" s="1" t="s">
        <v>3823</v>
      </c>
      <c r="L222" s="1" t="s">
        <v>3800</v>
      </c>
      <c r="M222" s="1" t="s">
        <v>51</v>
      </c>
      <c r="N222" t="str">
        <f t="shared" si="11"/>
        <v>Credit/Refund</v>
      </c>
      <c r="O222" t="str">
        <f t="shared" si="12"/>
        <v/>
      </c>
    </row>
    <row r="223" spans="1:15" x14ac:dyDescent="0.25">
      <c r="A223" s="1" t="s">
        <v>4050</v>
      </c>
      <c r="B223" s="1" t="s">
        <v>3828</v>
      </c>
      <c r="C223" s="1" t="s">
        <v>3780</v>
      </c>
      <c r="D223" s="1" t="s">
        <v>3816</v>
      </c>
      <c r="E223">
        <v>234765</v>
      </c>
      <c r="F223">
        <v>294259</v>
      </c>
      <c r="G223">
        <f t="shared" si="10"/>
        <v>-59494</v>
      </c>
      <c r="H223">
        <v>-59494</v>
      </c>
      <c r="I223" s="3">
        <v>45208</v>
      </c>
      <c r="J223" s="1" t="s">
        <v>3790</v>
      </c>
      <c r="K223" s="1" t="s">
        <v>3791</v>
      </c>
      <c r="L223" s="1" t="s">
        <v>3784</v>
      </c>
      <c r="M223" s="1" t="s">
        <v>51</v>
      </c>
      <c r="N223" t="str">
        <f t="shared" si="11"/>
        <v>Expense</v>
      </c>
      <c r="O223" t="str">
        <f t="shared" si="12"/>
        <v/>
      </c>
    </row>
    <row r="224" spans="1:15" x14ac:dyDescent="0.25">
      <c r="A224" s="1" t="s">
        <v>4051</v>
      </c>
      <c r="B224" s="1" t="s">
        <v>3811</v>
      </c>
      <c r="C224" s="1" t="s">
        <v>3815</v>
      </c>
      <c r="D224" s="1" t="s">
        <v>3813</v>
      </c>
      <c r="E224">
        <v>5961</v>
      </c>
      <c r="F224">
        <v>7373.15</v>
      </c>
      <c r="G224">
        <f t="shared" si="10"/>
        <v>-1412.1499999999996</v>
      </c>
      <c r="H224">
        <v>-1412.15</v>
      </c>
      <c r="I224" s="3">
        <v>45354</v>
      </c>
      <c r="J224" s="1" t="s">
        <v>3790</v>
      </c>
      <c r="K224" s="1" t="s">
        <v>3803</v>
      </c>
      <c r="L224" s="1" t="s">
        <v>3784</v>
      </c>
      <c r="M224" s="1" t="s">
        <v>3809</v>
      </c>
      <c r="N224" t="str">
        <f t="shared" si="11"/>
        <v>Expense</v>
      </c>
      <c r="O224" t="str">
        <f t="shared" si="12"/>
        <v/>
      </c>
    </row>
    <row r="225" spans="1:15" x14ac:dyDescent="0.25">
      <c r="A225" s="1" t="s">
        <v>4052</v>
      </c>
      <c r="B225" s="1" t="s">
        <v>3787</v>
      </c>
      <c r="C225" s="1" t="s">
        <v>3848</v>
      </c>
      <c r="D225" s="1" t="s">
        <v>3846</v>
      </c>
      <c r="E225">
        <v>18083</v>
      </c>
      <c r="F225">
        <v>22154.68</v>
      </c>
      <c r="G225">
        <f t="shared" si="10"/>
        <v>-4071.6800000000003</v>
      </c>
      <c r="H225">
        <v>-4071.68</v>
      </c>
      <c r="I225" s="3">
        <v>44965</v>
      </c>
      <c r="J225" s="1" t="s">
        <v>3790</v>
      </c>
      <c r="K225" s="1" t="s">
        <v>3791</v>
      </c>
      <c r="L225" s="1" t="s">
        <v>3804</v>
      </c>
      <c r="M225" s="1" t="s">
        <v>3785</v>
      </c>
      <c r="N225" t="str">
        <f t="shared" si="11"/>
        <v>Expense</v>
      </c>
      <c r="O225" t="str">
        <f t="shared" si="12"/>
        <v/>
      </c>
    </row>
    <row r="226" spans="1:15" x14ac:dyDescent="0.25">
      <c r="A226" s="1" t="s">
        <v>4053</v>
      </c>
      <c r="B226" s="1" t="s">
        <v>3808</v>
      </c>
      <c r="C226" s="1" t="s">
        <v>3848</v>
      </c>
      <c r="D226" s="1" t="s">
        <v>3822</v>
      </c>
      <c r="E226">
        <v>4846353</v>
      </c>
      <c r="F226">
        <v>6043271.75</v>
      </c>
      <c r="G226">
        <f t="shared" si="10"/>
        <v>-1196918.75</v>
      </c>
      <c r="H226">
        <v>-1196918.75</v>
      </c>
      <c r="I226" s="3">
        <v>45105</v>
      </c>
      <c r="J226" s="1" t="s">
        <v>3782</v>
      </c>
      <c r="K226" s="1" t="s">
        <v>3783</v>
      </c>
      <c r="L226" s="1" t="s">
        <v>3784</v>
      </c>
      <c r="M226" s="1" t="s">
        <v>3785</v>
      </c>
      <c r="N226" t="str">
        <f t="shared" si="11"/>
        <v>Expense</v>
      </c>
      <c r="O226" t="str">
        <f t="shared" si="12"/>
        <v>Flag: High-Value Pending</v>
      </c>
    </row>
    <row r="227" spans="1:15" x14ac:dyDescent="0.25">
      <c r="A227" s="1" t="s">
        <v>4054</v>
      </c>
      <c r="B227" s="1" t="s">
        <v>3798</v>
      </c>
      <c r="C227" s="1" t="s">
        <v>3812</v>
      </c>
      <c r="D227" s="1" t="s">
        <v>3822</v>
      </c>
      <c r="E227">
        <v>223641</v>
      </c>
      <c r="F227">
        <v>216619.3</v>
      </c>
      <c r="G227">
        <f t="shared" si="10"/>
        <v>7021.7000000000116</v>
      </c>
      <c r="H227">
        <v>7021.7</v>
      </c>
      <c r="I227" s="3">
        <v>45397</v>
      </c>
      <c r="J227" s="1" t="s">
        <v>3790</v>
      </c>
      <c r="K227" s="1" t="s">
        <v>3803</v>
      </c>
      <c r="L227" s="1" t="s">
        <v>3800</v>
      </c>
      <c r="M227" s="1" t="s">
        <v>51</v>
      </c>
      <c r="N227" t="str">
        <f t="shared" si="11"/>
        <v>Expense</v>
      </c>
      <c r="O227" t="str">
        <f t="shared" si="12"/>
        <v/>
      </c>
    </row>
    <row r="228" spans="1:15" x14ac:dyDescent="0.25">
      <c r="A228" s="1" t="s">
        <v>4055</v>
      </c>
      <c r="B228" s="1" t="s">
        <v>3808</v>
      </c>
      <c r="C228" s="1" t="s">
        <v>3821</v>
      </c>
      <c r="D228" s="1" t="s">
        <v>3802</v>
      </c>
      <c r="E228">
        <v>2943906</v>
      </c>
      <c r="F228">
        <v>2847629.21</v>
      </c>
      <c r="G228">
        <f t="shared" si="10"/>
        <v>96276.790000000037</v>
      </c>
      <c r="I228" s="3">
        <v>45726</v>
      </c>
      <c r="J228" s="1" t="s">
        <v>3790</v>
      </c>
      <c r="K228" s="1" t="s">
        <v>3823</v>
      </c>
      <c r="L228" s="1" t="s">
        <v>3800</v>
      </c>
      <c r="M228" s="1" t="s">
        <v>51</v>
      </c>
      <c r="N228" t="str">
        <f t="shared" si="11"/>
        <v>Expense</v>
      </c>
      <c r="O228" t="str">
        <f t="shared" si="12"/>
        <v/>
      </c>
    </row>
    <row r="229" spans="1:15" x14ac:dyDescent="0.25">
      <c r="A229" s="1" t="s">
        <v>4056</v>
      </c>
      <c r="B229" s="1" t="s">
        <v>3794</v>
      </c>
      <c r="C229" s="1" t="s">
        <v>3848</v>
      </c>
      <c r="D229" s="1" t="s">
        <v>3813</v>
      </c>
      <c r="E229">
        <v>31886</v>
      </c>
      <c r="F229">
        <v>37984.400000000001</v>
      </c>
      <c r="G229">
        <f t="shared" si="10"/>
        <v>-6098.4000000000015</v>
      </c>
      <c r="H229">
        <v>-6098.4</v>
      </c>
      <c r="I229" s="3">
        <v>45456</v>
      </c>
      <c r="J229" s="1" t="s">
        <v>3790</v>
      </c>
      <c r="K229" s="1" t="s">
        <v>3803</v>
      </c>
      <c r="L229" s="1" t="s">
        <v>3800</v>
      </c>
      <c r="M229" s="1" t="s">
        <v>3792</v>
      </c>
      <c r="N229" t="str">
        <f t="shared" si="11"/>
        <v>Expense</v>
      </c>
      <c r="O229" t="str">
        <f t="shared" si="12"/>
        <v/>
      </c>
    </row>
    <row r="230" spans="1:15" x14ac:dyDescent="0.25">
      <c r="A230" s="1" t="s">
        <v>4057</v>
      </c>
      <c r="B230" s="1" t="s">
        <v>3798</v>
      </c>
      <c r="C230" s="1" t="s">
        <v>3825</v>
      </c>
      <c r="D230" s="1" t="s">
        <v>3802</v>
      </c>
      <c r="E230">
        <v>110565</v>
      </c>
      <c r="F230">
        <v>101797.79</v>
      </c>
      <c r="G230">
        <f t="shared" si="10"/>
        <v>8767.2100000000064</v>
      </c>
      <c r="H230">
        <v>8767.2099999999991</v>
      </c>
      <c r="I230" s="3">
        <v>45192</v>
      </c>
      <c r="J230" s="1" t="s">
        <v>3782</v>
      </c>
      <c r="K230" s="1" t="s">
        <v>3803</v>
      </c>
      <c r="L230" s="1" t="s">
        <v>3784</v>
      </c>
      <c r="M230" s="1" t="s">
        <v>51</v>
      </c>
      <c r="N230" t="str">
        <f t="shared" si="11"/>
        <v>Expense</v>
      </c>
      <c r="O230" t="str">
        <f t="shared" si="12"/>
        <v/>
      </c>
    </row>
    <row r="231" spans="1:15" x14ac:dyDescent="0.25">
      <c r="A231" s="1" t="s">
        <v>4058</v>
      </c>
      <c r="B231" s="1" t="s">
        <v>3808</v>
      </c>
      <c r="C231" s="1" t="s">
        <v>3858</v>
      </c>
      <c r="D231" s="1" t="s">
        <v>3822</v>
      </c>
      <c r="E231">
        <v>288172</v>
      </c>
      <c r="F231">
        <v>300418.28999999998</v>
      </c>
      <c r="G231">
        <f t="shared" si="10"/>
        <v>-12246.289999999979</v>
      </c>
      <c r="H231">
        <v>-12246.29</v>
      </c>
      <c r="I231" s="3">
        <v>45451</v>
      </c>
      <c r="J231" s="1" t="s">
        <v>3859</v>
      </c>
      <c r="K231" s="1" t="s">
        <v>3783</v>
      </c>
      <c r="L231" s="1" t="s">
        <v>3800</v>
      </c>
      <c r="M231" s="1" t="s">
        <v>51</v>
      </c>
      <c r="N231" t="str">
        <f t="shared" si="11"/>
        <v>Expense</v>
      </c>
      <c r="O231" t="str">
        <f t="shared" si="12"/>
        <v>Flag: High-Value Rejected</v>
      </c>
    </row>
    <row r="232" spans="1:15" x14ac:dyDescent="0.25">
      <c r="A232" s="1" t="s">
        <v>4059</v>
      </c>
      <c r="B232" s="1" t="s">
        <v>3798</v>
      </c>
      <c r="C232" s="1" t="s">
        <v>3780</v>
      </c>
      <c r="D232" s="1" t="s">
        <v>3781</v>
      </c>
      <c r="E232">
        <v>223300</v>
      </c>
      <c r="F232">
        <v>227664.62</v>
      </c>
      <c r="G232">
        <f t="shared" si="10"/>
        <v>-4364.6199999999953</v>
      </c>
      <c r="H232">
        <v>-4364.62</v>
      </c>
      <c r="I232" s="3">
        <v>45728</v>
      </c>
      <c r="J232" s="1" t="s">
        <v>3782</v>
      </c>
      <c r="K232" s="1" t="s">
        <v>3783</v>
      </c>
      <c r="L232" s="1" t="s">
        <v>3800</v>
      </c>
      <c r="M232" s="1" t="s">
        <v>3831</v>
      </c>
      <c r="N232" t="str">
        <f t="shared" si="11"/>
        <v>Expense</v>
      </c>
      <c r="O232" t="str">
        <f t="shared" si="12"/>
        <v>Flag: High-Value Pending</v>
      </c>
    </row>
    <row r="233" spans="1:15" x14ac:dyDescent="0.25">
      <c r="A233" s="1" t="s">
        <v>4060</v>
      </c>
      <c r="B233" s="1" t="s">
        <v>3794</v>
      </c>
      <c r="C233" s="1" t="s">
        <v>3821</v>
      </c>
      <c r="D233" s="1" t="s">
        <v>3834</v>
      </c>
      <c r="E233">
        <v>275337</v>
      </c>
      <c r="F233">
        <v>306563.01</v>
      </c>
      <c r="G233">
        <f t="shared" si="10"/>
        <v>-31226.010000000009</v>
      </c>
      <c r="H233">
        <v>-31226.01</v>
      </c>
      <c r="I233" s="3">
        <v>45680</v>
      </c>
      <c r="J233" s="1" t="s">
        <v>3782</v>
      </c>
      <c r="K233" s="1" t="s">
        <v>3823</v>
      </c>
      <c r="L233" s="1" t="s">
        <v>3800</v>
      </c>
      <c r="M233" s="1" t="s">
        <v>51</v>
      </c>
      <c r="N233" t="str">
        <f t="shared" si="11"/>
        <v>Expense</v>
      </c>
      <c r="O233" t="str">
        <f t="shared" si="12"/>
        <v>Flag: High-Value Pending</v>
      </c>
    </row>
    <row r="234" spans="1:15" x14ac:dyDescent="0.25">
      <c r="A234" s="1" t="s">
        <v>4061</v>
      </c>
      <c r="B234" s="1" t="s">
        <v>3794</v>
      </c>
      <c r="C234" s="1" t="s">
        <v>3815</v>
      </c>
      <c r="D234" s="1" t="s">
        <v>3796</v>
      </c>
      <c r="E234">
        <v>142075</v>
      </c>
      <c r="F234">
        <v>149959.41</v>
      </c>
      <c r="G234">
        <f t="shared" si="10"/>
        <v>-7884.4100000000035</v>
      </c>
      <c r="H234">
        <v>-7884.41</v>
      </c>
      <c r="I234" s="3">
        <v>45165</v>
      </c>
      <c r="J234" s="1" t="s">
        <v>3790</v>
      </c>
      <c r="K234" s="1" t="s">
        <v>3803</v>
      </c>
      <c r="L234" s="1" t="s">
        <v>3784</v>
      </c>
      <c r="M234" s="1" t="s">
        <v>3785</v>
      </c>
      <c r="N234" t="str">
        <f t="shared" si="11"/>
        <v>Expense</v>
      </c>
      <c r="O234" t="str">
        <f t="shared" si="12"/>
        <v/>
      </c>
    </row>
    <row r="235" spans="1:15" x14ac:dyDescent="0.25">
      <c r="A235" s="1" t="s">
        <v>4062</v>
      </c>
      <c r="B235" s="1" t="s">
        <v>3811</v>
      </c>
      <c r="C235" s="1" t="s">
        <v>3825</v>
      </c>
      <c r="D235" s="1" t="s">
        <v>3846</v>
      </c>
      <c r="E235">
        <v>7472</v>
      </c>
      <c r="F235">
        <v>6179.9</v>
      </c>
      <c r="G235">
        <f t="shared" si="10"/>
        <v>1292.1000000000004</v>
      </c>
      <c r="H235">
        <v>1292.0999999999999</v>
      </c>
      <c r="I235" s="3">
        <v>44985</v>
      </c>
      <c r="J235" s="1" t="s">
        <v>3790</v>
      </c>
      <c r="K235" s="1" t="s">
        <v>3783</v>
      </c>
      <c r="L235" s="1" t="s">
        <v>3804</v>
      </c>
      <c r="M235" s="1" t="s">
        <v>51</v>
      </c>
      <c r="N235" t="str">
        <f t="shared" si="11"/>
        <v>Expense</v>
      </c>
      <c r="O235" t="str">
        <f t="shared" si="12"/>
        <v/>
      </c>
    </row>
    <row r="236" spans="1:15" x14ac:dyDescent="0.25">
      <c r="A236" s="1" t="s">
        <v>4063</v>
      </c>
      <c r="B236" s="1" t="s">
        <v>3808</v>
      </c>
      <c r="C236" s="1" t="s">
        <v>3795</v>
      </c>
      <c r="D236" s="1" t="s">
        <v>3789</v>
      </c>
      <c r="E236">
        <v>289678</v>
      </c>
      <c r="F236">
        <v>371350.89</v>
      </c>
      <c r="G236">
        <f t="shared" si="10"/>
        <v>-81672.890000000014</v>
      </c>
      <c r="H236">
        <v>-81672.89</v>
      </c>
      <c r="I236" s="3">
        <v>44948</v>
      </c>
      <c r="J236" s="1" t="s">
        <v>3790</v>
      </c>
      <c r="K236" s="1" t="s">
        <v>3823</v>
      </c>
      <c r="L236" s="1" t="s">
        <v>3804</v>
      </c>
      <c r="M236" s="1" t="s">
        <v>3809</v>
      </c>
      <c r="N236" t="str">
        <f t="shared" si="11"/>
        <v>Expense</v>
      </c>
      <c r="O236" t="str">
        <f t="shared" si="12"/>
        <v/>
      </c>
    </row>
    <row r="237" spans="1:15" x14ac:dyDescent="0.25">
      <c r="A237" s="1" t="s">
        <v>4064</v>
      </c>
      <c r="B237" s="1" t="s">
        <v>3839</v>
      </c>
      <c r="C237" s="1" t="s">
        <v>3795</v>
      </c>
      <c r="D237" s="1" t="s">
        <v>3837</v>
      </c>
      <c r="E237">
        <v>54775</v>
      </c>
      <c r="F237">
        <v>66998.53</v>
      </c>
      <c r="G237">
        <f t="shared" si="10"/>
        <v>-12223.529999999999</v>
      </c>
      <c r="H237">
        <v>-12223.53</v>
      </c>
      <c r="I237" s="3">
        <v>45048</v>
      </c>
      <c r="J237" s="1" t="s">
        <v>3790</v>
      </c>
      <c r="K237" s="1" t="s">
        <v>3783</v>
      </c>
      <c r="L237" s="1" t="s">
        <v>3784</v>
      </c>
      <c r="M237" s="1" t="s">
        <v>3817</v>
      </c>
      <c r="N237" t="str">
        <f t="shared" si="11"/>
        <v>Expense</v>
      </c>
      <c r="O237" t="str">
        <f t="shared" si="12"/>
        <v/>
      </c>
    </row>
    <row r="238" spans="1:15" x14ac:dyDescent="0.25">
      <c r="A238" s="1" t="s">
        <v>4065</v>
      </c>
      <c r="B238" s="1" t="s">
        <v>3828</v>
      </c>
      <c r="C238" s="1" t="s">
        <v>3806</v>
      </c>
      <c r="D238" s="1" t="s">
        <v>3796</v>
      </c>
      <c r="E238">
        <v>76843</v>
      </c>
      <c r="F238">
        <v>97279.89</v>
      </c>
      <c r="G238">
        <f t="shared" si="10"/>
        <v>-20436.89</v>
      </c>
      <c r="H238">
        <v>-20436.89</v>
      </c>
      <c r="I238" s="3">
        <v>45063</v>
      </c>
      <c r="J238" s="1" t="s">
        <v>3790</v>
      </c>
      <c r="K238" s="1" t="s">
        <v>3783</v>
      </c>
      <c r="L238" s="1" t="s">
        <v>3784</v>
      </c>
      <c r="M238" s="1" t="s">
        <v>51</v>
      </c>
      <c r="N238" t="str">
        <f t="shared" si="11"/>
        <v>Expense</v>
      </c>
      <c r="O238" t="str">
        <f t="shared" si="12"/>
        <v/>
      </c>
    </row>
    <row r="239" spans="1:15" x14ac:dyDescent="0.25">
      <c r="A239" s="1" t="s">
        <v>4066</v>
      </c>
      <c r="B239" s="1" t="s">
        <v>3811</v>
      </c>
      <c r="C239" s="1" t="s">
        <v>3788</v>
      </c>
      <c r="D239" s="1" t="s">
        <v>3781</v>
      </c>
      <c r="E239">
        <v>357334</v>
      </c>
      <c r="F239">
        <v>307538.07</v>
      </c>
      <c r="G239">
        <f t="shared" si="10"/>
        <v>49795.929999999993</v>
      </c>
      <c r="H239">
        <v>49795.93</v>
      </c>
      <c r="I239" s="3">
        <v>45291</v>
      </c>
      <c r="J239" s="1" t="s">
        <v>3859</v>
      </c>
      <c r="K239" s="1" t="s">
        <v>3783</v>
      </c>
      <c r="L239" s="1" t="s">
        <v>3784</v>
      </c>
      <c r="M239" s="1" t="s">
        <v>3792</v>
      </c>
      <c r="N239" t="str">
        <f t="shared" si="11"/>
        <v>Expense</v>
      </c>
      <c r="O239" t="str">
        <f t="shared" si="12"/>
        <v>Flag: High-Value Rejected</v>
      </c>
    </row>
    <row r="240" spans="1:15" x14ac:dyDescent="0.25">
      <c r="A240" s="1" t="s">
        <v>4067</v>
      </c>
      <c r="B240" s="1" t="s">
        <v>3828</v>
      </c>
      <c r="C240" s="1" t="s">
        <v>3795</v>
      </c>
      <c r="D240" s="1" t="s">
        <v>3813</v>
      </c>
      <c r="E240">
        <v>187885</v>
      </c>
      <c r="F240">
        <v>161463.51999999999</v>
      </c>
      <c r="G240">
        <f t="shared" si="10"/>
        <v>26421.48000000001</v>
      </c>
      <c r="H240">
        <v>26421.48</v>
      </c>
      <c r="I240" s="3">
        <v>45107</v>
      </c>
      <c r="J240" s="1" t="s">
        <v>3782</v>
      </c>
      <c r="K240" s="1" t="s">
        <v>3791</v>
      </c>
      <c r="L240" s="1" t="s">
        <v>3784</v>
      </c>
      <c r="M240" s="1" t="s">
        <v>3817</v>
      </c>
      <c r="N240" t="str">
        <f t="shared" si="11"/>
        <v>Expense</v>
      </c>
      <c r="O240" t="str">
        <f t="shared" si="12"/>
        <v/>
      </c>
    </row>
    <row r="241" spans="1:15" x14ac:dyDescent="0.25">
      <c r="A241" s="1" t="s">
        <v>4068</v>
      </c>
      <c r="B241" s="1" t="s">
        <v>3808</v>
      </c>
      <c r="C241" s="1" t="s">
        <v>3806</v>
      </c>
      <c r="D241" s="1" t="s">
        <v>3781</v>
      </c>
      <c r="E241">
        <v>382790</v>
      </c>
      <c r="F241">
        <v>448577.44</v>
      </c>
      <c r="G241">
        <f t="shared" si="10"/>
        <v>-65787.44</v>
      </c>
      <c r="H241">
        <v>-65787.44</v>
      </c>
      <c r="I241" s="3">
        <v>45303</v>
      </c>
      <c r="J241" s="1" t="s">
        <v>3790</v>
      </c>
      <c r="K241" s="1" t="s">
        <v>3803</v>
      </c>
      <c r="L241" s="1" t="s">
        <v>3784</v>
      </c>
      <c r="M241" s="1" t="s">
        <v>3817</v>
      </c>
      <c r="N241" t="str">
        <f t="shared" si="11"/>
        <v>Expense</v>
      </c>
      <c r="O241" t="str">
        <f t="shared" si="12"/>
        <v/>
      </c>
    </row>
    <row r="242" spans="1:15" x14ac:dyDescent="0.25">
      <c r="A242" s="1" t="s">
        <v>4069</v>
      </c>
      <c r="B242" s="1" t="s">
        <v>3798</v>
      </c>
      <c r="C242" s="1" t="s">
        <v>3821</v>
      </c>
      <c r="D242" s="1" t="s">
        <v>3867</v>
      </c>
      <c r="E242">
        <v>76592</v>
      </c>
      <c r="G242" t="str">
        <f t="shared" si="10"/>
        <v/>
      </c>
      <c r="H242">
        <v>-21705.62</v>
      </c>
      <c r="I242" s="3">
        <v>45315</v>
      </c>
      <c r="J242" s="1" t="s">
        <v>3790</v>
      </c>
      <c r="K242" s="1" t="s">
        <v>3823</v>
      </c>
      <c r="L242" s="1" t="s">
        <v>3784</v>
      </c>
      <c r="M242" s="1" t="s">
        <v>51</v>
      </c>
      <c r="N242" t="str">
        <f t="shared" si="11"/>
        <v>Expense</v>
      </c>
      <c r="O242" t="str">
        <f t="shared" si="12"/>
        <v/>
      </c>
    </row>
    <row r="243" spans="1:15" x14ac:dyDescent="0.25">
      <c r="A243" s="1" t="s">
        <v>4070</v>
      </c>
      <c r="B243" s="1" t="s">
        <v>3811</v>
      </c>
      <c r="C243" s="1" t="s">
        <v>3780</v>
      </c>
      <c r="D243" s="1" t="s">
        <v>3850</v>
      </c>
      <c r="E243">
        <v>172736</v>
      </c>
      <c r="F243">
        <v>212951.33</v>
      </c>
      <c r="G243">
        <f t="shared" si="10"/>
        <v>-40215.329999999987</v>
      </c>
      <c r="H243">
        <v>-40215.33</v>
      </c>
      <c r="I243" s="3">
        <v>45264</v>
      </c>
      <c r="J243" s="1" t="s">
        <v>3790</v>
      </c>
      <c r="K243" s="1" t="s">
        <v>3803</v>
      </c>
      <c r="L243" s="1" t="s">
        <v>3784</v>
      </c>
      <c r="M243" s="1" t="s">
        <v>51</v>
      </c>
      <c r="N243" t="str">
        <f t="shared" si="11"/>
        <v>Expense</v>
      </c>
      <c r="O243" t="str">
        <f t="shared" si="12"/>
        <v/>
      </c>
    </row>
    <row r="244" spans="1:15" x14ac:dyDescent="0.25">
      <c r="A244" s="1" t="s">
        <v>4071</v>
      </c>
      <c r="B244" s="1" t="s">
        <v>3839</v>
      </c>
      <c r="C244" s="1" t="s">
        <v>3788</v>
      </c>
      <c r="D244" s="1" t="s">
        <v>3895</v>
      </c>
      <c r="E244">
        <v>66115</v>
      </c>
      <c r="F244">
        <v>70988.100000000006</v>
      </c>
      <c r="G244">
        <f t="shared" si="10"/>
        <v>-4873.1000000000058</v>
      </c>
      <c r="H244">
        <v>-4873.1000000000004</v>
      </c>
      <c r="I244" s="3">
        <v>45509</v>
      </c>
      <c r="J244" s="1" t="s">
        <v>3782</v>
      </c>
      <c r="K244" s="1" t="s">
        <v>3823</v>
      </c>
      <c r="L244" s="1" t="s">
        <v>3800</v>
      </c>
      <c r="M244" s="1" t="s">
        <v>3785</v>
      </c>
      <c r="N244" t="str">
        <f t="shared" si="11"/>
        <v>Expense</v>
      </c>
      <c r="O244" t="str">
        <f t="shared" si="12"/>
        <v/>
      </c>
    </row>
    <row r="245" spans="1:15" x14ac:dyDescent="0.25">
      <c r="A245" s="1" t="s">
        <v>4072</v>
      </c>
      <c r="B245" s="1" t="s">
        <v>3811</v>
      </c>
      <c r="C245" s="1" t="s">
        <v>3815</v>
      </c>
      <c r="D245" s="1" t="s">
        <v>3799</v>
      </c>
      <c r="E245">
        <v>151632</v>
      </c>
      <c r="F245">
        <v>160166.51999999999</v>
      </c>
      <c r="G245">
        <f t="shared" si="10"/>
        <v>-8534.5199999999895</v>
      </c>
      <c r="H245">
        <v>-8534.52</v>
      </c>
      <c r="I245" s="3">
        <v>45315</v>
      </c>
      <c r="J245" s="1" t="s">
        <v>3790</v>
      </c>
      <c r="K245" s="1" t="s">
        <v>3791</v>
      </c>
      <c r="L245" s="1" t="s">
        <v>3784</v>
      </c>
      <c r="M245" s="1" t="s">
        <v>51</v>
      </c>
      <c r="N245" t="str">
        <f t="shared" si="11"/>
        <v>Expense</v>
      </c>
      <c r="O245" t="str">
        <f t="shared" si="12"/>
        <v/>
      </c>
    </row>
    <row r="246" spans="1:15" x14ac:dyDescent="0.25">
      <c r="A246" s="1" t="s">
        <v>4073</v>
      </c>
      <c r="B246" s="1" t="s">
        <v>3808</v>
      </c>
      <c r="C246" s="1" t="s">
        <v>3780</v>
      </c>
      <c r="D246" s="1" t="s">
        <v>3846</v>
      </c>
      <c r="E246">
        <v>412198</v>
      </c>
      <c r="F246">
        <v>508251.82</v>
      </c>
      <c r="G246">
        <f t="shared" si="10"/>
        <v>-96053.82</v>
      </c>
      <c r="H246">
        <v>-96053.82</v>
      </c>
      <c r="I246" s="3">
        <v>44931</v>
      </c>
      <c r="J246" s="1" t="s">
        <v>3790</v>
      </c>
      <c r="K246" s="1" t="s">
        <v>3823</v>
      </c>
      <c r="L246" s="1" t="s">
        <v>3804</v>
      </c>
      <c r="M246" s="1" t="s">
        <v>51</v>
      </c>
      <c r="N246" t="str">
        <f t="shared" si="11"/>
        <v>Expense</v>
      </c>
      <c r="O246" t="str">
        <f t="shared" si="12"/>
        <v/>
      </c>
    </row>
    <row r="247" spans="1:15" x14ac:dyDescent="0.25">
      <c r="A247" s="1" t="s">
        <v>4074</v>
      </c>
      <c r="B247" s="1" t="s">
        <v>3839</v>
      </c>
      <c r="C247" s="1" t="s">
        <v>3821</v>
      </c>
      <c r="D247" s="1" t="s">
        <v>3850</v>
      </c>
      <c r="E247">
        <v>52195</v>
      </c>
      <c r="F247">
        <v>57318.27</v>
      </c>
      <c r="G247">
        <f t="shared" si="10"/>
        <v>-5123.2699999999968</v>
      </c>
      <c r="H247">
        <v>-5123.2700000000004</v>
      </c>
      <c r="I247" s="3">
        <v>45675</v>
      </c>
      <c r="J247" s="1" t="s">
        <v>3790</v>
      </c>
      <c r="K247" s="1" t="s">
        <v>3791</v>
      </c>
      <c r="L247" s="1" t="s">
        <v>3800</v>
      </c>
      <c r="M247" s="1" t="s">
        <v>3785</v>
      </c>
      <c r="N247" t="str">
        <f t="shared" si="11"/>
        <v>Expense</v>
      </c>
      <c r="O247" t="str">
        <f t="shared" si="12"/>
        <v/>
      </c>
    </row>
    <row r="248" spans="1:15" x14ac:dyDescent="0.25">
      <c r="A248" s="1" t="s">
        <v>4075</v>
      </c>
      <c r="B248" s="1" t="s">
        <v>3798</v>
      </c>
      <c r="C248" s="1" t="s">
        <v>3848</v>
      </c>
      <c r="D248" s="1" t="s">
        <v>3802</v>
      </c>
      <c r="E248">
        <v>48152</v>
      </c>
      <c r="F248">
        <v>48056.14</v>
      </c>
      <c r="G248">
        <f t="shared" si="10"/>
        <v>95.860000000000582</v>
      </c>
      <c r="H248">
        <v>95.86</v>
      </c>
      <c r="I248" s="3">
        <v>45674</v>
      </c>
      <c r="J248" s="1" t="s">
        <v>3782</v>
      </c>
      <c r="K248" s="1" t="s">
        <v>3783</v>
      </c>
      <c r="L248" s="1" t="s">
        <v>3800</v>
      </c>
      <c r="M248" s="1" t="s">
        <v>3785</v>
      </c>
      <c r="N248" t="str">
        <f t="shared" si="11"/>
        <v>Expense</v>
      </c>
      <c r="O248" t="str">
        <f t="shared" si="12"/>
        <v/>
      </c>
    </row>
    <row r="249" spans="1:15" x14ac:dyDescent="0.25">
      <c r="A249" s="1" t="s">
        <v>4076</v>
      </c>
      <c r="B249" s="1" t="s">
        <v>3811</v>
      </c>
      <c r="C249" s="1" t="s">
        <v>3806</v>
      </c>
      <c r="D249" s="1" t="s">
        <v>3855</v>
      </c>
      <c r="E249">
        <v>16799</v>
      </c>
      <c r="F249">
        <v>19123.79</v>
      </c>
      <c r="G249">
        <f t="shared" si="10"/>
        <v>-2324.7900000000009</v>
      </c>
      <c r="H249">
        <v>-2324.79</v>
      </c>
      <c r="I249" s="3">
        <v>45702</v>
      </c>
      <c r="J249" s="1" t="s">
        <v>3790</v>
      </c>
      <c r="K249" s="1" t="s">
        <v>3783</v>
      </c>
      <c r="L249" s="1" t="s">
        <v>3800</v>
      </c>
      <c r="M249" s="1" t="s">
        <v>51</v>
      </c>
      <c r="N249" t="str">
        <f t="shared" si="11"/>
        <v>Expense</v>
      </c>
      <c r="O249" t="str">
        <f t="shared" si="12"/>
        <v/>
      </c>
    </row>
    <row r="250" spans="1:15" x14ac:dyDescent="0.25">
      <c r="A250" s="1" t="s">
        <v>4077</v>
      </c>
      <c r="B250" s="1" t="s">
        <v>3828</v>
      </c>
      <c r="C250" s="1" t="s">
        <v>3806</v>
      </c>
      <c r="D250" s="1" t="s">
        <v>3802</v>
      </c>
      <c r="E250">
        <v>498331</v>
      </c>
      <c r="F250">
        <v>590530.18999999994</v>
      </c>
      <c r="G250">
        <f t="shared" si="10"/>
        <v>-92199.189999999944</v>
      </c>
      <c r="H250">
        <v>-92199.19</v>
      </c>
      <c r="I250" s="3">
        <v>45361</v>
      </c>
      <c r="J250" s="1" t="s">
        <v>3782</v>
      </c>
      <c r="K250" s="1" t="s">
        <v>3783</v>
      </c>
      <c r="L250" s="1" t="s">
        <v>3784</v>
      </c>
      <c r="M250" s="1" t="s">
        <v>3831</v>
      </c>
      <c r="N250" t="str">
        <f t="shared" si="11"/>
        <v>Expense</v>
      </c>
      <c r="O250" t="str">
        <f t="shared" si="12"/>
        <v>Flag: High-Value Pending</v>
      </c>
    </row>
    <row r="251" spans="1:15" x14ac:dyDescent="0.25">
      <c r="A251" s="1" t="s">
        <v>4078</v>
      </c>
      <c r="B251" s="1" t="s">
        <v>3828</v>
      </c>
      <c r="C251" s="1" t="s">
        <v>3844</v>
      </c>
      <c r="D251" s="1" t="s">
        <v>3796</v>
      </c>
      <c r="E251">
        <v>331933</v>
      </c>
      <c r="F251">
        <v>269005.58</v>
      </c>
      <c r="G251">
        <f t="shared" si="10"/>
        <v>62927.419999999984</v>
      </c>
      <c r="H251">
        <v>62927.42</v>
      </c>
      <c r="I251" s="3">
        <v>45099</v>
      </c>
      <c r="J251" s="1" t="s">
        <v>3859</v>
      </c>
      <c r="K251" s="1" t="s">
        <v>3791</v>
      </c>
      <c r="L251" s="1" t="s">
        <v>3784</v>
      </c>
      <c r="M251" s="1" t="s">
        <v>3817</v>
      </c>
      <c r="N251" t="str">
        <f t="shared" si="11"/>
        <v>Expense</v>
      </c>
      <c r="O251" t="str">
        <f t="shared" si="12"/>
        <v>Flag: High-Value Rejected</v>
      </c>
    </row>
    <row r="252" spans="1:15" x14ac:dyDescent="0.25">
      <c r="A252" s="1" t="s">
        <v>4079</v>
      </c>
      <c r="B252" s="1" t="s">
        <v>4877</v>
      </c>
      <c r="C252" s="1" t="s">
        <v>3815</v>
      </c>
      <c r="D252" s="1" t="s">
        <v>3895</v>
      </c>
      <c r="E252">
        <v>334513</v>
      </c>
      <c r="F252">
        <v>429654.62</v>
      </c>
      <c r="G252">
        <f t="shared" si="10"/>
        <v>-95141.62</v>
      </c>
      <c r="H252">
        <v>-95141.62</v>
      </c>
      <c r="I252" s="3">
        <v>45016</v>
      </c>
      <c r="J252" s="1" t="s">
        <v>3790</v>
      </c>
      <c r="K252" s="1" t="s">
        <v>3783</v>
      </c>
      <c r="L252" s="1" t="s">
        <v>3804</v>
      </c>
      <c r="M252" s="1" t="s">
        <v>51</v>
      </c>
      <c r="N252" t="str">
        <f t="shared" si="11"/>
        <v>Expense</v>
      </c>
      <c r="O252" t="str">
        <f t="shared" si="12"/>
        <v/>
      </c>
    </row>
    <row r="253" spans="1:15" x14ac:dyDescent="0.25">
      <c r="A253" s="1" t="s">
        <v>4080</v>
      </c>
      <c r="B253" s="1" t="s">
        <v>3808</v>
      </c>
      <c r="C253" s="1" t="s">
        <v>3788</v>
      </c>
      <c r="D253" s="1" t="s">
        <v>3802</v>
      </c>
      <c r="E253">
        <v>267847</v>
      </c>
      <c r="F253">
        <v>224402.4</v>
      </c>
      <c r="G253">
        <f t="shared" si="10"/>
        <v>43444.600000000006</v>
      </c>
      <c r="H253">
        <v>43444.6</v>
      </c>
      <c r="I253" s="3">
        <v>45710</v>
      </c>
      <c r="J253" s="1" t="s">
        <v>3782</v>
      </c>
      <c r="K253" s="1" t="s">
        <v>3823</v>
      </c>
      <c r="L253" s="1" t="s">
        <v>3800</v>
      </c>
      <c r="M253" s="1" t="s">
        <v>3792</v>
      </c>
      <c r="N253" t="str">
        <f t="shared" si="11"/>
        <v>Expense</v>
      </c>
      <c r="O253" t="str">
        <f t="shared" si="12"/>
        <v>Flag: High-Value Pending</v>
      </c>
    </row>
    <row r="254" spans="1:15" x14ac:dyDescent="0.25">
      <c r="A254" s="1" t="s">
        <v>4081</v>
      </c>
      <c r="B254" s="1" t="s">
        <v>3828</v>
      </c>
      <c r="C254" s="1" t="s">
        <v>3848</v>
      </c>
      <c r="D254" s="1" t="s">
        <v>3846</v>
      </c>
      <c r="E254">
        <v>60387</v>
      </c>
      <c r="F254">
        <v>77599.47</v>
      </c>
      <c r="G254">
        <f t="shared" si="10"/>
        <v>-17212.47</v>
      </c>
      <c r="H254">
        <v>-17212.47</v>
      </c>
      <c r="I254" s="3">
        <v>44986</v>
      </c>
      <c r="J254" s="1" t="s">
        <v>3790</v>
      </c>
      <c r="K254" s="1" t="s">
        <v>3783</v>
      </c>
      <c r="L254" s="1" t="s">
        <v>3804</v>
      </c>
      <c r="M254" s="1" t="s">
        <v>3809</v>
      </c>
      <c r="N254" t="str">
        <f t="shared" si="11"/>
        <v>Expense</v>
      </c>
      <c r="O254" t="str">
        <f t="shared" si="12"/>
        <v/>
      </c>
    </row>
    <row r="255" spans="1:15" x14ac:dyDescent="0.25">
      <c r="A255" s="1" t="s">
        <v>4082</v>
      </c>
      <c r="B255" s="1" t="s">
        <v>3808</v>
      </c>
      <c r="C255" s="1" t="s">
        <v>4878</v>
      </c>
      <c r="D255" s="1" t="s">
        <v>3789</v>
      </c>
      <c r="E255">
        <v>175225</v>
      </c>
      <c r="F255">
        <v>180530</v>
      </c>
      <c r="G255">
        <f t="shared" si="10"/>
        <v>-5305</v>
      </c>
      <c r="H255">
        <v>-5305</v>
      </c>
      <c r="I255" s="3">
        <v>45509</v>
      </c>
      <c r="J255" s="1" t="s">
        <v>3790</v>
      </c>
      <c r="K255" s="1" t="s">
        <v>3783</v>
      </c>
      <c r="L255" s="1" t="s">
        <v>3800</v>
      </c>
      <c r="M255" s="1" t="s">
        <v>3831</v>
      </c>
      <c r="N255" t="str">
        <f t="shared" si="11"/>
        <v>Expense</v>
      </c>
      <c r="O255" t="str">
        <f t="shared" si="12"/>
        <v/>
      </c>
    </row>
    <row r="256" spans="1:15" x14ac:dyDescent="0.25">
      <c r="A256" s="1" t="s">
        <v>4083</v>
      </c>
      <c r="B256" s="1" t="s">
        <v>3794</v>
      </c>
      <c r="C256" s="1" t="s">
        <v>3848</v>
      </c>
      <c r="D256" s="1" t="s">
        <v>3816</v>
      </c>
      <c r="E256">
        <v>341861</v>
      </c>
      <c r="F256">
        <v>313537.26</v>
      </c>
      <c r="G256">
        <f t="shared" si="10"/>
        <v>28323.739999999991</v>
      </c>
      <c r="H256">
        <v>28323.74</v>
      </c>
      <c r="I256" s="3">
        <v>45236</v>
      </c>
      <c r="J256" s="1" t="s">
        <v>3782</v>
      </c>
      <c r="K256" s="1" t="s">
        <v>3803</v>
      </c>
      <c r="L256" s="1" t="s">
        <v>3784</v>
      </c>
      <c r="M256" s="1" t="s">
        <v>3792</v>
      </c>
      <c r="N256" t="str">
        <f t="shared" si="11"/>
        <v>Expense</v>
      </c>
      <c r="O256" t="str">
        <f t="shared" si="12"/>
        <v>Flag: High-Value Pending</v>
      </c>
    </row>
    <row r="257" spans="1:15" x14ac:dyDescent="0.25">
      <c r="A257" s="1" t="s">
        <v>4084</v>
      </c>
      <c r="B257" s="1" t="s">
        <v>3839</v>
      </c>
      <c r="C257" s="1" t="s">
        <v>3788</v>
      </c>
      <c r="D257" s="1" t="s">
        <v>3799</v>
      </c>
      <c r="E257">
        <v>39407</v>
      </c>
      <c r="F257">
        <v>45445.79</v>
      </c>
      <c r="G257">
        <f t="shared" si="10"/>
        <v>-6038.7900000000009</v>
      </c>
      <c r="I257" s="3">
        <v>45016</v>
      </c>
      <c r="J257" s="1" t="s">
        <v>3782</v>
      </c>
      <c r="K257" s="1" t="s">
        <v>3823</v>
      </c>
      <c r="L257" s="1" t="s">
        <v>3804</v>
      </c>
      <c r="M257" s="1" t="s">
        <v>51</v>
      </c>
      <c r="N257" t="str">
        <f t="shared" si="11"/>
        <v>Expense</v>
      </c>
      <c r="O257" t="str">
        <f t="shared" si="12"/>
        <v/>
      </c>
    </row>
    <row r="258" spans="1:15" x14ac:dyDescent="0.25">
      <c r="A258" s="1" t="s">
        <v>4085</v>
      </c>
      <c r="B258" s="1" t="s">
        <v>3787</v>
      </c>
      <c r="C258" s="1" t="s">
        <v>3821</v>
      </c>
      <c r="D258" s="1" t="s">
        <v>3837</v>
      </c>
      <c r="E258">
        <v>89432</v>
      </c>
      <c r="F258">
        <v>106809.32</v>
      </c>
      <c r="G258">
        <f t="shared" ref="G258:G321" si="13">IF(F258="","",E258-F258)</f>
        <v>-17377.320000000007</v>
      </c>
      <c r="H258">
        <v>-17377.32</v>
      </c>
      <c r="I258" s="3">
        <v>45098</v>
      </c>
      <c r="J258" s="1" t="s">
        <v>3790</v>
      </c>
      <c r="K258" s="1" t="s">
        <v>3823</v>
      </c>
      <c r="L258" s="1" t="s">
        <v>3784</v>
      </c>
      <c r="M258" s="1" t="s">
        <v>51</v>
      </c>
      <c r="N258" t="str">
        <f t="shared" si="11"/>
        <v>Expense</v>
      </c>
      <c r="O258" t="str">
        <f t="shared" si="12"/>
        <v/>
      </c>
    </row>
    <row r="259" spans="1:15" x14ac:dyDescent="0.25">
      <c r="A259" s="1" t="s">
        <v>4086</v>
      </c>
      <c r="B259" s="1" t="s">
        <v>3798</v>
      </c>
      <c r="C259" s="1" t="s">
        <v>4878</v>
      </c>
      <c r="D259" s="1" t="s">
        <v>3826</v>
      </c>
      <c r="E259">
        <v>263512</v>
      </c>
      <c r="F259">
        <v>324627.93</v>
      </c>
      <c r="G259">
        <f t="shared" si="13"/>
        <v>-61115.929999999993</v>
      </c>
      <c r="H259">
        <v>-61115.93</v>
      </c>
      <c r="I259" s="3">
        <v>45300</v>
      </c>
      <c r="J259" s="1" t="s">
        <v>3859</v>
      </c>
      <c r="K259" s="1" t="s">
        <v>3803</v>
      </c>
      <c r="L259" s="1" t="s">
        <v>3784</v>
      </c>
      <c r="M259" s="1" t="s">
        <v>51</v>
      </c>
      <c r="N259" t="str">
        <f t="shared" ref="N259:N322" si="14">IF(E259&lt;0,"Credit/Refund","Expense")</f>
        <v>Expense</v>
      </c>
      <c r="O259" t="str">
        <f t="shared" ref="O259:O322" si="15">IF(AND(OR(J259="Pending",J259="Rejected"),E259&gt;200000),"Flag: High-Value "&amp;J259,"")</f>
        <v>Flag: High-Value Rejected</v>
      </c>
    </row>
    <row r="260" spans="1:15" x14ac:dyDescent="0.25">
      <c r="A260" s="1" t="s">
        <v>4087</v>
      </c>
      <c r="B260" s="1" t="s">
        <v>3794</v>
      </c>
      <c r="C260" s="1" t="s">
        <v>3815</v>
      </c>
      <c r="D260" s="1" t="s">
        <v>3834</v>
      </c>
      <c r="E260">
        <v>199679</v>
      </c>
      <c r="F260">
        <v>200742.29</v>
      </c>
      <c r="G260">
        <f t="shared" si="13"/>
        <v>-1063.2900000000081</v>
      </c>
      <c r="H260">
        <v>-1063.29</v>
      </c>
      <c r="I260" s="3">
        <v>45675</v>
      </c>
      <c r="J260" s="1" t="s">
        <v>3790</v>
      </c>
      <c r="K260" s="1" t="s">
        <v>3823</v>
      </c>
      <c r="L260" s="1" t="s">
        <v>3800</v>
      </c>
      <c r="M260" s="1" t="s">
        <v>51</v>
      </c>
      <c r="N260" t="str">
        <f t="shared" si="14"/>
        <v>Expense</v>
      </c>
      <c r="O260" t="str">
        <f t="shared" si="15"/>
        <v/>
      </c>
    </row>
    <row r="261" spans="1:15" x14ac:dyDescent="0.25">
      <c r="A261" s="1" t="s">
        <v>4088</v>
      </c>
      <c r="B261" s="1" t="s">
        <v>3794</v>
      </c>
      <c r="C261" s="1" t="s">
        <v>3812</v>
      </c>
      <c r="D261" s="1" t="s">
        <v>3789</v>
      </c>
      <c r="E261">
        <v>375444</v>
      </c>
      <c r="G261" t="str">
        <f t="shared" si="13"/>
        <v/>
      </c>
      <c r="H261">
        <v>42263.75</v>
      </c>
      <c r="I261" s="3">
        <v>45458</v>
      </c>
      <c r="J261" s="1" t="s">
        <v>3859</v>
      </c>
      <c r="K261" s="1" t="s">
        <v>3823</v>
      </c>
      <c r="L261" s="1" t="s">
        <v>3800</v>
      </c>
      <c r="M261" s="1" t="s">
        <v>51</v>
      </c>
      <c r="N261" t="str">
        <f t="shared" si="14"/>
        <v>Expense</v>
      </c>
      <c r="O261" t="str">
        <f t="shared" si="15"/>
        <v>Flag: High-Value Rejected</v>
      </c>
    </row>
    <row r="262" spans="1:15" x14ac:dyDescent="0.25">
      <c r="A262" s="1" t="s">
        <v>4089</v>
      </c>
      <c r="B262" s="1" t="s">
        <v>3787</v>
      </c>
      <c r="C262" s="1" t="s">
        <v>3844</v>
      </c>
      <c r="D262" s="1" t="s">
        <v>3867</v>
      </c>
      <c r="E262">
        <v>225874</v>
      </c>
      <c r="F262">
        <v>240659.78</v>
      </c>
      <c r="G262">
        <f t="shared" si="13"/>
        <v>-14785.779999999999</v>
      </c>
      <c r="H262">
        <v>-14785.78</v>
      </c>
      <c r="I262" s="3">
        <v>44946</v>
      </c>
      <c r="J262" s="1" t="s">
        <v>3790</v>
      </c>
      <c r="K262" s="1" t="s">
        <v>3791</v>
      </c>
      <c r="L262" s="1" t="s">
        <v>3804</v>
      </c>
      <c r="M262" s="1" t="s">
        <v>3785</v>
      </c>
      <c r="N262" t="str">
        <f t="shared" si="14"/>
        <v>Expense</v>
      </c>
      <c r="O262" t="str">
        <f t="shared" si="15"/>
        <v/>
      </c>
    </row>
    <row r="263" spans="1:15" x14ac:dyDescent="0.25">
      <c r="A263" s="1" t="s">
        <v>4090</v>
      </c>
      <c r="B263" s="1" t="s">
        <v>3787</v>
      </c>
      <c r="C263" s="1" t="s">
        <v>3806</v>
      </c>
      <c r="D263" s="1" t="s">
        <v>3837</v>
      </c>
      <c r="E263">
        <v>415441</v>
      </c>
      <c r="F263">
        <v>402243.02</v>
      </c>
      <c r="G263">
        <f t="shared" si="13"/>
        <v>13197.979999999981</v>
      </c>
      <c r="H263">
        <v>13197.98</v>
      </c>
      <c r="I263" s="3">
        <v>44966</v>
      </c>
      <c r="J263" s="1" t="s">
        <v>3790</v>
      </c>
      <c r="K263" s="1" t="s">
        <v>3823</v>
      </c>
      <c r="L263" s="1" t="s">
        <v>3804</v>
      </c>
      <c r="M263" s="1" t="s">
        <v>3817</v>
      </c>
      <c r="N263" t="str">
        <f t="shared" si="14"/>
        <v>Expense</v>
      </c>
      <c r="O263" t="str">
        <f t="shared" si="15"/>
        <v/>
      </c>
    </row>
    <row r="264" spans="1:15" x14ac:dyDescent="0.25">
      <c r="A264" s="1" t="s">
        <v>4091</v>
      </c>
      <c r="B264" s="1" t="s">
        <v>3808</v>
      </c>
      <c r="C264" s="1" t="s">
        <v>3844</v>
      </c>
      <c r="D264" s="1" t="s">
        <v>3850</v>
      </c>
      <c r="E264">
        <v>169992</v>
      </c>
      <c r="F264">
        <v>217401.98</v>
      </c>
      <c r="G264">
        <f t="shared" si="13"/>
        <v>-47409.98000000001</v>
      </c>
      <c r="H264">
        <v>-47409.98</v>
      </c>
      <c r="I264" s="3">
        <v>45653</v>
      </c>
      <c r="J264" s="1" t="s">
        <v>3790</v>
      </c>
      <c r="K264" s="1" t="s">
        <v>3791</v>
      </c>
      <c r="L264" s="1" t="s">
        <v>3800</v>
      </c>
      <c r="M264" s="1" t="s">
        <v>3817</v>
      </c>
      <c r="N264" t="str">
        <f t="shared" si="14"/>
        <v>Expense</v>
      </c>
      <c r="O264" t="str">
        <f t="shared" si="15"/>
        <v/>
      </c>
    </row>
    <row r="265" spans="1:15" x14ac:dyDescent="0.25">
      <c r="A265" s="1" t="s">
        <v>4092</v>
      </c>
      <c r="B265" s="1" t="s">
        <v>3828</v>
      </c>
      <c r="C265" s="1" t="s">
        <v>3844</v>
      </c>
      <c r="D265" s="1" t="s">
        <v>3796</v>
      </c>
      <c r="E265">
        <v>276210</v>
      </c>
      <c r="F265">
        <v>336215.59</v>
      </c>
      <c r="G265">
        <f t="shared" si="13"/>
        <v>-60005.590000000026</v>
      </c>
      <c r="H265">
        <v>-60005.59</v>
      </c>
      <c r="I265" s="3">
        <v>45705</v>
      </c>
      <c r="J265" s="1" t="s">
        <v>3790</v>
      </c>
      <c r="K265" s="1" t="s">
        <v>3803</v>
      </c>
      <c r="L265" s="1" t="s">
        <v>3800</v>
      </c>
      <c r="M265" s="1" t="s">
        <v>3809</v>
      </c>
      <c r="N265" t="str">
        <f t="shared" si="14"/>
        <v>Expense</v>
      </c>
      <c r="O265" t="str">
        <f t="shared" si="15"/>
        <v/>
      </c>
    </row>
    <row r="266" spans="1:15" x14ac:dyDescent="0.25">
      <c r="A266" s="1" t="s">
        <v>4093</v>
      </c>
      <c r="B266" s="1" t="s">
        <v>3811</v>
      </c>
      <c r="C266" s="1" t="s">
        <v>3806</v>
      </c>
      <c r="D266" s="1" t="s">
        <v>3789</v>
      </c>
      <c r="E266">
        <v>8467</v>
      </c>
      <c r="F266">
        <v>6825.29</v>
      </c>
      <c r="G266">
        <f t="shared" si="13"/>
        <v>1641.71</v>
      </c>
      <c r="H266">
        <v>1641.71</v>
      </c>
      <c r="I266" s="3">
        <v>45430</v>
      </c>
      <c r="J266" s="1" t="s">
        <v>3790</v>
      </c>
      <c r="K266" s="1" t="s">
        <v>3783</v>
      </c>
      <c r="L266" s="1" t="s">
        <v>3800</v>
      </c>
      <c r="M266" s="1" t="s">
        <v>3809</v>
      </c>
      <c r="N266" t="str">
        <f t="shared" si="14"/>
        <v>Expense</v>
      </c>
      <c r="O266" t="str">
        <f t="shared" si="15"/>
        <v/>
      </c>
    </row>
    <row r="267" spans="1:15" x14ac:dyDescent="0.25">
      <c r="A267" s="1" t="s">
        <v>4094</v>
      </c>
      <c r="B267" s="1" t="s">
        <v>3808</v>
      </c>
      <c r="C267" s="1" t="s">
        <v>3861</v>
      </c>
      <c r="D267" s="1" t="s">
        <v>3846</v>
      </c>
      <c r="E267">
        <v>433961</v>
      </c>
      <c r="F267">
        <v>489742.12</v>
      </c>
      <c r="G267">
        <f t="shared" si="13"/>
        <v>-55781.119999999995</v>
      </c>
      <c r="H267">
        <v>-55781.120000000003</v>
      </c>
      <c r="I267" s="3">
        <v>45034</v>
      </c>
      <c r="J267" s="1" t="s">
        <v>3790</v>
      </c>
      <c r="K267" s="1" t="s">
        <v>3803</v>
      </c>
      <c r="L267" s="1" t="s">
        <v>3784</v>
      </c>
      <c r="M267" s="1" t="s">
        <v>3809</v>
      </c>
      <c r="N267" t="str">
        <f t="shared" si="14"/>
        <v>Expense</v>
      </c>
      <c r="O267" t="str">
        <f t="shared" si="15"/>
        <v/>
      </c>
    </row>
    <row r="268" spans="1:15" x14ac:dyDescent="0.25">
      <c r="A268" s="1" t="s">
        <v>4095</v>
      </c>
      <c r="B268" s="1" t="s">
        <v>4877</v>
      </c>
      <c r="C268" s="1" t="s">
        <v>3844</v>
      </c>
      <c r="D268" s="1" t="s">
        <v>3826</v>
      </c>
      <c r="E268">
        <v>253473</v>
      </c>
      <c r="F268">
        <v>209229.23</v>
      </c>
      <c r="G268">
        <f t="shared" si="13"/>
        <v>44243.76999999999</v>
      </c>
      <c r="H268">
        <v>44243.77</v>
      </c>
      <c r="I268" s="3">
        <v>45046</v>
      </c>
      <c r="J268" s="1" t="s">
        <v>3790</v>
      </c>
      <c r="K268" s="1" t="s">
        <v>3823</v>
      </c>
      <c r="L268" s="1" t="s">
        <v>3784</v>
      </c>
      <c r="M268" s="1" t="s">
        <v>51</v>
      </c>
      <c r="N268" t="str">
        <f t="shared" si="14"/>
        <v>Expense</v>
      </c>
      <c r="O268" t="str">
        <f t="shared" si="15"/>
        <v/>
      </c>
    </row>
    <row r="269" spans="1:15" x14ac:dyDescent="0.25">
      <c r="A269" s="1" t="s">
        <v>4096</v>
      </c>
      <c r="B269" s="1" t="s">
        <v>3808</v>
      </c>
      <c r="C269" s="1" t="s">
        <v>3858</v>
      </c>
      <c r="D269" s="1" t="s">
        <v>3850</v>
      </c>
      <c r="E269">
        <v>283088</v>
      </c>
      <c r="F269">
        <v>273645.90999999997</v>
      </c>
      <c r="G269">
        <f t="shared" si="13"/>
        <v>9442.0900000000256</v>
      </c>
      <c r="H269">
        <v>9442.09</v>
      </c>
      <c r="I269" s="3">
        <v>45245</v>
      </c>
      <c r="J269" s="1" t="s">
        <v>3782</v>
      </c>
      <c r="K269" s="1" t="s">
        <v>3783</v>
      </c>
      <c r="L269" s="1" t="s">
        <v>3784</v>
      </c>
      <c r="M269" s="1" t="s">
        <v>51</v>
      </c>
      <c r="N269" t="str">
        <f t="shared" si="14"/>
        <v>Expense</v>
      </c>
      <c r="O269" t="str">
        <f t="shared" si="15"/>
        <v>Flag: High-Value Pending</v>
      </c>
    </row>
    <row r="270" spans="1:15" x14ac:dyDescent="0.25">
      <c r="A270" s="1" t="s">
        <v>4097</v>
      </c>
      <c r="B270" s="1" t="s">
        <v>3787</v>
      </c>
      <c r="C270" s="1" t="s">
        <v>3780</v>
      </c>
      <c r="D270" s="1" t="s">
        <v>3837</v>
      </c>
      <c r="E270">
        <v>36809</v>
      </c>
      <c r="F270">
        <v>31242.97</v>
      </c>
      <c r="G270">
        <f t="shared" si="13"/>
        <v>5566.0299999999988</v>
      </c>
      <c r="H270">
        <v>5566.03</v>
      </c>
      <c r="I270" s="3">
        <v>45226</v>
      </c>
      <c r="J270" s="1" t="s">
        <v>3859</v>
      </c>
      <c r="K270" s="1" t="s">
        <v>3823</v>
      </c>
      <c r="L270" s="1" t="s">
        <v>3784</v>
      </c>
      <c r="M270" s="1" t="s">
        <v>3817</v>
      </c>
      <c r="N270" t="str">
        <f t="shared" si="14"/>
        <v>Expense</v>
      </c>
      <c r="O270" t="str">
        <f t="shared" si="15"/>
        <v/>
      </c>
    </row>
    <row r="271" spans="1:15" x14ac:dyDescent="0.25">
      <c r="A271" s="1" t="s">
        <v>4098</v>
      </c>
      <c r="B271" s="1" t="s">
        <v>3808</v>
      </c>
      <c r="C271" s="1" t="s">
        <v>4878</v>
      </c>
      <c r="D271" s="1" t="s">
        <v>3781</v>
      </c>
      <c r="E271">
        <v>176240</v>
      </c>
      <c r="F271">
        <v>162052.35</v>
      </c>
      <c r="G271">
        <f t="shared" si="13"/>
        <v>14187.649999999994</v>
      </c>
      <c r="H271">
        <v>14187.65</v>
      </c>
      <c r="I271" s="3">
        <v>45605</v>
      </c>
      <c r="J271" s="1" t="s">
        <v>3790</v>
      </c>
      <c r="K271" s="1" t="s">
        <v>3791</v>
      </c>
      <c r="L271" s="1" t="s">
        <v>3800</v>
      </c>
      <c r="M271" s="1" t="s">
        <v>3831</v>
      </c>
      <c r="N271" t="str">
        <f t="shared" si="14"/>
        <v>Expense</v>
      </c>
      <c r="O271" t="str">
        <f t="shared" si="15"/>
        <v/>
      </c>
    </row>
    <row r="272" spans="1:15" x14ac:dyDescent="0.25">
      <c r="A272" s="1" t="s">
        <v>4099</v>
      </c>
      <c r="B272" s="1" t="s">
        <v>3787</v>
      </c>
      <c r="C272" s="1" t="s">
        <v>3844</v>
      </c>
      <c r="D272" s="1" t="s">
        <v>3822</v>
      </c>
      <c r="E272">
        <v>287836</v>
      </c>
      <c r="F272">
        <v>288895.81</v>
      </c>
      <c r="G272">
        <f t="shared" si="13"/>
        <v>-1059.8099999999977</v>
      </c>
      <c r="H272">
        <v>-1059.81</v>
      </c>
      <c r="I272" s="3">
        <v>45386</v>
      </c>
      <c r="J272" s="1" t="s">
        <v>3859</v>
      </c>
      <c r="K272" s="1" t="s">
        <v>3823</v>
      </c>
      <c r="L272" s="1" t="s">
        <v>3800</v>
      </c>
      <c r="M272" s="1" t="s">
        <v>51</v>
      </c>
      <c r="N272" t="str">
        <f t="shared" si="14"/>
        <v>Expense</v>
      </c>
      <c r="O272" t="str">
        <f t="shared" si="15"/>
        <v>Flag: High-Value Rejected</v>
      </c>
    </row>
    <row r="273" spans="1:15" x14ac:dyDescent="0.25">
      <c r="A273" s="1" t="s">
        <v>4100</v>
      </c>
      <c r="B273" s="1" t="s">
        <v>3839</v>
      </c>
      <c r="C273" s="1" t="s">
        <v>3844</v>
      </c>
      <c r="D273" s="1" t="s">
        <v>3802</v>
      </c>
      <c r="E273">
        <v>62129</v>
      </c>
      <c r="F273">
        <v>69505.89</v>
      </c>
      <c r="G273">
        <f t="shared" si="13"/>
        <v>-7376.8899999999994</v>
      </c>
      <c r="H273">
        <v>-7376.89</v>
      </c>
      <c r="I273" s="3">
        <v>45161</v>
      </c>
      <c r="J273" s="1" t="s">
        <v>3790</v>
      </c>
      <c r="K273" s="1" t="s">
        <v>3791</v>
      </c>
      <c r="L273" s="1" t="s">
        <v>3784</v>
      </c>
      <c r="M273" s="1" t="s">
        <v>3785</v>
      </c>
      <c r="N273" t="str">
        <f t="shared" si="14"/>
        <v>Expense</v>
      </c>
      <c r="O273" t="str">
        <f t="shared" si="15"/>
        <v/>
      </c>
    </row>
    <row r="274" spans="1:15" x14ac:dyDescent="0.25">
      <c r="A274" s="1" t="s">
        <v>4101</v>
      </c>
      <c r="B274" s="1" t="s">
        <v>3808</v>
      </c>
      <c r="C274" s="1" t="s">
        <v>3795</v>
      </c>
      <c r="D274" s="1" t="s">
        <v>3834</v>
      </c>
      <c r="E274">
        <v>39600</v>
      </c>
      <c r="F274">
        <v>49734.57</v>
      </c>
      <c r="G274">
        <f t="shared" si="13"/>
        <v>-10134.57</v>
      </c>
      <c r="H274">
        <v>-10134.57</v>
      </c>
      <c r="I274" s="3">
        <v>45669</v>
      </c>
      <c r="J274" s="1" t="s">
        <v>3782</v>
      </c>
      <c r="K274" s="1" t="s">
        <v>3823</v>
      </c>
      <c r="L274" s="1" t="s">
        <v>3800</v>
      </c>
      <c r="M274" s="1" t="s">
        <v>3785</v>
      </c>
      <c r="N274" t="str">
        <f t="shared" si="14"/>
        <v>Expense</v>
      </c>
      <c r="O274" t="str">
        <f t="shared" si="15"/>
        <v/>
      </c>
    </row>
    <row r="275" spans="1:15" x14ac:dyDescent="0.25">
      <c r="A275" s="1" t="s">
        <v>4102</v>
      </c>
      <c r="B275" s="1" t="s">
        <v>3839</v>
      </c>
      <c r="C275" s="1" t="s">
        <v>3858</v>
      </c>
      <c r="D275" s="1" t="s">
        <v>3834</v>
      </c>
      <c r="E275">
        <v>233554</v>
      </c>
      <c r="F275">
        <v>252983.66</v>
      </c>
      <c r="G275">
        <f t="shared" si="13"/>
        <v>-19429.660000000003</v>
      </c>
      <c r="H275">
        <v>-19429.66</v>
      </c>
      <c r="I275" s="3">
        <v>45085</v>
      </c>
      <c r="J275" s="1" t="s">
        <v>3790</v>
      </c>
      <c r="K275" s="1" t="s">
        <v>3791</v>
      </c>
      <c r="L275" s="1" t="s">
        <v>3784</v>
      </c>
      <c r="M275" s="1" t="s">
        <v>51</v>
      </c>
      <c r="N275" t="str">
        <f t="shared" si="14"/>
        <v>Expense</v>
      </c>
      <c r="O275" t="str">
        <f t="shared" si="15"/>
        <v/>
      </c>
    </row>
    <row r="276" spans="1:15" x14ac:dyDescent="0.25">
      <c r="A276" s="1" t="s">
        <v>4103</v>
      </c>
      <c r="B276" s="1" t="s">
        <v>3787</v>
      </c>
      <c r="C276" s="1" t="s">
        <v>3795</v>
      </c>
      <c r="D276" s="1" t="s">
        <v>3816</v>
      </c>
      <c r="E276">
        <v>184967</v>
      </c>
      <c r="G276" t="str">
        <f t="shared" si="13"/>
        <v/>
      </c>
      <c r="H276">
        <v>35452.879999999997</v>
      </c>
      <c r="I276" s="3">
        <v>45119</v>
      </c>
      <c r="J276" s="1" t="s">
        <v>3782</v>
      </c>
      <c r="K276" s="1" t="s">
        <v>3823</v>
      </c>
      <c r="L276" s="1" t="s">
        <v>3784</v>
      </c>
      <c r="M276" s="1" t="s">
        <v>51</v>
      </c>
      <c r="N276" t="str">
        <f t="shared" si="14"/>
        <v>Expense</v>
      </c>
      <c r="O276" t="str">
        <f t="shared" si="15"/>
        <v/>
      </c>
    </row>
    <row r="277" spans="1:15" x14ac:dyDescent="0.25">
      <c r="A277" s="1" t="s">
        <v>4104</v>
      </c>
      <c r="B277" s="1" t="s">
        <v>3808</v>
      </c>
      <c r="C277" s="1" t="s">
        <v>3795</v>
      </c>
      <c r="D277" s="1" t="s">
        <v>3826</v>
      </c>
      <c r="E277">
        <v>451511</v>
      </c>
      <c r="F277">
        <v>378996.91</v>
      </c>
      <c r="G277">
        <f t="shared" si="13"/>
        <v>72514.090000000026</v>
      </c>
      <c r="H277">
        <v>72514.09</v>
      </c>
      <c r="I277" s="3">
        <v>45168</v>
      </c>
      <c r="J277" s="1" t="s">
        <v>3782</v>
      </c>
      <c r="K277" s="1" t="s">
        <v>3783</v>
      </c>
      <c r="L277" s="1" t="s">
        <v>3784</v>
      </c>
      <c r="M277" s="1" t="s">
        <v>3792</v>
      </c>
      <c r="N277" t="str">
        <f t="shared" si="14"/>
        <v>Expense</v>
      </c>
      <c r="O277" t="str">
        <f t="shared" si="15"/>
        <v>Flag: High-Value Pending</v>
      </c>
    </row>
    <row r="278" spans="1:15" x14ac:dyDescent="0.25">
      <c r="A278" s="1" t="s">
        <v>4105</v>
      </c>
      <c r="B278" s="1" t="s">
        <v>3839</v>
      </c>
      <c r="C278" s="1" t="s">
        <v>4878</v>
      </c>
      <c r="D278" s="1" t="s">
        <v>3813</v>
      </c>
      <c r="E278">
        <v>90672</v>
      </c>
      <c r="F278">
        <v>115291.34</v>
      </c>
      <c r="G278">
        <f t="shared" si="13"/>
        <v>-24619.339999999997</v>
      </c>
      <c r="H278">
        <v>-24619.34</v>
      </c>
      <c r="I278" s="3">
        <v>45531</v>
      </c>
      <c r="J278" s="1" t="s">
        <v>3790</v>
      </c>
      <c r="K278" s="1" t="s">
        <v>3803</v>
      </c>
      <c r="L278" s="1" t="s">
        <v>3800</v>
      </c>
      <c r="M278" s="1" t="s">
        <v>51</v>
      </c>
      <c r="N278" t="str">
        <f t="shared" si="14"/>
        <v>Expense</v>
      </c>
      <c r="O278" t="str">
        <f t="shared" si="15"/>
        <v/>
      </c>
    </row>
    <row r="279" spans="1:15" x14ac:dyDescent="0.25">
      <c r="A279" s="1" t="s">
        <v>4106</v>
      </c>
      <c r="B279" s="1" t="s">
        <v>3828</v>
      </c>
      <c r="C279" s="1" t="s">
        <v>3844</v>
      </c>
      <c r="D279" s="1" t="s">
        <v>3855</v>
      </c>
      <c r="E279">
        <v>117298</v>
      </c>
      <c r="F279">
        <v>149508.38</v>
      </c>
      <c r="G279">
        <f t="shared" si="13"/>
        <v>-32210.380000000005</v>
      </c>
      <c r="H279">
        <v>-32210.38</v>
      </c>
      <c r="I279" s="3">
        <v>45659</v>
      </c>
      <c r="J279" s="1" t="s">
        <v>3859</v>
      </c>
      <c r="K279" s="1" t="s">
        <v>3783</v>
      </c>
      <c r="L279" s="1" t="s">
        <v>3800</v>
      </c>
      <c r="M279" s="1" t="s">
        <v>3831</v>
      </c>
      <c r="N279" t="str">
        <f t="shared" si="14"/>
        <v>Expense</v>
      </c>
      <c r="O279" t="str">
        <f t="shared" si="15"/>
        <v/>
      </c>
    </row>
    <row r="280" spans="1:15" x14ac:dyDescent="0.25">
      <c r="A280" s="1" t="s">
        <v>4107</v>
      </c>
      <c r="B280" s="1" t="s">
        <v>3828</v>
      </c>
      <c r="C280" s="1" t="s">
        <v>3780</v>
      </c>
      <c r="D280" s="1" t="s">
        <v>3802</v>
      </c>
      <c r="E280">
        <v>102465</v>
      </c>
      <c r="F280">
        <v>119023.91</v>
      </c>
      <c r="G280">
        <f t="shared" si="13"/>
        <v>-16558.910000000003</v>
      </c>
      <c r="I280" s="3">
        <v>45658</v>
      </c>
      <c r="J280" s="1" t="s">
        <v>3782</v>
      </c>
      <c r="K280" s="1" t="s">
        <v>3823</v>
      </c>
      <c r="L280" s="1" t="s">
        <v>3800</v>
      </c>
      <c r="M280" s="1" t="s">
        <v>51</v>
      </c>
      <c r="N280" t="str">
        <f t="shared" si="14"/>
        <v>Expense</v>
      </c>
      <c r="O280" t="str">
        <f t="shared" si="15"/>
        <v/>
      </c>
    </row>
    <row r="281" spans="1:15" x14ac:dyDescent="0.25">
      <c r="A281" s="1" t="s">
        <v>4108</v>
      </c>
      <c r="B281" s="1" t="s">
        <v>3839</v>
      </c>
      <c r="C281" s="1" t="s">
        <v>3795</v>
      </c>
      <c r="D281" s="1" t="s">
        <v>3867</v>
      </c>
      <c r="E281">
        <v>161058</v>
      </c>
      <c r="F281">
        <v>169436.08</v>
      </c>
      <c r="G281">
        <f t="shared" si="13"/>
        <v>-8378.0799999999872</v>
      </c>
      <c r="H281">
        <v>-8378.08</v>
      </c>
      <c r="I281" s="3">
        <v>45560</v>
      </c>
      <c r="J281" s="1" t="s">
        <v>3790</v>
      </c>
      <c r="K281" s="1" t="s">
        <v>3783</v>
      </c>
      <c r="L281" s="1" t="s">
        <v>3800</v>
      </c>
      <c r="M281" s="1" t="s">
        <v>51</v>
      </c>
      <c r="N281" t="str">
        <f t="shared" si="14"/>
        <v>Expense</v>
      </c>
      <c r="O281" t="str">
        <f t="shared" si="15"/>
        <v/>
      </c>
    </row>
    <row r="282" spans="1:15" x14ac:dyDescent="0.25">
      <c r="A282" s="1" t="s">
        <v>4109</v>
      </c>
      <c r="B282" s="1" t="s">
        <v>3794</v>
      </c>
      <c r="C282" s="1" t="s">
        <v>3848</v>
      </c>
      <c r="D282" s="1" t="s">
        <v>3816</v>
      </c>
      <c r="E282">
        <v>310200</v>
      </c>
      <c r="F282">
        <v>318474.48</v>
      </c>
      <c r="G282">
        <f t="shared" si="13"/>
        <v>-8274.4799999999814</v>
      </c>
      <c r="H282">
        <v>-8274.48</v>
      </c>
      <c r="I282" s="3">
        <v>45375</v>
      </c>
      <c r="J282" s="1" t="s">
        <v>3790</v>
      </c>
      <c r="K282" s="1" t="s">
        <v>3791</v>
      </c>
      <c r="L282" s="1" t="s">
        <v>3784</v>
      </c>
      <c r="M282" s="1" t="s">
        <v>51</v>
      </c>
      <c r="N282" t="str">
        <f t="shared" si="14"/>
        <v>Expense</v>
      </c>
      <c r="O282" t="str">
        <f t="shared" si="15"/>
        <v/>
      </c>
    </row>
    <row r="283" spans="1:15" x14ac:dyDescent="0.25">
      <c r="A283" s="1" t="s">
        <v>4110</v>
      </c>
      <c r="B283" s="1" t="s">
        <v>3828</v>
      </c>
      <c r="C283" s="1" t="s">
        <v>3848</v>
      </c>
      <c r="D283" s="1" t="s">
        <v>3837</v>
      </c>
      <c r="E283">
        <v>415834</v>
      </c>
      <c r="F283">
        <v>414415.59</v>
      </c>
      <c r="G283">
        <f t="shared" si="13"/>
        <v>1418.4099999999744</v>
      </c>
      <c r="H283">
        <v>1418.41</v>
      </c>
      <c r="I283" s="3">
        <v>45199</v>
      </c>
      <c r="J283" s="1" t="s">
        <v>3782</v>
      </c>
      <c r="K283" s="1" t="s">
        <v>3803</v>
      </c>
      <c r="L283" s="1" t="s">
        <v>3784</v>
      </c>
      <c r="M283" s="1" t="s">
        <v>3809</v>
      </c>
      <c r="N283" t="str">
        <f t="shared" si="14"/>
        <v>Expense</v>
      </c>
      <c r="O283" t="str">
        <f t="shared" si="15"/>
        <v>Flag: High-Value Pending</v>
      </c>
    </row>
    <row r="284" spans="1:15" x14ac:dyDescent="0.25">
      <c r="A284" s="1" t="s">
        <v>4111</v>
      </c>
      <c r="B284" s="1" t="s">
        <v>3787</v>
      </c>
      <c r="C284" s="1" t="s">
        <v>3844</v>
      </c>
      <c r="D284" s="1" t="s">
        <v>3813</v>
      </c>
      <c r="E284">
        <v>106700</v>
      </c>
      <c r="F284">
        <v>135158.73000000001</v>
      </c>
      <c r="G284">
        <f t="shared" si="13"/>
        <v>-28458.73000000001</v>
      </c>
      <c r="H284">
        <v>-28458.73</v>
      </c>
      <c r="I284" s="3">
        <v>45258</v>
      </c>
      <c r="J284" s="1" t="s">
        <v>3790</v>
      </c>
      <c r="K284" s="1" t="s">
        <v>3783</v>
      </c>
      <c r="L284" s="1" t="s">
        <v>3784</v>
      </c>
      <c r="M284" s="1" t="s">
        <v>3809</v>
      </c>
      <c r="N284" t="str">
        <f t="shared" si="14"/>
        <v>Expense</v>
      </c>
      <c r="O284" t="str">
        <f t="shared" si="15"/>
        <v/>
      </c>
    </row>
    <row r="285" spans="1:15" x14ac:dyDescent="0.25">
      <c r="A285" s="1" t="s">
        <v>4112</v>
      </c>
      <c r="B285" s="1" t="s">
        <v>3787</v>
      </c>
      <c r="C285" s="1" t="s">
        <v>3788</v>
      </c>
      <c r="D285" s="1" t="s">
        <v>3846</v>
      </c>
      <c r="E285">
        <v>372555</v>
      </c>
      <c r="F285">
        <v>361375</v>
      </c>
      <c r="G285">
        <f t="shared" si="13"/>
        <v>11180</v>
      </c>
      <c r="H285">
        <v>11180</v>
      </c>
      <c r="I285" s="3">
        <v>45389</v>
      </c>
      <c r="J285" s="1" t="s">
        <v>3790</v>
      </c>
      <c r="K285" s="1" t="s">
        <v>3823</v>
      </c>
      <c r="L285" s="1" t="s">
        <v>3800</v>
      </c>
      <c r="M285" s="1" t="s">
        <v>3817</v>
      </c>
      <c r="N285" t="str">
        <f t="shared" si="14"/>
        <v>Expense</v>
      </c>
      <c r="O285" t="str">
        <f t="shared" si="15"/>
        <v/>
      </c>
    </row>
    <row r="286" spans="1:15" x14ac:dyDescent="0.25">
      <c r="A286" s="1" t="s">
        <v>4113</v>
      </c>
      <c r="B286" s="1" t="s">
        <v>3787</v>
      </c>
      <c r="C286" s="1" t="s">
        <v>3825</v>
      </c>
      <c r="D286" s="1" t="s">
        <v>3834</v>
      </c>
      <c r="E286">
        <v>-295644</v>
      </c>
      <c r="F286">
        <v>375294.28</v>
      </c>
      <c r="G286">
        <f t="shared" si="13"/>
        <v>-670938.28</v>
      </c>
      <c r="H286">
        <v>-79650.28</v>
      </c>
      <c r="I286" s="3">
        <v>45474</v>
      </c>
      <c r="J286" s="1" t="s">
        <v>3790</v>
      </c>
      <c r="K286" s="1" t="s">
        <v>3783</v>
      </c>
      <c r="L286" s="1" t="s">
        <v>3800</v>
      </c>
      <c r="M286" s="1" t="s">
        <v>3831</v>
      </c>
      <c r="N286" t="str">
        <f t="shared" si="14"/>
        <v>Credit/Refund</v>
      </c>
      <c r="O286" t="str">
        <f t="shared" si="15"/>
        <v/>
      </c>
    </row>
    <row r="287" spans="1:15" x14ac:dyDescent="0.25">
      <c r="A287" s="1" t="s">
        <v>4114</v>
      </c>
      <c r="B287" s="1" t="s">
        <v>3839</v>
      </c>
      <c r="C287" s="1" t="s">
        <v>3806</v>
      </c>
      <c r="D287" s="1" t="s">
        <v>3822</v>
      </c>
      <c r="E287">
        <v>341728</v>
      </c>
      <c r="F287">
        <v>431392.19</v>
      </c>
      <c r="G287">
        <f t="shared" si="13"/>
        <v>-89664.19</v>
      </c>
      <c r="H287">
        <v>-89664.19</v>
      </c>
      <c r="I287" s="3">
        <v>45456</v>
      </c>
      <c r="J287" s="1" t="s">
        <v>3782</v>
      </c>
      <c r="K287" s="1" t="s">
        <v>3783</v>
      </c>
      <c r="L287" s="1" t="s">
        <v>3800</v>
      </c>
      <c r="M287" s="1" t="s">
        <v>51</v>
      </c>
      <c r="N287" t="str">
        <f t="shared" si="14"/>
        <v>Expense</v>
      </c>
      <c r="O287" t="str">
        <f t="shared" si="15"/>
        <v>Flag: High-Value Pending</v>
      </c>
    </row>
    <row r="288" spans="1:15" x14ac:dyDescent="0.25">
      <c r="A288" s="1" t="s">
        <v>4115</v>
      </c>
      <c r="B288" s="1" t="s">
        <v>4877</v>
      </c>
      <c r="C288" s="1" t="s">
        <v>3806</v>
      </c>
      <c r="D288" s="1" t="s">
        <v>3867</v>
      </c>
      <c r="E288">
        <v>346055</v>
      </c>
      <c r="F288">
        <v>292280</v>
      </c>
      <c r="G288">
        <f t="shared" si="13"/>
        <v>53775</v>
      </c>
      <c r="H288">
        <v>53775</v>
      </c>
      <c r="I288" s="3">
        <v>44983</v>
      </c>
      <c r="J288" s="1" t="s">
        <v>3790</v>
      </c>
      <c r="K288" s="1" t="s">
        <v>3791</v>
      </c>
      <c r="L288" s="1" t="s">
        <v>3804</v>
      </c>
      <c r="M288" s="1" t="s">
        <v>3809</v>
      </c>
      <c r="N288" t="str">
        <f t="shared" si="14"/>
        <v>Expense</v>
      </c>
      <c r="O288" t="str">
        <f t="shared" si="15"/>
        <v/>
      </c>
    </row>
    <row r="289" spans="1:15" x14ac:dyDescent="0.25">
      <c r="A289" s="1" t="s">
        <v>4116</v>
      </c>
      <c r="B289" s="1" t="s">
        <v>3839</v>
      </c>
      <c r="C289" s="1" t="s">
        <v>3848</v>
      </c>
      <c r="D289" s="1" t="s">
        <v>3796</v>
      </c>
      <c r="E289">
        <v>370801</v>
      </c>
      <c r="F289">
        <v>399115.32</v>
      </c>
      <c r="G289">
        <f t="shared" si="13"/>
        <v>-28314.320000000007</v>
      </c>
      <c r="H289">
        <v>-28314.32</v>
      </c>
      <c r="I289" s="3">
        <v>45414</v>
      </c>
      <c r="J289" s="1" t="s">
        <v>3790</v>
      </c>
      <c r="K289" s="1" t="s">
        <v>3803</v>
      </c>
      <c r="L289" s="1" t="s">
        <v>3800</v>
      </c>
      <c r="M289" s="1" t="s">
        <v>3792</v>
      </c>
      <c r="N289" t="str">
        <f t="shared" si="14"/>
        <v>Expense</v>
      </c>
      <c r="O289" t="str">
        <f t="shared" si="15"/>
        <v/>
      </c>
    </row>
    <row r="290" spans="1:15" x14ac:dyDescent="0.25">
      <c r="A290" s="1" t="s">
        <v>4117</v>
      </c>
      <c r="B290" s="1" t="s">
        <v>3794</v>
      </c>
      <c r="C290" s="1" t="s">
        <v>3844</v>
      </c>
      <c r="D290" s="1" t="s">
        <v>3826</v>
      </c>
      <c r="E290">
        <v>150199</v>
      </c>
      <c r="F290">
        <v>192054.12</v>
      </c>
      <c r="G290">
        <f t="shared" si="13"/>
        <v>-41855.119999999995</v>
      </c>
      <c r="H290">
        <v>-41855.120000000003</v>
      </c>
      <c r="I290" s="3">
        <v>45305</v>
      </c>
      <c r="J290" s="1" t="s">
        <v>3790</v>
      </c>
      <c r="K290" s="1" t="s">
        <v>3783</v>
      </c>
      <c r="L290" s="1" t="s">
        <v>3784</v>
      </c>
      <c r="M290" s="1" t="s">
        <v>3785</v>
      </c>
      <c r="N290" t="str">
        <f t="shared" si="14"/>
        <v>Expense</v>
      </c>
      <c r="O290" t="str">
        <f t="shared" si="15"/>
        <v/>
      </c>
    </row>
    <row r="291" spans="1:15" x14ac:dyDescent="0.25">
      <c r="A291" s="1" t="s">
        <v>4118</v>
      </c>
      <c r="B291" s="1" t="s">
        <v>3794</v>
      </c>
      <c r="C291" s="1" t="s">
        <v>3812</v>
      </c>
      <c r="D291" s="1" t="s">
        <v>3813</v>
      </c>
      <c r="E291">
        <v>291041</v>
      </c>
      <c r="F291">
        <v>358620.07</v>
      </c>
      <c r="G291">
        <f t="shared" si="13"/>
        <v>-67579.070000000007</v>
      </c>
      <c r="H291">
        <v>-67579.070000000007</v>
      </c>
      <c r="I291" s="3">
        <v>45082</v>
      </c>
      <c r="J291" s="1" t="s">
        <v>3790</v>
      </c>
      <c r="K291" s="1" t="s">
        <v>3803</v>
      </c>
      <c r="L291" s="1" t="s">
        <v>3784</v>
      </c>
      <c r="M291" s="1" t="s">
        <v>3831</v>
      </c>
      <c r="N291" t="str">
        <f t="shared" si="14"/>
        <v>Expense</v>
      </c>
      <c r="O291" t="str">
        <f t="shared" si="15"/>
        <v/>
      </c>
    </row>
    <row r="292" spans="1:15" x14ac:dyDescent="0.25">
      <c r="A292" s="1" t="s">
        <v>4119</v>
      </c>
      <c r="B292" s="1" t="s">
        <v>3828</v>
      </c>
      <c r="C292" s="1" t="s">
        <v>3861</v>
      </c>
      <c r="D292" s="1" t="s">
        <v>3826</v>
      </c>
      <c r="E292">
        <v>211857</v>
      </c>
      <c r="F292">
        <v>256056.27</v>
      </c>
      <c r="G292">
        <f t="shared" si="13"/>
        <v>-44199.26999999999</v>
      </c>
      <c r="H292">
        <v>-44199.27</v>
      </c>
      <c r="I292" s="3">
        <v>45533</v>
      </c>
      <c r="J292" s="1" t="s">
        <v>3790</v>
      </c>
      <c r="K292" s="1" t="s">
        <v>3783</v>
      </c>
      <c r="L292" s="1" t="s">
        <v>3800</v>
      </c>
      <c r="M292" s="1" t="s">
        <v>3817</v>
      </c>
      <c r="N292" t="str">
        <f t="shared" si="14"/>
        <v>Expense</v>
      </c>
      <c r="O292" t="str">
        <f t="shared" si="15"/>
        <v/>
      </c>
    </row>
    <row r="293" spans="1:15" x14ac:dyDescent="0.25">
      <c r="A293" s="1" t="s">
        <v>4120</v>
      </c>
      <c r="B293" s="1" t="s">
        <v>3794</v>
      </c>
      <c r="C293" s="1" t="s">
        <v>3844</v>
      </c>
      <c r="D293" s="1" t="s">
        <v>3846</v>
      </c>
      <c r="E293">
        <v>251802</v>
      </c>
      <c r="F293">
        <v>303026.15000000002</v>
      </c>
      <c r="G293">
        <f t="shared" si="13"/>
        <v>-51224.150000000023</v>
      </c>
      <c r="H293">
        <v>-51224.15</v>
      </c>
      <c r="I293" s="3">
        <v>45446</v>
      </c>
      <c r="J293" s="1" t="s">
        <v>3790</v>
      </c>
      <c r="K293" s="1" t="s">
        <v>3803</v>
      </c>
      <c r="L293" s="1" t="s">
        <v>3800</v>
      </c>
      <c r="M293" s="1" t="s">
        <v>3792</v>
      </c>
      <c r="N293" t="str">
        <f t="shared" si="14"/>
        <v>Expense</v>
      </c>
      <c r="O293" t="str">
        <f t="shared" si="15"/>
        <v/>
      </c>
    </row>
    <row r="294" spans="1:15" x14ac:dyDescent="0.25">
      <c r="A294" s="1" t="s">
        <v>4121</v>
      </c>
      <c r="B294" s="1" t="s">
        <v>3839</v>
      </c>
      <c r="C294" s="1" t="s">
        <v>3844</v>
      </c>
      <c r="D294" s="1" t="s">
        <v>3850</v>
      </c>
      <c r="E294">
        <v>76656</v>
      </c>
      <c r="F294">
        <v>71437.11</v>
      </c>
      <c r="G294">
        <f t="shared" si="13"/>
        <v>5218.8899999999994</v>
      </c>
      <c r="H294">
        <v>5218.8900000000003</v>
      </c>
      <c r="I294" s="3">
        <v>45348</v>
      </c>
      <c r="J294" s="1" t="s">
        <v>3790</v>
      </c>
      <c r="K294" s="1" t="s">
        <v>3783</v>
      </c>
      <c r="L294" s="1" t="s">
        <v>3784</v>
      </c>
      <c r="M294" s="1" t="s">
        <v>51</v>
      </c>
      <c r="N294" t="str">
        <f t="shared" si="14"/>
        <v>Expense</v>
      </c>
      <c r="O294" t="str">
        <f t="shared" si="15"/>
        <v/>
      </c>
    </row>
    <row r="295" spans="1:15" x14ac:dyDescent="0.25">
      <c r="A295" s="1" t="s">
        <v>4122</v>
      </c>
      <c r="B295" s="1" t="s">
        <v>3798</v>
      </c>
      <c r="C295" s="1" t="s">
        <v>3825</v>
      </c>
      <c r="D295" s="1" t="s">
        <v>3816</v>
      </c>
      <c r="E295">
        <v>362710</v>
      </c>
      <c r="F295">
        <v>366215.27</v>
      </c>
      <c r="G295">
        <f t="shared" si="13"/>
        <v>-3505.2700000000186</v>
      </c>
      <c r="H295">
        <v>-3505.27</v>
      </c>
      <c r="I295" s="3">
        <v>45567</v>
      </c>
      <c r="J295" s="1" t="s">
        <v>3790</v>
      </c>
      <c r="K295" s="1" t="s">
        <v>3823</v>
      </c>
      <c r="L295" s="1" t="s">
        <v>3800</v>
      </c>
      <c r="M295" s="1" t="s">
        <v>3817</v>
      </c>
      <c r="N295" t="str">
        <f t="shared" si="14"/>
        <v>Expense</v>
      </c>
      <c r="O295" t="str">
        <f t="shared" si="15"/>
        <v/>
      </c>
    </row>
    <row r="296" spans="1:15" x14ac:dyDescent="0.25">
      <c r="A296" s="1" t="s">
        <v>4123</v>
      </c>
      <c r="B296" s="1" t="s">
        <v>3811</v>
      </c>
      <c r="C296" s="1" t="s">
        <v>3780</v>
      </c>
      <c r="D296" s="1" t="s">
        <v>3802</v>
      </c>
      <c r="E296">
        <v>10572</v>
      </c>
      <c r="F296">
        <v>9878.34</v>
      </c>
      <c r="G296">
        <f t="shared" si="13"/>
        <v>693.65999999999985</v>
      </c>
      <c r="H296">
        <v>693.66</v>
      </c>
      <c r="I296" s="3">
        <v>45165</v>
      </c>
      <c r="J296" s="1" t="s">
        <v>3790</v>
      </c>
      <c r="K296" s="1" t="s">
        <v>3791</v>
      </c>
      <c r="L296" s="1" t="s">
        <v>3784</v>
      </c>
      <c r="M296" s="1" t="s">
        <v>51</v>
      </c>
      <c r="N296" t="str">
        <f t="shared" si="14"/>
        <v>Expense</v>
      </c>
      <c r="O296" t="str">
        <f t="shared" si="15"/>
        <v/>
      </c>
    </row>
    <row r="297" spans="1:15" x14ac:dyDescent="0.25">
      <c r="A297" s="1" t="s">
        <v>4124</v>
      </c>
      <c r="B297" s="1" t="s">
        <v>3808</v>
      </c>
      <c r="C297" s="1" t="s">
        <v>3815</v>
      </c>
      <c r="D297" s="1" t="s">
        <v>3855</v>
      </c>
      <c r="E297">
        <v>16215</v>
      </c>
      <c r="F297">
        <v>15546.6</v>
      </c>
      <c r="G297">
        <f t="shared" si="13"/>
        <v>668.39999999999964</v>
      </c>
      <c r="H297">
        <v>668.4</v>
      </c>
      <c r="I297" s="3">
        <v>45459</v>
      </c>
      <c r="J297" s="1" t="s">
        <v>3859</v>
      </c>
      <c r="K297" s="1" t="s">
        <v>3783</v>
      </c>
      <c r="L297" s="1" t="s">
        <v>3800</v>
      </c>
      <c r="M297" s="1" t="s">
        <v>3831</v>
      </c>
      <c r="N297" t="str">
        <f t="shared" si="14"/>
        <v>Expense</v>
      </c>
      <c r="O297" t="str">
        <f t="shared" si="15"/>
        <v/>
      </c>
    </row>
    <row r="298" spans="1:15" x14ac:dyDescent="0.25">
      <c r="A298" s="1" t="s">
        <v>4125</v>
      </c>
      <c r="B298" s="1" t="s">
        <v>3798</v>
      </c>
      <c r="C298" s="1" t="s">
        <v>3795</v>
      </c>
      <c r="D298" s="1" t="s">
        <v>3846</v>
      </c>
      <c r="E298">
        <v>415913</v>
      </c>
      <c r="F298">
        <v>384867.42</v>
      </c>
      <c r="G298">
        <f t="shared" si="13"/>
        <v>31045.580000000016</v>
      </c>
      <c r="H298">
        <v>31045.58</v>
      </c>
      <c r="I298" s="3">
        <v>45712</v>
      </c>
      <c r="J298" s="1" t="s">
        <v>3790</v>
      </c>
      <c r="K298" s="1" t="s">
        <v>3803</v>
      </c>
      <c r="L298" s="1" t="s">
        <v>3800</v>
      </c>
      <c r="M298" s="1" t="s">
        <v>3817</v>
      </c>
      <c r="N298" t="str">
        <f t="shared" si="14"/>
        <v>Expense</v>
      </c>
      <c r="O298" t="str">
        <f t="shared" si="15"/>
        <v/>
      </c>
    </row>
    <row r="299" spans="1:15" x14ac:dyDescent="0.25">
      <c r="A299" s="1" t="s">
        <v>4126</v>
      </c>
      <c r="B299" s="1" t="s">
        <v>3828</v>
      </c>
      <c r="C299" s="1" t="s">
        <v>3825</v>
      </c>
      <c r="D299" s="1" t="s">
        <v>3867</v>
      </c>
      <c r="E299">
        <v>459471</v>
      </c>
      <c r="F299">
        <v>437328.44</v>
      </c>
      <c r="G299">
        <f t="shared" si="13"/>
        <v>22142.559999999998</v>
      </c>
      <c r="H299">
        <v>22142.560000000001</v>
      </c>
      <c r="I299" s="3">
        <v>45105</v>
      </c>
      <c r="J299" s="1" t="s">
        <v>3782</v>
      </c>
      <c r="K299" s="1" t="s">
        <v>3803</v>
      </c>
      <c r="L299" s="1" t="s">
        <v>3784</v>
      </c>
      <c r="M299" s="1" t="s">
        <v>3809</v>
      </c>
      <c r="N299" t="str">
        <f t="shared" si="14"/>
        <v>Expense</v>
      </c>
      <c r="O299" t="str">
        <f t="shared" si="15"/>
        <v>Flag: High-Value Pending</v>
      </c>
    </row>
    <row r="300" spans="1:15" x14ac:dyDescent="0.25">
      <c r="A300" s="1" t="s">
        <v>4127</v>
      </c>
      <c r="B300" s="1" t="s">
        <v>3828</v>
      </c>
      <c r="C300" s="1" t="s">
        <v>3861</v>
      </c>
      <c r="D300" s="1" t="s">
        <v>3789</v>
      </c>
      <c r="E300">
        <v>356518</v>
      </c>
      <c r="F300">
        <v>384593.26</v>
      </c>
      <c r="G300">
        <f t="shared" si="13"/>
        <v>-28075.260000000009</v>
      </c>
      <c r="H300">
        <v>-28075.26</v>
      </c>
      <c r="I300" s="3">
        <v>45210</v>
      </c>
      <c r="J300" s="1" t="s">
        <v>3790</v>
      </c>
      <c r="K300" s="1" t="s">
        <v>3803</v>
      </c>
      <c r="L300" s="1" t="s">
        <v>3784</v>
      </c>
      <c r="M300" s="1" t="s">
        <v>3817</v>
      </c>
      <c r="N300" t="str">
        <f t="shared" si="14"/>
        <v>Expense</v>
      </c>
      <c r="O300" t="str">
        <f t="shared" si="15"/>
        <v/>
      </c>
    </row>
    <row r="301" spans="1:15" x14ac:dyDescent="0.25">
      <c r="A301" s="1" t="s">
        <v>4128</v>
      </c>
      <c r="B301" s="1" t="s">
        <v>3811</v>
      </c>
      <c r="C301" s="1" t="s">
        <v>3780</v>
      </c>
      <c r="D301" s="1" t="s">
        <v>3799</v>
      </c>
      <c r="E301">
        <v>29243</v>
      </c>
      <c r="F301">
        <v>28194.98</v>
      </c>
      <c r="G301">
        <f t="shared" si="13"/>
        <v>1048.0200000000004</v>
      </c>
      <c r="H301">
        <v>1048.02</v>
      </c>
      <c r="I301" s="3">
        <v>45379</v>
      </c>
      <c r="J301" s="1" t="s">
        <v>3790</v>
      </c>
      <c r="K301" s="1" t="s">
        <v>3803</v>
      </c>
      <c r="L301" s="1" t="s">
        <v>3784</v>
      </c>
      <c r="M301" s="1" t="s">
        <v>3817</v>
      </c>
      <c r="N301" t="str">
        <f t="shared" si="14"/>
        <v>Expense</v>
      </c>
      <c r="O301" t="str">
        <f t="shared" si="15"/>
        <v/>
      </c>
    </row>
    <row r="302" spans="1:15" x14ac:dyDescent="0.25">
      <c r="A302" s="1" t="s">
        <v>4129</v>
      </c>
      <c r="B302" s="1" t="s">
        <v>3808</v>
      </c>
      <c r="C302" s="1" t="s">
        <v>3806</v>
      </c>
      <c r="D302" s="1" t="s">
        <v>3781</v>
      </c>
      <c r="E302">
        <v>141275</v>
      </c>
      <c r="F302">
        <v>149514.95000000001</v>
      </c>
      <c r="G302">
        <f t="shared" si="13"/>
        <v>-8239.9500000000116</v>
      </c>
      <c r="H302">
        <v>-8239.9500000000007</v>
      </c>
      <c r="I302" s="3">
        <v>45131</v>
      </c>
      <c r="J302" s="1" t="s">
        <v>3790</v>
      </c>
      <c r="K302" s="1" t="s">
        <v>3823</v>
      </c>
      <c r="L302" s="1" t="s">
        <v>3784</v>
      </c>
      <c r="M302" s="1" t="s">
        <v>3831</v>
      </c>
      <c r="N302" t="str">
        <f t="shared" si="14"/>
        <v>Expense</v>
      </c>
      <c r="O302" t="str">
        <f t="shared" si="15"/>
        <v/>
      </c>
    </row>
    <row r="303" spans="1:15" x14ac:dyDescent="0.25">
      <c r="A303" s="1" t="s">
        <v>4130</v>
      </c>
      <c r="B303" s="1" t="s">
        <v>3787</v>
      </c>
      <c r="C303" s="1" t="s">
        <v>3821</v>
      </c>
      <c r="D303" s="1" t="s">
        <v>3834</v>
      </c>
      <c r="E303">
        <v>419574</v>
      </c>
      <c r="F303">
        <v>390433.1</v>
      </c>
      <c r="G303">
        <f t="shared" si="13"/>
        <v>29140.900000000023</v>
      </c>
      <c r="H303">
        <v>29140.9</v>
      </c>
      <c r="I303" s="3">
        <v>44989</v>
      </c>
      <c r="J303" s="1" t="s">
        <v>3790</v>
      </c>
      <c r="K303" s="1" t="s">
        <v>3783</v>
      </c>
      <c r="L303" s="1" t="s">
        <v>3804</v>
      </c>
      <c r="M303" s="1" t="s">
        <v>51</v>
      </c>
      <c r="N303" t="str">
        <f t="shared" si="14"/>
        <v>Expense</v>
      </c>
      <c r="O303" t="str">
        <f t="shared" si="15"/>
        <v/>
      </c>
    </row>
    <row r="304" spans="1:15" x14ac:dyDescent="0.25">
      <c r="A304" s="1" t="s">
        <v>4131</v>
      </c>
      <c r="B304" s="1" t="s">
        <v>3828</v>
      </c>
      <c r="C304" s="1" t="s">
        <v>3795</v>
      </c>
      <c r="D304" s="1" t="s">
        <v>3822</v>
      </c>
      <c r="E304">
        <v>163344</v>
      </c>
      <c r="F304">
        <v>206602.59</v>
      </c>
      <c r="G304">
        <f t="shared" si="13"/>
        <v>-43258.59</v>
      </c>
      <c r="H304">
        <v>-43258.59</v>
      </c>
      <c r="I304" s="3">
        <v>45159</v>
      </c>
      <c r="J304" s="1" t="s">
        <v>3782</v>
      </c>
      <c r="K304" s="1" t="s">
        <v>3783</v>
      </c>
      <c r="L304" s="1" t="s">
        <v>3784</v>
      </c>
      <c r="M304" s="1" t="s">
        <v>3817</v>
      </c>
      <c r="N304" t="str">
        <f t="shared" si="14"/>
        <v>Expense</v>
      </c>
      <c r="O304" t="str">
        <f t="shared" si="15"/>
        <v/>
      </c>
    </row>
    <row r="305" spans="1:15" x14ac:dyDescent="0.25">
      <c r="A305" s="1" t="s">
        <v>4132</v>
      </c>
      <c r="B305" s="1" t="s">
        <v>3828</v>
      </c>
      <c r="C305" s="1" t="s">
        <v>3780</v>
      </c>
      <c r="D305" s="1" t="s">
        <v>3895</v>
      </c>
      <c r="E305">
        <v>384800</v>
      </c>
      <c r="F305">
        <v>444252.73</v>
      </c>
      <c r="G305">
        <f t="shared" si="13"/>
        <v>-59452.729999999981</v>
      </c>
      <c r="H305">
        <v>-59452.73</v>
      </c>
      <c r="I305" s="3">
        <v>45231</v>
      </c>
      <c r="J305" s="1" t="s">
        <v>3790</v>
      </c>
      <c r="K305" s="1" t="s">
        <v>3803</v>
      </c>
      <c r="L305" s="1" t="s">
        <v>3784</v>
      </c>
      <c r="M305" s="1" t="s">
        <v>51</v>
      </c>
      <c r="N305" t="str">
        <f t="shared" si="14"/>
        <v>Expense</v>
      </c>
      <c r="O305" t="str">
        <f t="shared" si="15"/>
        <v/>
      </c>
    </row>
    <row r="306" spans="1:15" x14ac:dyDescent="0.25">
      <c r="A306" s="1" t="s">
        <v>4133</v>
      </c>
      <c r="B306" s="1" t="s">
        <v>4877</v>
      </c>
      <c r="C306" s="1" t="s">
        <v>3848</v>
      </c>
      <c r="D306" s="1" t="s">
        <v>3837</v>
      </c>
      <c r="E306">
        <v>363889</v>
      </c>
      <c r="F306">
        <v>336570.16</v>
      </c>
      <c r="G306">
        <f t="shared" si="13"/>
        <v>27318.840000000026</v>
      </c>
      <c r="H306">
        <v>27318.84</v>
      </c>
      <c r="I306" s="3">
        <v>45506</v>
      </c>
      <c r="J306" s="1" t="s">
        <v>3782</v>
      </c>
      <c r="K306" s="1" t="s">
        <v>3823</v>
      </c>
      <c r="L306" s="1" t="s">
        <v>3800</v>
      </c>
      <c r="M306" s="1" t="s">
        <v>3792</v>
      </c>
      <c r="N306" t="str">
        <f t="shared" si="14"/>
        <v>Expense</v>
      </c>
      <c r="O306" t="str">
        <f t="shared" si="15"/>
        <v>Flag: High-Value Pending</v>
      </c>
    </row>
    <row r="307" spans="1:15" x14ac:dyDescent="0.25">
      <c r="A307" s="1" t="s">
        <v>4134</v>
      </c>
      <c r="B307" s="1" t="s">
        <v>3787</v>
      </c>
      <c r="C307" s="1" t="s">
        <v>3848</v>
      </c>
      <c r="D307" s="1" t="s">
        <v>3867</v>
      </c>
      <c r="E307">
        <v>268970</v>
      </c>
      <c r="F307">
        <v>257710.55</v>
      </c>
      <c r="G307">
        <f t="shared" si="13"/>
        <v>11259.450000000012</v>
      </c>
      <c r="H307">
        <v>11259.45</v>
      </c>
      <c r="I307" s="3">
        <v>45369</v>
      </c>
      <c r="J307" s="1" t="s">
        <v>3859</v>
      </c>
      <c r="K307" s="1" t="s">
        <v>3823</v>
      </c>
      <c r="L307" s="1" t="s">
        <v>3784</v>
      </c>
      <c r="M307" s="1" t="s">
        <v>51</v>
      </c>
      <c r="N307" t="str">
        <f t="shared" si="14"/>
        <v>Expense</v>
      </c>
      <c r="O307" t="str">
        <f t="shared" si="15"/>
        <v>Flag: High-Value Rejected</v>
      </c>
    </row>
    <row r="308" spans="1:15" x14ac:dyDescent="0.25">
      <c r="A308" s="1" t="s">
        <v>4135</v>
      </c>
      <c r="B308" s="1" t="s">
        <v>3839</v>
      </c>
      <c r="C308" s="1" t="s">
        <v>3815</v>
      </c>
      <c r="D308" s="1" t="s">
        <v>3816</v>
      </c>
      <c r="E308">
        <v>346860</v>
      </c>
      <c r="F308">
        <v>288543.01</v>
      </c>
      <c r="G308">
        <f t="shared" si="13"/>
        <v>58316.989999999991</v>
      </c>
      <c r="H308">
        <v>58316.99</v>
      </c>
      <c r="I308" s="3">
        <v>45421</v>
      </c>
      <c r="J308" s="1" t="s">
        <v>3790</v>
      </c>
      <c r="K308" s="1" t="s">
        <v>3783</v>
      </c>
      <c r="L308" s="1" t="s">
        <v>3800</v>
      </c>
      <c r="M308" s="1" t="s">
        <v>51</v>
      </c>
      <c r="N308" t="str">
        <f t="shared" si="14"/>
        <v>Expense</v>
      </c>
      <c r="O308" t="str">
        <f t="shared" si="15"/>
        <v/>
      </c>
    </row>
    <row r="309" spans="1:15" x14ac:dyDescent="0.25">
      <c r="A309" s="1" t="s">
        <v>4136</v>
      </c>
      <c r="B309" s="1" t="s">
        <v>3787</v>
      </c>
      <c r="C309" s="1" t="s">
        <v>3825</v>
      </c>
      <c r="D309" s="1" t="s">
        <v>3781</v>
      </c>
      <c r="E309">
        <v>240676</v>
      </c>
      <c r="F309">
        <v>225254.53</v>
      </c>
      <c r="G309">
        <f t="shared" si="13"/>
        <v>15421.470000000001</v>
      </c>
      <c r="H309">
        <v>15421.47</v>
      </c>
      <c r="I309" s="3">
        <v>45530</v>
      </c>
      <c r="J309" s="1" t="s">
        <v>3790</v>
      </c>
      <c r="K309" s="1" t="s">
        <v>3783</v>
      </c>
      <c r="L309" s="1" t="s">
        <v>3800</v>
      </c>
      <c r="M309" s="1" t="s">
        <v>3831</v>
      </c>
      <c r="N309" t="str">
        <f t="shared" si="14"/>
        <v>Expense</v>
      </c>
      <c r="O309" t="str">
        <f t="shared" si="15"/>
        <v/>
      </c>
    </row>
    <row r="310" spans="1:15" x14ac:dyDescent="0.25">
      <c r="A310" s="1" t="s">
        <v>4137</v>
      </c>
      <c r="B310" s="1" t="s">
        <v>4877</v>
      </c>
      <c r="C310" s="1" t="s">
        <v>3825</v>
      </c>
      <c r="D310" s="1" t="s">
        <v>3837</v>
      </c>
      <c r="E310">
        <v>229898</v>
      </c>
      <c r="F310">
        <v>203605.91</v>
      </c>
      <c r="G310">
        <f t="shared" si="13"/>
        <v>26292.089999999997</v>
      </c>
      <c r="H310">
        <v>26292.09</v>
      </c>
      <c r="I310" s="3">
        <v>45618</v>
      </c>
      <c r="J310" s="1" t="s">
        <v>3790</v>
      </c>
      <c r="K310" s="1" t="s">
        <v>3803</v>
      </c>
      <c r="L310" s="1" t="s">
        <v>3800</v>
      </c>
      <c r="M310" s="1" t="s">
        <v>51</v>
      </c>
      <c r="N310" t="str">
        <f t="shared" si="14"/>
        <v>Expense</v>
      </c>
      <c r="O310" t="str">
        <f t="shared" si="15"/>
        <v/>
      </c>
    </row>
    <row r="311" spans="1:15" x14ac:dyDescent="0.25">
      <c r="A311" s="1" t="s">
        <v>4138</v>
      </c>
      <c r="B311" s="1" t="s">
        <v>3808</v>
      </c>
      <c r="C311" s="1" t="s">
        <v>3815</v>
      </c>
      <c r="D311" s="1" t="s">
        <v>3846</v>
      </c>
      <c r="E311">
        <v>132424</v>
      </c>
      <c r="F311">
        <v>109111.86</v>
      </c>
      <c r="G311">
        <f t="shared" si="13"/>
        <v>23312.14</v>
      </c>
      <c r="H311">
        <v>23312.14</v>
      </c>
      <c r="I311" s="3">
        <v>45028</v>
      </c>
      <c r="J311" s="1" t="s">
        <v>3782</v>
      </c>
      <c r="K311" s="1" t="s">
        <v>3823</v>
      </c>
      <c r="L311" s="1" t="s">
        <v>3784</v>
      </c>
      <c r="M311" s="1" t="s">
        <v>51</v>
      </c>
      <c r="N311" t="str">
        <f t="shared" si="14"/>
        <v>Expense</v>
      </c>
      <c r="O311" t="str">
        <f t="shared" si="15"/>
        <v/>
      </c>
    </row>
    <row r="312" spans="1:15" x14ac:dyDescent="0.25">
      <c r="A312" s="1" t="s">
        <v>4139</v>
      </c>
      <c r="B312" s="1" t="s">
        <v>3798</v>
      </c>
      <c r="C312" s="1" t="s">
        <v>3861</v>
      </c>
      <c r="D312" s="1" t="s">
        <v>3850</v>
      </c>
      <c r="E312">
        <v>100845</v>
      </c>
      <c r="F312">
        <v>120316.66</v>
      </c>
      <c r="G312">
        <f t="shared" si="13"/>
        <v>-19471.660000000003</v>
      </c>
      <c r="H312">
        <v>-19471.66</v>
      </c>
      <c r="I312" s="3">
        <v>45720</v>
      </c>
      <c r="J312" s="1" t="s">
        <v>3790</v>
      </c>
      <c r="K312" s="1" t="s">
        <v>3791</v>
      </c>
      <c r="L312" s="1" t="s">
        <v>3800</v>
      </c>
      <c r="M312" s="1" t="s">
        <v>51</v>
      </c>
      <c r="N312" t="str">
        <f t="shared" si="14"/>
        <v>Expense</v>
      </c>
      <c r="O312" t="str">
        <f t="shared" si="15"/>
        <v/>
      </c>
    </row>
    <row r="313" spans="1:15" x14ac:dyDescent="0.25">
      <c r="A313" s="1" t="s">
        <v>4140</v>
      </c>
      <c r="B313" s="1" t="s">
        <v>3828</v>
      </c>
      <c r="C313" s="1" t="s">
        <v>3815</v>
      </c>
      <c r="D313" s="1" t="s">
        <v>3826</v>
      </c>
      <c r="E313">
        <v>3599626</v>
      </c>
      <c r="F313">
        <v>3224517.74</v>
      </c>
      <c r="G313">
        <f t="shared" si="13"/>
        <v>375108.25999999978</v>
      </c>
      <c r="H313">
        <v>375108.26</v>
      </c>
      <c r="I313" s="3">
        <v>45407</v>
      </c>
      <c r="J313" s="1" t="s">
        <v>3790</v>
      </c>
      <c r="K313" s="1" t="s">
        <v>3791</v>
      </c>
      <c r="L313" s="1" t="s">
        <v>3800</v>
      </c>
      <c r="M313" s="1" t="s">
        <v>3809</v>
      </c>
      <c r="N313" t="str">
        <f t="shared" si="14"/>
        <v>Expense</v>
      </c>
      <c r="O313" t="str">
        <f t="shared" si="15"/>
        <v/>
      </c>
    </row>
    <row r="314" spans="1:15" x14ac:dyDescent="0.25">
      <c r="A314" s="1" t="s">
        <v>4141</v>
      </c>
      <c r="B314" s="1" t="s">
        <v>3839</v>
      </c>
      <c r="C314" s="1" t="s">
        <v>3858</v>
      </c>
      <c r="D314" s="1" t="s">
        <v>3837</v>
      </c>
      <c r="E314">
        <v>78374</v>
      </c>
      <c r="F314">
        <v>77099.360000000001</v>
      </c>
      <c r="G314">
        <f t="shared" si="13"/>
        <v>1274.6399999999994</v>
      </c>
      <c r="H314">
        <v>1274.6400000000001</v>
      </c>
      <c r="I314" s="3">
        <v>45178</v>
      </c>
      <c r="J314" s="1" t="s">
        <v>3790</v>
      </c>
      <c r="K314" s="1" t="s">
        <v>3803</v>
      </c>
      <c r="L314" s="1" t="s">
        <v>3784</v>
      </c>
      <c r="M314" s="1" t="s">
        <v>51</v>
      </c>
      <c r="N314" t="str">
        <f t="shared" si="14"/>
        <v>Expense</v>
      </c>
      <c r="O314" t="str">
        <f t="shared" si="15"/>
        <v/>
      </c>
    </row>
    <row r="315" spans="1:15" x14ac:dyDescent="0.25">
      <c r="A315" s="1" t="s">
        <v>4142</v>
      </c>
      <c r="B315" s="1" t="s">
        <v>3798</v>
      </c>
      <c r="C315" s="1" t="s">
        <v>3806</v>
      </c>
      <c r="D315" s="1" t="s">
        <v>3867</v>
      </c>
      <c r="E315">
        <v>476567</v>
      </c>
      <c r="F315">
        <v>513028.09</v>
      </c>
      <c r="G315">
        <f t="shared" si="13"/>
        <v>-36461.090000000026</v>
      </c>
      <c r="H315">
        <v>-36461.089999999997</v>
      </c>
      <c r="I315" s="3">
        <v>45048</v>
      </c>
      <c r="J315" s="1" t="s">
        <v>3790</v>
      </c>
      <c r="K315" s="1" t="s">
        <v>3791</v>
      </c>
      <c r="L315" s="1" t="s">
        <v>3784</v>
      </c>
      <c r="M315" s="1" t="s">
        <v>51</v>
      </c>
      <c r="N315" t="str">
        <f t="shared" si="14"/>
        <v>Expense</v>
      </c>
      <c r="O315" t="str">
        <f t="shared" si="15"/>
        <v/>
      </c>
    </row>
    <row r="316" spans="1:15" x14ac:dyDescent="0.25">
      <c r="A316" s="1" t="s">
        <v>4143</v>
      </c>
      <c r="B316" s="1" t="s">
        <v>3839</v>
      </c>
      <c r="C316" s="1" t="s">
        <v>3821</v>
      </c>
      <c r="D316" s="1" t="s">
        <v>3816</v>
      </c>
      <c r="E316">
        <v>139446</v>
      </c>
      <c r="F316">
        <v>169737.73</v>
      </c>
      <c r="G316">
        <f t="shared" si="13"/>
        <v>-30291.73000000001</v>
      </c>
      <c r="H316">
        <v>-30291.73</v>
      </c>
      <c r="I316" s="3">
        <v>45516</v>
      </c>
      <c r="J316" s="1" t="s">
        <v>3790</v>
      </c>
      <c r="K316" s="1" t="s">
        <v>3823</v>
      </c>
      <c r="L316" s="1" t="s">
        <v>3800</v>
      </c>
      <c r="M316" s="1" t="s">
        <v>3831</v>
      </c>
      <c r="N316" t="str">
        <f t="shared" si="14"/>
        <v>Expense</v>
      </c>
      <c r="O316" t="str">
        <f t="shared" si="15"/>
        <v/>
      </c>
    </row>
    <row r="317" spans="1:15" x14ac:dyDescent="0.25">
      <c r="A317" s="1" t="s">
        <v>4144</v>
      </c>
      <c r="B317" s="1" t="s">
        <v>3808</v>
      </c>
      <c r="C317" s="1" t="s">
        <v>3815</v>
      </c>
      <c r="D317" s="1" t="s">
        <v>3826</v>
      </c>
      <c r="E317">
        <v>136563</v>
      </c>
      <c r="F317">
        <v>162916.26</v>
      </c>
      <c r="G317">
        <f t="shared" si="13"/>
        <v>-26353.260000000009</v>
      </c>
      <c r="I317" s="3">
        <v>45207</v>
      </c>
      <c r="J317" s="1" t="s">
        <v>3790</v>
      </c>
      <c r="K317" s="1" t="s">
        <v>3783</v>
      </c>
      <c r="L317" s="1" t="s">
        <v>3784</v>
      </c>
      <c r="M317" s="1" t="s">
        <v>51</v>
      </c>
      <c r="N317" t="str">
        <f t="shared" si="14"/>
        <v>Expense</v>
      </c>
      <c r="O317" t="str">
        <f t="shared" si="15"/>
        <v/>
      </c>
    </row>
    <row r="318" spans="1:15" x14ac:dyDescent="0.25">
      <c r="A318" s="1" t="s">
        <v>4145</v>
      </c>
      <c r="B318" s="1" t="s">
        <v>4877</v>
      </c>
      <c r="C318" s="1" t="s">
        <v>3815</v>
      </c>
      <c r="D318" s="1" t="s">
        <v>3855</v>
      </c>
      <c r="E318">
        <v>22382</v>
      </c>
      <c r="F318">
        <v>18042.599999999999</v>
      </c>
      <c r="G318">
        <f t="shared" si="13"/>
        <v>4339.4000000000015</v>
      </c>
      <c r="H318">
        <v>4339.3999999999996</v>
      </c>
      <c r="I318" s="3">
        <v>45184</v>
      </c>
      <c r="J318" s="1" t="s">
        <v>3782</v>
      </c>
      <c r="K318" s="1" t="s">
        <v>3823</v>
      </c>
      <c r="L318" s="1" t="s">
        <v>3784</v>
      </c>
      <c r="M318" s="1" t="s">
        <v>51</v>
      </c>
      <c r="N318" t="str">
        <f t="shared" si="14"/>
        <v>Expense</v>
      </c>
      <c r="O318" t="str">
        <f t="shared" si="15"/>
        <v/>
      </c>
    </row>
    <row r="319" spans="1:15" x14ac:dyDescent="0.25">
      <c r="A319" s="1" t="s">
        <v>4146</v>
      </c>
      <c r="B319" s="1" t="s">
        <v>3808</v>
      </c>
      <c r="C319" s="1" t="s">
        <v>3821</v>
      </c>
      <c r="D319" s="1" t="s">
        <v>3822</v>
      </c>
      <c r="E319">
        <v>155451</v>
      </c>
      <c r="F319">
        <v>144377.19</v>
      </c>
      <c r="G319">
        <f t="shared" si="13"/>
        <v>11073.809999999998</v>
      </c>
      <c r="H319">
        <v>11073.81</v>
      </c>
      <c r="I319" s="3">
        <v>45394</v>
      </c>
      <c r="J319" s="1" t="s">
        <v>3790</v>
      </c>
      <c r="K319" s="1" t="s">
        <v>3803</v>
      </c>
      <c r="L319" s="1" t="s">
        <v>3800</v>
      </c>
      <c r="M319" s="1" t="s">
        <v>51</v>
      </c>
      <c r="N319" t="str">
        <f t="shared" si="14"/>
        <v>Expense</v>
      </c>
      <c r="O319" t="str">
        <f t="shared" si="15"/>
        <v/>
      </c>
    </row>
    <row r="320" spans="1:15" x14ac:dyDescent="0.25">
      <c r="A320" s="1" t="s">
        <v>4147</v>
      </c>
      <c r="B320" s="1" t="s">
        <v>3808</v>
      </c>
      <c r="C320" s="1" t="s">
        <v>3825</v>
      </c>
      <c r="D320" s="1" t="s">
        <v>3822</v>
      </c>
      <c r="E320">
        <v>269249</v>
      </c>
      <c r="F320">
        <v>308734.33</v>
      </c>
      <c r="G320">
        <f t="shared" si="13"/>
        <v>-39485.330000000016</v>
      </c>
      <c r="I320" s="3">
        <v>45069</v>
      </c>
      <c r="J320" s="1" t="s">
        <v>3790</v>
      </c>
      <c r="K320" s="1" t="s">
        <v>3791</v>
      </c>
      <c r="L320" s="1" t="s">
        <v>3784</v>
      </c>
      <c r="M320" s="1" t="s">
        <v>3809</v>
      </c>
      <c r="N320" t="str">
        <f t="shared" si="14"/>
        <v>Expense</v>
      </c>
      <c r="O320" t="str">
        <f t="shared" si="15"/>
        <v/>
      </c>
    </row>
    <row r="321" spans="1:15" x14ac:dyDescent="0.25">
      <c r="A321" s="1" t="s">
        <v>4148</v>
      </c>
      <c r="B321" s="1" t="s">
        <v>3794</v>
      </c>
      <c r="C321" s="1" t="s">
        <v>3821</v>
      </c>
      <c r="D321" s="1" t="s">
        <v>3867</v>
      </c>
      <c r="E321">
        <v>435004</v>
      </c>
      <c r="F321">
        <v>504598.66</v>
      </c>
      <c r="G321">
        <f t="shared" si="13"/>
        <v>-69594.659999999974</v>
      </c>
      <c r="H321">
        <v>-69594.66</v>
      </c>
      <c r="I321" s="3">
        <v>44980</v>
      </c>
      <c r="J321" s="1" t="s">
        <v>3782</v>
      </c>
      <c r="K321" s="1" t="s">
        <v>3791</v>
      </c>
      <c r="L321" s="1" t="s">
        <v>3804</v>
      </c>
      <c r="M321" s="1" t="s">
        <v>3817</v>
      </c>
      <c r="N321" t="str">
        <f t="shared" si="14"/>
        <v>Expense</v>
      </c>
      <c r="O321" t="str">
        <f t="shared" si="15"/>
        <v>Flag: High-Value Pending</v>
      </c>
    </row>
    <row r="322" spans="1:15" x14ac:dyDescent="0.25">
      <c r="A322" s="1" t="s">
        <v>4149</v>
      </c>
      <c r="B322" s="1" t="s">
        <v>3787</v>
      </c>
      <c r="C322" s="1" t="s">
        <v>3858</v>
      </c>
      <c r="D322" s="1" t="s">
        <v>3837</v>
      </c>
      <c r="E322">
        <v>424596</v>
      </c>
      <c r="F322">
        <v>339971.4</v>
      </c>
      <c r="G322">
        <f t="shared" ref="G322:G385" si="16">IF(F322="","",E322-F322)</f>
        <v>84624.599999999977</v>
      </c>
      <c r="H322">
        <v>84624.6</v>
      </c>
      <c r="I322" s="3">
        <v>45569</v>
      </c>
      <c r="J322" s="1" t="s">
        <v>3782</v>
      </c>
      <c r="K322" s="1" t="s">
        <v>3783</v>
      </c>
      <c r="L322" s="1" t="s">
        <v>3800</v>
      </c>
      <c r="M322" s="1" t="s">
        <v>3792</v>
      </c>
      <c r="N322" t="str">
        <f t="shared" si="14"/>
        <v>Expense</v>
      </c>
      <c r="O322" t="str">
        <f t="shared" si="15"/>
        <v>Flag: High-Value Pending</v>
      </c>
    </row>
    <row r="323" spans="1:15" x14ac:dyDescent="0.25">
      <c r="A323" s="1" t="s">
        <v>4150</v>
      </c>
      <c r="B323" s="1" t="s">
        <v>3787</v>
      </c>
      <c r="C323" s="1" t="s">
        <v>3795</v>
      </c>
      <c r="D323" s="1" t="s">
        <v>3846</v>
      </c>
      <c r="E323">
        <v>458771</v>
      </c>
      <c r="F323">
        <v>375638.71</v>
      </c>
      <c r="G323">
        <f t="shared" si="16"/>
        <v>83132.289999999979</v>
      </c>
      <c r="H323">
        <v>83132.289999999994</v>
      </c>
      <c r="I323" s="3">
        <v>45011</v>
      </c>
      <c r="J323" s="1" t="s">
        <v>3790</v>
      </c>
      <c r="K323" s="1" t="s">
        <v>3783</v>
      </c>
      <c r="L323" s="1" t="s">
        <v>3804</v>
      </c>
      <c r="M323" s="1" t="s">
        <v>3792</v>
      </c>
      <c r="N323" t="str">
        <f t="shared" ref="N323:N386" si="17">IF(E323&lt;0,"Credit/Refund","Expense")</f>
        <v>Expense</v>
      </c>
      <c r="O323" t="str">
        <f t="shared" ref="O323:O386" si="18">IF(AND(OR(J323="Pending",J323="Rejected"),E323&gt;200000),"Flag: High-Value "&amp;J323,"")</f>
        <v/>
      </c>
    </row>
    <row r="324" spans="1:15" x14ac:dyDescent="0.25">
      <c r="A324" s="1" t="s">
        <v>4151</v>
      </c>
      <c r="B324" s="1" t="s">
        <v>3798</v>
      </c>
      <c r="C324" s="1" t="s">
        <v>3821</v>
      </c>
      <c r="D324" s="1" t="s">
        <v>3813</v>
      </c>
      <c r="E324">
        <v>377822</v>
      </c>
      <c r="F324">
        <v>320802.62</v>
      </c>
      <c r="G324">
        <f t="shared" si="16"/>
        <v>57019.380000000005</v>
      </c>
      <c r="H324">
        <v>57019.38</v>
      </c>
      <c r="I324" s="3">
        <v>45329</v>
      </c>
      <c r="J324" s="1" t="s">
        <v>3790</v>
      </c>
      <c r="K324" s="1" t="s">
        <v>3783</v>
      </c>
      <c r="L324" s="1" t="s">
        <v>3784</v>
      </c>
      <c r="M324" s="1" t="s">
        <v>3792</v>
      </c>
      <c r="N324" t="str">
        <f t="shared" si="17"/>
        <v>Expense</v>
      </c>
      <c r="O324" t="str">
        <f t="shared" si="18"/>
        <v/>
      </c>
    </row>
    <row r="325" spans="1:15" x14ac:dyDescent="0.25">
      <c r="A325" s="1" t="s">
        <v>4152</v>
      </c>
      <c r="B325" s="1" t="s">
        <v>3828</v>
      </c>
      <c r="C325" s="1" t="s">
        <v>3788</v>
      </c>
      <c r="D325" s="1" t="s">
        <v>3855</v>
      </c>
      <c r="E325">
        <v>26148</v>
      </c>
      <c r="F325">
        <v>25412.61</v>
      </c>
      <c r="G325">
        <f t="shared" si="16"/>
        <v>735.38999999999942</v>
      </c>
      <c r="H325">
        <v>735.39</v>
      </c>
      <c r="I325" s="3">
        <v>45092</v>
      </c>
      <c r="J325" s="1" t="s">
        <v>3790</v>
      </c>
      <c r="K325" s="1" t="s">
        <v>3823</v>
      </c>
      <c r="L325" s="1" t="s">
        <v>3784</v>
      </c>
      <c r="M325" s="1" t="s">
        <v>3785</v>
      </c>
      <c r="N325" t="str">
        <f t="shared" si="17"/>
        <v>Expense</v>
      </c>
      <c r="O325" t="str">
        <f t="shared" si="18"/>
        <v/>
      </c>
    </row>
    <row r="326" spans="1:15" x14ac:dyDescent="0.25">
      <c r="A326" s="1" t="s">
        <v>4153</v>
      </c>
      <c r="B326" s="1" t="s">
        <v>3811</v>
      </c>
      <c r="C326" s="1" t="s">
        <v>3858</v>
      </c>
      <c r="D326" s="1" t="s">
        <v>3867</v>
      </c>
      <c r="E326">
        <v>64993</v>
      </c>
      <c r="F326">
        <v>57540.42</v>
      </c>
      <c r="G326">
        <f t="shared" si="16"/>
        <v>7452.5800000000017</v>
      </c>
      <c r="H326">
        <v>7452.58</v>
      </c>
      <c r="I326" s="3">
        <v>45564</v>
      </c>
      <c r="J326" s="1" t="s">
        <v>3790</v>
      </c>
      <c r="K326" s="1" t="s">
        <v>3783</v>
      </c>
      <c r="L326" s="1" t="s">
        <v>3800</v>
      </c>
      <c r="M326" s="1" t="s">
        <v>51</v>
      </c>
      <c r="N326" t="str">
        <f t="shared" si="17"/>
        <v>Expense</v>
      </c>
      <c r="O326" t="str">
        <f t="shared" si="18"/>
        <v/>
      </c>
    </row>
    <row r="327" spans="1:15" x14ac:dyDescent="0.25">
      <c r="A327" s="1" t="s">
        <v>4154</v>
      </c>
      <c r="B327" s="1" t="s">
        <v>3811</v>
      </c>
      <c r="C327" s="1" t="s">
        <v>3844</v>
      </c>
      <c r="D327" s="1" t="s">
        <v>3802</v>
      </c>
      <c r="E327">
        <v>482501</v>
      </c>
      <c r="F327">
        <v>544564.68999999994</v>
      </c>
      <c r="G327">
        <f t="shared" si="16"/>
        <v>-62063.689999999944</v>
      </c>
      <c r="H327">
        <v>-62063.69</v>
      </c>
      <c r="I327" s="3">
        <v>44980</v>
      </c>
      <c r="J327" s="1" t="s">
        <v>3782</v>
      </c>
      <c r="K327" s="1" t="s">
        <v>3783</v>
      </c>
      <c r="L327" s="1" t="s">
        <v>3804</v>
      </c>
      <c r="M327" s="1" t="s">
        <v>3831</v>
      </c>
      <c r="N327" t="str">
        <f t="shared" si="17"/>
        <v>Expense</v>
      </c>
      <c r="O327" t="str">
        <f t="shared" si="18"/>
        <v>Flag: High-Value Pending</v>
      </c>
    </row>
    <row r="328" spans="1:15" x14ac:dyDescent="0.25">
      <c r="A328" s="1" t="s">
        <v>4155</v>
      </c>
      <c r="B328" s="1" t="s">
        <v>3839</v>
      </c>
      <c r="C328" s="1" t="s">
        <v>3821</v>
      </c>
      <c r="D328" s="1" t="s">
        <v>3822</v>
      </c>
      <c r="E328">
        <v>493276</v>
      </c>
      <c r="F328">
        <v>610985.74</v>
      </c>
      <c r="G328">
        <f t="shared" si="16"/>
        <v>-117709.73999999999</v>
      </c>
      <c r="H328">
        <v>-117709.74</v>
      </c>
      <c r="I328" s="3">
        <v>45234</v>
      </c>
      <c r="J328" s="1" t="s">
        <v>3790</v>
      </c>
      <c r="K328" s="1" t="s">
        <v>3783</v>
      </c>
      <c r="L328" s="1" t="s">
        <v>3784</v>
      </c>
      <c r="M328" s="1" t="s">
        <v>51</v>
      </c>
      <c r="N328" t="str">
        <f t="shared" si="17"/>
        <v>Expense</v>
      </c>
      <c r="O328" t="str">
        <f t="shared" si="18"/>
        <v/>
      </c>
    </row>
    <row r="329" spans="1:15" x14ac:dyDescent="0.25">
      <c r="A329" s="1" t="s">
        <v>4156</v>
      </c>
      <c r="B329" s="1" t="s">
        <v>3808</v>
      </c>
      <c r="C329" s="1" t="s">
        <v>3825</v>
      </c>
      <c r="D329" s="1" t="s">
        <v>3813</v>
      </c>
      <c r="E329">
        <v>86033</v>
      </c>
      <c r="F329">
        <v>80709.67</v>
      </c>
      <c r="G329">
        <f t="shared" si="16"/>
        <v>5323.3300000000017</v>
      </c>
      <c r="H329">
        <v>5323.33</v>
      </c>
      <c r="I329" s="3">
        <v>44927</v>
      </c>
      <c r="J329" s="1" t="s">
        <v>3782</v>
      </c>
      <c r="K329" s="1" t="s">
        <v>3783</v>
      </c>
      <c r="L329" s="1" t="s">
        <v>3804</v>
      </c>
      <c r="M329" s="1" t="s">
        <v>51</v>
      </c>
      <c r="N329" t="str">
        <f t="shared" si="17"/>
        <v>Expense</v>
      </c>
      <c r="O329" t="str">
        <f t="shared" si="18"/>
        <v/>
      </c>
    </row>
    <row r="330" spans="1:15" x14ac:dyDescent="0.25">
      <c r="A330" s="1" t="s">
        <v>4157</v>
      </c>
      <c r="B330" s="1" t="s">
        <v>3808</v>
      </c>
      <c r="C330" s="1" t="s">
        <v>3825</v>
      </c>
      <c r="D330" s="1" t="s">
        <v>3799</v>
      </c>
      <c r="E330">
        <v>-279029</v>
      </c>
      <c r="G330" t="str">
        <f t="shared" si="16"/>
        <v/>
      </c>
      <c r="H330">
        <v>-38873.03</v>
      </c>
      <c r="I330" s="3">
        <v>45155</v>
      </c>
      <c r="J330" s="1" t="s">
        <v>3790</v>
      </c>
      <c r="K330" s="1" t="s">
        <v>3783</v>
      </c>
      <c r="L330" s="1" t="s">
        <v>3784</v>
      </c>
      <c r="M330" s="1" t="s">
        <v>3785</v>
      </c>
      <c r="N330" t="str">
        <f t="shared" si="17"/>
        <v>Credit/Refund</v>
      </c>
      <c r="O330" t="str">
        <f t="shared" si="18"/>
        <v/>
      </c>
    </row>
    <row r="331" spans="1:15" x14ac:dyDescent="0.25">
      <c r="A331" s="1" t="s">
        <v>4158</v>
      </c>
      <c r="B331" s="1" t="s">
        <v>3828</v>
      </c>
      <c r="C331" s="1" t="s">
        <v>3825</v>
      </c>
      <c r="D331" s="1" t="s">
        <v>3789</v>
      </c>
      <c r="E331">
        <v>383752</v>
      </c>
      <c r="F331">
        <v>410378.48</v>
      </c>
      <c r="G331">
        <f t="shared" si="16"/>
        <v>-26626.479999999981</v>
      </c>
      <c r="H331">
        <v>-26626.48</v>
      </c>
      <c r="I331" s="3">
        <v>45530</v>
      </c>
      <c r="J331" s="1" t="s">
        <v>3782</v>
      </c>
      <c r="K331" s="1" t="s">
        <v>3803</v>
      </c>
      <c r="L331" s="1" t="s">
        <v>3800</v>
      </c>
      <c r="M331" s="1" t="s">
        <v>51</v>
      </c>
      <c r="N331" t="str">
        <f t="shared" si="17"/>
        <v>Expense</v>
      </c>
      <c r="O331" t="str">
        <f t="shared" si="18"/>
        <v>Flag: High-Value Pending</v>
      </c>
    </row>
    <row r="332" spans="1:15" x14ac:dyDescent="0.25">
      <c r="A332" s="1" t="s">
        <v>4159</v>
      </c>
      <c r="B332" s="1" t="s">
        <v>3839</v>
      </c>
      <c r="C332" s="1" t="s">
        <v>3815</v>
      </c>
      <c r="D332" s="1" t="s">
        <v>3826</v>
      </c>
      <c r="E332">
        <v>59701</v>
      </c>
      <c r="G332" t="str">
        <f t="shared" si="16"/>
        <v/>
      </c>
      <c r="H332">
        <v>-1952.11</v>
      </c>
      <c r="I332" s="3">
        <v>45569</v>
      </c>
      <c r="J332" s="1" t="s">
        <v>3790</v>
      </c>
      <c r="K332" s="1" t="s">
        <v>3823</v>
      </c>
      <c r="L332" s="1" t="s">
        <v>3800</v>
      </c>
      <c r="M332" s="1" t="s">
        <v>3785</v>
      </c>
      <c r="N332" t="str">
        <f t="shared" si="17"/>
        <v>Expense</v>
      </c>
      <c r="O332" t="str">
        <f t="shared" si="18"/>
        <v/>
      </c>
    </row>
    <row r="333" spans="1:15" x14ac:dyDescent="0.25">
      <c r="A333" s="1" t="s">
        <v>4160</v>
      </c>
      <c r="B333" s="1" t="s">
        <v>3808</v>
      </c>
      <c r="C333" s="1" t="s">
        <v>3844</v>
      </c>
      <c r="D333" s="1" t="s">
        <v>3837</v>
      </c>
      <c r="E333">
        <v>87470</v>
      </c>
      <c r="F333">
        <v>98521.95</v>
      </c>
      <c r="G333">
        <f t="shared" si="16"/>
        <v>-11051.949999999997</v>
      </c>
      <c r="H333">
        <v>-11051.95</v>
      </c>
      <c r="I333" s="3">
        <v>45440</v>
      </c>
      <c r="J333" s="1" t="s">
        <v>3790</v>
      </c>
      <c r="K333" s="1" t="s">
        <v>3823</v>
      </c>
      <c r="L333" s="1" t="s">
        <v>3800</v>
      </c>
      <c r="M333" s="1" t="s">
        <v>3785</v>
      </c>
      <c r="N333" t="str">
        <f t="shared" si="17"/>
        <v>Expense</v>
      </c>
      <c r="O333" t="str">
        <f t="shared" si="18"/>
        <v/>
      </c>
    </row>
    <row r="334" spans="1:15" x14ac:dyDescent="0.25">
      <c r="A334" s="1" t="s">
        <v>4161</v>
      </c>
      <c r="B334" s="1" t="s">
        <v>3794</v>
      </c>
      <c r="C334" s="1" t="s">
        <v>3858</v>
      </c>
      <c r="D334" s="1" t="s">
        <v>3850</v>
      </c>
      <c r="E334">
        <v>37014</v>
      </c>
      <c r="F334">
        <v>35509.760000000002</v>
      </c>
      <c r="G334">
        <f t="shared" si="16"/>
        <v>1504.239999999998</v>
      </c>
      <c r="H334">
        <v>1504.24</v>
      </c>
      <c r="I334" s="3">
        <v>45088</v>
      </c>
      <c r="J334" s="1" t="s">
        <v>3782</v>
      </c>
      <c r="K334" s="1" t="s">
        <v>3823</v>
      </c>
      <c r="L334" s="1" t="s">
        <v>3784</v>
      </c>
      <c r="M334" s="1" t="s">
        <v>51</v>
      </c>
      <c r="N334" t="str">
        <f t="shared" si="17"/>
        <v>Expense</v>
      </c>
      <c r="O334" t="str">
        <f t="shared" si="18"/>
        <v/>
      </c>
    </row>
    <row r="335" spans="1:15" x14ac:dyDescent="0.25">
      <c r="A335" s="1" t="s">
        <v>4162</v>
      </c>
      <c r="B335" s="1" t="s">
        <v>3798</v>
      </c>
      <c r="C335" s="1" t="s">
        <v>3780</v>
      </c>
      <c r="D335" s="1" t="s">
        <v>3813</v>
      </c>
      <c r="E335">
        <v>307446</v>
      </c>
      <c r="F335">
        <v>286117.08</v>
      </c>
      <c r="G335">
        <f t="shared" si="16"/>
        <v>21328.919999999984</v>
      </c>
      <c r="H335">
        <v>21328.92</v>
      </c>
      <c r="I335" s="3">
        <v>45210</v>
      </c>
      <c r="J335" s="1" t="s">
        <v>3790</v>
      </c>
      <c r="K335" s="1" t="s">
        <v>3803</v>
      </c>
      <c r="L335" s="1" t="s">
        <v>3784</v>
      </c>
      <c r="M335" s="1" t="s">
        <v>51</v>
      </c>
      <c r="N335" t="str">
        <f t="shared" si="17"/>
        <v>Expense</v>
      </c>
      <c r="O335" t="str">
        <f t="shared" si="18"/>
        <v/>
      </c>
    </row>
    <row r="336" spans="1:15" x14ac:dyDescent="0.25">
      <c r="A336" s="1" t="s">
        <v>4163</v>
      </c>
      <c r="B336" s="1" t="s">
        <v>3839</v>
      </c>
      <c r="C336" s="1" t="s">
        <v>3825</v>
      </c>
      <c r="D336" s="1" t="s">
        <v>3895</v>
      </c>
      <c r="E336">
        <v>-4033752</v>
      </c>
      <c r="F336">
        <v>3329796.67</v>
      </c>
      <c r="G336">
        <f t="shared" si="16"/>
        <v>-7363548.6699999999</v>
      </c>
      <c r="H336">
        <v>703955.33</v>
      </c>
      <c r="I336" s="3">
        <v>45408</v>
      </c>
      <c r="J336" s="1" t="s">
        <v>3790</v>
      </c>
      <c r="K336" s="1" t="s">
        <v>3823</v>
      </c>
      <c r="L336" s="1" t="s">
        <v>3800</v>
      </c>
      <c r="M336" s="1" t="s">
        <v>51</v>
      </c>
      <c r="N336" t="str">
        <f t="shared" si="17"/>
        <v>Credit/Refund</v>
      </c>
      <c r="O336" t="str">
        <f t="shared" si="18"/>
        <v/>
      </c>
    </row>
    <row r="337" spans="1:15" x14ac:dyDescent="0.25">
      <c r="A337" s="1" t="s">
        <v>4164</v>
      </c>
      <c r="B337" s="1" t="s">
        <v>3839</v>
      </c>
      <c r="C337" s="1" t="s">
        <v>3806</v>
      </c>
      <c r="D337" s="1" t="s">
        <v>3813</v>
      </c>
      <c r="E337">
        <v>126773</v>
      </c>
      <c r="F337">
        <v>141296.37</v>
      </c>
      <c r="G337">
        <f t="shared" si="16"/>
        <v>-14523.369999999995</v>
      </c>
      <c r="H337">
        <v>-14523.37</v>
      </c>
      <c r="I337" s="3">
        <v>45352</v>
      </c>
      <c r="J337" s="1" t="s">
        <v>3790</v>
      </c>
      <c r="K337" s="1" t="s">
        <v>3823</v>
      </c>
      <c r="L337" s="1" t="s">
        <v>3784</v>
      </c>
      <c r="M337" s="1" t="s">
        <v>3785</v>
      </c>
      <c r="N337" t="str">
        <f t="shared" si="17"/>
        <v>Expense</v>
      </c>
      <c r="O337" t="str">
        <f t="shared" si="18"/>
        <v/>
      </c>
    </row>
    <row r="338" spans="1:15" x14ac:dyDescent="0.25">
      <c r="A338" s="1" t="s">
        <v>4165</v>
      </c>
      <c r="B338" s="1" t="s">
        <v>3839</v>
      </c>
      <c r="C338" s="1" t="s">
        <v>3825</v>
      </c>
      <c r="D338" s="1" t="s">
        <v>3837</v>
      </c>
      <c r="E338">
        <v>404431</v>
      </c>
      <c r="F338">
        <v>452206.81</v>
      </c>
      <c r="G338">
        <f t="shared" si="16"/>
        <v>-47775.81</v>
      </c>
      <c r="I338" s="3">
        <v>45680</v>
      </c>
      <c r="J338" s="1" t="s">
        <v>3859</v>
      </c>
      <c r="K338" s="1" t="s">
        <v>3803</v>
      </c>
      <c r="L338" s="1" t="s">
        <v>3800</v>
      </c>
      <c r="M338" s="1" t="s">
        <v>3792</v>
      </c>
      <c r="N338" t="str">
        <f t="shared" si="17"/>
        <v>Expense</v>
      </c>
      <c r="O338" t="str">
        <f t="shared" si="18"/>
        <v>Flag: High-Value Rejected</v>
      </c>
    </row>
    <row r="339" spans="1:15" x14ac:dyDescent="0.25">
      <c r="A339" s="1" t="s">
        <v>4166</v>
      </c>
      <c r="B339" s="1" t="s">
        <v>3839</v>
      </c>
      <c r="C339" s="1" t="s">
        <v>3858</v>
      </c>
      <c r="D339" s="1" t="s">
        <v>3867</v>
      </c>
      <c r="E339">
        <v>52012</v>
      </c>
      <c r="F339">
        <v>43876.37</v>
      </c>
      <c r="G339">
        <f t="shared" si="16"/>
        <v>8135.6299999999974</v>
      </c>
      <c r="H339">
        <v>8135.63</v>
      </c>
      <c r="I339" s="3">
        <v>45417</v>
      </c>
      <c r="J339" s="1" t="s">
        <v>3790</v>
      </c>
      <c r="K339" s="1" t="s">
        <v>3823</v>
      </c>
      <c r="L339" s="1" t="s">
        <v>3800</v>
      </c>
      <c r="M339" s="1" t="s">
        <v>3831</v>
      </c>
      <c r="N339" t="str">
        <f t="shared" si="17"/>
        <v>Expense</v>
      </c>
      <c r="O339" t="str">
        <f t="shared" si="18"/>
        <v/>
      </c>
    </row>
    <row r="340" spans="1:15" x14ac:dyDescent="0.25">
      <c r="A340" s="1" t="s">
        <v>4167</v>
      </c>
      <c r="B340" s="1" t="s">
        <v>3794</v>
      </c>
      <c r="C340" s="1" t="s">
        <v>3812</v>
      </c>
      <c r="D340" s="1" t="s">
        <v>3816</v>
      </c>
      <c r="E340">
        <v>-254726</v>
      </c>
      <c r="F340">
        <v>252659.65</v>
      </c>
      <c r="G340">
        <f t="shared" si="16"/>
        <v>-507385.65</v>
      </c>
      <c r="H340">
        <v>2066.35</v>
      </c>
      <c r="I340" s="3">
        <v>45316</v>
      </c>
      <c r="J340" s="1" t="s">
        <v>3790</v>
      </c>
      <c r="K340" s="1" t="s">
        <v>3783</v>
      </c>
      <c r="L340" s="1" t="s">
        <v>3784</v>
      </c>
      <c r="M340" s="1" t="s">
        <v>3785</v>
      </c>
      <c r="N340" t="str">
        <f t="shared" si="17"/>
        <v>Credit/Refund</v>
      </c>
      <c r="O340" t="str">
        <f t="shared" si="18"/>
        <v/>
      </c>
    </row>
    <row r="341" spans="1:15" x14ac:dyDescent="0.25">
      <c r="A341" s="1" t="s">
        <v>4168</v>
      </c>
      <c r="B341" s="1" t="s">
        <v>3787</v>
      </c>
      <c r="C341" s="1" t="s">
        <v>3844</v>
      </c>
      <c r="D341" s="1" t="s">
        <v>3822</v>
      </c>
      <c r="E341">
        <v>336844</v>
      </c>
      <c r="F341">
        <v>367169.25</v>
      </c>
      <c r="G341">
        <f t="shared" si="16"/>
        <v>-30325.25</v>
      </c>
      <c r="H341">
        <v>-30325.25</v>
      </c>
      <c r="I341" s="3">
        <v>45707</v>
      </c>
      <c r="J341" s="1" t="s">
        <v>3790</v>
      </c>
      <c r="K341" s="1" t="s">
        <v>3803</v>
      </c>
      <c r="L341" s="1" t="s">
        <v>3800</v>
      </c>
      <c r="M341" s="1" t="s">
        <v>51</v>
      </c>
      <c r="N341" t="str">
        <f t="shared" si="17"/>
        <v>Expense</v>
      </c>
      <c r="O341" t="str">
        <f t="shared" si="18"/>
        <v/>
      </c>
    </row>
    <row r="342" spans="1:15" x14ac:dyDescent="0.25">
      <c r="A342" s="1" t="s">
        <v>4169</v>
      </c>
      <c r="B342" s="1" t="s">
        <v>3808</v>
      </c>
      <c r="C342" s="1" t="s">
        <v>4878</v>
      </c>
      <c r="D342" s="1" t="s">
        <v>3802</v>
      </c>
      <c r="E342">
        <v>474095</v>
      </c>
      <c r="F342">
        <v>385102.35</v>
      </c>
      <c r="G342">
        <f t="shared" si="16"/>
        <v>88992.650000000023</v>
      </c>
      <c r="H342">
        <v>88992.65</v>
      </c>
      <c r="I342" s="3">
        <v>45226</v>
      </c>
      <c r="J342" s="1" t="s">
        <v>3859</v>
      </c>
      <c r="K342" s="1" t="s">
        <v>3783</v>
      </c>
      <c r="L342" s="1" t="s">
        <v>3784</v>
      </c>
      <c r="M342" s="1" t="s">
        <v>3792</v>
      </c>
      <c r="N342" t="str">
        <f t="shared" si="17"/>
        <v>Expense</v>
      </c>
      <c r="O342" t="str">
        <f t="shared" si="18"/>
        <v>Flag: High-Value Rejected</v>
      </c>
    </row>
    <row r="343" spans="1:15" x14ac:dyDescent="0.25">
      <c r="A343" s="1" t="s">
        <v>4170</v>
      </c>
      <c r="B343" s="1" t="s">
        <v>3787</v>
      </c>
      <c r="C343" s="1" t="s">
        <v>3821</v>
      </c>
      <c r="D343" s="1" t="s">
        <v>3850</v>
      </c>
      <c r="E343">
        <v>251199</v>
      </c>
      <c r="F343">
        <v>290685.15000000002</v>
      </c>
      <c r="G343">
        <f t="shared" si="16"/>
        <v>-39486.150000000023</v>
      </c>
      <c r="H343">
        <v>-39486.15</v>
      </c>
      <c r="I343" s="3">
        <v>45685</v>
      </c>
      <c r="J343" s="1" t="s">
        <v>3782</v>
      </c>
      <c r="K343" s="1" t="s">
        <v>3803</v>
      </c>
      <c r="L343" s="1" t="s">
        <v>3800</v>
      </c>
      <c r="M343" s="1" t="s">
        <v>3831</v>
      </c>
      <c r="N343" t="str">
        <f t="shared" si="17"/>
        <v>Expense</v>
      </c>
      <c r="O343" t="str">
        <f t="shared" si="18"/>
        <v>Flag: High-Value Pending</v>
      </c>
    </row>
    <row r="344" spans="1:15" x14ac:dyDescent="0.25">
      <c r="A344" s="1" t="s">
        <v>4171</v>
      </c>
      <c r="B344" s="1" t="s">
        <v>3787</v>
      </c>
      <c r="C344" s="1" t="s">
        <v>3844</v>
      </c>
      <c r="D344" s="1" t="s">
        <v>3826</v>
      </c>
      <c r="E344">
        <v>428567</v>
      </c>
      <c r="F344">
        <v>471952.98</v>
      </c>
      <c r="G344">
        <f t="shared" si="16"/>
        <v>-43385.979999999981</v>
      </c>
      <c r="H344">
        <v>-43385.98</v>
      </c>
      <c r="I344" s="3">
        <v>45420</v>
      </c>
      <c r="J344" s="1" t="s">
        <v>3790</v>
      </c>
      <c r="K344" s="1" t="s">
        <v>3823</v>
      </c>
      <c r="L344" s="1" t="s">
        <v>3800</v>
      </c>
      <c r="M344" s="1" t="s">
        <v>3817</v>
      </c>
      <c r="N344" t="str">
        <f t="shared" si="17"/>
        <v>Expense</v>
      </c>
      <c r="O344" t="str">
        <f t="shared" si="18"/>
        <v/>
      </c>
    </row>
    <row r="345" spans="1:15" x14ac:dyDescent="0.25">
      <c r="A345" s="1" t="s">
        <v>4172</v>
      </c>
      <c r="B345" s="1" t="s">
        <v>3794</v>
      </c>
      <c r="C345" s="1" t="s">
        <v>3844</v>
      </c>
      <c r="D345" s="1" t="s">
        <v>3850</v>
      </c>
      <c r="E345">
        <v>483664</v>
      </c>
      <c r="F345">
        <v>529402.16</v>
      </c>
      <c r="G345">
        <f t="shared" si="16"/>
        <v>-45738.160000000033</v>
      </c>
      <c r="H345">
        <v>-45738.16</v>
      </c>
      <c r="I345" s="3">
        <v>45466</v>
      </c>
      <c r="J345" s="1" t="s">
        <v>3790</v>
      </c>
      <c r="K345" s="1" t="s">
        <v>3823</v>
      </c>
      <c r="L345" s="1" t="s">
        <v>3800</v>
      </c>
      <c r="M345" s="1" t="s">
        <v>3792</v>
      </c>
      <c r="N345" t="str">
        <f t="shared" si="17"/>
        <v>Expense</v>
      </c>
      <c r="O345" t="str">
        <f t="shared" si="18"/>
        <v/>
      </c>
    </row>
    <row r="346" spans="1:15" x14ac:dyDescent="0.25">
      <c r="A346" s="1" t="s">
        <v>4173</v>
      </c>
      <c r="B346" s="1" t="s">
        <v>3811</v>
      </c>
      <c r="C346" s="1" t="s">
        <v>3780</v>
      </c>
      <c r="D346" s="1" t="s">
        <v>3855</v>
      </c>
      <c r="E346">
        <v>391654</v>
      </c>
      <c r="G346" t="str">
        <f t="shared" si="16"/>
        <v/>
      </c>
      <c r="H346">
        <v>65597.63</v>
      </c>
      <c r="I346" s="3">
        <v>45409</v>
      </c>
      <c r="J346" s="1" t="s">
        <v>3790</v>
      </c>
      <c r="K346" s="1" t="s">
        <v>3803</v>
      </c>
      <c r="L346" s="1" t="s">
        <v>3800</v>
      </c>
      <c r="M346" s="1" t="s">
        <v>3831</v>
      </c>
      <c r="N346" t="str">
        <f t="shared" si="17"/>
        <v>Expense</v>
      </c>
      <c r="O346" t="str">
        <f t="shared" si="18"/>
        <v/>
      </c>
    </row>
    <row r="347" spans="1:15" x14ac:dyDescent="0.25">
      <c r="A347" s="1" t="s">
        <v>4174</v>
      </c>
      <c r="B347" s="1" t="s">
        <v>3828</v>
      </c>
      <c r="C347" s="1" t="s">
        <v>3848</v>
      </c>
      <c r="D347" s="1" t="s">
        <v>3837</v>
      </c>
      <c r="E347">
        <v>295989</v>
      </c>
      <c r="F347">
        <v>314647.3</v>
      </c>
      <c r="G347">
        <f t="shared" si="16"/>
        <v>-18658.299999999988</v>
      </c>
      <c r="H347">
        <v>-18658.3</v>
      </c>
      <c r="I347" s="3">
        <v>45135</v>
      </c>
      <c r="J347" s="1" t="s">
        <v>3782</v>
      </c>
      <c r="K347" s="1" t="s">
        <v>3803</v>
      </c>
      <c r="L347" s="1" t="s">
        <v>3784</v>
      </c>
      <c r="M347" s="1" t="s">
        <v>3792</v>
      </c>
      <c r="N347" t="str">
        <f t="shared" si="17"/>
        <v>Expense</v>
      </c>
      <c r="O347" t="str">
        <f t="shared" si="18"/>
        <v>Flag: High-Value Pending</v>
      </c>
    </row>
    <row r="348" spans="1:15" x14ac:dyDescent="0.25">
      <c r="A348" s="1" t="s">
        <v>4175</v>
      </c>
      <c r="B348" s="1" t="s">
        <v>4877</v>
      </c>
      <c r="C348" s="1" t="s">
        <v>3821</v>
      </c>
      <c r="D348" s="1" t="s">
        <v>3813</v>
      </c>
      <c r="E348">
        <v>305798</v>
      </c>
      <c r="F348">
        <v>247167.65</v>
      </c>
      <c r="G348">
        <f t="shared" si="16"/>
        <v>58630.350000000006</v>
      </c>
      <c r="H348">
        <v>58630.35</v>
      </c>
      <c r="I348" s="3">
        <v>45267</v>
      </c>
      <c r="J348" s="1" t="s">
        <v>3790</v>
      </c>
      <c r="K348" s="1" t="s">
        <v>3783</v>
      </c>
      <c r="L348" s="1" t="s">
        <v>3784</v>
      </c>
      <c r="M348" s="1" t="s">
        <v>3785</v>
      </c>
      <c r="N348" t="str">
        <f t="shared" si="17"/>
        <v>Expense</v>
      </c>
      <c r="O348" t="str">
        <f t="shared" si="18"/>
        <v/>
      </c>
    </row>
    <row r="349" spans="1:15" x14ac:dyDescent="0.25">
      <c r="A349" s="1" t="s">
        <v>4176</v>
      </c>
      <c r="B349" s="1" t="s">
        <v>3808</v>
      </c>
      <c r="C349" s="1" t="s">
        <v>3780</v>
      </c>
      <c r="D349" s="1" t="s">
        <v>3802</v>
      </c>
      <c r="E349">
        <v>4265591</v>
      </c>
      <c r="F349">
        <v>4106997.2</v>
      </c>
      <c r="G349">
        <f t="shared" si="16"/>
        <v>158593.79999999981</v>
      </c>
      <c r="H349">
        <v>158593.79999999999</v>
      </c>
      <c r="I349" s="3">
        <v>45320</v>
      </c>
      <c r="J349" s="1" t="s">
        <v>3790</v>
      </c>
      <c r="K349" s="1" t="s">
        <v>3823</v>
      </c>
      <c r="L349" s="1" t="s">
        <v>3784</v>
      </c>
      <c r="M349" s="1" t="s">
        <v>51</v>
      </c>
      <c r="N349" t="str">
        <f t="shared" si="17"/>
        <v>Expense</v>
      </c>
      <c r="O349" t="str">
        <f t="shared" si="18"/>
        <v/>
      </c>
    </row>
    <row r="350" spans="1:15" x14ac:dyDescent="0.25">
      <c r="A350" s="1" t="s">
        <v>4177</v>
      </c>
      <c r="B350" s="1" t="s">
        <v>3787</v>
      </c>
      <c r="C350" s="1" t="s">
        <v>3815</v>
      </c>
      <c r="D350" s="1" t="s">
        <v>3781</v>
      </c>
      <c r="E350">
        <v>30067</v>
      </c>
      <c r="F350">
        <v>32152.35</v>
      </c>
      <c r="G350">
        <f t="shared" si="16"/>
        <v>-2085.3499999999985</v>
      </c>
      <c r="H350">
        <v>-2085.35</v>
      </c>
      <c r="I350" s="3">
        <v>45164</v>
      </c>
      <c r="J350" s="1" t="s">
        <v>3790</v>
      </c>
      <c r="K350" s="1" t="s">
        <v>3823</v>
      </c>
      <c r="L350" s="1" t="s">
        <v>3784</v>
      </c>
      <c r="M350" s="1" t="s">
        <v>3785</v>
      </c>
      <c r="N350" t="str">
        <f t="shared" si="17"/>
        <v>Expense</v>
      </c>
      <c r="O350" t="str">
        <f t="shared" si="18"/>
        <v/>
      </c>
    </row>
    <row r="351" spans="1:15" x14ac:dyDescent="0.25">
      <c r="A351" s="1" t="s">
        <v>4178</v>
      </c>
      <c r="B351" s="1" t="s">
        <v>3808</v>
      </c>
      <c r="C351" s="1" t="s">
        <v>3844</v>
      </c>
      <c r="D351" s="1" t="s">
        <v>3834</v>
      </c>
      <c r="E351">
        <v>439322</v>
      </c>
      <c r="F351">
        <v>512559.35</v>
      </c>
      <c r="G351">
        <f t="shared" si="16"/>
        <v>-73237.349999999977</v>
      </c>
      <c r="H351">
        <v>-73237.350000000006</v>
      </c>
      <c r="I351" s="3">
        <v>45684</v>
      </c>
      <c r="J351" s="1" t="s">
        <v>3790</v>
      </c>
      <c r="K351" s="1" t="s">
        <v>3791</v>
      </c>
      <c r="L351" s="1" t="s">
        <v>3800</v>
      </c>
      <c r="M351" s="1" t="s">
        <v>51</v>
      </c>
      <c r="N351" t="str">
        <f t="shared" si="17"/>
        <v>Expense</v>
      </c>
      <c r="O351" t="str">
        <f t="shared" si="18"/>
        <v/>
      </c>
    </row>
    <row r="352" spans="1:15" x14ac:dyDescent="0.25">
      <c r="A352" s="1" t="s">
        <v>4179</v>
      </c>
      <c r="B352" s="1" t="s">
        <v>3828</v>
      </c>
      <c r="C352" s="1" t="s">
        <v>3812</v>
      </c>
      <c r="D352" s="1" t="s">
        <v>3850</v>
      </c>
      <c r="E352">
        <v>276241</v>
      </c>
      <c r="F352">
        <v>260577.09</v>
      </c>
      <c r="G352">
        <f t="shared" si="16"/>
        <v>15663.910000000003</v>
      </c>
      <c r="H352">
        <v>15663.91</v>
      </c>
      <c r="I352" s="3">
        <v>45034</v>
      </c>
      <c r="J352" s="1" t="s">
        <v>3790</v>
      </c>
      <c r="K352" s="1" t="s">
        <v>3791</v>
      </c>
      <c r="L352" s="1" t="s">
        <v>3784</v>
      </c>
      <c r="M352" s="1" t="s">
        <v>51</v>
      </c>
      <c r="N352" t="str">
        <f t="shared" si="17"/>
        <v>Expense</v>
      </c>
      <c r="O352" t="str">
        <f t="shared" si="18"/>
        <v/>
      </c>
    </row>
    <row r="353" spans="1:15" x14ac:dyDescent="0.25">
      <c r="A353" s="1" t="s">
        <v>4180</v>
      </c>
      <c r="B353" s="1" t="s">
        <v>3811</v>
      </c>
      <c r="C353" s="1" t="s">
        <v>3815</v>
      </c>
      <c r="D353" s="1" t="s">
        <v>3846</v>
      </c>
      <c r="E353">
        <v>55208</v>
      </c>
      <c r="F353">
        <v>70125.36</v>
      </c>
      <c r="G353">
        <f t="shared" si="16"/>
        <v>-14917.36</v>
      </c>
      <c r="H353">
        <v>-14917.36</v>
      </c>
      <c r="I353" s="3">
        <v>45486</v>
      </c>
      <c r="J353" s="1" t="s">
        <v>3790</v>
      </c>
      <c r="K353" s="1" t="s">
        <v>3783</v>
      </c>
      <c r="L353" s="1" t="s">
        <v>3800</v>
      </c>
      <c r="M353" s="1" t="s">
        <v>51</v>
      </c>
      <c r="N353" t="str">
        <f t="shared" si="17"/>
        <v>Expense</v>
      </c>
      <c r="O353" t="str">
        <f t="shared" si="18"/>
        <v/>
      </c>
    </row>
    <row r="354" spans="1:15" x14ac:dyDescent="0.25">
      <c r="A354" s="1" t="s">
        <v>4181</v>
      </c>
      <c r="B354" s="1" t="s">
        <v>3811</v>
      </c>
      <c r="C354" s="1" t="s">
        <v>3788</v>
      </c>
      <c r="D354" s="1" t="s">
        <v>3813</v>
      </c>
      <c r="E354">
        <v>239291</v>
      </c>
      <c r="F354">
        <v>294400.19</v>
      </c>
      <c r="G354">
        <f t="shared" si="16"/>
        <v>-55109.19</v>
      </c>
      <c r="H354">
        <v>-55109.19</v>
      </c>
      <c r="I354" s="3">
        <v>45093</v>
      </c>
      <c r="J354" s="1" t="s">
        <v>3790</v>
      </c>
      <c r="K354" s="1" t="s">
        <v>3803</v>
      </c>
      <c r="L354" s="1" t="s">
        <v>3784</v>
      </c>
      <c r="M354" s="1" t="s">
        <v>3817</v>
      </c>
      <c r="N354" t="str">
        <f t="shared" si="17"/>
        <v>Expense</v>
      </c>
      <c r="O354" t="str">
        <f t="shared" si="18"/>
        <v/>
      </c>
    </row>
    <row r="355" spans="1:15" x14ac:dyDescent="0.25">
      <c r="A355" s="1" t="s">
        <v>4182</v>
      </c>
      <c r="B355" s="1" t="s">
        <v>3839</v>
      </c>
      <c r="C355" s="1" t="s">
        <v>3812</v>
      </c>
      <c r="D355" s="1" t="s">
        <v>3816</v>
      </c>
      <c r="E355">
        <v>156023</v>
      </c>
      <c r="F355">
        <v>144831.13</v>
      </c>
      <c r="G355">
        <f t="shared" si="16"/>
        <v>11191.869999999995</v>
      </c>
      <c r="H355">
        <v>11191.87</v>
      </c>
      <c r="I355" s="3">
        <v>45329</v>
      </c>
      <c r="J355" s="1" t="s">
        <v>3859</v>
      </c>
      <c r="K355" s="1" t="s">
        <v>3791</v>
      </c>
      <c r="L355" s="1" t="s">
        <v>3784</v>
      </c>
      <c r="M355" s="1" t="s">
        <v>3792</v>
      </c>
      <c r="N355" t="str">
        <f t="shared" si="17"/>
        <v>Expense</v>
      </c>
      <c r="O355" t="str">
        <f t="shared" si="18"/>
        <v/>
      </c>
    </row>
    <row r="356" spans="1:15" x14ac:dyDescent="0.25">
      <c r="A356" s="1" t="s">
        <v>4183</v>
      </c>
      <c r="B356" s="1" t="s">
        <v>3808</v>
      </c>
      <c r="C356" s="1" t="s">
        <v>3806</v>
      </c>
      <c r="D356" s="1" t="s">
        <v>3867</v>
      </c>
      <c r="E356">
        <v>486643</v>
      </c>
      <c r="F356">
        <v>494228.82</v>
      </c>
      <c r="G356">
        <f t="shared" si="16"/>
        <v>-7585.820000000007</v>
      </c>
      <c r="H356">
        <v>-7585.82</v>
      </c>
      <c r="I356" s="3">
        <v>45151</v>
      </c>
      <c r="J356" s="1" t="s">
        <v>3859</v>
      </c>
      <c r="K356" s="1" t="s">
        <v>3803</v>
      </c>
      <c r="L356" s="1" t="s">
        <v>3784</v>
      </c>
      <c r="M356" s="1" t="s">
        <v>3792</v>
      </c>
      <c r="N356" t="str">
        <f t="shared" si="17"/>
        <v>Expense</v>
      </c>
      <c r="O356" t="str">
        <f t="shared" si="18"/>
        <v>Flag: High-Value Rejected</v>
      </c>
    </row>
    <row r="357" spans="1:15" x14ac:dyDescent="0.25">
      <c r="A357" s="1" t="s">
        <v>4184</v>
      </c>
      <c r="B357" s="1" t="s">
        <v>3839</v>
      </c>
      <c r="C357" s="1" t="s">
        <v>3858</v>
      </c>
      <c r="D357" s="1" t="s">
        <v>3867</v>
      </c>
      <c r="E357">
        <v>194539</v>
      </c>
      <c r="F357">
        <v>192336.4</v>
      </c>
      <c r="G357">
        <f t="shared" si="16"/>
        <v>2202.6000000000058</v>
      </c>
      <c r="H357">
        <v>2202.6</v>
      </c>
      <c r="I357" s="3">
        <v>45151</v>
      </c>
      <c r="J357" s="1" t="s">
        <v>3782</v>
      </c>
      <c r="K357" s="1" t="s">
        <v>3783</v>
      </c>
      <c r="L357" s="1" t="s">
        <v>3784</v>
      </c>
      <c r="M357" s="1" t="s">
        <v>3809</v>
      </c>
      <c r="N357" t="str">
        <f t="shared" si="17"/>
        <v>Expense</v>
      </c>
      <c r="O357" t="str">
        <f t="shared" si="18"/>
        <v/>
      </c>
    </row>
    <row r="358" spans="1:15" x14ac:dyDescent="0.25">
      <c r="A358" s="1" t="s">
        <v>4185</v>
      </c>
      <c r="B358" s="1" t="s">
        <v>3828</v>
      </c>
      <c r="C358" s="1" t="s">
        <v>3788</v>
      </c>
      <c r="D358" s="1" t="s">
        <v>3846</v>
      </c>
      <c r="E358">
        <v>117521</v>
      </c>
      <c r="F358">
        <v>147338.94</v>
      </c>
      <c r="G358">
        <f t="shared" si="16"/>
        <v>-29817.940000000002</v>
      </c>
      <c r="H358">
        <v>-29817.94</v>
      </c>
      <c r="I358" s="3">
        <v>45415</v>
      </c>
      <c r="J358" s="1" t="s">
        <v>3790</v>
      </c>
      <c r="K358" s="1" t="s">
        <v>3823</v>
      </c>
      <c r="L358" s="1" t="s">
        <v>3800</v>
      </c>
      <c r="M358" s="1" t="s">
        <v>3817</v>
      </c>
      <c r="N358" t="str">
        <f t="shared" si="17"/>
        <v>Expense</v>
      </c>
      <c r="O358" t="str">
        <f t="shared" si="18"/>
        <v/>
      </c>
    </row>
    <row r="359" spans="1:15" x14ac:dyDescent="0.25">
      <c r="A359" s="1" t="s">
        <v>4186</v>
      </c>
      <c r="B359" s="1" t="s">
        <v>3787</v>
      </c>
      <c r="C359" s="1" t="s">
        <v>3788</v>
      </c>
      <c r="D359" s="1" t="s">
        <v>3837</v>
      </c>
      <c r="E359">
        <v>253850</v>
      </c>
      <c r="F359">
        <v>223021.17</v>
      </c>
      <c r="G359">
        <f t="shared" si="16"/>
        <v>30828.829999999987</v>
      </c>
      <c r="H359">
        <v>30828.83</v>
      </c>
      <c r="I359" s="3">
        <v>45037</v>
      </c>
      <c r="J359" s="1" t="s">
        <v>3790</v>
      </c>
      <c r="K359" s="1" t="s">
        <v>3791</v>
      </c>
      <c r="L359" s="1" t="s">
        <v>3784</v>
      </c>
      <c r="M359" s="1" t="s">
        <v>3817</v>
      </c>
      <c r="N359" t="str">
        <f t="shared" si="17"/>
        <v>Expense</v>
      </c>
      <c r="O359" t="str">
        <f t="shared" si="18"/>
        <v/>
      </c>
    </row>
    <row r="360" spans="1:15" x14ac:dyDescent="0.25">
      <c r="A360" s="1" t="s">
        <v>4187</v>
      </c>
      <c r="B360" s="1" t="s">
        <v>3839</v>
      </c>
      <c r="C360" s="1" t="s">
        <v>3861</v>
      </c>
      <c r="D360" s="1" t="s">
        <v>3789</v>
      </c>
      <c r="E360">
        <v>221390</v>
      </c>
      <c r="F360">
        <v>203658.51</v>
      </c>
      <c r="G360">
        <f t="shared" si="16"/>
        <v>17731.489999999991</v>
      </c>
      <c r="H360">
        <v>17731.490000000002</v>
      </c>
      <c r="I360" s="3">
        <v>45432</v>
      </c>
      <c r="J360" s="1" t="s">
        <v>3790</v>
      </c>
      <c r="K360" s="1" t="s">
        <v>3803</v>
      </c>
      <c r="L360" s="1" t="s">
        <v>3800</v>
      </c>
      <c r="M360" s="1" t="s">
        <v>3809</v>
      </c>
      <c r="N360" t="str">
        <f t="shared" si="17"/>
        <v>Expense</v>
      </c>
      <c r="O360" t="str">
        <f t="shared" si="18"/>
        <v/>
      </c>
    </row>
    <row r="361" spans="1:15" x14ac:dyDescent="0.25">
      <c r="A361" s="1" t="s">
        <v>4188</v>
      </c>
      <c r="B361" s="1" t="s">
        <v>3839</v>
      </c>
      <c r="C361" s="1" t="s">
        <v>3812</v>
      </c>
      <c r="D361" s="1" t="s">
        <v>3813</v>
      </c>
      <c r="E361">
        <v>164975</v>
      </c>
      <c r="F361">
        <v>167893.96</v>
      </c>
      <c r="G361">
        <f t="shared" si="16"/>
        <v>-2918.9599999999919</v>
      </c>
      <c r="H361">
        <v>-2918.96</v>
      </c>
      <c r="I361" s="3">
        <v>45693</v>
      </c>
      <c r="J361" s="1" t="s">
        <v>3782</v>
      </c>
      <c r="K361" s="1" t="s">
        <v>3823</v>
      </c>
      <c r="L361" s="1" t="s">
        <v>3800</v>
      </c>
      <c r="M361" s="1" t="s">
        <v>51</v>
      </c>
      <c r="N361" t="str">
        <f t="shared" si="17"/>
        <v>Expense</v>
      </c>
      <c r="O361" t="str">
        <f t="shared" si="18"/>
        <v/>
      </c>
    </row>
    <row r="362" spans="1:15" x14ac:dyDescent="0.25">
      <c r="A362" s="1" t="s">
        <v>4189</v>
      </c>
      <c r="B362" s="1" t="s">
        <v>3839</v>
      </c>
      <c r="C362" s="1" t="s">
        <v>3858</v>
      </c>
      <c r="D362" s="1" t="s">
        <v>3802</v>
      </c>
      <c r="E362">
        <v>486312</v>
      </c>
      <c r="F362">
        <v>493117.33</v>
      </c>
      <c r="G362">
        <f t="shared" si="16"/>
        <v>-6805.3300000000163</v>
      </c>
      <c r="H362">
        <v>-6805.33</v>
      </c>
      <c r="I362" s="3">
        <v>45490</v>
      </c>
      <c r="J362" s="1" t="s">
        <v>3790</v>
      </c>
      <c r="K362" s="1" t="s">
        <v>3783</v>
      </c>
      <c r="L362" s="1" t="s">
        <v>3800</v>
      </c>
      <c r="M362" s="1" t="s">
        <v>3785</v>
      </c>
      <c r="N362" t="str">
        <f t="shared" si="17"/>
        <v>Expense</v>
      </c>
      <c r="O362" t="str">
        <f t="shared" si="18"/>
        <v/>
      </c>
    </row>
    <row r="363" spans="1:15" x14ac:dyDescent="0.25">
      <c r="A363" s="1" t="s">
        <v>4190</v>
      </c>
      <c r="B363" s="1" t="s">
        <v>3808</v>
      </c>
      <c r="C363" s="1" t="s">
        <v>3806</v>
      </c>
      <c r="D363" s="1" t="s">
        <v>3846</v>
      </c>
      <c r="E363">
        <v>460670</v>
      </c>
      <c r="F363">
        <v>595790.31000000006</v>
      </c>
      <c r="G363">
        <f t="shared" si="16"/>
        <v>-135120.31000000006</v>
      </c>
      <c r="H363">
        <v>-135120.31</v>
      </c>
      <c r="I363" s="3">
        <v>45068</v>
      </c>
      <c r="J363" s="1" t="s">
        <v>3790</v>
      </c>
      <c r="K363" s="1" t="s">
        <v>3823</v>
      </c>
      <c r="L363" s="1" t="s">
        <v>3784</v>
      </c>
      <c r="M363" s="1" t="s">
        <v>51</v>
      </c>
      <c r="N363" t="str">
        <f t="shared" si="17"/>
        <v>Expense</v>
      </c>
      <c r="O363" t="str">
        <f t="shared" si="18"/>
        <v/>
      </c>
    </row>
    <row r="364" spans="1:15" x14ac:dyDescent="0.25">
      <c r="A364" s="1" t="s">
        <v>4191</v>
      </c>
      <c r="B364" s="1" t="s">
        <v>3828</v>
      </c>
      <c r="C364" s="1" t="s">
        <v>3780</v>
      </c>
      <c r="D364" s="1" t="s">
        <v>3837</v>
      </c>
      <c r="E364">
        <v>239146</v>
      </c>
      <c r="F364">
        <v>238892.64</v>
      </c>
      <c r="G364">
        <f t="shared" si="16"/>
        <v>253.35999999998603</v>
      </c>
      <c r="H364">
        <v>253.36</v>
      </c>
      <c r="I364" s="3">
        <v>45687</v>
      </c>
      <c r="J364" s="1" t="s">
        <v>3790</v>
      </c>
      <c r="K364" s="1" t="s">
        <v>3791</v>
      </c>
      <c r="L364" s="1" t="s">
        <v>3800</v>
      </c>
      <c r="M364" s="1" t="s">
        <v>51</v>
      </c>
      <c r="N364" t="str">
        <f t="shared" si="17"/>
        <v>Expense</v>
      </c>
      <c r="O364" t="str">
        <f t="shared" si="18"/>
        <v/>
      </c>
    </row>
    <row r="365" spans="1:15" x14ac:dyDescent="0.25">
      <c r="A365" s="1" t="s">
        <v>4192</v>
      </c>
      <c r="B365" s="1" t="s">
        <v>3811</v>
      </c>
      <c r="C365" s="1" t="s">
        <v>3861</v>
      </c>
      <c r="D365" s="1" t="s">
        <v>3826</v>
      </c>
      <c r="E365">
        <v>403214</v>
      </c>
      <c r="F365">
        <v>419622.61</v>
      </c>
      <c r="G365">
        <f t="shared" si="16"/>
        <v>-16408.609999999986</v>
      </c>
      <c r="I365" s="3">
        <v>45398</v>
      </c>
      <c r="J365" s="1" t="s">
        <v>3782</v>
      </c>
      <c r="K365" s="1" t="s">
        <v>3791</v>
      </c>
      <c r="L365" s="1" t="s">
        <v>3800</v>
      </c>
      <c r="M365" s="1" t="s">
        <v>51</v>
      </c>
      <c r="N365" t="str">
        <f t="shared" si="17"/>
        <v>Expense</v>
      </c>
      <c r="O365" t="str">
        <f t="shared" si="18"/>
        <v>Flag: High-Value Pending</v>
      </c>
    </row>
    <row r="366" spans="1:15" x14ac:dyDescent="0.25">
      <c r="A366" s="1" t="s">
        <v>4193</v>
      </c>
      <c r="B366" s="1" t="s">
        <v>3798</v>
      </c>
      <c r="C366" s="1" t="s">
        <v>3858</v>
      </c>
      <c r="D366" s="1" t="s">
        <v>3855</v>
      </c>
      <c r="E366">
        <v>225603</v>
      </c>
      <c r="F366">
        <v>214916.56</v>
      </c>
      <c r="G366">
        <f t="shared" si="16"/>
        <v>10686.440000000002</v>
      </c>
      <c r="H366">
        <v>10686.44</v>
      </c>
      <c r="I366" s="3">
        <v>45314</v>
      </c>
      <c r="J366" s="1" t="s">
        <v>3782</v>
      </c>
      <c r="K366" s="1" t="s">
        <v>3791</v>
      </c>
      <c r="L366" s="1" t="s">
        <v>3784</v>
      </c>
      <c r="M366" s="1" t="s">
        <v>51</v>
      </c>
      <c r="N366" t="str">
        <f t="shared" si="17"/>
        <v>Expense</v>
      </c>
      <c r="O366" t="str">
        <f t="shared" si="18"/>
        <v>Flag: High-Value Pending</v>
      </c>
    </row>
    <row r="367" spans="1:15" x14ac:dyDescent="0.25">
      <c r="A367" s="1" t="s">
        <v>4194</v>
      </c>
      <c r="B367" s="1" t="s">
        <v>3798</v>
      </c>
      <c r="C367" s="1" t="s">
        <v>3795</v>
      </c>
      <c r="D367" s="1" t="s">
        <v>3789</v>
      </c>
      <c r="E367">
        <v>429569</v>
      </c>
      <c r="F367">
        <v>352146.36</v>
      </c>
      <c r="G367">
        <f t="shared" si="16"/>
        <v>77422.640000000014</v>
      </c>
      <c r="H367">
        <v>77422.64</v>
      </c>
      <c r="I367" s="3">
        <v>45727</v>
      </c>
      <c r="J367" s="1" t="s">
        <v>3859</v>
      </c>
      <c r="K367" s="1" t="s">
        <v>3791</v>
      </c>
      <c r="L367" s="1" t="s">
        <v>3800</v>
      </c>
      <c r="M367" s="1" t="s">
        <v>51</v>
      </c>
      <c r="N367" t="str">
        <f t="shared" si="17"/>
        <v>Expense</v>
      </c>
      <c r="O367" t="str">
        <f t="shared" si="18"/>
        <v>Flag: High-Value Rejected</v>
      </c>
    </row>
    <row r="368" spans="1:15" x14ac:dyDescent="0.25">
      <c r="A368" s="1" t="s">
        <v>4195</v>
      </c>
      <c r="B368" s="1" t="s">
        <v>4877</v>
      </c>
      <c r="C368" s="1" t="s">
        <v>3815</v>
      </c>
      <c r="D368" s="1" t="s">
        <v>3867</v>
      </c>
      <c r="E368">
        <v>-391336</v>
      </c>
      <c r="F368">
        <v>431860.77</v>
      </c>
      <c r="G368">
        <f t="shared" si="16"/>
        <v>-823196.77</v>
      </c>
      <c r="I368" s="3">
        <v>45010</v>
      </c>
      <c r="J368" s="1" t="s">
        <v>3790</v>
      </c>
      <c r="K368" s="1" t="s">
        <v>3783</v>
      </c>
      <c r="L368" s="1" t="s">
        <v>3804</v>
      </c>
      <c r="M368" s="1" t="s">
        <v>51</v>
      </c>
      <c r="N368" t="str">
        <f t="shared" si="17"/>
        <v>Credit/Refund</v>
      </c>
      <c r="O368" t="str">
        <f t="shared" si="18"/>
        <v/>
      </c>
    </row>
    <row r="369" spans="1:15" x14ac:dyDescent="0.25">
      <c r="A369" s="1" t="s">
        <v>4196</v>
      </c>
      <c r="B369" s="1" t="s">
        <v>3811</v>
      </c>
      <c r="C369" s="1" t="s">
        <v>3812</v>
      </c>
      <c r="D369" s="1" t="s">
        <v>3796</v>
      </c>
      <c r="E369">
        <v>242792</v>
      </c>
      <c r="F369">
        <v>266048.5</v>
      </c>
      <c r="G369">
        <f t="shared" si="16"/>
        <v>-23256.5</v>
      </c>
      <c r="I369" s="3">
        <v>45401</v>
      </c>
      <c r="J369" s="1" t="s">
        <v>3790</v>
      </c>
      <c r="K369" s="1" t="s">
        <v>3823</v>
      </c>
      <c r="L369" s="1" t="s">
        <v>3800</v>
      </c>
      <c r="M369" s="1" t="s">
        <v>51</v>
      </c>
      <c r="N369" t="str">
        <f t="shared" si="17"/>
        <v>Expense</v>
      </c>
      <c r="O369" t="str">
        <f t="shared" si="18"/>
        <v/>
      </c>
    </row>
    <row r="370" spans="1:15" x14ac:dyDescent="0.25">
      <c r="A370" s="1" t="s">
        <v>4197</v>
      </c>
      <c r="B370" s="1" t="s">
        <v>3808</v>
      </c>
      <c r="C370" s="1" t="s">
        <v>3848</v>
      </c>
      <c r="D370" s="1" t="s">
        <v>3822</v>
      </c>
      <c r="E370">
        <v>208403</v>
      </c>
      <c r="F370">
        <v>262175.05</v>
      </c>
      <c r="G370">
        <f t="shared" si="16"/>
        <v>-53772.049999999988</v>
      </c>
      <c r="H370">
        <v>-53772.05</v>
      </c>
      <c r="I370" s="3">
        <v>45511</v>
      </c>
      <c r="J370" s="1" t="s">
        <v>3790</v>
      </c>
      <c r="K370" s="1" t="s">
        <v>3803</v>
      </c>
      <c r="L370" s="1" t="s">
        <v>3800</v>
      </c>
      <c r="M370" s="1" t="s">
        <v>51</v>
      </c>
      <c r="N370" t="str">
        <f t="shared" si="17"/>
        <v>Expense</v>
      </c>
      <c r="O370" t="str">
        <f t="shared" si="18"/>
        <v/>
      </c>
    </row>
    <row r="371" spans="1:15" x14ac:dyDescent="0.25">
      <c r="A371" s="1" t="s">
        <v>4198</v>
      </c>
      <c r="B371" s="1" t="s">
        <v>3828</v>
      </c>
      <c r="C371" s="1" t="s">
        <v>3812</v>
      </c>
      <c r="D371" s="1" t="s">
        <v>3799</v>
      </c>
      <c r="E371">
        <v>489646</v>
      </c>
      <c r="F371">
        <v>571822.06999999995</v>
      </c>
      <c r="G371">
        <f t="shared" si="16"/>
        <v>-82176.069999999949</v>
      </c>
      <c r="H371">
        <v>-82176.070000000007</v>
      </c>
      <c r="I371" s="3">
        <v>45360</v>
      </c>
      <c r="J371" s="1" t="s">
        <v>3790</v>
      </c>
      <c r="K371" s="1" t="s">
        <v>3791</v>
      </c>
      <c r="L371" s="1" t="s">
        <v>3784</v>
      </c>
      <c r="M371" s="1" t="s">
        <v>3817</v>
      </c>
      <c r="N371" t="str">
        <f t="shared" si="17"/>
        <v>Expense</v>
      </c>
      <c r="O371" t="str">
        <f t="shared" si="18"/>
        <v/>
      </c>
    </row>
    <row r="372" spans="1:15" x14ac:dyDescent="0.25">
      <c r="A372" s="1" t="s">
        <v>4199</v>
      </c>
      <c r="B372" s="1" t="s">
        <v>3798</v>
      </c>
      <c r="C372" s="1" t="s">
        <v>3812</v>
      </c>
      <c r="D372" s="1" t="s">
        <v>3826</v>
      </c>
      <c r="E372">
        <v>411870</v>
      </c>
      <c r="F372">
        <v>511379.26</v>
      </c>
      <c r="G372">
        <f t="shared" si="16"/>
        <v>-99509.260000000009</v>
      </c>
      <c r="H372">
        <v>-99509.26</v>
      </c>
      <c r="I372" s="3">
        <v>45490</v>
      </c>
      <c r="J372" s="1" t="s">
        <v>3790</v>
      </c>
      <c r="K372" s="1" t="s">
        <v>3783</v>
      </c>
      <c r="L372" s="1" t="s">
        <v>3800</v>
      </c>
      <c r="M372" s="1" t="s">
        <v>3809</v>
      </c>
      <c r="N372" t="str">
        <f t="shared" si="17"/>
        <v>Expense</v>
      </c>
      <c r="O372" t="str">
        <f t="shared" si="18"/>
        <v/>
      </c>
    </row>
    <row r="373" spans="1:15" x14ac:dyDescent="0.25">
      <c r="A373" s="1" t="s">
        <v>4200</v>
      </c>
      <c r="B373" s="1" t="s">
        <v>3828</v>
      </c>
      <c r="C373" s="1" t="s">
        <v>3821</v>
      </c>
      <c r="D373" s="1" t="s">
        <v>3895</v>
      </c>
      <c r="E373">
        <v>108453</v>
      </c>
      <c r="F373">
        <v>93266.07</v>
      </c>
      <c r="G373">
        <f t="shared" si="16"/>
        <v>15186.929999999993</v>
      </c>
      <c r="H373">
        <v>15186.93</v>
      </c>
      <c r="I373" s="3">
        <v>45601</v>
      </c>
      <c r="J373" s="1" t="s">
        <v>3790</v>
      </c>
      <c r="K373" s="1" t="s">
        <v>3783</v>
      </c>
      <c r="L373" s="1" t="s">
        <v>3800</v>
      </c>
      <c r="M373" s="1" t="s">
        <v>51</v>
      </c>
      <c r="N373" t="str">
        <f t="shared" si="17"/>
        <v>Expense</v>
      </c>
      <c r="O373" t="str">
        <f t="shared" si="18"/>
        <v/>
      </c>
    </row>
    <row r="374" spans="1:15" x14ac:dyDescent="0.25">
      <c r="A374" s="1" t="s">
        <v>4201</v>
      </c>
      <c r="B374" s="1" t="s">
        <v>3798</v>
      </c>
      <c r="C374" s="1" t="s">
        <v>3821</v>
      </c>
      <c r="D374" s="1" t="s">
        <v>3867</v>
      </c>
      <c r="E374">
        <v>138343</v>
      </c>
      <c r="F374">
        <v>112386.6</v>
      </c>
      <c r="G374">
        <f t="shared" si="16"/>
        <v>25956.399999999994</v>
      </c>
      <c r="H374">
        <v>25956.400000000001</v>
      </c>
      <c r="I374" s="3">
        <v>45253</v>
      </c>
      <c r="J374" s="1" t="s">
        <v>3782</v>
      </c>
      <c r="K374" s="1" t="s">
        <v>3783</v>
      </c>
      <c r="L374" s="1" t="s">
        <v>3784</v>
      </c>
      <c r="M374" s="1" t="s">
        <v>51</v>
      </c>
      <c r="N374" t="str">
        <f t="shared" si="17"/>
        <v>Expense</v>
      </c>
      <c r="O374" t="str">
        <f t="shared" si="18"/>
        <v/>
      </c>
    </row>
    <row r="375" spans="1:15" x14ac:dyDescent="0.25">
      <c r="A375" s="1" t="s">
        <v>4202</v>
      </c>
      <c r="B375" s="1" t="s">
        <v>3839</v>
      </c>
      <c r="C375" s="1" t="s">
        <v>3815</v>
      </c>
      <c r="D375" s="1" t="s">
        <v>3850</v>
      </c>
      <c r="E375">
        <v>253357</v>
      </c>
      <c r="F375">
        <v>237003.61</v>
      </c>
      <c r="G375">
        <f t="shared" si="16"/>
        <v>16353.390000000014</v>
      </c>
      <c r="H375">
        <v>16353.39</v>
      </c>
      <c r="I375" s="3">
        <v>45391</v>
      </c>
      <c r="J375" s="1" t="s">
        <v>3790</v>
      </c>
      <c r="K375" s="1" t="s">
        <v>3823</v>
      </c>
      <c r="L375" s="1" t="s">
        <v>3800</v>
      </c>
      <c r="M375" s="1" t="s">
        <v>3785</v>
      </c>
      <c r="N375" t="str">
        <f t="shared" si="17"/>
        <v>Expense</v>
      </c>
      <c r="O375" t="str">
        <f t="shared" si="18"/>
        <v/>
      </c>
    </row>
    <row r="376" spans="1:15" x14ac:dyDescent="0.25">
      <c r="A376" s="1" t="s">
        <v>4203</v>
      </c>
      <c r="B376" s="1" t="s">
        <v>3798</v>
      </c>
      <c r="C376" s="1" t="s">
        <v>3788</v>
      </c>
      <c r="D376" s="1" t="s">
        <v>3822</v>
      </c>
      <c r="E376">
        <v>422348</v>
      </c>
      <c r="F376">
        <v>373973.55</v>
      </c>
      <c r="G376">
        <f t="shared" si="16"/>
        <v>48374.450000000012</v>
      </c>
      <c r="H376">
        <v>48374.45</v>
      </c>
      <c r="I376" s="3">
        <v>45510</v>
      </c>
      <c r="J376" s="1" t="s">
        <v>3782</v>
      </c>
      <c r="K376" s="1" t="s">
        <v>3791</v>
      </c>
      <c r="L376" s="1" t="s">
        <v>3800</v>
      </c>
      <c r="M376" s="1" t="s">
        <v>51</v>
      </c>
      <c r="N376" t="str">
        <f t="shared" si="17"/>
        <v>Expense</v>
      </c>
      <c r="O376" t="str">
        <f t="shared" si="18"/>
        <v>Flag: High-Value Pending</v>
      </c>
    </row>
    <row r="377" spans="1:15" x14ac:dyDescent="0.25">
      <c r="A377" s="1" t="s">
        <v>4204</v>
      </c>
      <c r="B377" s="1" t="s">
        <v>3808</v>
      </c>
      <c r="C377" s="1" t="s">
        <v>3825</v>
      </c>
      <c r="D377" s="1" t="s">
        <v>3895</v>
      </c>
      <c r="E377">
        <v>420845</v>
      </c>
      <c r="F377">
        <v>401109.66</v>
      </c>
      <c r="G377">
        <f t="shared" si="16"/>
        <v>19735.340000000026</v>
      </c>
      <c r="H377">
        <v>19735.34</v>
      </c>
      <c r="I377" s="3">
        <v>44952</v>
      </c>
      <c r="J377" s="1" t="s">
        <v>3790</v>
      </c>
      <c r="K377" s="1" t="s">
        <v>3823</v>
      </c>
      <c r="L377" s="1" t="s">
        <v>3804</v>
      </c>
      <c r="M377" s="1" t="s">
        <v>51</v>
      </c>
      <c r="N377" t="str">
        <f t="shared" si="17"/>
        <v>Expense</v>
      </c>
      <c r="O377" t="str">
        <f t="shared" si="18"/>
        <v/>
      </c>
    </row>
    <row r="378" spans="1:15" x14ac:dyDescent="0.25">
      <c r="A378" s="1" t="s">
        <v>4205</v>
      </c>
      <c r="B378" s="1" t="s">
        <v>3839</v>
      </c>
      <c r="C378" s="1" t="s">
        <v>3858</v>
      </c>
      <c r="D378" s="1" t="s">
        <v>3802</v>
      </c>
      <c r="E378">
        <v>332522</v>
      </c>
      <c r="F378">
        <v>273875.71000000002</v>
      </c>
      <c r="G378">
        <f t="shared" si="16"/>
        <v>58646.289999999979</v>
      </c>
      <c r="H378">
        <v>58646.29</v>
      </c>
      <c r="I378" s="3">
        <v>45088</v>
      </c>
      <c r="J378" s="1" t="s">
        <v>3790</v>
      </c>
      <c r="K378" s="1" t="s">
        <v>3791</v>
      </c>
      <c r="L378" s="1" t="s">
        <v>3784</v>
      </c>
      <c r="M378" s="1" t="s">
        <v>51</v>
      </c>
      <c r="N378" t="str">
        <f t="shared" si="17"/>
        <v>Expense</v>
      </c>
      <c r="O378" t="str">
        <f t="shared" si="18"/>
        <v/>
      </c>
    </row>
    <row r="379" spans="1:15" x14ac:dyDescent="0.25">
      <c r="A379" s="1" t="s">
        <v>4206</v>
      </c>
      <c r="B379" s="1" t="s">
        <v>3808</v>
      </c>
      <c r="C379" s="1" t="s">
        <v>3815</v>
      </c>
      <c r="D379" s="1" t="s">
        <v>3855</v>
      </c>
      <c r="E379">
        <v>-268398</v>
      </c>
      <c r="F379">
        <v>235037.82</v>
      </c>
      <c r="G379">
        <f t="shared" si="16"/>
        <v>-503435.82</v>
      </c>
      <c r="H379">
        <v>33360.18</v>
      </c>
      <c r="I379" s="3">
        <v>45413</v>
      </c>
      <c r="J379" s="1" t="s">
        <v>3782</v>
      </c>
      <c r="K379" s="1" t="s">
        <v>3803</v>
      </c>
      <c r="L379" s="1" t="s">
        <v>3800</v>
      </c>
      <c r="M379" s="1" t="s">
        <v>51</v>
      </c>
      <c r="N379" t="str">
        <f t="shared" si="17"/>
        <v>Credit/Refund</v>
      </c>
      <c r="O379" t="str">
        <f t="shared" si="18"/>
        <v/>
      </c>
    </row>
    <row r="380" spans="1:15" x14ac:dyDescent="0.25">
      <c r="A380" s="1" t="s">
        <v>4207</v>
      </c>
      <c r="B380" s="1" t="s">
        <v>3811</v>
      </c>
      <c r="C380" s="1" t="s">
        <v>3825</v>
      </c>
      <c r="D380" s="1" t="s">
        <v>3802</v>
      </c>
      <c r="E380">
        <v>166104</v>
      </c>
      <c r="F380">
        <v>164704.53</v>
      </c>
      <c r="G380">
        <f t="shared" si="16"/>
        <v>1399.4700000000012</v>
      </c>
      <c r="H380">
        <v>1399.47</v>
      </c>
      <c r="I380" s="3">
        <v>45390</v>
      </c>
      <c r="J380" s="1" t="s">
        <v>3790</v>
      </c>
      <c r="K380" s="1" t="s">
        <v>3791</v>
      </c>
      <c r="L380" s="1" t="s">
        <v>3800</v>
      </c>
      <c r="M380" s="1" t="s">
        <v>3792</v>
      </c>
      <c r="N380" t="str">
        <f t="shared" si="17"/>
        <v>Expense</v>
      </c>
      <c r="O380" t="str">
        <f t="shared" si="18"/>
        <v/>
      </c>
    </row>
    <row r="381" spans="1:15" x14ac:dyDescent="0.25">
      <c r="A381" s="1" t="s">
        <v>4208</v>
      </c>
      <c r="B381" s="1" t="s">
        <v>3787</v>
      </c>
      <c r="C381" s="1" t="s">
        <v>3848</v>
      </c>
      <c r="D381" s="1" t="s">
        <v>3813</v>
      </c>
      <c r="E381">
        <v>12538</v>
      </c>
      <c r="F381">
        <v>10350.469999999999</v>
      </c>
      <c r="G381">
        <f t="shared" si="16"/>
        <v>2187.5300000000007</v>
      </c>
      <c r="I381" s="3">
        <v>45136</v>
      </c>
      <c r="J381" s="1" t="s">
        <v>3790</v>
      </c>
      <c r="K381" s="1" t="s">
        <v>3823</v>
      </c>
      <c r="L381" s="1" t="s">
        <v>3784</v>
      </c>
      <c r="M381" s="1" t="s">
        <v>3831</v>
      </c>
      <c r="N381" t="str">
        <f t="shared" si="17"/>
        <v>Expense</v>
      </c>
      <c r="O381" t="str">
        <f t="shared" si="18"/>
        <v/>
      </c>
    </row>
    <row r="382" spans="1:15" x14ac:dyDescent="0.25">
      <c r="A382" s="1" t="s">
        <v>4209</v>
      </c>
      <c r="B382" s="1" t="s">
        <v>4877</v>
      </c>
      <c r="C382" s="1" t="s">
        <v>3848</v>
      </c>
      <c r="D382" s="1" t="s">
        <v>3867</v>
      </c>
      <c r="E382">
        <v>223136</v>
      </c>
      <c r="F382">
        <v>272052.57</v>
      </c>
      <c r="G382">
        <f t="shared" si="16"/>
        <v>-48916.570000000007</v>
      </c>
      <c r="H382">
        <v>-48916.57</v>
      </c>
      <c r="I382" s="3">
        <v>45720</v>
      </c>
      <c r="J382" s="1" t="s">
        <v>3790</v>
      </c>
      <c r="K382" s="1" t="s">
        <v>3803</v>
      </c>
      <c r="L382" s="1" t="s">
        <v>3800</v>
      </c>
      <c r="M382" s="1" t="s">
        <v>3809</v>
      </c>
      <c r="N382" t="str">
        <f t="shared" si="17"/>
        <v>Expense</v>
      </c>
      <c r="O382" t="str">
        <f t="shared" si="18"/>
        <v/>
      </c>
    </row>
    <row r="383" spans="1:15" x14ac:dyDescent="0.25">
      <c r="A383" s="1" t="s">
        <v>4210</v>
      </c>
      <c r="B383" s="1" t="s">
        <v>3839</v>
      </c>
      <c r="C383" s="1" t="s">
        <v>3825</v>
      </c>
      <c r="D383" s="1" t="s">
        <v>3781</v>
      </c>
      <c r="E383">
        <v>182620</v>
      </c>
      <c r="F383">
        <v>193942.24</v>
      </c>
      <c r="G383">
        <f t="shared" si="16"/>
        <v>-11322.239999999991</v>
      </c>
      <c r="H383">
        <v>-11322.24</v>
      </c>
      <c r="I383" s="3">
        <v>45574</v>
      </c>
      <c r="J383" s="1" t="s">
        <v>3790</v>
      </c>
      <c r="K383" s="1" t="s">
        <v>3783</v>
      </c>
      <c r="L383" s="1" t="s">
        <v>3800</v>
      </c>
      <c r="M383" s="1" t="s">
        <v>51</v>
      </c>
      <c r="N383" t="str">
        <f t="shared" si="17"/>
        <v>Expense</v>
      </c>
      <c r="O383" t="str">
        <f t="shared" si="18"/>
        <v/>
      </c>
    </row>
    <row r="384" spans="1:15" x14ac:dyDescent="0.25">
      <c r="A384" s="1" t="s">
        <v>4211</v>
      </c>
      <c r="B384" s="1" t="s">
        <v>3787</v>
      </c>
      <c r="C384" s="1" t="s">
        <v>3848</v>
      </c>
      <c r="D384" s="1" t="s">
        <v>3837</v>
      </c>
      <c r="E384">
        <v>323325</v>
      </c>
      <c r="F384">
        <v>281804.53000000003</v>
      </c>
      <c r="G384">
        <f t="shared" si="16"/>
        <v>41520.469999999972</v>
      </c>
      <c r="H384">
        <v>41520.47</v>
      </c>
      <c r="I384" s="3">
        <v>45447</v>
      </c>
      <c r="J384" s="1" t="s">
        <v>3790</v>
      </c>
      <c r="K384" s="1" t="s">
        <v>3783</v>
      </c>
      <c r="L384" s="1" t="s">
        <v>3800</v>
      </c>
      <c r="M384" s="1" t="s">
        <v>3817</v>
      </c>
      <c r="N384" t="str">
        <f t="shared" si="17"/>
        <v>Expense</v>
      </c>
      <c r="O384" t="str">
        <f t="shared" si="18"/>
        <v/>
      </c>
    </row>
    <row r="385" spans="1:15" x14ac:dyDescent="0.25">
      <c r="A385" s="1" t="s">
        <v>4212</v>
      </c>
      <c r="B385" s="1" t="s">
        <v>3828</v>
      </c>
      <c r="C385" s="1" t="s">
        <v>3795</v>
      </c>
      <c r="D385" s="1" t="s">
        <v>3822</v>
      </c>
      <c r="E385">
        <v>327303</v>
      </c>
      <c r="F385">
        <v>396053.98</v>
      </c>
      <c r="G385">
        <f t="shared" si="16"/>
        <v>-68750.979999999981</v>
      </c>
      <c r="H385">
        <v>-68750.98</v>
      </c>
      <c r="I385" s="3">
        <v>45583</v>
      </c>
      <c r="J385" s="1" t="s">
        <v>3859</v>
      </c>
      <c r="K385" s="1" t="s">
        <v>3823</v>
      </c>
      <c r="L385" s="1" t="s">
        <v>3800</v>
      </c>
      <c r="M385" s="1" t="s">
        <v>3792</v>
      </c>
      <c r="N385" t="str">
        <f t="shared" si="17"/>
        <v>Expense</v>
      </c>
      <c r="O385" t="str">
        <f t="shared" si="18"/>
        <v>Flag: High-Value Rejected</v>
      </c>
    </row>
    <row r="386" spans="1:15" x14ac:dyDescent="0.25">
      <c r="A386" s="1" t="s">
        <v>4213</v>
      </c>
      <c r="B386" s="1" t="s">
        <v>3811</v>
      </c>
      <c r="C386" s="1" t="s">
        <v>3795</v>
      </c>
      <c r="D386" s="1" t="s">
        <v>3799</v>
      </c>
      <c r="E386">
        <v>111860</v>
      </c>
      <c r="F386">
        <v>100608.75</v>
      </c>
      <c r="G386">
        <f t="shared" ref="G386:G449" si="19">IF(F386="","",E386-F386)</f>
        <v>11251.25</v>
      </c>
      <c r="H386">
        <v>11251.25</v>
      </c>
      <c r="I386" s="3">
        <v>45028</v>
      </c>
      <c r="J386" s="1" t="s">
        <v>3790</v>
      </c>
      <c r="K386" s="1" t="s">
        <v>3791</v>
      </c>
      <c r="L386" s="1" t="s">
        <v>3784</v>
      </c>
      <c r="M386" s="1" t="s">
        <v>3831</v>
      </c>
      <c r="N386" t="str">
        <f t="shared" si="17"/>
        <v>Expense</v>
      </c>
      <c r="O386" t="str">
        <f t="shared" si="18"/>
        <v/>
      </c>
    </row>
    <row r="387" spans="1:15" x14ac:dyDescent="0.25">
      <c r="A387" s="1" t="s">
        <v>4214</v>
      </c>
      <c r="B387" s="1" t="s">
        <v>3811</v>
      </c>
      <c r="C387" s="1" t="s">
        <v>3848</v>
      </c>
      <c r="D387" s="1" t="s">
        <v>3867</v>
      </c>
      <c r="E387">
        <v>358246</v>
      </c>
      <c r="F387">
        <v>293348.11</v>
      </c>
      <c r="G387">
        <f t="shared" si="19"/>
        <v>64897.890000000014</v>
      </c>
      <c r="H387">
        <v>64897.89</v>
      </c>
      <c r="I387" s="3">
        <v>45406</v>
      </c>
      <c r="J387" s="1" t="s">
        <v>3790</v>
      </c>
      <c r="K387" s="1" t="s">
        <v>3791</v>
      </c>
      <c r="L387" s="1" t="s">
        <v>3800</v>
      </c>
      <c r="M387" s="1" t="s">
        <v>51</v>
      </c>
      <c r="N387" t="str">
        <f t="shared" ref="N387:N450" si="20">IF(E387&lt;0,"Credit/Refund","Expense")</f>
        <v>Expense</v>
      </c>
      <c r="O387" t="str">
        <f t="shared" ref="O387:O450" si="21">IF(AND(OR(J387="Pending",J387="Rejected"),E387&gt;200000),"Flag: High-Value "&amp;J387,"")</f>
        <v/>
      </c>
    </row>
    <row r="388" spans="1:15" x14ac:dyDescent="0.25">
      <c r="A388" s="1" t="s">
        <v>4215</v>
      </c>
      <c r="B388" s="1" t="s">
        <v>3828</v>
      </c>
      <c r="C388" s="1" t="s">
        <v>3844</v>
      </c>
      <c r="D388" s="1" t="s">
        <v>3781</v>
      </c>
      <c r="E388">
        <v>12064</v>
      </c>
      <c r="F388">
        <v>10549.18</v>
      </c>
      <c r="G388">
        <f t="shared" si="19"/>
        <v>1514.8199999999997</v>
      </c>
      <c r="H388">
        <v>1514.82</v>
      </c>
      <c r="I388" s="3">
        <v>45090</v>
      </c>
      <c r="J388" s="1" t="s">
        <v>3790</v>
      </c>
      <c r="K388" s="1" t="s">
        <v>3823</v>
      </c>
      <c r="L388" s="1" t="s">
        <v>3784</v>
      </c>
      <c r="M388" s="1" t="s">
        <v>51</v>
      </c>
      <c r="N388" t="str">
        <f t="shared" si="20"/>
        <v>Expense</v>
      </c>
      <c r="O388" t="str">
        <f t="shared" si="21"/>
        <v/>
      </c>
    </row>
    <row r="389" spans="1:15" x14ac:dyDescent="0.25">
      <c r="A389" s="1" t="s">
        <v>4216</v>
      </c>
      <c r="B389" s="1" t="s">
        <v>3798</v>
      </c>
      <c r="C389" s="1" t="s">
        <v>3858</v>
      </c>
      <c r="D389" s="1" t="s">
        <v>3867</v>
      </c>
      <c r="E389">
        <v>296061</v>
      </c>
      <c r="F389">
        <v>300001.24</v>
      </c>
      <c r="G389">
        <f t="shared" si="19"/>
        <v>-3940.2399999999907</v>
      </c>
      <c r="H389">
        <v>-3940.24</v>
      </c>
      <c r="I389" s="3">
        <v>45115</v>
      </c>
      <c r="J389" s="1" t="s">
        <v>3782</v>
      </c>
      <c r="K389" s="1" t="s">
        <v>3803</v>
      </c>
      <c r="L389" s="1" t="s">
        <v>3784</v>
      </c>
      <c r="M389" s="1" t="s">
        <v>3831</v>
      </c>
      <c r="N389" t="str">
        <f t="shared" si="20"/>
        <v>Expense</v>
      </c>
      <c r="O389" t="str">
        <f t="shared" si="21"/>
        <v>Flag: High-Value Pending</v>
      </c>
    </row>
    <row r="390" spans="1:15" x14ac:dyDescent="0.25">
      <c r="A390" s="1" t="s">
        <v>4217</v>
      </c>
      <c r="B390" s="1" t="s">
        <v>3787</v>
      </c>
      <c r="C390" s="1" t="s">
        <v>3780</v>
      </c>
      <c r="D390" s="1" t="s">
        <v>3789</v>
      </c>
      <c r="E390">
        <v>30949</v>
      </c>
      <c r="F390">
        <v>25412.68</v>
      </c>
      <c r="G390">
        <f t="shared" si="19"/>
        <v>5536.32</v>
      </c>
      <c r="I390" s="3">
        <v>45043</v>
      </c>
      <c r="J390" s="1" t="s">
        <v>3790</v>
      </c>
      <c r="K390" s="1" t="s">
        <v>3783</v>
      </c>
      <c r="L390" s="1" t="s">
        <v>3784</v>
      </c>
      <c r="M390" s="1" t="s">
        <v>51</v>
      </c>
      <c r="N390" t="str">
        <f t="shared" si="20"/>
        <v>Expense</v>
      </c>
      <c r="O390" t="str">
        <f t="shared" si="21"/>
        <v/>
      </c>
    </row>
    <row r="391" spans="1:15" x14ac:dyDescent="0.25">
      <c r="A391" s="1" t="s">
        <v>4218</v>
      </c>
      <c r="B391" s="1" t="s">
        <v>3787</v>
      </c>
      <c r="C391" s="1" t="s">
        <v>3795</v>
      </c>
      <c r="D391" s="1" t="s">
        <v>3850</v>
      </c>
      <c r="E391">
        <v>372466</v>
      </c>
      <c r="F391">
        <v>447228.52</v>
      </c>
      <c r="G391">
        <f t="shared" si="19"/>
        <v>-74762.520000000019</v>
      </c>
      <c r="H391">
        <v>-74762.52</v>
      </c>
      <c r="I391" s="3">
        <v>45328</v>
      </c>
      <c r="J391" s="1" t="s">
        <v>3782</v>
      </c>
      <c r="K391" s="1" t="s">
        <v>3823</v>
      </c>
      <c r="L391" s="1" t="s">
        <v>3784</v>
      </c>
      <c r="M391" s="1" t="s">
        <v>51</v>
      </c>
      <c r="N391" t="str">
        <f t="shared" si="20"/>
        <v>Expense</v>
      </c>
      <c r="O391" t="str">
        <f t="shared" si="21"/>
        <v>Flag: High-Value Pending</v>
      </c>
    </row>
    <row r="392" spans="1:15" x14ac:dyDescent="0.25">
      <c r="A392" s="1" t="s">
        <v>4219</v>
      </c>
      <c r="B392" s="1" t="s">
        <v>3808</v>
      </c>
      <c r="C392" s="1" t="s">
        <v>3844</v>
      </c>
      <c r="D392" s="1" t="s">
        <v>3895</v>
      </c>
      <c r="E392">
        <v>244642</v>
      </c>
      <c r="F392">
        <v>282609.32</v>
      </c>
      <c r="G392">
        <f t="shared" si="19"/>
        <v>-37967.320000000007</v>
      </c>
      <c r="H392">
        <v>-37967.32</v>
      </c>
      <c r="I392" s="3">
        <v>45602</v>
      </c>
      <c r="J392" s="1" t="s">
        <v>3790</v>
      </c>
      <c r="K392" s="1" t="s">
        <v>3803</v>
      </c>
      <c r="L392" s="1" t="s">
        <v>3800</v>
      </c>
      <c r="M392" s="1" t="s">
        <v>3792</v>
      </c>
      <c r="N392" t="str">
        <f t="shared" si="20"/>
        <v>Expense</v>
      </c>
      <c r="O392" t="str">
        <f t="shared" si="21"/>
        <v/>
      </c>
    </row>
    <row r="393" spans="1:15" x14ac:dyDescent="0.25">
      <c r="A393" s="1" t="s">
        <v>4220</v>
      </c>
      <c r="B393" s="1" t="s">
        <v>3794</v>
      </c>
      <c r="C393" s="1" t="s">
        <v>3861</v>
      </c>
      <c r="D393" s="1" t="s">
        <v>3850</v>
      </c>
      <c r="E393">
        <v>258459</v>
      </c>
      <c r="F393">
        <v>255111.38</v>
      </c>
      <c r="G393">
        <f t="shared" si="19"/>
        <v>3347.6199999999953</v>
      </c>
      <c r="H393">
        <v>3347.62</v>
      </c>
      <c r="I393" s="3">
        <v>45197</v>
      </c>
      <c r="J393" s="1" t="s">
        <v>3790</v>
      </c>
      <c r="K393" s="1" t="s">
        <v>3823</v>
      </c>
      <c r="L393" s="1" t="s">
        <v>3784</v>
      </c>
      <c r="M393" s="1" t="s">
        <v>3809</v>
      </c>
      <c r="N393" t="str">
        <f t="shared" si="20"/>
        <v>Expense</v>
      </c>
      <c r="O393" t="str">
        <f t="shared" si="21"/>
        <v/>
      </c>
    </row>
    <row r="394" spans="1:15" x14ac:dyDescent="0.25">
      <c r="A394" s="1" t="s">
        <v>4221</v>
      </c>
      <c r="B394" s="1" t="s">
        <v>3808</v>
      </c>
      <c r="C394" s="1" t="s">
        <v>3780</v>
      </c>
      <c r="D394" s="1" t="s">
        <v>3822</v>
      </c>
      <c r="E394">
        <v>202077</v>
      </c>
      <c r="F394">
        <v>207699.46</v>
      </c>
      <c r="G394">
        <f t="shared" si="19"/>
        <v>-5622.4599999999919</v>
      </c>
      <c r="H394">
        <v>-5622.46</v>
      </c>
      <c r="I394" s="3">
        <v>45387</v>
      </c>
      <c r="J394" s="1" t="s">
        <v>3859</v>
      </c>
      <c r="K394" s="1" t="s">
        <v>3803</v>
      </c>
      <c r="L394" s="1" t="s">
        <v>3800</v>
      </c>
      <c r="M394" s="1" t="s">
        <v>51</v>
      </c>
      <c r="N394" t="str">
        <f t="shared" si="20"/>
        <v>Expense</v>
      </c>
      <c r="O394" t="str">
        <f t="shared" si="21"/>
        <v>Flag: High-Value Rejected</v>
      </c>
    </row>
    <row r="395" spans="1:15" x14ac:dyDescent="0.25">
      <c r="A395" s="1" t="s">
        <v>4222</v>
      </c>
      <c r="B395" s="1" t="s">
        <v>3787</v>
      </c>
      <c r="C395" s="1" t="s">
        <v>3795</v>
      </c>
      <c r="D395" s="1" t="s">
        <v>3850</v>
      </c>
      <c r="E395">
        <v>451509</v>
      </c>
      <c r="F395">
        <v>530679.26</v>
      </c>
      <c r="G395">
        <f t="shared" si="19"/>
        <v>-79170.260000000009</v>
      </c>
      <c r="H395">
        <v>-79170.259999999995</v>
      </c>
      <c r="I395" s="3">
        <v>45224</v>
      </c>
      <c r="J395" s="1" t="s">
        <v>3790</v>
      </c>
      <c r="K395" s="1" t="s">
        <v>3803</v>
      </c>
      <c r="L395" s="1" t="s">
        <v>3784</v>
      </c>
      <c r="M395" s="1" t="s">
        <v>51</v>
      </c>
      <c r="N395" t="str">
        <f t="shared" si="20"/>
        <v>Expense</v>
      </c>
      <c r="O395" t="str">
        <f t="shared" si="21"/>
        <v/>
      </c>
    </row>
    <row r="396" spans="1:15" x14ac:dyDescent="0.25">
      <c r="A396" s="1" t="s">
        <v>4223</v>
      </c>
      <c r="B396" s="1" t="s">
        <v>3839</v>
      </c>
      <c r="C396" s="1" t="s">
        <v>4878</v>
      </c>
      <c r="D396" s="1" t="s">
        <v>3846</v>
      </c>
      <c r="E396">
        <v>163925</v>
      </c>
      <c r="F396">
        <v>157330.82</v>
      </c>
      <c r="G396">
        <f t="shared" si="19"/>
        <v>6594.179999999993</v>
      </c>
      <c r="H396">
        <v>6594.18</v>
      </c>
      <c r="I396" s="3">
        <v>45222</v>
      </c>
      <c r="J396" s="1" t="s">
        <v>3790</v>
      </c>
      <c r="K396" s="1" t="s">
        <v>3791</v>
      </c>
      <c r="L396" s="1" t="s">
        <v>3784</v>
      </c>
      <c r="M396" s="1" t="s">
        <v>3792</v>
      </c>
      <c r="N396" t="str">
        <f t="shared" si="20"/>
        <v>Expense</v>
      </c>
      <c r="O396" t="str">
        <f t="shared" si="21"/>
        <v/>
      </c>
    </row>
    <row r="397" spans="1:15" x14ac:dyDescent="0.25">
      <c r="A397" s="1" t="s">
        <v>4224</v>
      </c>
      <c r="B397" s="1" t="s">
        <v>3798</v>
      </c>
      <c r="C397" s="1" t="s">
        <v>3848</v>
      </c>
      <c r="D397" s="1" t="s">
        <v>3826</v>
      </c>
      <c r="E397">
        <v>355503</v>
      </c>
      <c r="F397">
        <v>400742.71</v>
      </c>
      <c r="G397">
        <f t="shared" si="19"/>
        <v>-45239.710000000021</v>
      </c>
      <c r="H397">
        <v>-45239.71</v>
      </c>
      <c r="I397" s="3">
        <v>45236</v>
      </c>
      <c r="J397" s="1" t="s">
        <v>3790</v>
      </c>
      <c r="K397" s="1" t="s">
        <v>3783</v>
      </c>
      <c r="L397" s="1" t="s">
        <v>3784</v>
      </c>
      <c r="M397" s="1" t="s">
        <v>3817</v>
      </c>
      <c r="N397" t="str">
        <f t="shared" si="20"/>
        <v>Expense</v>
      </c>
      <c r="O397" t="str">
        <f t="shared" si="21"/>
        <v/>
      </c>
    </row>
    <row r="398" spans="1:15" x14ac:dyDescent="0.25">
      <c r="A398" s="1" t="s">
        <v>4225</v>
      </c>
      <c r="B398" s="1" t="s">
        <v>3794</v>
      </c>
      <c r="C398" s="1" t="s">
        <v>3812</v>
      </c>
      <c r="D398" s="1" t="s">
        <v>3834</v>
      </c>
      <c r="E398">
        <v>317282</v>
      </c>
      <c r="F398">
        <v>354047.57</v>
      </c>
      <c r="G398">
        <f t="shared" si="19"/>
        <v>-36765.570000000007</v>
      </c>
      <c r="H398">
        <v>-36765.57</v>
      </c>
      <c r="I398" s="3">
        <v>44959</v>
      </c>
      <c r="J398" s="1" t="s">
        <v>3790</v>
      </c>
      <c r="K398" s="1" t="s">
        <v>3791</v>
      </c>
      <c r="L398" s="1" t="s">
        <v>3804</v>
      </c>
      <c r="M398" s="1" t="s">
        <v>51</v>
      </c>
      <c r="N398" t="str">
        <f t="shared" si="20"/>
        <v>Expense</v>
      </c>
      <c r="O398" t="str">
        <f t="shared" si="21"/>
        <v/>
      </c>
    </row>
    <row r="399" spans="1:15" x14ac:dyDescent="0.25">
      <c r="A399" s="1" t="s">
        <v>4226</v>
      </c>
      <c r="B399" s="1" t="s">
        <v>3798</v>
      </c>
      <c r="C399" s="1" t="s">
        <v>3848</v>
      </c>
      <c r="D399" s="1" t="s">
        <v>3813</v>
      </c>
      <c r="E399">
        <v>29791</v>
      </c>
      <c r="F399">
        <v>32121.77</v>
      </c>
      <c r="G399">
        <f t="shared" si="19"/>
        <v>-2330.7700000000004</v>
      </c>
      <c r="H399">
        <v>-2330.77</v>
      </c>
      <c r="I399" s="3">
        <v>44997</v>
      </c>
      <c r="J399" s="1" t="s">
        <v>3790</v>
      </c>
      <c r="K399" s="1" t="s">
        <v>3803</v>
      </c>
      <c r="L399" s="1" t="s">
        <v>3804</v>
      </c>
      <c r="M399" s="1" t="s">
        <v>51</v>
      </c>
      <c r="N399" t="str">
        <f t="shared" si="20"/>
        <v>Expense</v>
      </c>
      <c r="O399" t="str">
        <f t="shared" si="21"/>
        <v/>
      </c>
    </row>
    <row r="400" spans="1:15" x14ac:dyDescent="0.25">
      <c r="A400" s="1" t="s">
        <v>4227</v>
      </c>
      <c r="B400" s="1" t="s">
        <v>3794</v>
      </c>
      <c r="C400" s="1" t="s">
        <v>3795</v>
      </c>
      <c r="D400" s="1" t="s">
        <v>3826</v>
      </c>
      <c r="E400">
        <v>260298</v>
      </c>
      <c r="F400">
        <v>302710.19</v>
      </c>
      <c r="G400">
        <f t="shared" si="19"/>
        <v>-42412.19</v>
      </c>
      <c r="H400">
        <v>-42412.19</v>
      </c>
      <c r="I400" s="3">
        <v>45018</v>
      </c>
      <c r="J400" s="1" t="s">
        <v>3790</v>
      </c>
      <c r="K400" s="1" t="s">
        <v>3823</v>
      </c>
      <c r="L400" s="1" t="s">
        <v>3784</v>
      </c>
      <c r="M400" s="1" t="s">
        <v>51</v>
      </c>
      <c r="N400" t="str">
        <f t="shared" si="20"/>
        <v>Expense</v>
      </c>
      <c r="O400" t="str">
        <f t="shared" si="21"/>
        <v/>
      </c>
    </row>
    <row r="401" spans="1:15" x14ac:dyDescent="0.25">
      <c r="A401" s="1" t="s">
        <v>4228</v>
      </c>
      <c r="B401" s="1" t="s">
        <v>3794</v>
      </c>
      <c r="C401" s="1" t="s">
        <v>3815</v>
      </c>
      <c r="D401" s="1" t="s">
        <v>3796</v>
      </c>
      <c r="E401">
        <v>170062</v>
      </c>
      <c r="F401">
        <v>201142.77</v>
      </c>
      <c r="G401">
        <f t="shared" si="19"/>
        <v>-31080.76999999999</v>
      </c>
      <c r="H401">
        <v>-31080.77</v>
      </c>
      <c r="I401" s="3">
        <v>45721</v>
      </c>
      <c r="J401" s="1" t="s">
        <v>3790</v>
      </c>
      <c r="K401" s="1" t="s">
        <v>3791</v>
      </c>
      <c r="L401" s="1" t="s">
        <v>3800</v>
      </c>
      <c r="M401" s="1" t="s">
        <v>3792</v>
      </c>
      <c r="N401" t="str">
        <f t="shared" si="20"/>
        <v>Expense</v>
      </c>
      <c r="O401" t="str">
        <f t="shared" si="21"/>
        <v/>
      </c>
    </row>
    <row r="402" spans="1:15" x14ac:dyDescent="0.25">
      <c r="A402" s="1" t="s">
        <v>4229</v>
      </c>
      <c r="B402" s="1" t="s">
        <v>3794</v>
      </c>
      <c r="C402" s="1" t="s">
        <v>3795</v>
      </c>
      <c r="D402" s="1" t="s">
        <v>3789</v>
      </c>
      <c r="E402">
        <v>493046</v>
      </c>
      <c r="F402">
        <v>516759.34</v>
      </c>
      <c r="G402">
        <f t="shared" si="19"/>
        <v>-23713.340000000026</v>
      </c>
      <c r="H402">
        <v>-23713.34</v>
      </c>
      <c r="I402" s="3">
        <v>45268</v>
      </c>
      <c r="J402" s="1" t="s">
        <v>3790</v>
      </c>
      <c r="K402" s="1" t="s">
        <v>3783</v>
      </c>
      <c r="L402" s="1" t="s">
        <v>3784</v>
      </c>
      <c r="M402" s="1" t="s">
        <v>51</v>
      </c>
      <c r="N402" t="str">
        <f t="shared" si="20"/>
        <v>Expense</v>
      </c>
      <c r="O402" t="str">
        <f t="shared" si="21"/>
        <v/>
      </c>
    </row>
    <row r="403" spans="1:15" x14ac:dyDescent="0.25">
      <c r="A403" s="1" t="s">
        <v>4230</v>
      </c>
      <c r="B403" s="1" t="s">
        <v>3811</v>
      </c>
      <c r="C403" s="1" t="s">
        <v>3844</v>
      </c>
      <c r="D403" s="1" t="s">
        <v>3855</v>
      </c>
      <c r="E403">
        <v>272783</v>
      </c>
      <c r="F403">
        <v>232960.38</v>
      </c>
      <c r="G403">
        <f t="shared" si="19"/>
        <v>39822.619999999995</v>
      </c>
      <c r="H403">
        <v>39822.620000000003</v>
      </c>
      <c r="I403" s="3">
        <v>45195</v>
      </c>
      <c r="J403" s="1" t="s">
        <v>3790</v>
      </c>
      <c r="K403" s="1" t="s">
        <v>3791</v>
      </c>
      <c r="L403" s="1" t="s">
        <v>3784</v>
      </c>
      <c r="M403" s="1" t="s">
        <v>3785</v>
      </c>
      <c r="N403" t="str">
        <f t="shared" si="20"/>
        <v>Expense</v>
      </c>
      <c r="O403" t="str">
        <f t="shared" si="21"/>
        <v/>
      </c>
    </row>
    <row r="404" spans="1:15" x14ac:dyDescent="0.25">
      <c r="A404" s="1" t="s">
        <v>4231</v>
      </c>
      <c r="B404" s="1" t="s">
        <v>4877</v>
      </c>
      <c r="C404" s="1" t="s">
        <v>3844</v>
      </c>
      <c r="D404" s="1" t="s">
        <v>3816</v>
      </c>
      <c r="E404">
        <v>4688784</v>
      </c>
      <c r="F404">
        <v>3938191.01</v>
      </c>
      <c r="G404">
        <f t="shared" si="19"/>
        <v>750592.99000000022</v>
      </c>
      <c r="H404">
        <v>750592.99</v>
      </c>
      <c r="I404" s="3">
        <v>45012</v>
      </c>
      <c r="J404" s="1" t="s">
        <v>3859</v>
      </c>
      <c r="K404" s="1" t="s">
        <v>3803</v>
      </c>
      <c r="L404" s="1" t="s">
        <v>3804</v>
      </c>
      <c r="M404" s="1" t="s">
        <v>51</v>
      </c>
      <c r="N404" t="str">
        <f t="shared" si="20"/>
        <v>Expense</v>
      </c>
      <c r="O404" t="str">
        <f t="shared" si="21"/>
        <v>Flag: High-Value Rejected</v>
      </c>
    </row>
    <row r="405" spans="1:15" x14ac:dyDescent="0.25">
      <c r="A405" s="1" t="s">
        <v>4232</v>
      </c>
      <c r="B405" s="1" t="s">
        <v>3839</v>
      </c>
      <c r="C405" s="1" t="s">
        <v>3795</v>
      </c>
      <c r="D405" s="1" t="s">
        <v>3834</v>
      </c>
      <c r="E405">
        <v>160016</v>
      </c>
      <c r="F405">
        <v>189994.81</v>
      </c>
      <c r="G405">
        <f t="shared" si="19"/>
        <v>-29978.809999999998</v>
      </c>
      <c r="H405">
        <v>-29978.81</v>
      </c>
      <c r="I405" s="3">
        <v>45348</v>
      </c>
      <c r="J405" s="1" t="s">
        <v>3790</v>
      </c>
      <c r="K405" s="1" t="s">
        <v>3791</v>
      </c>
      <c r="L405" s="1" t="s">
        <v>3784</v>
      </c>
      <c r="M405" s="1" t="s">
        <v>3809</v>
      </c>
      <c r="N405" t="str">
        <f t="shared" si="20"/>
        <v>Expense</v>
      </c>
      <c r="O405" t="str">
        <f t="shared" si="21"/>
        <v/>
      </c>
    </row>
    <row r="406" spans="1:15" x14ac:dyDescent="0.25">
      <c r="A406" s="1" t="s">
        <v>4233</v>
      </c>
      <c r="B406" s="1" t="s">
        <v>3808</v>
      </c>
      <c r="C406" s="1" t="s">
        <v>3815</v>
      </c>
      <c r="D406" s="1" t="s">
        <v>3855</v>
      </c>
      <c r="E406">
        <v>-30156</v>
      </c>
      <c r="F406">
        <v>30446.67</v>
      </c>
      <c r="G406">
        <f t="shared" si="19"/>
        <v>-60602.67</v>
      </c>
      <c r="H406">
        <v>-290.67</v>
      </c>
      <c r="I406" s="3">
        <v>45153</v>
      </c>
      <c r="J406" s="1" t="s">
        <v>3790</v>
      </c>
      <c r="K406" s="1" t="s">
        <v>3823</v>
      </c>
      <c r="L406" s="1" t="s">
        <v>3784</v>
      </c>
      <c r="M406" s="1" t="s">
        <v>51</v>
      </c>
      <c r="N406" t="str">
        <f t="shared" si="20"/>
        <v>Credit/Refund</v>
      </c>
      <c r="O406" t="str">
        <f t="shared" si="21"/>
        <v/>
      </c>
    </row>
    <row r="407" spans="1:15" x14ac:dyDescent="0.25">
      <c r="A407" s="1" t="s">
        <v>4234</v>
      </c>
      <c r="B407" s="1" t="s">
        <v>3839</v>
      </c>
      <c r="C407" s="1" t="s">
        <v>3806</v>
      </c>
      <c r="D407" s="1" t="s">
        <v>3796</v>
      </c>
      <c r="E407">
        <v>498758</v>
      </c>
      <c r="F407">
        <v>486607.94</v>
      </c>
      <c r="G407">
        <f t="shared" si="19"/>
        <v>12150.059999999998</v>
      </c>
      <c r="H407">
        <v>12150.06</v>
      </c>
      <c r="I407" s="3">
        <v>45585</v>
      </c>
      <c r="J407" s="1" t="s">
        <v>3782</v>
      </c>
      <c r="K407" s="1" t="s">
        <v>3783</v>
      </c>
      <c r="L407" s="1" t="s">
        <v>3800</v>
      </c>
      <c r="M407" s="1" t="s">
        <v>51</v>
      </c>
      <c r="N407" t="str">
        <f t="shared" si="20"/>
        <v>Expense</v>
      </c>
      <c r="O407" t="str">
        <f t="shared" si="21"/>
        <v>Flag: High-Value Pending</v>
      </c>
    </row>
    <row r="408" spans="1:15" x14ac:dyDescent="0.25">
      <c r="A408" s="1" t="s">
        <v>4235</v>
      </c>
      <c r="B408" s="1" t="s">
        <v>3794</v>
      </c>
      <c r="C408" s="1" t="s">
        <v>3848</v>
      </c>
      <c r="D408" s="1" t="s">
        <v>3813</v>
      </c>
      <c r="E408">
        <v>390496</v>
      </c>
      <c r="F408">
        <v>406666.97</v>
      </c>
      <c r="G408">
        <f t="shared" si="19"/>
        <v>-16170.969999999972</v>
      </c>
      <c r="H408">
        <v>-16170.97</v>
      </c>
      <c r="I408" s="3">
        <v>45132</v>
      </c>
      <c r="J408" s="1" t="s">
        <v>3859</v>
      </c>
      <c r="K408" s="1" t="s">
        <v>3823</v>
      </c>
      <c r="L408" s="1" t="s">
        <v>3784</v>
      </c>
      <c r="M408" s="1" t="s">
        <v>51</v>
      </c>
      <c r="N408" t="str">
        <f t="shared" si="20"/>
        <v>Expense</v>
      </c>
      <c r="O408" t="str">
        <f t="shared" si="21"/>
        <v>Flag: High-Value Rejected</v>
      </c>
    </row>
    <row r="409" spans="1:15" x14ac:dyDescent="0.25">
      <c r="A409" s="1" t="s">
        <v>4236</v>
      </c>
      <c r="B409" s="1" t="s">
        <v>3828</v>
      </c>
      <c r="C409" s="1" t="s">
        <v>3821</v>
      </c>
      <c r="D409" s="1" t="s">
        <v>3816</v>
      </c>
      <c r="E409">
        <v>379186</v>
      </c>
      <c r="F409">
        <v>388036.42</v>
      </c>
      <c r="G409">
        <f t="shared" si="19"/>
        <v>-8850.4199999999837</v>
      </c>
      <c r="H409">
        <v>-8850.42</v>
      </c>
      <c r="I409" s="3">
        <v>44935</v>
      </c>
      <c r="J409" s="1" t="s">
        <v>3790</v>
      </c>
      <c r="K409" s="1" t="s">
        <v>3783</v>
      </c>
      <c r="L409" s="1" t="s">
        <v>3804</v>
      </c>
      <c r="M409" s="1" t="s">
        <v>51</v>
      </c>
      <c r="N409" t="str">
        <f t="shared" si="20"/>
        <v>Expense</v>
      </c>
      <c r="O409" t="str">
        <f t="shared" si="21"/>
        <v/>
      </c>
    </row>
    <row r="410" spans="1:15" x14ac:dyDescent="0.25">
      <c r="A410" s="1" t="s">
        <v>4237</v>
      </c>
      <c r="B410" s="1" t="s">
        <v>3828</v>
      </c>
      <c r="C410" s="1" t="s">
        <v>3788</v>
      </c>
      <c r="D410" s="1" t="s">
        <v>3834</v>
      </c>
      <c r="E410">
        <v>474316</v>
      </c>
      <c r="F410">
        <v>519064.02</v>
      </c>
      <c r="G410">
        <f t="shared" si="19"/>
        <v>-44748.020000000019</v>
      </c>
      <c r="H410">
        <v>-44748.02</v>
      </c>
      <c r="I410" s="3">
        <v>45674</v>
      </c>
      <c r="J410" s="1" t="s">
        <v>3859</v>
      </c>
      <c r="K410" s="1" t="s">
        <v>3783</v>
      </c>
      <c r="L410" s="1" t="s">
        <v>3800</v>
      </c>
      <c r="M410" s="1" t="s">
        <v>51</v>
      </c>
      <c r="N410" t="str">
        <f t="shared" si="20"/>
        <v>Expense</v>
      </c>
      <c r="O410" t="str">
        <f t="shared" si="21"/>
        <v>Flag: High-Value Rejected</v>
      </c>
    </row>
    <row r="411" spans="1:15" x14ac:dyDescent="0.25">
      <c r="A411" s="1" t="s">
        <v>4238</v>
      </c>
      <c r="B411" s="1" t="s">
        <v>3811</v>
      </c>
      <c r="C411" s="1" t="s">
        <v>3861</v>
      </c>
      <c r="D411" s="1" t="s">
        <v>3846</v>
      </c>
      <c r="E411">
        <v>-118413</v>
      </c>
      <c r="F411">
        <v>108123.08</v>
      </c>
      <c r="G411">
        <f t="shared" si="19"/>
        <v>-226536.08000000002</v>
      </c>
      <c r="H411">
        <v>10289.92</v>
      </c>
      <c r="I411" s="3">
        <v>45395</v>
      </c>
      <c r="J411" s="1" t="s">
        <v>3790</v>
      </c>
      <c r="K411" s="1" t="s">
        <v>3783</v>
      </c>
      <c r="L411" s="1" t="s">
        <v>3800</v>
      </c>
      <c r="M411" s="1" t="s">
        <v>3785</v>
      </c>
      <c r="N411" t="str">
        <f t="shared" si="20"/>
        <v>Credit/Refund</v>
      </c>
      <c r="O411" t="str">
        <f t="shared" si="21"/>
        <v/>
      </c>
    </row>
    <row r="412" spans="1:15" x14ac:dyDescent="0.25">
      <c r="A412" s="1" t="s">
        <v>4239</v>
      </c>
      <c r="B412" s="1" t="s">
        <v>3828</v>
      </c>
      <c r="C412" s="1" t="s">
        <v>3780</v>
      </c>
      <c r="D412" s="1" t="s">
        <v>3837</v>
      </c>
      <c r="E412">
        <v>495983</v>
      </c>
      <c r="F412">
        <v>486156.54</v>
      </c>
      <c r="G412">
        <f t="shared" si="19"/>
        <v>9826.460000000021</v>
      </c>
      <c r="H412">
        <v>9826.4599999999991</v>
      </c>
      <c r="I412" s="3">
        <v>45194</v>
      </c>
      <c r="J412" s="1" t="s">
        <v>3790</v>
      </c>
      <c r="K412" s="1" t="s">
        <v>3791</v>
      </c>
      <c r="L412" s="1" t="s">
        <v>3784</v>
      </c>
      <c r="M412" s="1" t="s">
        <v>3785</v>
      </c>
      <c r="N412" t="str">
        <f t="shared" si="20"/>
        <v>Expense</v>
      </c>
      <c r="O412" t="str">
        <f t="shared" si="21"/>
        <v/>
      </c>
    </row>
    <row r="413" spans="1:15" x14ac:dyDescent="0.25">
      <c r="A413" s="1" t="s">
        <v>4240</v>
      </c>
      <c r="B413" s="1" t="s">
        <v>3811</v>
      </c>
      <c r="C413" s="1" t="s">
        <v>3844</v>
      </c>
      <c r="D413" s="1" t="s">
        <v>3796</v>
      </c>
      <c r="E413">
        <v>186645</v>
      </c>
      <c r="G413" t="str">
        <f t="shared" si="19"/>
        <v/>
      </c>
      <c r="H413">
        <v>12334.99</v>
      </c>
      <c r="I413" s="3">
        <v>45140</v>
      </c>
      <c r="J413" s="1" t="s">
        <v>3782</v>
      </c>
      <c r="K413" s="1" t="s">
        <v>3803</v>
      </c>
      <c r="L413" s="1" t="s">
        <v>3784</v>
      </c>
      <c r="M413" s="1" t="s">
        <v>3809</v>
      </c>
      <c r="N413" t="str">
        <f t="shared" si="20"/>
        <v>Expense</v>
      </c>
      <c r="O413" t="str">
        <f t="shared" si="21"/>
        <v/>
      </c>
    </row>
    <row r="414" spans="1:15" x14ac:dyDescent="0.25">
      <c r="A414" s="1" t="s">
        <v>4241</v>
      </c>
      <c r="B414" s="1" t="s">
        <v>4877</v>
      </c>
      <c r="C414" s="1" t="s">
        <v>3815</v>
      </c>
      <c r="D414" s="1" t="s">
        <v>3813</v>
      </c>
      <c r="E414">
        <v>342928</v>
      </c>
      <c r="F414">
        <v>445230.91</v>
      </c>
      <c r="G414">
        <f t="shared" si="19"/>
        <v>-102302.90999999997</v>
      </c>
      <c r="H414">
        <v>-102302.91</v>
      </c>
      <c r="I414" s="3">
        <v>45032</v>
      </c>
      <c r="J414" s="1" t="s">
        <v>3790</v>
      </c>
      <c r="K414" s="1" t="s">
        <v>3791</v>
      </c>
      <c r="L414" s="1" t="s">
        <v>3784</v>
      </c>
      <c r="M414" s="1" t="s">
        <v>3809</v>
      </c>
      <c r="N414" t="str">
        <f t="shared" si="20"/>
        <v>Expense</v>
      </c>
      <c r="O414" t="str">
        <f t="shared" si="21"/>
        <v/>
      </c>
    </row>
    <row r="415" spans="1:15" x14ac:dyDescent="0.25">
      <c r="A415" s="1" t="s">
        <v>4242</v>
      </c>
      <c r="B415" s="1" t="s">
        <v>3787</v>
      </c>
      <c r="C415" s="1" t="s">
        <v>3812</v>
      </c>
      <c r="D415" s="1" t="s">
        <v>3796</v>
      </c>
      <c r="E415">
        <v>389265</v>
      </c>
      <c r="F415">
        <v>359305.9</v>
      </c>
      <c r="G415">
        <f t="shared" si="19"/>
        <v>29959.099999999977</v>
      </c>
      <c r="H415">
        <v>29959.1</v>
      </c>
      <c r="I415" s="3">
        <v>45577</v>
      </c>
      <c r="J415" s="1" t="s">
        <v>3790</v>
      </c>
      <c r="K415" s="1" t="s">
        <v>3791</v>
      </c>
      <c r="L415" s="1" t="s">
        <v>3800</v>
      </c>
      <c r="M415" s="1" t="s">
        <v>51</v>
      </c>
      <c r="N415" t="str">
        <f t="shared" si="20"/>
        <v>Expense</v>
      </c>
      <c r="O415" t="str">
        <f t="shared" si="21"/>
        <v/>
      </c>
    </row>
    <row r="416" spans="1:15" x14ac:dyDescent="0.25">
      <c r="A416" s="1" t="s">
        <v>4243</v>
      </c>
      <c r="B416" s="1" t="s">
        <v>3787</v>
      </c>
      <c r="C416" s="1" t="s">
        <v>3848</v>
      </c>
      <c r="D416" s="1" t="s">
        <v>3802</v>
      </c>
      <c r="E416">
        <v>197078</v>
      </c>
      <c r="F416">
        <v>238559.88</v>
      </c>
      <c r="G416">
        <f t="shared" si="19"/>
        <v>-41481.880000000005</v>
      </c>
      <c r="H416">
        <v>-41481.879999999997</v>
      </c>
      <c r="I416" s="3">
        <v>45038</v>
      </c>
      <c r="J416" s="1" t="s">
        <v>3790</v>
      </c>
      <c r="K416" s="1" t="s">
        <v>3783</v>
      </c>
      <c r="L416" s="1" t="s">
        <v>3784</v>
      </c>
      <c r="M416" s="1" t="s">
        <v>3792</v>
      </c>
      <c r="N416" t="str">
        <f t="shared" si="20"/>
        <v>Expense</v>
      </c>
      <c r="O416" t="str">
        <f t="shared" si="21"/>
        <v/>
      </c>
    </row>
    <row r="417" spans="1:15" x14ac:dyDescent="0.25">
      <c r="A417" s="1" t="s">
        <v>4244</v>
      </c>
      <c r="B417" s="1" t="s">
        <v>3839</v>
      </c>
      <c r="C417" s="1" t="s">
        <v>3806</v>
      </c>
      <c r="D417" s="1" t="s">
        <v>3834</v>
      </c>
      <c r="E417">
        <v>469132</v>
      </c>
      <c r="F417">
        <v>453619.26</v>
      </c>
      <c r="G417">
        <f t="shared" si="19"/>
        <v>15512.739999999991</v>
      </c>
      <c r="H417">
        <v>15512.74</v>
      </c>
      <c r="I417" s="3">
        <v>45285</v>
      </c>
      <c r="J417" s="1" t="s">
        <v>3790</v>
      </c>
      <c r="K417" s="1" t="s">
        <v>3823</v>
      </c>
      <c r="L417" s="1" t="s">
        <v>3784</v>
      </c>
      <c r="M417" s="1" t="s">
        <v>3792</v>
      </c>
      <c r="N417" t="str">
        <f t="shared" si="20"/>
        <v>Expense</v>
      </c>
      <c r="O417" t="str">
        <f t="shared" si="21"/>
        <v/>
      </c>
    </row>
    <row r="418" spans="1:15" x14ac:dyDescent="0.25">
      <c r="A418" s="1" t="s">
        <v>4245</v>
      </c>
      <c r="B418" s="1" t="s">
        <v>3787</v>
      </c>
      <c r="C418" s="1" t="s">
        <v>3815</v>
      </c>
      <c r="D418" s="1" t="s">
        <v>3837</v>
      </c>
      <c r="E418">
        <v>3584033</v>
      </c>
      <c r="F418">
        <v>3448909.77</v>
      </c>
      <c r="G418">
        <f t="shared" si="19"/>
        <v>135123.22999999998</v>
      </c>
      <c r="H418">
        <v>135123.23000000001</v>
      </c>
      <c r="I418" s="3">
        <v>45196</v>
      </c>
      <c r="J418" s="1" t="s">
        <v>3790</v>
      </c>
      <c r="K418" s="1" t="s">
        <v>3791</v>
      </c>
      <c r="L418" s="1" t="s">
        <v>3784</v>
      </c>
      <c r="M418" s="1" t="s">
        <v>3792</v>
      </c>
      <c r="N418" t="str">
        <f t="shared" si="20"/>
        <v>Expense</v>
      </c>
      <c r="O418" t="str">
        <f t="shared" si="21"/>
        <v/>
      </c>
    </row>
    <row r="419" spans="1:15" x14ac:dyDescent="0.25">
      <c r="A419" s="1" t="s">
        <v>4246</v>
      </c>
      <c r="B419" s="1" t="s">
        <v>3839</v>
      </c>
      <c r="C419" s="1" t="s">
        <v>3844</v>
      </c>
      <c r="D419" s="1" t="s">
        <v>3826</v>
      </c>
      <c r="E419">
        <v>31705</v>
      </c>
      <c r="F419">
        <v>30836.74</v>
      </c>
      <c r="G419">
        <f t="shared" si="19"/>
        <v>868.2599999999984</v>
      </c>
      <c r="H419">
        <v>868.26</v>
      </c>
      <c r="I419" s="3">
        <v>45424</v>
      </c>
      <c r="J419" s="1" t="s">
        <v>3790</v>
      </c>
      <c r="K419" s="1" t="s">
        <v>3783</v>
      </c>
      <c r="L419" s="1" t="s">
        <v>3800</v>
      </c>
      <c r="M419" s="1" t="s">
        <v>51</v>
      </c>
      <c r="N419" t="str">
        <f t="shared" si="20"/>
        <v>Expense</v>
      </c>
      <c r="O419" t="str">
        <f t="shared" si="21"/>
        <v/>
      </c>
    </row>
    <row r="420" spans="1:15" x14ac:dyDescent="0.25">
      <c r="A420" s="1" t="s">
        <v>4247</v>
      </c>
      <c r="B420" s="1" t="s">
        <v>3798</v>
      </c>
      <c r="C420" s="1" t="s">
        <v>3825</v>
      </c>
      <c r="D420" s="1" t="s">
        <v>3813</v>
      </c>
      <c r="E420">
        <v>68786</v>
      </c>
      <c r="F420">
        <v>71406.789999999994</v>
      </c>
      <c r="G420">
        <f t="shared" si="19"/>
        <v>-2620.7899999999936</v>
      </c>
      <c r="H420">
        <v>-2620.79</v>
      </c>
      <c r="I420" s="3">
        <v>45540</v>
      </c>
      <c r="J420" s="1" t="s">
        <v>3859</v>
      </c>
      <c r="K420" s="1" t="s">
        <v>3783</v>
      </c>
      <c r="L420" s="1" t="s">
        <v>3800</v>
      </c>
      <c r="M420" s="1" t="s">
        <v>3785</v>
      </c>
      <c r="N420" t="str">
        <f t="shared" si="20"/>
        <v>Expense</v>
      </c>
      <c r="O420" t="str">
        <f t="shared" si="21"/>
        <v/>
      </c>
    </row>
    <row r="421" spans="1:15" x14ac:dyDescent="0.25">
      <c r="A421" s="1" t="s">
        <v>4248</v>
      </c>
      <c r="B421" s="1" t="s">
        <v>3787</v>
      </c>
      <c r="C421" s="1" t="s">
        <v>3861</v>
      </c>
      <c r="D421" s="1" t="s">
        <v>3834</v>
      </c>
      <c r="E421">
        <v>160198</v>
      </c>
      <c r="F421">
        <v>159898.99</v>
      </c>
      <c r="G421">
        <f t="shared" si="19"/>
        <v>299.01000000000931</v>
      </c>
      <c r="H421">
        <v>299.01</v>
      </c>
      <c r="I421" s="3">
        <v>45480</v>
      </c>
      <c r="J421" s="1" t="s">
        <v>3790</v>
      </c>
      <c r="K421" s="1" t="s">
        <v>3803</v>
      </c>
      <c r="L421" s="1" t="s">
        <v>3800</v>
      </c>
      <c r="M421" s="1" t="s">
        <v>51</v>
      </c>
      <c r="N421" t="str">
        <f t="shared" si="20"/>
        <v>Expense</v>
      </c>
      <c r="O421" t="str">
        <f t="shared" si="21"/>
        <v/>
      </c>
    </row>
    <row r="422" spans="1:15" x14ac:dyDescent="0.25">
      <c r="A422" s="1" t="s">
        <v>4249</v>
      </c>
      <c r="B422" s="1" t="s">
        <v>3828</v>
      </c>
      <c r="C422" s="1" t="s">
        <v>3812</v>
      </c>
      <c r="D422" s="1" t="s">
        <v>3850</v>
      </c>
      <c r="E422">
        <v>385403</v>
      </c>
      <c r="G422" t="str">
        <f t="shared" si="19"/>
        <v/>
      </c>
      <c r="H422">
        <v>28329.64</v>
      </c>
      <c r="I422" s="3">
        <v>45520</v>
      </c>
      <c r="J422" s="1" t="s">
        <v>3790</v>
      </c>
      <c r="K422" s="1" t="s">
        <v>3823</v>
      </c>
      <c r="L422" s="1" t="s">
        <v>3800</v>
      </c>
      <c r="M422" s="1" t="s">
        <v>3809</v>
      </c>
      <c r="N422" t="str">
        <f t="shared" si="20"/>
        <v>Expense</v>
      </c>
      <c r="O422" t="str">
        <f t="shared" si="21"/>
        <v/>
      </c>
    </row>
    <row r="423" spans="1:15" x14ac:dyDescent="0.25">
      <c r="A423" s="1" t="s">
        <v>4250</v>
      </c>
      <c r="B423" s="1" t="s">
        <v>3794</v>
      </c>
      <c r="C423" s="1" t="s">
        <v>3825</v>
      </c>
      <c r="D423" s="1" t="s">
        <v>3802</v>
      </c>
      <c r="E423">
        <v>211236</v>
      </c>
      <c r="F423">
        <v>224181.03</v>
      </c>
      <c r="G423">
        <f t="shared" si="19"/>
        <v>-12945.029999999999</v>
      </c>
      <c r="H423">
        <v>-12945.03</v>
      </c>
      <c r="I423" s="3">
        <v>45344</v>
      </c>
      <c r="J423" s="1" t="s">
        <v>3782</v>
      </c>
      <c r="K423" s="1" t="s">
        <v>3783</v>
      </c>
      <c r="L423" s="1" t="s">
        <v>3784</v>
      </c>
      <c r="M423" s="1" t="s">
        <v>51</v>
      </c>
      <c r="N423" t="str">
        <f t="shared" si="20"/>
        <v>Expense</v>
      </c>
      <c r="O423" t="str">
        <f t="shared" si="21"/>
        <v>Flag: High-Value Pending</v>
      </c>
    </row>
    <row r="424" spans="1:15" x14ac:dyDescent="0.25">
      <c r="A424" s="1" t="s">
        <v>4251</v>
      </c>
      <c r="B424" s="1" t="s">
        <v>3828</v>
      </c>
      <c r="C424" s="1" t="s">
        <v>3825</v>
      </c>
      <c r="D424" s="1" t="s">
        <v>3816</v>
      </c>
      <c r="E424">
        <v>177999</v>
      </c>
      <c r="F424">
        <v>164780.06</v>
      </c>
      <c r="G424">
        <f t="shared" si="19"/>
        <v>13218.940000000002</v>
      </c>
      <c r="H424">
        <v>13218.94</v>
      </c>
      <c r="I424" s="3">
        <v>45673</v>
      </c>
      <c r="J424" s="1" t="s">
        <v>3790</v>
      </c>
      <c r="K424" s="1" t="s">
        <v>3803</v>
      </c>
      <c r="L424" s="1" t="s">
        <v>3800</v>
      </c>
      <c r="M424" s="1" t="s">
        <v>51</v>
      </c>
      <c r="N424" t="str">
        <f t="shared" si="20"/>
        <v>Expense</v>
      </c>
      <c r="O424" t="str">
        <f t="shared" si="21"/>
        <v/>
      </c>
    </row>
    <row r="425" spans="1:15" x14ac:dyDescent="0.25">
      <c r="A425" s="1" t="s">
        <v>4252</v>
      </c>
      <c r="B425" s="1" t="s">
        <v>3811</v>
      </c>
      <c r="C425" s="1" t="s">
        <v>3861</v>
      </c>
      <c r="D425" s="1" t="s">
        <v>3813</v>
      </c>
      <c r="E425">
        <v>421120</v>
      </c>
      <c r="F425">
        <v>523406.55</v>
      </c>
      <c r="G425">
        <f t="shared" si="19"/>
        <v>-102286.54999999999</v>
      </c>
      <c r="H425">
        <v>-102286.55</v>
      </c>
      <c r="I425" s="3">
        <v>45454</v>
      </c>
      <c r="J425" s="1" t="s">
        <v>3859</v>
      </c>
      <c r="K425" s="1" t="s">
        <v>3803</v>
      </c>
      <c r="L425" s="1" t="s">
        <v>3800</v>
      </c>
      <c r="M425" s="1" t="s">
        <v>51</v>
      </c>
      <c r="N425" t="str">
        <f t="shared" si="20"/>
        <v>Expense</v>
      </c>
      <c r="O425" t="str">
        <f t="shared" si="21"/>
        <v>Flag: High-Value Rejected</v>
      </c>
    </row>
    <row r="426" spans="1:15" x14ac:dyDescent="0.25">
      <c r="A426" s="1" t="s">
        <v>4253</v>
      </c>
      <c r="B426" s="1" t="s">
        <v>3828</v>
      </c>
      <c r="C426" s="1" t="s">
        <v>3812</v>
      </c>
      <c r="D426" s="1" t="s">
        <v>3834</v>
      </c>
      <c r="E426">
        <v>457162</v>
      </c>
      <c r="F426">
        <v>493650.62</v>
      </c>
      <c r="G426">
        <f t="shared" si="19"/>
        <v>-36488.619999999995</v>
      </c>
      <c r="H426">
        <v>-36488.620000000003</v>
      </c>
      <c r="I426" s="3">
        <v>45324</v>
      </c>
      <c r="J426" s="1" t="s">
        <v>3790</v>
      </c>
      <c r="K426" s="1" t="s">
        <v>3823</v>
      </c>
      <c r="L426" s="1" t="s">
        <v>3784</v>
      </c>
      <c r="M426" s="1" t="s">
        <v>3831</v>
      </c>
      <c r="N426" t="str">
        <f t="shared" si="20"/>
        <v>Expense</v>
      </c>
      <c r="O426" t="str">
        <f t="shared" si="21"/>
        <v/>
      </c>
    </row>
    <row r="427" spans="1:15" x14ac:dyDescent="0.25">
      <c r="A427" s="1" t="s">
        <v>4254</v>
      </c>
      <c r="B427" s="1" t="s">
        <v>3828</v>
      </c>
      <c r="C427" s="1" t="s">
        <v>3821</v>
      </c>
      <c r="D427" s="1" t="s">
        <v>3799</v>
      </c>
      <c r="E427">
        <v>70751</v>
      </c>
      <c r="G427" t="str">
        <f t="shared" si="19"/>
        <v/>
      </c>
      <c r="H427">
        <v>-103.65</v>
      </c>
      <c r="I427" s="3">
        <v>45498</v>
      </c>
      <c r="J427" s="1" t="s">
        <v>3790</v>
      </c>
      <c r="K427" s="1" t="s">
        <v>3823</v>
      </c>
      <c r="L427" s="1" t="s">
        <v>3800</v>
      </c>
      <c r="M427" s="1" t="s">
        <v>3831</v>
      </c>
      <c r="N427" t="str">
        <f t="shared" si="20"/>
        <v>Expense</v>
      </c>
      <c r="O427" t="str">
        <f t="shared" si="21"/>
        <v/>
      </c>
    </row>
    <row r="428" spans="1:15" x14ac:dyDescent="0.25">
      <c r="A428" s="1" t="s">
        <v>4255</v>
      </c>
      <c r="B428" s="1" t="s">
        <v>3839</v>
      </c>
      <c r="C428" s="1" t="s">
        <v>3848</v>
      </c>
      <c r="D428" s="1" t="s">
        <v>3802</v>
      </c>
      <c r="E428">
        <v>360402</v>
      </c>
      <c r="F428">
        <v>439137.03</v>
      </c>
      <c r="G428">
        <f t="shared" si="19"/>
        <v>-78735.030000000028</v>
      </c>
      <c r="H428">
        <v>-78735.03</v>
      </c>
      <c r="I428" s="3">
        <v>45063</v>
      </c>
      <c r="J428" s="1" t="s">
        <v>3782</v>
      </c>
      <c r="K428" s="1" t="s">
        <v>3823</v>
      </c>
      <c r="L428" s="1" t="s">
        <v>3784</v>
      </c>
      <c r="M428" s="1" t="s">
        <v>3831</v>
      </c>
      <c r="N428" t="str">
        <f t="shared" si="20"/>
        <v>Expense</v>
      </c>
      <c r="O428" t="str">
        <f t="shared" si="21"/>
        <v>Flag: High-Value Pending</v>
      </c>
    </row>
    <row r="429" spans="1:15" x14ac:dyDescent="0.25">
      <c r="A429" s="1" t="s">
        <v>4256</v>
      </c>
      <c r="B429" s="1" t="s">
        <v>4877</v>
      </c>
      <c r="C429" s="1" t="s">
        <v>3812</v>
      </c>
      <c r="D429" s="1" t="s">
        <v>3826</v>
      </c>
      <c r="E429">
        <v>-364146</v>
      </c>
      <c r="F429">
        <v>312185.55</v>
      </c>
      <c r="G429">
        <f t="shared" si="19"/>
        <v>-676331.55</v>
      </c>
      <c r="H429">
        <v>51960.45</v>
      </c>
      <c r="I429" s="3">
        <v>45245</v>
      </c>
      <c r="J429" s="1" t="s">
        <v>3782</v>
      </c>
      <c r="K429" s="1" t="s">
        <v>3823</v>
      </c>
      <c r="L429" s="1" t="s">
        <v>3784</v>
      </c>
      <c r="M429" s="1" t="s">
        <v>3809</v>
      </c>
      <c r="N429" t="str">
        <f t="shared" si="20"/>
        <v>Credit/Refund</v>
      </c>
      <c r="O429" t="str">
        <f t="shared" si="21"/>
        <v/>
      </c>
    </row>
    <row r="430" spans="1:15" x14ac:dyDescent="0.25">
      <c r="A430" s="1" t="s">
        <v>4257</v>
      </c>
      <c r="B430" s="1" t="s">
        <v>3787</v>
      </c>
      <c r="C430" s="1" t="s">
        <v>3858</v>
      </c>
      <c r="D430" s="1" t="s">
        <v>3799</v>
      </c>
      <c r="E430">
        <v>68610</v>
      </c>
      <c r="F430">
        <v>85073.21</v>
      </c>
      <c r="G430">
        <f t="shared" si="19"/>
        <v>-16463.210000000006</v>
      </c>
      <c r="H430">
        <v>-16463.21</v>
      </c>
      <c r="I430" s="3">
        <v>45727</v>
      </c>
      <c r="J430" s="1" t="s">
        <v>3782</v>
      </c>
      <c r="K430" s="1" t="s">
        <v>3823</v>
      </c>
      <c r="L430" s="1" t="s">
        <v>3800</v>
      </c>
      <c r="M430" s="1" t="s">
        <v>3809</v>
      </c>
      <c r="N430" t="str">
        <f t="shared" si="20"/>
        <v>Expense</v>
      </c>
      <c r="O430" t="str">
        <f t="shared" si="21"/>
        <v/>
      </c>
    </row>
    <row r="431" spans="1:15" x14ac:dyDescent="0.25">
      <c r="A431" s="1" t="s">
        <v>4258</v>
      </c>
      <c r="B431" s="1" t="s">
        <v>3811</v>
      </c>
      <c r="C431" s="1" t="s">
        <v>3861</v>
      </c>
      <c r="D431" s="1" t="s">
        <v>3802</v>
      </c>
      <c r="E431">
        <v>135822</v>
      </c>
      <c r="F431">
        <v>174308.75</v>
      </c>
      <c r="G431">
        <f t="shared" si="19"/>
        <v>-38486.75</v>
      </c>
      <c r="H431">
        <v>-38486.75</v>
      </c>
      <c r="I431" s="3">
        <v>45098</v>
      </c>
      <c r="J431" s="1" t="s">
        <v>3782</v>
      </c>
      <c r="K431" s="1" t="s">
        <v>3791</v>
      </c>
      <c r="L431" s="1" t="s">
        <v>3784</v>
      </c>
      <c r="M431" s="1" t="s">
        <v>3785</v>
      </c>
      <c r="N431" t="str">
        <f t="shared" si="20"/>
        <v>Expense</v>
      </c>
      <c r="O431" t="str">
        <f t="shared" si="21"/>
        <v/>
      </c>
    </row>
    <row r="432" spans="1:15" x14ac:dyDescent="0.25">
      <c r="A432" s="1" t="s">
        <v>4259</v>
      </c>
      <c r="B432" s="1" t="s">
        <v>3794</v>
      </c>
      <c r="C432" s="1" t="s">
        <v>3780</v>
      </c>
      <c r="D432" s="1" t="s">
        <v>3850</v>
      </c>
      <c r="E432">
        <v>345563</v>
      </c>
      <c r="F432">
        <v>301764.7</v>
      </c>
      <c r="G432">
        <f t="shared" si="19"/>
        <v>43798.299999999988</v>
      </c>
      <c r="H432">
        <v>43798.3</v>
      </c>
      <c r="I432" s="3">
        <v>45350</v>
      </c>
      <c r="J432" s="1" t="s">
        <v>3782</v>
      </c>
      <c r="K432" s="1" t="s">
        <v>3823</v>
      </c>
      <c r="L432" s="1" t="s">
        <v>3784</v>
      </c>
      <c r="M432" s="1" t="s">
        <v>51</v>
      </c>
      <c r="N432" t="str">
        <f t="shared" si="20"/>
        <v>Expense</v>
      </c>
      <c r="O432" t="str">
        <f t="shared" si="21"/>
        <v>Flag: High-Value Pending</v>
      </c>
    </row>
    <row r="433" spans="1:15" x14ac:dyDescent="0.25">
      <c r="A433" s="1" t="s">
        <v>4260</v>
      </c>
      <c r="B433" s="1" t="s">
        <v>3808</v>
      </c>
      <c r="C433" s="1" t="s">
        <v>3780</v>
      </c>
      <c r="D433" s="1" t="s">
        <v>3796</v>
      </c>
      <c r="E433">
        <v>156894</v>
      </c>
      <c r="F433">
        <v>163264.04999999999</v>
      </c>
      <c r="G433">
        <f t="shared" si="19"/>
        <v>-6370.0499999999884</v>
      </c>
      <c r="I433" s="3">
        <v>45654</v>
      </c>
      <c r="J433" s="1" t="s">
        <v>3790</v>
      </c>
      <c r="K433" s="1" t="s">
        <v>3783</v>
      </c>
      <c r="L433" s="1" t="s">
        <v>3800</v>
      </c>
      <c r="M433" s="1" t="s">
        <v>3831</v>
      </c>
      <c r="N433" t="str">
        <f t="shared" si="20"/>
        <v>Expense</v>
      </c>
      <c r="O433" t="str">
        <f t="shared" si="21"/>
        <v/>
      </c>
    </row>
    <row r="434" spans="1:15" x14ac:dyDescent="0.25">
      <c r="A434" s="1" t="s">
        <v>4261</v>
      </c>
      <c r="B434" s="1" t="s">
        <v>3787</v>
      </c>
      <c r="C434" s="1" t="s">
        <v>3815</v>
      </c>
      <c r="D434" s="1" t="s">
        <v>3796</v>
      </c>
      <c r="E434">
        <v>61984</v>
      </c>
      <c r="F434">
        <v>49905.3</v>
      </c>
      <c r="G434">
        <f t="shared" si="19"/>
        <v>12078.699999999997</v>
      </c>
      <c r="H434">
        <v>12078.7</v>
      </c>
      <c r="I434" s="3">
        <v>45090</v>
      </c>
      <c r="J434" s="1" t="s">
        <v>3790</v>
      </c>
      <c r="K434" s="1" t="s">
        <v>3791</v>
      </c>
      <c r="L434" s="1" t="s">
        <v>3784</v>
      </c>
      <c r="M434" s="1" t="s">
        <v>51</v>
      </c>
      <c r="N434" t="str">
        <f t="shared" si="20"/>
        <v>Expense</v>
      </c>
      <c r="O434" t="str">
        <f t="shared" si="21"/>
        <v/>
      </c>
    </row>
    <row r="435" spans="1:15" x14ac:dyDescent="0.25">
      <c r="A435" s="1" t="s">
        <v>4262</v>
      </c>
      <c r="B435" s="1" t="s">
        <v>3787</v>
      </c>
      <c r="C435" s="1" t="s">
        <v>3780</v>
      </c>
      <c r="D435" s="1" t="s">
        <v>3796</v>
      </c>
      <c r="E435">
        <v>369543</v>
      </c>
      <c r="F435">
        <v>335826.66</v>
      </c>
      <c r="G435">
        <f t="shared" si="19"/>
        <v>33716.340000000026</v>
      </c>
      <c r="H435">
        <v>33716.339999999997</v>
      </c>
      <c r="I435" s="3">
        <v>45720</v>
      </c>
      <c r="J435" s="1" t="s">
        <v>3790</v>
      </c>
      <c r="K435" s="1" t="s">
        <v>3803</v>
      </c>
      <c r="L435" s="1" t="s">
        <v>3800</v>
      </c>
      <c r="M435" s="1" t="s">
        <v>3792</v>
      </c>
      <c r="N435" t="str">
        <f t="shared" si="20"/>
        <v>Expense</v>
      </c>
      <c r="O435" t="str">
        <f t="shared" si="21"/>
        <v/>
      </c>
    </row>
    <row r="436" spans="1:15" x14ac:dyDescent="0.25">
      <c r="A436" s="1" t="s">
        <v>4263</v>
      </c>
      <c r="B436" s="1" t="s">
        <v>3798</v>
      </c>
      <c r="C436" s="1" t="s">
        <v>3861</v>
      </c>
      <c r="D436" s="1" t="s">
        <v>3895</v>
      </c>
      <c r="E436">
        <v>22047</v>
      </c>
      <c r="F436">
        <v>18732.650000000001</v>
      </c>
      <c r="G436">
        <f t="shared" si="19"/>
        <v>3314.3499999999985</v>
      </c>
      <c r="H436">
        <v>3314.35</v>
      </c>
      <c r="I436" s="3">
        <v>45166</v>
      </c>
      <c r="J436" s="1" t="s">
        <v>3790</v>
      </c>
      <c r="K436" s="1" t="s">
        <v>3783</v>
      </c>
      <c r="L436" s="1" t="s">
        <v>3784</v>
      </c>
      <c r="M436" s="1" t="s">
        <v>51</v>
      </c>
      <c r="N436" t="str">
        <f t="shared" si="20"/>
        <v>Expense</v>
      </c>
      <c r="O436" t="str">
        <f t="shared" si="21"/>
        <v/>
      </c>
    </row>
    <row r="437" spans="1:15" x14ac:dyDescent="0.25">
      <c r="A437" s="1" t="s">
        <v>4264</v>
      </c>
      <c r="B437" s="1" t="s">
        <v>3811</v>
      </c>
      <c r="C437" s="1" t="s">
        <v>3780</v>
      </c>
      <c r="D437" s="1" t="s">
        <v>3802</v>
      </c>
      <c r="E437">
        <v>459776</v>
      </c>
      <c r="F437">
        <v>483816.84</v>
      </c>
      <c r="G437">
        <f t="shared" si="19"/>
        <v>-24040.840000000026</v>
      </c>
      <c r="H437">
        <v>-24040.84</v>
      </c>
      <c r="I437" s="3">
        <v>45252</v>
      </c>
      <c r="J437" s="1" t="s">
        <v>3790</v>
      </c>
      <c r="K437" s="1" t="s">
        <v>3803</v>
      </c>
      <c r="L437" s="1" t="s">
        <v>3784</v>
      </c>
      <c r="M437" s="1" t="s">
        <v>3785</v>
      </c>
      <c r="N437" t="str">
        <f t="shared" si="20"/>
        <v>Expense</v>
      </c>
      <c r="O437" t="str">
        <f t="shared" si="21"/>
        <v/>
      </c>
    </row>
    <row r="438" spans="1:15" x14ac:dyDescent="0.25">
      <c r="A438" s="1" t="s">
        <v>4265</v>
      </c>
      <c r="B438" s="1" t="s">
        <v>4877</v>
      </c>
      <c r="C438" s="1" t="s">
        <v>3812</v>
      </c>
      <c r="D438" s="1" t="s">
        <v>3822</v>
      </c>
      <c r="E438">
        <v>7126</v>
      </c>
      <c r="F438">
        <v>6813.12</v>
      </c>
      <c r="G438">
        <f t="shared" si="19"/>
        <v>312.88000000000011</v>
      </c>
      <c r="H438">
        <v>312.88</v>
      </c>
      <c r="I438" s="3">
        <v>45315</v>
      </c>
      <c r="J438" s="1" t="s">
        <v>3790</v>
      </c>
      <c r="K438" s="1" t="s">
        <v>3803</v>
      </c>
      <c r="L438" s="1" t="s">
        <v>3784</v>
      </c>
      <c r="M438" s="1" t="s">
        <v>3817</v>
      </c>
      <c r="N438" t="str">
        <f t="shared" si="20"/>
        <v>Expense</v>
      </c>
      <c r="O438" t="str">
        <f t="shared" si="21"/>
        <v/>
      </c>
    </row>
    <row r="439" spans="1:15" x14ac:dyDescent="0.25">
      <c r="A439" s="1" t="s">
        <v>4266</v>
      </c>
      <c r="B439" s="1" t="s">
        <v>3787</v>
      </c>
      <c r="C439" s="1" t="s">
        <v>3848</v>
      </c>
      <c r="D439" s="1" t="s">
        <v>3813</v>
      </c>
      <c r="E439">
        <v>240283</v>
      </c>
      <c r="F439">
        <v>238054.36</v>
      </c>
      <c r="G439">
        <f t="shared" si="19"/>
        <v>2228.640000000014</v>
      </c>
      <c r="H439">
        <v>2228.64</v>
      </c>
      <c r="I439" s="3">
        <v>45507</v>
      </c>
      <c r="J439" s="1" t="s">
        <v>3790</v>
      </c>
      <c r="K439" s="1" t="s">
        <v>3803</v>
      </c>
      <c r="L439" s="1" t="s">
        <v>3800</v>
      </c>
      <c r="M439" s="1" t="s">
        <v>3817</v>
      </c>
      <c r="N439" t="str">
        <f t="shared" si="20"/>
        <v>Expense</v>
      </c>
      <c r="O439" t="str">
        <f t="shared" si="21"/>
        <v/>
      </c>
    </row>
    <row r="440" spans="1:15" x14ac:dyDescent="0.25">
      <c r="A440" s="1" t="s">
        <v>4267</v>
      </c>
      <c r="B440" s="1" t="s">
        <v>3839</v>
      </c>
      <c r="C440" s="1" t="s">
        <v>3812</v>
      </c>
      <c r="D440" s="1" t="s">
        <v>3822</v>
      </c>
      <c r="E440">
        <v>390911</v>
      </c>
      <c r="F440">
        <v>466963.63</v>
      </c>
      <c r="G440">
        <f t="shared" si="19"/>
        <v>-76052.63</v>
      </c>
      <c r="H440">
        <v>-76052.63</v>
      </c>
      <c r="I440" s="3">
        <v>45199</v>
      </c>
      <c r="J440" s="1" t="s">
        <v>3790</v>
      </c>
      <c r="K440" s="1" t="s">
        <v>3791</v>
      </c>
      <c r="L440" s="1" t="s">
        <v>3784</v>
      </c>
      <c r="M440" s="1" t="s">
        <v>51</v>
      </c>
      <c r="N440" t="str">
        <f t="shared" si="20"/>
        <v>Expense</v>
      </c>
      <c r="O440" t="str">
        <f t="shared" si="21"/>
        <v/>
      </c>
    </row>
    <row r="441" spans="1:15" x14ac:dyDescent="0.25">
      <c r="A441" s="1" t="s">
        <v>4268</v>
      </c>
      <c r="B441" s="1" t="s">
        <v>3787</v>
      </c>
      <c r="C441" s="1" t="s">
        <v>3821</v>
      </c>
      <c r="D441" s="1" t="s">
        <v>3822</v>
      </c>
      <c r="E441">
        <v>129860</v>
      </c>
      <c r="F441">
        <v>115706.78</v>
      </c>
      <c r="G441">
        <f t="shared" si="19"/>
        <v>14153.220000000001</v>
      </c>
      <c r="H441">
        <v>14153.22</v>
      </c>
      <c r="I441" s="3">
        <v>45027</v>
      </c>
      <c r="J441" s="1" t="s">
        <v>3790</v>
      </c>
      <c r="K441" s="1" t="s">
        <v>3823</v>
      </c>
      <c r="L441" s="1" t="s">
        <v>3784</v>
      </c>
      <c r="M441" s="1" t="s">
        <v>3831</v>
      </c>
      <c r="N441" t="str">
        <f t="shared" si="20"/>
        <v>Expense</v>
      </c>
      <c r="O441" t="str">
        <f t="shared" si="21"/>
        <v/>
      </c>
    </row>
    <row r="442" spans="1:15" x14ac:dyDescent="0.25">
      <c r="A442" s="1" t="s">
        <v>4269</v>
      </c>
      <c r="B442" s="1" t="s">
        <v>3798</v>
      </c>
      <c r="C442" s="1" t="s">
        <v>3780</v>
      </c>
      <c r="D442" s="1" t="s">
        <v>3796</v>
      </c>
      <c r="E442">
        <v>486522</v>
      </c>
      <c r="F442">
        <v>422407.6</v>
      </c>
      <c r="G442">
        <f t="shared" si="19"/>
        <v>64114.400000000023</v>
      </c>
      <c r="H442">
        <v>64114.400000000001</v>
      </c>
      <c r="I442" s="3">
        <v>45148</v>
      </c>
      <c r="J442" s="1" t="s">
        <v>3859</v>
      </c>
      <c r="K442" s="1" t="s">
        <v>3783</v>
      </c>
      <c r="L442" s="1" t="s">
        <v>3784</v>
      </c>
      <c r="M442" s="1" t="s">
        <v>51</v>
      </c>
      <c r="N442" t="str">
        <f t="shared" si="20"/>
        <v>Expense</v>
      </c>
      <c r="O442" t="str">
        <f t="shared" si="21"/>
        <v>Flag: High-Value Rejected</v>
      </c>
    </row>
    <row r="443" spans="1:15" x14ac:dyDescent="0.25">
      <c r="A443" s="1" t="s">
        <v>4270</v>
      </c>
      <c r="B443" s="1" t="s">
        <v>3787</v>
      </c>
      <c r="C443" s="1" t="s">
        <v>3858</v>
      </c>
      <c r="D443" s="1" t="s">
        <v>3867</v>
      </c>
      <c r="E443">
        <v>104377</v>
      </c>
      <c r="F443">
        <v>105713.39</v>
      </c>
      <c r="G443">
        <f t="shared" si="19"/>
        <v>-1336.3899999999994</v>
      </c>
      <c r="H443">
        <v>-1336.39</v>
      </c>
      <c r="I443" s="3">
        <v>44943</v>
      </c>
      <c r="J443" s="1" t="s">
        <v>3790</v>
      </c>
      <c r="K443" s="1" t="s">
        <v>3823</v>
      </c>
      <c r="L443" s="1" t="s">
        <v>3804</v>
      </c>
      <c r="M443" s="1" t="s">
        <v>51</v>
      </c>
      <c r="N443" t="str">
        <f t="shared" si="20"/>
        <v>Expense</v>
      </c>
      <c r="O443" t="str">
        <f t="shared" si="21"/>
        <v/>
      </c>
    </row>
    <row r="444" spans="1:15" x14ac:dyDescent="0.25">
      <c r="A444" s="1" t="s">
        <v>4271</v>
      </c>
      <c r="B444" s="1" t="s">
        <v>3811</v>
      </c>
      <c r="C444" s="1" t="s">
        <v>3815</v>
      </c>
      <c r="D444" s="1" t="s">
        <v>3846</v>
      </c>
      <c r="E444">
        <v>385423</v>
      </c>
      <c r="F444">
        <v>436848.89</v>
      </c>
      <c r="G444">
        <f t="shared" si="19"/>
        <v>-51425.890000000014</v>
      </c>
      <c r="H444">
        <v>-51425.89</v>
      </c>
      <c r="I444" s="3">
        <v>44956</v>
      </c>
      <c r="J444" s="1" t="s">
        <v>3790</v>
      </c>
      <c r="K444" s="1" t="s">
        <v>3823</v>
      </c>
      <c r="L444" s="1" t="s">
        <v>3804</v>
      </c>
      <c r="M444" s="1" t="s">
        <v>51</v>
      </c>
      <c r="N444" t="str">
        <f t="shared" si="20"/>
        <v>Expense</v>
      </c>
      <c r="O444" t="str">
        <f t="shared" si="21"/>
        <v/>
      </c>
    </row>
    <row r="445" spans="1:15" x14ac:dyDescent="0.25">
      <c r="A445" s="1" t="s">
        <v>4272</v>
      </c>
      <c r="B445" s="1" t="s">
        <v>3811</v>
      </c>
      <c r="C445" s="1" t="s">
        <v>3848</v>
      </c>
      <c r="D445" s="1" t="s">
        <v>3813</v>
      </c>
      <c r="E445">
        <v>39349</v>
      </c>
      <c r="G445" t="str">
        <f t="shared" si="19"/>
        <v/>
      </c>
      <c r="H445">
        <v>-5428.59</v>
      </c>
      <c r="I445" s="3">
        <v>45180</v>
      </c>
      <c r="J445" s="1" t="s">
        <v>3790</v>
      </c>
      <c r="K445" s="1" t="s">
        <v>3783</v>
      </c>
      <c r="L445" s="1" t="s">
        <v>3784</v>
      </c>
      <c r="M445" s="1" t="s">
        <v>3817</v>
      </c>
      <c r="N445" t="str">
        <f t="shared" si="20"/>
        <v>Expense</v>
      </c>
      <c r="O445" t="str">
        <f t="shared" si="21"/>
        <v/>
      </c>
    </row>
    <row r="446" spans="1:15" x14ac:dyDescent="0.25">
      <c r="A446" s="1" t="s">
        <v>4273</v>
      </c>
      <c r="B446" s="1" t="s">
        <v>3839</v>
      </c>
      <c r="C446" s="1" t="s">
        <v>3858</v>
      </c>
      <c r="D446" s="1" t="s">
        <v>3813</v>
      </c>
      <c r="E446">
        <v>211242</v>
      </c>
      <c r="F446">
        <v>197885.54</v>
      </c>
      <c r="G446">
        <f t="shared" si="19"/>
        <v>13356.459999999992</v>
      </c>
      <c r="H446">
        <v>13356.46</v>
      </c>
      <c r="I446" s="3">
        <v>45380</v>
      </c>
      <c r="J446" s="1" t="s">
        <v>3782</v>
      </c>
      <c r="K446" s="1" t="s">
        <v>3803</v>
      </c>
      <c r="L446" s="1" t="s">
        <v>3784</v>
      </c>
      <c r="M446" s="1" t="s">
        <v>51</v>
      </c>
      <c r="N446" t="str">
        <f t="shared" si="20"/>
        <v>Expense</v>
      </c>
      <c r="O446" t="str">
        <f t="shared" si="21"/>
        <v>Flag: High-Value Pending</v>
      </c>
    </row>
    <row r="447" spans="1:15" x14ac:dyDescent="0.25">
      <c r="A447" s="1" t="s">
        <v>4274</v>
      </c>
      <c r="B447" s="1" t="s">
        <v>3798</v>
      </c>
      <c r="C447" s="1" t="s">
        <v>3812</v>
      </c>
      <c r="D447" s="1" t="s">
        <v>3799</v>
      </c>
      <c r="E447">
        <v>192510</v>
      </c>
      <c r="F447">
        <v>241497.34</v>
      </c>
      <c r="G447">
        <f t="shared" si="19"/>
        <v>-48987.34</v>
      </c>
      <c r="H447">
        <v>-48987.34</v>
      </c>
      <c r="I447" s="3">
        <v>45683</v>
      </c>
      <c r="J447" s="1" t="s">
        <v>3790</v>
      </c>
      <c r="K447" s="1" t="s">
        <v>3783</v>
      </c>
      <c r="L447" s="1" t="s">
        <v>3800</v>
      </c>
      <c r="M447" s="1" t="s">
        <v>51</v>
      </c>
      <c r="N447" t="str">
        <f t="shared" si="20"/>
        <v>Expense</v>
      </c>
      <c r="O447" t="str">
        <f t="shared" si="21"/>
        <v/>
      </c>
    </row>
    <row r="448" spans="1:15" x14ac:dyDescent="0.25">
      <c r="A448" s="1" t="s">
        <v>4275</v>
      </c>
      <c r="B448" s="1" t="s">
        <v>3798</v>
      </c>
      <c r="C448" s="1" t="s">
        <v>3844</v>
      </c>
      <c r="D448" s="1" t="s">
        <v>3867</v>
      </c>
      <c r="E448">
        <v>372529</v>
      </c>
      <c r="F448">
        <v>330444.99</v>
      </c>
      <c r="G448">
        <f t="shared" si="19"/>
        <v>42084.010000000009</v>
      </c>
      <c r="H448">
        <v>42084.01</v>
      </c>
      <c r="I448" s="3">
        <v>45362</v>
      </c>
      <c r="J448" s="1" t="s">
        <v>3790</v>
      </c>
      <c r="K448" s="1" t="s">
        <v>3803</v>
      </c>
      <c r="L448" s="1" t="s">
        <v>3784</v>
      </c>
      <c r="M448" s="1" t="s">
        <v>51</v>
      </c>
      <c r="N448" t="str">
        <f t="shared" si="20"/>
        <v>Expense</v>
      </c>
      <c r="O448" t="str">
        <f t="shared" si="21"/>
        <v/>
      </c>
    </row>
    <row r="449" spans="1:15" x14ac:dyDescent="0.25">
      <c r="A449" s="1" t="s">
        <v>4276</v>
      </c>
      <c r="B449" s="1" t="s">
        <v>3811</v>
      </c>
      <c r="C449" s="1" t="s">
        <v>3795</v>
      </c>
      <c r="D449" s="1" t="s">
        <v>3855</v>
      </c>
      <c r="E449">
        <v>124174</v>
      </c>
      <c r="F449">
        <v>134999.20000000001</v>
      </c>
      <c r="G449">
        <f t="shared" si="19"/>
        <v>-10825.200000000012</v>
      </c>
      <c r="H449">
        <v>-10825.2</v>
      </c>
      <c r="I449" s="3">
        <v>45677</v>
      </c>
      <c r="J449" s="1" t="s">
        <v>3790</v>
      </c>
      <c r="K449" s="1" t="s">
        <v>3803</v>
      </c>
      <c r="L449" s="1" t="s">
        <v>3800</v>
      </c>
      <c r="M449" s="1" t="s">
        <v>51</v>
      </c>
      <c r="N449" t="str">
        <f t="shared" si="20"/>
        <v>Expense</v>
      </c>
      <c r="O449" t="str">
        <f t="shared" si="21"/>
        <v/>
      </c>
    </row>
    <row r="450" spans="1:15" x14ac:dyDescent="0.25">
      <c r="A450" s="1" t="s">
        <v>4277</v>
      </c>
      <c r="B450" s="1" t="s">
        <v>3811</v>
      </c>
      <c r="C450" s="1" t="s">
        <v>3848</v>
      </c>
      <c r="D450" s="1" t="s">
        <v>3822</v>
      </c>
      <c r="E450">
        <v>1513418</v>
      </c>
      <c r="F450">
        <v>1861019.9</v>
      </c>
      <c r="G450">
        <f t="shared" ref="G450:G513" si="22">IF(F450="","",E450-F450)</f>
        <v>-347601.89999999991</v>
      </c>
      <c r="H450">
        <v>-347601.9</v>
      </c>
      <c r="I450" s="3">
        <v>45568</v>
      </c>
      <c r="J450" s="1" t="s">
        <v>3790</v>
      </c>
      <c r="K450" s="1" t="s">
        <v>3791</v>
      </c>
      <c r="L450" s="1" t="s">
        <v>3800</v>
      </c>
      <c r="M450" s="1" t="s">
        <v>3785</v>
      </c>
      <c r="N450" t="str">
        <f t="shared" si="20"/>
        <v>Expense</v>
      </c>
      <c r="O450" t="str">
        <f t="shared" si="21"/>
        <v/>
      </c>
    </row>
    <row r="451" spans="1:15" x14ac:dyDescent="0.25">
      <c r="A451" s="1" t="s">
        <v>4278</v>
      </c>
      <c r="B451" s="1" t="s">
        <v>3798</v>
      </c>
      <c r="C451" s="1" t="s">
        <v>3815</v>
      </c>
      <c r="D451" s="1" t="s">
        <v>3781</v>
      </c>
      <c r="E451">
        <v>88024</v>
      </c>
      <c r="F451">
        <v>75983.5</v>
      </c>
      <c r="G451">
        <f t="shared" si="22"/>
        <v>12040.5</v>
      </c>
      <c r="H451">
        <v>12040.5</v>
      </c>
      <c r="I451" s="3">
        <v>45315</v>
      </c>
      <c r="J451" s="1" t="s">
        <v>3782</v>
      </c>
      <c r="K451" s="1" t="s">
        <v>3823</v>
      </c>
      <c r="L451" s="1" t="s">
        <v>3784</v>
      </c>
      <c r="M451" s="1" t="s">
        <v>3817</v>
      </c>
      <c r="N451" t="str">
        <f t="shared" ref="N451:N514" si="23">IF(E451&lt;0,"Credit/Refund","Expense")</f>
        <v>Expense</v>
      </c>
      <c r="O451" t="str">
        <f t="shared" ref="O451:O514" si="24">IF(AND(OR(J451="Pending",J451="Rejected"),E451&gt;200000),"Flag: High-Value "&amp;J451,"")</f>
        <v/>
      </c>
    </row>
    <row r="452" spans="1:15" x14ac:dyDescent="0.25">
      <c r="A452" s="1" t="s">
        <v>4279</v>
      </c>
      <c r="B452" s="1" t="s">
        <v>3808</v>
      </c>
      <c r="C452" s="1" t="s">
        <v>3815</v>
      </c>
      <c r="D452" s="1" t="s">
        <v>3867</v>
      </c>
      <c r="E452">
        <v>155428</v>
      </c>
      <c r="F452">
        <v>159304.06</v>
      </c>
      <c r="G452">
        <f t="shared" si="22"/>
        <v>-3876.0599999999977</v>
      </c>
      <c r="H452">
        <v>-3876.06</v>
      </c>
      <c r="I452" s="3">
        <v>45041</v>
      </c>
      <c r="J452" s="1" t="s">
        <v>3790</v>
      </c>
      <c r="K452" s="1" t="s">
        <v>3783</v>
      </c>
      <c r="L452" s="1" t="s">
        <v>3784</v>
      </c>
      <c r="M452" s="1" t="s">
        <v>3792</v>
      </c>
      <c r="N452" t="str">
        <f t="shared" si="23"/>
        <v>Expense</v>
      </c>
      <c r="O452" t="str">
        <f t="shared" si="24"/>
        <v/>
      </c>
    </row>
    <row r="453" spans="1:15" x14ac:dyDescent="0.25">
      <c r="A453" s="1" t="s">
        <v>4280</v>
      </c>
      <c r="B453" s="1" t="s">
        <v>3808</v>
      </c>
      <c r="C453" s="1" t="s">
        <v>3844</v>
      </c>
      <c r="D453" s="1" t="s">
        <v>3802</v>
      </c>
      <c r="E453">
        <v>9342</v>
      </c>
      <c r="F453">
        <v>8812.44</v>
      </c>
      <c r="G453">
        <f t="shared" si="22"/>
        <v>529.55999999999949</v>
      </c>
      <c r="H453">
        <v>529.55999999999995</v>
      </c>
      <c r="I453" s="3">
        <v>45352</v>
      </c>
      <c r="J453" s="1" t="s">
        <v>3790</v>
      </c>
      <c r="K453" s="1" t="s">
        <v>3823</v>
      </c>
      <c r="L453" s="1" t="s">
        <v>3784</v>
      </c>
      <c r="M453" s="1" t="s">
        <v>51</v>
      </c>
      <c r="N453" t="str">
        <f t="shared" si="23"/>
        <v>Expense</v>
      </c>
      <c r="O453" t="str">
        <f t="shared" si="24"/>
        <v/>
      </c>
    </row>
    <row r="454" spans="1:15" x14ac:dyDescent="0.25">
      <c r="A454" s="1" t="s">
        <v>4281</v>
      </c>
      <c r="B454" s="1" t="s">
        <v>3794</v>
      </c>
      <c r="C454" s="1" t="s">
        <v>3815</v>
      </c>
      <c r="D454" s="1" t="s">
        <v>3789</v>
      </c>
      <c r="E454">
        <v>459794</v>
      </c>
      <c r="F454">
        <v>495521.89</v>
      </c>
      <c r="G454">
        <f t="shared" si="22"/>
        <v>-35727.890000000014</v>
      </c>
      <c r="H454">
        <v>-35727.89</v>
      </c>
      <c r="I454" s="3">
        <v>45256</v>
      </c>
      <c r="J454" s="1" t="s">
        <v>3790</v>
      </c>
      <c r="K454" s="1" t="s">
        <v>3803</v>
      </c>
      <c r="L454" s="1" t="s">
        <v>3784</v>
      </c>
      <c r="M454" s="1" t="s">
        <v>3809</v>
      </c>
      <c r="N454" t="str">
        <f t="shared" si="23"/>
        <v>Expense</v>
      </c>
      <c r="O454" t="str">
        <f t="shared" si="24"/>
        <v/>
      </c>
    </row>
    <row r="455" spans="1:15" x14ac:dyDescent="0.25">
      <c r="A455" s="1" t="s">
        <v>4282</v>
      </c>
      <c r="B455" s="1" t="s">
        <v>3808</v>
      </c>
      <c r="C455" s="1" t="s">
        <v>3795</v>
      </c>
      <c r="D455" s="1" t="s">
        <v>3850</v>
      </c>
      <c r="E455">
        <v>1152819</v>
      </c>
      <c r="F455">
        <v>976232.83</v>
      </c>
      <c r="G455">
        <f t="shared" si="22"/>
        <v>176586.17000000004</v>
      </c>
      <c r="H455">
        <v>176586.17</v>
      </c>
      <c r="I455" s="3">
        <v>45329</v>
      </c>
      <c r="J455" s="1" t="s">
        <v>3790</v>
      </c>
      <c r="K455" s="1" t="s">
        <v>3803</v>
      </c>
      <c r="L455" s="1" t="s">
        <v>3784</v>
      </c>
      <c r="M455" s="1" t="s">
        <v>3785</v>
      </c>
      <c r="N455" t="str">
        <f t="shared" si="23"/>
        <v>Expense</v>
      </c>
      <c r="O455" t="str">
        <f t="shared" si="24"/>
        <v/>
      </c>
    </row>
    <row r="456" spans="1:15" x14ac:dyDescent="0.25">
      <c r="A456" s="1" t="s">
        <v>4283</v>
      </c>
      <c r="B456" s="1" t="s">
        <v>4877</v>
      </c>
      <c r="C456" s="1" t="s">
        <v>3821</v>
      </c>
      <c r="D456" s="1" t="s">
        <v>3850</v>
      </c>
      <c r="E456">
        <v>124434</v>
      </c>
      <c r="F456">
        <v>102991.71</v>
      </c>
      <c r="G456">
        <f t="shared" si="22"/>
        <v>21442.289999999994</v>
      </c>
      <c r="H456">
        <v>21442.29</v>
      </c>
      <c r="I456" s="3">
        <v>45054</v>
      </c>
      <c r="J456" s="1" t="s">
        <v>3859</v>
      </c>
      <c r="K456" s="1" t="s">
        <v>3791</v>
      </c>
      <c r="L456" s="1" t="s">
        <v>3784</v>
      </c>
      <c r="M456" s="1" t="s">
        <v>3817</v>
      </c>
      <c r="N456" t="str">
        <f t="shared" si="23"/>
        <v>Expense</v>
      </c>
      <c r="O456" t="str">
        <f t="shared" si="24"/>
        <v/>
      </c>
    </row>
    <row r="457" spans="1:15" x14ac:dyDescent="0.25">
      <c r="A457" s="1" t="s">
        <v>4284</v>
      </c>
      <c r="B457" s="1" t="s">
        <v>3794</v>
      </c>
      <c r="C457" s="1" t="s">
        <v>3861</v>
      </c>
      <c r="D457" s="1" t="s">
        <v>3826</v>
      </c>
      <c r="E457">
        <v>337273</v>
      </c>
      <c r="F457">
        <v>283126.71000000002</v>
      </c>
      <c r="G457">
        <f t="shared" si="22"/>
        <v>54146.289999999979</v>
      </c>
      <c r="H457">
        <v>54146.29</v>
      </c>
      <c r="I457" s="3">
        <v>45037</v>
      </c>
      <c r="J457" s="1" t="s">
        <v>3790</v>
      </c>
      <c r="K457" s="1" t="s">
        <v>3783</v>
      </c>
      <c r="L457" s="1" t="s">
        <v>3784</v>
      </c>
      <c r="M457" s="1" t="s">
        <v>51</v>
      </c>
      <c r="N457" t="str">
        <f t="shared" si="23"/>
        <v>Expense</v>
      </c>
      <c r="O457" t="str">
        <f t="shared" si="24"/>
        <v/>
      </c>
    </row>
    <row r="458" spans="1:15" x14ac:dyDescent="0.25">
      <c r="A458" s="1" t="s">
        <v>4285</v>
      </c>
      <c r="B458" s="1" t="s">
        <v>3811</v>
      </c>
      <c r="C458" s="1" t="s">
        <v>3795</v>
      </c>
      <c r="D458" s="1" t="s">
        <v>3789</v>
      </c>
      <c r="E458">
        <v>366383</v>
      </c>
      <c r="G458" t="str">
        <f t="shared" si="22"/>
        <v/>
      </c>
      <c r="H458">
        <v>-3244.17</v>
      </c>
      <c r="I458" s="3">
        <v>45373</v>
      </c>
      <c r="J458" s="1" t="s">
        <v>3782</v>
      </c>
      <c r="K458" s="1" t="s">
        <v>3823</v>
      </c>
      <c r="L458" s="1" t="s">
        <v>3784</v>
      </c>
      <c r="M458" s="1" t="s">
        <v>51</v>
      </c>
      <c r="N458" t="str">
        <f t="shared" si="23"/>
        <v>Expense</v>
      </c>
      <c r="O458" t="str">
        <f t="shared" si="24"/>
        <v>Flag: High-Value Pending</v>
      </c>
    </row>
    <row r="459" spans="1:15" x14ac:dyDescent="0.25">
      <c r="A459" s="1" t="s">
        <v>4286</v>
      </c>
      <c r="B459" s="1" t="s">
        <v>3787</v>
      </c>
      <c r="C459" s="1" t="s">
        <v>3812</v>
      </c>
      <c r="D459" s="1" t="s">
        <v>3799</v>
      </c>
      <c r="E459">
        <v>185302</v>
      </c>
      <c r="G459" t="str">
        <f t="shared" si="22"/>
        <v/>
      </c>
      <c r="H459">
        <v>144.37</v>
      </c>
      <c r="I459" s="3">
        <v>44943</v>
      </c>
      <c r="J459" s="1" t="s">
        <v>3790</v>
      </c>
      <c r="K459" s="1" t="s">
        <v>3803</v>
      </c>
      <c r="L459" s="1" t="s">
        <v>3804</v>
      </c>
      <c r="M459" s="1" t="s">
        <v>51</v>
      </c>
      <c r="N459" t="str">
        <f t="shared" si="23"/>
        <v>Expense</v>
      </c>
      <c r="O459" t="str">
        <f t="shared" si="24"/>
        <v/>
      </c>
    </row>
    <row r="460" spans="1:15" x14ac:dyDescent="0.25">
      <c r="A460" s="1" t="s">
        <v>4287</v>
      </c>
      <c r="B460" s="1" t="s">
        <v>3808</v>
      </c>
      <c r="C460" s="1" t="s">
        <v>3795</v>
      </c>
      <c r="D460" s="1" t="s">
        <v>3850</v>
      </c>
      <c r="E460">
        <v>1730163</v>
      </c>
      <c r="F460">
        <v>1962863.34</v>
      </c>
      <c r="G460">
        <f t="shared" si="22"/>
        <v>-232700.34000000008</v>
      </c>
      <c r="H460">
        <v>-232700.34</v>
      </c>
      <c r="I460" s="3">
        <v>45569</v>
      </c>
      <c r="J460" s="1" t="s">
        <v>3859</v>
      </c>
      <c r="K460" s="1" t="s">
        <v>3791</v>
      </c>
      <c r="L460" s="1" t="s">
        <v>3800</v>
      </c>
      <c r="M460" s="1" t="s">
        <v>3817</v>
      </c>
      <c r="N460" t="str">
        <f t="shared" si="23"/>
        <v>Expense</v>
      </c>
      <c r="O460" t="str">
        <f t="shared" si="24"/>
        <v>Flag: High-Value Rejected</v>
      </c>
    </row>
    <row r="461" spans="1:15" x14ac:dyDescent="0.25">
      <c r="A461" s="1" t="s">
        <v>4288</v>
      </c>
      <c r="B461" s="1" t="s">
        <v>3839</v>
      </c>
      <c r="C461" s="1" t="s">
        <v>3825</v>
      </c>
      <c r="D461" s="1" t="s">
        <v>3855</v>
      </c>
      <c r="E461">
        <v>431195</v>
      </c>
      <c r="F461">
        <v>354014.53</v>
      </c>
      <c r="G461">
        <f t="shared" si="22"/>
        <v>77180.469999999972</v>
      </c>
      <c r="H461">
        <v>77180.47</v>
      </c>
      <c r="I461" s="3">
        <v>44981</v>
      </c>
      <c r="J461" s="1" t="s">
        <v>3790</v>
      </c>
      <c r="K461" s="1" t="s">
        <v>3791</v>
      </c>
      <c r="L461" s="1" t="s">
        <v>3804</v>
      </c>
      <c r="M461" s="1" t="s">
        <v>3785</v>
      </c>
      <c r="N461" t="str">
        <f t="shared" si="23"/>
        <v>Expense</v>
      </c>
      <c r="O461" t="str">
        <f t="shared" si="24"/>
        <v/>
      </c>
    </row>
    <row r="462" spans="1:15" x14ac:dyDescent="0.25">
      <c r="A462" s="1" t="s">
        <v>4289</v>
      </c>
      <c r="B462" s="1" t="s">
        <v>3787</v>
      </c>
      <c r="C462" s="1" t="s">
        <v>3806</v>
      </c>
      <c r="D462" s="1" t="s">
        <v>3867</v>
      </c>
      <c r="E462">
        <v>468114</v>
      </c>
      <c r="F462">
        <v>486733.61</v>
      </c>
      <c r="G462">
        <f t="shared" si="22"/>
        <v>-18619.609999999986</v>
      </c>
      <c r="H462">
        <v>-18619.61</v>
      </c>
      <c r="I462" s="3">
        <v>45612</v>
      </c>
      <c r="J462" s="1" t="s">
        <v>3790</v>
      </c>
      <c r="K462" s="1" t="s">
        <v>3803</v>
      </c>
      <c r="L462" s="1" t="s">
        <v>3800</v>
      </c>
      <c r="M462" s="1" t="s">
        <v>3785</v>
      </c>
      <c r="N462" t="str">
        <f t="shared" si="23"/>
        <v>Expense</v>
      </c>
      <c r="O462" t="str">
        <f t="shared" si="24"/>
        <v/>
      </c>
    </row>
    <row r="463" spans="1:15" x14ac:dyDescent="0.25">
      <c r="A463" s="1" t="s">
        <v>4290</v>
      </c>
      <c r="B463" s="1" t="s">
        <v>3839</v>
      </c>
      <c r="C463" s="1" t="s">
        <v>3861</v>
      </c>
      <c r="D463" s="1" t="s">
        <v>3781</v>
      </c>
      <c r="E463">
        <v>106866</v>
      </c>
      <c r="F463">
        <v>111424.06</v>
      </c>
      <c r="G463">
        <f t="shared" si="22"/>
        <v>-4558.0599999999977</v>
      </c>
      <c r="H463">
        <v>-4558.0600000000004</v>
      </c>
      <c r="I463" s="3">
        <v>45078</v>
      </c>
      <c r="J463" s="1" t="s">
        <v>3782</v>
      </c>
      <c r="K463" s="1" t="s">
        <v>3823</v>
      </c>
      <c r="L463" s="1" t="s">
        <v>3784</v>
      </c>
      <c r="M463" s="1" t="s">
        <v>3785</v>
      </c>
      <c r="N463" t="str">
        <f t="shared" si="23"/>
        <v>Expense</v>
      </c>
      <c r="O463" t="str">
        <f t="shared" si="24"/>
        <v/>
      </c>
    </row>
    <row r="464" spans="1:15" x14ac:dyDescent="0.25">
      <c r="A464" s="1" t="s">
        <v>4291</v>
      </c>
      <c r="B464" s="1" t="s">
        <v>3798</v>
      </c>
      <c r="C464" s="1" t="s">
        <v>3858</v>
      </c>
      <c r="D464" s="1" t="s">
        <v>3834</v>
      </c>
      <c r="E464">
        <v>136390</v>
      </c>
      <c r="F464">
        <v>114143.32</v>
      </c>
      <c r="G464">
        <f t="shared" si="22"/>
        <v>22246.679999999993</v>
      </c>
      <c r="H464">
        <v>22246.68</v>
      </c>
      <c r="I464" s="3">
        <v>45028</v>
      </c>
      <c r="J464" s="1" t="s">
        <v>3790</v>
      </c>
      <c r="K464" s="1" t="s">
        <v>3803</v>
      </c>
      <c r="L464" s="1" t="s">
        <v>3784</v>
      </c>
      <c r="M464" s="1" t="s">
        <v>51</v>
      </c>
      <c r="N464" t="str">
        <f t="shared" si="23"/>
        <v>Expense</v>
      </c>
      <c r="O464" t="str">
        <f t="shared" si="24"/>
        <v/>
      </c>
    </row>
    <row r="465" spans="1:15" x14ac:dyDescent="0.25">
      <c r="A465" s="1" t="s">
        <v>4292</v>
      </c>
      <c r="B465" s="1" t="s">
        <v>3828</v>
      </c>
      <c r="C465" s="1" t="s">
        <v>3815</v>
      </c>
      <c r="D465" s="1" t="s">
        <v>3813</v>
      </c>
      <c r="E465">
        <v>184423</v>
      </c>
      <c r="F465">
        <v>189513.63</v>
      </c>
      <c r="G465">
        <f t="shared" si="22"/>
        <v>-5090.6300000000047</v>
      </c>
      <c r="H465">
        <v>-5090.63</v>
      </c>
      <c r="I465" s="3">
        <v>45679</v>
      </c>
      <c r="J465" s="1" t="s">
        <v>3790</v>
      </c>
      <c r="K465" s="1" t="s">
        <v>3783</v>
      </c>
      <c r="L465" s="1" t="s">
        <v>3800</v>
      </c>
      <c r="M465" s="1" t="s">
        <v>51</v>
      </c>
      <c r="N465" t="str">
        <f t="shared" si="23"/>
        <v>Expense</v>
      </c>
      <c r="O465" t="str">
        <f t="shared" si="24"/>
        <v/>
      </c>
    </row>
    <row r="466" spans="1:15" x14ac:dyDescent="0.25">
      <c r="A466" s="1" t="s">
        <v>4293</v>
      </c>
      <c r="B466" s="1" t="s">
        <v>3794</v>
      </c>
      <c r="C466" s="1" t="s">
        <v>3806</v>
      </c>
      <c r="D466" s="1" t="s">
        <v>3802</v>
      </c>
      <c r="E466">
        <v>135949</v>
      </c>
      <c r="F466">
        <v>145617.13</v>
      </c>
      <c r="G466">
        <f t="shared" si="22"/>
        <v>-9668.1300000000047</v>
      </c>
      <c r="H466">
        <v>-9668.1299999999992</v>
      </c>
      <c r="I466" s="3">
        <v>45664</v>
      </c>
      <c r="J466" s="1" t="s">
        <v>3790</v>
      </c>
      <c r="K466" s="1" t="s">
        <v>3803</v>
      </c>
      <c r="L466" s="1" t="s">
        <v>3800</v>
      </c>
      <c r="M466" s="1" t="s">
        <v>51</v>
      </c>
      <c r="N466" t="str">
        <f t="shared" si="23"/>
        <v>Expense</v>
      </c>
      <c r="O466" t="str">
        <f t="shared" si="24"/>
        <v/>
      </c>
    </row>
    <row r="467" spans="1:15" x14ac:dyDescent="0.25">
      <c r="A467" s="1" t="s">
        <v>4294</v>
      </c>
      <c r="B467" s="1" t="s">
        <v>3794</v>
      </c>
      <c r="C467" s="1" t="s">
        <v>3861</v>
      </c>
      <c r="D467" s="1" t="s">
        <v>3895</v>
      </c>
      <c r="E467">
        <v>355013</v>
      </c>
      <c r="F467">
        <v>433873.38</v>
      </c>
      <c r="G467">
        <f t="shared" si="22"/>
        <v>-78860.38</v>
      </c>
      <c r="H467">
        <v>-78860.38</v>
      </c>
      <c r="I467" s="3">
        <v>45532</v>
      </c>
      <c r="J467" s="1" t="s">
        <v>3790</v>
      </c>
      <c r="K467" s="1" t="s">
        <v>3783</v>
      </c>
      <c r="L467" s="1" t="s">
        <v>3800</v>
      </c>
      <c r="M467" s="1" t="s">
        <v>51</v>
      </c>
      <c r="N467" t="str">
        <f t="shared" si="23"/>
        <v>Expense</v>
      </c>
      <c r="O467" t="str">
        <f t="shared" si="24"/>
        <v/>
      </c>
    </row>
    <row r="468" spans="1:15" x14ac:dyDescent="0.25">
      <c r="A468" s="1" t="s">
        <v>4295</v>
      </c>
      <c r="B468" s="1" t="s">
        <v>3839</v>
      </c>
      <c r="C468" s="1" t="s">
        <v>3825</v>
      </c>
      <c r="D468" s="1" t="s">
        <v>3802</v>
      </c>
      <c r="E468">
        <v>-381127</v>
      </c>
      <c r="F468">
        <v>468418.11</v>
      </c>
      <c r="G468">
        <f t="shared" si="22"/>
        <v>-849545.11</v>
      </c>
      <c r="H468">
        <v>-87291.11</v>
      </c>
      <c r="I468" s="3">
        <v>45006</v>
      </c>
      <c r="J468" s="1" t="s">
        <v>3782</v>
      </c>
      <c r="K468" s="1" t="s">
        <v>3803</v>
      </c>
      <c r="L468" s="1" t="s">
        <v>3804</v>
      </c>
      <c r="M468" s="1" t="s">
        <v>51</v>
      </c>
      <c r="N468" t="str">
        <f t="shared" si="23"/>
        <v>Credit/Refund</v>
      </c>
      <c r="O468" t="str">
        <f t="shared" si="24"/>
        <v/>
      </c>
    </row>
    <row r="469" spans="1:15" x14ac:dyDescent="0.25">
      <c r="A469" s="1" t="s">
        <v>4296</v>
      </c>
      <c r="B469" s="1" t="s">
        <v>3811</v>
      </c>
      <c r="C469" s="1" t="s">
        <v>3815</v>
      </c>
      <c r="D469" s="1" t="s">
        <v>3802</v>
      </c>
      <c r="E469">
        <v>229598</v>
      </c>
      <c r="F469">
        <v>234101.51</v>
      </c>
      <c r="G469">
        <f t="shared" si="22"/>
        <v>-4503.5100000000093</v>
      </c>
      <c r="H469">
        <v>-4503.51</v>
      </c>
      <c r="I469" s="3">
        <v>44973</v>
      </c>
      <c r="J469" s="1" t="s">
        <v>3782</v>
      </c>
      <c r="K469" s="1" t="s">
        <v>3783</v>
      </c>
      <c r="L469" s="1" t="s">
        <v>3804</v>
      </c>
      <c r="M469" s="1" t="s">
        <v>3831</v>
      </c>
      <c r="N469" t="str">
        <f t="shared" si="23"/>
        <v>Expense</v>
      </c>
      <c r="O469" t="str">
        <f t="shared" si="24"/>
        <v>Flag: High-Value Pending</v>
      </c>
    </row>
    <row r="470" spans="1:15" x14ac:dyDescent="0.25">
      <c r="A470" s="1" t="s">
        <v>4297</v>
      </c>
      <c r="B470" s="1" t="s">
        <v>3787</v>
      </c>
      <c r="C470" s="1" t="s">
        <v>3806</v>
      </c>
      <c r="D470" s="1" t="s">
        <v>3826</v>
      </c>
      <c r="E470">
        <v>352503</v>
      </c>
      <c r="F470">
        <v>351974.97</v>
      </c>
      <c r="G470">
        <f t="shared" si="22"/>
        <v>528.03000000002794</v>
      </c>
      <c r="I470" s="3">
        <v>45118</v>
      </c>
      <c r="J470" s="1" t="s">
        <v>3790</v>
      </c>
      <c r="K470" s="1" t="s">
        <v>3791</v>
      </c>
      <c r="L470" s="1" t="s">
        <v>3784</v>
      </c>
      <c r="M470" s="1" t="s">
        <v>3785</v>
      </c>
      <c r="N470" t="str">
        <f t="shared" si="23"/>
        <v>Expense</v>
      </c>
      <c r="O470" t="str">
        <f t="shared" si="24"/>
        <v/>
      </c>
    </row>
    <row r="471" spans="1:15" x14ac:dyDescent="0.25">
      <c r="A471" s="1" t="s">
        <v>4298</v>
      </c>
      <c r="B471" s="1" t="s">
        <v>3811</v>
      </c>
      <c r="C471" s="1" t="s">
        <v>3844</v>
      </c>
      <c r="D471" s="1" t="s">
        <v>3834</v>
      </c>
      <c r="E471">
        <v>404119</v>
      </c>
      <c r="F471">
        <v>507789.71</v>
      </c>
      <c r="G471">
        <f t="shared" si="22"/>
        <v>-103670.71000000002</v>
      </c>
      <c r="H471">
        <v>-103670.71</v>
      </c>
      <c r="I471" s="3">
        <v>45687</v>
      </c>
      <c r="J471" s="1" t="s">
        <v>3782</v>
      </c>
      <c r="K471" s="1" t="s">
        <v>3803</v>
      </c>
      <c r="L471" s="1" t="s">
        <v>3800</v>
      </c>
      <c r="M471" s="1" t="s">
        <v>51</v>
      </c>
      <c r="N471" t="str">
        <f t="shared" si="23"/>
        <v>Expense</v>
      </c>
      <c r="O471" t="str">
        <f t="shared" si="24"/>
        <v>Flag: High-Value Pending</v>
      </c>
    </row>
    <row r="472" spans="1:15" x14ac:dyDescent="0.25">
      <c r="A472" s="1" t="s">
        <v>4299</v>
      </c>
      <c r="B472" s="1" t="s">
        <v>3811</v>
      </c>
      <c r="C472" s="1" t="s">
        <v>3812</v>
      </c>
      <c r="D472" s="1" t="s">
        <v>3826</v>
      </c>
      <c r="E472">
        <v>237486</v>
      </c>
      <c r="G472" t="str">
        <f t="shared" si="22"/>
        <v/>
      </c>
      <c r="H472">
        <v>-62189.72</v>
      </c>
      <c r="I472" s="3">
        <v>45545</v>
      </c>
      <c r="J472" s="1" t="s">
        <v>3790</v>
      </c>
      <c r="K472" s="1" t="s">
        <v>3803</v>
      </c>
      <c r="L472" s="1" t="s">
        <v>3800</v>
      </c>
      <c r="M472" s="1" t="s">
        <v>3817</v>
      </c>
      <c r="N472" t="str">
        <f t="shared" si="23"/>
        <v>Expense</v>
      </c>
      <c r="O472" t="str">
        <f t="shared" si="24"/>
        <v/>
      </c>
    </row>
    <row r="473" spans="1:15" x14ac:dyDescent="0.25">
      <c r="A473" s="1" t="s">
        <v>4300</v>
      </c>
      <c r="B473" s="1" t="s">
        <v>3811</v>
      </c>
      <c r="C473" s="1" t="s">
        <v>3858</v>
      </c>
      <c r="D473" s="1" t="s">
        <v>3834</v>
      </c>
      <c r="E473">
        <v>433693</v>
      </c>
      <c r="F473">
        <v>367031.48</v>
      </c>
      <c r="G473">
        <f t="shared" si="22"/>
        <v>66661.520000000019</v>
      </c>
      <c r="H473">
        <v>66661.52</v>
      </c>
      <c r="I473" s="3">
        <v>45297</v>
      </c>
      <c r="J473" s="1" t="s">
        <v>3790</v>
      </c>
      <c r="K473" s="1" t="s">
        <v>3783</v>
      </c>
      <c r="L473" s="1" t="s">
        <v>3784</v>
      </c>
      <c r="M473" s="1" t="s">
        <v>3809</v>
      </c>
      <c r="N473" t="str">
        <f t="shared" si="23"/>
        <v>Expense</v>
      </c>
      <c r="O473" t="str">
        <f t="shared" si="24"/>
        <v/>
      </c>
    </row>
    <row r="474" spans="1:15" x14ac:dyDescent="0.25">
      <c r="A474" s="1" t="s">
        <v>4301</v>
      </c>
      <c r="B474" s="1" t="s">
        <v>3808</v>
      </c>
      <c r="C474" s="1" t="s">
        <v>3821</v>
      </c>
      <c r="D474" s="1" t="s">
        <v>3799</v>
      </c>
      <c r="E474">
        <v>96611</v>
      </c>
      <c r="F474">
        <v>108653.68</v>
      </c>
      <c r="G474">
        <f t="shared" si="22"/>
        <v>-12042.679999999993</v>
      </c>
      <c r="H474">
        <v>-12042.68</v>
      </c>
      <c r="I474" s="3">
        <v>45297</v>
      </c>
      <c r="J474" s="1" t="s">
        <v>3859</v>
      </c>
      <c r="K474" s="1" t="s">
        <v>3783</v>
      </c>
      <c r="L474" s="1" t="s">
        <v>3784</v>
      </c>
      <c r="M474" s="1" t="s">
        <v>3809</v>
      </c>
      <c r="N474" t="str">
        <f t="shared" si="23"/>
        <v>Expense</v>
      </c>
      <c r="O474" t="str">
        <f t="shared" si="24"/>
        <v/>
      </c>
    </row>
    <row r="475" spans="1:15" x14ac:dyDescent="0.25">
      <c r="A475" s="1" t="s">
        <v>4302</v>
      </c>
      <c r="B475" s="1" t="s">
        <v>3808</v>
      </c>
      <c r="C475" s="1" t="s">
        <v>3795</v>
      </c>
      <c r="D475" s="1" t="s">
        <v>3850</v>
      </c>
      <c r="E475">
        <v>183443</v>
      </c>
      <c r="F475">
        <v>197492.61</v>
      </c>
      <c r="G475">
        <f t="shared" si="22"/>
        <v>-14049.609999999986</v>
      </c>
      <c r="H475">
        <v>-14049.61</v>
      </c>
      <c r="I475" s="3">
        <v>45476</v>
      </c>
      <c r="J475" s="1" t="s">
        <v>3782</v>
      </c>
      <c r="K475" s="1" t="s">
        <v>3783</v>
      </c>
      <c r="L475" s="1" t="s">
        <v>3800</v>
      </c>
      <c r="M475" s="1" t="s">
        <v>3792</v>
      </c>
      <c r="N475" t="str">
        <f t="shared" si="23"/>
        <v>Expense</v>
      </c>
      <c r="O475" t="str">
        <f t="shared" si="24"/>
        <v/>
      </c>
    </row>
    <row r="476" spans="1:15" x14ac:dyDescent="0.25">
      <c r="A476" s="1" t="s">
        <v>4303</v>
      </c>
      <c r="B476" s="1" t="s">
        <v>3808</v>
      </c>
      <c r="C476" s="1" t="s">
        <v>3825</v>
      </c>
      <c r="D476" s="1" t="s">
        <v>3822</v>
      </c>
      <c r="E476">
        <v>174207</v>
      </c>
      <c r="F476">
        <v>212011.61</v>
      </c>
      <c r="G476">
        <f t="shared" si="22"/>
        <v>-37804.609999999986</v>
      </c>
      <c r="H476">
        <v>-37804.61</v>
      </c>
      <c r="I476" s="3">
        <v>45597</v>
      </c>
      <c r="J476" s="1" t="s">
        <v>3790</v>
      </c>
      <c r="K476" s="1" t="s">
        <v>3783</v>
      </c>
      <c r="L476" s="1" t="s">
        <v>3800</v>
      </c>
      <c r="M476" s="1" t="s">
        <v>3792</v>
      </c>
      <c r="N476" t="str">
        <f t="shared" si="23"/>
        <v>Expense</v>
      </c>
      <c r="O476" t="str">
        <f t="shared" si="24"/>
        <v/>
      </c>
    </row>
    <row r="477" spans="1:15" x14ac:dyDescent="0.25">
      <c r="A477" s="1" t="s">
        <v>4304</v>
      </c>
      <c r="B477" s="1" t="s">
        <v>3839</v>
      </c>
      <c r="C477" s="1" t="s">
        <v>3780</v>
      </c>
      <c r="D477" s="1" t="s">
        <v>3816</v>
      </c>
      <c r="E477">
        <v>396708</v>
      </c>
      <c r="F477">
        <v>357430.06</v>
      </c>
      <c r="G477">
        <f t="shared" si="22"/>
        <v>39277.94</v>
      </c>
      <c r="H477">
        <v>39277.94</v>
      </c>
      <c r="I477" s="3">
        <v>45410</v>
      </c>
      <c r="J477" s="1" t="s">
        <v>3790</v>
      </c>
      <c r="K477" s="1" t="s">
        <v>3803</v>
      </c>
      <c r="L477" s="1" t="s">
        <v>3800</v>
      </c>
      <c r="M477" s="1" t="s">
        <v>3785</v>
      </c>
      <c r="N477" t="str">
        <f t="shared" si="23"/>
        <v>Expense</v>
      </c>
      <c r="O477" t="str">
        <f t="shared" si="24"/>
        <v/>
      </c>
    </row>
    <row r="478" spans="1:15" x14ac:dyDescent="0.25">
      <c r="A478" s="1" t="s">
        <v>4305</v>
      </c>
      <c r="B478" s="1" t="s">
        <v>3811</v>
      </c>
      <c r="C478" s="1" t="s">
        <v>3795</v>
      </c>
      <c r="D478" s="1" t="s">
        <v>3846</v>
      </c>
      <c r="E478">
        <v>341837</v>
      </c>
      <c r="F478">
        <v>347284.19</v>
      </c>
      <c r="G478">
        <f t="shared" si="22"/>
        <v>-5447.1900000000023</v>
      </c>
      <c r="H478">
        <v>-5447.19</v>
      </c>
      <c r="I478" s="3">
        <v>45249</v>
      </c>
      <c r="J478" s="1" t="s">
        <v>3790</v>
      </c>
      <c r="K478" s="1" t="s">
        <v>3791</v>
      </c>
      <c r="L478" s="1" t="s">
        <v>3784</v>
      </c>
      <c r="M478" s="1" t="s">
        <v>51</v>
      </c>
      <c r="N478" t="str">
        <f t="shared" si="23"/>
        <v>Expense</v>
      </c>
      <c r="O478" t="str">
        <f t="shared" si="24"/>
        <v/>
      </c>
    </row>
    <row r="479" spans="1:15" x14ac:dyDescent="0.25">
      <c r="A479" s="1" t="s">
        <v>4306</v>
      </c>
      <c r="B479" s="1" t="s">
        <v>3828</v>
      </c>
      <c r="C479" s="1" t="s">
        <v>3815</v>
      </c>
      <c r="D479" s="1" t="s">
        <v>3822</v>
      </c>
      <c r="E479">
        <v>376158</v>
      </c>
      <c r="F479">
        <v>339960.48</v>
      </c>
      <c r="G479">
        <f t="shared" si="22"/>
        <v>36197.520000000019</v>
      </c>
      <c r="H479">
        <v>36197.519999999997</v>
      </c>
      <c r="I479" s="3">
        <v>45013</v>
      </c>
      <c r="J479" s="1" t="s">
        <v>3790</v>
      </c>
      <c r="K479" s="1" t="s">
        <v>3783</v>
      </c>
      <c r="L479" s="1" t="s">
        <v>3804</v>
      </c>
      <c r="M479" s="1" t="s">
        <v>51</v>
      </c>
      <c r="N479" t="str">
        <f t="shared" si="23"/>
        <v>Expense</v>
      </c>
      <c r="O479" t="str">
        <f t="shared" si="24"/>
        <v/>
      </c>
    </row>
    <row r="480" spans="1:15" x14ac:dyDescent="0.25">
      <c r="A480" s="1" t="s">
        <v>4307</v>
      </c>
      <c r="B480" s="1" t="s">
        <v>3787</v>
      </c>
      <c r="C480" s="1" t="s">
        <v>3780</v>
      </c>
      <c r="D480" s="1" t="s">
        <v>3850</v>
      </c>
      <c r="E480">
        <v>458826</v>
      </c>
      <c r="F480">
        <v>457487.77</v>
      </c>
      <c r="G480">
        <f t="shared" si="22"/>
        <v>1338.2299999999814</v>
      </c>
      <c r="H480">
        <v>1338.23</v>
      </c>
      <c r="I480" s="3">
        <v>45206</v>
      </c>
      <c r="J480" s="1" t="s">
        <v>3790</v>
      </c>
      <c r="K480" s="1" t="s">
        <v>3791</v>
      </c>
      <c r="L480" s="1" t="s">
        <v>3784</v>
      </c>
      <c r="M480" s="1" t="s">
        <v>3831</v>
      </c>
      <c r="N480" t="str">
        <f t="shared" si="23"/>
        <v>Expense</v>
      </c>
      <c r="O480" t="str">
        <f t="shared" si="24"/>
        <v/>
      </c>
    </row>
    <row r="481" spans="1:15" x14ac:dyDescent="0.25">
      <c r="A481" s="1" t="s">
        <v>4308</v>
      </c>
      <c r="B481" s="1" t="s">
        <v>3811</v>
      </c>
      <c r="C481" s="1" t="s">
        <v>3858</v>
      </c>
      <c r="D481" s="1" t="s">
        <v>3789</v>
      </c>
      <c r="E481">
        <v>420952</v>
      </c>
      <c r="F481">
        <v>369624.75</v>
      </c>
      <c r="G481">
        <f t="shared" si="22"/>
        <v>51327.25</v>
      </c>
      <c r="H481">
        <v>51327.25</v>
      </c>
      <c r="I481" s="3">
        <v>45507</v>
      </c>
      <c r="J481" s="1" t="s">
        <v>3790</v>
      </c>
      <c r="K481" s="1" t="s">
        <v>3783</v>
      </c>
      <c r="L481" s="1" t="s">
        <v>3800</v>
      </c>
      <c r="M481" s="1" t="s">
        <v>51</v>
      </c>
      <c r="N481" t="str">
        <f t="shared" si="23"/>
        <v>Expense</v>
      </c>
      <c r="O481" t="str">
        <f t="shared" si="24"/>
        <v/>
      </c>
    </row>
    <row r="482" spans="1:15" x14ac:dyDescent="0.25">
      <c r="A482" s="1" t="s">
        <v>4309</v>
      </c>
      <c r="B482" s="1" t="s">
        <v>3828</v>
      </c>
      <c r="C482" s="1" t="s">
        <v>3815</v>
      </c>
      <c r="D482" s="1" t="s">
        <v>3799</v>
      </c>
      <c r="E482">
        <v>337906</v>
      </c>
      <c r="F482">
        <v>276385.51</v>
      </c>
      <c r="G482">
        <f t="shared" si="22"/>
        <v>61520.489999999991</v>
      </c>
      <c r="H482">
        <v>61520.49</v>
      </c>
      <c r="I482" s="3">
        <v>45248</v>
      </c>
      <c r="J482" s="1" t="s">
        <v>3790</v>
      </c>
      <c r="K482" s="1" t="s">
        <v>3791</v>
      </c>
      <c r="L482" s="1" t="s">
        <v>3784</v>
      </c>
      <c r="M482" s="1" t="s">
        <v>3817</v>
      </c>
      <c r="N482" t="str">
        <f t="shared" si="23"/>
        <v>Expense</v>
      </c>
      <c r="O482" t="str">
        <f t="shared" si="24"/>
        <v/>
      </c>
    </row>
    <row r="483" spans="1:15" x14ac:dyDescent="0.25">
      <c r="A483" s="1" t="s">
        <v>4310</v>
      </c>
      <c r="B483" s="1" t="s">
        <v>3794</v>
      </c>
      <c r="C483" s="1" t="s">
        <v>3812</v>
      </c>
      <c r="D483" s="1" t="s">
        <v>3834</v>
      </c>
      <c r="E483">
        <v>164440</v>
      </c>
      <c r="F483">
        <v>178586.21</v>
      </c>
      <c r="G483">
        <f t="shared" si="22"/>
        <v>-14146.209999999992</v>
      </c>
      <c r="H483">
        <v>-14146.21</v>
      </c>
      <c r="I483" s="3">
        <v>45135</v>
      </c>
      <c r="J483" s="1" t="s">
        <v>3790</v>
      </c>
      <c r="K483" s="1" t="s">
        <v>3783</v>
      </c>
      <c r="L483" s="1" t="s">
        <v>3784</v>
      </c>
      <c r="M483" s="1" t="s">
        <v>51</v>
      </c>
      <c r="N483" t="str">
        <f t="shared" si="23"/>
        <v>Expense</v>
      </c>
      <c r="O483" t="str">
        <f t="shared" si="24"/>
        <v/>
      </c>
    </row>
    <row r="484" spans="1:15" x14ac:dyDescent="0.25">
      <c r="A484" s="1" t="s">
        <v>4311</v>
      </c>
      <c r="B484" s="1" t="s">
        <v>3808</v>
      </c>
      <c r="C484" s="1" t="s">
        <v>3861</v>
      </c>
      <c r="D484" s="1" t="s">
        <v>3855</v>
      </c>
      <c r="E484">
        <v>32187</v>
      </c>
      <c r="F484">
        <v>34475.03</v>
      </c>
      <c r="G484">
        <f t="shared" si="22"/>
        <v>-2288.0299999999988</v>
      </c>
      <c r="H484">
        <v>-2288.0300000000002</v>
      </c>
      <c r="I484" s="3">
        <v>45707</v>
      </c>
      <c r="J484" s="1" t="s">
        <v>3782</v>
      </c>
      <c r="K484" s="1" t="s">
        <v>3803</v>
      </c>
      <c r="L484" s="1" t="s">
        <v>3800</v>
      </c>
      <c r="M484" s="1" t="s">
        <v>3831</v>
      </c>
      <c r="N484" t="str">
        <f t="shared" si="23"/>
        <v>Expense</v>
      </c>
      <c r="O484" t="str">
        <f t="shared" si="24"/>
        <v/>
      </c>
    </row>
    <row r="485" spans="1:15" x14ac:dyDescent="0.25">
      <c r="A485" s="1" t="s">
        <v>4312</v>
      </c>
      <c r="B485" s="1" t="s">
        <v>3811</v>
      </c>
      <c r="C485" s="1" t="s">
        <v>3861</v>
      </c>
      <c r="D485" s="1" t="s">
        <v>3837</v>
      </c>
      <c r="E485">
        <v>324601</v>
      </c>
      <c r="F485">
        <v>287171.81</v>
      </c>
      <c r="G485">
        <f t="shared" si="22"/>
        <v>37429.19</v>
      </c>
      <c r="H485">
        <v>37429.19</v>
      </c>
      <c r="I485" s="3">
        <v>45480</v>
      </c>
      <c r="J485" s="1" t="s">
        <v>3790</v>
      </c>
      <c r="K485" s="1" t="s">
        <v>3783</v>
      </c>
      <c r="L485" s="1" t="s">
        <v>3800</v>
      </c>
      <c r="M485" s="1" t="s">
        <v>3817</v>
      </c>
      <c r="N485" t="str">
        <f t="shared" si="23"/>
        <v>Expense</v>
      </c>
      <c r="O485" t="str">
        <f t="shared" si="24"/>
        <v/>
      </c>
    </row>
    <row r="486" spans="1:15" x14ac:dyDescent="0.25">
      <c r="A486" s="1" t="s">
        <v>4313</v>
      </c>
      <c r="B486" s="1" t="s">
        <v>3787</v>
      </c>
      <c r="C486" s="1" t="s">
        <v>3780</v>
      </c>
      <c r="D486" s="1" t="s">
        <v>3822</v>
      </c>
      <c r="E486">
        <v>331654</v>
      </c>
      <c r="F486">
        <v>268479.61</v>
      </c>
      <c r="G486">
        <f t="shared" si="22"/>
        <v>63174.390000000014</v>
      </c>
      <c r="H486">
        <v>63174.39</v>
      </c>
      <c r="I486" s="3">
        <v>45516</v>
      </c>
      <c r="J486" s="1" t="s">
        <v>3790</v>
      </c>
      <c r="K486" s="1" t="s">
        <v>3803</v>
      </c>
      <c r="L486" s="1" t="s">
        <v>3800</v>
      </c>
      <c r="M486" s="1" t="s">
        <v>3809</v>
      </c>
      <c r="N486" t="str">
        <f t="shared" si="23"/>
        <v>Expense</v>
      </c>
      <c r="O486" t="str">
        <f t="shared" si="24"/>
        <v/>
      </c>
    </row>
    <row r="487" spans="1:15" x14ac:dyDescent="0.25">
      <c r="A487" s="1" t="s">
        <v>4314</v>
      </c>
      <c r="B487" s="1" t="s">
        <v>3839</v>
      </c>
      <c r="C487" s="1" t="s">
        <v>3821</v>
      </c>
      <c r="D487" s="1" t="s">
        <v>3816</v>
      </c>
      <c r="E487">
        <v>44661</v>
      </c>
      <c r="F487">
        <v>41481.31</v>
      </c>
      <c r="G487">
        <f t="shared" si="22"/>
        <v>3179.6900000000023</v>
      </c>
      <c r="H487">
        <v>3179.69</v>
      </c>
      <c r="I487" s="3">
        <v>45357</v>
      </c>
      <c r="J487" s="1" t="s">
        <v>3790</v>
      </c>
      <c r="K487" s="1" t="s">
        <v>3823</v>
      </c>
      <c r="L487" s="1" t="s">
        <v>3784</v>
      </c>
      <c r="M487" s="1" t="s">
        <v>51</v>
      </c>
      <c r="N487" t="str">
        <f t="shared" si="23"/>
        <v>Expense</v>
      </c>
      <c r="O487" t="str">
        <f t="shared" si="24"/>
        <v/>
      </c>
    </row>
    <row r="488" spans="1:15" x14ac:dyDescent="0.25">
      <c r="A488" s="1" t="s">
        <v>4315</v>
      </c>
      <c r="B488" s="1" t="s">
        <v>3811</v>
      </c>
      <c r="C488" s="1" t="s">
        <v>3825</v>
      </c>
      <c r="D488" s="1" t="s">
        <v>3822</v>
      </c>
      <c r="E488">
        <v>453730</v>
      </c>
      <c r="F488">
        <v>510152.61</v>
      </c>
      <c r="G488">
        <f t="shared" si="22"/>
        <v>-56422.609999999986</v>
      </c>
      <c r="H488">
        <v>-56422.61</v>
      </c>
      <c r="I488" s="3">
        <v>45562</v>
      </c>
      <c r="J488" s="1" t="s">
        <v>3782</v>
      </c>
      <c r="K488" s="1" t="s">
        <v>3823</v>
      </c>
      <c r="L488" s="1" t="s">
        <v>3800</v>
      </c>
      <c r="M488" s="1" t="s">
        <v>3792</v>
      </c>
      <c r="N488" t="str">
        <f t="shared" si="23"/>
        <v>Expense</v>
      </c>
      <c r="O488" t="str">
        <f t="shared" si="24"/>
        <v>Flag: High-Value Pending</v>
      </c>
    </row>
    <row r="489" spans="1:15" x14ac:dyDescent="0.25">
      <c r="A489" s="1" t="s">
        <v>4316</v>
      </c>
      <c r="B489" s="1" t="s">
        <v>3794</v>
      </c>
      <c r="C489" s="1" t="s">
        <v>3844</v>
      </c>
      <c r="D489" s="1" t="s">
        <v>3789</v>
      </c>
      <c r="E489">
        <v>423764</v>
      </c>
      <c r="F489">
        <v>405457.04</v>
      </c>
      <c r="G489">
        <f t="shared" si="22"/>
        <v>18306.960000000021</v>
      </c>
      <c r="H489">
        <v>18306.96</v>
      </c>
      <c r="I489" s="3">
        <v>44933</v>
      </c>
      <c r="J489" s="1" t="s">
        <v>3782</v>
      </c>
      <c r="K489" s="1" t="s">
        <v>3803</v>
      </c>
      <c r="L489" s="1" t="s">
        <v>3804</v>
      </c>
      <c r="M489" s="1" t="s">
        <v>3792</v>
      </c>
      <c r="N489" t="str">
        <f t="shared" si="23"/>
        <v>Expense</v>
      </c>
      <c r="O489" t="str">
        <f t="shared" si="24"/>
        <v>Flag: High-Value Pending</v>
      </c>
    </row>
    <row r="490" spans="1:15" x14ac:dyDescent="0.25">
      <c r="A490" s="1" t="s">
        <v>4317</v>
      </c>
      <c r="B490" s="1" t="s">
        <v>3794</v>
      </c>
      <c r="C490" s="1" t="s">
        <v>3795</v>
      </c>
      <c r="D490" s="1" t="s">
        <v>3816</v>
      </c>
      <c r="E490">
        <v>144259</v>
      </c>
      <c r="F490">
        <v>121518.78</v>
      </c>
      <c r="G490">
        <f t="shared" si="22"/>
        <v>22740.22</v>
      </c>
      <c r="H490">
        <v>22740.22</v>
      </c>
      <c r="I490" s="3">
        <v>45194</v>
      </c>
      <c r="J490" s="1" t="s">
        <v>3790</v>
      </c>
      <c r="K490" s="1" t="s">
        <v>3791</v>
      </c>
      <c r="L490" s="1" t="s">
        <v>3784</v>
      </c>
      <c r="M490" s="1" t="s">
        <v>3831</v>
      </c>
      <c r="N490" t="str">
        <f t="shared" si="23"/>
        <v>Expense</v>
      </c>
      <c r="O490" t="str">
        <f t="shared" si="24"/>
        <v/>
      </c>
    </row>
    <row r="491" spans="1:15" x14ac:dyDescent="0.25">
      <c r="A491" s="1" t="s">
        <v>4318</v>
      </c>
      <c r="B491" s="1" t="s">
        <v>3828</v>
      </c>
      <c r="C491" s="1" t="s">
        <v>3795</v>
      </c>
      <c r="D491" s="1" t="s">
        <v>3799</v>
      </c>
      <c r="E491">
        <v>147402</v>
      </c>
      <c r="F491">
        <v>124565.51</v>
      </c>
      <c r="G491">
        <f t="shared" si="22"/>
        <v>22836.490000000005</v>
      </c>
      <c r="H491">
        <v>22836.49</v>
      </c>
      <c r="I491" s="3">
        <v>45633</v>
      </c>
      <c r="J491" s="1" t="s">
        <v>3782</v>
      </c>
      <c r="K491" s="1" t="s">
        <v>3823</v>
      </c>
      <c r="L491" s="1" t="s">
        <v>3800</v>
      </c>
      <c r="M491" s="1" t="s">
        <v>3792</v>
      </c>
      <c r="N491" t="str">
        <f t="shared" si="23"/>
        <v>Expense</v>
      </c>
      <c r="O491" t="str">
        <f t="shared" si="24"/>
        <v/>
      </c>
    </row>
    <row r="492" spans="1:15" x14ac:dyDescent="0.25">
      <c r="A492" s="1" t="s">
        <v>4319</v>
      </c>
      <c r="B492" s="1" t="s">
        <v>3839</v>
      </c>
      <c r="C492" s="1" t="s">
        <v>3844</v>
      </c>
      <c r="D492" s="1" t="s">
        <v>3867</v>
      </c>
      <c r="E492">
        <v>225623</v>
      </c>
      <c r="G492" t="str">
        <f t="shared" si="22"/>
        <v/>
      </c>
      <c r="I492" s="3">
        <v>45491</v>
      </c>
      <c r="J492" s="1" t="s">
        <v>3790</v>
      </c>
      <c r="K492" s="1" t="s">
        <v>3823</v>
      </c>
      <c r="L492" s="1" t="s">
        <v>3800</v>
      </c>
      <c r="M492" s="1" t="s">
        <v>51</v>
      </c>
      <c r="N492" t="str">
        <f t="shared" si="23"/>
        <v>Expense</v>
      </c>
      <c r="O492" t="str">
        <f t="shared" si="24"/>
        <v/>
      </c>
    </row>
    <row r="493" spans="1:15" x14ac:dyDescent="0.25">
      <c r="A493" s="1" t="s">
        <v>4320</v>
      </c>
      <c r="B493" s="1" t="s">
        <v>3808</v>
      </c>
      <c r="C493" s="1" t="s">
        <v>3788</v>
      </c>
      <c r="D493" s="1" t="s">
        <v>3837</v>
      </c>
      <c r="E493">
        <v>166425</v>
      </c>
      <c r="F493">
        <v>135189.43</v>
      </c>
      <c r="G493">
        <f t="shared" si="22"/>
        <v>31235.570000000007</v>
      </c>
      <c r="H493">
        <v>31235.57</v>
      </c>
      <c r="I493" s="3">
        <v>45229</v>
      </c>
      <c r="J493" s="1" t="s">
        <v>3782</v>
      </c>
      <c r="K493" s="1" t="s">
        <v>3783</v>
      </c>
      <c r="L493" s="1" t="s">
        <v>3784</v>
      </c>
      <c r="M493" s="1" t="s">
        <v>3792</v>
      </c>
      <c r="N493" t="str">
        <f t="shared" si="23"/>
        <v>Expense</v>
      </c>
      <c r="O493" t="str">
        <f t="shared" si="24"/>
        <v/>
      </c>
    </row>
    <row r="494" spans="1:15" x14ac:dyDescent="0.25">
      <c r="A494" s="1" t="s">
        <v>4321</v>
      </c>
      <c r="B494" s="1" t="s">
        <v>3787</v>
      </c>
      <c r="C494" s="1" t="s">
        <v>3795</v>
      </c>
      <c r="D494" s="1" t="s">
        <v>3867</v>
      </c>
      <c r="E494">
        <v>273290</v>
      </c>
      <c r="F494">
        <v>311758.25</v>
      </c>
      <c r="G494">
        <f t="shared" si="22"/>
        <v>-38468.25</v>
      </c>
      <c r="H494">
        <v>-38468.25</v>
      </c>
      <c r="I494" s="3">
        <v>45480</v>
      </c>
      <c r="J494" s="1" t="s">
        <v>3782</v>
      </c>
      <c r="K494" s="1" t="s">
        <v>3803</v>
      </c>
      <c r="L494" s="1" t="s">
        <v>3800</v>
      </c>
      <c r="M494" s="1" t="s">
        <v>3792</v>
      </c>
      <c r="N494" t="str">
        <f t="shared" si="23"/>
        <v>Expense</v>
      </c>
      <c r="O494" t="str">
        <f t="shared" si="24"/>
        <v>Flag: High-Value Pending</v>
      </c>
    </row>
    <row r="495" spans="1:15" x14ac:dyDescent="0.25">
      <c r="A495" s="1" t="s">
        <v>4322</v>
      </c>
      <c r="B495" s="1" t="s">
        <v>3798</v>
      </c>
      <c r="C495" s="1" t="s">
        <v>3780</v>
      </c>
      <c r="D495" s="1" t="s">
        <v>3796</v>
      </c>
      <c r="E495">
        <v>128602</v>
      </c>
      <c r="F495">
        <v>114727.23</v>
      </c>
      <c r="G495">
        <f t="shared" si="22"/>
        <v>13874.770000000004</v>
      </c>
      <c r="H495">
        <v>13874.77</v>
      </c>
      <c r="I495" s="3">
        <v>45179</v>
      </c>
      <c r="J495" s="1" t="s">
        <v>3790</v>
      </c>
      <c r="K495" s="1" t="s">
        <v>3783</v>
      </c>
      <c r="L495" s="1" t="s">
        <v>3784</v>
      </c>
      <c r="M495" s="1" t="s">
        <v>51</v>
      </c>
      <c r="N495" t="str">
        <f t="shared" si="23"/>
        <v>Expense</v>
      </c>
      <c r="O495" t="str">
        <f t="shared" si="24"/>
        <v/>
      </c>
    </row>
    <row r="496" spans="1:15" x14ac:dyDescent="0.25">
      <c r="A496" s="1" t="s">
        <v>4323</v>
      </c>
      <c r="B496" s="1" t="s">
        <v>3811</v>
      </c>
      <c r="C496" s="1" t="s">
        <v>3821</v>
      </c>
      <c r="D496" s="1" t="s">
        <v>3834</v>
      </c>
      <c r="E496">
        <v>4800245</v>
      </c>
      <c r="F496">
        <v>5636583.5300000003</v>
      </c>
      <c r="G496">
        <f t="shared" si="22"/>
        <v>-836338.53000000026</v>
      </c>
      <c r="H496">
        <v>-836338.53</v>
      </c>
      <c r="I496" s="3">
        <v>45467</v>
      </c>
      <c r="J496" s="1" t="s">
        <v>3782</v>
      </c>
      <c r="K496" s="1" t="s">
        <v>3783</v>
      </c>
      <c r="L496" s="1" t="s">
        <v>3800</v>
      </c>
      <c r="M496" s="1" t="s">
        <v>3831</v>
      </c>
      <c r="N496" t="str">
        <f t="shared" si="23"/>
        <v>Expense</v>
      </c>
      <c r="O496" t="str">
        <f t="shared" si="24"/>
        <v>Flag: High-Value Pending</v>
      </c>
    </row>
    <row r="497" spans="1:15" x14ac:dyDescent="0.25">
      <c r="A497" s="1" t="s">
        <v>4324</v>
      </c>
      <c r="B497" s="1" t="s">
        <v>3808</v>
      </c>
      <c r="C497" s="1" t="s">
        <v>3861</v>
      </c>
      <c r="D497" s="1" t="s">
        <v>3846</v>
      </c>
      <c r="E497">
        <v>209161</v>
      </c>
      <c r="F497">
        <v>233184.37</v>
      </c>
      <c r="G497">
        <f t="shared" si="22"/>
        <v>-24023.369999999995</v>
      </c>
      <c r="H497">
        <v>-24023.37</v>
      </c>
      <c r="I497" s="3">
        <v>45422</v>
      </c>
      <c r="J497" s="1" t="s">
        <v>3782</v>
      </c>
      <c r="K497" s="1" t="s">
        <v>3803</v>
      </c>
      <c r="L497" s="1" t="s">
        <v>3800</v>
      </c>
      <c r="M497" s="1" t="s">
        <v>3817</v>
      </c>
      <c r="N497" t="str">
        <f t="shared" si="23"/>
        <v>Expense</v>
      </c>
      <c r="O497" t="str">
        <f t="shared" si="24"/>
        <v>Flag: High-Value Pending</v>
      </c>
    </row>
    <row r="498" spans="1:15" x14ac:dyDescent="0.25">
      <c r="A498" s="1" t="s">
        <v>4325</v>
      </c>
      <c r="B498" s="1" t="s">
        <v>4877</v>
      </c>
      <c r="C498" s="1" t="s">
        <v>3806</v>
      </c>
      <c r="D498" s="1" t="s">
        <v>3789</v>
      </c>
      <c r="E498">
        <v>152175</v>
      </c>
      <c r="F498">
        <v>193269.34</v>
      </c>
      <c r="G498">
        <f t="shared" si="22"/>
        <v>-41094.339999999997</v>
      </c>
      <c r="H498">
        <v>-41094.339999999997</v>
      </c>
      <c r="I498" s="3">
        <v>45168</v>
      </c>
      <c r="J498" s="1" t="s">
        <v>3790</v>
      </c>
      <c r="K498" s="1" t="s">
        <v>3803</v>
      </c>
      <c r="L498" s="1" t="s">
        <v>3784</v>
      </c>
      <c r="M498" s="1" t="s">
        <v>51</v>
      </c>
      <c r="N498" t="str">
        <f t="shared" si="23"/>
        <v>Expense</v>
      </c>
      <c r="O498" t="str">
        <f t="shared" si="24"/>
        <v/>
      </c>
    </row>
    <row r="499" spans="1:15" x14ac:dyDescent="0.25">
      <c r="A499" s="1" t="s">
        <v>4326</v>
      </c>
      <c r="B499" s="1" t="s">
        <v>3839</v>
      </c>
      <c r="C499" s="1" t="s">
        <v>3844</v>
      </c>
      <c r="D499" s="1" t="s">
        <v>3813</v>
      </c>
      <c r="E499">
        <v>57859</v>
      </c>
      <c r="F499">
        <v>64236.01</v>
      </c>
      <c r="G499">
        <f t="shared" si="22"/>
        <v>-6377.010000000002</v>
      </c>
      <c r="H499">
        <v>-6377.01</v>
      </c>
      <c r="I499" s="3">
        <v>45382</v>
      </c>
      <c r="J499" s="1" t="s">
        <v>3790</v>
      </c>
      <c r="K499" s="1" t="s">
        <v>3823</v>
      </c>
      <c r="L499" s="1" t="s">
        <v>3784</v>
      </c>
      <c r="M499" s="1" t="s">
        <v>3792</v>
      </c>
      <c r="N499" t="str">
        <f t="shared" si="23"/>
        <v>Expense</v>
      </c>
      <c r="O499" t="str">
        <f t="shared" si="24"/>
        <v/>
      </c>
    </row>
    <row r="500" spans="1:15" x14ac:dyDescent="0.25">
      <c r="A500" s="1" t="s">
        <v>4327</v>
      </c>
      <c r="B500" s="1" t="s">
        <v>3798</v>
      </c>
      <c r="C500" s="1" t="s">
        <v>3825</v>
      </c>
      <c r="D500" s="1" t="s">
        <v>3816</v>
      </c>
      <c r="E500">
        <v>472955</v>
      </c>
      <c r="F500">
        <v>469734.61</v>
      </c>
      <c r="G500">
        <f t="shared" si="22"/>
        <v>3220.390000000014</v>
      </c>
      <c r="H500">
        <v>3220.39</v>
      </c>
      <c r="I500" s="3">
        <v>45524</v>
      </c>
      <c r="J500" s="1" t="s">
        <v>3790</v>
      </c>
      <c r="K500" s="1" t="s">
        <v>3823</v>
      </c>
      <c r="L500" s="1" t="s">
        <v>3800</v>
      </c>
      <c r="M500" s="1" t="s">
        <v>51</v>
      </c>
      <c r="N500" t="str">
        <f t="shared" si="23"/>
        <v>Expense</v>
      </c>
      <c r="O500" t="str">
        <f t="shared" si="24"/>
        <v/>
      </c>
    </row>
    <row r="501" spans="1:15" x14ac:dyDescent="0.25">
      <c r="A501" s="1" t="s">
        <v>4328</v>
      </c>
      <c r="B501" s="1" t="s">
        <v>3808</v>
      </c>
      <c r="C501" s="1" t="s">
        <v>3780</v>
      </c>
      <c r="D501" s="1" t="s">
        <v>3813</v>
      </c>
      <c r="E501">
        <v>489458</v>
      </c>
      <c r="F501">
        <v>631283.81999999995</v>
      </c>
      <c r="G501">
        <f t="shared" si="22"/>
        <v>-141825.81999999995</v>
      </c>
      <c r="H501">
        <v>-141825.82</v>
      </c>
      <c r="I501" s="3">
        <v>45601</v>
      </c>
      <c r="J501" s="1" t="s">
        <v>3790</v>
      </c>
      <c r="K501" s="1" t="s">
        <v>3803</v>
      </c>
      <c r="L501" s="1" t="s">
        <v>3800</v>
      </c>
      <c r="M501" s="1" t="s">
        <v>51</v>
      </c>
      <c r="N501" t="str">
        <f t="shared" si="23"/>
        <v>Expense</v>
      </c>
      <c r="O501" t="str">
        <f t="shared" si="24"/>
        <v/>
      </c>
    </row>
    <row r="502" spans="1:15" x14ac:dyDescent="0.25">
      <c r="A502" s="1" t="s">
        <v>4329</v>
      </c>
      <c r="B502" s="1" t="s">
        <v>3787</v>
      </c>
      <c r="C502" s="1" t="s">
        <v>3861</v>
      </c>
      <c r="D502" s="1" t="s">
        <v>3796</v>
      </c>
      <c r="E502">
        <v>477763</v>
      </c>
      <c r="G502" t="str">
        <f t="shared" si="22"/>
        <v/>
      </c>
      <c r="H502">
        <v>-42558.59</v>
      </c>
      <c r="I502" s="3">
        <v>45138</v>
      </c>
      <c r="J502" s="1" t="s">
        <v>3790</v>
      </c>
      <c r="K502" s="1" t="s">
        <v>3791</v>
      </c>
      <c r="L502" s="1" t="s">
        <v>3784</v>
      </c>
      <c r="M502" s="1" t="s">
        <v>3831</v>
      </c>
      <c r="N502" t="str">
        <f t="shared" si="23"/>
        <v>Expense</v>
      </c>
      <c r="O502" t="str">
        <f t="shared" si="24"/>
        <v/>
      </c>
    </row>
    <row r="503" spans="1:15" x14ac:dyDescent="0.25">
      <c r="A503" s="1" t="s">
        <v>4330</v>
      </c>
      <c r="B503" s="1" t="s">
        <v>3798</v>
      </c>
      <c r="C503" s="1" t="s">
        <v>3848</v>
      </c>
      <c r="D503" s="1" t="s">
        <v>3826</v>
      </c>
      <c r="E503">
        <v>49062</v>
      </c>
      <c r="F503">
        <v>62332.62</v>
      </c>
      <c r="G503">
        <f t="shared" si="22"/>
        <v>-13270.620000000003</v>
      </c>
      <c r="H503">
        <v>-13270.62</v>
      </c>
      <c r="I503" s="3">
        <v>45430</v>
      </c>
      <c r="J503" s="1" t="s">
        <v>3790</v>
      </c>
      <c r="K503" s="1" t="s">
        <v>3783</v>
      </c>
      <c r="L503" s="1" t="s">
        <v>3800</v>
      </c>
      <c r="M503" s="1" t="s">
        <v>3817</v>
      </c>
      <c r="N503" t="str">
        <f t="shared" si="23"/>
        <v>Expense</v>
      </c>
      <c r="O503" t="str">
        <f t="shared" si="24"/>
        <v/>
      </c>
    </row>
    <row r="504" spans="1:15" x14ac:dyDescent="0.25">
      <c r="A504" s="1" t="s">
        <v>4331</v>
      </c>
      <c r="B504" s="1" t="s">
        <v>3839</v>
      </c>
      <c r="C504" s="1" t="s">
        <v>3848</v>
      </c>
      <c r="D504" s="1" t="s">
        <v>3867</v>
      </c>
      <c r="E504">
        <v>304215</v>
      </c>
      <c r="F504">
        <v>327764.47999999998</v>
      </c>
      <c r="G504">
        <f t="shared" si="22"/>
        <v>-23549.479999999981</v>
      </c>
      <c r="H504">
        <v>-23549.48</v>
      </c>
      <c r="I504" s="3">
        <v>45525</v>
      </c>
      <c r="J504" s="1" t="s">
        <v>3790</v>
      </c>
      <c r="K504" s="1" t="s">
        <v>3823</v>
      </c>
      <c r="L504" s="1" t="s">
        <v>3800</v>
      </c>
      <c r="M504" s="1" t="s">
        <v>3809</v>
      </c>
      <c r="N504" t="str">
        <f t="shared" si="23"/>
        <v>Expense</v>
      </c>
      <c r="O504" t="str">
        <f t="shared" si="24"/>
        <v/>
      </c>
    </row>
    <row r="505" spans="1:15" x14ac:dyDescent="0.25">
      <c r="A505" s="1" t="s">
        <v>4332</v>
      </c>
      <c r="B505" s="1" t="s">
        <v>3794</v>
      </c>
      <c r="C505" s="1" t="s">
        <v>3788</v>
      </c>
      <c r="D505" s="1" t="s">
        <v>3867</v>
      </c>
      <c r="E505">
        <v>279164</v>
      </c>
      <c r="F505">
        <v>339590.04</v>
      </c>
      <c r="G505">
        <f t="shared" si="22"/>
        <v>-60426.039999999979</v>
      </c>
      <c r="H505">
        <v>-60426.04</v>
      </c>
      <c r="I505" s="3">
        <v>45656</v>
      </c>
      <c r="J505" s="1" t="s">
        <v>3782</v>
      </c>
      <c r="K505" s="1" t="s">
        <v>3823</v>
      </c>
      <c r="L505" s="1" t="s">
        <v>3800</v>
      </c>
      <c r="M505" s="1" t="s">
        <v>51</v>
      </c>
      <c r="N505" t="str">
        <f t="shared" si="23"/>
        <v>Expense</v>
      </c>
      <c r="O505" t="str">
        <f t="shared" si="24"/>
        <v>Flag: High-Value Pending</v>
      </c>
    </row>
    <row r="506" spans="1:15" x14ac:dyDescent="0.25">
      <c r="A506" s="1" t="s">
        <v>4333</v>
      </c>
      <c r="B506" s="1" t="s">
        <v>3808</v>
      </c>
      <c r="C506" s="1" t="s">
        <v>3861</v>
      </c>
      <c r="D506" s="1" t="s">
        <v>3850</v>
      </c>
      <c r="E506">
        <v>239465</v>
      </c>
      <c r="F506">
        <v>273381.19</v>
      </c>
      <c r="G506">
        <f t="shared" si="22"/>
        <v>-33916.19</v>
      </c>
      <c r="H506">
        <v>-33916.19</v>
      </c>
      <c r="I506" s="3">
        <v>45220</v>
      </c>
      <c r="J506" s="1" t="s">
        <v>3859</v>
      </c>
      <c r="K506" s="1" t="s">
        <v>3791</v>
      </c>
      <c r="L506" s="1" t="s">
        <v>3784</v>
      </c>
      <c r="M506" s="1" t="s">
        <v>51</v>
      </c>
      <c r="N506" t="str">
        <f t="shared" si="23"/>
        <v>Expense</v>
      </c>
      <c r="O506" t="str">
        <f t="shared" si="24"/>
        <v>Flag: High-Value Rejected</v>
      </c>
    </row>
    <row r="507" spans="1:15" x14ac:dyDescent="0.25">
      <c r="A507" s="1" t="s">
        <v>4334</v>
      </c>
      <c r="B507" s="1" t="s">
        <v>3828</v>
      </c>
      <c r="C507" s="1" t="s">
        <v>3825</v>
      </c>
      <c r="D507" s="1" t="s">
        <v>3855</v>
      </c>
      <c r="E507">
        <v>327656</v>
      </c>
      <c r="F507">
        <v>330558.96000000002</v>
      </c>
      <c r="G507">
        <f t="shared" si="22"/>
        <v>-2902.960000000021</v>
      </c>
      <c r="H507">
        <v>-2902.96</v>
      </c>
      <c r="I507" s="3">
        <v>45546</v>
      </c>
      <c r="J507" s="1" t="s">
        <v>3790</v>
      </c>
      <c r="K507" s="1" t="s">
        <v>3791</v>
      </c>
      <c r="L507" s="1" t="s">
        <v>3800</v>
      </c>
      <c r="M507" s="1" t="s">
        <v>3831</v>
      </c>
      <c r="N507" t="str">
        <f t="shared" si="23"/>
        <v>Expense</v>
      </c>
      <c r="O507" t="str">
        <f t="shared" si="24"/>
        <v/>
      </c>
    </row>
    <row r="508" spans="1:15" x14ac:dyDescent="0.25">
      <c r="A508" s="1" t="s">
        <v>4335</v>
      </c>
      <c r="B508" s="1" t="s">
        <v>3787</v>
      </c>
      <c r="C508" s="1" t="s">
        <v>3848</v>
      </c>
      <c r="D508" s="1" t="s">
        <v>3867</v>
      </c>
      <c r="E508">
        <v>-481907</v>
      </c>
      <c r="F508">
        <v>574285.49</v>
      </c>
      <c r="G508">
        <f t="shared" si="22"/>
        <v>-1056192.49</v>
      </c>
      <c r="H508">
        <v>-92378.49</v>
      </c>
      <c r="I508" s="3">
        <v>45058</v>
      </c>
      <c r="J508" s="1" t="s">
        <v>3790</v>
      </c>
      <c r="K508" s="1" t="s">
        <v>3783</v>
      </c>
      <c r="L508" s="1" t="s">
        <v>3784</v>
      </c>
      <c r="M508" s="1" t="s">
        <v>51</v>
      </c>
      <c r="N508" t="str">
        <f t="shared" si="23"/>
        <v>Credit/Refund</v>
      </c>
      <c r="O508" t="str">
        <f t="shared" si="24"/>
        <v/>
      </c>
    </row>
    <row r="509" spans="1:15" x14ac:dyDescent="0.25">
      <c r="A509" s="1" t="s">
        <v>4336</v>
      </c>
      <c r="B509" s="1" t="s">
        <v>3828</v>
      </c>
      <c r="C509" s="1" t="s">
        <v>3795</v>
      </c>
      <c r="D509" s="1" t="s">
        <v>3799</v>
      </c>
      <c r="E509">
        <v>1608463</v>
      </c>
      <c r="F509">
        <v>1418787.56</v>
      </c>
      <c r="G509">
        <f t="shared" si="22"/>
        <v>189675.43999999994</v>
      </c>
      <c r="H509">
        <v>189675.44</v>
      </c>
      <c r="I509" s="3">
        <v>44943</v>
      </c>
      <c r="J509" s="1" t="s">
        <v>3790</v>
      </c>
      <c r="K509" s="1" t="s">
        <v>3823</v>
      </c>
      <c r="L509" s="1" t="s">
        <v>3804</v>
      </c>
      <c r="M509" s="1" t="s">
        <v>51</v>
      </c>
      <c r="N509" t="str">
        <f t="shared" si="23"/>
        <v>Expense</v>
      </c>
      <c r="O509" t="str">
        <f t="shared" si="24"/>
        <v/>
      </c>
    </row>
    <row r="510" spans="1:15" x14ac:dyDescent="0.25">
      <c r="A510" s="1" t="s">
        <v>4337</v>
      </c>
      <c r="B510" s="1" t="s">
        <v>3787</v>
      </c>
      <c r="C510" s="1" t="s">
        <v>3825</v>
      </c>
      <c r="D510" s="1" t="s">
        <v>3796</v>
      </c>
      <c r="E510">
        <v>141903</v>
      </c>
      <c r="F510">
        <v>179555.76</v>
      </c>
      <c r="G510">
        <f t="shared" si="22"/>
        <v>-37652.760000000009</v>
      </c>
      <c r="H510">
        <v>-37652.76</v>
      </c>
      <c r="I510" s="3">
        <v>45394</v>
      </c>
      <c r="J510" s="1" t="s">
        <v>3790</v>
      </c>
      <c r="K510" s="1" t="s">
        <v>3783</v>
      </c>
      <c r="L510" s="1" t="s">
        <v>3800</v>
      </c>
      <c r="M510" s="1" t="s">
        <v>3809</v>
      </c>
      <c r="N510" t="str">
        <f t="shared" si="23"/>
        <v>Expense</v>
      </c>
      <c r="O510" t="str">
        <f t="shared" si="24"/>
        <v/>
      </c>
    </row>
    <row r="511" spans="1:15" x14ac:dyDescent="0.25">
      <c r="A511" s="1" t="s">
        <v>4338</v>
      </c>
      <c r="B511" s="1" t="s">
        <v>3794</v>
      </c>
      <c r="C511" s="1" t="s">
        <v>3861</v>
      </c>
      <c r="D511" s="1" t="s">
        <v>3813</v>
      </c>
      <c r="E511">
        <v>441309</v>
      </c>
      <c r="F511">
        <v>483917.39</v>
      </c>
      <c r="G511">
        <f t="shared" si="22"/>
        <v>-42608.390000000014</v>
      </c>
      <c r="H511">
        <v>-42608.39</v>
      </c>
      <c r="I511" s="3">
        <v>45324</v>
      </c>
      <c r="J511" s="1" t="s">
        <v>3790</v>
      </c>
      <c r="K511" s="1" t="s">
        <v>3791</v>
      </c>
      <c r="L511" s="1" t="s">
        <v>3784</v>
      </c>
      <c r="M511" s="1" t="s">
        <v>51</v>
      </c>
      <c r="N511" t="str">
        <f t="shared" si="23"/>
        <v>Expense</v>
      </c>
      <c r="O511" t="str">
        <f t="shared" si="24"/>
        <v/>
      </c>
    </row>
    <row r="512" spans="1:15" x14ac:dyDescent="0.25">
      <c r="A512" s="1" t="s">
        <v>4339</v>
      </c>
      <c r="B512" s="1" t="s">
        <v>3798</v>
      </c>
      <c r="C512" s="1" t="s">
        <v>3821</v>
      </c>
      <c r="D512" s="1" t="s">
        <v>3837</v>
      </c>
      <c r="E512">
        <v>80966</v>
      </c>
      <c r="F512">
        <v>103931.53</v>
      </c>
      <c r="G512">
        <f t="shared" si="22"/>
        <v>-22965.53</v>
      </c>
      <c r="H512">
        <v>-22965.53</v>
      </c>
      <c r="I512" s="3">
        <v>45277</v>
      </c>
      <c r="J512" s="1" t="s">
        <v>3790</v>
      </c>
      <c r="K512" s="1" t="s">
        <v>3803</v>
      </c>
      <c r="L512" s="1" t="s">
        <v>3784</v>
      </c>
      <c r="M512" s="1" t="s">
        <v>3792</v>
      </c>
      <c r="N512" t="str">
        <f t="shared" si="23"/>
        <v>Expense</v>
      </c>
      <c r="O512" t="str">
        <f t="shared" si="24"/>
        <v/>
      </c>
    </row>
    <row r="513" spans="1:15" x14ac:dyDescent="0.25">
      <c r="A513" s="1" t="s">
        <v>4340</v>
      </c>
      <c r="B513" s="1" t="s">
        <v>3811</v>
      </c>
      <c r="C513" s="1" t="s">
        <v>3788</v>
      </c>
      <c r="D513" s="1" t="s">
        <v>3796</v>
      </c>
      <c r="E513">
        <v>294015</v>
      </c>
      <c r="F513">
        <v>276075.45</v>
      </c>
      <c r="G513">
        <f t="shared" si="22"/>
        <v>17939.549999999988</v>
      </c>
      <c r="H513">
        <v>17939.55</v>
      </c>
      <c r="I513" s="3">
        <v>45473</v>
      </c>
      <c r="J513" s="1" t="s">
        <v>3790</v>
      </c>
      <c r="K513" s="1" t="s">
        <v>3791</v>
      </c>
      <c r="L513" s="1" t="s">
        <v>3800</v>
      </c>
      <c r="M513" s="1" t="s">
        <v>3792</v>
      </c>
      <c r="N513" t="str">
        <f t="shared" si="23"/>
        <v>Expense</v>
      </c>
      <c r="O513" t="str">
        <f t="shared" si="24"/>
        <v/>
      </c>
    </row>
    <row r="514" spans="1:15" x14ac:dyDescent="0.25">
      <c r="A514" s="1" t="s">
        <v>4341</v>
      </c>
      <c r="B514" s="1" t="s">
        <v>3811</v>
      </c>
      <c r="C514" s="1" t="s">
        <v>3848</v>
      </c>
      <c r="D514" s="1" t="s">
        <v>3822</v>
      </c>
      <c r="E514">
        <v>153303</v>
      </c>
      <c r="F514">
        <v>177135.38</v>
      </c>
      <c r="G514">
        <f t="shared" ref="G514:G577" si="25">IF(F514="","",E514-F514)</f>
        <v>-23832.380000000005</v>
      </c>
      <c r="H514">
        <v>-23832.38</v>
      </c>
      <c r="I514" s="3">
        <v>45092</v>
      </c>
      <c r="J514" s="1" t="s">
        <v>3790</v>
      </c>
      <c r="K514" s="1" t="s">
        <v>3791</v>
      </c>
      <c r="L514" s="1" t="s">
        <v>3784</v>
      </c>
      <c r="M514" s="1" t="s">
        <v>51</v>
      </c>
      <c r="N514" t="str">
        <f t="shared" si="23"/>
        <v>Expense</v>
      </c>
      <c r="O514" t="str">
        <f t="shared" si="24"/>
        <v/>
      </c>
    </row>
    <row r="515" spans="1:15" x14ac:dyDescent="0.25">
      <c r="A515" s="1" t="s">
        <v>4342</v>
      </c>
      <c r="B515" s="1" t="s">
        <v>3798</v>
      </c>
      <c r="C515" s="1" t="s">
        <v>3861</v>
      </c>
      <c r="D515" s="1" t="s">
        <v>3826</v>
      </c>
      <c r="E515">
        <v>211411</v>
      </c>
      <c r="F515">
        <v>252479.02</v>
      </c>
      <c r="G515">
        <f t="shared" si="25"/>
        <v>-41068.01999999999</v>
      </c>
      <c r="H515">
        <v>-41068.019999999997</v>
      </c>
      <c r="I515" s="3">
        <v>45732</v>
      </c>
      <c r="J515" s="1" t="s">
        <v>3782</v>
      </c>
      <c r="K515" s="1" t="s">
        <v>3791</v>
      </c>
      <c r="L515" s="1" t="s">
        <v>3800</v>
      </c>
      <c r="M515" s="1" t="s">
        <v>3831</v>
      </c>
      <c r="N515" t="str">
        <f t="shared" ref="N515:N578" si="26">IF(E515&lt;0,"Credit/Refund","Expense")</f>
        <v>Expense</v>
      </c>
      <c r="O515" t="str">
        <f t="shared" ref="O515:O578" si="27">IF(AND(OR(J515="Pending",J515="Rejected"),E515&gt;200000),"Flag: High-Value "&amp;J515,"")</f>
        <v>Flag: High-Value Pending</v>
      </c>
    </row>
    <row r="516" spans="1:15" x14ac:dyDescent="0.25">
      <c r="A516" s="1" t="s">
        <v>4343</v>
      </c>
      <c r="B516" s="1" t="s">
        <v>3811</v>
      </c>
      <c r="C516" s="1" t="s">
        <v>3858</v>
      </c>
      <c r="D516" s="1" t="s">
        <v>3789</v>
      </c>
      <c r="E516">
        <v>373244</v>
      </c>
      <c r="F516">
        <v>480332.25</v>
      </c>
      <c r="G516">
        <f t="shared" si="25"/>
        <v>-107088.25</v>
      </c>
      <c r="H516">
        <v>-107088.25</v>
      </c>
      <c r="I516" s="3">
        <v>45255</v>
      </c>
      <c r="J516" s="1" t="s">
        <v>3790</v>
      </c>
      <c r="K516" s="1" t="s">
        <v>3803</v>
      </c>
      <c r="L516" s="1" t="s">
        <v>3784</v>
      </c>
      <c r="M516" s="1" t="s">
        <v>3792</v>
      </c>
      <c r="N516" t="str">
        <f t="shared" si="26"/>
        <v>Expense</v>
      </c>
      <c r="O516" t="str">
        <f t="shared" si="27"/>
        <v/>
      </c>
    </row>
    <row r="517" spans="1:15" x14ac:dyDescent="0.25">
      <c r="A517" s="1" t="s">
        <v>4344</v>
      </c>
      <c r="B517" s="1" t="s">
        <v>3794</v>
      </c>
      <c r="C517" s="1" t="s">
        <v>3821</v>
      </c>
      <c r="D517" s="1" t="s">
        <v>3834</v>
      </c>
      <c r="E517">
        <v>267652</v>
      </c>
      <c r="G517" t="str">
        <f t="shared" si="25"/>
        <v/>
      </c>
      <c r="H517">
        <v>-13213.99</v>
      </c>
      <c r="I517" s="3">
        <v>45478</v>
      </c>
      <c r="J517" s="1" t="s">
        <v>3782</v>
      </c>
      <c r="K517" s="1" t="s">
        <v>3823</v>
      </c>
      <c r="L517" s="1" t="s">
        <v>3800</v>
      </c>
      <c r="M517" s="1" t="s">
        <v>3831</v>
      </c>
      <c r="N517" t="str">
        <f t="shared" si="26"/>
        <v>Expense</v>
      </c>
      <c r="O517" t="str">
        <f t="shared" si="27"/>
        <v>Flag: High-Value Pending</v>
      </c>
    </row>
    <row r="518" spans="1:15" x14ac:dyDescent="0.25">
      <c r="A518" s="1" t="s">
        <v>4345</v>
      </c>
      <c r="B518" s="1" t="s">
        <v>3787</v>
      </c>
      <c r="C518" s="1" t="s">
        <v>3815</v>
      </c>
      <c r="D518" s="1" t="s">
        <v>3813</v>
      </c>
      <c r="E518">
        <v>220365</v>
      </c>
      <c r="F518">
        <v>282212.24</v>
      </c>
      <c r="G518">
        <f t="shared" si="25"/>
        <v>-61847.239999999991</v>
      </c>
      <c r="H518">
        <v>-61847.24</v>
      </c>
      <c r="I518" s="3">
        <v>45711</v>
      </c>
      <c r="J518" s="1" t="s">
        <v>3790</v>
      </c>
      <c r="K518" s="1" t="s">
        <v>3823</v>
      </c>
      <c r="L518" s="1" t="s">
        <v>3800</v>
      </c>
      <c r="M518" s="1" t="s">
        <v>51</v>
      </c>
      <c r="N518" t="str">
        <f t="shared" si="26"/>
        <v>Expense</v>
      </c>
      <c r="O518" t="str">
        <f t="shared" si="27"/>
        <v/>
      </c>
    </row>
    <row r="519" spans="1:15" x14ac:dyDescent="0.25">
      <c r="A519" s="1" t="s">
        <v>4346</v>
      </c>
      <c r="B519" s="1" t="s">
        <v>4877</v>
      </c>
      <c r="C519" s="1" t="s">
        <v>3844</v>
      </c>
      <c r="D519" s="1" t="s">
        <v>3846</v>
      </c>
      <c r="E519">
        <v>311812</v>
      </c>
      <c r="F519">
        <v>335222.12</v>
      </c>
      <c r="G519">
        <f t="shared" si="25"/>
        <v>-23410.119999999995</v>
      </c>
      <c r="H519">
        <v>-23410.12</v>
      </c>
      <c r="I519" s="3">
        <v>45683</v>
      </c>
      <c r="J519" s="1" t="s">
        <v>3782</v>
      </c>
      <c r="K519" s="1" t="s">
        <v>3783</v>
      </c>
      <c r="L519" s="1" t="s">
        <v>3800</v>
      </c>
      <c r="M519" s="1" t="s">
        <v>3809</v>
      </c>
      <c r="N519" t="str">
        <f t="shared" si="26"/>
        <v>Expense</v>
      </c>
      <c r="O519" t="str">
        <f t="shared" si="27"/>
        <v>Flag: High-Value Pending</v>
      </c>
    </row>
    <row r="520" spans="1:15" x14ac:dyDescent="0.25">
      <c r="A520" s="1" t="s">
        <v>4347</v>
      </c>
      <c r="B520" s="1" t="s">
        <v>3794</v>
      </c>
      <c r="C520" s="1" t="s">
        <v>3848</v>
      </c>
      <c r="D520" s="1" t="s">
        <v>3855</v>
      </c>
      <c r="E520">
        <v>54662</v>
      </c>
      <c r="F520">
        <v>46375.08</v>
      </c>
      <c r="G520">
        <f t="shared" si="25"/>
        <v>8286.9199999999983</v>
      </c>
      <c r="H520">
        <v>8286.92</v>
      </c>
      <c r="I520" s="3">
        <v>45396</v>
      </c>
      <c r="J520" s="1" t="s">
        <v>3790</v>
      </c>
      <c r="K520" s="1" t="s">
        <v>3783</v>
      </c>
      <c r="L520" s="1" t="s">
        <v>3800</v>
      </c>
      <c r="M520" s="1" t="s">
        <v>51</v>
      </c>
      <c r="N520" t="str">
        <f t="shared" si="26"/>
        <v>Expense</v>
      </c>
      <c r="O520" t="str">
        <f t="shared" si="27"/>
        <v/>
      </c>
    </row>
    <row r="521" spans="1:15" x14ac:dyDescent="0.25">
      <c r="A521" s="1" t="s">
        <v>4348</v>
      </c>
      <c r="B521" s="1" t="s">
        <v>3828</v>
      </c>
      <c r="C521" s="1" t="s">
        <v>3788</v>
      </c>
      <c r="D521" s="1" t="s">
        <v>3789</v>
      </c>
      <c r="E521">
        <v>173148</v>
      </c>
      <c r="F521">
        <v>159275.15</v>
      </c>
      <c r="G521">
        <f t="shared" si="25"/>
        <v>13872.850000000006</v>
      </c>
      <c r="H521">
        <v>13872.85</v>
      </c>
      <c r="I521" s="3">
        <v>45581</v>
      </c>
      <c r="J521" s="1" t="s">
        <v>3790</v>
      </c>
      <c r="K521" s="1" t="s">
        <v>3783</v>
      </c>
      <c r="L521" s="1" t="s">
        <v>3800</v>
      </c>
      <c r="M521" s="1" t="s">
        <v>3792</v>
      </c>
      <c r="N521" t="str">
        <f t="shared" si="26"/>
        <v>Expense</v>
      </c>
      <c r="O521" t="str">
        <f t="shared" si="27"/>
        <v/>
      </c>
    </row>
    <row r="522" spans="1:15" x14ac:dyDescent="0.25">
      <c r="A522" s="1" t="s">
        <v>4349</v>
      </c>
      <c r="B522" s="1" t="s">
        <v>3787</v>
      </c>
      <c r="C522" s="1" t="s">
        <v>3795</v>
      </c>
      <c r="D522" s="1" t="s">
        <v>3789</v>
      </c>
      <c r="E522">
        <v>467487</v>
      </c>
      <c r="F522">
        <v>504063.51</v>
      </c>
      <c r="G522">
        <f t="shared" si="25"/>
        <v>-36576.510000000009</v>
      </c>
      <c r="H522">
        <v>-36576.51</v>
      </c>
      <c r="I522" s="3">
        <v>45180</v>
      </c>
      <c r="J522" s="1" t="s">
        <v>3790</v>
      </c>
      <c r="K522" s="1" t="s">
        <v>3803</v>
      </c>
      <c r="L522" s="1" t="s">
        <v>3784</v>
      </c>
      <c r="M522" s="1" t="s">
        <v>3809</v>
      </c>
      <c r="N522" t="str">
        <f t="shared" si="26"/>
        <v>Expense</v>
      </c>
      <c r="O522" t="str">
        <f t="shared" si="27"/>
        <v/>
      </c>
    </row>
    <row r="523" spans="1:15" x14ac:dyDescent="0.25">
      <c r="A523" s="1" t="s">
        <v>4350</v>
      </c>
      <c r="B523" s="1" t="s">
        <v>3808</v>
      </c>
      <c r="C523" s="1" t="s">
        <v>3788</v>
      </c>
      <c r="D523" s="1" t="s">
        <v>3789</v>
      </c>
      <c r="E523">
        <v>-320442</v>
      </c>
      <c r="F523">
        <v>347695.35999999999</v>
      </c>
      <c r="G523">
        <f t="shared" si="25"/>
        <v>-668137.36</v>
      </c>
      <c r="H523">
        <v>-27253.360000000001</v>
      </c>
      <c r="I523" s="3">
        <v>45691</v>
      </c>
      <c r="J523" s="1" t="s">
        <v>3782</v>
      </c>
      <c r="K523" s="1" t="s">
        <v>3803</v>
      </c>
      <c r="L523" s="1" t="s">
        <v>3800</v>
      </c>
      <c r="M523" s="1" t="s">
        <v>3792</v>
      </c>
      <c r="N523" t="str">
        <f t="shared" si="26"/>
        <v>Credit/Refund</v>
      </c>
      <c r="O523" t="str">
        <f t="shared" si="27"/>
        <v/>
      </c>
    </row>
    <row r="524" spans="1:15" x14ac:dyDescent="0.25">
      <c r="A524" s="1" t="s">
        <v>4351</v>
      </c>
      <c r="B524" s="1" t="s">
        <v>3798</v>
      </c>
      <c r="C524" s="1" t="s">
        <v>3821</v>
      </c>
      <c r="D524" s="1" t="s">
        <v>3826</v>
      </c>
      <c r="E524">
        <v>452049</v>
      </c>
      <c r="F524">
        <v>552989.04</v>
      </c>
      <c r="G524">
        <f t="shared" si="25"/>
        <v>-100940.04000000004</v>
      </c>
      <c r="H524">
        <v>-100940.04</v>
      </c>
      <c r="I524" s="3">
        <v>45051</v>
      </c>
      <c r="J524" s="1" t="s">
        <v>3790</v>
      </c>
      <c r="K524" s="1" t="s">
        <v>3783</v>
      </c>
      <c r="L524" s="1" t="s">
        <v>3784</v>
      </c>
      <c r="M524" s="1" t="s">
        <v>3792</v>
      </c>
      <c r="N524" t="str">
        <f t="shared" si="26"/>
        <v>Expense</v>
      </c>
      <c r="O524" t="str">
        <f t="shared" si="27"/>
        <v/>
      </c>
    </row>
    <row r="525" spans="1:15" x14ac:dyDescent="0.25">
      <c r="A525" s="1" t="s">
        <v>4352</v>
      </c>
      <c r="B525" s="1" t="s">
        <v>3811</v>
      </c>
      <c r="C525" s="1" t="s">
        <v>3780</v>
      </c>
      <c r="D525" s="1" t="s">
        <v>3799</v>
      </c>
      <c r="E525">
        <v>478495</v>
      </c>
      <c r="F525">
        <v>412509.84</v>
      </c>
      <c r="G525">
        <f t="shared" si="25"/>
        <v>65985.159999999974</v>
      </c>
      <c r="H525">
        <v>65985.16</v>
      </c>
      <c r="I525" s="3">
        <v>45007</v>
      </c>
      <c r="J525" s="1" t="s">
        <v>3790</v>
      </c>
      <c r="K525" s="1" t="s">
        <v>3783</v>
      </c>
      <c r="L525" s="1" t="s">
        <v>3804</v>
      </c>
      <c r="M525" s="1" t="s">
        <v>51</v>
      </c>
      <c r="N525" t="str">
        <f t="shared" si="26"/>
        <v>Expense</v>
      </c>
      <c r="O525" t="str">
        <f t="shared" si="27"/>
        <v/>
      </c>
    </row>
    <row r="526" spans="1:15" x14ac:dyDescent="0.25">
      <c r="A526" s="1" t="s">
        <v>4353</v>
      </c>
      <c r="B526" s="1" t="s">
        <v>3808</v>
      </c>
      <c r="C526" s="1" t="s">
        <v>3812</v>
      </c>
      <c r="D526" s="1" t="s">
        <v>3796</v>
      </c>
      <c r="E526">
        <v>20639</v>
      </c>
      <c r="F526">
        <v>18677.73</v>
      </c>
      <c r="G526">
        <f t="shared" si="25"/>
        <v>1961.2700000000004</v>
      </c>
      <c r="H526">
        <v>1961.27</v>
      </c>
      <c r="I526" s="3">
        <v>45020</v>
      </c>
      <c r="J526" s="1" t="s">
        <v>3790</v>
      </c>
      <c r="K526" s="1" t="s">
        <v>3803</v>
      </c>
      <c r="L526" s="1" t="s">
        <v>3784</v>
      </c>
      <c r="M526" s="1" t="s">
        <v>3792</v>
      </c>
      <c r="N526" t="str">
        <f t="shared" si="26"/>
        <v>Expense</v>
      </c>
      <c r="O526" t="str">
        <f t="shared" si="27"/>
        <v/>
      </c>
    </row>
    <row r="527" spans="1:15" x14ac:dyDescent="0.25">
      <c r="A527" s="1" t="s">
        <v>4354</v>
      </c>
      <c r="B527" s="1" t="s">
        <v>3798</v>
      </c>
      <c r="C527" s="1" t="s">
        <v>3861</v>
      </c>
      <c r="D527" s="1" t="s">
        <v>3781</v>
      </c>
      <c r="E527">
        <v>434916</v>
      </c>
      <c r="F527">
        <v>402840.15</v>
      </c>
      <c r="G527">
        <f t="shared" si="25"/>
        <v>32075.849999999977</v>
      </c>
      <c r="H527">
        <v>32075.85</v>
      </c>
      <c r="I527" s="3">
        <v>45741</v>
      </c>
      <c r="J527" s="1" t="s">
        <v>3790</v>
      </c>
      <c r="K527" s="1" t="s">
        <v>3783</v>
      </c>
      <c r="L527" s="1" t="s">
        <v>3800</v>
      </c>
      <c r="M527" s="1" t="s">
        <v>3809</v>
      </c>
      <c r="N527" t="str">
        <f t="shared" si="26"/>
        <v>Expense</v>
      </c>
      <c r="O527" t="str">
        <f t="shared" si="27"/>
        <v/>
      </c>
    </row>
    <row r="528" spans="1:15" x14ac:dyDescent="0.25">
      <c r="A528" s="1" t="s">
        <v>4355</v>
      </c>
      <c r="B528" s="1" t="s">
        <v>3828</v>
      </c>
      <c r="C528" s="1" t="s">
        <v>3815</v>
      </c>
      <c r="D528" s="1" t="s">
        <v>3895</v>
      </c>
      <c r="E528">
        <v>187040</v>
      </c>
      <c r="G528" t="str">
        <f t="shared" si="25"/>
        <v/>
      </c>
      <c r="H528">
        <v>-9687.6299999999992</v>
      </c>
      <c r="I528" s="3">
        <v>45380</v>
      </c>
      <c r="J528" s="1" t="s">
        <v>3790</v>
      </c>
      <c r="K528" s="1" t="s">
        <v>3783</v>
      </c>
      <c r="L528" s="1" t="s">
        <v>3784</v>
      </c>
      <c r="M528" s="1" t="s">
        <v>3785</v>
      </c>
      <c r="N528" t="str">
        <f t="shared" si="26"/>
        <v>Expense</v>
      </c>
      <c r="O528" t="str">
        <f t="shared" si="27"/>
        <v/>
      </c>
    </row>
    <row r="529" spans="1:15" x14ac:dyDescent="0.25">
      <c r="A529" s="1" t="s">
        <v>4356</v>
      </c>
      <c r="B529" s="1" t="s">
        <v>3839</v>
      </c>
      <c r="C529" s="1" t="s">
        <v>3821</v>
      </c>
      <c r="D529" s="1" t="s">
        <v>3796</v>
      </c>
      <c r="E529">
        <v>108129</v>
      </c>
      <c r="F529">
        <v>97670.78</v>
      </c>
      <c r="G529">
        <f t="shared" si="25"/>
        <v>10458.220000000001</v>
      </c>
      <c r="H529">
        <v>10458.219999999999</v>
      </c>
      <c r="I529" s="3">
        <v>45688</v>
      </c>
      <c r="J529" s="1" t="s">
        <v>3782</v>
      </c>
      <c r="K529" s="1" t="s">
        <v>3823</v>
      </c>
      <c r="L529" s="1" t="s">
        <v>3800</v>
      </c>
      <c r="M529" s="1" t="s">
        <v>3809</v>
      </c>
      <c r="N529" t="str">
        <f t="shared" si="26"/>
        <v>Expense</v>
      </c>
      <c r="O529" t="str">
        <f t="shared" si="27"/>
        <v/>
      </c>
    </row>
    <row r="530" spans="1:15" x14ac:dyDescent="0.25">
      <c r="A530" s="1" t="s">
        <v>4357</v>
      </c>
      <c r="B530" s="1" t="s">
        <v>3811</v>
      </c>
      <c r="C530" s="1" t="s">
        <v>3825</v>
      </c>
      <c r="D530" s="1" t="s">
        <v>3867</v>
      </c>
      <c r="E530">
        <v>496893</v>
      </c>
      <c r="F530">
        <v>539724.06000000006</v>
      </c>
      <c r="G530">
        <f t="shared" si="25"/>
        <v>-42831.060000000056</v>
      </c>
      <c r="H530">
        <v>-42831.06</v>
      </c>
      <c r="I530" s="3">
        <v>45426</v>
      </c>
      <c r="J530" s="1" t="s">
        <v>3790</v>
      </c>
      <c r="K530" s="1" t="s">
        <v>3823</v>
      </c>
      <c r="L530" s="1" t="s">
        <v>3800</v>
      </c>
      <c r="M530" s="1" t="s">
        <v>51</v>
      </c>
      <c r="N530" t="str">
        <f t="shared" si="26"/>
        <v>Expense</v>
      </c>
      <c r="O530" t="str">
        <f t="shared" si="27"/>
        <v/>
      </c>
    </row>
    <row r="531" spans="1:15" x14ac:dyDescent="0.25">
      <c r="A531" s="1" t="s">
        <v>4358</v>
      </c>
      <c r="B531" s="1" t="s">
        <v>3811</v>
      </c>
      <c r="C531" s="1" t="s">
        <v>3825</v>
      </c>
      <c r="D531" s="1" t="s">
        <v>3822</v>
      </c>
      <c r="E531">
        <v>315242</v>
      </c>
      <c r="F531">
        <v>353921.75</v>
      </c>
      <c r="G531">
        <f t="shared" si="25"/>
        <v>-38679.75</v>
      </c>
      <c r="H531">
        <v>-38679.75</v>
      </c>
      <c r="I531" s="3">
        <v>45167</v>
      </c>
      <c r="J531" s="1" t="s">
        <v>3859</v>
      </c>
      <c r="K531" s="1" t="s">
        <v>3823</v>
      </c>
      <c r="L531" s="1" t="s">
        <v>3784</v>
      </c>
      <c r="M531" s="1" t="s">
        <v>3809</v>
      </c>
      <c r="N531" t="str">
        <f t="shared" si="26"/>
        <v>Expense</v>
      </c>
      <c r="O531" t="str">
        <f t="shared" si="27"/>
        <v>Flag: High-Value Rejected</v>
      </c>
    </row>
    <row r="532" spans="1:15" x14ac:dyDescent="0.25">
      <c r="A532" s="1" t="s">
        <v>4359</v>
      </c>
      <c r="B532" s="1" t="s">
        <v>3794</v>
      </c>
      <c r="C532" s="1" t="s">
        <v>3815</v>
      </c>
      <c r="D532" s="1" t="s">
        <v>3813</v>
      </c>
      <c r="E532">
        <v>223813</v>
      </c>
      <c r="F532">
        <v>205492.11</v>
      </c>
      <c r="G532">
        <f t="shared" si="25"/>
        <v>18320.890000000014</v>
      </c>
      <c r="H532">
        <v>18320.89</v>
      </c>
      <c r="I532" s="3">
        <v>45272</v>
      </c>
      <c r="J532" s="1" t="s">
        <v>3790</v>
      </c>
      <c r="K532" s="1" t="s">
        <v>3803</v>
      </c>
      <c r="L532" s="1" t="s">
        <v>3784</v>
      </c>
      <c r="M532" s="1" t="s">
        <v>51</v>
      </c>
      <c r="N532" t="str">
        <f t="shared" si="26"/>
        <v>Expense</v>
      </c>
      <c r="O532" t="str">
        <f t="shared" si="27"/>
        <v/>
      </c>
    </row>
    <row r="533" spans="1:15" x14ac:dyDescent="0.25">
      <c r="A533" s="1" t="s">
        <v>4360</v>
      </c>
      <c r="B533" s="1" t="s">
        <v>3839</v>
      </c>
      <c r="C533" s="1" t="s">
        <v>3795</v>
      </c>
      <c r="D533" s="1" t="s">
        <v>3867</v>
      </c>
      <c r="E533">
        <v>366449</v>
      </c>
      <c r="F533">
        <v>378351.62</v>
      </c>
      <c r="G533">
        <f t="shared" si="25"/>
        <v>-11902.619999999995</v>
      </c>
      <c r="H533">
        <v>-11902.62</v>
      </c>
      <c r="I533" s="3">
        <v>44957</v>
      </c>
      <c r="J533" s="1" t="s">
        <v>3782</v>
      </c>
      <c r="K533" s="1" t="s">
        <v>3803</v>
      </c>
      <c r="L533" s="1" t="s">
        <v>3804</v>
      </c>
      <c r="M533" s="1" t="s">
        <v>51</v>
      </c>
      <c r="N533" t="str">
        <f t="shared" si="26"/>
        <v>Expense</v>
      </c>
      <c r="O533" t="str">
        <f t="shared" si="27"/>
        <v>Flag: High-Value Pending</v>
      </c>
    </row>
    <row r="534" spans="1:15" x14ac:dyDescent="0.25">
      <c r="A534" s="1" t="s">
        <v>4361</v>
      </c>
      <c r="B534" s="1" t="s">
        <v>4877</v>
      </c>
      <c r="C534" s="1" t="s">
        <v>3780</v>
      </c>
      <c r="D534" s="1" t="s">
        <v>3816</v>
      </c>
      <c r="E534">
        <v>25682</v>
      </c>
      <c r="F534">
        <v>30711.55</v>
      </c>
      <c r="G534">
        <f t="shared" si="25"/>
        <v>-5029.5499999999993</v>
      </c>
      <c r="H534">
        <v>-5029.55</v>
      </c>
      <c r="I534" s="3">
        <v>45700</v>
      </c>
      <c r="J534" s="1" t="s">
        <v>3790</v>
      </c>
      <c r="K534" s="1" t="s">
        <v>3823</v>
      </c>
      <c r="L534" s="1" t="s">
        <v>3800</v>
      </c>
      <c r="M534" s="1" t="s">
        <v>51</v>
      </c>
      <c r="N534" t="str">
        <f t="shared" si="26"/>
        <v>Expense</v>
      </c>
      <c r="O534" t="str">
        <f t="shared" si="27"/>
        <v/>
      </c>
    </row>
    <row r="535" spans="1:15" x14ac:dyDescent="0.25">
      <c r="A535" s="1" t="s">
        <v>4362</v>
      </c>
      <c r="B535" s="1" t="s">
        <v>3808</v>
      </c>
      <c r="C535" s="1" t="s">
        <v>3844</v>
      </c>
      <c r="D535" s="1" t="s">
        <v>3834</v>
      </c>
      <c r="E535">
        <v>45078</v>
      </c>
      <c r="F535">
        <v>46626.720000000001</v>
      </c>
      <c r="G535">
        <f t="shared" si="25"/>
        <v>-1548.7200000000012</v>
      </c>
      <c r="H535">
        <v>-1548.72</v>
      </c>
      <c r="I535" s="3">
        <v>45062</v>
      </c>
      <c r="J535" s="1" t="s">
        <v>3790</v>
      </c>
      <c r="K535" s="1" t="s">
        <v>3783</v>
      </c>
      <c r="L535" s="1" t="s">
        <v>3784</v>
      </c>
      <c r="M535" s="1" t="s">
        <v>51</v>
      </c>
      <c r="N535" t="str">
        <f t="shared" si="26"/>
        <v>Expense</v>
      </c>
      <c r="O535" t="str">
        <f t="shared" si="27"/>
        <v/>
      </c>
    </row>
    <row r="536" spans="1:15" x14ac:dyDescent="0.25">
      <c r="A536" s="1" t="s">
        <v>4363</v>
      </c>
      <c r="B536" s="1" t="s">
        <v>3839</v>
      </c>
      <c r="C536" s="1" t="s">
        <v>3788</v>
      </c>
      <c r="D536" s="1" t="s">
        <v>3834</v>
      </c>
      <c r="E536">
        <v>359864</v>
      </c>
      <c r="F536">
        <v>417616.71</v>
      </c>
      <c r="G536">
        <f t="shared" si="25"/>
        <v>-57752.710000000021</v>
      </c>
      <c r="H536">
        <v>-57752.71</v>
      </c>
      <c r="I536" s="3">
        <v>45745</v>
      </c>
      <c r="J536" s="1" t="s">
        <v>3859</v>
      </c>
      <c r="K536" s="1" t="s">
        <v>3803</v>
      </c>
      <c r="L536" s="1" t="s">
        <v>3800</v>
      </c>
      <c r="M536" s="1" t="s">
        <v>51</v>
      </c>
      <c r="N536" t="str">
        <f t="shared" si="26"/>
        <v>Expense</v>
      </c>
      <c r="O536" t="str">
        <f t="shared" si="27"/>
        <v>Flag: High-Value Rejected</v>
      </c>
    </row>
    <row r="537" spans="1:15" x14ac:dyDescent="0.25">
      <c r="A537" s="1" t="s">
        <v>4364</v>
      </c>
      <c r="B537" s="1" t="s">
        <v>3811</v>
      </c>
      <c r="C537" s="1" t="s">
        <v>3821</v>
      </c>
      <c r="D537" s="1" t="s">
        <v>3834</v>
      </c>
      <c r="E537">
        <v>378394</v>
      </c>
      <c r="F537">
        <v>417751.85</v>
      </c>
      <c r="G537">
        <f t="shared" si="25"/>
        <v>-39357.849999999977</v>
      </c>
      <c r="H537">
        <v>-39357.85</v>
      </c>
      <c r="I537" s="3">
        <v>45430</v>
      </c>
      <c r="J537" s="1" t="s">
        <v>3790</v>
      </c>
      <c r="K537" s="1" t="s">
        <v>3791</v>
      </c>
      <c r="L537" s="1" t="s">
        <v>3800</v>
      </c>
      <c r="M537" s="1" t="s">
        <v>51</v>
      </c>
      <c r="N537" t="str">
        <f t="shared" si="26"/>
        <v>Expense</v>
      </c>
      <c r="O537" t="str">
        <f t="shared" si="27"/>
        <v/>
      </c>
    </row>
    <row r="538" spans="1:15" x14ac:dyDescent="0.25">
      <c r="A538" s="1" t="s">
        <v>4365</v>
      </c>
      <c r="B538" s="1" t="s">
        <v>3794</v>
      </c>
      <c r="C538" s="1" t="s">
        <v>3815</v>
      </c>
      <c r="D538" s="1" t="s">
        <v>3781</v>
      </c>
      <c r="E538">
        <v>244293</v>
      </c>
      <c r="F538">
        <v>308057.15000000002</v>
      </c>
      <c r="G538">
        <f t="shared" si="25"/>
        <v>-63764.150000000023</v>
      </c>
      <c r="H538">
        <v>-63764.15</v>
      </c>
      <c r="I538" s="3">
        <v>45193</v>
      </c>
      <c r="J538" s="1" t="s">
        <v>3790</v>
      </c>
      <c r="K538" s="1" t="s">
        <v>3783</v>
      </c>
      <c r="L538" s="1" t="s">
        <v>3784</v>
      </c>
      <c r="M538" s="1" t="s">
        <v>3809</v>
      </c>
      <c r="N538" t="str">
        <f t="shared" si="26"/>
        <v>Expense</v>
      </c>
      <c r="O538" t="str">
        <f t="shared" si="27"/>
        <v/>
      </c>
    </row>
    <row r="539" spans="1:15" x14ac:dyDescent="0.25">
      <c r="A539" s="1" t="s">
        <v>4366</v>
      </c>
      <c r="B539" s="1" t="s">
        <v>3808</v>
      </c>
      <c r="C539" s="1" t="s">
        <v>3806</v>
      </c>
      <c r="D539" s="1" t="s">
        <v>3850</v>
      </c>
      <c r="E539">
        <v>438697</v>
      </c>
      <c r="F539">
        <v>394827.65</v>
      </c>
      <c r="G539">
        <f t="shared" si="25"/>
        <v>43869.349999999977</v>
      </c>
      <c r="H539">
        <v>43869.35</v>
      </c>
      <c r="I539" s="3">
        <v>45098</v>
      </c>
      <c r="J539" s="1" t="s">
        <v>3790</v>
      </c>
      <c r="K539" s="1" t="s">
        <v>3783</v>
      </c>
      <c r="L539" s="1" t="s">
        <v>3784</v>
      </c>
      <c r="M539" s="1" t="s">
        <v>3785</v>
      </c>
      <c r="N539" t="str">
        <f t="shared" si="26"/>
        <v>Expense</v>
      </c>
      <c r="O539" t="str">
        <f t="shared" si="27"/>
        <v/>
      </c>
    </row>
    <row r="540" spans="1:15" x14ac:dyDescent="0.25">
      <c r="A540" s="1" t="s">
        <v>4367</v>
      </c>
      <c r="B540" s="1" t="s">
        <v>3828</v>
      </c>
      <c r="C540" s="1" t="s">
        <v>3861</v>
      </c>
      <c r="D540" s="1" t="s">
        <v>3822</v>
      </c>
      <c r="E540">
        <v>494478</v>
      </c>
      <c r="F540">
        <v>425644.3</v>
      </c>
      <c r="G540">
        <f t="shared" si="25"/>
        <v>68833.700000000012</v>
      </c>
      <c r="H540">
        <v>68833.7</v>
      </c>
      <c r="I540" s="3">
        <v>45484</v>
      </c>
      <c r="J540" s="1" t="s">
        <v>3790</v>
      </c>
      <c r="K540" s="1" t="s">
        <v>3823</v>
      </c>
      <c r="L540" s="1" t="s">
        <v>3800</v>
      </c>
      <c r="M540" s="1" t="s">
        <v>3792</v>
      </c>
      <c r="N540" t="str">
        <f t="shared" si="26"/>
        <v>Expense</v>
      </c>
      <c r="O540" t="str">
        <f t="shared" si="27"/>
        <v/>
      </c>
    </row>
    <row r="541" spans="1:15" x14ac:dyDescent="0.25">
      <c r="A541" s="1" t="s">
        <v>4368</v>
      </c>
      <c r="B541" s="1" t="s">
        <v>3828</v>
      </c>
      <c r="C541" s="1" t="s">
        <v>3844</v>
      </c>
      <c r="D541" s="1" t="s">
        <v>3816</v>
      </c>
      <c r="E541">
        <v>90424</v>
      </c>
      <c r="F541">
        <v>98893.58</v>
      </c>
      <c r="G541">
        <f t="shared" si="25"/>
        <v>-8469.5800000000017</v>
      </c>
      <c r="H541">
        <v>-8469.58</v>
      </c>
      <c r="I541" s="3">
        <v>45483</v>
      </c>
      <c r="J541" s="1" t="s">
        <v>3790</v>
      </c>
      <c r="K541" s="1" t="s">
        <v>3791</v>
      </c>
      <c r="L541" s="1" t="s">
        <v>3800</v>
      </c>
      <c r="M541" s="1" t="s">
        <v>51</v>
      </c>
      <c r="N541" t="str">
        <f t="shared" si="26"/>
        <v>Expense</v>
      </c>
      <c r="O541" t="str">
        <f t="shared" si="27"/>
        <v/>
      </c>
    </row>
    <row r="542" spans="1:15" x14ac:dyDescent="0.25">
      <c r="A542" s="1" t="s">
        <v>4369</v>
      </c>
      <c r="B542" s="1" t="s">
        <v>3811</v>
      </c>
      <c r="C542" s="1" t="s">
        <v>3844</v>
      </c>
      <c r="D542" s="1" t="s">
        <v>3813</v>
      </c>
      <c r="E542">
        <v>391262</v>
      </c>
      <c r="F542">
        <v>331538.21000000002</v>
      </c>
      <c r="G542">
        <f t="shared" si="25"/>
        <v>59723.789999999979</v>
      </c>
      <c r="H542">
        <v>59723.79</v>
      </c>
      <c r="I542" s="3">
        <v>45506</v>
      </c>
      <c r="J542" s="1" t="s">
        <v>3790</v>
      </c>
      <c r="K542" s="1" t="s">
        <v>3803</v>
      </c>
      <c r="L542" s="1" t="s">
        <v>3800</v>
      </c>
      <c r="M542" s="1" t="s">
        <v>51</v>
      </c>
      <c r="N542" t="str">
        <f t="shared" si="26"/>
        <v>Expense</v>
      </c>
      <c r="O542" t="str">
        <f t="shared" si="27"/>
        <v/>
      </c>
    </row>
    <row r="543" spans="1:15" x14ac:dyDescent="0.25">
      <c r="A543" s="1" t="s">
        <v>4370</v>
      </c>
      <c r="B543" s="1" t="s">
        <v>3828</v>
      </c>
      <c r="C543" s="1" t="s">
        <v>3815</v>
      </c>
      <c r="D543" s="1" t="s">
        <v>3822</v>
      </c>
      <c r="E543">
        <v>97915</v>
      </c>
      <c r="G543" t="str">
        <f t="shared" si="25"/>
        <v/>
      </c>
      <c r="H543">
        <v>12794.13</v>
      </c>
      <c r="I543" s="3">
        <v>45482</v>
      </c>
      <c r="J543" s="1" t="s">
        <v>3782</v>
      </c>
      <c r="K543" s="1" t="s">
        <v>3803</v>
      </c>
      <c r="L543" s="1" t="s">
        <v>3800</v>
      </c>
      <c r="M543" s="1" t="s">
        <v>3809</v>
      </c>
      <c r="N543" t="str">
        <f t="shared" si="26"/>
        <v>Expense</v>
      </c>
      <c r="O543" t="str">
        <f t="shared" si="27"/>
        <v/>
      </c>
    </row>
    <row r="544" spans="1:15" x14ac:dyDescent="0.25">
      <c r="A544" s="1" t="s">
        <v>4371</v>
      </c>
      <c r="B544" s="1" t="s">
        <v>3811</v>
      </c>
      <c r="C544" s="1" t="s">
        <v>3815</v>
      </c>
      <c r="D544" s="1" t="s">
        <v>3816</v>
      </c>
      <c r="E544">
        <v>360413</v>
      </c>
      <c r="F544">
        <v>394450.86</v>
      </c>
      <c r="G544">
        <f t="shared" si="25"/>
        <v>-34037.859999999986</v>
      </c>
      <c r="H544">
        <v>-34037.86</v>
      </c>
      <c r="I544" s="3">
        <v>45349</v>
      </c>
      <c r="J544" s="1" t="s">
        <v>3790</v>
      </c>
      <c r="K544" s="1" t="s">
        <v>3823</v>
      </c>
      <c r="L544" s="1" t="s">
        <v>3784</v>
      </c>
      <c r="M544" s="1" t="s">
        <v>3817</v>
      </c>
      <c r="N544" t="str">
        <f t="shared" si="26"/>
        <v>Expense</v>
      </c>
      <c r="O544" t="str">
        <f t="shared" si="27"/>
        <v/>
      </c>
    </row>
    <row r="545" spans="1:15" x14ac:dyDescent="0.25">
      <c r="A545" s="1" t="s">
        <v>4372</v>
      </c>
      <c r="B545" s="1" t="s">
        <v>3839</v>
      </c>
      <c r="C545" s="1" t="s">
        <v>3788</v>
      </c>
      <c r="D545" s="1" t="s">
        <v>3834</v>
      </c>
      <c r="E545">
        <v>211741</v>
      </c>
      <c r="F545">
        <v>259695.42</v>
      </c>
      <c r="G545">
        <f t="shared" si="25"/>
        <v>-47954.420000000013</v>
      </c>
      <c r="H545">
        <v>-47954.42</v>
      </c>
      <c r="I545" s="3">
        <v>45201</v>
      </c>
      <c r="J545" s="1" t="s">
        <v>3790</v>
      </c>
      <c r="K545" s="1" t="s">
        <v>3791</v>
      </c>
      <c r="L545" s="1" t="s">
        <v>3784</v>
      </c>
      <c r="M545" s="1" t="s">
        <v>3785</v>
      </c>
      <c r="N545" t="str">
        <f t="shared" si="26"/>
        <v>Expense</v>
      </c>
      <c r="O545" t="str">
        <f t="shared" si="27"/>
        <v/>
      </c>
    </row>
    <row r="546" spans="1:15" x14ac:dyDescent="0.25">
      <c r="A546" s="1" t="s">
        <v>4373</v>
      </c>
      <c r="B546" s="1" t="s">
        <v>3839</v>
      </c>
      <c r="C546" s="1" t="s">
        <v>3825</v>
      </c>
      <c r="D546" s="1" t="s">
        <v>3826</v>
      </c>
      <c r="E546">
        <v>252414</v>
      </c>
      <c r="F546">
        <v>300603.15000000002</v>
      </c>
      <c r="G546">
        <f t="shared" si="25"/>
        <v>-48189.150000000023</v>
      </c>
      <c r="H546">
        <v>-48189.15</v>
      </c>
      <c r="I546" s="3">
        <v>45418</v>
      </c>
      <c r="J546" s="1" t="s">
        <v>3782</v>
      </c>
      <c r="K546" s="1" t="s">
        <v>3791</v>
      </c>
      <c r="L546" s="1" t="s">
        <v>3800</v>
      </c>
      <c r="M546" s="1" t="s">
        <v>51</v>
      </c>
      <c r="N546" t="str">
        <f t="shared" si="26"/>
        <v>Expense</v>
      </c>
      <c r="O546" t="str">
        <f t="shared" si="27"/>
        <v>Flag: High-Value Pending</v>
      </c>
    </row>
    <row r="547" spans="1:15" x14ac:dyDescent="0.25">
      <c r="A547" s="1" t="s">
        <v>4374</v>
      </c>
      <c r="B547" s="1" t="s">
        <v>3839</v>
      </c>
      <c r="C547" s="1" t="s">
        <v>3858</v>
      </c>
      <c r="D547" s="1" t="s">
        <v>3802</v>
      </c>
      <c r="E547">
        <v>182510</v>
      </c>
      <c r="F547">
        <v>171655.83</v>
      </c>
      <c r="G547">
        <f t="shared" si="25"/>
        <v>10854.170000000013</v>
      </c>
      <c r="H547">
        <v>10854.17</v>
      </c>
      <c r="I547" s="3">
        <v>45374</v>
      </c>
      <c r="J547" s="1" t="s">
        <v>3790</v>
      </c>
      <c r="K547" s="1" t="s">
        <v>3803</v>
      </c>
      <c r="L547" s="1" t="s">
        <v>3784</v>
      </c>
      <c r="M547" s="1" t="s">
        <v>51</v>
      </c>
      <c r="N547" t="str">
        <f t="shared" si="26"/>
        <v>Expense</v>
      </c>
      <c r="O547" t="str">
        <f t="shared" si="27"/>
        <v/>
      </c>
    </row>
    <row r="548" spans="1:15" x14ac:dyDescent="0.25">
      <c r="A548" s="1" t="s">
        <v>4375</v>
      </c>
      <c r="B548" s="1" t="s">
        <v>3811</v>
      </c>
      <c r="C548" s="1" t="s">
        <v>3812</v>
      </c>
      <c r="D548" s="1" t="s">
        <v>3802</v>
      </c>
      <c r="E548">
        <v>269988</v>
      </c>
      <c r="F548">
        <v>246791.93</v>
      </c>
      <c r="G548">
        <f t="shared" si="25"/>
        <v>23196.070000000007</v>
      </c>
      <c r="H548">
        <v>23196.07</v>
      </c>
      <c r="I548" s="3">
        <v>45644</v>
      </c>
      <c r="J548" s="1" t="s">
        <v>3790</v>
      </c>
      <c r="K548" s="1" t="s">
        <v>3803</v>
      </c>
      <c r="L548" s="1" t="s">
        <v>3800</v>
      </c>
      <c r="M548" s="1" t="s">
        <v>3785</v>
      </c>
      <c r="N548" t="str">
        <f t="shared" si="26"/>
        <v>Expense</v>
      </c>
      <c r="O548" t="str">
        <f t="shared" si="27"/>
        <v/>
      </c>
    </row>
    <row r="549" spans="1:15" x14ac:dyDescent="0.25">
      <c r="A549" s="1" t="s">
        <v>4376</v>
      </c>
      <c r="B549" s="1" t="s">
        <v>3811</v>
      </c>
      <c r="C549" s="1" t="s">
        <v>3858</v>
      </c>
      <c r="D549" s="1" t="s">
        <v>3850</v>
      </c>
      <c r="E549">
        <v>3713747</v>
      </c>
      <c r="F549">
        <v>3704060.42</v>
      </c>
      <c r="G549">
        <f t="shared" si="25"/>
        <v>9686.5800000000745</v>
      </c>
      <c r="H549">
        <v>9686.58</v>
      </c>
      <c r="I549" s="3">
        <v>45553</v>
      </c>
      <c r="J549" s="1" t="s">
        <v>3790</v>
      </c>
      <c r="K549" s="1" t="s">
        <v>3791</v>
      </c>
      <c r="L549" s="1" t="s">
        <v>3800</v>
      </c>
      <c r="M549" s="1" t="s">
        <v>51</v>
      </c>
      <c r="N549" t="str">
        <f t="shared" si="26"/>
        <v>Expense</v>
      </c>
      <c r="O549" t="str">
        <f t="shared" si="27"/>
        <v/>
      </c>
    </row>
    <row r="550" spans="1:15" x14ac:dyDescent="0.25">
      <c r="A550" s="1" t="s">
        <v>4377</v>
      </c>
      <c r="B550" s="1" t="s">
        <v>3794</v>
      </c>
      <c r="C550" s="1" t="s">
        <v>3821</v>
      </c>
      <c r="D550" s="1" t="s">
        <v>3834</v>
      </c>
      <c r="E550">
        <v>172544</v>
      </c>
      <c r="F550">
        <v>204995.71</v>
      </c>
      <c r="G550">
        <f t="shared" si="25"/>
        <v>-32451.709999999992</v>
      </c>
      <c r="H550">
        <v>-32451.71</v>
      </c>
      <c r="I550" s="3">
        <v>45248</v>
      </c>
      <c r="J550" s="1" t="s">
        <v>3790</v>
      </c>
      <c r="K550" s="1" t="s">
        <v>3823</v>
      </c>
      <c r="L550" s="1" t="s">
        <v>3784</v>
      </c>
      <c r="M550" s="1" t="s">
        <v>3809</v>
      </c>
      <c r="N550" t="str">
        <f t="shared" si="26"/>
        <v>Expense</v>
      </c>
      <c r="O550" t="str">
        <f t="shared" si="27"/>
        <v/>
      </c>
    </row>
    <row r="551" spans="1:15" x14ac:dyDescent="0.25">
      <c r="A551" s="1" t="s">
        <v>4378</v>
      </c>
      <c r="B551" s="1" t="s">
        <v>3828</v>
      </c>
      <c r="C551" s="1" t="s">
        <v>3812</v>
      </c>
      <c r="D551" s="1" t="s">
        <v>3867</v>
      </c>
      <c r="E551">
        <v>-127359</v>
      </c>
      <c r="F551">
        <v>114724.18</v>
      </c>
      <c r="G551">
        <f t="shared" si="25"/>
        <v>-242083.18</v>
      </c>
      <c r="H551">
        <v>12634.82</v>
      </c>
      <c r="I551" s="3">
        <v>45707</v>
      </c>
      <c r="J551" s="1" t="s">
        <v>3790</v>
      </c>
      <c r="K551" s="1" t="s">
        <v>3823</v>
      </c>
      <c r="L551" s="1" t="s">
        <v>3800</v>
      </c>
      <c r="M551" s="1" t="s">
        <v>51</v>
      </c>
      <c r="N551" t="str">
        <f t="shared" si="26"/>
        <v>Credit/Refund</v>
      </c>
      <c r="O551" t="str">
        <f t="shared" si="27"/>
        <v/>
      </c>
    </row>
    <row r="552" spans="1:15" x14ac:dyDescent="0.25">
      <c r="A552" s="1" t="s">
        <v>4379</v>
      </c>
      <c r="B552" s="1" t="s">
        <v>3811</v>
      </c>
      <c r="C552" s="1" t="s">
        <v>3848</v>
      </c>
      <c r="D552" s="1" t="s">
        <v>3813</v>
      </c>
      <c r="E552">
        <v>372228</v>
      </c>
      <c r="F552">
        <v>403678.43</v>
      </c>
      <c r="G552">
        <f t="shared" si="25"/>
        <v>-31450.429999999993</v>
      </c>
      <c r="I552" s="3">
        <v>45087</v>
      </c>
      <c r="J552" s="1" t="s">
        <v>3859</v>
      </c>
      <c r="K552" s="1" t="s">
        <v>3803</v>
      </c>
      <c r="L552" s="1" t="s">
        <v>3784</v>
      </c>
      <c r="M552" s="1" t="s">
        <v>3785</v>
      </c>
      <c r="N552" t="str">
        <f t="shared" si="26"/>
        <v>Expense</v>
      </c>
      <c r="O552" t="str">
        <f t="shared" si="27"/>
        <v>Flag: High-Value Rejected</v>
      </c>
    </row>
    <row r="553" spans="1:15" x14ac:dyDescent="0.25">
      <c r="A553" s="1" t="s">
        <v>4380</v>
      </c>
      <c r="B553" s="1" t="s">
        <v>3787</v>
      </c>
      <c r="C553" s="1" t="s">
        <v>3861</v>
      </c>
      <c r="D553" s="1" t="s">
        <v>3813</v>
      </c>
      <c r="E553">
        <v>168643</v>
      </c>
      <c r="F553">
        <v>164538.23999999999</v>
      </c>
      <c r="G553">
        <f t="shared" si="25"/>
        <v>4104.7600000000093</v>
      </c>
      <c r="H553">
        <v>4104.76</v>
      </c>
      <c r="I553" s="3">
        <v>45108</v>
      </c>
      <c r="J553" s="1" t="s">
        <v>3790</v>
      </c>
      <c r="K553" s="1" t="s">
        <v>3803</v>
      </c>
      <c r="L553" s="1" t="s">
        <v>3784</v>
      </c>
      <c r="M553" s="1" t="s">
        <v>3792</v>
      </c>
      <c r="N553" t="str">
        <f t="shared" si="26"/>
        <v>Expense</v>
      </c>
      <c r="O553" t="str">
        <f t="shared" si="27"/>
        <v/>
      </c>
    </row>
    <row r="554" spans="1:15" x14ac:dyDescent="0.25">
      <c r="A554" s="1" t="s">
        <v>4381</v>
      </c>
      <c r="B554" s="1" t="s">
        <v>3839</v>
      </c>
      <c r="C554" s="1" t="s">
        <v>3795</v>
      </c>
      <c r="D554" s="1" t="s">
        <v>3816</v>
      </c>
      <c r="E554">
        <v>462507</v>
      </c>
      <c r="F554">
        <v>382064.83</v>
      </c>
      <c r="G554">
        <f t="shared" si="25"/>
        <v>80442.169999999984</v>
      </c>
      <c r="H554">
        <v>80442.17</v>
      </c>
      <c r="I554" s="3">
        <v>45720</v>
      </c>
      <c r="J554" s="1" t="s">
        <v>3790</v>
      </c>
      <c r="K554" s="1" t="s">
        <v>3783</v>
      </c>
      <c r="L554" s="1" t="s">
        <v>3800</v>
      </c>
      <c r="M554" s="1" t="s">
        <v>51</v>
      </c>
      <c r="N554" t="str">
        <f t="shared" si="26"/>
        <v>Expense</v>
      </c>
      <c r="O554" t="str">
        <f t="shared" si="27"/>
        <v/>
      </c>
    </row>
    <row r="555" spans="1:15" x14ac:dyDescent="0.25">
      <c r="A555" s="1" t="s">
        <v>4382</v>
      </c>
      <c r="B555" s="1" t="s">
        <v>3794</v>
      </c>
      <c r="C555" s="1" t="s">
        <v>3788</v>
      </c>
      <c r="D555" s="1" t="s">
        <v>3837</v>
      </c>
      <c r="E555">
        <v>267508</v>
      </c>
      <c r="F555">
        <v>263079.67999999999</v>
      </c>
      <c r="G555">
        <f t="shared" si="25"/>
        <v>4428.320000000007</v>
      </c>
      <c r="H555">
        <v>4428.32</v>
      </c>
      <c r="I555" s="3">
        <v>45193</v>
      </c>
      <c r="J555" s="1" t="s">
        <v>3859</v>
      </c>
      <c r="K555" s="1" t="s">
        <v>3803</v>
      </c>
      <c r="L555" s="1" t="s">
        <v>3784</v>
      </c>
      <c r="M555" s="1" t="s">
        <v>51</v>
      </c>
      <c r="N555" t="str">
        <f t="shared" si="26"/>
        <v>Expense</v>
      </c>
      <c r="O555" t="str">
        <f t="shared" si="27"/>
        <v>Flag: High-Value Rejected</v>
      </c>
    </row>
    <row r="556" spans="1:15" x14ac:dyDescent="0.25">
      <c r="A556" s="1" t="s">
        <v>4383</v>
      </c>
      <c r="B556" s="1" t="s">
        <v>3787</v>
      </c>
      <c r="C556" s="1" t="s">
        <v>3812</v>
      </c>
      <c r="D556" s="1" t="s">
        <v>3895</v>
      </c>
      <c r="E556">
        <v>390884</v>
      </c>
      <c r="F556">
        <v>374286.3</v>
      </c>
      <c r="G556">
        <f t="shared" si="25"/>
        <v>16597.700000000012</v>
      </c>
      <c r="H556">
        <v>16597.7</v>
      </c>
      <c r="I556" s="3">
        <v>45490</v>
      </c>
      <c r="J556" s="1" t="s">
        <v>3790</v>
      </c>
      <c r="K556" s="1" t="s">
        <v>3783</v>
      </c>
      <c r="L556" s="1" t="s">
        <v>3800</v>
      </c>
      <c r="M556" s="1" t="s">
        <v>3831</v>
      </c>
      <c r="N556" t="str">
        <f t="shared" si="26"/>
        <v>Expense</v>
      </c>
      <c r="O556" t="str">
        <f t="shared" si="27"/>
        <v/>
      </c>
    </row>
    <row r="557" spans="1:15" x14ac:dyDescent="0.25">
      <c r="A557" s="1" t="s">
        <v>4384</v>
      </c>
      <c r="B557" s="1" t="s">
        <v>3798</v>
      </c>
      <c r="C557" s="1" t="s">
        <v>3858</v>
      </c>
      <c r="D557" s="1" t="s">
        <v>3781</v>
      </c>
      <c r="E557">
        <v>459680</v>
      </c>
      <c r="F557">
        <v>442515.12</v>
      </c>
      <c r="G557">
        <f t="shared" si="25"/>
        <v>17164.880000000005</v>
      </c>
      <c r="H557">
        <v>17164.88</v>
      </c>
      <c r="I557" s="3">
        <v>44978</v>
      </c>
      <c r="J557" s="1" t="s">
        <v>3790</v>
      </c>
      <c r="K557" s="1" t="s">
        <v>3791</v>
      </c>
      <c r="L557" s="1" t="s">
        <v>3804</v>
      </c>
      <c r="M557" s="1" t="s">
        <v>3809</v>
      </c>
      <c r="N557" t="str">
        <f t="shared" si="26"/>
        <v>Expense</v>
      </c>
      <c r="O557" t="str">
        <f t="shared" si="27"/>
        <v/>
      </c>
    </row>
    <row r="558" spans="1:15" x14ac:dyDescent="0.25">
      <c r="A558" s="1" t="s">
        <v>4385</v>
      </c>
      <c r="B558" s="1" t="s">
        <v>3794</v>
      </c>
      <c r="C558" s="1" t="s">
        <v>3848</v>
      </c>
      <c r="D558" s="1" t="s">
        <v>3846</v>
      </c>
      <c r="E558">
        <v>-300675</v>
      </c>
      <c r="F558">
        <v>324757.98</v>
      </c>
      <c r="G558">
        <f t="shared" si="25"/>
        <v>-625432.98</v>
      </c>
      <c r="H558">
        <v>-24082.98</v>
      </c>
      <c r="I558" s="3">
        <v>45143</v>
      </c>
      <c r="J558" s="1" t="s">
        <v>3790</v>
      </c>
      <c r="K558" s="1" t="s">
        <v>3791</v>
      </c>
      <c r="L558" s="1" t="s">
        <v>3784</v>
      </c>
      <c r="M558" s="1" t="s">
        <v>3831</v>
      </c>
      <c r="N558" t="str">
        <f t="shared" si="26"/>
        <v>Credit/Refund</v>
      </c>
      <c r="O558" t="str">
        <f t="shared" si="27"/>
        <v/>
      </c>
    </row>
    <row r="559" spans="1:15" x14ac:dyDescent="0.25">
      <c r="A559" s="1" t="s">
        <v>4386</v>
      </c>
      <c r="B559" s="1" t="s">
        <v>3798</v>
      </c>
      <c r="C559" s="1" t="s">
        <v>3788</v>
      </c>
      <c r="D559" s="1" t="s">
        <v>3855</v>
      </c>
      <c r="E559">
        <v>465199</v>
      </c>
      <c r="F559">
        <v>577067.32999999996</v>
      </c>
      <c r="G559">
        <f t="shared" si="25"/>
        <v>-111868.32999999996</v>
      </c>
      <c r="H559">
        <v>-111868.33</v>
      </c>
      <c r="I559" s="3">
        <v>45166</v>
      </c>
      <c r="J559" s="1" t="s">
        <v>3790</v>
      </c>
      <c r="K559" s="1" t="s">
        <v>3791</v>
      </c>
      <c r="L559" s="1" t="s">
        <v>3784</v>
      </c>
      <c r="M559" s="1" t="s">
        <v>51</v>
      </c>
      <c r="N559" t="str">
        <f t="shared" si="26"/>
        <v>Expense</v>
      </c>
      <c r="O559" t="str">
        <f t="shared" si="27"/>
        <v/>
      </c>
    </row>
    <row r="560" spans="1:15" x14ac:dyDescent="0.25">
      <c r="A560" s="1" t="s">
        <v>4387</v>
      </c>
      <c r="B560" s="1" t="s">
        <v>3839</v>
      </c>
      <c r="C560" s="1" t="s">
        <v>3844</v>
      </c>
      <c r="D560" s="1" t="s">
        <v>3855</v>
      </c>
      <c r="E560">
        <v>166289</v>
      </c>
      <c r="F560">
        <v>178135.73</v>
      </c>
      <c r="G560">
        <f t="shared" si="25"/>
        <v>-11846.73000000001</v>
      </c>
      <c r="H560">
        <v>-11846.73</v>
      </c>
      <c r="I560" s="3">
        <v>45704</v>
      </c>
      <c r="J560" s="1" t="s">
        <v>3790</v>
      </c>
      <c r="K560" s="1" t="s">
        <v>3783</v>
      </c>
      <c r="L560" s="1" t="s">
        <v>3800</v>
      </c>
      <c r="M560" s="1" t="s">
        <v>3785</v>
      </c>
      <c r="N560" t="str">
        <f t="shared" si="26"/>
        <v>Expense</v>
      </c>
      <c r="O560" t="str">
        <f t="shared" si="27"/>
        <v/>
      </c>
    </row>
    <row r="561" spans="1:15" x14ac:dyDescent="0.25">
      <c r="A561" s="1" t="s">
        <v>4388</v>
      </c>
      <c r="B561" s="1" t="s">
        <v>3798</v>
      </c>
      <c r="C561" s="1" t="s">
        <v>3825</v>
      </c>
      <c r="D561" s="1" t="s">
        <v>3789</v>
      </c>
      <c r="E561">
        <v>246882</v>
      </c>
      <c r="F561">
        <v>237164.36</v>
      </c>
      <c r="G561">
        <f t="shared" si="25"/>
        <v>9717.640000000014</v>
      </c>
      <c r="H561">
        <v>9717.64</v>
      </c>
      <c r="I561" s="3">
        <v>45433</v>
      </c>
      <c r="J561" s="1" t="s">
        <v>3790</v>
      </c>
      <c r="K561" s="1" t="s">
        <v>3783</v>
      </c>
      <c r="L561" s="1" t="s">
        <v>3800</v>
      </c>
      <c r="M561" s="1" t="s">
        <v>51</v>
      </c>
      <c r="N561" t="str">
        <f t="shared" si="26"/>
        <v>Expense</v>
      </c>
      <c r="O561" t="str">
        <f t="shared" si="27"/>
        <v/>
      </c>
    </row>
    <row r="562" spans="1:15" x14ac:dyDescent="0.25">
      <c r="A562" s="1" t="s">
        <v>4389</v>
      </c>
      <c r="B562" s="1" t="s">
        <v>3808</v>
      </c>
      <c r="C562" s="1" t="s">
        <v>3780</v>
      </c>
      <c r="D562" s="1" t="s">
        <v>3789</v>
      </c>
      <c r="E562">
        <v>51577</v>
      </c>
      <c r="F562">
        <v>56897.67</v>
      </c>
      <c r="G562">
        <f t="shared" si="25"/>
        <v>-5320.6699999999983</v>
      </c>
      <c r="H562">
        <v>-5320.67</v>
      </c>
      <c r="I562" s="3">
        <v>45290</v>
      </c>
      <c r="J562" s="1" t="s">
        <v>3859</v>
      </c>
      <c r="K562" s="1" t="s">
        <v>3823</v>
      </c>
      <c r="L562" s="1" t="s">
        <v>3784</v>
      </c>
      <c r="M562" s="1" t="s">
        <v>51</v>
      </c>
      <c r="N562" t="str">
        <f t="shared" si="26"/>
        <v>Expense</v>
      </c>
      <c r="O562" t="str">
        <f t="shared" si="27"/>
        <v/>
      </c>
    </row>
    <row r="563" spans="1:15" x14ac:dyDescent="0.25">
      <c r="A563" s="1" t="s">
        <v>4390</v>
      </c>
      <c r="B563" s="1" t="s">
        <v>3798</v>
      </c>
      <c r="C563" s="1" t="s">
        <v>3848</v>
      </c>
      <c r="D563" s="1" t="s">
        <v>3850</v>
      </c>
      <c r="E563">
        <v>297578</v>
      </c>
      <c r="F563">
        <v>298238.42</v>
      </c>
      <c r="G563">
        <f t="shared" si="25"/>
        <v>-660.4199999999837</v>
      </c>
      <c r="H563">
        <v>-660.42</v>
      </c>
      <c r="I563" s="3">
        <v>44946</v>
      </c>
      <c r="J563" s="1" t="s">
        <v>3790</v>
      </c>
      <c r="K563" s="1" t="s">
        <v>3791</v>
      </c>
      <c r="L563" s="1" t="s">
        <v>3804</v>
      </c>
      <c r="M563" s="1" t="s">
        <v>51</v>
      </c>
      <c r="N563" t="str">
        <f t="shared" si="26"/>
        <v>Expense</v>
      </c>
      <c r="O563" t="str">
        <f t="shared" si="27"/>
        <v/>
      </c>
    </row>
    <row r="564" spans="1:15" x14ac:dyDescent="0.25">
      <c r="A564" s="1" t="s">
        <v>4391</v>
      </c>
      <c r="B564" s="1" t="s">
        <v>3811</v>
      </c>
      <c r="C564" s="1" t="s">
        <v>3795</v>
      </c>
      <c r="D564" s="1" t="s">
        <v>3895</v>
      </c>
      <c r="E564">
        <v>95596</v>
      </c>
      <c r="F564">
        <v>78741.84</v>
      </c>
      <c r="G564">
        <f t="shared" si="25"/>
        <v>16854.160000000003</v>
      </c>
      <c r="H564">
        <v>16854.16</v>
      </c>
      <c r="I564" s="3">
        <v>45085</v>
      </c>
      <c r="J564" s="1" t="s">
        <v>3790</v>
      </c>
      <c r="K564" s="1" t="s">
        <v>3823</v>
      </c>
      <c r="L564" s="1" t="s">
        <v>3784</v>
      </c>
      <c r="M564" s="1" t="s">
        <v>51</v>
      </c>
      <c r="N564" t="str">
        <f t="shared" si="26"/>
        <v>Expense</v>
      </c>
      <c r="O564" t="str">
        <f t="shared" si="27"/>
        <v/>
      </c>
    </row>
    <row r="565" spans="1:15" x14ac:dyDescent="0.25">
      <c r="A565" s="1" t="s">
        <v>4392</v>
      </c>
      <c r="B565" s="1" t="s">
        <v>3794</v>
      </c>
      <c r="C565" s="1" t="s">
        <v>3861</v>
      </c>
      <c r="D565" s="1" t="s">
        <v>3837</v>
      </c>
      <c r="E565">
        <v>56472</v>
      </c>
      <c r="F565">
        <v>62808.17</v>
      </c>
      <c r="G565">
        <f t="shared" si="25"/>
        <v>-6336.1699999999983</v>
      </c>
      <c r="H565">
        <v>-6336.17</v>
      </c>
      <c r="I565" s="3">
        <v>45190</v>
      </c>
      <c r="J565" s="1" t="s">
        <v>3790</v>
      </c>
      <c r="K565" s="1" t="s">
        <v>3783</v>
      </c>
      <c r="L565" s="1" t="s">
        <v>3784</v>
      </c>
      <c r="M565" s="1" t="s">
        <v>51</v>
      </c>
      <c r="N565" t="str">
        <f t="shared" si="26"/>
        <v>Expense</v>
      </c>
      <c r="O565" t="str">
        <f t="shared" si="27"/>
        <v/>
      </c>
    </row>
    <row r="566" spans="1:15" x14ac:dyDescent="0.25">
      <c r="A566" s="1" t="s">
        <v>4393</v>
      </c>
      <c r="B566" s="1" t="s">
        <v>3798</v>
      </c>
      <c r="C566" s="1" t="s">
        <v>3812</v>
      </c>
      <c r="D566" s="1" t="s">
        <v>3837</v>
      </c>
      <c r="E566">
        <v>473688</v>
      </c>
      <c r="F566">
        <v>570098.88</v>
      </c>
      <c r="G566">
        <f t="shared" si="25"/>
        <v>-96410.880000000005</v>
      </c>
      <c r="H566">
        <v>-96410.880000000005</v>
      </c>
      <c r="I566" s="3">
        <v>45456</v>
      </c>
      <c r="J566" s="1" t="s">
        <v>3782</v>
      </c>
      <c r="K566" s="1" t="s">
        <v>3791</v>
      </c>
      <c r="L566" s="1" t="s">
        <v>3800</v>
      </c>
      <c r="M566" s="1" t="s">
        <v>3831</v>
      </c>
      <c r="N566" t="str">
        <f t="shared" si="26"/>
        <v>Expense</v>
      </c>
      <c r="O566" t="str">
        <f t="shared" si="27"/>
        <v>Flag: High-Value Pending</v>
      </c>
    </row>
    <row r="567" spans="1:15" x14ac:dyDescent="0.25">
      <c r="A567" s="1" t="s">
        <v>4394</v>
      </c>
      <c r="B567" s="1" t="s">
        <v>3808</v>
      </c>
      <c r="C567" s="1" t="s">
        <v>3821</v>
      </c>
      <c r="D567" s="1" t="s">
        <v>3850</v>
      </c>
      <c r="E567">
        <v>143902</v>
      </c>
      <c r="F567">
        <v>164879.64000000001</v>
      </c>
      <c r="G567">
        <f t="shared" si="25"/>
        <v>-20977.640000000014</v>
      </c>
      <c r="H567">
        <v>-20977.64</v>
      </c>
      <c r="I567" s="3">
        <v>45262</v>
      </c>
      <c r="J567" s="1" t="s">
        <v>3790</v>
      </c>
      <c r="K567" s="1" t="s">
        <v>3803</v>
      </c>
      <c r="L567" s="1" t="s">
        <v>3784</v>
      </c>
      <c r="M567" s="1" t="s">
        <v>3817</v>
      </c>
      <c r="N567" t="str">
        <f t="shared" si="26"/>
        <v>Expense</v>
      </c>
      <c r="O567" t="str">
        <f t="shared" si="27"/>
        <v/>
      </c>
    </row>
    <row r="568" spans="1:15" x14ac:dyDescent="0.25">
      <c r="A568" s="1" t="s">
        <v>4395</v>
      </c>
      <c r="B568" s="1" t="s">
        <v>3828</v>
      </c>
      <c r="C568" s="1" t="s">
        <v>3858</v>
      </c>
      <c r="D568" s="1" t="s">
        <v>3802</v>
      </c>
      <c r="E568">
        <v>345077</v>
      </c>
      <c r="F568">
        <v>406184.97</v>
      </c>
      <c r="G568">
        <f t="shared" si="25"/>
        <v>-61107.969999999972</v>
      </c>
      <c r="H568">
        <v>-61107.97</v>
      </c>
      <c r="I568" s="3">
        <v>45612</v>
      </c>
      <c r="J568" s="1" t="s">
        <v>3790</v>
      </c>
      <c r="K568" s="1" t="s">
        <v>3803</v>
      </c>
      <c r="L568" s="1" t="s">
        <v>3800</v>
      </c>
      <c r="M568" s="1" t="s">
        <v>51</v>
      </c>
      <c r="N568" t="str">
        <f t="shared" si="26"/>
        <v>Expense</v>
      </c>
      <c r="O568" t="str">
        <f t="shared" si="27"/>
        <v/>
      </c>
    </row>
    <row r="569" spans="1:15" x14ac:dyDescent="0.25">
      <c r="A569" s="1" t="s">
        <v>4396</v>
      </c>
      <c r="B569" s="1" t="s">
        <v>3828</v>
      </c>
      <c r="C569" s="1" t="s">
        <v>3780</v>
      </c>
      <c r="D569" s="1" t="s">
        <v>3895</v>
      </c>
      <c r="E569">
        <v>494859</v>
      </c>
      <c r="F569">
        <v>567526.82999999996</v>
      </c>
      <c r="G569">
        <f t="shared" si="25"/>
        <v>-72667.829999999958</v>
      </c>
      <c r="I569" s="3">
        <v>45648</v>
      </c>
      <c r="J569" s="1" t="s">
        <v>3790</v>
      </c>
      <c r="K569" s="1" t="s">
        <v>3823</v>
      </c>
      <c r="L569" s="1" t="s">
        <v>3800</v>
      </c>
      <c r="M569" s="1" t="s">
        <v>51</v>
      </c>
      <c r="N569" t="str">
        <f t="shared" si="26"/>
        <v>Expense</v>
      </c>
      <c r="O569" t="str">
        <f t="shared" si="27"/>
        <v/>
      </c>
    </row>
    <row r="570" spans="1:15" x14ac:dyDescent="0.25">
      <c r="A570" s="1" t="s">
        <v>4397</v>
      </c>
      <c r="B570" s="1" t="s">
        <v>3798</v>
      </c>
      <c r="C570" s="1" t="s">
        <v>3806</v>
      </c>
      <c r="D570" s="1" t="s">
        <v>3796</v>
      </c>
      <c r="E570">
        <v>443452</v>
      </c>
      <c r="F570">
        <v>575687.89</v>
      </c>
      <c r="G570">
        <f t="shared" si="25"/>
        <v>-132235.89000000001</v>
      </c>
      <c r="H570">
        <v>-132235.89000000001</v>
      </c>
      <c r="I570" s="3">
        <v>45604</v>
      </c>
      <c r="J570" s="1" t="s">
        <v>3790</v>
      </c>
      <c r="K570" s="1" t="s">
        <v>3823</v>
      </c>
      <c r="L570" s="1" t="s">
        <v>3800</v>
      </c>
      <c r="M570" s="1" t="s">
        <v>51</v>
      </c>
      <c r="N570" t="str">
        <f t="shared" si="26"/>
        <v>Expense</v>
      </c>
      <c r="O570" t="str">
        <f t="shared" si="27"/>
        <v/>
      </c>
    </row>
    <row r="571" spans="1:15" x14ac:dyDescent="0.25">
      <c r="A571" s="1" t="s">
        <v>4398</v>
      </c>
      <c r="B571" s="1" t="s">
        <v>4877</v>
      </c>
      <c r="C571" s="1" t="s">
        <v>3861</v>
      </c>
      <c r="D571" s="1" t="s">
        <v>3850</v>
      </c>
      <c r="E571">
        <v>40368</v>
      </c>
      <c r="F571">
        <v>44470.92</v>
      </c>
      <c r="G571">
        <f t="shared" si="25"/>
        <v>-4102.9199999999983</v>
      </c>
      <c r="H571">
        <v>-4102.92</v>
      </c>
      <c r="I571" s="3">
        <v>44943</v>
      </c>
      <c r="J571" s="1" t="s">
        <v>3790</v>
      </c>
      <c r="K571" s="1" t="s">
        <v>3783</v>
      </c>
      <c r="L571" s="1" t="s">
        <v>3804</v>
      </c>
      <c r="M571" s="1" t="s">
        <v>51</v>
      </c>
      <c r="N571" t="str">
        <f t="shared" si="26"/>
        <v>Expense</v>
      </c>
      <c r="O571" t="str">
        <f t="shared" si="27"/>
        <v/>
      </c>
    </row>
    <row r="572" spans="1:15" x14ac:dyDescent="0.25">
      <c r="A572" s="1" t="s">
        <v>4399</v>
      </c>
      <c r="B572" s="1" t="s">
        <v>3839</v>
      </c>
      <c r="C572" s="1" t="s">
        <v>3806</v>
      </c>
      <c r="D572" s="1" t="s">
        <v>3867</v>
      </c>
      <c r="E572">
        <v>471872</v>
      </c>
      <c r="F572">
        <v>566563.03</v>
      </c>
      <c r="G572">
        <f t="shared" si="25"/>
        <v>-94691.030000000028</v>
      </c>
      <c r="H572">
        <v>-94691.03</v>
      </c>
      <c r="I572" s="3">
        <v>45312</v>
      </c>
      <c r="J572" s="1" t="s">
        <v>3790</v>
      </c>
      <c r="K572" s="1" t="s">
        <v>3783</v>
      </c>
      <c r="L572" s="1" t="s">
        <v>3784</v>
      </c>
      <c r="M572" s="1" t="s">
        <v>51</v>
      </c>
      <c r="N572" t="str">
        <f t="shared" si="26"/>
        <v>Expense</v>
      </c>
      <c r="O572" t="str">
        <f t="shared" si="27"/>
        <v/>
      </c>
    </row>
    <row r="573" spans="1:15" x14ac:dyDescent="0.25">
      <c r="A573" s="1" t="s">
        <v>4400</v>
      </c>
      <c r="B573" s="1" t="s">
        <v>3839</v>
      </c>
      <c r="C573" s="1" t="s">
        <v>3848</v>
      </c>
      <c r="D573" s="1" t="s">
        <v>3846</v>
      </c>
      <c r="E573">
        <v>99051</v>
      </c>
      <c r="F573">
        <v>91537.26</v>
      </c>
      <c r="G573">
        <f t="shared" si="25"/>
        <v>7513.7400000000052</v>
      </c>
      <c r="H573">
        <v>7513.74</v>
      </c>
      <c r="I573" s="3">
        <v>45525</v>
      </c>
      <c r="J573" s="1" t="s">
        <v>3790</v>
      </c>
      <c r="K573" s="1" t="s">
        <v>3823</v>
      </c>
      <c r="L573" s="1" t="s">
        <v>3800</v>
      </c>
      <c r="M573" s="1" t="s">
        <v>3785</v>
      </c>
      <c r="N573" t="str">
        <f t="shared" si="26"/>
        <v>Expense</v>
      </c>
      <c r="O573" t="str">
        <f t="shared" si="27"/>
        <v/>
      </c>
    </row>
    <row r="574" spans="1:15" x14ac:dyDescent="0.25">
      <c r="A574" s="1" t="s">
        <v>4401</v>
      </c>
      <c r="B574" s="1" t="s">
        <v>3811</v>
      </c>
      <c r="C574" s="1" t="s">
        <v>3861</v>
      </c>
      <c r="D574" s="1" t="s">
        <v>3816</v>
      </c>
      <c r="E574">
        <v>308813</v>
      </c>
      <c r="F574">
        <v>393590.64</v>
      </c>
      <c r="G574">
        <f t="shared" si="25"/>
        <v>-84777.640000000014</v>
      </c>
      <c r="H574">
        <v>-84777.64</v>
      </c>
      <c r="I574" s="3">
        <v>44969</v>
      </c>
      <c r="J574" s="1" t="s">
        <v>3790</v>
      </c>
      <c r="K574" s="1" t="s">
        <v>3823</v>
      </c>
      <c r="L574" s="1" t="s">
        <v>3804</v>
      </c>
      <c r="M574" s="1" t="s">
        <v>51</v>
      </c>
      <c r="N574" t="str">
        <f t="shared" si="26"/>
        <v>Expense</v>
      </c>
      <c r="O574" t="str">
        <f t="shared" si="27"/>
        <v/>
      </c>
    </row>
    <row r="575" spans="1:15" x14ac:dyDescent="0.25">
      <c r="A575" s="1" t="s">
        <v>4402</v>
      </c>
      <c r="B575" s="1" t="s">
        <v>3808</v>
      </c>
      <c r="C575" s="1" t="s">
        <v>3788</v>
      </c>
      <c r="D575" s="1" t="s">
        <v>3802</v>
      </c>
      <c r="E575">
        <v>279525</v>
      </c>
      <c r="G575" t="str">
        <f t="shared" si="25"/>
        <v/>
      </c>
      <c r="H575">
        <v>-62165.66</v>
      </c>
      <c r="I575" s="3">
        <v>45306</v>
      </c>
      <c r="J575" s="1" t="s">
        <v>3790</v>
      </c>
      <c r="K575" s="1" t="s">
        <v>3791</v>
      </c>
      <c r="L575" s="1" t="s">
        <v>3784</v>
      </c>
      <c r="M575" s="1" t="s">
        <v>51</v>
      </c>
      <c r="N575" t="str">
        <f t="shared" si="26"/>
        <v>Expense</v>
      </c>
      <c r="O575" t="str">
        <f t="shared" si="27"/>
        <v/>
      </c>
    </row>
    <row r="576" spans="1:15" x14ac:dyDescent="0.25">
      <c r="A576" s="1" t="s">
        <v>4403</v>
      </c>
      <c r="B576" s="1" t="s">
        <v>3798</v>
      </c>
      <c r="C576" s="1" t="s">
        <v>3821</v>
      </c>
      <c r="D576" s="1" t="s">
        <v>3796</v>
      </c>
      <c r="E576">
        <v>176344</v>
      </c>
      <c r="F576">
        <v>147089.59</v>
      </c>
      <c r="G576">
        <f t="shared" si="25"/>
        <v>29254.410000000003</v>
      </c>
      <c r="H576">
        <v>29254.41</v>
      </c>
      <c r="I576" s="3">
        <v>45009</v>
      </c>
      <c r="J576" s="1" t="s">
        <v>3782</v>
      </c>
      <c r="K576" s="1" t="s">
        <v>3783</v>
      </c>
      <c r="L576" s="1" t="s">
        <v>3804</v>
      </c>
      <c r="M576" s="1" t="s">
        <v>51</v>
      </c>
      <c r="N576" t="str">
        <f t="shared" si="26"/>
        <v>Expense</v>
      </c>
      <c r="O576" t="str">
        <f t="shared" si="27"/>
        <v/>
      </c>
    </row>
    <row r="577" spans="1:15" x14ac:dyDescent="0.25">
      <c r="A577" s="1" t="s">
        <v>4404</v>
      </c>
      <c r="B577" s="1" t="s">
        <v>3794</v>
      </c>
      <c r="C577" s="1" t="s">
        <v>3858</v>
      </c>
      <c r="D577" s="1" t="s">
        <v>3867</v>
      </c>
      <c r="E577">
        <v>202059</v>
      </c>
      <c r="F577">
        <v>214400.08</v>
      </c>
      <c r="G577">
        <f t="shared" si="25"/>
        <v>-12341.079999999987</v>
      </c>
      <c r="H577">
        <v>-12341.08</v>
      </c>
      <c r="I577" s="3">
        <v>45606</v>
      </c>
      <c r="J577" s="1" t="s">
        <v>3790</v>
      </c>
      <c r="K577" s="1" t="s">
        <v>3791</v>
      </c>
      <c r="L577" s="1" t="s">
        <v>3800</v>
      </c>
      <c r="M577" s="1" t="s">
        <v>3792</v>
      </c>
      <c r="N577" t="str">
        <f t="shared" si="26"/>
        <v>Expense</v>
      </c>
      <c r="O577" t="str">
        <f t="shared" si="27"/>
        <v/>
      </c>
    </row>
    <row r="578" spans="1:15" x14ac:dyDescent="0.25">
      <c r="A578" s="1" t="s">
        <v>4405</v>
      </c>
      <c r="B578" s="1" t="s">
        <v>3828</v>
      </c>
      <c r="C578" s="1" t="s">
        <v>3780</v>
      </c>
      <c r="D578" s="1" t="s">
        <v>3799</v>
      </c>
      <c r="E578">
        <v>204347</v>
      </c>
      <c r="F578">
        <v>265256.24</v>
      </c>
      <c r="G578">
        <f t="shared" ref="G578:G641" si="28">IF(F578="","",E578-F578)</f>
        <v>-60909.239999999991</v>
      </c>
      <c r="H578">
        <v>-60909.24</v>
      </c>
      <c r="I578" s="3">
        <v>45041</v>
      </c>
      <c r="J578" s="1" t="s">
        <v>3790</v>
      </c>
      <c r="K578" s="1" t="s">
        <v>3823</v>
      </c>
      <c r="L578" s="1" t="s">
        <v>3784</v>
      </c>
      <c r="M578" s="1" t="s">
        <v>51</v>
      </c>
      <c r="N578" t="str">
        <f t="shared" si="26"/>
        <v>Expense</v>
      </c>
      <c r="O578" t="str">
        <f t="shared" si="27"/>
        <v/>
      </c>
    </row>
    <row r="579" spans="1:15" x14ac:dyDescent="0.25">
      <c r="A579" s="1" t="s">
        <v>4406</v>
      </c>
      <c r="B579" s="1" t="s">
        <v>3839</v>
      </c>
      <c r="C579" s="1" t="s">
        <v>3812</v>
      </c>
      <c r="D579" s="1" t="s">
        <v>3789</v>
      </c>
      <c r="E579">
        <v>371913</v>
      </c>
      <c r="F579">
        <v>475768.76</v>
      </c>
      <c r="G579">
        <f t="shared" si="28"/>
        <v>-103855.76000000001</v>
      </c>
      <c r="H579">
        <v>-103855.76</v>
      </c>
      <c r="I579" s="3">
        <v>45296</v>
      </c>
      <c r="J579" s="1" t="s">
        <v>3859</v>
      </c>
      <c r="K579" s="1" t="s">
        <v>3803</v>
      </c>
      <c r="L579" s="1" t="s">
        <v>3784</v>
      </c>
      <c r="M579" s="1" t="s">
        <v>3792</v>
      </c>
      <c r="N579" t="str">
        <f t="shared" ref="N579:N642" si="29">IF(E579&lt;0,"Credit/Refund","Expense")</f>
        <v>Expense</v>
      </c>
      <c r="O579" t="str">
        <f t="shared" ref="O579:O642" si="30">IF(AND(OR(J579="Pending",J579="Rejected"),E579&gt;200000),"Flag: High-Value "&amp;J579,"")</f>
        <v>Flag: High-Value Rejected</v>
      </c>
    </row>
    <row r="580" spans="1:15" x14ac:dyDescent="0.25">
      <c r="A580" s="1" t="s">
        <v>4407</v>
      </c>
      <c r="B580" s="1" t="s">
        <v>3811</v>
      </c>
      <c r="C580" s="1" t="s">
        <v>3812</v>
      </c>
      <c r="D580" s="1" t="s">
        <v>3837</v>
      </c>
      <c r="E580">
        <v>-108504</v>
      </c>
      <c r="F580">
        <v>96552.71</v>
      </c>
      <c r="G580">
        <f t="shared" si="28"/>
        <v>-205056.71000000002</v>
      </c>
      <c r="H580">
        <v>11951.29</v>
      </c>
      <c r="I580" s="3">
        <v>44956</v>
      </c>
      <c r="J580" s="1" t="s">
        <v>3790</v>
      </c>
      <c r="K580" s="1" t="s">
        <v>3791</v>
      </c>
      <c r="L580" s="1" t="s">
        <v>3804</v>
      </c>
      <c r="M580" s="1" t="s">
        <v>3817</v>
      </c>
      <c r="N580" t="str">
        <f t="shared" si="29"/>
        <v>Credit/Refund</v>
      </c>
      <c r="O580" t="str">
        <f t="shared" si="30"/>
        <v/>
      </c>
    </row>
    <row r="581" spans="1:15" x14ac:dyDescent="0.25">
      <c r="A581" s="1" t="s">
        <v>4408</v>
      </c>
      <c r="B581" s="1" t="s">
        <v>3794</v>
      </c>
      <c r="C581" s="1" t="s">
        <v>3861</v>
      </c>
      <c r="D581" s="1" t="s">
        <v>3816</v>
      </c>
      <c r="E581">
        <v>151657</v>
      </c>
      <c r="F581">
        <v>124726.85</v>
      </c>
      <c r="G581">
        <f t="shared" si="28"/>
        <v>26930.149999999994</v>
      </c>
      <c r="H581">
        <v>26930.15</v>
      </c>
      <c r="I581" s="3">
        <v>45721</v>
      </c>
      <c r="J581" s="1" t="s">
        <v>3790</v>
      </c>
      <c r="K581" s="1" t="s">
        <v>3803</v>
      </c>
      <c r="L581" s="1" t="s">
        <v>3800</v>
      </c>
      <c r="M581" s="1" t="s">
        <v>3792</v>
      </c>
      <c r="N581" t="str">
        <f t="shared" si="29"/>
        <v>Expense</v>
      </c>
      <c r="O581" t="str">
        <f t="shared" si="30"/>
        <v/>
      </c>
    </row>
    <row r="582" spans="1:15" x14ac:dyDescent="0.25">
      <c r="A582" s="1" t="s">
        <v>4409</v>
      </c>
      <c r="B582" s="1" t="s">
        <v>3828</v>
      </c>
      <c r="C582" s="1" t="s">
        <v>3821</v>
      </c>
      <c r="D582" s="1" t="s">
        <v>3867</v>
      </c>
      <c r="E582">
        <v>340393</v>
      </c>
      <c r="F582">
        <v>291407.78000000003</v>
      </c>
      <c r="G582">
        <f t="shared" si="28"/>
        <v>48985.219999999972</v>
      </c>
      <c r="H582">
        <v>48985.22</v>
      </c>
      <c r="I582" s="3">
        <v>44984</v>
      </c>
      <c r="J582" s="1" t="s">
        <v>3790</v>
      </c>
      <c r="K582" s="1" t="s">
        <v>3823</v>
      </c>
      <c r="L582" s="1" t="s">
        <v>3804</v>
      </c>
      <c r="M582" s="1" t="s">
        <v>51</v>
      </c>
      <c r="N582" t="str">
        <f t="shared" si="29"/>
        <v>Expense</v>
      </c>
      <c r="O582" t="str">
        <f t="shared" si="30"/>
        <v/>
      </c>
    </row>
    <row r="583" spans="1:15" x14ac:dyDescent="0.25">
      <c r="A583" s="1" t="s">
        <v>4410</v>
      </c>
      <c r="B583" s="1" t="s">
        <v>3794</v>
      </c>
      <c r="C583" s="1" t="s">
        <v>3795</v>
      </c>
      <c r="D583" s="1" t="s">
        <v>3813</v>
      </c>
      <c r="E583">
        <v>200091</v>
      </c>
      <c r="F583">
        <v>186754.24</v>
      </c>
      <c r="G583">
        <f t="shared" si="28"/>
        <v>13336.760000000009</v>
      </c>
      <c r="H583">
        <v>13336.76</v>
      </c>
      <c r="I583" s="3">
        <v>45712</v>
      </c>
      <c r="J583" s="1" t="s">
        <v>3790</v>
      </c>
      <c r="K583" s="1" t="s">
        <v>3791</v>
      </c>
      <c r="L583" s="1" t="s">
        <v>3800</v>
      </c>
      <c r="M583" s="1" t="s">
        <v>3831</v>
      </c>
      <c r="N583" t="str">
        <f t="shared" si="29"/>
        <v>Expense</v>
      </c>
      <c r="O583" t="str">
        <f t="shared" si="30"/>
        <v/>
      </c>
    </row>
    <row r="584" spans="1:15" x14ac:dyDescent="0.25">
      <c r="A584" s="1" t="s">
        <v>4411</v>
      </c>
      <c r="B584" s="1" t="s">
        <v>4877</v>
      </c>
      <c r="C584" s="1" t="s">
        <v>3812</v>
      </c>
      <c r="D584" s="1" t="s">
        <v>3855</v>
      </c>
      <c r="E584">
        <v>358325</v>
      </c>
      <c r="F584">
        <v>461258.94</v>
      </c>
      <c r="G584">
        <f t="shared" si="28"/>
        <v>-102933.94</v>
      </c>
      <c r="I584" s="3">
        <v>44959</v>
      </c>
      <c r="J584" s="1" t="s">
        <v>3790</v>
      </c>
      <c r="K584" s="1" t="s">
        <v>3791</v>
      </c>
      <c r="L584" s="1" t="s">
        <v>3804</v>
      </c>
      <c r="M584" s="1" t="s">
        <v>51</v>
      </c>
      <c r="N584" t="str">
        <f t="shared" si="29"/>
        <v>Expense</v>
      </c>
      <c r="O584" t="str">
        <f t="shared" si="30"/>
        <v/>
      </c>
    </row>
    <row r="585" spans="1:15" x14ac:dyDescent="0.25">
      <c r="A585" s="1" t="s">
        <v>4412</v>
      </c>
      <c r="B585" s="1" t="s">
        <v>3787</v>
      </c>
      <c r="C585" s="1" t="s">
        <v>3780</v>
      </c>
      <c r="D585" s="1" t="s">
        <v>3816</v>
      </c>
      <c r="E585">
        <v>-35128</v>
      </c>
      <c r="F585">
        <v>29966.82</v>
      </c>
      <c r="G585">
        <f t="shared" si="28"/>
        <v>-65094.82</v>
      </c>
      <c r="I585" s="3">
        <v>45150</v>
      </c>
      <c r="J585" s="1" t="s">
        <v>3782</v>
      </c>
      <c r="K585" s="1" t="s">
        <v>3803</v>
      </c>
      <c r="L585" s="1" t="s">
        <v>3784</v>
      </c>
      <c r="M585" s="1" t="s">
        <v>3785</v>
      </c>
      <c r="N585" t="str">
        <f t="shared" si="29"/>
        <v>Credit/Refund</v>
      </c>
      <c r="O585" t="str">
        <f t="shared" si="30"/>
        <v/>
      </c>
    </row>
    <row r="586" spans="1:15" x14ac:dyDescent="0.25">
      <c r="A586" s="1" t="s">
        <v>4413</v>
      </c>
      <c r="B586" s="1" t="s">
        <v>3798</v>
      </c>
      <c r="C586" s="1" t="s">
        <v>3806</v>
      </c>
      <c r="D586" s="1" t="s">
        <v>3813</v>
      </c>
      <c r="E586">
        <v>4358293</v>
      </c>
      <c r="F586">
        <v>5166695</v>
      </c>
      <c r="G586">
        <f t="shared" si="28"/>
        <v>-808402</v>
      </c>
      <c r="H586">
        <v>-808402</v>
      </c>
      <c r="I586" s="3">
        <v>45313</v>
      </c>
      <c r="J586" s="1" t="s">
        <v>3790</v>
      </c>
      <c r="K586" s="1" t="s">
        <v>3803</v>
      </c>
      <c r="L586" s="1" t="s">
        <v>3784</v>
      </c>
      <c r="M586" s="1" t="s">
        <v>3785</v>
      </c>
      <c r="N586" t="str">
        <f t="shared" si="29"/>
        <v>Expense</v>
      </c>
      <c r="O586" t="str">
        <f t="shared" si="30"/>
        <v/>
      </c>
    </row>
    <row r="587" spans="1:15" x14ac:dyDescent="0.25">
      <c r="A587" s="1" t="s">
        <v>4414</v>
      </c>
      <c r="B587" s="1" t="s">
        <v>3798</v>
      </c>
      <c r="C587" s="1" t="s">
        <v>3806</v>
      </c>
      <c r="D587" s="1" t="s">
        <v>3834</v>
      </c>
      <c r="E587">
        <v>132876</v>
      </c>
      <c r="F587">
        <v>147462.63</v>
      </c>
      <c r="G587">
        <f t="shared" si="28"/>
        <v>-14586.630000000005</v>
      </c>
      <c r="H587">
        <v>-14586.63</v>
      </c>
      <c r="I587" s="3">
        <v>45395</v>
      </c>
      <c r="J587" s="1" t="s">
        <v>3790</v>
      </c>
      <c r="K587" s="1" t="s">
        <v>3803</v>
      </c>
      <c r="L587" s="1" t="s">
        <v>3800</v>
      </c>
      <c r="M587" s="1" t="s">
        <v>51</v>
      </c>
      <c r="N587" t="str">
        <f t="shared" si="29"/>
        <v>Expense</v>
      </c>
      <c r="O587" t="str">
        <f t="shared" si="30"/>
        <v/>
      </c>
    </row>
    <row r="588" spans="1:15" x14ac:dyDescent="0.25">
      <c r="A588" s="1" t="s">
        <v>4415</v>
      </c>
      <c r="B588" s="1" t="s">
        <v>3808</v>
      </c>
      <c r="C588" s="1" t="s">
        <v>3812</v>
      </c>
      <c r="D588" s="1" t="s">
        <v>3822</v>
      </c>
      <c r="E588">
        <v>54614</v>
      </c>
      <c r="F588">
        <v>70308.759999999995</v>
      </c>
      <c r="G588">
        <f t="shared" si="28"/>
        <v>-15694.759999999995</v>
      </c>
      <c r="H588">
        <v>-15694.76</v>
      </c>
      <c r="I588" s="3">
        <v>45294</v>
      </c>
      <c r="J588" s="1" t="s">
        <v>3790</v>
      </c>
      <c r="K588" s="1" t="s">
        <v>3783</v>
      </c>
      <c r="L588" s="1" t="s">
        <v>3784</v>
      </c>
      <c r="M588" s="1" t="s">
        <v>3809</v>
      </c>
      <c r="N588" t="str">
        <f t="shared" si="29"/>
        <v>Expense</v>
      </c>
      <c r="O588" t="str">
        <f t="shared" si="30"/>
        <v/>
      </c>
    </row>
    <row r="589" spans="1:15" x14ac:dyDescent="0.25">
      <c r="A589" s="1" t="s">
        <v>4416</v>
      </c>
      <c r="B589" s="1" t="s">
        <v>3811</v>
      </c>
      <c r="C589" s="1" t="s">
        <v>3806</v>
      </c>
      <c r="D589" s="1" t="s">
        <v>3799</v>
      </c>
      <c r="E589">
        <v>414463</v>
      </c>
      <c r="G589" t="str">
        <f t="shared" si="28"/>
        <v/>
      </c>
      <c r="H589">
        <v>54184.76</v>
      </c>
      <c r="I589" s="3">
        <v>45288</v>
      </c>
      <c r="J589" s="1" t="s">
        <v>3790</v>
      </c>
      <c r="K589" s="1" t="s">
        <v>3783</v>
      </c>
      <c r="L589" s="1" t="s">
        <v>3784</v>
      </c>
      <c r="M589" s="1" t="s">
        <v>3817</v>
      </c>
      <c r="N589" t="str">
        <f t="shared" si="29"/>
        <v>Expense</v>
      </c>
      <c r="O589" t="str">
        <f t="shared" si="30"/>
        <v/>
      </c>
    </row>
    <row r="590" spans="1:15" x14ac:dyDescent="0.25">
      <c r="A590" s="1" t="s">
        <v>4417</v>
      </c>
      <c r="B590" s="1" t="s">
        <v>3839</v>
      </c>
      <c r="C590" s="1" t="s">
        <v>3806</v>
      </c>
      <c r="D590" s="1" t="s">
        <v>3802</v>
      </c>
      <c r="E590">
        <v>443121</v>
      </c>
      <c r="F590">
        <v>551963.4</v>
      </c>
      <c r="G590">
        <f t="shared" si="28"/>
        <v>-108842.40000000002</v>
      </c>
      <c r="H590">
        <v>-108842.4</v>
      </c>
      <c r="I590" s="3">
        <v>45618</v>
      </c>
      <c r="J590" s="1" t="s">
        <v>3782</v>
      </c>
      <c r="K590" s="1" t="s">
        <v>3783</v>
      </c>
      <c r="L590" s="1" t="s">
        <v>3800</v>
      </c>
      <c r="M590" s="1" t="s">
        <v>3792</v>
      </c>
      <c r="N590" t="str">
        <f t="shared" si="29"/>
        <v>Expense</v>
      </c>
      <c r="O590" t="str">
        <f t="shared" si="30"/>
        <v>Flag: High-Value Pending</v>
      </c>
    </row>
    <row r="591" spans="1:15" x14ac:dyDescent="0.25">
      <c r="A591" s="1" t="s">
        <v>4418</v>
      </c>
      <c r="B591" s="1" t="s">
        <v>3839</v>
      </c>
      <c r="C591" s="1" t="s">
        <v>3780</v>
      </c>
      <c r="D591" s="1" t="s">
        <v>3802</v>
      </c>
      <c r="E591">
        <v>234541</v>
      </c>
      <c r="F591">
        <v>225716.25</v>
      </c>
      <c r="G591">
        <f t="shared" si="28"/>
        <v>8824.75</v>
      </c>
      <c r="H591">
        <v>8824.75</v>
      </c>
      <c r="I591" s="3">
        <v>45622</v>
      </c>
      <c r="J591" s="1" t="s">
        <v>3790</v>
      </c>
      <c r="K591" s="1" t="s">
        <v>3783</v>
      </c>
      <c r="L591" s="1" t="s">
        <v>3800</v>
      </c>
      <c r="M591" s="1" t="s">
        <v>3817</v>
      </c>
      <c r="N591" t="str">
        <f t="shared" si="29"/>
        <v>Expense</v>
      </c>
      <c r="O591" t="str">
        <f t="shared" si="30"/>
        <v/>
      </c>
    </row>
    <row r="592" spans="1:15" x14ac:dyDescent="0.25">
      <c r="A592" s="1" t="s">
        <v>4419</v>
      </c>
      <c r="B592" s="1" t="s">
        <v>3798</v>
      </c>
      <c r="C592" s="1" t="s">
        <v>4878</v>
      </c>
      <c r="D592" s="1" t="s">
        <v>3867</v>
      </c>
      <c r="E592">
        <v>-240438</v>
      </c>
      <c r="F592">
        <v>254793.43</v>
      </c>
      <c r="G592">
        <f t="shared" si="28"/>
        <v>-495231.43</v>
      </c>
      <c r="H592">
        <v>-14355.43</v>
      </c>
      <c r="I592" s="3">
        <v>45532</v>
      </c>
      <c r="J592" s="1" t="s">
        <v>3782</v>
      </c>
      <c r="K592" s="1" t="s">
        <v>3823</v>
      </c>
      <c r="L592" s="1" t="s">
        <v>3800</v>
      </c>
      <c r="M592" s="1" t="s">
        <v>51</v>
      </c>
      <c r="N592" t="str">
        <f t="shared" si="29"/>
        <v>Credit/Refund</v>
      </c>
      <c r="O592" t="str">
        <f t="shared" si="30"/>
        <v/>
      </c>
    </row>
    <row r="593" spans="1:15" x14ac:dyDescent="0.25">
      <c r="A593" s="1" t="s">
        <v>4420</v>
      </c>
      <c r="B593" s="1" t="s">
        <v>3798</v>
      </c>
      <c r="C593" s="1" t="s">
        <v>3844</v>
      </c>
      <c r="D593" s="1" t="s">
        <v>3895</v>
      </c>
      <c r="E593">
        <v>93904</v>
      </c>
      <c r="F593">
        <v>111592.85</v>
      </c>
      <c r="G593">
        <f t="shared" si="28"/>
        <v>-17688.850000000006</v>
      </c>
      <c r="H593">
        <v>-17688.849999999999</v>
      </c>
      <c r="I593" s="3">
        <v>45418</v>
      </c>
      <c r="J593" s="1" t="s">
        <v>3790</v>
      </c>
      <c r="K593" s="1" t="s">
        <v>3803</v>
      </c>
      <c r="L593" s="1" t="s">
        <v>3800</v>
      </c>
      <c r="M593" s="1" t="s">
        <v>51</v>
      </c>
      <c r="N593" t="str">
        <f t="shared" si="29"/>
        <v>Expense</v>
      </c>
      <c r="O593" t="str">
        <f t="shared" si="30"/>
        <v/>
      </c>
    </row>
    <row r="594" spans="1:15" x14ac:dyDescent="0.25">
      <c r="A594" s="1" t="s">
        <v>4421</v>
      </c>
      <c r="B594" s="1" t="s">
        <v>3787</v>
      </c>
      <c r="C594" s="1" t="s">
        <v>3861</v>
      </c>
      <c r="D594" s="1" t="s">
        <v>3822</v>
      </c>
      <c r="E594">
        <v>169006</v>
      </c>
      <c r="F594">
        <v>183369.65</v>
      </c>
      <c r="G594">
        <f t="shared" si="28"/>
        <v>-14363.649999999994</v>
      </c>
      <c r="H594">
        <v>-14363.65</v>
      </c>
      <c r="I594" s="3">
        <v>45650</v>
      </c>
      <c r="J594" s="1" t="s">
        <v>3790</v>
      </c>
      <c r="K594" s="1" t="s">
        <v>3823</v>
      </c>
      <c r="L594" s="1" t="s">
        <v>3800</v>
      </c>
      <c r="M594" s="1" t="s">
        <v>51</v>
      </c>
      <c r="N594" t="str">
        <f t="shared" si="29"/>
        <v>Expense</v>
      </c>
      <c r="O594" t="str">
        <f t="shared" si="30"/>
        <v/>
      </c>
    </row>
    <row r="595" spans="1:15" x14ac:dyDescent="0.25">
      <c r="A595" s="1" t="s">
        <v>4422</v>
      </c>
      <c r="B595" s="1" t="s">
        <v>3839</v>
      </c>
      <c r="C595" s="1" t="s">
        <v>3780</v>
      </c>
      <c r="D595" s="1" t="s">
        <v>3834</v>
      </c>
      <c r="E595">
        <v>155157</v>
      </c>
      <c r="F595">
        <v>166937.54999999999</v>
      </c>
      <c r="G595">
        <f t="shared" si="28"/>
        <v>-11780.549999999988</v>
      </c>
      <c r="H595">
        <v>-11780.55</v>
      </c>
      <c r="I595" s="3">
        <v>45471</v>
      </c>
      <c r="J595" s="1" t="s">
        <v>3790</v>
      </c>
      <c r="K595" s="1" t="s">
        <v>3783</v>
      </c>
      <c r="L595" s="1" t="s">
        <v>3800</v>
      </c>
      <c r="M595" s="1" t="s">
        <v>51</v>
      </c>
      <c r="N595" t="str">
        <f t="shared" si="29"/>
        <v>Expense</v>
      </c>
      <c r="O595" t="str">
        <f t="shared" si="30"/>
        <v/>
      </c>
    </row>
    <row r="596" spans="1:15" x14ac:dyDescent="0.25">
      <c r="A596" s="1" t="s">
        <v>4423</v>
      </c>
      <c r="B596" s="1" t="s">
        <v>3798</v>
      </c>
      <c r="C596" s="1" t="s">
        <v>3861</v>
      </c>
      <c r="D596" s="1" t="s">
        <v>3781</v>
      </c>
      <c r="E596">
        <v>234555</v>
      </c>
      <c r="F596">
        <v>295708.01</v>
      </c>
      <c r="G596">
        <f t="shared" si="28"/>
        <v>-61153.010000000009</v>
      </c>
      <c r="H596">
        <v>-61153.01</v>
      </c>
      <c r="I596" s="3">
        <v>45089</v>
      </c>
      <c r="J596" s="1" t="s">
        <v>3790</v>
      </c>
      <c r="K596" s="1" t="s">
        <v>3791</v>
      </c>
      <c r="L596" s="1" t="s">
        <v>3784</v>
      </c>
      <c r="M596" s="1" t="s">
        <v>51</v>
      </c>
      <c r="N596" t="str">
        <f t="shared" si="29"/>
        <v>Expense</v>
      </c>
      <c r="O596" t="str">
        <f t="shared" si="30"/>
        <v/>
      </c>
    </row>
    <row r="597" spans="1:15" x14ac:dyDescent="0.25">
      <c r="A597" s="1" t="s">
        <v>4424</v>
      </c>
      <c r="B597" s="1" t="s">
        <v>3828</v>
      </c>
      <c r="C597" s="1" t="s">
        <v>3788</v>
      </c>
      <c r="D597" s="1" t="s">
        <v>3789</v>
      </c>
      <c r="E597">
        <v>285882</v>
      </c>
      <c r="F597">
        <v>241023.35999999999</v>
      </c>
      <c r="G597">
        <f t="shared" si="28"/>
        <v>44858.640000000014</v>
      </c>
      <c r="H597">
        <v>44858.64</v>
      </c>
      <c r="I597" s="3">
        <v>45010</v>
      </c>
      <c r="J597" s="1" t="s">
        <v>3790</v>
      </c>
      <c r="K597" s="1" t="s">
        <v>3803</v>
      </c>
      <c r="L597" s="1" t="s">
        <v>3804</v>
      </c>
      <c r="M597" s="1" t="s">
        <v>51</v>
      </c>
      <c r="N597" t="str">
        <f t="shared" si="29"/>
        <v>Expense</v>
      </c>
      <c r="O597" t="str">
        <f t="shared" si="30"/>
        <v/>
      </c>
    </row>
    <row r="598" spans="1:15" x14ac:dyDescent="0.25">
      <c r="A598" s="1" t="s">
        <v>4425</v>
      </c>
      <c r="B598" s="1" t="s">
        <v>3808</v>
      </c>
      <c r="C598" s="1" t="s">
        <v>3780</v>
      </c>
      <c r="D598" s="1" t="s">
        <v>3781</v>
      </c>
      <c r="E598">
        <v>170840</v>
      </c>
      <c r="F598">
        <v>195983.39</v>
      </c>
      <c r="G598">
        <f t="shared" si="28"/>
        <v>-25143.390000000014</v>
      </c>
      <c r="H598">
        <v>-25143.39</v>
      </c>
      <c r="I598" s="3">
        <v>45090</v>
      </c>
      <c r="J598" s="1" t="s">
        <v>3790</v>
      </c>
      <c r="K598" s="1" t="s">
        <v>3791</v>
      </c>
      <c r="L598" s="1" t="s">
        <v>3784</v>
      </c>
      <c r="M598" s="1" t="s">
        <v>51</v>
      </c>
      <c r="N598" t="str">
        <f t="shared" si="29"/>
        <v>Expense</v>
      </c>
      <c r="O598" t="str">
        <f t="shared" si="30"/>
        <v/>
      </c>
    </row>
    <row r="599" spans="1:15" x14ac:dyDescent="0.25">
      <c r="A599" s="1" t="s">
        <v>4426</v>
      </c>
      <c r="B599" s="1" t="s">
        <v>3798</v>
      </c>
      <c r="C599" s="1" t="s">
        <v>3795</v>
      </c>
      <c r="D599" s="1" t="s">
        <v>3796</v>
      </c>
      <c r="E599">
        <v>463398</v>
      </c>
      <c r="F599">
        <v>404538.19</v>
      </c>
      <c r="G599">
        <f t="shared" si="28"/>
        <v>58859.81</v>
      </c>
      <c r="H599">
        <v>58859.81</v>
      </c>
      <c r="I599" s="3">
        <v>45008</v>
      </c>
      <c r="J599" s="1" t="s">
        <v>3790</v>
      </c>
      <c r="K599" s="1" t="s">
        <v>3823</v>
      </c>
      <c r="L599" s="1" t="s">
        <v>3804</v>
      </c>
      <c r="M599" s="1" t="s">
        <v>51</v>
      </c>
      <c r="N599" t="str">
        <f t="shared" si="29"/>
        <v>Expense</v>
      </c>
      <c r="O599" t="str">
        <f t="shared" si="30"/>
        <v/>
      </c>
    </row>
    <row r="600" spans="1:15" x14ac:dyDescent="0.25">
      <c r="A600" s="1" t="s">
        <v>4427</v>
      </c>
      <c r="B600" s="1" t="s">
        <v>3798</v>
      </c>
      <c r="C600" s="1" t="s">
        <v>3848</v>
      </c>
      <c r="D600" s="1" t="s">
        <v>3822</v>
      </c>
      <c r="E600">
        <v>268218</v>
      </c>
      <c r="F600">
        <v>259866.86</v>
      </c>
      <c r="G600">
        <f t="shared" si="28"/>
        <v>8351.140000000014</v>
      </c>
      <c r="H600">
        <v>8351.14</v>
      </c>
      <c r="I600" s="3">
        <v>45138</v>
      </c>
      <c r="J600" s="1" t="s">
        <v>3782</v>
      </c>
      <c r="K600" s="1" t="s">
        <v>3783</v>
      </c>
      <c r="L600" s="1" t="s">
        <v>3784</v>
      </c>
      <c r="M600" s="1" t="s">
        <v>51</v>
      </c>
      <c r="N600" t="str">
        <f t="shared" si="29"/>
        <v>Expense</v>
      </c>
      <c r="O600" t="str">
        <f t="shared" si="30"/>
        <v>Flag: High-Value Pending</v>
      </c>
    </row>
    <row r="601" spans="1:15" x14ac:dyDescent="0.25">
      <c r="A601" s="1" t="s">
        <v>4428</v>
      </c>
      <c r="B601" s="1" t="s">
        <v>3811</v>
      </c>
      <c r="C601" s="1" t="s">
        <v>3806</v>
      </c>
      <c r="D601" s="1" t="s">
        <v>3799</v>
      </c>
      <c r="E601">
        <v>11967</v>
      </c>
      <c r="F601">
        <v>12554.29</v>
      </c>
      <c r="G601">
        <f t="shared" si="28"/>
        <v>-587.29000000000087</v>
      </c>
      <c r="H601">
        <v>-587.29</v>
      </c>
      <c r="I601" s="3">
        <v>45134</v>
      </c>
      <c r="J601" s="1" t="s">
        <v>3782</v>
      </c>
      <c r="K601" s="1" t="s">
        <v>3783</v>
      </c>
      <c r="L601" s="1" t="s">
        <v>3784</v>
      </c>
      <c r="M601" s="1" t="s">
        <v>3785</v>
      </c>
      <c r="N601" t="str">
        <f t="shared" si="29"/>
        <v>Expense</v>
      </c>
      <c r="O601" t="str">
        <f t="shared" si="30"/>
        <v/>
      </c>
    </row>
    <row r="602" spans="1:15" x14ac:dyDescent="0.25">
      <c r="A602" s="1" t="s">
        <v>4429</v>
      </c>
      <c r="B602" s="1" t="s">
        <v>3787</v>
      </c>
      <c r="C602" s="1" t="s">
        <v>3858</v>
      </c>
      <c r="D602" s="1" t="s">
        <v>3822</v>
      </c>
      <c r="E602">
        <v>366725</v>
      </c>
      <c r="F602">
        <v>418050.52</v>
      </c>
      <c r="G602">
        <f t="shared" si="28"/>
        <v>-51325.520000000019</v>
      </c>
      <c r="H602">
        <v>-51325.52</v>
      </c>
      <c r="I602" s="3">
        <v>45621</v>
      </c>
      <c r="J602" s="1" t="s">
        <v>3790</v>
      </c>
      <c r="K602" s="1" t="s">
        <v>3791</v>
      </c>
      <c r="L602" s="1" t="s">
        <v>3800</v>
      </c>
      <c r="M602" s="1" t="s">
        <v>3831</v>
      </c>
      <c r="N602" t="str">
        <f t="shared" si="29"/>
        <v>Expense</v>
      </c>
      <c r="O602" t="str">
        <f t="shared" si="30"/>
        <v/>
      </c>
    </row>
    <row r="603" spans="1:15" x14ac:dyDescent="0.25">
      <c r="A603" s="1" t="s">
        <v>4430</v>
      </c>
      <c r="B603" s="1" t="s">
        <v>3839</v>
      </c>
      <c r="C603" s="1" t="s">
        <v>3780</v>
      </c>
      <c r="D603" s="1" t="s">
        <v>3796</v>
      </c>
      <c r="E603">
        <v>313933</v>
      </c>
      <c r="F603">
        <v>404263.33</v>
      </c>
      <c r="G603">
        <f t="shared" si="28"/>
        <v>-90330.330000000016</v>
      </c>
      <c r="H603">
        <v>-90330.33</v>
      </c>
      <c r="I603" s="3">
        <v>45529</v>
      </c>
      <c r="J603" s="1" t="s">
        <v>3782</v>
      </c>
      <c r="K603" s="1" t="s">
        <v>3783</v>
      </c>
      <c r="L603" s="1" t="s">
        <v>3800</v>
      </c>
      <c r="M603" s="1" t="s">
        <v>3785</v>
      </c>
      <c r="N603" t="str">
        <f t="shared" si="29"/>
        <v>Expense</v>
      </c>
      <c r="O603" t="str">
        <f t="shared" si="30"/>
        <v>Flag: High-Value Pending</v>
      </c>
    </row>
    <row r="604" spans="1:15" x14ac:dyDescent="0.25">
      <c r="A604" s="1" t="s">
        <v>4431</v>
      </c>
      <c r="B604" s="1" t="s">
        <v>3839</v>
      </c>
      <c r="C604" s="1" t="s">
        <v>3780</v>
      </c>
      <c r="D604" s="1" t="s">
        <v>3799</v>
      </c>
      <c r="E604">
        <v>369633</v>
      </c>
      <c r="G604" t="str">
        <f t="shared" si="28"/>
        <v/>
      </c>
      <c r="H604">
        <v>-91374.27</v>
      </c>
      <c r="I604" s="3">
        <v>45579</v>
      </c>
      <c r="J604" s="1" t="s">
        <v>3790</v>
      </c>
      <c r="K604" s="1" t="s">
        <v>3791</v>
      </c>
      <c r="L604" s="1" t="s">
        <v>3800</v>
      </c>
      <c r="M604" s="1" t="s">
        <v>51</v>
      </c>
      <c r="N604" t="str">
        <f t="shared" si="29"/>
        <v>Expense</v>
      </c>
      <c r="O604" t="str">
        <f t="shared" si="30"/>
        <v/>
      </c>
    </row>
    <row r="605" spans="1:15" x14ac:dyDescent="0.25">
      <c r="A605" s="1" t="s">
        <v>4432</v>
      </c>
      <c r="B605" s="1" t="s">
        <v>3839</v>
      </c>
      <c r="C605" s="1" t="s">
        <v>3861</v>
      </c>
      <c r="D605" s="1" t="s">
        <v>3816</v>
      </c>
      <c r="E605">
        <v>225458</v>
      </c>
      <c r="F605">
        <v>282950.07</v>
      </c>
      <c r="G605">
        <f t="shared" si="28"/>
        <v>-57492.070000000007</v>
      </c>
      <c r="H605">
        <v>-57492.07</v>
      </c>
      <c r="I605" s="3">
        <v>45615</v>
      </c>
      <c r="J605" s="1" t="s">
        <v>3790</v>
      </c>
      <c r="K605" s="1" t="s">
        <v>3791</v>
      </c>
      <c r="L605" s="1" t="s">
        <v>3800</v>
      </c>
      <c r="M605" s="1" t="s">
        <v>51</v>
      </c>
      <c r="N605" t="str">
        <f t="shared" si="29"/>
        <v>Expense</v>
      </c>
      <c r="O605" t="str">
        <f t="shared" si="30"/>
        <v/>
      </c>
    </row>
    <row r="606" spans="1:15" x14ac:dyDescent="0.25">
      <c r="A606" s="1" t="s">
        <v>4433</v>
      </c>
      <c r="B606" s="1" t="s">
        <v>3811</v>
      </c>
      <c r="C606" s="1" t="s">
        <v>3780</v>
      </c>
      <c r="D606" s="1" t="s">
        <v>3789</v>
      </c>
      <c r="E606">
        <v>355880</v>
      </c>
      <c r="F606">
        <v>416455.43</v>
      </c>
      <c r="G606">
        <f t="shared" si="28"/>
        <v>-60575.429999999993</v>
      </c>
      <c r="I606" s="3">
        <v>45439</v>
      </c>
      <c r="J606" s="1" t="s">
        <v>3790</v>
      </c>
      <c r="K606" s="1" t="s">
        <v>3783</v>
      </c>
      <c r="L606" s="1" t="s">
        <v>3800</v>
      </c>
      <c r="M606" s="1" t="s">
        <v>3831</v>
      </c>
      <c r="N606" t="str">
        <f t="shared" si="29"/>
        <v>Expense</v>
      </c>
      <c r="O606" t="str">
        <f t="shared" si="30"/>
        <v/>
      </c>
    </row>
    <row r="607" spans="1:15" x14ac:dyDescent="0.25">
      <c r="A607" s="1" t="s">
        <v>4434</v>
      </c>
      <c r="B607" s="1" t="s">
        <v>3787</v>
      </c>
      <c r="C607" s="1" t="s">
        <v>4878</v>
      </c>
      <c r="D607" s="1" t="s">
        <v>3822</v>
      </c>
      <c r="E607">
        <v>256522</v>
      </c>
      <c r="F607">
        <v>314177.12</v>
      </c>
      <c r="G607">
        <f t="shared" si="28"/>
        <v>-57655.119999999995</v>
      </c>
      <c r="H607">
        <v>-57655.12</v>
      </c>
      <c r="I607" s="3">
        <v>45076</v>
      </c>
      <c r="J607" s="1" t="s">
        <v>3790</v>
      </c>
      <c r="K607" s="1" t="s">
        <v>3791</v>
      </c>
      <c r="L607" s="1" t="s">
        <v>3784</v>
      </c>
      <c r="M607" s="1" t="s">
        <v>3831</v>
      </c>
      <c r="N607" t="str">
        <f t="shared" si="29"/>
        <v>Expense</v>
      </c>
      <c r="O607" t="str">
        <f t="shared" si="30"/>
        <v/>
      </c>
    </row>
    <row r="608" spans="1:15" x14ac:dyDescent="0.25">
      <c r="A608" s="1" t="s">
        <v>4435</v>
      </c>
      <c r="B608" s="1" t="s">
        <v>3839</v>
      </c>
      <c r="C608" s="1" t="s">
        <v>3821</v>
      </c>
      <c r="D608" s="1" t="s">
        <v>3802</v>
      </c>
      <c r="E608">
        <v>341743</v>
      </c>
      <c r="G608" t="str">
        <f t="shared" si="28"/>
        <v/>
      </c>
      <c r="H608">
        <v>53888.7</v>
      </c>
      <c r="I608" s="3">
        <v>45210</v>
      </c>
      <c r="J608" s="1" t="s">
        <v>3790</v>
      </c>
      <c r="K608" s="1" t="s">
        <v>3823</v>
      </c>
      <c r="L608" s="1" t="s">
        <v>3784</v>
      </c>
      <c r="M608" s="1" t="s">
        <v>3792</v>
      </c>
      <c r="N608" t="str">
        <f t="shared" si="29"/>
        <v>Expense</v>
      </c>
      <c r="O608" t="str">
        <f t="shared" si="30"/>
        <v/>
      </c>
    </row>
    <row r="609" spans="1:15" x14ac:dyDescent="0.25">
      <c r="A609" s="1" t="s">
        <v>4436</v>
      </c>
      <c r="B609" s="1" t="s">
        <v>3808</v>
      </c>
      <c r="C609" s="1" t="s">
        <v>3815</v>
      </c>
      <c r="D609" s="1" t="s">
        <v>3781</v>
      </c>
      <c r="E609">
        <v>433989</v>
      </c>
      <c r="F609">
        <v>560209.31000000006</v>
      </c>
      <c r="G609">
        <f t="shared" si="28"/>
        <v>-126220.31000000006</v>
      </c>
      <c r="I609" s="3">
        <v>45104</v>
      </c>
      <c r="J609" s="1" t="s">
        <v>3790</v>
      </c>
      <c r="K609" s="1" t="s">
        <v>3791</v>
      </c>
      <c r="L609" s="1" t="s">
        <v>3784</v>
      </c>
      <c r="M609" s="1" t="s">
        <v>3817</v>
      </c>
      <c r="N609" t="str">
        <f t="shared" si="29"/>
        <v>Expense</v>
      </c>
      <c r="O609" t="str">
        <f t="shared" si="30"/>
        <v/>
      </c>
    </row>
    <row r="610" spans="1:15" x14ac:dyDescent="0.25">
      <c r="A610" s="1" t="s">
        <v>4437</v>
      </c>
      <c r="B610" s="1" t="s">
        <v>3839</v>
      </c>
      <c r="C610" s="1" t="s">
        <v>3795</v>
      </c>
      <c r="D610" s="1" t="s">
        <v>3895</v>
      </c>
      <c r="E610">
        <v>353541</v>
      </c>
      <c r="F610">
        <v>437206.53</v>
      </c>
      <c r="G610">
        <f t="shared" si="28"/>
        <v>-83665.530000000028</v>
      </c>
      <c r="H610">
        <v>-83665.53</v>
      </c>
      <c r="I610" s="3">
        <v>45380</v>
      </c>
      <c r="J610" s="1" t="s">
        <v>3790</v>
      </c>
      <c r="K610" s="1" t="s">
        <v>3803</v>
      </c>
      <c r="L610" s="1" t="s">
        <v>3784</v>
      </c>
      <c r="M610" s="1" t="s">
        <v>51</v>
      </c>
      <c r="N610" t="str">
        <f t="shared" si="29"/>
        <v>Expense</v>
      </c>
      <c r="O610" t="str">
        <f t="shared" si="30"/>
        <v/>
      </c>
    </row>
    <row r="611" spans="1:15" x14ac:dyDescent="0.25">
      <c r="A611" s="1" t="s">
        <v>4438</v>
      </c>
      <c r="B611" s="1" t="s">
        <v>3839</v>
      </c>
      <c r="C611" s="1" t="s">
        <v>3848</v>
      </c>
      <c r="D611" s="1" t="s">
        <v>3781</v>
      </c>
      <c r="E611">
        <v>373087</v>
      </c>
      <c r="G611" t="str">
        <f t="shared" si="28"/>
        <v/>
      </c>
      <c r="H611">
        <v>27056.95</v>
      </c>
      <c r="I611" s="3">
        <v>45561</v>
      </c>
      <c r="J611" s="1" t="s">
        <v>3782</v>
      </c>
      <c r="K611" s="1" t="s">
        <v>3823</v>
      </c>
      <c r="L611" s="1" t="s">
        <v>3800</v>
      </c>
      <c r="M611" s="1" t="s">
        <v>3785</v>
      </c>
      <c r="N611" t="str">
        <f t="shared" si="29"/>
        <v>Expense</v>
      </c>
      <c r="O611" t="str">
        <f t="shared" si="30"/>
        <v>Flag: High-Value Pending</v>
      </c>
    </row>
    <row r="612" spans="1:15" x14ac:dyDescent="0.25">
      <c r="A612" s="1" t="s">
        <v>4439</v>
      </c>
      <c r="B612" s="1" t="s">
        <v>3798</v>
      </c>
      <c r="C612" s="1" t="s">
        <v>3858</v>
      </c>
      <c r="D612" s="1" t="s">
        <v>3816</v>
      </c>
      <c r="E612">
        <v>279563</v>
      </c>
      <c r="F612">
        <v>234612.89</v>
      </c>
      <c r="G612">
        <f t="shared" si="28"/>
        <v>44950.109999999986</v>
      </c>
      <c r="H612">
        <v>44950.11</v>
      </c>
      <c r="I612" s="3">
        <v>45622</v>
      </c>
      <c r="J612" s="1" t="s">
        <v>3790</v>
      </c>
      <c r="K612" s="1" t="s">
        <v>3803</v>
      </c>
      <c r="L612" s="1" t="s">
        <v>3800</v>
      </c>
      <c r="M612" s="1" t="s">
        <v>51</v>
      </c>
      <c r="N612" t="str">
        <f t="shared" si="29"/>
        <v>Expense</v>
      </c>
      <c r="O612" t="str">
        <f t="shared" si="30"/>
        <v/>
      </c>
    </row>
    <row r="613" spans="1:15" x14ac:dyDescent="0.25">
      <c r="A613" s="1" t="s">
        <v>4440</v>
      </c>
      <c r="B613" s="1" t="s">
        <v>3798</v>
      </c>
      <c r="C613" s="1" t="s">
        <v>3788</v>
      </c>
      <c r="D613" s="1" t="s">
        <v>3813</v>
      </c>
      <c r="E613">
        <v>487139</v>
      </c>
      <c r="F613">
        <v>421965.28</v>
      </c>
      <c r="G613">
        <f t="shared" si="28"/>
        <v>65173.719999999972</v>
      </c>
      <c r="H613">
        <v>65173.72</v>
      </c>
      <c r="I613" s="3">
        <v>45047</v>
      </c>
      <c r="J613" s="1" t="s">
        <v>3782</v>
      </c>
      <c r="K613" s="1" t="s">
        <v>3803</v>
      </c>
      <c r="L613" s="1" t="s">
        <v>3784</v>
      </c>
      <c r="M613" s="1" t="s">
        <v>3785</v>
      </c>
      <c r="N613" t="str">
        <f t="shared" si="29"/>
        <v>Expense</v>
      </c>
      <c r="O613" t="str">
        <f t="shared" si="30"/>
        <v>Flag: High-Value Pending</v>
      </c>
    </row>
    <row r="614" spans="1:15" x14ac:dyDescent="0.25">
      <c r="A614" s="1" t="s">
        <v>4441</v>
      </c>
      <c r="B614" s="1" t="s">
        <v>3787</v>
      </c>
      <c r="C614" s="1" t="s">
        <v>3812</v>
      </c>
      <c r="D614" s="1" t="s">
        <v>3834</v>
      </c>
      <c r="E614">
        <v>101020</v>
      </c>
      <c r="F614">
        <v>107948.77</v>
      </c>
      <c r="G614">
        <f t="shared" si="28"/>
        <v>-6928.7700000000041</v>
      </c>
      <c r="H614">
        <v>-6928.77</v>
      </c>
      <c r="I614" s="3">
        <v>45730</v>
      </c>
      <c r="J614" s="1" t="s">
        <v>3790</v>
      </c>
      <c r="K614" s="1" t="s">
        <v>3791</v>
      </c>
      <c r="L614" s="1" t="s">
        <v>3800</v>
      </c>
      <c r="M614" s="1" t="s">
        <v>3817</v>
      </c>
      <c r="N614" t="str">
        <f t="shared" si="29"/>
        <v>Expense</v>
      </c>
      <c r="O614" t="str">
        <f t="shared" si="30"/>
        <v/>
      </c>
    </row>
    <row r="615" spans="1:15" x14ac:dyDescent="0.25">
      <c r="A615" s="1" t="s">
        <v>4442</v>
      </c>
      <c r="B615" s="1" t="s">
        <v>3787</v>
      </c>
      <c r="C615" s="1" t="s">
        <v>3795</v>
      </c>
      <c r="D615" s="1" t="s">
        <v>3837</v>
      </c>
      <c r="E615">
        <v>3871580</v>
      </c>
      <c r="F615">
        <v>4477180.8600000003</v>
      </c>
      <c r="G615">
        <f t="shared" si="28"/>
        <v>-605600.86000000034</v>
      </c>
      <c r="H615">
        <v>-605600.86</v>
      </c>
      <c r="I615" s="3">
        <v>45508</v>
      </c>
      <c r="J615" s="1" t="s">
        <v>3790</v>
      </c>
      <c r="K615" s="1" t="s">
        <v>3791</v>
      </c>
      <c r="L615" s="1" t="s">
        <v>3800</v>
      </c>
      <c r="M615" s="1" t="s">
        <v>3785</v>
      </c>
      <c r="N615" t="str">
        <f t="shared" si="29"/>
        <v>Expense</v>
      </c>
      <c r="O615" t="str">
        <f t="shared" si="30"/>
        <v/>
      </c>
    </row>
    <row r="616" spans="1:15" x14ac:dyDescent="0.25">
      <c r="A616" s="1" t="s">
        <v>4443</v>
      </c>
      <c r="B616" s="1" t="s">
        <v>3808</v>
      </c>
      <c r="C616" s="1" t="s">
        <v>3848</v>
      </c>
      <c r="D616" s="1" t="s">
        <v>3802</v>
      </c>
      <c r="E616">
        <v>206855</v>
      </c>
      <c r="F616">
        <v>241953.53</v>
      </c>
      <c r="G616">
        <f t="shared" si="28"/>
        <v>-35098.53</v>
      </c>
      <c r="H616">
        <v>-35098.53</v>
      </c>
      <c r="I616" s="3">
        <v>45475</v>
      </c>
      <c r="J616" s="1" t="s">
        <v>3790</v>
      </c>
      <c r="K616" s="1" t="s">
        <v>3823</v>
      </c>
      <c r="L616" s="1" t="s">
        <v>3800</v>
      </c>
      <c r="M616" s="1" t="s">
        <v>51</v>
      </c>
      <c r="N616" t="str">
        <f t="shared" si="29"/>
        <v>Expense</v>
      </c>
      <c r="O616" t="str">
        <f t="shared" si="30"/>
        <v/>
      </c>
    </row>
    <row r="617" spans="1:15" x14ac:dyDescent="0.25">
      <c r="A617" s="1" t="s">
        <v>4444</v>
      </c>
      <c r="B617" s="1" t="s">
        <v>3828</v>
      </c>
      <c r="C617" s="1" t="s">
        <v>3825</v>
      </c>
      <c r="D617" s="1" t="s">
        <v>3850</v>
      </c>
      <c r="E617">
        <v>110290</v>
      </c>
      <c r="F617">
        <v>120734.21</v>
      </c>
      <c r="G617">
        <f t="shared" si="28"/>
        <v>-10444.210000000006</v>
      </c>
      <c r="H617">
        <v>-10444.209999999999</v>
      </c>
      <c r="I617" s="3">
        <v>45567</v>
      </c>
      <c r="J617" s="1" t="s">
        <v>3790</v>
      </c>
      <c r="K617" s="1" t="s">
        <v>3803</v>
      </c>
      <c r="L617" s="1" t="s">
        <v>3800</v>
      </c>
      <c r="M617" s="1" t="s">
        <v>51</v>
      </c>
      <c r="N617" t="str">
        <f t="shared" si="29"/>
        <v>Expense</v>
      </c>
      <c r="O617" t="str">
        <f t="shared" si="30"/>
        <v/>
      </c>
    </row>
    <row r="618" spans="1:15" x14ac:dyDescent="0.25">
      <c r="A618" s="1" t="s">
        <v>4445</v>
      </c>
      <c r="B618" s="1" t="s">
        <v>3839</v>
      </c>
      <c r="C618" s="1" t="s">
        <v>3812</v>
      </c>
      <c r="D618" s="1" t="s">
        <v>3846</v>
      </c>
      <c r="E618">
        <v>192063</v>
      </c>
      <c r="F618">
        <v>226771.37</v>
      </c>
      <c r="G618">
        <f t="shared" si="28"/>
        <v>-34708.369999999995</v>
      </c>
      <c r="H618">
        <v>-34708.370000000003</v>
      </c>
      <c r="I618" s="3">
        <v>45377</v>
      </c>
      <c r="J618" s="1" t="s">
        <v>3790</v>
      </c>
      <c r="K618" s="1" t="s">
        <v>3823</v>
      </c>
      <c r="L618" s="1" t="s">
        <v>3784</v>
      </c>
      <c r="M618" s="1" t="s">
        <v>3817</v>
      </c>
      <c r="N618" t="str">
        <f t="shared" si="29"/>
        <v>Expense</v>
      </c>
      <c r="O618" t="str">
        <f t="shared" si="30"/>
        <v/>
      </c>
    </row>
    <row r="619" spans="1:15" x14ac:dyDescent="0.25">
      <c r="A619" s="1" t="s">
        <v>4446</v>
      </c>
      <c r="B619" s="1" t="s">
        <v>3808</v>
      </c>
      <c r="C619" s="1" t="s">
        <v>3806</v>
      </c>
      <c r="D619" s="1" t="s">
        <v>3850</v>
      </c>
      <c r="E619">
        <v>224252</v>
      </c>
      <c r="F619">
        <v>185020.29</v>
      </c>
      <c r="G619">
        <f t="shared" si="28"/>
        <v>39231.709999999992</v>
      </c>
      <c r="H619">
        <v>39231.71</v>
      </c>
      <c r="I619" s="3">
        <v>45444</v>
      </c>
      <c r="J619" s="1" t="s">
        <v>3782</v>
      </c>
      <c r="K619" s="1" t="s">
        <v>3803</v>
      </c>
      <c r="L619" s="1" t="s">
        <v>3800</v>
      </c>
      <c r="M619" s="1" t="s">
        <v>3831</v>
      </c>
      <c r="N619" t="str">
        <f t="shared" si="29"/>
        <v>Expense</v>
      </c>
      <c r="O619" t="str">
        <f t="shared" si="30"/>
        <v>Flag: High-Value Pending</v>
      </c>
    </row>
    <row r="620" spans="1:15" x14ac:dyDescent="0.25">
      <c r="A620" s="1" t="s">
        <v>4447</v>
      </c>
      <c r="B620" s="1" t="s">
        <v>3808</v>
      </c>
      <c r="C620" s="1" t="s">
        <v>3861</v>
      </c>
      <c r="D620" s="1" t="s">
        <v>3855</v>
      </c>
      <c r="E620">
        <v>32855</v>
      </c>
      <c r="F620">
        <v>38176.58</v>
      </c>
      <c r="G620">
        <f t="shared" si="28"/>
        <v>-5321.5800000000017</v>
      </c>
      <c r="H620">
        <v>-5321.58</v>
      </c>
      <c r="I620" s="3">
        <v>45636</v>
      </c>
      <c r="J620" s="1" t="s">
        <v>3782</v>
      </c>
      <c r="K620" s="1" t="s">
        <v>3783</v>
      </c>
      <c r="L620" s="1" t="s">
        <v>3800</v>
      </c>
      <c r="M620" s="1" t="s">
        <v>3785</v>
      </c>
      <c r="N620" t="str">
        <f t="shared" si="29"/>
        <v>Expense</v>
      </c>
      <c r="O620" t="str">
        <f t="shared" si="30"/>
        <v/>
      </c>
    </row>
    <row r="621" spans="1:15" x14ac:dyDescent="0.25">
      <c r="A621" s="1" t="s">
        <v>4448</v>
      </c>
      <c r="B621" s="1" t="s">
        <v>3828</v>
      </c>
      <c r="C621" s="1" t="s">
        <v>3821</v>
      </c>
      <c r="D621" s="1" t="s">
        <v>3781</v>
      </c>
      <c r="E621">
        <v>136601</v>
      </c>
      <c r="F621">
        <v>159694.84</v>
      </c>
      <c r="G621">
        <f t="shared" si="28"/>
        <v>-23093.839999999997</v>
      </c>
      <c r="H621">
        <v>-23093.84</v>
      </c>
      <c r="I621" s="3">
        <v>45161</v>
      </c>
      <c r="J621" s="1" t="s">
        <v>3790</v>
      </c>
      <c r="K621" s="1" t="s">
        <v>3803</v>
      </c>
      <c r="L621" s="1" t="s">
        <v>3784</v>
      </c>
      <c r="M621" s="1" t="s">
        <v>51</v>
      </c>
      <c r="N621" t="str">
        <f t="shared" si="29"/>
        <v>Expense</v>
      </c>
      <c r="O621" t="str">
        <f t="shared" si="30"/>
        <v/>
      </c>
    </row>
    <row r="622" spans="1:15" x14ac:dyDescent="0.25">
      <c r="A622" s="1" t="s">
        <v>4449</v>
      </c>
      <c r="B622" s="1" t="s">
        <v>3798</v>
      </c>
      <c r="C622" s="1" t="s">
        <v>3812</v>
      </c>
      <c r="D622" s="1" t="s">
        <v>3789</v>
      </c>
      <c r="E622">
        <v>360122</v>
      </c>
      <c r="F622">
        <v>401001.23</v>
      </c>
      <c r="G622">
        <f t="shared" si="28"/>
        <v>-40879.229999999981</v>
      </c>
      <c r="H622">
        <v>-40879.230000000003</v>
      </c>
      <c r="I622" s="3">
        <v>45563</v>
      </c>
      <c r="J622" s="1" t="s">
        <v>3790</v>
      </c>
      <c r="K622" s="1" t="s">
        <v>3783</v>
      </c>
      <c r="L622" s="1" t="s">
        <v>3800</v>
      </c>
      <c r="M622" s="1" t="s">
        <v>3809</v>
      </c>
      <c r="N622" t="str">
        <f t="shared" si="29"/>
        <v>Expense</v>
      </c>
      <c r="O622" t="str">
        <f t="shared" si="30"/>
        <v/>
      </c>
    </row>
    <row r="623" spans="1:15" x14ac:dyDescent="0.25">
      <c r="A623" s="1" t="s">
        <v>4450</v>
      </c>
      <c r="B623" s="1" t="s">
        <v>3808</v>
      </c>
      <c r="C623" s="1" t="s">
        <v>3815</v>
      </c>
      <c r="D623" s="1" t="s">
        <v>3826</v>
      </c>
      <c r="E623">
        <v>126970</v>
      </c>
      <c r="F623">
        <v>120592.95</v>
      </c>
      <c r="G623">
        <f t="shared" si="28"/>
        <v>6377.0500000000029</v>
      </c>
      <c r="H623">
        <v>6377.05</v>
      </c>
      <c r="I623" s="3">
        <v>44994</v>
      </c>
      <c r="J623" s="1" t="s">
        <v>3790</v>
      </c>
      <c r="K623" s="1" t="s">
        <v>3783</v>
      </c>
      <c r="L623" s="1" t="s">
        <v>3804</v>
      </c>
      <c r="M623" s="1" t="s">
        <v>51</v>
      </c>
      <c r="N623" t="str">
        <f t="shared" si="29"/>
        <v>Expense</v>
      </c>
      <c r="O623" t="str">
        <f t="shared" si="30"/>
        <v/>
      </c>
    </row>
    <row r="624" spans="1:15" x14ac:dyDescent="0.25">
      <c r="A624" s="1" t="s">
        <v>4451</v>
      </c>
      <c r="B624" s="1" t="s">
        <v>3808</v>
      </c>
      <c r="C624" s="1" t="s">
        <v>3861</v>
      </c>
      <c r="D624" s="1" t="s">
        <v>3867</v>
      </c>
      <c r="E624">
        <v>441904</v>
      </c>
      <c r="F624">
        <v>499211.03</v>
      </c>
      <c r="G624">
        <f t="shared" si="28"/>
        <v>-57307.030000000028</v>
      </c>
      <c r="H624">
        <v>-57307.03</v>
      </c>
      <c r="I624" s="3">
        <v>45571</v>
      </c>
      <c r="J624" s="1" t="s">
        <v>3790</v>
      </c>
      <c r="K624" s="1" t="s">
        <v>3791</v>
      </c>
      <c r="L624" s="1" t="s">
        <v>3800</v>
      </c>
      <c r="M624" s="1" t="s">
        <v>3831</v>
      </c>
      <c r="N624" t="str">
        <f t="shared" si="29"/>
        <v>Expense</v>
      </c>
      <c r="O624" t="str">
        <f t="shared" si="30"/>
        <v/>
      </c>
    </row>
    <row r="625" spans="1:15" x14ac:dyDescent="0.25">
      <c r="A625" s="1" t="s">
        <v>4452</v>
      </c>
      <c r="B625" s="1" t="s">
        <v>3787</v>
      </c>
      <c r="C625" s="1" t="s">
        <v>3858</v>
      </c>
      <c r="D625" s="1" t="s">
        <v>3816</v>
      </c>
      <c r="E625">
        <v>309027</v>
      </c>
      <c r="F625">
        <v>360549.36</v>
      </c>
      <c r="G625">
        <f t="shared" si="28"/>
        <v>-51522.359999999986</v>
      </c>
      <c r="H625">
        <v>-51522.36</v>
      </c>
      <c r="I625" s="3">
        <v>45728</v>
      </c>
      <c r="J625" s="1" t="s">
        <v>3790</v>
      </c>
      <c r="K625" s="1" t="s">
        <v>3783</v>
      </c>
      <c r="L625" s="1" t="s">
        <v>3800</v>
      </c>
      <c r="M625" s="1" t="s">
        <v>51</v>
      </c>
      <c r="N625" t="str">
        <f t="shared" si="29"/>
        <v>Expense</v>
      </c>
      <c r="O625" t="str">
        <f t="shared" si="30"/>
        <v/>
      </c>
    </row>
    <row r="626" spans="1:15" x14ac:dyDescent="0.25">
      <c r="A626" s="1" t="s">
        <v>4453</v>
      </c>
      <c r="B626" s="1" t="s">
        <v>3787</v>
      </c>
      <c r="C626" s="1" t="s">
        <v>3815</v>
      </c>
      <c r="D626" s="1" t="s">
        <v>3816</v>
      </c>
      <c r="E626">
        <v>413361</v>
      </c>
      <c r="F626">
        <v>485666.79</v>
      </c>
      <c r="G626">
        <f t="shared" si="28"/>
        <v>-72305.789999999979</v>
      </c>
      <c r="H626">
        <v>-72305.789999999994</v>
      </c>
      <c r="I626" s="3">
        <v>45449</v>
      </c>
      <c r="J626" s="1" t="s">
        <v>3859</v>
      </c>
      <c r="K626" s="1" t="s">
        <v>3783</v>
      </c>
      <c r="L626" s="1" t="s">
        <v>3800</v>
      </c>
      <c r="M626" s="1" t="s">
        <v>51</v>
      </c>
      <c r="N626" t="str">
        <f t="shared" si="29"/>
        <v>Expense</v>
      </c>
      <c r="O626" t="str">
        <f t="shared" si="30"/>
        <v>Flag: High-Value Rejected</v>
      </c>
    </row>
    <row r="627" spans="1:15" x14ac:dyDescent="0.25">
      <c r="A627" s="1" t="s">
        <v>4454</v>
      </c>
      <c r="B627" s="1" t="s">
        <v>3839</v>
      </c>
      <c r="C627" s="1" t="s">
        <v>3825</v>
      </c>
      <c r="D627" s="1" t="s">
        <v>3837</v>
      </c>
      <c r="E627">
        <v>189952</v>
      </c>
      <c r="F627">
        <v>208997.94</v>
      </c>
      <c r="G627">
        <f t="shared" si="28"/>
        <v>-19045.940000000002</v>
      </c>
      <c r="H627">
        <v>-19045.939999999999</v>
      </c>
      <c r="I627" s="3">
        <v>45258</v>
      </c>
      <c r="J627" s="1" t="s">
        <v>3790</v>
      </c>
      <c r="K627" s="1" t="s">
        <v>3823</v>
      </c>
      <c r="L627" s="1" t="s">
        <v>3784</v>
      </c>
      <c r="M627" s="1" t="s">
        <v>51</v>
      </c>
      <c r="N627" t="str">
        <f t="shared" si="29"/>
        <v>Expense</v>
      </c>
      <c r="O627" t="str">
        <f t="shared" si="30"/>
        <v/>
      </c>
    </row>
    <row r="628" spans="1:15" x14ac:dyDescent="0.25">
      <c r="A628" s="1" t="s">
        <v>4455</v>
      </c>
      <c r="B628" s="1" t="s">
        <v>3839</v>
      </c>
      <c r="C628" s="1" t="s">
        <v>3848</v>
      </c>
      <c r="D628" s="1" t="s">
        <v>3837</v>
      </c>
      <c r="E628">
        <v>78379</v>
      </c>
      <c r="F628">
        <v>88467.55</v>
      </c>
      <c r="G628">
        <f t="shared" si="28"/>
        <v>-10088.550000000003</v>
      </c>
      <c r="H628">
        <v>-10088.549999999999</v>
      </c>
      <c r="I628" s="3">
        <v>45744</v>
      </c>
      <c r="J628" s="1" t="s">
        <v>3859</v>
      </c>
      <c r="K628" s="1" t="s">
        <v>3791</v>
      </c>
      <c r="L628" s="1" t="s">
        <v>3800</v>
      </c>
      <c r="M628" s="1" t="s">
        <v>3817</v>
      </c>
      <c r="N628" t="str">
        <f t="shared" si="29"/>
        <v>Expense</v>
      </c>
      <c r="O628" t="str">
        <f t="shared" si="30"/>
        <v/>
      </c>
    </row>
    <row r="629" spans="1:15" x14ac:dyDescent="0.25">
      <c r="A629" s="1" t="s">
        <v>4456</v>
      </c>
      <c r="B629" s="1" t="s">
        <v>3808</v>
      </c>
      <c r="C629" s="1" t="s">
        <v>3848</v>
      </c>
      <c r="D629" s="1" t="s">
        <v>3850</v>
      </c>
      <c r="E629">
        <v>-60952</v>
      </c>
      <c r="F629">
        <v>72912.62</v>
      </c>
      <c r="G629">
        <f t="shared" si="28"/>
        <v>-133864.62</v>
      </c>
      <c r="H629">
        <v>-11960.62</v>
      </c>
      <c r="I629" s="3">
        <v>45339</v>
      </c>
      <c r="J629" s="1" t="s">
        <v>3790</v>
      </c>
      <c r="K629" s="1" t="s">
        <v>3783</v>
      </c>
      <c r="L629" s="1" t="s">
        <v>3784</v>
      </c>
      <c r="M629" s="1" t="s">
        <v>3831</v>
      </c>
      <c r="N629" t="str">
        <f t="shared" si="29"/>
        <v>Credit/Refund</v>
      </c>
      <c r="O629" t="str">
        <f t="shared" si="30"/>
        <v/>
      </c>
    </row>
    <row r="630" spans="1:15" x14ac:dyDescent="0.25">
      <c r="A630" s="1" t="s">
        <v>4457</v>
      </c>
      <c r="B630" s="1" t="s">
        <v>3798</v>
      </c>
      <c r="C630" s="1" t="s">
        <v>3821</v>
      </c>
      <c r="D630" s="1" t="s">
        <v>3867</v>
      </c>
      <c r="E630">
        <v>269339</v>
      </c>
      <c r="F630">
        <v>288948.13</v>
      </c>
      <c r="G630">
        <f t="shared" si="28"/>
        <v>-19609.130000000005</v>
      </c>
      <c r="H630">
        <v>-19609.13</v>
      </c>
      <c r="I630" s="3">
        <v>45155</v>
      </c>
      <c r="J630" s="1" t="s">
        <v>3790</v>
      </c>
      <c r="K630" s="1" t="s">
        <v>3783</v>
      </c>
      <c r="L630" s="1" t="s">
        <v>3784</v>
      </c>
      <c r="M630" s="1" t="s">
        <v>51</v>
      </c>
      <c r="N630" t="str">
        <f t="shared" si="29"/>
        <v>Expense</v>
      </c>
      <c r="O630" t="str">
        <f t="shared" si="30"/>
        <v/>
      </c>
    </row>
    <row r="631" spans="1:15" x14ac:dyDescent="0.25">
      <c r="A631" s="1" t="s">
        <v>4458</v>
      </c>
      <c r="B631" s="1" t="s">
        <v>3811</v>
      </c>
      <c r="C631" s="1" t="s">
        <v>3788</v>
      </c>
      <c r="D631" s="1" t="s">
        <v>3837</v>
      </c>
      <c r="E631">
        <v>274282</v>
      </c>
      <c r="F631">
        <v>229786.46</v>
      </c>
      <c r="G631">
        <f t="shared" si="28"/>
        <v>44495.540000000008</v>
      </c>
      <c r="H631">
        <v>44495.54</v>
      </c>
      <c r="I631" s="3">
        <v>45350</v>
      </c>
      <c r="J631" s="1" t="s">
        <v>3859</v>
      </c>
      <c r="K631" s="1" t="s">
        <v>3823</v>
      </c>
      <c r="L631" s="1" t="s">
        <v>3784</v>
      </c>
      <c r="M631" s="1" t="s">
        <v>3831</v>
      </c>
      <c r="N631" t="str">
        <f t="shared" si="29"/>
        <v>Expense</v>
      </c>
      <c r="O631" t="str">
        <f t="shared" si="30"/>
        <v>Flag: High-Value Rejected</v>
      </c>
    </row>
    <row r="632" spans="1:15" x14ac:dyDescent="0.25">
      <c r="A632" s="1" t="s">
        <v>4459</v>
      </c>
      <c r="B632" s="1" t="s">
        <v>3839</v>
      </c>
      <c r="C632" s="1" t="s">
        <v>3806</v>
      </c>
      <c r="D632" s="1" t="s">
        <v>3855</v>
      </c>
      <c r="E632">
        <v>2978304</v>
      </c>
      <c r="F632">
        <v>3616084.01</v>
      </c>
      <c r="G632">
        <f t="shared" si="28"/>
        <v>-637780.00999999978</v>
      </c>
      <c r="H632">
        <v>-637780.01</v>
      </c>
      <c r="I632" s="3">
        <v>45484</v>
      </c>
      <c r="J632" s="1" t="s">
        <v>3859</v>
      </c>
      <c r="K632" s="1" t="s">
        <v>3803</v>
      </c>
      <c r="L632" s="1" t="s">
        <v>3800</v>
      </c>
      <c r="M632" s="1" t="s">
        <v>51</v>
      </c>
      <c r="N632" t="str">
        <f t="shared" si="29"/>
        <v>Expense</v>
      </c>
      <c r="O632" t="str">
        <f t="shared" si="30"/>
        <v>Flag: High-Value Rejected</v>
      </c>
    </row>
    <row r="633" spans="1:15" x14ac:dyDescent="0.25">
      <c r="A633" s="1" t="s">
        <v>4460</v>
      </c>
      <c r="B633" s="1" t="s">
        <v>3798</v>
      </c>
      <c r="C633" s="1" t="s">
        <v>3844</v>
      </c>
      <c r="D633" s="1" t="s">
        <v>3855</v>
      </c>
      <c r="E633">
        <v>455959</v>
      </c>
      <c r="F633">
        <v>368542.6</v>
      </c>
      <c r="G633">
        <f t="shared" si="28"/>
        <v>87416.400000000023</v>
      </c>
      <c r="H633">
        <v>87416.4</v>
      </c>
      <c r="I633" s="3">
        <v>45167</v>
      </c>
      <c r="J633" s="1" t="s">
        <v>3790</v>
      </c>
      <c r="K633" s="1" t="s">
        <v>3803</v>
      </c>
      <c r="L633" s="1" t="s">
        <v>3784</v>
      </c>
      <c r="M633" s="1" t="s">
        <v>3817</v>
      </c>
      <c r="N633" t="str">
        <f t="shared" si="29"/>
        <v>Expense</v>
      </c>
      <c r="O633" t="str">
        <f t="shared" si="30"/>
        <v/>
      </c>
    </row>
    <row r="634" spans="1:15" x14ac:dyDescent="0.25">
      <c r="A634" s="1" t="s">
        <v>4461</v>
      </c>
      <c r="B634" s="1" t="s">
        <v>3839</v>
      </c>
      <c r="C634" s="1" t="s">
        <v>3848</v>
      </c>
      <c r="D634" s="1" t="s">
        <v>3867</v>
      </c>
      <c r="E634">
        <v>385655</v>
      </c>
      <c r="F634">
        <v>420574.97</v>
      </c>
      <c r="G634">
        <f t="shared" si="28"/>
        <v>-34919.969999999972</v>
      </c>
      <c r="H634">
        <v>-34919.97</v>
      </c>
      <c r="I634" s="3">
        <v>45425</v>
      </c>
      <c r="J634" s="1" t="s">
        <v>3790</v>
      </c>
      <c r="K634" s="1" t="s">
        <v>3791</v>
      </c>
      <c r="L634" s="1" t="s">
        <v>3800</v>
      </c>
      <c r="M634" s="1" t="s">
        <v>51</v>
      </c>
      <c r="N634" t="str">
        <f t="shared" si="29"/>
        <v>Expense</v>
      </c>
      <c r="O634" t="str">
        <f t="shared" si="30"/>
        <v/>
      </c>
    </row>
    <row r="635" spans="1:15" x14ac:dyDescent="0.25">
      <c r="A635" s="1" t="s">
        <v>4462</v>
      </c>
      <c r="B635" s="1" t="s">
        <v>4877</v>
      </c>
      <c r="C635" s="1" t="s">
        <v>3848</v>
      </c>
      <c r="D635" s="1" t="s">
        <v>3846</v>
      </c>
      <c r="E635">
        <v>154946</v>
      </c>
      <c r="F635">
        <v>196174.27</v>
      </c>
      <c r="G635">
        <f t="shared" si="28"/>
        <v>-41228.26999999999</v>
      </c>
      <c r="H635">
        <v>-41228.269999999997</v>
      </c>
      <c r="I635" s="3">
        <v>45058</v>
      </c>
      <c r="J635" s="1" t="s">
        <v>3790</v>
      </c>
      <c r="K635" s="1" t="s">
        <v>3783</v>
      </c>
      <c r="L635" s="1" t="s">
        <v>3784</v>
      </c>
      <c r="M635" s="1" t="s">
        <v>51</v>
      </c>
      <c r="N635" t="str">
        <f t="shared" si="29"/>
        <v>Expense</v>
      </c>
      <c r="O635" t="str">
        <f t="shared" si="30"/>
        <v/>
      </c>
    </row>
    <row r="636" spans="1:15" x14ac:dyDescent="0.25">
      <c r="A636" s="1" t="s">
        <v>4463</v>
      </c>
      <c r="B636" s="1" t="s">
        <v>3808</v>
      </c>
      <c r="C636" s="1" t="s">
        <v>3806</v>
      </c>
      <c r="D636" s="1" t="s">
        <v>3796</v>
      </c>
      <c r="E636">
        <v>177724</v>
      </c>
      <c r="F636">
        <v>225967.83</v>
      </c>
      <c r="G636">
        <f t="shared" si="28"/>
        <v>-48243.829999999987</v>
      </c>
      <c r="H636">
        <v>-48243.83</v>
      </c>
      <c r="I636" s="3">
        <v>45470</v>
      </c>
      <c r="J636" s="1" t="s">
        <v>3790</v>
      </c>
      <c r="K636" s="1" t="s">
        <v>3803</v>
      </c>
      <c r="L636" s="1" t="s">
        <v>3800</v>
      </c>
      <c r="M636" s="1" t="s">
        <v>51</v>
      </c>
      <c r="N636" t="str">
        <f t="shared" si="29"/>
        <v>Expense</v>
      </c>
      <c r="O636" t="str">
        <f t="shared" si="30"/>
        <v/>
      </c>
    </row>
    <row r="637" spans="1:15" x14ac:dyDescent="0.25">
      <c r="A637" s="1" t="s">
        <v>4464</v>
      </c>
      <c r="B637" s="1" t="s">
        <v>3808</v>
      </c>
      <c r="C637" s="1" t="s">
        <v>3858</v>
      </c>
      <c r="D637" s="1" t="s">
        <v>3822</v>
      </c>
      <c r="E637">
        <v>163856</v>
      </c>
      <c r="F637">
        <v>149335.29</v>
      </c>
      <c r="G637">
        <f t="shared" si="28"/>
        <v>14520.709999999992</v>
      </c>
      <c r="H637">
        <v>14520.71</v>
      </c>
      <c r="I637" s="3">
        <v>45109</v>
      </c>
      <c r="J637" s="1" t="s">
        <v>3790</v>
      </c>
      <c r="K637" s="1" t="s">
        <v>3791</v>
      </c>
      <c r="L637" s="1" t="s">
        <v>3784</v>
      </c>
      <c r="M637" s="1" t="s">
        <v>51</v>
      </c>
      <c r="N637" t="str">
        <f t="shared" si="29"/>
        <v>Expense</v>
      </c>
      <c r="O637" t="str">
        <f t="shared" si="30"/>
        <v/>
      </c>
    </row>
    <row r="638" spans="1:15" x14ac:dyDescent="0.25">
      <c r="A638" s="1" t="s">
        <v>4465</v>
      </c>
      <c r="B638" s="1" t="s">
        <v>3794</v>
      </c>
      <c r="C638" s="1" t="s">
        <v>3806</v>
      </c>
      <c r="D638" s="1" t="s">
        <v>3867</v>
      </c>
      <c r="E638">
        <v>196085</v>
      </c>
      <c r="F638">
        <v>235636.22</v>
      </c>
      <c r="G638">
        <f t="shared" si="28"/>
        <v>-39551.22</v>
      </c>
      <c r="I638" s="3">
        <v>44981</v>
      </c>
      <c r="J638" s="1" t="s">
        <v>3782</v>
      </c>
      <c r="K638" s="1" t="s">
        <v>3791</v>
      </c>
      <c r="L638" s="1" t="s">
        <v>3804</v>
      </c>
      <c r="M638" s="1" t="s">
        <v>3809</v>
      </c>
      <c r="N638" t="str">
        <f t="shared" si="29"/>
        <v>Expense</v>
      </c>
      <c r="O638" t="str">
        <f t="shared" si="30"/>
        <v/>
      </c>
    </row>
    <row r="639" spans="1:15" x14ac:dyDescent="0.25">
      <c r="A639" s="1" t="s">
        <v>4466</v>
      </c>
      <c r="B639" s="1" t="s">
        <v>3811</v>
      </c>
      <c r="C639" s="1" t="s">
        <v>3848</v>
      </c>
      <c r="D639" s="1" t="s">
        <v>3850</v>
      </c>
      <c r="E639">
        <v>188428</v>
      </c>
      <c r="F639">
        <v>202347.11</v>
      </c>
      <c r="G639">
        <f t="shared" si="28"/>
        <v>-13919.109999999986</v>
      </c>
      <c r="H639">
        <v>-13919.11</v>
      </c>
      <c r="I639" s="3">
        <v>45698</v>
      </c>
      <c r="J639" s="1" t="s">
        <v>3790</v>
      </c>
      <c r="K639" s="1" t="s">
        <v>3823</v>
      </c>
      <c r="L639" s="1" t="s">
        <v>3800</v>
      </c>
      <c r="M639" s="1" t="s">
        <v>3831</v>
      </c>
      <c r="N639" t="str">
        <f t="shared" si="29"/>
        <v>Expense</v>
      </c>
      <c r="O639" t="str">
        <f t="shared" si="30"/>
        <v/>
      </c>
    </row>
    <row r="640" spans="1:15" x14ac:dyDescent="0.25">
      <c r="A640" s="1" t="s">
        <v>4467</v>
      </c>
      <c r="B640" s="1" t="s">
        <v>3811</v>
      </c>
      <c r="C640" s="1" t="s">
        <v>3844</v>
      </c>
      <c r="D640" s="1" t="s">
        <v>3781</v>
      </c>
      <c r="E640">
        <v>23493</v>
      </c>
      <c r="F640">
        <v>22343.54</v>
      </c>
      <c r="G640">
        <f t="shared" si="28"/>
        <v>1149.4599999999991</v>
      </c>
      <c r="H640">
        <v>1149.46</v>
      </c>
      <c r="I640" s="3">
        <v>45706</v>
      </c>
      <c r="J640" s="1" t="s">
        <v>3790</v>
      </c>
      <c r="K640" s="1" t="s">
        <v>3803</v>
      </c>
      <c r="L640" s="1" t="s">
        <v>3800</v>
      </c>
      <c r="M640" s="1" t="s">
        <v>3817</v>
      </c>
      <c r="N640" t="str">
        <f t="shared" si="29"/>
        <v>Expense</v>
      </c>
      <c r="O640" t="str">
        <f t="shared" si="30"/>
        <v/>
      </c>
    </row>
    <row r="641" spans="1:15" x14ac:dyDescent="0.25">
      <c r="A641" s="1" t="s">
        <v>4468</v>
      </c>
      <c r="B641" s="1" t="s">
        <v>3811</v>
      </c>
      <c r="C641" s="1" t="s">
        <v>3806</v>
      </c>
      <c r="D641" s="1" t="s">
        <v>3867</v>
      </c>
      <c r="E641">
        <v>482592</v>
      </c>
      <c r="F641">
        <v>497325.81</v>
      </c>
      <c r="G641">
        <f t="shared" si="28"/>
        <v>-14733.809999999998</v>
      </c>
      <c r="H641">
        <v>-14733.81</v>
      </c>
      <c r="I641" s="3">
        <v>45065</v>
      </c>
      <c r="J641" s="1" t="s">
        <v>3782</v>
      </c>
      <c r="K641" s="1" t="s">
        <v>3823</v>
      </c>
      <c r="L641" s="1" t="s">
        <v>3784</v>
      </c>
      <c r="M641" s="1" t="s">
        <v>3831</v>
      </c>
      <c r="N641" t="str">
        <f t="shared" si="29"/>
        <v>Expense</v>
      </c>
      <c r="O641" t="str">
        <f t="shared" si="30"/>
        <v>Flag: High-Value Pending</v>
      </c>
    </row>
    <row r="642" spans="1:15" x14ac:dyDescent="0.25">
      <c r="A642" s="1" t="s">
        <v>4469</v>
      </c>
      <c r="B642" s="1" t="s">
        <v>3811</v>
      </c>
      <c r="C642" s="1" t="s">
        <v>3815</v>
      </c>
      <c r="D642" s="1" t="s">
        <v>3813</v>
      </c>
      <c r="E642">
        <v>273900</v>
      </c>
      <c r="F642">
        <v>255513.07</v>
      </c>
      <c r="G642">
        <f t="shared" ref="G642:G705" si="31">IF(F642="","",E642-F642)</f>
        <v>18386.929999999993</v>
      </c>
      <c r="H642">
        <v>18386.93</v>
      </c>
      <c r="I642" s="3">
        <v>45087</v>
      </c>
      <c r="J642" s="1" t="s">
        <v>3790</v>
      </c>
      <c r="K642" s="1" t="s">
        <v>3791</v>
      </c>
      <c r="L642" s="1" t="s">
        <v>3784</v>
      </c>
      <c r="M642" s="1" t="s">
        <v>51</v>
      </c>
      <c r="N642" t="str">
        <f t="shared" si="29"/>
        <v>Expense</v>
      </c>
      <c r="O642" t="str">
        <f t="shared" si="30"/>
        <v/>
      </c>
    </row>
    <row r="643" spans="1:15" x14ac:dyDescent="0.25">
      <c r="A643" s="1" t="s">
        <v>4470</v>
      </c>
      <c r="B643" s="1" t="s">
        <v>3828</v>
      </c>
      <c r="C643" s="1" t="s">
        <v>3812</v>
      </c>
      <c r="D643" s="1" t="s">
        <v>3799</v>
      </c>
      <c r="E643">
        <v>59074</v>
      </c>
      <c r="F643">
        <v>60585.23</v>
      </c>
      <c r="G643">
        <f t="shared" si="31"/>
        <v>-1511.2300000000032</v>
      </c>
      <c r="H643">
        <v>-1511.23</v>
      </c>
      <c r="I643" s="3">
        <v>44972</v>
      </c>
      <c r="J643" s="1" t="s">
        <v>3790</v>
      </c>
      <c r="K643" s="1" t="s">
        <v>3803</v>
      </c>
      <c r="L643" s="1" t="s">
        <v>3804</v>
      </c>
      <c r="M643" s="1" t="s">
        <v>3831</v>
      </c>
      <c r="N643" t="str">
        <f t="shared" ref="N643:N706" si="32">IF(E643&lt;0,"Credit/Refund","Expense")</f>
        <v>Expense</v>
      </c>
      <c r="O643" t="str">
        <f t="shared" ref="O643:O706" si="33">IF(AND(OR(J643="Pending",J643="Rejected"),E643&gt;200000),"Flag: High-Value "&amp;J643,"")</f>
        <v/>
      </c>
    </row>
    <row r="644" spans="1:15" x14ac:dyDescent="0.25">
      <c r="A644" s="1" t="s">
        <v>4471</v>
      </c>
      <c r="B644" s="1" t="s">
        <v>3828</v>
      </c>
      <c r="C644" s="1" t="s">
        <v>3788</v>
      </c>
      <c r="D644" s="1" t="s">
        <v>3846</v>
      </c>
      <c r="E644">
        <v>69757</v>
      </c>
      <c r="F644">
        <v>86250.27</v>
      </c>
      <c r="G644">
        <f t="shared" si="31"/>
        <v>-16493.270000000004</v>
      </c>
      <c r="H644">
        <v>-16493.27</v>
      </c>
      <c r="I644" s="3">
        <v>45477</v>
      </c>
      <c r="J644" s="1" t="s">
        <v>3782</v>
      </c>
      <c r="K644" s="1" t="s">
        <v>3791</v>
      </c>
      <c r="L644" s="1" t="s">
        <v>3800</v>
      </c>
      <c r="M644" s="1" t="s">
        <v>3817</v>
      </c>
      <c r="N644" t="str">
        <f t="shared" si="32"/>
        <v>Expense</v>
      </c>
      <c r="O644" t="str">
        <f t="shared" si="33"/>
        <v/>
      </c>
    </row>
    <row r="645" spans="1:15" x14ac:dyDescent="0.25">
      <c r="A645" s="1" t="s">
        <v>4472</v>
      </c>
      <c r="B645" s="1" t="s">
        <v>3808</v>
      </c>
      <c r="C645" s="1" t="s">
        <v>3795</v>
      </c>
      <c r="D645" s="1" t="s">
        <v>3781</v>
      </c>
      <c r="E645">
        <v>251254</v>
      </c>
      <c r="F645">
        <v>218808.44</v>
      </c>
      <c r="G645">
        <f t="shared" si="31"/>
        <v>32445.559999999998</v>
      </c>
      <c r="H645">
        <v>32445.56</v>
      </c>
      <c r="I645" s="3">
        <v>45576</v>
      </c>
      <c r="J645" s="1" t="s">
        <v>3790</v>
      </c>
      <c r="K645" s="1" t="s">
        <v>3783</v>
      </c>
      <c r="L645" s="1" t="s">
        <v>3800</v>
      </c>
      <c r="M645" s="1" t="s">
        <v>3831</v>
      </c>
      <c r="N645" t="str">
        <f t="shared" si="32"/>
        <v>Expense</v>
      </c>
      <c r="O645" t="str">
        <f t="shared" si="33"/>
        <v/>
      </c>
    </row>
    <row r="646" spans="1:15" x14ac:dyDescent="0.25">
      <c r="A646" s="1" t="s">
        <v>4473</v>
      </c>
      <c r="B646" s="1" t="s">
        <v>3811</v>
      </c>
      <c r="C646" s="1" t="s">
        <v>3821</v>
      </c>
      <c r="D646" s="1" t="s">
        <v>3834</v>
      </c>
      <c r="E646">
        <v>440497</v>
      </c>
      <c r="F646">
        <v>413309.43</v>
      </c>
      <c r="G646">
        <f t="shared" si="31"/>
        <v>27187.570000000007</v>
      </c>
      <c r="H646">
        <v>27187.57</v>
      </c>
      <c r="I646" s="3">
        <v>45081</v>
      </c>
      <c r="J646" s="1" t="s">
        <v>3790</v>
      </c>
      <c r="K646" s="1" t="s">
        <v>3823</v>
      </c>
      <c r="L646" s="1" t="s">
        <v>3784</v>
      </c>
      <c r="M646" s="1" t="s">
        <v>51</v>
      </c>
      <c r="N646" t="str">
        <f t="shared" si="32"/>
        <v>Expense</v>
      </c>
      <c r="O646" t="str">
        <f t="shared" si="33"/>
        <v/>
      </c>
    </row>
    <row r="647" spans="1:15" x14ac:dyDescent="0.25">
      <c r="A647" s="1" t="s">
        <v>4474</v>
      </c>
      <c r="B647" s="1" t="s">
        <v>3787</v>
      </c>
      <c r="C647" s="1" t="s">
        <v>3821</v>
      </c>
      <c r="D647" s="1" t="s">
        <v>3895</v>
      </c>
      <c r="E647">
        <v>72960</v>
      </c>
      <c r="F647">
        <v>63624.22</v>
      </c>
      <c r="G647">
        <f t="shared" si="31"/>
        <v>9335.7799999999988</v>
      </c>
      <c r="H647">
        <v>9335.7800000000007</v>
      </c>
      <c r="I647" s="3">
        <v>45718</v>
      </c>
      <c r="J647" s="1" t="s">
        <v>3790</v>
      </c>
      <c r="K647" s="1" t="s">
        <v>3823</v>
      </c>
      <c r="L647" s="1" t="s">
        <v>3800</v>
      </c>
      <c r="M647" s="1" t="s">
        <v>51</v>
      </c>
      <c r="N647" t="str">
        <f t="shared" si="32"/>
        <v>Expense</v>
      </c>
      <c r="O647" t="str">
        <f t="shared" si="33"/>
        <v/>
      </c>
    </row>
    <row r="648" spans="1:15" x14ac:dyDescent="0.25">
      <c r="A648" s="1" t="s">
        <v>4475</v>
      </c>
      <c r="B648" s="1" t="s">
        <v>3794</v>
      </c>
      <c r="C648" s="1" t="s">
        <v>3844</v>
      </c>
      <c r="D648" s="1" t="s">
        <v>3781</v>
      </c>
      <c r="E648">
        <v>223349</v>
      </c>
      <c r="F648">
        <v>214786.72</v>
      </c>
      <c r="G648">
        <f t="shared" si="31"/>
        <v>8562.2799999999988</v>
      </c>
      <c r="H648">
        <v>8562.2800000000007</v>
      </c>
      <c r="I648" s="3">
        <v>45473</v>
      </c>
      <c r="J648" s="1" t="s">
        <v>3790</v>
      </c>
      <c r="K648" s="1" t="s">
        <v>3783</v>
      </c>
      <c r="L648" s="1" t="s">
        <v>3800</v>
      </c>
      <c r="M648" s="1" t="s">
        <v>51</v>
      </c>
      <c r="N648" t="str">
        <f t="shared" si="32"/>
        <v>Expense</v>
      </c>
      <c r="O648" t="str">
        <f t="shared" si="33"/>
        <v/>
      </c>
    </row>
    <row r="649" spans="1:15" x14ac:dyDescent="0.25">
      <c r="A649" s="1" t="s">
        <v>4476</v>
      </c>
      <c r="B649" s="1" t="s">
        <v>3811</v>
      </c>
      <c r="C649" s="1" t="s">
        <v>3861</v>
      </c>
      <c r="D649" s="1" t="s">
        <v>3846</v>
      </c>
      <c r="E649">
        <v>426324</v>
      </c>
      <c r="F649">
        <v>511837.01</v>
      </c>
      <c r="G649">
        <f t="shared" si="31"/>
        <v>-85513.010000000009</v>
      </c>
      <c r="H649">
        <v>-85513.01</v>
      </c>
      <c r="I649" s="3">
        <v>45099</v>
      </c>
      <c r="J649" s="1" t="s">
        <v>3782</v>
      </c>
      <c r="K649" s="1" t="s">
        <v>3803</v>
      </c>
      <c r="L649" s="1" t="s">
        <v>3784</v>
      </c>
      <c r="M649" s="1" t="s">
        <v>51</v>
      </c>
      <c r="N649" t="str">
        <f t="shared" si="32"/>
        <v>Expense</v>
      </c>
      <c r="O649" t="str">
        <f t="shared" si="33"/>
        <v>Flag: High-Value Pending</v>
      </c>
    </row>
    <row r="650" spans="1:15" x14ac:dyDescent="0.25">
      <c r="A650" s="1" t="s">
        <v>4477</v>
      </c>
      <c r="B650" s="1" t="s">
        <v>3828</v>
      </c>
      <c r="C650" s="1" t="s">
        <v>3795</v>
      </c>
      <c r="D650" s="1" t="s">
        <v>3834</v>
      </c>
      <c r="E650">
        <v>52829</v>
      </c>
      <c r="F650">
        <v>46790.34</v>
      </c>
      <c r="G650">
        <f t="shared" si="31"/>
        <v>6038.6600000000035</v>
      </c>
      <c r="H650">
        <v>6038.66</v>
      </c>
      <c r="I650" s="3">
        <v>45591</v>
      </c>
      <c r="J650" s="1" t="s">
        <v>3790</v>
      </c>
      <c r="K650" s="1" t="s">
        <v>3791</v>
      </c>
      <c r="L650" s="1" t="s">
        <v>3800</v>
      </c>
      <c r="M650" s="1" t="s">
        <v>51</v>
      </c>
      <c r="N650" t="str">
        <f t="shared" si="32"/>
        <v>Expense</v>
      </c>
      <c r="O650" t="str">
        <f t="shared" si="33"/>
        <v/>
      </c>
    </row>
    <row r="651" spans="1:15" x14ac:dyDescent="0.25">
      <c r="A651" s="1" t="s">
        <v>4478</v>
      </c>
      <c r="B651" s="1" t="s">
        <v>3839</v>
      </c>
      <c r="C651" s="1" t="s">
        <v>4878</v>
      </c>
      <c r="D651" s="1" t="s">
        <v>3789</v>
      </c>
      <c r="E651">
        <v>277874</v>
      </c>
      <c r="F651">
        <v>297760.69</v>
      </c>
      <c r="G651">
        <f t="shared" si="31"/>
        <v>-19886.690000000002</v>
      </c>
      <c r="H651">
        <v>-19886.689999999999</v>
      </c>
      <c r="I651" s="3">
        <v>45091</v>
      </c>
      <c r="J651" s="1" t="s">
        <v>3790</v>
      </c>
      <c r="K651" s="1" t="s">
        <v>3783</v>
      </c>
      <c r="L651" s="1" t="s">
        <v>3784</v>
      </c>
      <c r="M651" s="1" t="s">
        <v>51</v>
      </c>
      <c r="N651" t="str">
        <f t="shared" si="32"/>
        <v>Expense</v>
      </c>
      <c r="O651" t="str">
        <f t="shared" si="33"/>
        <v/>
      </c>
    </row>
    <row r="652" spans="1:15" x14ac:dyDescent="0.25">
      <c r="A652" s="1" t="s">
        <v>4479</v>
      </c>
      <c r="B652" s="1" t="s">
        <v>3808</v>
      </c>
      <c r="C652" s="1" t="s">
        <v>3844</v>
      </c>
      <c r="D652" s="1" t="s">
        <v>3813</v>
      </c>
      <c r="E652">
        <v>484354</v>
      </c>
      <c r="F652">
        <v>601393.41</v>
      </c>
      <c r="G652">
        <f t="shared" si="31"/>
        <v>-117039.41000000003</v>
      </c>
      <c r="H652">
        <v>-117039.41</v>
      </c>
      <c r="I652" s="3">
        <v>45275</v>
      </c>
      <c r="J652" s="1" t="s">
        <v>3782</v>
      </c>
      <c r="K652" s="1" t="s">
        <v>3791</v>
      </c>
      <c r="L652" s="1" t="s">
        <v>3784</v>
      </c>
      <c r="M652" s="1" t="s">
        <v>51</v>
      </c>
      <c r="N652" t="str">
        <f t="shared" si="32"/>
        <v>Expense</v>
      </c>
      <c r="O652" t="str">
        <f t="shared" si="33"/>
        <v>Flag: High-Value Pending</v>
      </c>
    </row>
    <row r="653" spans="1:15" x14ac:dyDescent="0.25">
      <c r="A653" s="1" t="s">
        <v>4480</v>
      </c>
      <c r="B653" s="1" t="s">
        <v>3787</v>
      </c>
      <c r="C653" s="1" t="s">
        <v>3780</v>
      </c>
      <c r="D653" s="1" t="s">
        <v>3796</v>
      </c>
      <c r="E653">
        <v>267336</v>
      </c>
      <c r="G653" t="str">
        <f t="shared" si="31"/>
        <v/>
      </c>
      <c r="H653">
        <v>-66738.820000000007</v>
      </c>
      <c r="I653" s="3">
        <v>45350</v>
      </c>
      <c r="J653" s="1" t="s">
        <v>3790</v>
      </c>
      <c r="K653" s="1" t="s">
        <v>3803</v>
      </c>
      <c r="L653" s="1" t="s">
        <v>3784</v>
      </c>
      <c r="M653" s="1" t="s">
        <v>51</v>
      </c>
      <c r="N653" t="str">
        <f t="shared" si="32"/>
        <v>Expense</v>
      </c>
      <c r="O653" t="str">
        <f t="shared" si="33"/>
        <v/>
      </c>
    </row>
    <row r="654" spans="1:15" x14ac:dyDescent="0.25">
      <c r="A654" s="1" t="s">
        <v>4481</v>
      </c>
      <c r="B654" s="1" t="s">
        <v>3798</v>
      </c>
      <c r="C654" s="1" t="s">
        <v>3844</v>
      </c>
      <c r="D654" s="1" t="s">
        <v>3781</v>
      </c>
      <c r="E654">
        <v>234724</v>
      </c>
      <c r="F654">
        <v>228850.97</v>
      </c>
      <c r="G654">
        <f t="shared" si="31"/>
        <v>5873.0299999999988</v>
      </c>
      <c r="H654">
        <v>5873.03</v>
      </c>
      <c r="I654" s="3">
        <v>45377</v>
      </c>
      <c r="J654" s="1" t="s">
        <v>3790</v>
      </c>
      <c r="K654" s="1" t="s">
        <v>3823</v>
      </c>
      <c r="L654" s="1" t="s">
        <v>3784</v>
      </c>
      <c r="M654" s="1" t="s">
        <v>51</v>
      </c>
      <c r="N654" t="str">
        <f t="shared" si="32"/>
        <v>Expense</v>
      </c>
      <c r="O654" t="str">
        <f t="shared" si="33"/>
        <v/>
      </c>
    </row>
    <row r="655" spans="1:15" x14ac:dyDescent="0.25">
      <c r="A655" s="1" t="s">
        <v>4482</v>
      </c>
      <c r="B655" s="1" t="s">
        <v>3811</v>
      </c>
      <c r="C655" s="1" t="s">
        <v>3821</v>
      </c>
      <c r="D655" s="1" t="s">
        <v>3834</v>
      </c>
      <c r="E655">
        <v>57908</v>
      </c>
      <c r="F655">
        <v>52714.69</v>
      </c>
      <c r="G655">
        <f t="shared" si="31"/>
        <v>5193.3099999999977</v>
      </c>
      <c r="H655">
        <v>5193.3100000000004</v>
      </c>
      <c r="I655" s="3">
        <v>45431</v>
      </c>
      <c r="J655" s="1" t="s">
        <v>3782</v>
      </c>
      <c r="K655" s="1" t="s">
        <v>3791</v>
      </c>
      <c r="L655" s="1" t="s">
        <v>3800</v>
      </c>
      <c r="M655" s="1" t="s">
        <v>51</v>
      </c>
      <c r="N655" t="str">
        <f t="shared" si="32"/>
        <v>Expense</v>
      </c>
      <c r="O655" t="str">
        <f t="shared" si="33"/>
        <v/>
      </c>
    </row>
    <row r="656" spans="1:15" x14ac:dyDescent="0.25">
      <c r="A656" s="1" t="s">
        <v>4483</v>
      </c>
      <c r="B656" s="1" t="s">
        <v>3808</v>
      </c>
      <c r="C656" s="1" t="s">
        <v>3844</v>
      </c>
      <c r="D656" s="1" t="s">
        <v>3826</v>
      </c>
      <c r="E656">
        <v>170596</v>
      </c>
      <c r="F656">
        <v>198553.44</v>
      </c>
      <c r="G656">
        <f t="shared" si="31"/>
        <v>-27957.440000000002</v>
      </c>
      <c r="H656">
        <v>-27957.439999999999</v>
      </c>
      <c r="I656" s="3">
        <v>45154</v>
      </c>
      <c r="J656" s="1" t="s">
        <v>3782</v>
      </c>
      <c r="K656" s="1" t="s">
        <v>3803</v>
      </c>
      <c r="L656" s="1" t="s">
        <v>3784</v>
      </c>
      <c r="M656" s="1" t="s">
        <v>51</v>
      </c>
      <c r="N656" t="str">
        <f t="shared" si="32"/>
        <v>Expense</v>
      </c>
      <c r="O656" t="str">
        <f t="shared" si="33"/>
        <v/>
      </c>
    </row>
    <row r="657" spans="1:15" x14ac:dyDescent="0.25">
      <c r="A657" s="1" t="s">
        <v>4484</v>
      </c>
      <c r="B657" s="1" t="s">
        <v>3839</v>
      </c>
      <c r="C657" s="1" t="s">
        <v>3861</v>
      </c>
      <c r="D657" s="1" t="s">
        <v>3813</v>
      </c>
      <c r="E657">
        <v>406142</v>
      </c>
      <c r="F657">
        <v>459946.66</v>
      </c>
      <c r="G657">
        <f t="shared" si="31"/>
        <v>-53804.659999999974</v>
      </c>
      <c r="H657">
        <v>-53804.66</v>
      </c>
      <c r="I657" s="3">
        <v>45255</v>
      </c>
      <c r="J657" s="1" t="s">
        <v>3790</v>
      </c>
      <c r="K657" s="1" t="s">
        <v>3791</v>
      </c>
      <c r="L657" s="1" t="s">
        <v>3784</v>
      </c>
      <c r="M657" s="1" t="s">
        <v>51</v>
      </c>
      <c r="N657" t="str">
        <f t="shared" si="32"/>
        <v>Expense</v>
      </c>
      <c r="O657" t="str">
        <f t="shared" si="33"/>
        <v/>
      </c>
    </row>
    <row r="658" spans="1:15" x14ac:dyDescent="0.25">
      <c r="A658" s="1" t="s">
        <v>4485</v>
      </c>
      <c r="B658" s="1" t="s">
        <v>3808</v>
      </c>
      <c r="C658" s="1" t="s">
        <v>3844</v>
      </c>
      <c r="D658" s="1" t="s">
        <v>3895</v>
      </c>
      <c r="E658">
        <v>213389</v>
      </c>
      <c r="F658">
        <v>269457.19</v>
      </c>
      <c r="G658">
        <f t="shared" si="31"/>
        <v>-56068.19</v>
      </c>
      <c r="H658">
        <v>-56068.19</v>
      </c>
      <c r="I658" s="3">
        <v>45172</v>
      </c>
      <c r="J658" s="1" t="s">
        <v>3782</v>
      </c>
      <c r="K658" s="1" t="s">
        <v>3783</v>
      </c>
      <c r="L658" s="1" t="s">
        <v>3784</v>
      </c>
      <c r="M658" s="1" t="s">
        <v>51</v>
      </c>
      <c r="N658" t="str">
        <f t="shared" si="32"/>
        <v>Expense</v>
      </c>
      <c r="O658" t="str">
        <f t="shared" si="33"/>
        <v>Flag: High-Value Pending</v>
      </c>
    </row>
    <row r="659" spans="1:15" x14ac:dyDescent="0.25">
      <c r="A659" s="1" t="s">
        <v>4486</v>
      </c>
      <c r="B659" s="1" t="s">
        <v>3798</v>
      </c>
      <c r="C659" s="1" t="s">
        <v>3815</v>
      </c>
      <c r="D659" s="1" t="s">
        <v>3895</v>
      </c>
      <c r="E659">
        <v>453323</v>
      </c>
      <c r="F659">
        <v>367797.88</v>
      </c>
      <c r="G659">
        <f t="shared" si="31"/>
        <v>85525.119999999995</v>
      </c>
      <c r="H659">
        <v>85525.119999999995</v>
      </c>
      <c r="I659" s="3">
        <v>45049</v>
      </c>
      <c r="J659" s="1" t="s">
        <v>3782</v>
      </c>
      <c r="K659" s="1" t="s">
        <v>3823</v>
      </c>
      <c r="L659" s="1" t="s">
        <v>3784</v>
      </c>
      <c r="M659" s="1" t="s">
        <v>51</v>
      </c>
      <c r="N659" t="str">
        <f t="shared" si="32"/>
        <v>Expense</v>
      </c>
      <c r="O659" t="str">
        <f t="shared" si="33"/>
        <v>Flag: High-Value Pending</v>
      </c>
    </row>
    <row r="660" spans="1:15" x14ac:dyDescent="0.25">
      <c r="A660" s="1" t="s">
        <v>4487</v>
      </c>
      <c r="B660" s="1" t="s">
        <v>3808</v>
      </c>
      <c r="C660" s="1" t="s">
        <v>3848</v>
      </c>
      <c r="D660" s="1" t="s">
        <v>3895</v>
      </c>
      <c r="E660">
        <v>269050</v>
      </c>
      <c r="F660">
        <v>333174.65000000002</v>
      </c>
      <c r="G660">
        <f t="shared" si="31"/>
        <v>-64124.650000000023</v>
      </c>
      <c r="H660">
        <v>-64124.65</v>
      </c>
      <c r="I660" s="3">
        <v>45362</v>
      </c>
      <c r="J660" s="1" t="s">
        <v>3790</v>
      </c>
      <c r="K660" s="1" t="s">
        <v>3803</v>
      </c>
      <c r="L660" s="1" t="s">
        <v>3784</v>
      </c>
      <c r="M660" s="1" t="s">
        <v>51</v>
      </c>
      <c r="N660" t="str">
        <f t="shared" si="32"/>
        <v>Expense</v>
      </c>
      <c r="O660" t="str">
        <f t="shared" si="33"/>
        <v/>
      </c>
    </row>
    <row r="661" spans="1:15" x14ac:dyDescent="0.25">
      <c r="A661" s="1" t="s">
        <v>4488</v>
      </c>
      <c r="B661" s="1" t="s">
        <v>3839</v>
      </c>
      <c r="C661" s="1" t="s">
        <v>3858</v>
      </c>
      <c r="D661" s="1" t="s">
        <v>3822</v>
      </c>
      <c r="E661">
        <v>51108</v>
      </c>
      <c r="F661">
        <v>46369.98</v>
      </c>
      <c r="G661">
        <f t="shared" si="31"/>
        <v>4738.0199999999968</v>
      </c>
      <c r="H661">
        <v>4738.0200000000004</v>
      </c>
      <c r="I661" s="3">
        <v>45077</v>
      </c>
      <c r="J661" s="1" t="s">
        <v>3790</v>
      </c>
      <c r="K661" s="1" t="s">
        <v>3823</v>
      </c>
      <c r="L661" s="1" t="s">
        <v>3784</v>
      </c>
      <c r="M661" s="1" t="s">
        <v>3792</v>
      </c>
      <c r="N661" t="str">
        <f t="shared" si="32"/>
        <v>Expense</v>
      </c>
      <c r="O661" t="str">
        <f t="shared" si="33"/>
        <v/>
      </c>
    </row>
    <row r="662" spans="1:15" x14ac:dyDescent="0.25">
      <c r="A662" s="1" t="s">
        <v>4489</v>
      </c>
      <c r="B662" s="1" t="s">
        <v>3787</v>
      </c>
      <c r="C662" s="1" t="s">
        <v>4878</v>
      </c>
      <c r="D662" s="1" t="s">
        <v>3781</v>
      </c>
      <c r="E662">
        <v>371069</v>
      </c>
      <c r="F662">
        <v>418595.72</v>
      </c>
      <c r="G662">
        <f t="shared" si="31"/>
        <v>-47526.719999999972</v>
      </c>
      <c r="H662">
        <v>-47526.720000000001</v>
      </c>
      <c r="I662" s="3">
        <v>45075</v>
      </c>
      <c r="J662" s="1" t="s">
        <v>3782</v>
      </c>
      <c r="K662" s="1" t="s">
        <v>3823</v>
      </c>
      <c r="L662" s="1" t="s">
        <v>3784</v>
      </c>
      <c r="M662" s="1" t="s">
        <v>51</v>
      </c>
      <c r="N662" t="str">
        <f t="shared" si="32"/>
        <v>Expense</v>
      </c>
      <c r="O662" t="str">
        <f t="shared" si="33"/>
        <v>Flag: High-Value Pending</v>
      </c>
    </row>
    <row r="663" spans="1:15" x14ac:dyDescent="0.25">
      <c r="A663" s="1" t="s">
        <v>4490</v>
      </c>
      <c r="B663" s="1" t="s">
        <v>3787</v>
      </c>
      <c r="C663" s="1" t="s">
        <v>3795</v>
      </c>
      <c r="D663" s="1" t="s">
        <v>3867</v>
      </c>
      <c r="E663">
        <v>372842</v>
      </c>
      <c r="F663">
        <v>397469.52</v>
      </c>
      <c r="G663">
        <f t="shared" si="31"/>
        <v>-24627.520000000019</v>
      </c>
      <c r="H663">
        <v>-24627.52</v>
      </c>
      <c r="I663" s="3">
        <v>45522</v>
      </c>
      <c r="J663" s="1" t="s">
        <v>3790</v>
      </c>
      <c r="K663" s="1" t="s">
        <v>3783</v>
      </c>
      <c r="L663" s="1" t="s">
        <v>3800</v>
      </c>
      <c r="M663" s="1" t="s">
        <v>3831</v>
      </c>
      <c r="N663" t="str">
        <f t="shared" si="32"/>
        <v>Expense</v>
      </c>
      <c r="O663" t="str">
        <f t="shared" si="33"/>
        <v/>
      </c>
    </row>
    <row r="664" spans="1:15" x14ac:dyDescent="0.25">
      <c r="A664" s="1" t="s">
        <v>4491</v>
      </c>
      <c r="B664" s="1" t="s">
        <v>3794</v>
      </c>
      <c r="C664" s="1" t="s">
        <v>3848</v>
      </c>
      <c r="D664" s="1" t="s">
        <v>3837</v>
      </c>
      <c r="E664">
        <v>1811621</v>
      </c>
      <c r="F664">
        <v>1654255.19</v>
      </c>
      <c r="G664">
        <f t="shared" si="31"/>
        <v>157365.81000000006</v>
      </c>
      <c r="H664">
        <v>157365.81</v>
      </c>
      <c r="I664" s="3">
        <v>45148</v>
      </c>
      <c r="J664" s="1" t="s">
        <v>3790</v>
      </c>
      <c r="K664" s="1" t="s">
        <v>3803</v>
      </c>
      <c r="L664" s="1" t="s">
        <v>3784</v>
      </c>
      <c r="M664" s="1" t="s">
        <v>3792</v>
      </c>
      <c r="N664" t="str">
        <f t="shared" si="32"/>
        <v>Expense</v>
      </c>
      <c r="O664" t="str">
        <f t="shared" si="33"/>
        <v/>
      </c>
    </row>
    <row r="665" spans="1:15" x14ac:dyDescent="0.25">
      <c r="A665" s="1" t="s">
        <v>4492</v>
      </c>
      <c r="B665" s="1" t="s">
        <v>3839</v>
      </c>
      <c r="C665" s="1" t="s">
        <v>3825</v>
      </c>
      <c r="D665" s="1" t="s">
        <v>3855</v>
      </c>
      <c r="E665">
        <v>175404</v>
      </c>
      <c r="F665">
        <v>214676.76</v>
      </c>
      <c r="G665">
        <f t="shared" si="31"/>
        <v>-39272.760000000009</v>
      </c>
      <c r="H665">
        <v>-39272.76</v>
      </c>
      <c r="I665" s="3">
        <v>45006</v>
      </c>
      <c r="J665" s="1" t="s">
        <v>3859</v>
      </c>
      <c r="K665" s="1" t="s">
        <v>3803</v>
      </c>
      <c r="L665" s="1" t="s">
        <v>3804</v>
      </c>
      <c r="M665" s="1" t="s">
        <v>51</v>
      </c>
      <c r="N665" t="str">
        <f t="shared" si="32"/>
        <v>Expense</v>
      </c>
      <c r="O665" t="str">
        <f t="shared" si="33"/>
        <v/>
      </c>
    </row>
    <row r="666" spans="1:15" x14ac:dyDescent="0.25">
      <c r="A666" s="1" t="s">
        <v>4493</v>
      </c>
      <c r="B666" s="1" t="s">
        <v>3787</v>
      </c>
      <c r="C666" s="1" t="s">
        <v>3821</v>
      </c>
      <c r="D666" s="1" t="s">
        <v>3826</v>
      </c>
      <c r="E666">
        <v>208150</v>
      </c>
      <c r="F666">
        <v>249693.88</v>
      </c>
      <c r="G666">
        <f t="shared" si="31"/>
        <v>-41543.880000000005</v>
      </c>
      <c r="H666">
        <v>-41543.879999999997</v>
      </c>
      <c r="I666" s="3">
        <v>45518</v>
      </c>
      <c r="J666" s="1" t="s">
        <v>3790</v>
      </c>
      <c r="K666" s="1" t="s">
        <v>3823</v>
      </c>
      <c r="L666" s="1" t="s">
        <v>3800</v>
      </c>
      <c r="M666" s="1" t="s">
        <v>51</v>
      </c>
      <c r="N666" t="str">
        <f t="shared" si="32"/>
        <v>Expense</v>
      </c>
      <c r="O666" t="str">
        <f t="shared" si="33"/>
        <v/>
      </c>
    </row>
    <row r="667" spans="1:15" x14ac:dyDescent="0.25">
      <c r="A667" s="1" t="s">
        <v>4494</v>
      </c>
      <c r="B667" s="1" t="s">
        <v>3787</v>
      </c>
      <c r="C667" s="1" t="s">
        <v>3844</v>
      </c>
      <c r="D667" s="1" t="s">
        <v>3867</v>
      </c>
      <c r="E667">
        <v>-465791</v>
      </c>
      <c r="F667">
        <v>405659.2</v>
      </c>
      <c r="G667">
        <f t="shared" si="31"/>
        <v>-871450.2</v>
      </c>
      <c r="H667">
        <v>60131.8</v>
      </c>
      <c r="I667" s="3">
        <v>45123</v>
      </c>
      <c r="J667" s="1" t="s">
        <v>3790</v>
      </c>
      <c r="K667" s="1" t="s">
        <v>3783</v>
      </c>
      <c r="L667" s="1" t="s">
        <v>3784</v>
      </c>
      <c r="M667" s="1" t="s">
        <v>51</v>
      </c>
      <c r="N667" t="str">
        <f t="shared" si="32"/>
        <v>Credit/Refund</v>
      </c>
      <c r="O667" t="str">
        <f t="shared" si="33"/>
        <v/>
      </c>
    </row>
    <row r="668" spans="1:15" x14ac:dyDescent="0.25">
      <c r="A668" s="1" t="s">
        <v>4495</v>
      </c>
      <c r="B668" s="1" t="s">
        <v>3828</v>
      </c>
      <c r="C668" s="1" t="s">
        <v>3848</v>
      </c>
      <c r="D668" s="1" t="s">
        <v>3846</v>
      </c>
      <c r="E668">
        <v>432960</v>
      </c>
      <c r="F668">
        <v>437124.63</v>
      </c>
      <c r="G668">
        <f t="shared" si="31"/>
        <v>-4164.6300000000047</v>
      </c>
      <c r="I668" s="3">
        <v>45225</v>
      </c>
      <c r="J668" s="1" t="s">
        <v>3790</v>
      </c>
      <c r="K668" s="1" t="s">
        <v>3803</v>
      </c>
      <c r="L668" s="1" t="s">
        <v>3784</v>
      </c>
      <c r="M668" s="1" t="s">
        <v>3831</v>
      </c>
      <c r="N668" t="str">
        <f t="shared" si="32"/>
        <v>Expense</v>
      </c>
      <c r="O668" t="str">
        <f t="shared" si="33"/>
        <v/>
      </c>
    </row>
    <row r="669" spans="1:15" x14ac:dyDescent="0.25">
      <c r="A669" s="1" t="s">
        <v>4496</v>
      </c>
      <c r="B669" s="1" t="s">
        <v>3798</v>
      </c>
      <c r="C669" s="1" t="s">
        <v>3812</v>
      </c>
      <c r="D669" s="1" t="s">
        <v>3781</v>
      </c>
      <c r="E669">
        <v>20956</v>
      </c>
      <c r="F669">
        <v>17326.400000000001</v>
      </c>
      <c r="G669">
        <f t="shared" si="31"/>
        <v>3629.5999999999985</v>
      </c>
      <c r="H669">
        <v>3629.6</v>
      </c>
      <c r="I669" s="3">
        <v>44973</v>
      </c>
      <c r="J669" s="1" t="s">
        <v>3859</v>
      </c>
      <c r="K669" s="1" t="s">
        <v>3791</v>
      </c>
      <c r="L669" s="1" t="s">
        <v>3804</v>
      </c>
      <c r="M669" s="1" t="s">
        <v>51</v>
      </c>
      <c r="N669" t="str">
        <f t="shared" si="32"/>
        <v>Expense</v>
      </c>
      <c r="O669" t="str">
        <f t="shared" si="33"/>
        <v/>
      </c>
    </row>
    <row r="670" spans="1:15" x14ac:dyDescent="0.25">
      <c r="A670" s="1" t="s">
        <v>4497</v>
      </c>
      <c r="B670" s="1" t="s">
        <v>3839</v>
      </c>
      <c r="C670" s="1" t="s">
        <v>3861</v>
      </c>
      <c r="D670" s="1" t="s">
        <v>3834</v>
      </c>
      <c r="E670">
        <v>227030</v>
      </c>
      <c r="F670">
        <v>287338.31</v>
      </c>
      <c r="G670">
        <f t="shared" si="31"/>
        <v>-60308.31</v>
      </c>
      <c r="H670">
        <v>-60308.31</v>
      </c>
      <c r="I670" s="3">
        <v>45369</v>
      </c>
      <c r="J670" s="1" t="s">
        <v>3790</v>
      </c>
      <c r="K670" s="1" t="s">
        <v>3783</v>
      </c>
      <c r="L670" s="1" t="s">
        <v>3784</v>
      </c>
      <c r="M670" s="1" t="s">
        <v>3792</v>
      </c>
      <c r="N670" t="str">
        <f t="shared" si="32"/>
        <v>Expense</v>
      </c>
      <c r="O670" t="str">
        <f t="shared" si="33"/>
        <v/>
      </c>
    </row>
    <row r="671" spans="1:15" x14ac:dyDescent="0.25">
      <c r="A671" s="1" t="s">
        <v>4498</v>
      </c>
      <c r="B671" s="1" t="s">
        <v>3794</v>
      </c>
      <c r="C671" s="1" t="s">
        <v>4878</v>
      </c>
      <c r="D671" s="1" t="s">
        <v>3822</v>
      </c>
      <c r="E671">
        <v>497199</v>
      </c>
      <c r="F671">
        <v>587241.94999999995</v>
      </c>
      <c r="G671">
        <f t="shared" si="31"/>
        <v>-90042.949999999953</v>
      </c>
      <c r="H671">
        <v>-90042.95</v>
      </c>
      <c r="I671" s="3">
        <v>45226</v>
      </c>
      <c r="J671" s="1" t="s">
        <v>3790</v>
      </c>
      <c r="K671" s="1" t="s">
        <v>3791</v>
      </c>
      <c r="L671" s="1" t="s">
        <v>3784</v>
      </c>
      <c r="M671" s="1" t="s">
        <v>51</v>
      </c>
      <c r="N671" t="str">
        <f t="shared" si="32"/>
        <v>Expense</v>
      </c>
      <c r="O671" t="str">
        <f t="shared" si="33"/>
        <v/>
      </c>
    </row>
    <row r="672" spans="1:15" x14ac:dyDescent="0.25">
      <c r="A672" s="1" t="s">
        <v>4499</v>
      </c>
      <c r="B672" s="1" t="s">
        <v>3808</v>
      </c>
      <c r="C672" s="1" t="s">
        <v>3788</v>
      </c>
      <c r="D672" s="1" t="s">
        <v>3850</v>
      </c>
      <c r="E672">
        <v>17494</v>
      </c>
      <c r="F672">
        <v>21819.33</v>
      </c>
      <c r="G672">
        <f t="shared" si="31"/>
        <v>-4325.3300000000017</v>
      </c>
      <c r="H672">
        <v>-4325.33</v>
      </c>
      <c r="I672" s="3">
        <v>45229</v>
      </c>
      <c r="J672" s="1" t="s">
        <v>3782</v>
      </c>
      <c r="K672" s="1" t="s">
        <v>3783</v>
      </c>
      <c r="L672" s="1" t="s">
        <v>3784</v>
      </c>
      <c r="M672" s="1" t="s">
        <v>51</v>
      </c>
      <c r="N672" t="str">
        <f t="shared" si="32"/>
        <v>Expense</v>
      </c>
      <c r="O672" t="str">
        <f t="shared" si="33"/>
        <v/>
      </c>
    </row>
    <row r="673" spans="1:15" x14ac:dyDescent="0.25">
      <c r="A673" s="1" t="s">
        <v>4500</v>
      </c>
      <c r="B673" s="1" t="s">
        <v>3811</v>
      </c>
      <c r="C673" s="1" t="s">
        <v>3815</v>
      </c>
      <c r="D673" s="1" t="s">
        <v>3799</v>
      </c>
      <c r="E673">
        <v>310160</v>
      </c>
      <c r="F673">
        <v>351074.26</v>
      </c>
      <c r="G673">
        <f t="shared" si="31"/>
        <v>-40914.260000000009</v>
      </c>
      <c r="H673">
        <v>-40914.26</v>
      </c>
      <c r="I673" s="3">
        <v>45337</v>
      </c>
      <c r="J673" s="1" t="s">
        <v>3790</v>
      </c>
      <c r="K673" s="1" t="s">
        <v>3823</v>
      </c>
      <c r="L673" s="1" t="s">
        <v>3784</v>
      </c>
      <c r="M673" s="1" t="s">
        <v>3792</v>
      </c>
      <c r="N673" t="str">
        <f t="shared" si="32"/>
        <v>Expense</v>
      </c>
      <c r="O673" t="str">
        <f t="shared" si="33"/>
        <v/>
      </c>
    </row>
    <row r="674" spans="1:15" x14ac:dyDescent="0.25">
      <c r="A674" s="1" t="s">
        <v>4501</v>
      </c>
      <c r="B674" s="1" t="s">
        <v>3794</v>
      </c>
      <c r="C674" s="1" t="s">
        <v>3795</v>
      </c>
      <c r="D674" s="1" t="s">
        <v>3781</v>
      </c>
      <c r="E674">
        <v>215143</v>
      </c>
      <c r="F674">
        <v>173090.34</v>
      </c>
      <c r="G674">
        <f t="shared" si="31"/>
        <v>42052.66</v>
      </c>
      <c r="H674">
        <v>42052.66</v>
      </c>
      <c r="I674" s="3">
        <v>44981</v>
      </c>
      <c r="J674" s="1" t="s">
        <v>3790</v>
      </c>
      <c r="K674" s="1" t="s">
        <v>3823</v>
      </c>
      <c r="L674" s="1" t="s">
        <v>3804</v>
      </c>
      <c r="M674" s="1" t="s">
        <v>51</v>
      </c>
      <c r="N674" t="str">
        <f t="shared" si="32"/>
        <v>Expense</v>
      </c>
      <c r="O674" t="str">
        <f t="shared" si="33"/>
        <v/>
      </c>
    </row>
    <row r="675" spans="1:15" x14ac:dyDescent="0.25">
      <c r="A675" s="1" t="s">
        <v>4502</v>
      </c>
      <c r="B675" s="1" t="s">
        <v>3828</v>
      </c>
      <c r="C675" s="1" t="s">
        <v>3788</v>
      </c>
      <c r="D675" s="1" t="s">
        <v>3850</v>
      </c>
      <c r="E675">
        <v>144022</v>
      </c>
      <c r="F675">
        <v>151176.37</v>
      </c>
      <c r="G675">
        <f t="shared" si="31"/>
        <v>-7154.3699999999953</v>
      </c>
      <c r="H675">
        <v>-7154.37</v>
      </c>
      <c r="I675" s="3">
        <v>45264</v>
      </c>
      <c r="J675" s="1" t="s">
        <v>3790</v>
      </c>
      <c r="K675" s="1" t="s">
        <v>3823</v>
      </c>
      <c r="L675" s="1" t="s">
        <v>3784</v>
      </c>
      <c r="M675" s="1" t="s">
        <v>51</v>
      </c>
      <c r="N675" t="str">
        <f t="shared" si="32"/>
        <v>Expense</v>
      </c>
      <c r="O675" t="str">
        <f t="shared" si="33"/>
        <v/>
      </c>
    </row>
    <row r="676" spans="1:15" x14ac:dyDescent="0.25">
      <c r="A676" s="1" t="s">
        <v>4503</v>
      </c>
      <c r="B676" s="1" t="s">
        <v>3787</v>
      </c>
      <c r="C676" s="1" t="s">
        <v>3844</v>
      </c>
      <c r="D676" s="1" t="s">
        <v>3813</v>
      </c>
      <c r="E676">
        <v>299426</v>
      </c>
      <c r="F676">
        <v>281637.83</v>
      </c>
      <c r="G676">
        <f t="shared" si="31"/>
        <v>17788.169999999984</v>
      </c>
      <c r="H676">
        <v>17788.169999999998</v>
      </c>
      <c r="I676" s="3">
        <v>45516</v>
      </c>
      <c r="J676" s="1" t="s">
        <v>3790</v>
      </c>
      <c r="K676" s="1" t="s">
        <v>3823</v>
      </c>
      <c r="L676" s="1" t="s">
        <v>3800</v>
      </c>
      <c r="M676" s="1" t="s">
        <v>3792</v>
      </c>
      <c r="N676" t="str">
        <f t="shared" si="32"/>
        <v>Expense</v>
      </c>
      <c r="O676" t="str">
        <f t="shared" si="33"/>
        <v/>
      </c>
    </row>
    <row r="677" spans="1:15" x14ac:dyDescent="0.25">
      <c r="A677" s="1" t="s">
        <v>4504</v>
      </c>
      <c r="B677" s="1" t="s">
        <v>3811</v>
      </c>
      <c r="C677" s="1" t="s">
        <v>3844</v>
      </c>
      <c r="D677" s="1" t="s">
        <v>3895</v>
      </c>
      <c r="E677">
        <v>371377</v>
      </c>
      <c r="G677" t="str">
        <f t="shared" si="31"/>
        <v/>
      </c>
      <c r="H677">
        <v>27780.1</v>
      </c>
      <c r="I677" s="3">
        <v>45638</v>
      </c>
      <c r="J677" s="1" t="s">
        <v>3790</v>
      </c>
      <c r="K677" s="1" t="s">
        <v>3791</v>
      </c>
      <c r="L677" s="1" t="s">
        <v>3800</v>
      </c>
      <c r="M677" s="1" t="s">
        <v>3817</v>
      </c>
      <c r="N677" t="str">
        <f t="shared" si="32"/>
        <v>Expense</v>
      </c>
      <c r="O677" t="str">
        <f t="shared" si="33"/>
        <v/>
      </c>
    </row>
    <row r="678" spans="1:15" x14ac:dyDescent="0.25">
      <c r="A678" s="1" t="s">
        <v>4505</v>
      </c>
      <c r="B678" s="1" t="s">
        <v>3811</v>
      </c>
      <c r="C678" s="1" t="s">
        <v>3795</v>
      </c>
      <c r="D678" s="1" t="s">
        <v>3846</v>
      </c>
      <c r="E678">
        <v>175604</v>
      </c>
      <c r="F678">
        <v>212918.44</v>
      </c>
      <c r="G678">
        <f t="shared" si="31"/>
        <v>-37314.44</v>
      </c>
      <c r="H678">
        <v>-37314.44</v>
      </c>
      <c r="I678" s="3">
        <v>45111</v>
      </c>
      <c r="J678" s="1" t="s">
        <v>3790</v>
      </c>
      <c r="K678" s="1" t="s">
        <v>3791</v>
      </c>
      <c r="L678" s="1" t="s">
        <v>3784</v>
      </c>
      <c r="M678" s="1" t="s">
        <v>51</v>
      </c>
      <c r="N678" t="str">
        <f t="shared" si="32"/>
        <v>Expense</v>
      </c>
      <c r="O678" t="str">
        <f t="shared" si="33"/>
        <v/>
      </c>
    </row>
    <row r="679" spans="1:15" x14ac:dyDescent="0.25">
      <c r="A679" s="1" t="s">
        <v>4506</v>
      </c>
      <c r="B679" s="1" t="s">
        <v>3839</v>
      </c>
      <c r="C679" s="1" t="s">
        <v>3821</v>
      </c>
      <c r="D679" s="1" t="s">
        <v>3789</v>
      </c>
      <c r="E679">
        <v>281456</v>
      </c>
      <c r="F679">
        <v>247438.74</v>
      </c>
      <c r="G679">
        <f t="shared" si="31"/>
        <v>34017.260000000009</v>
      </c>
      <c r="H679">
        <v>34017.26</v>
      </c>
      <c r="I679" s="3">
        <v>45668</v>
      </c>
      <c r="J679" s="1" t="s">
        <v>3790</v>
      </c>
      <c r="K679" s="1" t="s">
        <v>3803</v>
      </c>
      <c r="L679" s="1" t="s">
        <v>3800</v>
      </c>
      <c r="M679" s="1" t="s">
        <v>3831</v>
      </c>
      <c r="N679" t="str">
        <f t="shared" si="32"/>
        <v>Expense</v>
      </c>
      <c r="O679" t="str">
        <f t="shared" si="33"/>
        <v/>
      </c>
    </row>
    <row r="680" spans="1:15" x14ac:dyDescent="0.25">
      <c r="A680" s="1" t="s">
        <v>4507</v>
      </c>
      <c r="B680" s="1" t="s">
        <v>4877</v>
      </c>
      <c r="C680" s="1" t="s">
        <v>3848</v>
      </c>
      <c r="D680" s="1" t="s">
        <v>3813</v>
      </c>
      <c r="E680">
        <v>346906</v>
      </c>
      <c r="F680">
        <v>299819.77</v>
      </c>
      <c r="G680">
        <f t="shared" si="31"/>
        <v>47086.229999999981</v>
      </c>
      <c r="H680">
        <v>47086.23</v>
      </c>
      <c r="I680" s="3">
        <v>45077</v>
      </c>
      <c r="J680" s="1" t="s">
        <v>3859</v>
      </c>
      <c r="K680" s="1" t="s">
        <v>3791</v>
      </c>
      <c r="L680" s="1" t="s">
        <v>3784</v>
      </c>
      <c r="M680" s="1" t="s">
        <v>51</v>
      </c>
      <c r="N680" t="str">
        <f t="shared" si="32"/>
        <v>Expense</v>
      </c>
      <c r="O680" t="str">
        <f t="shared" si="33"/>
        <v>Flag: High-Value Rejected</v>
      </c>
    </row>
    <row r="681" spans="1:15" x14ac:dyDescent="0.25">
      <c r="A681" s="1" t="s">
        <v>4508</v>
      </c>
      <c r="B681" s="1" t="s">
        <v>3787</v>
      </c>
      <c r="C681" s="1" t="s">
        <v>3795</v>
      </c>
      <c r="D681" s="1" t="s">
        <v>3781</v>
      </c>
      <c r="E681">
        <v>69004</v>
      </c>
      <c r="F681">
        <v>66399.42</v>
      </c>
      <c r="G681">
        <f t="shared" si="31"/>
        <v>2604.5800000000017</v>
      </c>
      <c r="H681">
        <v>2604.58</v>
      </c>
      <c r="I681" s="3">
        <v>45450</v>
      </c>
      <c r="J681" s="1" t="s">
        <v>3790</v>
      </c>
      <c r="K681" s="1" t="s">
        <v>3783</v>
      </c>
      <c r="L681" s="1" t="s">
        <v>3800</v>
      </c>
      <c r="M681" s="1" t="s">
        <v>3817</v>
      </c>
      <c r="N681" t="str">
        <f t="shared" si="32"/>
        <v>Expense</v>
      </c>
      <c r="O681" t="str">
        <f t="shared" si="33"/>
        <v/>
      </c>
    </row>
    <row r="682" spans="1:15" x14ac:dyDescent="0.25">
      <c r="A682" s="1" t="s">
        <v>4509</v>
      </c>
      <c r="B682" s="1" t="s">
        <v>3839</v>
      </c>
      <c r="C682" s="1" t="s">
        <v>3815</v>
      </c>
      <c r="D682" s="1" t="s">
        <v>3822</v>
      </c>
      <c r="E682">
        <v>245775</v>
      </c>
      <c r="F682">
        <v>198192.49</v>
      </c>
      <c r="G682">
        <f t="shared" si="31"/>
        <v>47582.510000000009</v>
      </c>
      <c r="H682">
        <v>47582.51</v>
      </c>
      <c r="I682" s="3">
        <v>45173</v>
      </c>
      <c r="J682" s="1" t="s">
        <v>3782</v>
      </c>
      <c r="K682" s="1" t="s">
        <v>3783</v>
      </c>
      <c r="L682" s="1" t="s">
        <v>3784</v>
      </c>
      <c r="M682" s="1" t="s">
        <v>3792</v>
      </c>
      <c r="N682" t="str">
        <f t="shared" si="32"/>
        <v>Expense</v>
      </c>
      <c r="O682" t="str">
        <f t="shared" si="33"/>
        <v>Flag: High-Value Pending</v>
      </c>
    </row>
    <row r="683" spans="1:15" x14ac:dyDescent="0.25">
      <c r="A683" s="1" t="s">
        <v>4510</v>
      </c>
      <c r="B683" s="1" t="s">
        <v>3808</v>
      </c>
      <c r="C683" s="1" t="s">
        <v>3848</v>
      </c>
      <c r="D683" s="1" t="s">
        <v>3837</v>
      </c>
      <c r="E683">
        <v>79739</v>
      </c>
      <c r="G683" t="str">
        <f t="shared" si="31"/>
        <v/>
      </c>
      <c r="H683">
        <v>2716.18</v>
      </c>
      <c r="I683" s="3">
        <v>45148</v>
      </c>
      <c r="J683" s="1" t="s">
        <v>3859</v>
      </c>
      <c r="K683" s="1" t="s">
        <v>3791</v>
      </c>
      <c r="L683" s="1" t="s">
        <v>3784</v>
      </c>
      <c r="M683" s="1" t="s">
        <v>51</v>
      </c>
      <c r="N683" t="str">
        <f t="shared" si="32"/>
        <v>Expense</v>
      </c>
      <c r="O683" t="str">
        <f t="shared" si="33"/>
        <v/>
      </c>
    </row>
    <row r="684" spans="1:15" x14ac:dyDescent="0.25">
      <c r="A684" s="1" t="s">
        <v>4511</v>
      </c>
      <c r="B684" s="1" t="s">
        <v>4877</v>
      </c>
      <c r="C684" s="1" t="s">
        <v>3821</v>
      </c>
      <c r="D684" s="1" t="s">
        <v>3796</v>
      </c>
      <c r="E684">
        <v>475254</v>
      </c>
      <c r="F684">
        <v>614613.85</v>
      </c>
      <c r="G684">
        <f t="shared" si="31"/>
        <v>-139359.84999999998</v>
      </c>
      <c r="H684">
        <v>-139359.85</v>
      </c>
      <c r="I684" s="3">
        <v>45153</v>
      </c>
      <c r="J684" s="1" t="s">
        <v>3790</v>
      </c>
      <c r="K684" s="1" t="s">
        <v>3803</v>
      </c>
      <c r="L684" s="1" t="s">
        <v>3784</v>
      </c>
      <c r="M684" s="1" t="s">
        <v>51</v>
      </c>
      <c r="N684" t="str">
        <f t="shared" si="32"/>
        <v>Expense</v>
      </c>
      <c r="O684" t="str">
        <f t="shared" si="33"/>
        <v/>
      </c>
    </row>
    <row r="685" spans="1:15" x14ac:dyDescent="0.25">
      <c r="A685" s="1" t="s">
        <v>4512</v>
      </c>
      <c r="B685" s="1" t="s">
        <v>3794</v>
      </c>
      <c r="C685" s="1" t="s">
        <v>3806</v>
      </c>
      <c r="D685" s="1" t="s">
        <v>3846</v>
      </c>
      <c r="E685">
        <v>398103</v>
      </c>
      <c r="F685">
        <v>495766.71</v>
      </c>
      <c r="G685">
        <f t="shared" si="31"/>
        <v>-97663.710000000021</v>
      </c>
      <c r="H685">
        <v>-97663.71</v>
      </c>
      <c r="I685" s="3">
        <v>45588</v>
      </c>
      <c r="J685" s="1" t="s">
        <v>3859</v>
      </c>
      <c r="K685" s="1" t="s">
        <v>3803</v>
      </c>
      <c r="L685" s="1" t="s">
        <v>3800</v>
      </c>
      <c r="M685" s="1" t="s">
        <v>51</v>
      </c>
      <c r="N685" t="str">
        <f t="shared" si="32"/>
        <v>Expense</v>
      </c>
      <c r="O685" t="str">
        <f t="shared" si="33"/>
        <v>Flag: High-Value Rejected</v>
      </c>
    </row>
    <row r="686" spans="1:15" x14ac:dyDescent="0.25">
      <c r="A686" s="1" t="s">
        <v>4513</v>
      </c>
      <c r="B686" s="1" t="s">
        <v>3811</v>
      </c>
      <c r="C686" s="1" t="s">
        <v>3815</v>
      </c>
      <c r="D686" s="1" t="s">
        <v>3826</v>
      </c>
      <c r="E686">
        <v>260242</v>
      </c>
      <c r="F686">
        <v>323419.07</v>
      </c>
      <c r="G686">
        <f t="shared" si="31"/>
        <v>-63177.070000000007</v>
      </c>
      <c r="H686">
        <v>-63177.07</v>
      </c>
      <c r="I686" s="3">
        <v>45403</v>
      </c>
      <c r="J686" s="1" t="s">
        <v>3790</v>
      </c>
      <c r="K686" s="1" t="s">
        <v>3783</v>
      </c>
      <c r="L686" s="1" t="s">
        <v>3800</v>
      </c>
      <c r="M686" s="1" t="s">
        <v>3809</v>
      </c>
      <c r="N686" t="str">
        <f t="shared" si="32"/>
        <v>Expense</v>
      </c>
      <c r="O686" t="str">
        <f t="shared" si="33"/>
        <v/>
      </c>
    </row>
    <row r="687" spans="1:15" x14ac:dyDescent="0.25">
      <c r="A687" s="1" t="s">
        <v>4514</v>
      </c>
      <c r="B687" s="1" t="s">
        <v>3808</v>
      </c>
      <c r="C687" s="1" t="s">
        <v>3861</v>
      </c>
      <c r="D687" s="1" t="s">
        <v>3802</v>
      </c>
      <c r="E687">
        <v>158593</v>
      </c>
      <c r="F687">
        <v>189811.45</v>
      </c>
      <c r="G687">
        <f t="shared" si="31"/>
        <v>-31218.450000000012</v>
      </c>
      <c r="H687">
        <v>-31218.45</v>
      </c>
      <c r="I687" s="3">
        <v>45219</v>
      </c>
      <c r="J687" s="1" t="s">
        <v>3790</v>
      </c>
      <c r="K687" s="1" t="s">
        <v>3823</v>
      </c>
      <c r="L687" s="1" t="s">
        <v>3784</v>
      </c>
      <c r="M687" s="1" t="s">
        <v>51</v>
      </c>
      <c r="N687" t="str">
        <f t="shared" si="32"/>
        <v>Expense</v>
      </c>
      <c r="O687" t="str">
        <f t="shared" si="33"/>
        <v/>
      </c>
    </row>
    <row r="688" spans="1:15" x14ac:dyDescent="0.25">
      <c r="A688" s="1" t="s">
        <v>4515</v>
      </c>
      <c r="B688" s="1" t="s">
        <v>3839</v>
      </c>
      <c r="C688" s="1" t="s">
        <v>3848</v>
      </c>
      <c r="D688" s="1" t="s">
        <v>3822</v>
      </c>
      <c r="E688">
        <v>22033</v>
      </c>
      <c r="F688">
        <v>26884.92</v>
      </c>
      <c r="G688">
        <f t="shared" si="31"/>
        <v>-4851.9199999999983</v>
      </c>
      <c r="H688">
        <v>-4851.92</v>
      </c>
      <c r="I688" s="3">
        <v>45200</v>
      </c>
      <c r="J688" s="1" t="s">
        <v>3790</v>
      </c>
      <c r="K688" s="1" t="s">
        <v>3823</v>
      </c>
      <c r="L688" s="1" t="s">
        <v>3784</v>
      </c>
      <c r="M688" s="1" t="s">
        <v>51</v>
      </c>
      <c r="N688" t="str">
        <f t="shared" si="32"/>
        <v>Expense</v>
      </c>
      <c r="O688" t="str">
        <f t="shared" si="33"/>
        <v/>
      </c>
    </row>
    <row r="689" spans="1:15" x14ac:dyDescent="0.25">
      <c r="A689" s="1" t="s">
        <v>4516</v>
      </c>
      <c r="B689" s="1" t="s">
        <v>3839</v>
      </c>
      <c r="C689" s="1" t="s">
        <v>4878</v>
      </c>
      <c r="D689" s="1" t="s">
        <v>3796</v>
      </c>
      <c r="E689">
        <v>122344</v>
      </c>
      <c r="F689">
        <v>98440.35</v>
      </c>
      <c r="G689">
        <f t="shared" si="31"/>
        <v>23903.649999999994</v>
      </c>
      <c r="H689">
        <v>23903.65</v>
      </c>
      <c r="I689" s="3">
        <v>45404</v>
      </c>
      <c r="J689" s="1" t="s">
        <v>3782</v>
      </c>
      <c r="K689" s="1" t="s">
        <v>3823</v>
      </c>
      <c r="L689" s="1" t="s">
        <v>3800</v>
      </c>
      <c r="M689" s="1" t="s">
        <v>51</v>
      </c>
      <c r="N689" t="str">
        <f t="shared" si="32"/>
        <v>Expense</v>
      </c>
      <c r="O689" t="str">
        <f t="shared" si="33"/>
        <v/>
      </c>
    </row>
    <row r="690" spans="1:15" x14ac:dyDescent="0.25">
      <c r="A690" s="1" t="s">
        <v>4517</v>
      </c>
      <c r="B690" s="1" t="s">
        <v>3808</v>
      </c>
      <c r="C690" s="1" t="s">
        <v>3825</v>
      </c>
      <c r="D690" s="1" t="s">
        <v>3816</v>
      </c>
      <c r="E690">
        <v>214170</v>
      </c>
      <c r="F690">
        <v>193322.14</v>
      </c>
      <c r="G690">
        <f t="shared" si="31"/>
        <v>20847.859999999986</v>
      </c>
      <c r="H690">
        <v>20847.86</v>
      </c>
      <c r="I690" s="3">
        <v>45066</v>
      </c>
      <c r="J690" s="1" t="s">
        <v>3790</v>
      </c>
      <c r="K690" s="1" t="s">
        <v>3783</v>
      </c>
      <c r="L690" s="1" t="s">
        <v>3784</v>
      </c>
      <c r="M690" s="1" t="s">
        <v>51</v>
      </c>
      <c r="N690" t="str">
        <f t="shared" si="32"/>
        <v>Expense</v>
      </c>
      <c r="O690" t="str">
        <f t="shared" si="33"/>
        <v/>
      </c>
    </row>
    <row r="691" spans="1:15" x14ac:dyDescent="0.25">
      <c r="A691" s="1" t="s">
        <v>4518</v>
      </c>
      <c r="B691" s="1" t="s">
        <v>3839</v>
      </c>
      <c r="C691" s="1" t="s">
        <v>3806</v>
      </c>
      <c r="D691" s="1" t="s">
        <v>3846</v>
      </c>
      <c r="E691">
        <v>3822383</v>
      </c>
      <c r="F691">
        <v>3168723.63</v>
      </c>
      <c r="G691">
        <f t="shared" si="31"/>
        <v>653659.37000000011</v>
      </c>
      <c r="H691">
        <v>653659.37</v>
      </c>
      <c r="I691" s="3">
        <v>45348</v>
      </c>
      <c r="J691" s="1" t="s">
        <v>3790</v>
      </c>
      <c r="K691" s="1" t="s">
        <v>3803</v>
      </c>
      <c r="L691" s="1" t="s">
        <v>3784</v>
      </c>
      <c r="M691" s="1" t="s">
        <v>51</v>
      </c>
      <c r="N691" t="str">
        <f t="shared" si="32"/>
        <v>Expense</v>
      </c>
      <c r="O691" t="str">
        <f t="shared" si="33"/>
        <v/>
      </c>
    </row>
    <row r="692" spans="1:15" x14ac:dyDescent="0.25">
      <c r="A692" s="1" t="s">
        <v>4519</v>
      </c>
      <c r="B692" s="1" t="s">
        <v>3828</v>
      </c>
      <c r="C692" s="1" t="s">
        <v>3815</v>
      </c>
      <c r="D692" s="1" t="s">
        <v>3813</v>
      </c>
      <c r="E692">
        <v>89658</v>
      </c>
      <c r="F692">
        <v>75892.789999999994</v>
      </c>
      <c r="G692">
        <f t="shared" si="31"/>
        <v>13765.210000000006</v>
      </c>
      <c r="H692">
        <v>13765.21</v>
      </c>
      <c r="I692" s="3">
        <v>45594</v>
      </c>
      <c r="J692" s="1" t="s">
        <v>3790</v>
      </c>
      <c r="K692" s="1" t="s">
        <v>3791</v>
      </c>
      <c r="L692" s="1" t="s">
        <v>3800</v>
      </c>
      <c r="M692" s="1" t="s">
        <v>51</v>
      </c>
      <c r="N692" t="str">
        <f t="shared" si="32"/>
        <v>Expense</v>
      </c>
      <c r="O692" t="str">
        <f t="shared" si="33"/>
        <v/>
      </c>
    </row>
    <row r="693" spans="1:15" x14ac:dyDescent="0.25">
      <c r="A693" s="1" t="s">
        <v>4520</v>
      </c>
      <c r="B693" s="1" t="s">
        <v>3794</v>
      </c>
      <c r="C693" s="1" t="s">
        <v>4878</v>
      </c>
      <c r="D693" s="1" t="s">
        <v>3813</v>
      </c>
      <c r="E693">
        <v>35480</v>
      </c>
      <c r="F693">
        <v>46114.75</v>
      </c>
      <c r="G693">
        <f t="shared" si="31"/>
        <v>-10634.75</v>
      </c>
      <c r="H693">
        <v>-10634.75</v>
      </c>
      <c r="I693" s="3">
        <v>45701</v>
      </c>
      <c r="J693" s="1" t="s">
        <v>3782</v>
      </c>
      <c r="K693" s="1" t="s">
        <v>3783</v>
      </c>
      <c r="L693" s="1" t="s">
        <v>3800</v>
      </c>
      <c r="M693" s="1" t="s">
        <v>51</v>
      </c>
      <c r="N693" t="str">
        <f t="shared" si="32"/>
        <v>Expense</v>
      </c>
      <c r="O693" t="str">
        <f t="shared" si="33"/>
        <v/>
      </c>
    </row>
    <row r="694" spans="1:15" x14ac:dyDescent="0.25">
      <c r="A694" s="1" t="s">
        <v>4521</v>
      </c>
      <c r="B694" s="1" t="s">
        <v>3798</v>
      </c>
      <c r="C694" s="1" t="s">
        <v>3812</v>
      </c>
      <c r="D694" s="1" t="s">
        <v>3781</v>
      </c>
      <c r="E694">
        <v>310632</v>
      </c>
      <c r="F694">
        <v>250617.47</v>
      </c>
      <c r="G694">
        <f t="shared" si="31"/>
        <v>60014.53</v>
      </c>
      <c r="H694">
        <v>60014.53</v>
      </c>
      <c r="I694" s="3">
        <v>45128</v>
      </c>
      <c r="J694" s="1" t="s">
        <v>3790</v>
      </c>
      <c r="K694" s="1" t="s">
        <v>3823</v>
      </c>
      <c r="L694" s="1" t="s">
        <v>3784</v>
      </c>
      <c r="M694" s="1" t="s">
        <v>3831</v>
      </c>
      <c r="N694" t="str">
        <f t="shared" si="32"/>
        <v>Expense</v>
      </c>
      <c r="O694" t="str">
        <f t="shared" si="33"/>
        <v/>
      </c>
    </row>
    <row r="695" spans="1:15" x14ac:dyDescent="0.25">
      <c r="A695" s="1" t="s">
        <v>4522</v>
      </c>
      <c r="B695" s="1" t="s">
        <v>3787</v>
      </c>
      <c r="C695" s="1" t="s">
        <v>3788</v>
      </c>
      <c r="D695" s="1" t="s">
        <v>3834</v>
      </c>
      <c r="E695">
        <v>424438</v>
      </c>
      <c r="F695">
        <v>494028.26</v>
      </c>
      <c r="G695">
        <f t="shared" si="31"/>
        <v>-69590.260000000009</v>
      </c>
      <c r="H695">
        <v>-69590.259999999995</v>
      </c>
      <c r="I695" s="3">
        <v>45172</v>
      </c>
      <c r="J695" s="1" t="s">
        <v>3790</v>
      </c>
      <c r="K695" s="1" t="s">
        <v>3783</v>
      </c>
      <c r="L695" s="1" t="s">
        <v>3784</v>
      </c>
      <c r="M695" s="1" t="s">
        <v>51</v>
      </c>
      <c r="N695" t="str">
        <f t="shared" si="32"/>
        <v>Expense</v>
      </c>
      <c r="O695" t="str">
        <f t="shared" si="33"/>
        <v/>
      </c>
    </row>
    <row r="696" spans="1:15" x14ac:dyDescent="0.25">
      <c r="A696" s="1" t="s">
        <v>4523</v>
      </c>
      <c r="B696" s="1" t="s">
        <v>3798</v>
      </c>
      <c r="C696" s="1" t="s">
        <v>3788</v>
      </c>
      <c r="D696" s="1" t="s">
        <v>3834</v>
      </c>
      <c r="E696">
        <v>22535</v>
      </c>
      <c r="G696" t="str">
        <f t="shared" si="31"/>
        <v/>
      </c>
      <c r="H696">
        <v>4387.13</v>
      </c>
      <c r="I696" s="3">
        <v>45444</v>
      </c>
      <c r="J696" s="1" t="s">
        <v>3790</v>
      </c>
      <c r="K696" s="1" t="s">
        <v>3823</v>
      </c>
      <c r="L696" s="1" t="s">
        <v>3800</v>
      </c>
      <c r="M696" s="1" t="s">
        <v>3785</v>
      </c>
      <c r="N696" t="str">
        <f t="shared" si="32"/>
        <v>Expense</v>
      </c>
      <c r="O696" t="str">
        <f t="shared" si="33"/>
        <v/>
      </c>
    </row>
    <row r="697" spans="1:15" x14ac:dyDescent="0.25">
      <c r="A697" s="1" t="s">
        <v>4524</v>
      </c>
      <c r="B697" s="1" t="s">
        <v>3811</v>
      </c>
      <c r="C697" s="1" t="s">
        <v>3795</v>
      </c>
      <c r="D697" s="1" t="s">
        <v>3813</v>
      </c>
      <c r="E697">
        <v>3850812</v>
      </c>
      <c r="F697">
        <v>3234335.68</v>
      </c>
      <c r="G697">
        <f t="shared" si="31"/>
        <v>616476.31999999983</v>
      </c>
      <c r="H697">
        <v>616476.31999999995</v>
      </c>
      <c r="I697" s="3">
        <v>45674</v>
      </c>
      <c r="J697" s="1" t="s">
        <v>3790</v>
      </c>
      <c r="K697" s="1" t="s">
        <v>3803</v>
      </c>
      <c r="L697" s="1" t="s">
        <v>3800</v>
      </c>
      <c r="M697" s="1" t="s">
        <v>51</v>
      </c>
      <c r="N697" t="str">
        <f t="shared" si="32"/>
        <v>Expense</v>
      </c>
      <c r="O697" t="str">
        <f t="shared" si="33"/>
        <v/>
      </c>
    </row>
    <row r="698" spans="1:15" x14ac:dyDescent="0.25">
      <c r="A698" s="1" t="s">
        <v>4525</v>
      </c>
      <c r="B698" s="1" t="s">
        <v>3798</v>
      </c>
      <c r="C698" s="1" t="s">
        <v>3812</v>
      </c>
      <c r="D698" s="1" t="s">
        <v>3867</v>
      </c>
      <c r="E698">
        <v>185774</v>
      </c>
      <c r="F698">
        <v>195983.52</v>
      </c>
      <c r="G698">
        <f t="shared" si="31"/>
        <v>-10209.51999999999</v>
      </c>
      <c r="H698">
        <v>-10209.52</v>
      </c>
      <c r="I698" s="3">
        <v>45642</v>
      </c>
      <c r="J698" s="1" t="s">
        <v>3790</v>
      </c>
      <c r="K698" s="1" t="s">
        <v>3791</v>
      </c>
      <c r="L698" s="1" t="s">
        <v>3800</v>
      </c>
      <c r="M698" s="1" t="s">
        <v>3817</v>
      </c>
      <c r="N698" t="str">
        <f t="shared" si="32"/>
        <v>Expense</v>
      </c>
      <c r="O698" t="str">
        <f t="shared" si="33"/>
        <v/>
      </c>
    </row>
    <row r="699" spans="1:15" x14ac:dyDescent="0.25">
      <c r="A699" s="1" t="s">
        <v>4526</v>
      </c>
      <c r="B699" s="1" t="s">
        <v>3828</v>
      </c>
      <c r="C699" s="1" t="s">
        <v>3821</v>
      </c>
      <c r="D699" s="1" t="s">
        <v>3895</v>
      </c>
      <c r="E699">
        <v>198986</v>
      </c>
      <c r="F699">
        <v>239082.26</v>
      </c>
      <c r="G699">
        <f t="shared" si="31"/>
        <v>-40096.260000000009</v>
      </c>
      <c r="H699">
        <v>-40096.26</v>
      </c>
      <c r="I699" s="3">
        <v>45659</v>
      </c>
      <c r="J699" s="1" t="s">
        <v>3790</v>
      </c>
      <c r="K699" s="1" t="s">
        <v>3783</v>
      </c>
      <c r="L699" s="1" t="s">
        <v>3800</v>
      </c>
      <c r="M699" s="1" t="s">
        <v>3817</v>
      </c>
      <c r="N699" t="str">
        <f t="shared" si="32"/>
        <v>Expense</v>
      </c>
      <c r="O699" t="str">
        <f t="shared" si="33"/>
        <v/>
      </c>
    </row>
    <row r="700" spans="1:15" x14ac:dyDescent="0.25">
      <c r="A700" s="1" t="s">
        <v>4527</v>
      </c>
      <c r="B700" s="1" t="s">
        <v>3811</v>
      </c>
      <c r="C700" s="1" t="s">
        <v>3848</v>
      </c>
      <c r="D700" s="1" t="s">
        <v>3846</v>
      </c>
      <c r="E700">
        <v>219434</v>
      </c>
      <c r="G700" t="str">
        <f t="shared" si="31"/>
        <v/>
      </c>
      <c r="H700">
        <v>-44566.7</v>
      </c>
      <c r="I700" s="3">
        <v>45337</v>
      </c>
      <c r="J700" s="1" t="s">
        <v>3790</v>
      </c>
      <c r="K700" s="1" t="s">
        <v>3791</v>
      </c>
      <c r="L700" s="1" t="s">
        <v>3784</v>
      </c>
      <c r="M700" s="1" t="s">
        <v>51</v>
      </c>
      <c r="N700" t="str">
        <f t="shared" si="32"/>
        <v>Expense</v>
      </c>
      <c r="O700" t="str">
        <f t="shared" si="33"/>
        <v/>
      </c>
    </row>
    <row r="701" spans="1:15" x14ac:dyDescent="0.25">
      <c r="A701" s="1" t="s">
        <v>4528</v>
      </c>
      <c r="B701" s="1" t="s">
        <v>3828</v>
      </c>
      <c r="C701" s="1" t="s">
        <v>3844</v>
      </c>
      <c r="D701" s="1" t="s">
        <v>3802</v>
      </c>
      <c r="E701">
        <v>459002</v>
      </c>
      <c r="F701">
        <v>515040.04</v>
      </c>
      <c r="G701">
        <f t="shared" si="31"/>
        <v>-56038.039999999979</v>
      </c>
      <c r="H701">
        <v>-56038.04</v>
      </c>
      <c r="I701" s="3">
        <v>45293</v>
      </c>
      <c r="J701" s="1" t="s">
        <v>3790</v>
      </c>
      <c r="K701" s="1" t="s">
        <v>3783</v>
      </c>
      <c r="L701" s="1" t="s">
        <v>3784</v>
      </c>
      <c r="M701" s="1" t="s">
        <v>51</v>
      </c>
      <c r="N701" t="str">
        <f t="shared" si="32"/>
        <v>Expense</v>
      </c>
      <c r="O701" t="str">
        <f t="shared" si="33"/>
        <v/>
      </c>
    </row>
    <row r="702" spans="1:15" x14ac:dyDescent="0.25">
      <c r="A702" s="1" t="s">
        <v>4529</v>
      </c>
      <c r="B702" s="1" t="s">
        <v>3811</v>
      </c>
      <c r="C702" s="1" t="s">
        <v>3812</v>
      </c>
      <c r="D702" s="1" t="s">
        <v>3855</v>
      </c>
      <c r="E702">
        <v>279796</v>
      </c>
      <c r="F702">
        <v>340405.24</v>
      </c>
      <c r="G702">
        <f t="shared" si="31"/>
        <v>-60609.239999999991</v>
      </c>
      <c r="H702">
        <v>-60609.24</v>
      </c>
      <c r="I702" s="3">
        <v>45436</v>
      </c>
      <c r="J702" s="1" t="s">
        <v>3790</v>
      </c>
      <c r="K702" s="1" t="s">
        <v>3803</v>
      </c>
      <c r="L702" s="1" t="s">
        <v>3800</v>
      </c>
      <c r="M702" s="1" t="s">
        <v>3831</v>
      </c>
      <c r="N702" t="str">
        <f t="shared" si="32"/>
        <v>Expense</v>
      </c>
      <c r="O702" t="str">
        <f t="shared" si="33"/>
        <v/>
      </c>
    </row>
    <row r="703" spans="1:15" x14ac:dyDescent="0.25">
      <c r="A703" s="1" t="s">
        <v>4530</v>
      </c>
      <c r="B703" s="1" t="s">
        <v>3811</v>
      </c>
      <c r="C703" s="1" t="s">
        <v>3812</v>
      </c>
      <c r="D703" s="1" t="s">
        <v>3789</v>
      </c>
      <c r="E703">
        <v>130966</v>
      </c>
      <c r="F703">
        <v>160856.99</v>
      </c>
      <c r="G703">
        <f t="shared" si="31"/>
        <v>-29890.989999999991</v>
      </c>
      <c r="H703">
        <v>-29890.99</v>
      </c>
      <c r="I703" s="3">
        <v>45641</v>
      </c>
      <c r="J703" s="1" t="s">
        <v>3790</v>
      </c>
      <c r="K703" s="1" t="s">
        <v>3803</v>
      </c>
      <c r="L703" s="1" t="s">
        <v>3800</v>
      </c>
      <c r="M703" s="1" t="s">
        <v>51</v>
      </c>
      <c r="N703" t="str">
        <f t="shared" si="32"/>
        <v>Expense</v>
      </c>
      <c r="O703" t="str">
        <f t="shared" si="33"/>
        <v/>
      </c>
    </row>
    <row r="704" spans="1:15" x14ac:dyDescent="0.25">
      <c r="A704" s="1" t="s">
        <v>4531</v>
      </c>
      <c r="B704" s="1" t="s">
        <v>3787</v>
      </c>
      <c r="C704" s="1" t="s">
        <v>3815</v>
      </c>
      <c r="D704" s="1" t="s">
        <v>3846</v>
      </c>
      <c r="E704">
        <v>436714</v>
      </c>
      <c r="F704">
        <v>541586.1</v>
      </c>
      <c r="G704">
        <f t="shared" si="31"/>
        <v>-104872.09999999998</v>
      </c>
      <c r="H704">
        <v>-104872.1</v>
      </c>
      <c r="I704" s="3">
        <v>45029</v>
      </c>
      <c r="J704" s="1" t="s">
        <v>3782</v>
      </c>
      <c r="K704" s="1" t="s">
        <v>3783</v>
      </c>
      <c r="L704" s="1" t="s">
        <v>3784</v>
      </c>
      <c r="M704" s="1" t="s">
        <v>51</v>
      </c>
      <c r="N704" t="str">
        <f t="shared" si="32"/>
        <v>Expense</v>
      </c>
      <c r="O704" t="str">
        <f t="shared" si="33"/>
        <v>Flag: High-Value Pending</v>
      </c>
    </row>
    <row r="705" spans="1:15" x14ac:dyDescent="0.25">
      <c r="A705" s="1" t="s">
        <v>4532</v>
      </c>
      <c r="B705" s="1" t="s">
        <v>3839</v>
      </c>
      <c r="C705" s="1" t="s">
        <v>3780</v>
      </c>
      <c r="D705" s="1" t="s">
        <v>3789</v>
      </c>
      <c r="E705">
        <v>470117</v>
      </c>
      <c r="F705">
        <v>426638.91</v>
      </c>
      <c r="G705">
        <f t="shared" si="31"/>
        <v>43478.090000000026</v>
      </c>
      <c r="H705">
        <v>43478.09</v>
      </c>
      <c r="I705" s="3">
        <v>45466</v>
      </c>
      <c r="J705" s="1" t="s">
        <v>3790</v>
      </c>
      <c r="K705" s="1" t="s">
        <v>3791</v>
      </c>
      <c r="L705" s="1" t="s">
        <v>3800</v>
      </c>
      <c r="M705" s="1" t="s">
        <v>51</v>
      </c>
      <c r="N705" t="str">
        <f t="shared" si="32"/>
        <v>Expense</v>
      </c>
      <c r="O705" t="str">
        <f t="shared" si="33"/>
        <v/>
      </c>
    </row>
    <row r="706" spans="1:15" x14ac:dyDescent="0.25">
      <c r="A706" s="1" t="s">
        <v>4533</v>
      </c>
      <c r="B706" s="1" t="s">
        <v>3787</v>
      </c>
      <c r="C706" s="1" t="s">
        <v>3806</v>
      </c>
      <c r="D706" s="1" t="s">
        <v>3799</v>
      </c>
      <c r="E706">
        <v>421801</v>
      </c>
      <c r="F706">
        <v>542788.9</v>
      </c>
      <c r="G706">
        <f t="shared" ref="G706:G769" si="34">IF(F706="","",E706-F706)</f>
        <v>-120987.90000000002</v>
      </c>
      <c r="I706" s="3">
        <v>45598</v>
      </c>
      <c r="J706" s="1" t="s">
        <v>3790</v>
      </c>
      <c r="K706" s="1" t="s">
        <v>3791</v>
      </c>
      <c r="L706" s="1" t="s">
        <v>3800</v>
      </c>
      <c r="M706" s="1" t="s">
        <v>51</v>
      </c>
      <c r="N706" t="str">
        <f t="shared" si="32"/>
        <v>Expense</v>
      </c>
      <c r="O706" t="str">
        <f t="shared" si="33"/>
        <v/>
      </c>
    </row>
    <row r="707" spans="1:15" x14ac:dyDescent="0.25">
      <c r="A707" s="1" t="s">
        <v>4534</v>
      </c>
      <c r="B707" s="1" t="s">
        <v>3808</v>
      </c>
      <c r="C707" s="1" t="s">
        <v>3848</v>
      </c>
      <c r="D707" s="1" t="s">
        <v>3796</v>
      </c>
      <c r="E707">
        <v>45851</v>
      </c>
      <c r="F707">
        <v>38583.03</v>
      </c>
      <c r="G707">
        <f t="shared" si="34"/>
        <v>7267.9700000000012</v>
      </c>
      <c r="H707">
        <v>7267.97</v>
      </c>
      <c r="I707" s="3">
        <v>45018</v>
      </c>
      <c r="J707" s="1" t="s">
        <v>3790</v>
      </c>
      <c r="K707" s="1" t="s">
        <v>3791</v>
      </c>
      <c r="L707" s="1" t="s">
        <v>3784</v>
      </c>
      <c r="M707" s="1" t="s">
        <v>3809</v>
      </c>
      <c r="N707" t="str">
        <f t="shared" ref="N707:N770" si="35">IF(E707&lt;0,"Credit/Refund","Expense")</f>
        <v>Expense</v>
      </c>
      <c r="O707" t="str">
        <f t="shared" ref="O707:O770" si="36">IF(AND(OR(J707="Pending",J707="Rejected"),E707&gt;200000),"Flag: High-Value "&amp;J707,"")</f>
        <v/>
      </c>
    </row>
    <row r="708" spans="1:15" x14ac:dyDescent="0.25">
      <c r="A708" s="1" t="s">
        <v>4535</v>
      </c>
      <c r="B708" s="1" t="s">
        <v>3808</v>
      </c>
      <c r="C708" s="1" t="s">
        <v>3821</v>
      </c>
      <c r="D708" s="1" t="s">
        <v>3834</v>
      </c>
      <c r="E708">
        <v>53313</v>
      </c>
      <c r="F708">
        <v>50666.5</v>
      </c>
      <c r="G708">
        <f t="shared" si="34"/>
        <v>2646.5</v>
      </c>
      <c r="H708">
        <v>2646.5</v>
      </c>
      <c r="I708" s="3">
        <v>44996</v>
      </c>
      <c r="J708" s="1" t="s">
        <v>3790</v>
      </c>
      <c r="K708" s="1" t="s">
        <v>3823</v>
      </c>
      <c r="L708" s="1" t="s">
        <v>3804</v>
      </c>
      <c r="M708" s="1" t="s">
        <v>51</v>
      </c>
      <c r="N708" t="str">
        <f t="shared" si="35"/>
        <v>Expense</v>
      </c>
      <c r="O708" t="str">
        <f t="shared" si="36"/>
        <v/>
      </c>
    </row>
    <row r="709" spans="1:15" x14ac:dyDescent="0.25">
      <c r="A709" s="1" t="s">
        <v>4536</v>
      </c>
      <c r="B709" s="1" t="s">
        <v>3811</v>
      </c>
      <c r="C709" s="1" t="s">
        <v>3858</v>
      </c>
      <c r="D709" s="1" t="s">
        <v>3826</v>
      </c>
      <c r="E709">
        <v>452489</v>
      </c>
      <c r="F709">
        <v>461452.81</v>
      </c>
      <c r="G709">
        <f t="shared" si="34"/>
        <v>-8963.8099999999977</v>
      </c>
      <c r="H709">
        <v>-8963.81</v>
      </c>
      <c r="I709" s="3">
        <v>45636</v>
      </c>
      <c r="J709" s="1" t="s">
        <v>3790</v>
      </c>
      <c r="K709" s="1" t="s">
        <v>3823</v>
      </c>
      <c r="L709" s="1" t="s">
        <v>3800</v>
      </c>
      <c r="M709" s="1" t="s">
        <v>3831</v>
      </c>
      <c r="N709" t="str">
        <f t="shared" si="35"/>
        <v>Expense</v>
      </c>
      <c r="O709" t="str">
        <f t="shared" si="36"/>
        <v/>
      </c>
    </row>
    <row r="710" spans="1:15" x14ac:dyDescent="0.25">
      <c r="A710" s="1" t="s">
        <v>4537</v>
      </c>
      <c r="B710" s="1" t="s">
        <v>3808</v>
      </c>
      <c r="C710" s="1" t="s">
        <v>3795</v>
      </c>
      <c r="D710" s="1" t="s">
        <v>3826</v>
      </c>
      <c r="E710">
        <v>36246</v>
      </c>
      <c r="F710">
        <v>38737.800000000003</v>
      </c>
      <c r="G710">
        <f t="shared" si="34"/>
        <v>-2491.8000000000029</v>
      </c>
      <c r="H710">
        <v>-2491.8000000000002</v>
      </c>
      <c r="I710" s="3">
        <v>45132</v>
      </c>
      <c r="J710" s="1" t="s">
        <v>3790</v>
      </c>
      <c r="K710" s="1" t="s">
        <v>3783</v>
      </c>
      <c r="L710" s="1" t="s">
        <v>3784</v>
      </c>
      <c r="M710" s="1" t="s">
        <v>51</v>
      </c>
      <c r="N710" t="str">
        <f t="shared" si="35"/>
        <v>Expense</v>
      </c>
      <c r="O710" t="str">
        <f t="shared" si="36"/>
        <v/>
      </c>
    </row>
    <row r="711" spans="1:15" x14ac:dyDescent="0.25">
      <c r="A711" s="1" t="s">
        <v>4538</v>
      </c>
      <c r="B711" s="1" t="s">
        <v>3828</v>
      </c>
      <c r="C711" s="1" t="s">
        <v>3848</v>
      </c>
      <c r="D711" s="1" t="s">
        <v>3855</v>
      </c>
      <c r="E711">
        <v>209996</v>
      </c>
      <c r="F711">
        <v>243691</v>
      </c>
      <c r="G711">
        <f t="shared" si="34"/>
        <v>-33695</v>
      </c>
      <c r="H711">
        <v>-33695</v>
      </c>
      <c r="I711" s="3">
        <v>45409</v>
      </c>
      <c r="J711" s="1" t="s">
        <v>3790</v>
      </c>
      <c r="K711" s="1" t="s">
        <v>3783</v>
      </c>
      <c r="L711" s="1" t="s">
        <v>3800</v>
      </c>
      <c r="M711" s="1" t="s">
        <v>3817</v>
      </c>
      <c r="N711" t="str">
        <f t="shared" si="35"/>
        <v>Expense</v>
      </c>
      <c r="O711" t="str">
        <f t="shared" si="36"/>
        <v/>
      </c>
    </row>
    <row r="712" spans="1:15" x14ac:dyDescent="0.25">
      <c r="A712" s="1" t="s">
        <v>4539</v>
      </c>
      <c r="B712" s="1" t="s">
        <v>3794</v>
      </c>
      <c r="C712" s="1" t="s">
        <v>3821</v>
      </c>
      <c r="D712" s="1" t="s">
        <v>3846</v>
      </c>
      <c r="E712">
        <v>113531</v>
      </c>
      <c r="F712">
        <v>133028.99</v>
      </c>
      <c r="G712">
        <f t="shared" si="34"/>
        <v>-19497.989999999991</v>
      </c>
      <c r="H712">
        <v>-19497.990000000002</v>
      </c>
      <c r="I712" s="3">
        <v>45144</v>
      </c>
      <c r="J712" s="1" t="s">
        <v>3859</v>
      </c>
      <c r="K712" s="1" t="s">
        <v>3803</v>
      </c>
      <c r="L712" s="1" t="s">
        <v>3784</v>
      </c>
      <c r="M712" s="1" t="s">
        <v>51</v>
      </c>
      <c r="N712" t="str">
        <f t="shared" si="35"/>
        <v>Expense</v>
      </c>
      <c r="O712" t="str">
        <f t="shared" si="36"/>
        <v/>
      </c>
    </row>
    <row r="713" spans="1:15" x14ac:dyDescent="0.25">
      <c r="A713" s="1" t="s">
        <v>4540</v>
      </c>
      <c r="B713" s="1" t="s">
        <v>3798</v>
      </c>
      <c r="C713" s="1" t="s">
        <v>3812</v>
      </c>
      <c r="D713" s="1" t="s">
        <v>3867</v>
      </c>
      <c r="E713">
        <v>379506</v>
      </c>
      <c r="F713">
        <v>347157.14</v>
      </c>
      <c r="G713">
        <f t="shared" si="34"/>
        <v>32348.859999999986</v>
      </c>
      <c r="H713">
        <v>32348.86</v>
      </c>
      <c r="I713" s="3">
        <v>45644</v>
      </c>
      <c r="J713" s="1" t="s">
        <v>3790</v>
      </c>
      <c r="K713" s="1" t="s">
        <v>3791</v>
      </c>
      <c r="L713" s="1" t="s">
        <v>3800</v>
      </c>
      <c r="M713" s="1" t="s">
        <v>3792</v>
      </c>
      <c r="N713" t="str">
        <f t="shared" si="35"/>
        <v>Expense</v>
      </c>
      <c r="O713" t="str">
        <f t="shared" si="36"/>
        <v/>
      </c>
    </row>
    <row r="714" spans="1:15" x14ac:dyDescent="0.25">
      <c r="A714" s="1" t="s">
        <v>4541</v>
      </c>
      <c r="B714" s="1" t="s">
        <v>3787</v>
      </c>
      <c r="C714" s="1" t="s">
        <v>3806</v>
      </c>
      <c r="D714" s="1" t="s">
        <v>3837</v>
      </c>
      <c r="E714">
        <v>339420</v>
      </c>
      <c r="F714">
        <v>365658.17</v>
      </c>
      <c r="G714">
        <f t="shared" si="34"/>
        <v>-26238.169999999984</v>
      </c>
      <c r="H714">
        <v>-26238.17</v>
      </c>
      <c r="I714" s="3">
        <v>45701</v>
      </c>
      <c r="J714" s="1" t="s">
        <v>3859</v>
      </c>
      <c r="K714" s="1" t="s">
        <v>3791</v>
      </c>
      <c r="L714" s="1" t="s">
        <v>3800</v>
      </c>
      <c r="M714" s="1" t="s">
        <v>51</v>
      </c>
      <c r="N714" t="str">
        <f t="shared" si="35"/>
        <v>Expense</v>
      </c>
      <c r="O714" t="str">
        <f t="shared" si="36"/>
        <v>Flag: High-Value Rejected</v>
      </c>
    </row>
    <row r="715" spans="1:15" x14ac:dyDescent="0.25">
      <c r="A715" s="1" t="s">
        <v>4542</v>
      </c>
      <c r="B715" s="1" t="s">
        <v>3828</v>
      </c>
      <c r="C715" s="1" t="s">
        <v>3858</v>
      </c>
      <c r="D715" s="1" t="s">
        <v>3781</v>
      </c>
      <c r="E715">
        <v>241358</v>
      </c>
      <c r="F715">
        <v>279603.75</v>
      </c>
      <c r="G715">
        <f t="shared" si="34"/>
        <v>-38245.75</v>
      </c>
      <c r="H715">
        <v>-38245.75</v>
      </c>
      <c r="I715" s="3">
        <v>45417</v>
      </c>
      <c r="J715" s="1" t="s">
        <v>3790</v>
      </c>
      <c r="K715" s="1" t="s">
        <v>3803</v>
      </c>
      <c r="L715" s="1" t="s">
        <v>3800</v>
      </c>
      <c r="M715" s="1" t="s">
        <v>3792</v>
      </c>
      <c r="N715" t="str">
        <f t="shared" si="35"/>
        <v>Expense</v>
      </c>
      <c r="O715" t="str">
        <f t="shared" si="36"/>
        <v/>
      </c>
    </row>
    <row r="716" spans="1:15" x14ac:dyDescent="0.25">
      <c r="A716" s="1" t="s">
        <v>4543</v>
      </c>
      <c r="B716" s="1" t="s">
        <v>3828</v>
      </c>
      <c r="C716" s="1" t="s">
        <v>3806</v>
      </c>
      <c r="D716" s="1" t="s">
        <v>3826</v>
      </c>
      <c r="E716">
        <v>4553011</v>
      </c>
      <c r="F716">
        <v>5566948.4299999997</v>
      </c>
      <c r="G716">
        <f t="shared" si="34"/>
        <v>-1013937.4299999997</v>
      </c>
      <c r="H716">
        <v>-1013937.43</v>
      </c>
      <c r="I716" s="3">
        <v>45294</v>
      </c>
      <c r="J716" s="1" t="s">
        <v>3790</v>
      </c>
      <c r="K716" s="1" t="s">
        <v>3803</v>
      </c>
      <c r="L716" s="1" t="s">
        <v>3784</v>
      </c>
      <c r="M716" s="1" t="s">
        <v>51</v>
      </c>
      <c r="N716" t="str">
        <f t="shared" si="35"/>
        <v>Expense</v>
      </c>
      <c r="O716" t="str">
        <f t="shared" si="36"/>
        <v/>
      </c>
    </row>
    <row r="717" spans="1:15" x14ac:dyDescent="0.25">
      <c r="A717" s="1" t="s">
        <v>4544</v>
      </c>
      <c r="B717" s="1" t="s">
        <v>3808</v>
      </c>
      <c r="C717" s="1" t="s">
        <v>3812</v>
      </c>
      <c r="D717" s="1" t="s">
        <v>3846</v>
      </c>
      <c r="E717">
        <v>475898</v>
      </c>
      <c r="F717">
        <v>548590.42000000004</v>
      </c>
      <c r="G717">
        <f t="shared" si="34"/>
        <v>-72692.420000000042</v>
      </c>
      <c r="H717">
        <v>-72692.42</v>
      </c>
      <c r="I717" s="3">
        <v>44982</v>
      </c>
      <c r="J717" s="1" t="s">
        <v>3790</v>
      </c>
      <c r="K717" s="1" t="s">
        <v>3803</v>
      </c>
      <c r="L717" s="1" t="s">
        <v>3804</v>
      </c>
      <c r="M717" s="1" t="s">
        <v>51</v>
      </c>
      <c r="N717" t="str">
        <f t="shared" si="35"/>
        <v>Expense</v>
      </c>
      <c r="O717" t="str">
        <f t="shared" si="36"/>
        <v/>
      </c>
    </row>
    <row r="718" spans="1:15" x14ac:dyDescent="0.25">
      <c r="A718" s="1" t="s">
        <v>4545</v>
      </c>
      <c r="B718" s="1" t="s">
        <v>3808</v>
      </c>
      <c r="C718" s="1" t="s">
        <v>3788</v>
      </c>
      <c r="D718" s="1" t="s">
        <v>3822</v>
      </c>
      <c r="E718">
        <v>49983</v>
      </c>
      <c r="G718" t="str">
        <f t="shared" si="34"/>
        <v/>
      </c>
      <c r="H718">
        <v>-7108.96</v>
      </c>
      <c r="I718" s="3">
        <v>45277</v>
      </c>
      <c r="J718" s="1" t="s">
        <v>3790</v>
      </c>
      <c r="K718" s="1" t="s">
        <v>3783</v>
      </c>
      <c r="L718" s="1" t="s">
        <v>3784</v>
      </c>
      <c r="M718" s="1" t="s">
        <v>3809</v>
      </c>
      <c r="N718" t="str">
        <f t="shared" si="35"/>
        <v>Expense</v>
      </c>
      <c r="O718" t="str">
        <f t="shared" si="36"/>
        <v/>
      </c>
    </row>
    <row r="719" spans="1:15" x14ac:dyDescent="0.25">
      <c r="A719" s="1" t="s">
        <v>4546</v>
      </c>
      <c r="B719" s="1" t="s">
        <v>3798</v>
      </c>
      <c r="C719" s="1" t="s">
        <v>3812</v>
      </c>
      <c r="D719" s="1" t="s">
        <v>3850</v>
      </c>
      <c r="E719">
        <v>306684</v>
      </c>
      <c r="F719">
        <v>366786.93</v>
      </c>
      <c r="G719">
        <f t="shared" si="34"/>
        <v>-60102.929999999993</v>
      </c>
      <c r="H719">
        <v>-60102.93</v>
      </c>
      <c r="I719" s="3">
        <v>44947</v>
      </c>
      <c r="J719" s="1" t="s">
        <v>3790</v>
      </c>
      <c r="K719" s="1" t="s">
        <v>3803</v>
      </c>
      <c r="L719" s="1" t="s">
        <v>3804</v>
      </c>
      <c r="M719" s="1" t="s">
        <v>3809</v>
      </c>
      <c r="N719" t="str">
        <f t="shared" si="35"/>
        <v>Expense</v>
      </c>
      <c r="O719" t="str">
        <f t="shared" si="36"/>
        <v/>
      </c>
    </row>
    <row r="720" spans="1:15" x14ac:dyDescent="0.25">
      <c r="A720" s="1" t="s">
        <v>4547</v>
      </c>
      <c r="B720" s="1" t="s">
        <v>3787</v>
      </c>
      <c r="C720" s="1" t="s">
        <v>3806</v>
      </c>
      <c r="D720" s="1" t="s">
        <v>3816</v>
      </c>
      <c r="E720">
        <v>357162</v>
      </c>
      <c r="F720">
        <v>401350.71</v>
      </c>
      <c r="G720">
        <f t="shared" si="34"/>
        <v>-44188.710000000021</v>
      </c>
      <c r="H720">
        <v>-44188.71</v>
      </c>
      <c r="I720" s="3">
        <v>45628</v>
      </c>
      <c r="J720" s="1" t="s">
        <v>3859</v>
      </c>
      <c r="K720" s="1" t="s">
        <v>3791</v>
      </c>
      <c r="L720" s="1" t="s">
        <v>3800</v>
      </c>
      <c r="M720" s="1" t="s">
        <v>3831</v>
      </c>
      <c r="N720" t="str">
        <f t="shared" si="35"/>
        <v>Expense</v>
      </c>
      <c r="O720" t="str">
        <f t="shared" si="36"/>
        <v>Flag: High-Value Rejected</v>
      </c>
    </row>
    <row r="721" spans="1:15" x14ac:dyDescent="0.25">
      <c r="A721" s="1" t="s">
        <v>4548</v>
      </c>
      <c r="B721" s="1" t="s">
        <v>3808</v>
      </c>
      <c r="C721" s="1" t="s">
        <v>3844</v>
      </c>
      <c r="D721" s="1" t="s">
        <v>3826</v>
      </c>
      <c r="E721">
        <v>135756</v>
      </c>
      <c r="F721">
        <v>171145.25</v>
      </c>
      <c r="G721">
        <f t="shared" si="34"/>
        <v>-35389.25</v>
      </c>
      <c r="H721">
        <v>-35389.25</v>
      </c>
      <c r="I721" s="3">
        <v>44960</v>
      </c>
      <c r="J721" s="1" t="s">
        <v>3790</v>
      </c>
      <c r="K721" s="1" t="s">
        <v>3803</v>
      </c>
      <c r="L721" s="1" t="s">
        <v>3804</v>
      </c>
      <c r="M721" s="1" t="s">
        <v>51</v>
      </c>
      <c r="N721" t="str">
        <f t="shared" si="35"/>
        <v>Expense</v>
      </c>
      <c r="O721" t="str">
        <f t="shared" si="36"/>
        <v/>
      </c>
    </row>
    <row r="722" spans="1:15" x14ac:dyDescent="0.25">
      <c r="A722" s="1" t="s">
        <v>4549</v>
      </c>
      <c r="B722" s="1" t="s">
        <v>3808</v>
      </c>
      <c r="C722" s="1" t="s">
        <v>3844</v>
      </c>
      <c r="D722" s="1" t="s">
        <v>3799</v>
      </c>
      <c r="E722">
        <v>-454060</v>
      </c>
      <c r="F722">
        <v>541468.72</v>
      </c>
      <c r="G722">
        <f t="shared" si="34"/>
        <v>-995528.72</v>
      </c>
      <c r="H722">
        <v>-87408.72</v>
      </c>
      <c r="I722" s="3">
        <v>45090</v>
      </c>
      <c r="J722" s="1" t="s">
        <v>3790</v>
      </c>
      <c r="K722" s="1" t="s">
        <v>3791</v>
      </c>
      <c r="L722" s="1" t="s">
        <v>3784</v>
      </c>
      <c r="M722" s="1" t="s">
        <v>51</v>
      </c>
      <c r="N722" t="str">
        <f t="shared" si="35"/>
        <v>Credit/Refund</v>
      </c>
      <c r="O722" t="str">
        <f t="shared" si="36"/>
        <v/>
      </c>
    </row>
    <row r="723" spans="1:15" x14ac:dyDescent="0.25">
      <c r="A723" s="1" t="s">
        <v>4550</v>
      </c>
      <c r="B723" s="1" t="s">
        <v>3787</v>
      </c>
      <c r="C723" s="1" t="s">
        <v>3812</v>
      </c>
      <c r="D723" s="1" t="s">
        <v>3834</v>
      </c>
      <c r="E723">
        <v>180981</v>
      </c>
      <c r="F723">
        <v>202962.35</v>
      </c>
      <c r="G723">
        <f t="shared" si="34"/>
        <v>-21981.350000000006</v>
      </c>
      <c r="H723">
        <v>-21981.35</v>
      </c>
      <c r="I723" s="3">
        <v>45295</v>
      </c>
      <c r="J723" s="1" t="s">
        <v>3782</v>
      </c>
      <c r="K723" s="1" t="s">
        <v>3823</v>
      </c>
      <c r="L723" s="1" t="s">
        <v>3784</v>
      </c>
      <c r="M723" s="1" t="s">
        <v>3817</v>
      </c>
      <c r="N723" t="str">
        <f t="shared" si="35"/>
        <v>Expense</v>
      </c>
      <c r="O723" t="str">
        <f t="shared" si="36"/>
        <v/>
      </c>
    </row>
    <row r="724" spans="1:15" x14ac:dyDescent="0.25">
      <c r="A724" s="1" t="s">
        <v>4551</v>
      </c>
      <c r="B724" s="1" t="s">
        <v>3808</v>
      </c>
      <c r="C724" s="1" t="s">
        <v>3861</v>
      </c>
      <c r="D724" s="1" t="s">
        <v>3850</v>
      </c>
      <c r="E724">
        <v>217431</v>
      </c>
      <c r="F724">
        <v>192943.18</v>
      </c>
      <c r="G724">
        <f t="shared" si="34"/>
        <v>24487.820000000007</v>
      </c>
      <c r="H724">
        <v>24487.82</v>
      </c>
      <c r="I724" s="3">
        <v>45552</v>
      </c>
      <c r="J724" s="1" t="s">
        <v>3790</v>
      </c>
      <c r="K724" s="1" t="s">
        <v>3783</v>
      </c>
      <c r="L724" s="1" t="s">
        <v>3800</v>
      </c>
      <c r="M724" s="1" t="s">
        <v>3817</v>
      </c>
      <c r="N724" t="str">
        <f t="shared" si="35"/>
        <v>Expense</v>
      </c>
      <c r="O724" t="str">
        <f t="shared" si="36"/>
        <v/>
      </c>
    </row>
    <row r="725" spans="1:15" x14ac:dyDescent="0.25">
      <c r="A725" s="1" t="s">
        <v>4552</v>
      </c>
      <c r="B725" s="1" t="s">
        <v>3811</v>
      </c>
      <c r="C725" s="1" t="s">
        <v>3858</v>
      </c>
      <c r="D725" s="1" t="s">
        <v>3855</v>
      </c>
      <c r="E725">
        <v>456859</v>
      </c>
      <c r="F725">
        <v>418180.83</v>
      </c>
      <c r="G725">
        <f t="shared" si="34"/>
        <v>38678.169999999984</v>
      </c>
      <c r="H725">
        <v>38678.17</v>
      </c>
      <c r="I725" s="3">
        <v>45520</v>
      </c>
      <c r="J725" s="1" t="s">
        <v>3790</v>
      </c>
      <c r="K725" s="1" t="s">
        <v>3803</v>
      </c>
      <c r="L725" s="1" t="s">
        <v>3800</v>
      </c>
      <c r="M725" s="1" t="s">
        <v>51</v>
      </c>
      <c r="N725" t="str">
        <f t="shared" si="35"/>
        <v>Expense</v>
      </c>
      <c r="O725" t="str">
        <f t="shared" si="36"/>
        <v/>
      </c>
    </row>
    <row r="726" spans="1:15" x14ac:dyDescent="0.25">
      <c r="A726" s="1" t="s">
        <v>4553</v>
      </c>
      <c r="B726" s="1" t="s">
        <v>3794</v>
      </c>
      <c r="C726" s="1" t="s">
        <v>3795</v>
      </c>
      <c r="D726" s="1" t="s">
        <v>3846</v>
      </c>
      <c r="E726">
        <v>138304</v>
      </c>
      <c r="F726">
        <v>121588.97</v>
      </c>
      <c r="G726">
        <f t="shared" si="34"/>
        <v>16715.03</v>
      </c>
      <c r="I726" s="3">
        <v>45181</v>
      </c>
      <c r="J726" s="1" t="s">
        <v>3790</v>
      </c>
      <c r="K726" s="1" t="s">
        <v>3783</v>
      </c>
      <c r="L726" s="1" t="s">
        <v>3784</v>
      </c>
      <c r="M726" s="1" t="s">
        <v>51</v>
      </c>
      <c r="N726" t="str">
        <f t="shared" si="35"/>
        <v>Expense</v>
      </c>
      <c r="O726" t="str">
        <f t="shared" si="36"/>
        <v/>
      </c>
    </row>
    <row r="727" spans="1:15" x14ac:dyDescent="0.25">
      <c r="A727" s="1" t="s">
        <v>4554</v>
      </c>
      <c r="B727" s="1" t="s">
        <v>3808</v>
      </c>
      <c r="C727" s="1" t="s">
        <v>3812</v>
      </c>
      <c r="D727" s="1" t="s">
        <v>3799</v>
      </c>
      <c r="E727">
        <v>257469</v>
      </c>
      <c r="F727">
        <v>258131.14</v>
      </c>
      <c r="G727">
        <f t="shared" si="34"/>
        <v>-662.14000000001397</v>
      </c>
      <c r="I727" s="3">
        <v>45499</v>
      </c>
      <c r="J727" s="1" t="s">
        <v>3790</v>
      </c>
      <c r="K727" s="1" t="s">
        <v>3823</v>
      </c>
      <c r="L727" s="1" t="s">
        <v>3800</v>
      </c>
      <c r="M727" s="1" t="s">
        <v>3792</v>
      </c>
      <c r="N727" t="str">
        <f t="shared" si="35"/>
        <v>Expense</v>
      </c>
      <c r="O727" t="str">
        <f t="shared" si="36"/>
        <v/>
      </c>
    </row>
    <row r="728" spans="1:15" x14ac:dyDescent="0.25">
      <c r="A728" s="1" t="s">
        <v>4555</v>
      </c>
      <c r="B728" s="1" t="s">
        <v>3798</v>
      </c>
      <c r="C728" s="1" t="s">
        <v>3815</v>
      </c>
      <c r="D728" s="1" t="s">
        <v>3781</v>
      </c>
      <c r="E728">
        <v>492950</v>
      </c>
      <c r="F728">
        <v>504226</v>
      </c>
      <c r="G728">
        <f t="shared" si="34"/>
        <v>-11276</v>
      </c>
      <c r="H728">
        <v>-11276</v>
      </c>
      <c r="I728" s="3">
        <v>45692</v>
      </c>
      <c r="J728" s="1" t="s">
        <v>3790</v>
      </c>
      <c r="K728" s="1" t="s">
        <v>3783</v>
      </c>
      <c r="L728" s="1" t="s">
        <v>3800</v>
      </c>
      <c r="M728" s="1" t="s">
        <v>51</v>
      </c>
      <c r="N728" t="str">
        <f t="shared" si="35"/>
        <v>Expense</v>
      </c>
      <c r="O728" t="str">
        <f t="shared" si="36"/>
        <v/>
      </c>
    </row>
    <row r="729" spans="1:15" x14ac:dyDescent="0.25">
      <c r="A729" s="1" t="s">
        <v>4556</v>
      </c>
      <c r="B729" s="1" t="s">
        <v>3839</v>
      </c>
      <c r="C729" s="1" t="s">
        <v>3780</v>
      </c>
      <c r="D729" s="1" t="s">
        <v>3813</v>
      </c>
      <c r="E729">
        <v>495963</v>
      </c>
      <c r="F729">
        <v>486284.39</v>
      </c>
      <c r="G729">
        <f t="shared" si="34"/>
        <v>9678.609999999986</v>
      </c>
      <c r="H729">
        <v>9678.61</v>
      </c>
      <c r="I729" s="3">
        <v>45448</v>
      </c>
      <c r="J729" s="1" t="s">
        <v>3790</v>
      </c>
      <c r="K729" s="1" t="s">
        <v>3783</v>
      </c>
      <c r="L729" s="1" t="s">
        <v>3800</v>
      </c>
      <c r="M729" s="1" t="s">
        <v>51</v>
      </c>
      <c r="N729" t="str">
        <f t="shared" si="35"/>
        <v>Expense</v>
      </c>
      <c r="O729" t="str">
        <f t="shared" si="36"/>
        <v/>
      </c>
    </row>
    <row r="730" spans="1:15" x14ac:dyDescent="0.25">
      <c r="A730" s="1" t="s">
        <v>4557</v>
      </c>
      <c r="B730" s="1" t="s">
        <v>3787</v>
      </c>
      <c r="C730" s="1" t="s">
        <v>3858</v>
      </c>
      <c r="D730" s="1" t="s">
        <v>3850</v>
      </c>
      <c r="E730">
        <v>215775</v>
      </c>
      <c r="F730">
        <v>205206.27</v>
      </c>
      <c r="G730">
        <f t="shared" si="34"/>
        <v>10568.73000000001</v>
      </c>
      <c r="H730">
        <v>10568.73</v>
      </c>
      <c r="I730" s="3">
        <v>45498</v>
      </c>
      <c r="J730" s="1" t="s">
        <v>3782</v>
      </c>
      <c r="K730" s="1" t="s">
        <v>3803</v>
      </c>
      <c r="L730" s="1" t="s">
        <v>3800</v>
      </c>
      <c r="M730" s="1" t="s">
        <v>3785</v>
      </c>
      <c r="N730" t="str">
        <f t="shared" si="35"/>
        <v>Expense</v>
      </c>
      <c r="O730" t="str">
        <f t="shared" si="36"/>
        <v>Flag: High-Value Pending</v>
      </c>
    </row>
    <row r="731" spans="1:15" x14ac:dyDescent="0.25">
      <c r="A731" s="1" t="s">
        <v>4558</v>
      </c>
      <c r="B731" s="1" t="s">
        <v>3828</v>
      </c>
      <c r="C731" s="1" t="s">
        <v>3844</v>
      </c>
      <c r="D731" s="1" t="s">
        <v>3796</v>
      </c>
      <c r="E731">
        <v>3987139</v>
      </c>
      <c r="F731">
        <v>3613274.29</v>
      </c>
      <c r="G731">
        <f t="shared" si="34"/>
        <v>373864.70999999996</v>
      </c>
      <c r="H731">
        <v>373864.71</v>
      </c>
      <c r="I731" s="3">
        <v>45108</v>
      </c>
      <c r="J731" s="1" t="s">
        <v>3790</v>
      </c>
      <c r="K731" s="1" t="s">
        <v>3803</v>
      </c>
      <c r="L731" s="1" t="s">
        <v>3784</v>
      </c>
      <c r="M731" s="1" t="s">
        <v>3831</v>
      </c>
      <c r="N731" t="str">
        <f t="shared" si="35"/>
        <v>Expense</v>
      </c>
      <c r="O731" t="str">
        <f t="shared" si="36"/>
        <v/>
      </c>
    </row>
    <row r="732" spans="1:15" x14ac:dyDescent="0.25">
      <c r="A732" s="1" t="s">
        <v>4559</v>
      </c>
      <c r="B732" s="1" t="s">
        <v>3798</v>
      </c>
      <c r="C732" s="1" t="s">
        <v>3825</v>
      </c>
      <c r="D732" s="1" t="s">
        <v>3796</v>
      </c>
      <c r="E732">
        <v>31262</v>
      </c>
      <c r="F732">
        <v>30459.49</v>
      </c>
      <c r="G732">
        <f t="shared" si="34"/>
        <v>802.5099999999984</v>
      </c>
      <c r="H732">
        <v>802.51</v>
      </c>
      <c r="I732" s="3">
        <v>45686</v>
      </c>
      <c r="J732" s="1" t="s">
        <v>3790</v>
      </c>
      <c r="K732" s="1" t="s">
        <v>3791</v>
      </c>
      <c r="L732" s="1" t="s">
        <v>3800</v>
      </c>
      <c r="M732" s="1" t="s">
        <v>51</v>
      </c>
      <c r="N732" t="str">
        <f t="shared" si="35"/>
        <v>Expense</v>
      </c>
      <c r="O732" t="str">
        <f t="shared" si="36"/>
        <v/>
      </c>
    </row>
    <row r="733" spans="1:15" x14ac:dyDescent="0.25">
      <c r="A733" s="1" t="s">
        <v>4560</v>
      </c>
      <c r="B733" s="1" t="s">
        <v>3828</v>
      </c>
      <c r="C733" s="1" t="s">
        <v>3806</v>
      </c>
      <c r="D733" s="1" t="s">
        <v>3816</v>
      </c>
      <c r="E733">
        <v>21608</v>
      </c>
      <c r="F733">
        <v>21731.88</v>
      </c>
      <c r="G733">
        <f t="shared" si="34"/>
        <v>-123.88000000000102</v>
      </c>
      <c r="H733">
        <v>-123.88</v>
      </c>
      <c r="I733" s="3">
        <v>44976</v>
      </c>
      <c r="J733" s="1" t="s">
        <v>3782</v>
      </c>
      <c r="K733" s="1" t="s">
        <v>3791</v>
      </c>
      <c r="L733" s="1" t="s">
        <v>3804</v>
      </c>
      <c r="M733" s="1" t="s">
        <v>3809</v>
      </c>
      <c r="N733" t="str">
        <f t="shared" si="35"/>
        <v>Expense</v>
      </c>
      <c r="O733" t="str">
        <f t="shared" si="36"/>
        <v/>
      </c>
    </row>
    <row r="734" spans="1:15" x14ac:dyDescent="0.25">
      <c r="A734" s="1" t="s">
        <v>4561</v>
      </c>
      <c r="B734" s="1" t="s">
        <v>3828</v>
      </c>
      <c r="C734" s="1" t="s">
        <v>3858</v>
      </c>
      <c r="D734" s="1" t="s">
        <v>3816</v>
      </c>
      <c r="E734">
        <v>152980</v>
      </c>
      <c r="F734">
        <v>166179.15</v>
      </c>
      <c r="G734">
        <f t="shared" si="34"/>
        <v>-13199.149999999994</v>
      </c>
      <c r="H734">
        <v>-13199.15</v>
      </c>
      <c r="I734" s="3">
        <v>45431</v>
      </c>
      <c r="J734" s="1" t="s">
        <v>3790</v>
      </c>
      <c r="K734" s="1" t="s">
        <v>3823</v>
      </c>
      <c r="L734" s="1" t="s">
        <v>3800</v>
      </c>
      <c r="M734" s="1" t="s">
        <v>51</v>
      </c>
      <c r="N734" t="str">
        <f t="shared" si="35"/>
        <v>Expense</v>
      </c>
      <c r="O734" t="str">
        <f t="shared" si="36"/>
        <v/>
      </c>
    </row>
    <row r="735" spans="1:15" x14ac:dyDescent="0.25">
      <c r="A735" s="1" t="s">
        <v>4562</v>
      </c>
      <c r="B735" s="1" t="s">
        <v>3808</v>
      </c>
      <c r="C735" s="1" t="s">
        <v>3848</v>
      </c>
      <c r="D735" s="1" t="s">
        <v>3816</v>
      </c>
      <c r="E735">
        <v>32515</v>
      </c>
      <c r="F735">
        <v>33972.97</v>
      </c>
      <c r="G735">
        <f t="shared" si="34"/>
        <v>-1457.9700000000012</v>
      </c>
      <c r="H735">
        <v>-1457.97</v>
      </c>
      <c r="I735" s="3">
        <v>45545</v>
      </c>
      <c r="J735" s="1" t="s">
        <v>3782</v>
      </c>
      <c r="K735" s="1" t="s">
        <v>3823</v>
      </c>
      <c r="L735" s="1" t="s">
        <v>3800</v>
      </c>
      <c r="M735" s="1" t="s">
        <v>3809</v>
      </c>
      <c r="N735" t="str">
        <f t="shared" si="35"/>
        <v>Expense</v>
      </c>
      <c r="O735" t="str">
        <f t="shared" si="36"/>
        <v/>
      </c>
    </row>
    <row r="736" spans="1:15" x14ac:dyDescent="0.25">
      <c r="A736" s="1" t="s">
        <v>4563</v>
      </c>
      <c r="B736" s="1" t="s">
        <v>3808</v>
      </c>
      <c r="C736" s="1" t="s">
        <v>3788</v>
      </c>
      <c r="D736" s="1" t="s">
        <v>3816</v>
      </c>
      <c r="E736">
        <v>195589</v>
      </c>
      <c r="F736">
        <v>191747.64</v>
      </c>
      <c r="G736">
        <f t="shared" si="34"/>
        <v>3841.359999999986</v>
      </c>
      <c r="H736">
        <v>3841.36</v>
      </c>
      <c r="I736" s="3">
        <v>45717</v>
      </c>
      <c r="J736" s="1" t="s">
        <v>3782</v>
      </c>
      <c r="K736" s="1" t="s">
        <v>3803</v>
      </c>
      <c r="L736" s="1" t="s">
        <v>3800</v>
      </c>
      <c r="M736" s="1" t="s">
        <v>3831</v>
      </c>
      <c r="N736" t="str">
        <f t="shared" si="35"/>
        <v>Expense</v>
      </c>
      <c r="O736" t="str">
        <f t="shared" si="36"/>
        <v/>
      </c>
    </row>
    <row r="737" spans="1:15" x14ac:dyDescent="0.25">
      <c r="A737" s="1" t="s">
        <v>4564</v>
      </c>
      <c r="B737" s="1" t="s">
        <v>3794</v>
      </c>
      <c r="C737" s="1" t="s">
        <v>3844</v>
      </c>
      <c r="D737" s="1" t="s">
        <v>3837</v>
      </c>
      <c r="E737">
        <v>207083</v>
      </c>
      <c r="F737">
        <v>190317.26</v>
      </c>
      <c r="G737">
        <f t="shared" si="34"/>
        <v>16765.739999999991</v>
      </c>
      <c r="I737" s="3">
        <v>44980</v>
      </c>
      <c r="J737" s="1" t="s">
        <v>3782</v>
      </c>
      <c r="K737" s="1" t="s">
        <v>3791</v>
      </c>
      <c r="L737" s="1" t="s">
        <v>3804</v>
      </c>
      <c r="M737" s="1" t="s">
        <v>3817</v>
      </c>
      <c r="N737" t="str">
        <f t="shared" si="35"/>
        <v>Expense</v>
      </c>
      <c r="O737" t="str">
        <f t="shared" si="36"/>
        <v>Flag: High-Value Pending</v>
      </c>
    </row>
    <row r="738" spans="1:15" x14ac:dyDescent="0.25">
      <c r="A738" s="1" t="s">
        <v>4565</v>
      </c>
      <c r="B738" s="1" t="s">
        <v>3808</v>
      </c>
      <c r="C738" s="1" t="s">
        <v>3858</v>
      </c>
      <c r="D738" s="1" t="s">
        <v>3837</v>
      </c>
      <c r="E738">
        <v>408903</v>
      </c>
      <c r="F738">
        <v>385116.53</v>
      </c>
      <c r="G738">
        <f t="shared" si="34"/>
        <v>23786.469999999972</v>
      </c>
      <c r="H738">
        <v>23786.47</v>
      </c>
      <c r="I738" s="3">
        <v>45272</v>
      </c>
      <c r="J738" s="1" t="s">
        <v>3782</v>
      </c>
      <c r="K738" s="1" t="s">
        <v>3791</v>
      </c>
      <c r="L738" s="1" t="s">
        <v>3784</v>
      </c>
      <c r="M738" s="1" t="s">
        <v>51</v>
      </c>
      <c r="N738" t="str">
        <f t="shared" si="35"/>
        <v>Expense</v>
      </c>
      <c r="O738" t="str">
        <f t="shared" si="36"/>
        <v>Flag: High-Value Pending</v>
      </c>
    </row>
    <row r="739" spans="1:15" x14ac:dyDescent="0.25">
      <c r="A739" s="1" t="s">
        <v>4566</v>
      </c>
      <c r="B739" s="1" t="s">
        <v>3787</v>
      </c>
      <c r="C739" s="1" t="s">
        <v>3788</v>
      </c>
      <c r="D739" s="1" t="s">
        <v>3826</v>
      </c>
      <c r="E739">
        <v>90070</v>
      </c>
      <c r="F739">
        <v>106873.96</v>
      </c>
      <c r="G739">
        <f t="shared" si="34"/>
        <v>-16803.960000000006</v>
      </c>
      <c r="H739">
        <v>-16803.96</v>
      </c>
      <c r="I739" s="3">
        <v>45421</v>
      </c>
      <c r="J739" s="1" t="s">
        <v>3790</v>
      </c>
      <c r="K739" s="1" t="s">
        <v>3791</v>
      </c>
      <c r="L739" s="1" t="s">
        <v>3800</v>
      </c>
      <c r="M739" s="1" t="s">
        <v>3817</v>
      </c>
      <c r="N739" t="str">
        <f t="shared" si="35"/>
        <v>Expense</v>
      </c>
      <c r="O739" t="str">
        <f t="shared" si="36"/>
        <v/>
      </c>
    </row>
    <row r="740" spans="1:15" x14ac:dyDescent="0.25">
      <c r="A740" s="1" t="s">
        <v>4567</v>
      </c>
      <c r="B740" s="1" t="s">
        <v>4877</v>
      </c>
      <c r="C740" s="1" t="s">
        <v>3806</v>
      </c>
      <c r="D740" s="1" t="s">
        <v>3895</v>
      </c>
      <c r="E740">
        <v>70355</v>
      </c>
      <c r="F740">
        <v>81689.77</v>
      </c>
      <c r="G740">
        <f t="shared" si="34"/>
        <v>-11334.770000000004</v>
      </c>
      <c r="H740">
        <v>-11334.77</v>
      </c>
      <c r="I740" s="3">
        <v>45171</v>
      </c>
      <c r="J740" s="1" t="s">
        <v>3790</v>
      </c>
      <c r="K740" s="1" t="s">
        <v>3783</v>
      </c>
      <c r="L740" s="1" t="s">
        <v>3784</v>
      </c>
      <c r="M740" s="1" t="s">
        <v>51</v>
      </c>
      <c r="N740" t="str">
        <f t="shared" si="35"/>
        <v>Expense</v>
      </c>
      <c r="O740" t="str">
        <f t="shared" si="36"/>
        <v/>
      </c>
    </row>
    <row r="741" spans="1:15" x14ac:dyDescent="0.25">
      <c r="A741" s="1" t="s">
        <v>4568</v>
      </c>
      <c r="B741" s="1" t="s">
        <v>3787</v>
      </c>
      <c r="C741" s="1" t="s">
        <v>3780</v>
      </c>
      <c r="D741" s="1" t="s">
        <v>3850</v>
      </c>
      <c r="E741">
        <v>-75828</v>
      </c>
      <c r="F741">
        <v>81600.58</v>
      </c>
      <c r="G741">
        <f t="shared" si="34"/>
        <v>-157428.58000000002</v>
      </c>
      <c r="H741">
        <v>-5772.58</v>
      </c>
      <c r="I741" s="3">
        <v>45203</v>
      </c>
      <c r="J741" s="1" t="s">
        <v>3782</v>
      </c>
      <c r="K741" s="1" t="s">
        <v>3823</v>
      </c>
      <c r="L741" s="1" t="s">
        <v>3784</v>
      </c>
      <c r="M741" s="1" t="s">
        <v>51</v>
      </c>
      <c r="N741" t="str">
        <f t="shared" si="35"/>
        <v>Credit/Refund</v>
      </c>
      <c r="O741" t="str">
        <f t="shared" si="36"/>
        <v/>
      </c>
    </row>
    <row r="742" spans="1:15" x14ac:dyDescent="0.25">
      <c r="A742" s="1" t="s">
        <v>4569</v>
      </c>
      <c r="B742" s="1" t="s">
        <v>3828</v>
      </c>
      <c r="C742" s="1" t="s">
        <v>3821</v>
      </c>
      <c r="D742" s="1" t="s">
        <v>3855</v>
      </c>
      <c r="E742">
        <v>1149403</v>
      </c>
      <c r="F742">
        <v>1033128.69</v>
      </c>
      <c r="G742">
        <f t="shared" si="34"/>
        <v>116274.31000000006</v>
      </c>
      <c r="H742">
        <v>116274.31</v>
      </c>
      <c r="I742" s="3">
        <v>45325</v>
      </c>
      <c r="J742" s="1" t="s">
        <v>3790</v>
      </c>
      <c r="K742" s="1" t="s">
        <v>3783</v>
      </c>
      <c r="L742" s="1" t="s">
        <v>3784</v>
      </c>
      <c r="M742" s="1" t="s">
        <v>51</v>
      </c>
      <c r="N742" t="str">
        <f t="shared" si="35"/>
        <v>Expense</v>
      </c>
      <c r="O742" t="str">
        <f t="shared" si="36"/>
        <v/>
      </c>
    </row>
    <row r="743" spans="1:15" x14ac:dyDescent="0.25">
      <c r="A743" s="1" t="s">
        <v>4570</v>
      </c>
      <c r="B743" s="1" t="s">
        <v>3798</v>
      </c>
      <c r="C743" s="1" t="s">
        <v>3780</v>
      </c>
      <c r="D743" s="1" t="s">
        <v>3895</v>
      </c>
      <c r="E743">
        <v>-459741</v>
      </c>
      <c r="G743" t="str">
        <f t="shared" si="34"/>
        <v/>
      </c>
      <c r="H743">
        <v>-106154.25</v>
      </c>
      <c r="I743" s="3">
        <v>45601</v>
      </c>
      <c r="J743" s="1" t="s">
        <v>3790</v>
      </c>
      <c r="K743" s="1" t="s">
        <v>3791</v>
      </c>
      <c r="L743" s="1" t="s">
        <v>3800</v>
      </c>
      <c r="M743" s="1" t="s">
        <v>3817</v>
      </c>
      <c r="N743" t="str">
        <f t="shared" si="35"/>
        <v>Credit/Refund</v>
      </c>
      <c r="O743" t="str">
        <f t="shared" si="36"/>
        <v/>
      </c>
    </row>
    <row r="744" spans="1:15" x14ac:dyDescent="0.25">
      <c r="A744" s="1" t="s">
        <v>4571</v>
      </c>
      <c r="B744" s="1" t="s">
        <v>3828</v>
      </c>
      <c r="C744" s="1" t="s">
        <v>3848</v>
      </c>
      <c r="D744" s="1" t="s">
        <v>3799</v>
      </c>
      <c r="E744">
        <v>120321</v>
      </c>
      <c r="F744">
        <v>96259.98</v>
      </c>
      <c r="G744">
        <f t="shared" si="34"/>
        <v>24061.020000000004</v>
      </c>
      <c r="H744">
        <v>24061.02</v>
      </c>
      <c r="I744" s="3">
        <v>45617</v>
      </c>
      <c r="J744" s="1" t="s">
        <v>3790</v>
      </c>
      <c r="K744" s="1" t="s">
        <v>3791</v>
      </c>
      <c r="L744" s="1" t="s">
        <v>3800</v>
      </c>
      <c r="M744" s="1" t="s">
        <v>3817</v>
      </c>
      <c r="N744" t="str">
        <f t="shared" si="35"/>
        <v>Expense</v>
      </c>
      <c r="O744" t="str">
        <f t="shared" si="36"/>
        <v/>
      </c>
    </row>
    <row r="745" spans="1:15" x14ac:dyDescent="0.25">
      <c r="A745" s="1" t="s">
        <v>4572</v>
      </c>
      <c r="B745" s="1" t="s">
        <v>3839</v>
      </c>
      <c r="C745" s="1" t="s">
        <v>3844</v>
      </c>
      <c r="D745" s="1" t="s">
        <v>3822</v>
      </c>
      <c r="E745">
        <v>318895</v>
      </c>
      <c r="F745">
        <v>263063.44</v>
      </c>
      <c r="G745">
        <f t="shared" si="34"/>
        <v>55831.56</v>
      </c>
      <c r="H745">
        <v>55831.56</v>
      </c>
      <c r="I745" s="3">
        <v>45461</v>
      </c>
      <c r="J745" s="1" t="s">
        <v>3782</v>
      </c>
      <c r="K745" s="1" t="s">
        <v>3783</v>
      </c>
      <c r="L745" s="1" t="s">
        <v>3800</v>
      </c>
      <c r="M745" s="1" t="s">
        <v>3785</v>
      </c>
      <c r="N745" t="str">
        <f t="shared" si="35"/>
        <v>Expense</v>
      </c>
      <c r="O745" t="str">
        <f t="shared" si="36"/>
        <v>Flag: High-Value Pending</v>
      </c>
    </row>
    <row r="746" spans="1:15" x14ac:dyDescent="0.25">
      <c r="A746" s="1" t="s">
        <v>4573</v>
      </c>
      <c r="B746" s="1" t="s">
        <v>3794</v>
      </c>
      <c r="C746" s="1" t="s">
        <v>3858</v>
      </c>
      <c r="D746" s="1" t="s">
        <v>3867</v>
      </c>
      <c r="E746">
        <v>490856</v>
      </c>
      <c r="F746">
        <v>485440.31</v>
      </c>
      <c r="G746">
        <f t="shared" si="34"/>
        <v>5415.6900000000023</v>
      </c>
      <c r="H746">
        <v>5415.69</v>
      </c>
      <c r="I746" s="3">
        <v>45506</v>
      </c>
      <c r="J746" s="1" t="s">
        <v>3782</v>
      </c>
      <c r="K746" s="1" t="s">
        <v>3783</v>
      </c>
      <c r="L746" s="1" t="s">
        <v>3800</v>
      </c>
      <c r="M746" s="1" t="s">
        <v>51</v>
      </c>
      <c r="N746" t="str">
        <f t="shared" si="35"/>
        <v>Expense</v>
      </c>
      <c r="O746" t="str">
        <f t="shared" si="36"/>
        <v>Flag: High-Value Pending</v>
      </c>
    </row>
    <row r="747" spans="1:15" x14ac:dyDescent="0.25">
      <c r="A747" s="1" t="s">
        <v>4574</v>
      </c>
      <c r="B747" s="1" t="s">
        <v>3798</v>
      </c>
      <c r="C747" s="1" t="s">
        <v>3788</v>
      </c>
      <c r="D747" s="1" t="s">
        <v>3781</v>
      </c>
      <c r="E747">
        <v>457290</v>
      </c>
      <c r="F747">
        <v>477968.21</v>
      </c>
      <c r="G747">
        <f t="shared" si="34"/>
        <v>-20678.210000000021</v>
      </c>
      <c r="H747">
        <v>-20678.21</v>
      </c>
      <c r="I747" s="3">
        <v>45018</v>
      </c>
      <c r="J747" s="1" t="s">
        <v>3782</v>
      </c>
      <c r="K747" s="1" t="s">
        <v>3783</v>
      </c>
      <c r="L747" s="1" t="s">
        <v>3784</v>
      </c>
      <c r="M747" s="1" t="s">
        <v>51</v>
      </c>
      <c r="N747" t="str">
        <f t="shared" si="35"/>
        <v>Expense</v>
      </c>
      <c r="O747" t="str">
        <f t="shared" si="36"/>
        <v>Flag: High-Value Pending</v>
      </c>
    </row>
    <row r="748" spans="1:15" x14ac:dyDescent="0.25">
      <c r="A748" s="1" t="s">
        <v>4575</v>
      </c>
      <c r="B748" s="1" t="s">
        <v>3798</v>
      </c>
      <c r="C748" s="1" t="s">
        <v>3815</v>
      </c>
      <c r="D748" s="1" t="s">
        <v>3802</v>
      </c>
      <c r="E748">
        <v>232010</v>
      </c>
      <c r="F748">
        <v>250718.99</v>
      </c>
      <c r="G748">
        <f t="shared" si="34"/>
        <v>-18708.989999999991</v>
      </c>
      <c r="H748">
        <v>-18708.990000000002</v>
      </c>
      <c r="I748" s="3">
        <v>45204</v>
      </c>
      <c r="J748" s="1" t="s">
        <v>3790</v>
      </c>
      <c r="K748" s="1" t="s">
        <v>3823</v>
      </c>
      <c r="L748" s="1" t="s">
        <v>3784</v>
      </c>
      <c r="M748" s="1" t="s">
        <v>51</v>
      </c>
      <c r="N748" t="str">
        <f t="shared" si="35"/>
        <v>Expense</v>
      </c>
      <c r="O748" t="str">
        <f t="shared" si="36"/>
        <v/>
      </c>
    </row>
    <row r="749" spans="1:15" x14ac:dyDescent="0.25">
      <c r="A749" s="1" t="s">
        <v>4576</v>
      </c>
      <c r="B749" s="1" t="s">
        <v>3839</v>
      </c>
      <c r="C749" s="1" t="s">
        <v>3815</v>
      </c>
      <c r="D749" s="1" t="s">
        <v>3822</v>
      </c>
      <c r="E749">
        <v>34888</v>
      </c>
      <c r="F749">
        <v>43551.95</v>
      </c>
      <c r="G749">
        <f t="shared" si="34"/>
        <v>-8663.9499999999971</v>
      </c>
      <c r="H749">
        <v>-8663.9500000000007</v>
      </c>
      <c r="I749" s="3">
        <v>45105</v>
      </c>
      <c r="J749" s="1" t="s">
        <v>3790</v>
      </c>
      <c r="K749" s="1" t="s">
        <v>3791</v>
      </c>
      <c r="L749" s="1" t="s">
        <v>3784</v>
      </c>
      <c r="M749" s="1" t="s">
        <v>3792</v>
      </c>
      <c r="N749" t="str">
        <f t="shared" si="35"/>
        <v>Expense</v>
      </c>
      <c r="O749" t="str">
        <f t="shared" si="36"/>
        <v/>
      </c>
    </row>
    <row r="750" spans="1:15" x14ac:dyDescent="0.25">
      <c r="A750" s="1" t="s">
        <v>4577</v>
      </c>
      <c r="B750" s="1" t="s">
        <v>3808</v>
      </c>
      <c r="C750" s="1" t="s">
        <v>3825</v>
      </c>
      <c r="D750" s="1" t="s">
        <v>3846</v>
      </c>
      <c r="E750">
        <v>442821</v>
      </c>
      <c r="F750">
        <v>492553.85</v>
      </c>
      <c r="G750">
        <f t="shared" si="34"/>
        <v>-49732.849999999977</v>
      </c>
      <c r="H750">
        <v>-49732.85</v>
      </c>
      <c r="I750" s="3">
        <v>45076</v>
      </c>
      <c r="J750" s="1" t="s">
        <v>3782</v>
      </c>
      <c r="K750" s="1" t="s">
        <v>3791</v>
      </c>
      <c r="L750" s="1" t="s">
        <v>3784</v>
      </c>
      <c r="M750" s="1" t="s">
        <v>51</v>
      </c>
      <c r="N750" t="str">
        <f t="shared" si="35"/>
        <v>Expense</v>
      </c>
      <c r="O750" t="str">
        <f t="shared" si="36"/>
        <v>Flag: High-Value Pending</v>
      </c>
    </row>
    <row r="751" spans="1:15" x14ac:dyDescent="0.25">
      <c r="A751" s="1" t="s">
        <v>4578</v>
      </c>
      <c r="B751" s="1" t="s">
        <v>3828</v>
      </c>
      <c r="C751" s="1" t="s">
        <v>3848</v>
      </c>
      <c r="D751" s="1" t="s">
        <v>3834</v>
      </c>
      <c r="E751">
        <v>24861</v>
      </c>
      <c r="F751">
        <v>29993.25</v>
      </c>
      <c r="G751">
        <f t="shared" si="34"/>
        <v>-5132.25</v>
      </c>
      <c r="H751">
        <v>-5132.25</v>
      </c>
      <c r="I751" s="3">
        <v>45306</v>
      </c>
      <c r="J751" s="1" t="s">
        <v>3790</v>
      </c>
      <c r="K751" s="1" t="s">
        <v>3803</v>
      </c>
      <c r="L751" s="1" t="s">
        <v>3784</v>
      </c>
      <c r="M751" s="1" t="s">
        <v>3792</v>
      </c>
      <c r="N751" t="str">
        <f t="shared" si="35"/>
        <v>Expense</v>
      </c>
      <c r="O751" t="str">
        <f t="shared" si="36"/>
        <v/>
      </c>
    </row>
    <row r="752" spans="1:15" x14ac:dyDescent="0.25">
      <c r="A752" s="1" t="s">
        <v>4579</v>
      </c>
      <c r="B752" s="1" t="s">
        <v>3794</v>
      </c>
      <c r="C752" s="1" t="s">
        <v>3858</v>
      </c>
      <c r="D752" s="1" t="s">
        <v>3895</v>
      </c>
      <c r="E752">
        <v>107549</v>
      </c>
      <c r="F752">
        <v>115101.72</v>
      </c>
      <c r="G752">
        <f t="shared" si="34"/>
        <v>-7552.7200000000012</v>
      </c>
      <c r="H752">
        <v>-7552.72</v>
      </c>
      <c r="I752" s="3">
        <v>45269</v>
      </c>
      <c r="J752" s="1" t="s">
        <v>3790</v>
      </c>
      <c r="K752" s="1" t="s">
        <v>3803</v>
      </c>
      <c r="L752" s="1" t="s">
        <v>3784</v>
      </c>
      <c r="M752" s="1" t="s">
        <v>51</v>
      </c>
      <c r="N752" t="str">
        <f t="shared" si="35"/>
        <v>Expense</v>
      </c>
      <c r="O752" t="str">
        <f t="shared" si="36"/>
        <v/>
      </c>
    </row>
    <row r="753" spans="1:15" x14ac:dyDescent="0.25">
      <c r="A753" s="1" t="s">
        <v>4580</v>
      </c>
      <c r="B753" s="1" t="s">
        <v>3808</v>
      </c>
      <c r="C753" s="1" t="s">
        <v>3806</v>
      </c>
      <c r="D753" s="1" t="s">
        <v>3781</v>
      </c>
      <c r="E753">
        <v>-16108</v>
      </c>
      <c r="F753">
        <v>14660.94</v>
      </c>
      <c r="G753">
        <f t="shared" si="34"/>
        <v>-30768.940000000002</v>
      </c>
      <c r="H753">
        <v>1447.06</v>
      </c>
      <c r="I753" s="3">
        <v>45309</v>
      </c>
      <c r="J753" s="1" t="s">
        <v>3790</v>
      </c>
      <c r="K753" s="1" t="s">
        <v>3783</v>
      </c>
      <c r="L753" s="1" t="s">
        <v>3784</v>
      </c>
      <c r="M753" s="1" t="s">
        <v>51</v>
      </c>
      <c r="N753" t="str">
        <f t="shared" si="35"/>
        <v>Credit/Refund</v>
      </c>
      <c r="O753" t="str">
        <f t="shared" si="36"/>
        <v/>
      </c>
    </row>
    <row r="754" spans="1:15" x14ac:dyDescent="0.25">
      <c r="A754" s="1" t="s">
        <v>4581</v>
      </c>
      <c r="B754" s="1" t="s">
        <v>3839</v>
      </c>
      <c r="C754" s="1" t="s">
        <v>3788</v>
      </c>
      <c r="D754" s="1" t="s">
        <v>3799</v>
      </c>
      <c r="E754">
        <v>236053</v>
      </c>
      <c r="F754">
        <v>284918.45</v>
      </c>
      <c r="G754">
        <f t="shared" si="34"/>
        <v>-48865.450000000012</v>
      </c>
      <c r="H754">
        <v>-48865.45</v>
      </c>
      <c r="I754" s="3">
        <v>45377</v>
      </c>
      <c r="J754" s="1" t="s">
        <v>3782</v>
      </c>
      <c r="K754" s="1" t="s">
        <v>3791</v>
      </c>
      <c r="L754" s="1" t="s">
        <v>3784</v>
      </c>
      <c r="M754" s="1" t="s">
        <v>3785</v>
      </c>
      <c r="N754" t="str">
        <f t="shared" si="35"/>
        <v>Expense</v>
      </c>
      <c r="O754" t="str">
        <f t="shared" si="36"/>
        <v>Flag: High-Value Pending</v>
      </c>
    </row>
    <row r="755" spans="1:15" x14ac:dyDescent="0.25">
      <c r="A755" s="1" t="s">
        <v>4582</v>
      </c>
      <c r="B755" s="1" t="s">
        <v>3794</v>
      </c>
      <c r="C755" s="1" t="s">
        <v>3795</v>
      </c>
      <c r="D755" s="1" t="s">
        <v>3855</v>
      </c>
      <c r="E755">
        <v>324977</v>
      </c>
      <c r="F755">
        <v>289642.40000000002</v>
      </c>
      <c r="G755">
        <f t="shared" si="34"/>
        <v>35334.599999999977</v>
      </c>
      <c r="H755">
        <v>35334.6</v>
      </c>
      <c r="I755" s="3">
        <v>44972</v>
      </c>
      <c r="J755" s="1" t="s">
        <v>3790</v>
      </c>
      <c r="K755" s="1" t="s">
        <v>3803</v>
      </c>
      <c r="L755" s="1" t="s">
        <v>3804</v>
      </c>
      <c r="M755" s="1" t="s">
        <v>51</v>
      </c>
      <c r="N755" t="str">
        <f t="shared" si="35"/>
        <v>Expense</v>
      </c>
      <c r="O755" t="str">
        <f t="shared" si="36"/>
        <v/>
      </c>
    </row>
    <row r="756" spans="1:15" x14ac:dyDescent="0.25">
      <c r="A756" s="1" t="s">
        <v>4583</v>
      </c>
      <c r="B756" s="1" t="s">
        <v>3808</v>
      </c>
      <c r="C756" s="1" t="s">
        <v>3821</v>
      </c>
      <c r="D756" s="1" t="s">
        <v>3822</v>
      </c>
      <c r="E756">
        <v>164769</v>
      </c>
      <c r="F756">
        <v>138610.93</v>
      </c>
      <c r="G756">
        <f t="shared" si="34"/>
        <v>26158.070000000007</v>
      </c>
      <c r="H756">
        <v>26158.07</v>
      </c>
      <c r="I756" s="3">
        <v>45665</v>
      </c>
      <c r="J756" s="1" t="s">
        <v>3790</v>
      </c>
      <c r="K756" s="1" t="s">
        <v>3823</v>
      </c>
      <c r="L756" s="1" t="s">
        <v>3800</v>
      </c>
      <c r="M756" s="1" t="s">
        <v>51</v>
      </c>
      <c r="N756" t="str">
        <f t="shared" si="35"/>
        <v>Expense</v>
      </c>
      <c r="O756" t="str">
        <f t="shared" si="36"/>
        <v/>
      </c>
    </row>
    <row r="757" spans="1:15" x14ac:dyDescent="0.25">
      <c r="A757" s="1" t="s">
        <v>4584</v>
      </c>
      <c r="B757" s="1" t="s">
        <v>3808</v>
      </c>
      <c r="C757" s="1" t="s">
        <v>3861</v>
      </c>
      <c r="D757" s="1" t="s">
        <v>3781</v>
      </c>
      <c r="E757">
        <v>214304</v>
      </c>
      <c r="F757">
        <v>201065.68</v>
      </c>
      <c r="G757">
        <f t="shared" si="34"/>
        <v>13238.320000000007</v>
      </c>
      <c r="H757">
        <v>13238.32</v>
      </c>
      <c r="I757" s="3">
        <v>45053</v>
      </c>
      <c r="J757" s="1" t="s">
        <v>3790</v>
      </c>
      <c r="K757" s="1" t="s">
        <v>3791</v>
      </c>
      <c r="L757" s="1" t="s">
        <v>3784</v>
      </c>
      <c r="M757" s="1" t="s">
        <v>51</v>
      </c>
      <c r="N757" t="str">
        <f t="shared" si="35"/>
        <v>Expense</v>
      </c>
      <c r="O757" t="str">
        <f t="shared" si="36"/>
        <v/>
      </c>
    </row>
    <row r="758" spans="1:15" x14ac:dyDescent="0.25">
      <c r="A758" s="1" t="s">
        <v>4585</v>
      </c>
      <c r="B758" s="1" t="s">
        <v>3839</v>
      </c>
      <c r="C758" s="1" t="s">
        <v>3806</v>
      </c>
      <c r="D758" s="1" t="s">
        <v>3834</v>
      </c>
      <c r="E758">
        <v>308258</v>
      </c>
      <c r="G758" t="str">
        <f t="shared" si="34"/>
        <v/>
      </c>
      <c r="H758">
        <v>52497.88</v>
      </c>
      <c r="I758" s="3">
        <v>45454</v>
      </c>
      <c r="J758" s="1" t="s">
        <v>3790</v>
      </c>
      <c r="K758" s="1" t="s">
        <v>3783</v>
      </c>
      <c r="L758" s="1" t="s">
        <v>3800</v>
      </c>
      <c r="M758" s="1" t="s">
        <v>3809</v>
      </c>
      <c r="N758" t="str">
        <f t="shared" si="35"/>
        <v>Expense</v>
      </c>
      <c r="O758" t="str">
        <f t="shared" si="36"/>
        <v/>
      </c>
    </row>
    <row r="759" spans="1:15" x14ac:dyDescent="0.25">
      <c r="A759" s="1" t="s">
        <v>4586</v>
      </c>
      <c r="B759" s="1" t="s">
        <v>3787</v>
      </c>
      <c r="C759" s="1" t="s">
        <v>3825</v>
      </c>
      <c r="D759" s="1" t="s">
        <v>3855</v>
      </c>
      <c r="E759">
        <v>469790</v>
      </c>
      <c r="F759">
        <v>438865.16</v>
      </c>
      <c r="G759">
        <f t="shared" si="34"/>
        <v>30924.840000000026</v>
      </c>
      <c r="H759">
        <v>30924.84</v>
      </c>
      <c r="I759" s="3">
        <v>45186</v>
      </c>
      <c r="J759" s="1" t="s">
        <v>3782</v>
      </c>
      <c r="K759" s="1" t="s">
        <v>3823</v>
      </c>
      <c r="L759" s="1" t="s">
        <v>3784</v>
      </c>
      <c r="M759" s="1" t="s">
        <v>51</v>
      </c>
      <c r="N759" t="str">
        <f t="shared" si="35"/>
        <v>Expense</v>
      </c>
      <c r="O759" t="str">
        <f t="shared" si="36"/>
        <v>Flag: High-Value Pending</v>
      </c>
    </row>
    <row r="760" spans="1:15" x14ac:dyDescent="0.25">
      <c r="A760" s="1" t="s">
        <v>4587</v>
      </c>
      <c r="B760" s="1" t="s">
        <v>3839</v>
      </c>
      <c r="C760" s="1" t="s">
        <v>3780</v>
      </c>
      <c r="D760" s="1" t="s">
        <v>3850</v>
      </c>
      <c r="E760">
        <v>4080302</v>
      </c>
      <c r="F760">
        <v>5095533.09</v>
      </c>
      <c r="G760">
        <f t="shared" si="34"/>
        <v>-1015231.0899999999</v>
      </c>
      <c r="H760">
        <v>-1015231.09</v>
      </c>
      <c r="I760" s="3">
        <v>45176</v>
      </c>
      <c r="J760" s="1" t="s">
        <v>3790</v>
      </c>
      <c r="K760" s="1" t="s">
        <v>3791</v>
      </c>
      <c r="L760" s="1" t="s">
        <v>3784</v>
      </c>
      <c r="M760" s="1" t="s">
        <v>3831</v>
      </c>
      <c r="N760" t="str">
        <f t="shared" si="35"/>
        <v>Expense</v>
      </c>
      <c r="O760" t="str">
        <f t="shared" si="36"/>
        <v/>
      </c>
    </row>
    <row r="761" spans="1:15" x14ac:dyDescent="0.25">
      <c r="A761" s="1" t="s">
        <v>4588</v>
      </c>
      <c r="B761" s="1" t="s">
        <v>4877</v>
      </c>
      <c r="C761" s="1" t="s">
        <v>3795</v>
      </c>
      <c r="D761" s="1" t="s">
        <v>3796</v>
      </c>
      <c r="E761">
        <v>424165</v>
      </c>
      <c r="F761">
        <v>545562.53</v>
      </c>
      <c r="G761">
        <f t="shared" si="34"/>
        <v>-121397.53000000003</v>
      </c>
      <c r="H761">
        <v>-121397.53</v>
      </c>
      <c r="I761" s="3">
        <v>45033</v>
      </c>
      <c r="J761" s="1" t="s">
        <v>3859</v>
      </c>
      <c r="K761" s="1" t="s">
        <v>3823</v>
      </c>
      <c r="L761" s="1" t="s">
        <v>3784</v>
      </c>
      <c r="M761" s="1" t="s">
        <v>51</v>
      </c>
      <c r="N761" t="str">
        <f t="shared" si="35"/>
        <v>Expense</v>
      </c>
      <c r="O761" t="str">
        <f t="shared" si="36"/>
        <v>Flag: High-Value Rejected</v>
      </c>
    </row>
    <row r="762" spans="1:15" x14ac:dyDescent="0.25">
      <c r="A762" s="1" t="s">
        <v>4589</v>
      </c>
      <c r="B762" s="1" t="s">
        <v>3787</v>
      </c>
      <c r="C762" s="1" t="s">
        <v>3812</v>
      </c>
      <c r="D762" s="1" t="s">
        <v>3895</v>
      </c>
      <c r="E762">
        <v>16329</v>
      </c>
      <c r="F762">
        <v>17461.91</v>
      </c>
      <c r="G762">
        <f t="shared" si="34"/>
        <v>-1132.9099999999999</v>
      </c>
      <c r="H762">
        <v>-1132.9100000000001</v>
      </c>
      <c r="I762" s="3">
        <v>45386</v>
      </c>
      <c r="J762" s="1" t="s">
        <v>3859</v>
      </c>
      <c r="K762" s="1" t="s">
        <v>3783</v>
      </c>
      <c r="L762" s="1" t="s">
        <v>3800</v>
      </c>
      <c r="M762" s="1" t="s">
        <v>3785</v>
      </c>
      <c r="N762" t="str">
        <f t="shared" si="35"/>
        <v>Expense</v>
      </c>
      <c r="O762" t="str">
        <f t="shared" si="36"/>
        <v/>
      </c>
    </row>
    <row r="763" spans="1:15" x14ac:dyDescent="0.25">
      <c r="A763" s="1" t="s">
        <v>4590</v>
      </c>
      <c r="B763" s="1" t="s">
        <v>3811</v>
      </c>
      <c r="C763" s="1" t="s">
        <v>3788</v>
      </c>
      <c r="D763" s="1" t="s">
        <v>3799</v>
      </c>
      <c r="E763">
        <v>167339</v>
      </c>
      <c r="F763">
        <v>151879.25</v>
      </c>
      <c r="G763">
        <f t="shared" si="34"/>
        <v>15459.75</v>
      </c>
      <c r="H763">
        <v>15459.75</v>
      </c>
      <c r="I763" s="3">
        <v>45158</v>
      </c>
      <c r="J763" s="1" t="s">
        <v>3782</v>
      </c>
      <c r="K763" s="1" t="s">
        <v>3783</v>
      </c>
      <c r="L763" s="1" t="s">
        <v>3784</v>
      </c>
      <c r="M763" s="1" t="s">
        <v>3809</v>
      </c>
      <c r="N763" t="str">
        <f t="shared" si="35"/>
        <v>Expense</v>
      </c>
      <c r="O763" t="str">
        <f t="shared" si="36"/>
        <v/>
      </c>
    </row>
    <row r="764" spans="1:15" x14ac:dyDescent="0.25">
      <c r="A764" s="1" t="s">
        <v>4591</v>
      </c>
      <c r="B764" s="1" t="s">
        <v>3787</v>
      </c>
      <c r="C764" s="1" t="s">
        <v>3825</v>
      </c>
      <c r="D764" s="1" t="s">
        <v>3834</v>
      </c>
      <c r="E764">
        <v>175865</v>
      </c>
      <c r="F764">
        <v>195903.13</v>
      </c>
      <c r="G764">
        <f t="shared" si="34"/>
        <v>-20038.130000000005</v>
      </c>
      <c r="H764">
        <v>-20038.13</v>
      </c>
      <c r="I764" s="3">
        <v>45613</v>
      </c>
      <c r="J764" s="1" t="s">
        <v>3790</v>
      </c>
      <c r="K764" s="1" t="s">
        <v>3783</v>
      </c>
      <c r="L764" s="1" t="s">
        <v>3800</v>
      </c>
      <c r="M764" s="1" t="s">
        <v>3817</v>
      </c>
      <c r="N764" t="str">
        <f t="shared" si="35"/>
        <v>Expense</v>
      </c>
      <c r="O764" t="str">
        <f t="shared" si="36"/>
        <v/>
      </c>
    </row>
    <row r="765" spans="1:15" x14ac:dyDescent="0.25">
      <c r="A765" s="1" t="s">
        <v>4592</v>
      </c>
      <c r="B765" s="1" t="s">
        <v>3794</v>
      </c>
      <c r="C765" s="1" t="s">
        <v>3806</v>
      </c>
      <c r="D765" s="1" t="s">
        <v>3796</v>
      </c>
      <c r="E765">
        <v>487754</v>
      </c>
      <c r="F765">
        <v>518966.75</v>
      </c>
      <c r="G765">
        <f t="shared" si="34"/>
        <v>-31212.75</v>
      </c>
      <c r="H765">
        <v>-31212.75</v>
      </c>
      <c r="I765" s="3">
        <v>44938</v>
      </c>
      <c r="J765" s="1" t="s">
        <v>3790</v>
      </c>
      <c r="K765" s="1" t="s">
        <v>3791</v>
      </c>
      <c r="L765" s="1" t="s">
        <v>3804</v>
      </c>
      <c r="M765" s="1" t="s">
        <v>3817</v>
      </c>
      <c r="N765" t="str">
        <f t="shared" si="35"/>
        <v>Expense</v>
      </c>
      <c r="O765" t="str">
        <f t="shared" si="36"/>
        <v/>
      </c>
    </row>
    <row r="766" spans="1:15" x14ac:dyDescent="0.25">
      <c r="A766" s="1" t="s">
        <v>4593</v>
      </c>
      <c r="B766" s="1" t="s">
        <v>3787</v>
      </c>
      <c r="C766" s="1" t="s">
        <v>3815</v>
      </c>
      <c r="D766" s="1" t="s">
        <v>3826</v>
      </c>
      <c r="E766">
        <v>459805</v>
      </c>
      <c r="F766">
        <v>418693.11</v>
      </c>
      <c r="G766">
        <f t="shared" si="34"/>
        <v>41111.890000000014</v>
      </c>
      <c r="H766">
        <v>41111.89</v>
      </c>
      <c r="I766" s="3">
        <v>45079</v>
      </c>
      <c r="J766" s="1" t="s">
        <v>3782</v>
      </c>
      <c r="K766" s="1" t="s">
        <v>3803</v>
      </c>
      <c r="L766" s="1" t="s">
        <v>3784</v>
      </c>
      <c r="M766" s="1" t="s">
        <v>51</v>
      </c>
      <c r="N766" t="str">
        <f t="shared" si="35"/>
        <v>Expense</v>
      </c>
      <c r="O766" t="str">
        <f t="shared" si="36"/>
        <v>Flag: High-Value Pending</v>
      </c>
    </row>
    <row r="767" spans="1:15" x14ac:dyDescent="0.25">
      <c r="A767" s="1" t="s">
        <v>4594</v>
      </c>
      <c r="B767" s="1" t="s">
        <v>3798</v>
      </c>
      <c r="C767" s="1" t="s">
        <v>3812</v>
      </c>
      <c r="D767" s="1" t="s">
        <v>3834</v>
      </c>
      <c r="E767">
        <v>363544</v>
      </c>
      <c r="F767">
        <v>411111.13</v>
      </c>
      <c r="G767">
        <f t="shared" si="34"/>
        <v>-47567.130000000005</v>
      </c>
      <c r="H767">
        <v>-47567.13</v>
      </c>
      <c r="I767" s="3">
        <v>45018</v>
      </c>
      <c r="J767" s="1" t="s">
        <v>3790</v>
      </c>
      <c r="K767" s="1" t="s">
        <v>3823</v>
      </c>
      <c r="L767" s="1" t="s">
        <v>3784</v>
      </c>
      <c r="M767" s="1" t="s">
        <v>3831</v>
      </c>
      <c r="N767" t="str">
        <f t="shared" si="35"/>
        <v>Expense</v>
      </c>
      <c r="O767" t="str">
        <f t="shared" si="36"/>
        <v/>
      </c>
    </row>
    <row r="768" spans="1:15" x14ac:dyDescent="0.25">
      <c r="A768" s="1" t="s">
        <v>4595</v>
      </c>
      <c r="B768" s="1" t="s">
        <v>3839</v>
      </c>
      <c r="C768" s="1" t="s">
        <v>4878</v>
      </c>
      <c r="D768" s="1" t="s">
        <v>3837</v>
      </c>
      <c r="E768">
        <v>270977</v>
      </c>
      <c r="F768">
        <v>284437.09999999998</v>
      </c>
      <c r="G768">
        <f t="shared" si="34"/>
        <v>-13460.099999999977</v>
      </c>
      <c r="I768" s="3">
        <v>45199</v>
      </c>
      <c r="J768" s="1" t="s">
        <v>3859</v>
      </c>
      <c r="K768" s="1" t="s">
        <v>3823</v>
      </c>
      <c r="L768" s="1" t="s">
        <v>3784</v>
      </c>
      <c r="M768" s="1" t="s">
        <v>3785</v>
      </c>
      <c r="N768" t="str">
        <f t="shared" si="35"/>
        <v>Expense</v>
      </c>
      <c r="O768" t="str">
        <f t="shared" si="36"/>
        <v>Flag: High-Value Rejected</v>
      </c>
    </row>
    <row r="769" spans="1:15" x14ac:dyDescent="0.25">
      <c r="A769" s="1" t="s">
        <v>4596</v>
      </c>
      <c r="B769" s="1" t="s">
        <v>3839</v>
      </c>
      <c r="C769" s="1" t="s">
        <v>3844</v>
      </c>
      <c r="D769" s="1" t="s">
        <v>3813</v>
      </c>
      <c r="E769">
        <v>446426</v>
      </c>
      <c r="F769">
        <v>565500.15</v>
      </c>
      <c r="G769">
        <f t="shared" si="34"/>
        <v>-119074.15000000002</v>
      </c>
      <c r="H769">
        <v>-119074.15</v>
      </c>
      <c r="I769" s="3">
        <v>45668</v>
      </c>
      <c r="J769" s="1" t="s">
        <v>3790</v>
      </c>
      <c r="K769" s="1" t="s">
        <v>3783</v>
      </c>
      <c r="L769" s="1" t="s">
        <v>3800</v>
      </c>
      <c r="M769" s="1" t="s">
        <v>51</v>
      </c>
      <c r="N769" t="str">
        <f t="shared" si="35"/>
        <v>Expense</v>
      </c>
      <c r="O769" t="str">
        <f t="shared" si="36"/>
        <v/>
      </c>
    </row>
    <row r="770" spans="1:15" x14ac:dyDescent="0.25">
      <c r="A770" s="1" t="s">
        <v>4597</v>
      </c>
      <c r="B770" s="1" t="s">
        <v>3828</v>
      </c>
      <c r="C770" s="1" t="s">
        <v>3848</v>
      </c>
      <c r="D770" s="1" t="s">
        <v>3846</v>
      </c>
      <c r="E770">
        <v>160693</v>
      </c>
      <c r="F770">
        <v>189037.66</v>
      </c>
      <c r="G770">
        <f t="shared" ref="G770:G833" si="37">IF(F770="","",E770-F770)</f>
        <v>-28344.660000000003</v>
      </c>
      <c r="H770">
        <v>-28344.66</v>
      </c>
      <c r="I770" s="3">
        <v>45591</v>
      </c>
      <c r="J770" s="1" t="s">
        <v>3790</v>
      </c>
      <c r="K770" s="1" t="s">
        <v>3803</v>
      </c>
      <c r="L770" s="1" t="s">
        <v>3800</v>
      </c>
      <c r="M770" s="1" t="s">
        <v>51</v>
      </c>
      <c r="N770" t="str">
        <f t="shared" si="35"/>
        <v>Expense</v>
      </c>
      <c r="O770" t="str">
        <f t="shared" si="36"/>
        <v/>
      </c>
    </row>
    <row r="771" spans="1:15" x14ac:dyDescent="0.25">
      <c r="A771" s="1" t="s">
        <v>4598</v>
      </c>
      <c r="B771" s="1" t="s">
        <v>3794</v>
      </c>
      <c r="C771" s="1" t="s">
        <v>3861</v>
      </c>
      <c r="D771" s="1" t="s">
        <v>3850</v>
      </c>
      <c r="E771">
        <v>369585</v>
      </c>
      <c r="F771">
        <v>312154.65999999997</v>
      </c>
      <c r="G771">
        <f t="shared" si="37"/>
        <v>57430.340000000026</v>
      </c>
      <c r="H771">
        <v>57430.34</v>
      </c>
      <c r="I771" s="3">
        <v>45183</v>
      </c>
      <c r="J771" s="1" t="s">
        <v>3790</v>
      </c>
      <c r="K771" s="1" t="s">
        <v>3803</v>
      </c>
      <c r="L771" s="1" t="s">
        <v>3784</v>
      </c>
      <c r="M771" s="1" t="s">
        <v>3809</v>
      </c>
      <c r="N771" t="str">
        <f t="shared" ref="N771:N834" si="38">IF(E771&lt;0,"Credit/Refund","Expense")</f>
        <v>Expense</v>
      </c>
      <c r="O771" t="str">
        <f t="shared" ref="O771:O834" si="39">IF(AND(OR(J771="Pending",J771="Rejected"),E771&gt;200000),"Flag: High-Value "&amp;J771,"")</f>
        <v/>
      </c>
    </row>
    <row r="772" spans="1:15" x14ac:dyDescent="0.25">
      <c r="A772" s="1" t="s">
        <v>4599</v>
      </c>
      <c r="B772" s="1" t="s">
        <v>3811</v>
      </c>
      <c r="C772" s="1" t="s">
        <v>3848</v>
      </c>
      <c r="D772" s="1" t="s">
        <v>3789</v>
      </c>
      <c r="E772">
        <v>253400</v>
      </c>
      <c r="F772">
        <v>277502.51</v>
      </c>
      <c r="G772">
        <f t="shared" si="37"/>
        <v>-24102.510000000009</v>
      </c>
      <c r="I772" s="3">
        <v>45211</v>
      </c>
      <c r="J772" s="1" t="s">
        <v>3790</v>
      </c>
      <c r="K772" s="1" t="s">
        <v>3791</v>
      </c>
      <c r="L772" s="1" t="s">
        <v>3784</v>
      </c>
      <c r="M772" s="1" t="s">
        <v>3792</v>
      </c>
      <c r="N772" t="str">
        <f t="shared" si="38"/>
        <v>Expense</v>
      </c>
      <c r="O772" t="str">
        <f t="shared" si="39"/>
        <v/>
      </c>
    </row>
    <row r="773" spans="1:15" x14ac:dyDescent="0.25">
      <c r="A773" s="1" t="s">
        <v>4600</v>
      </c>
      <c r="B773" s="1" t="s">
        <v>3839</v>
      </c>
      <c r="C773" s="1" t="s">
        <v>3795</v>
      </c>
      <c r="D773" s="1" t="s">
        <v>3789</v>
      </c>
      <c r="E773">
        <v>167305</v>
      </c>
      <c r="F773">
        <v>182180.82</v>
      </c>
      <c r="G773">
        <f t="shared" si="37"/>
        <v>-14875.820000000007</v>
      </c>
      <c r="H773">
        <v>-14875.82</v>
      </c>
      <c r="I773" s="3">
        <v>45067</v>
      </c>
      <c r="J773" s="1" t="s">
        <v>3790</v>
      </c>
      <c r="K773" s="1" t="s">
        <v>3791</v>
      </c>
      <c r="L773" s="1" t="s">
        <v>3784</v>
      </c>
      <c r="M773" s="1" t="s">
        <v>3817</v>
      </c>
      <c r="N773" t="str">
        <f t="shared" si="38"/>
        <v>Expense</v>
      </c>
      <c r="O773" t="str">
        <f t="shared" si="39"/>
        <v/>
      </c>
    </row>
    <row r="774" spans="1:15" x14ac:dyDescent="0.25">
      <c r="A774" s="1" t="s">
        <v>4601</v>
      </c>
      <c r="B774" s="1" t="s">
        <v>3787</v>
      </c>
      <c r="C774" s="1" t="s">
        <v>3821</v>
      </c>
      <c r="D774" s="1" t="s">
        <v>3789</v>
      </c>
      <c r="E774">
        <v>461269</v>
      </c>
      <c r="F774">
        <v>409343.83</v>
      </c>
      <c r="G774">
        <f t="shared" si="37"/>
        <v>51925.169999999984</v>
      </c>
      <c r="H774">
        <v>51925.17</v>
      </c>
      <c r="I774" s="3">
        <v>44984</v>
      </c>
      <c r="J774" s="1" t="s">
        <v>3790</v>
      </c>
      <c r="K774" s="1" t="s">
        <v>3823</v>
      </c>
      <c r="L774" s="1" t="s">
        <v>3804</v>
      </c>
      <c r="M774" s="1" t="s">
        <v>3792</v>
      </c>
      <c r="N774" t="str">
        <f t="shared" si="38"/>
        <v>Expense</v>
      </c>
      <c r="O774" t="str">
        <f t="shared" si="39"/>
        <v/>
      </c>
    </row>
    <row r="775" spans="1:15" x14ac:dyDescent="0.25">
      <c r="A775" s="1" t="s">
        <v>4602</v>
      </c>
      <c r="B775" s="1" t="s">
        <v>3828</v>
      </c>
      <c r="C775" s="1" t="s">
        <v>3844</v>
      </c>
      <c r="D775" s="1" t="s">
        <v>3781</v>
      </c>
      <c r="E775">
        <v>198602</v>
      </c>
      <c r="F775">
        <v>226523.84</v>
      </c>
      <c r="G775">
        <f t="shared" si="37"/>
        <v>-27921.839999999997</v>
      </c>
      <c r="H775">
        <v>-27921.84</v>
      </c>
      <c r="I775" s="3">
        <v>45303</v>
      </c>
      <c r="J775" s="1" t="s">
        <v>3790</v>
      </c>
      <c r="K775" s="1" t="s">
        <v>3803</v>
      </c>
      <c r="L775" s="1" t="s">
        <v>3784</v>
      </c>
      <c r="M775" s="1" t="s">
        <v>3792</v>
      </c>
      <c r="N775" t="str">
        <f t="shared" si="38"/>
        <v>Expense</v>
      </c>
      <c r="O775" t="str">
        <f t="shared" si="39"/>
        <v/>
      </c>
    </row>
    <row r="776" spans="1:15" x14ac:dyDescent="0.25">
      <c r="A776" s="1" t="s">
        <v>4603</v>
      </c>
      <c r="B776" s="1" t="s">
        <v>3794</v>
      </c>
      <c r="C776" s="1" t="s">
        <v>3795</v>
      </c>
      <c r="D776" s="1" t="s">
        <v>3781</v>
      </c>
      <c r="E776">
        <v>8274</v>
      </c>
      <c r="F776">
        <v>7305.97</v>
      </c>
      <c r="G776">
        <f t="shared" si="37"/>
        <v>968.02999999999975</v>
      </c>
      <c r="H776">
        <v>968.03</v>
      </c>
      <c r="I776" s="3">
        <v>45525</v>
      </c>
      <c r="J776" s="1" t="s">
        <v>3782</v>
      </c>
      <c r="K776" s="1" t="s">
        <v>3783</v>
      </c>
      <c r="L776" s="1" t="s">
        <v>3800</v>
      </c>
      <c r="M776" s="1" t="s">
        <v>51</v>
      </c>
      <c r="N776" t="str">
        <f t="shared" si="38"/>
        <v>Expense</v>
      </c>
      <c r="O776" t="str">
        <f t="shared" si="39"/>
        <v/>
      </c>
    </row>
    <row r="777" spans="1:15" x14ac:dyDescent="0.25">
      <c r="A777" s="1" t="s">
        <v>4604</v>
      </c>
      <c r="B777" s="1" t="s">
        <v>3808</v>
      </c>
      <c r="C777" s="1" t="s">
        <v>3780</v>
      </c>
      <c r="D777" s="1" t="s">
        <v>3855</v>
      </c>
      <c r="E777">
        <v>7375</v>
      </c>
      <c r="F777">
        <v>8604.23</v>
      </c>
      <c r="G777">
        <f t="shared" si="37"/>
        <v>-1229.2299999999996</v>
      </c>
      <c r="H777">
        <v>-1229.23</v>
      </c>
      <c r="I777" s="3">
        <v>45709</v>
      </c>
      <c r="J777" s="1" t="s">
        <v>3790</v>
      </c>
      <c r="K777" s="1" t="s">
        <v>3823</v>
      </c>
      <c r="L777" s="1" t="s">
        <v>3800</v>
      </c>
      <c r="M777" s="1" t="s">
        <v>51</v>
      </c>
      <c r="N777" t="str">
        <f t="shared" si="38"/>
        <v>Expense</v>
      </c>
      <c r="O777" t="str">
        <f t="shared" si="39"/>
        <v/>
      </c>
    </row>
    <row r="778" spans="1:15" x14ac:dyDescent="0.25">
      <c r="A778" s="1" t="s">
        <v>4605</v>
      </c>
      <c r="B778" s="1" t="s">
        <v>3828</v>
      </c>
      <c r="C778" s="1" t="s">
        <v>3780</v>
      </c>
      <c r="D778" s="1" t="s">
        <v>3826</v>
      </c>
      <c r="E778">
        <v>12919</v>
      </c>
      <c r="F778">
        <v>13934.68</v>
      </c>
      <c r="G778">
        <f t="shared" si="37"/>
        <v>-1015.6800000000003</v>
      </c>
      <c r="H778">
        <v>-1015.68</v>
      </c>
      <c r="I778" s="3">
        <v>45516</v>
      </c>
      <c r="J778" s="1" t="s">
        <v>3790</v>
      </c>
      <c r="K778" s="1" t="s">
        <v>3823</v>
      </c>
      <c r="L778" s="1" t="s">
        <v>3800</v>
      </c>
      <c r="M778" s="1" t="s">
        <v>3817</v>
      </c>
      <c r="N778" t="str">
        <f t="shared" si="38"/>
        <v>Expense</v>
      </c>
      <c r="O778" t="str">
        <f t="shared" si="39"/>
        <v/>
      </c>
    </row>
    <row r="779" spans="1:15" x14ac:dyDescent="0.25">
      <c r="A779" s="1" t="s">
        <v>4606</v>
      </c>
      <c r="B779" s="1" t="s">
        <v>3794</v>
      </c>
      <c r="C779" s="1" t="s">
        <v>3812</v>
      </c>
      <c r="D779" s="1" t="s">
        <v>3826</v>
      </c>
      <c r="E779">
        <v>95949</v>
      </c>
      <c r="F779">
        <v>88296.02</v>
      </c>
      <c r="G779">
        <f t="shared" si="37"/>
        <v>7652.9799999999959</v>
      </c>
      <c r="H779">
        <v>7652.98</v>
      </c>
      <c r="I779" s="3">
        <v>45588</v>
      </c>
      <c r="J779" s="1" t="s">
        <v>3859</v>
      </c>
      <c r="K779" s="1" t="s">
        <v>3791</v>
      </c>
      <c r="L779" s="1" t="s">
        <v>3800</v>
      </c>
      <c r="M779" s="1" t="s">
        <v>51</v>
      </c>
      <c r="N779" t="str">
        <f t="shared" si="38"/>
        <v>Expense</v>
      </c>
      <c r="O779" t="str">
        <f t="shared" si="39"/>
        <v/>
      </c>
    </row>
    <row r="780" spans="1:15" x14ac:dyDescent="0.25">
      <c r="A780" s="1" t="s">
        <v>4607</v>
      </c>
      <c r="B780" s="1" t="s">
        <v>3828</v>
      </c>
      <c r="C780" s="1" t="s">
        <v>3861</v>
      </c>
      <c r="D780" s="1" t="s">
        <v>3822</v>
      </c>
      <c r="E780">
        <v>496330</v>
      </c>
      <c r="F780">
        <v>435374.25</v>
      </c>
      <c r="G780">
        <f t="shared" si="37"/>
        <v>60955.75</v>
      </c>
      <c r="H780">
        <v>60955.75</v>
      </c>
      <c r="I780" s="3">
        <v>45598</v>
      </c>
      <c r="J780" s="1" t="s">
        <v>3790</v>
      </c>
      <c r="K780" s="1" t="s">
        <v>3823</v>
      </c>
      <c r="L780" s="1" t="s">
        <v>3800</v>
      </c>
      <c r="M780" s="1" t="s">
        <v>51</v>
      </c>
      <c r="N780" t="str">
        <f t="shared" si="38"/>
        <v>Expense</v>
      </c>
      <c r="O780" t="str">
        <f t="shared" si="39"/>
        <v/>
      </c>
    </row>
    <row r="781" spans="1:15" x14ac:dyDescent="0.25">
      <c r="A781" s="1" t="s">
        <v>4608</v>
      </c>
      <c r="B781" s="1" t="s">
        <v>3808</v>
      </c>
      <c r="C781" s="1" t="s">
        <v>3844</v>
      </c>
      <c r="D781" s="1" t="s">
        <v>3781</v>
      </c>
      <c r="E781">
        <v>448339</v>
      </c>
      <c r="F781">
        <v>359746.24</v>
      </c>
      <c r="G781">
        <f t="shared" si="37"/>
        <v>88592.760000000009</v>
      </c>
      <c r="H781">
        <v>88592.76</v>
      </c>
      <c r="I781" s="3">
        <v>45228</v>
      </c>
      <c r="J781" s="1" t="s">
        <v>3782</v>
      </c>
      <c r="K781" s="1" t="s">
        <v>3783</v>
      </c>
      <c r="L781" s="1" t="s">
        <v>3784</v>
      </c>
      <c r="M781" s="1" t="s">
        <v>51</v>
      </c>
      <c r="N781" t="str">
        <f t="shared" si="38"/>
        <v>Expense</v>
      </c>
      <c r="O781" t="str">
        <f t="shared" si="39"/>
        <v>Flag: High-Value Pending</v>
      </c>
    </row>
    <row r="782" spans="1:15" x14ac:dyDescent="0.25">
      <c r="A782" s="1" t="s">
        <v>4609</v>
      </c>
      <c r="B782" s="1" t="s">
        <v>3811</v>
      </c>
      <c r="C782" s="1" t="s">
        <v>3812</v>
      </c>
      <c r="D782" s="1" t="s">
        <v>3855</v>
      </c>
      <c r="E782">
        <v>168693</v>
      </c>
      <c r="F782">
        <v>161722.9</v>
      </c>
      <c r="G782">
        <f t="shared" si="37"/>
        <v>6970.1000000000058</v>
      </c>
      <c r="H782">
        <v>6970.1</v>
      </c>
      <c r="I782" s="3">
        <v>44959</v>
      </c>
      <c r="J782" s="1" t="s">
        <v>3782</v>
      </c>
      <c r="K782" s="1" t="s">
        <v>3803</v>
      </c>
      <c r="L782" s="1" t="s">
        <v>3804</v>
      </c>
      <c r="M782" s="1" t="s">
        <v>3831</v>
      </c>
      <c r="N782" t="str">
        <f t="shared" si="38"/>
        <v>Expense</v>
      </c>
      <c r="O782" t="str">
        <f t="shared" si="39"/>
        <v/>
      </c>
    </row>
    <row r="783" spans="1:15" x14ac:dyDescent="0.25">
      <c r="A783" s="1" t="s">
        <v>4610</v>
      </c>
      <c r="B783" s="1" t="s">
        <v>3828</v>
      </c>
      <c r="C783" s="1" t="s">
        <v>4878</v>
      </c>
      <c r="D783" s="1" t="s">
        <v>3789</v>
      </c>
      <c r="E783">
        <v>173546</v>
      </c>
      <c r="F783">
        <v>173452.46</v>
      </c>
      <c r="G783">
        <f t="shared" si="37"/>
        <v>93.540000000008149</v>
      </c>
      <c r="H783">
        <v>93.54</v>
      </c>
      <c r="I783" s="3">
        <v>45170</v>
      </c>
      <c r="J783" s="1" t="s">
        <v>3782</v>
      </c>
      <c r="K783" s="1" t="s">
        <v>3803</v>
      </c>
      <c r="L783" s="1" t="s">
        <v>3784</v>
      </c>
      <c r="M783" s="1" t="s">
        <v>51</v>
      </c>
      <c r="N783" t="str">
        <f t="shared" si="38"/>
        <v>Expense</v>
      </c>
      <c r="O783" t="str">
        <f t="shared" si="39"/>
        <v/>
      </c>
    </row>
    <row r="784" spans="1:15" x14ac:dyDescent="0.25">
      <c r="A784" s="1" t="s">
        <v>4611</v>
      </c>
      <c r="B784" s="1" t="s">
        <v>4877</v>
      </c>
      <c r="C784" s="1" t="s">
        <v>3806</v>
      </c>
      <c r="D784" s="1" t="s">
        <v>3895</v>
      </c>
      <c r="E784">
        <v>412881</v>
      </c>
      <c r="F784">
        <v>340039.67999999999</v>
      </c>
      <c r="G784">
        <f t="shared" si="37"/>
        <v>72841.320000000007</v>
      </c>
      <c r="H784">
        <v>72841.320000000007</v>
      </c>
      <c r="I784" s="3">
        <v>45000</v>
      </c>
      <c r="J784" s="1" t="s">
        <v>3859</v>
      </c>
      <c r="K784" s="1" t="s">
        <v>3791</v>
      </c>
      <c r="L784" s="1" t="s">
        <v>3804</v>
      </c>
      <c r="M784" s="1" t="s">
        <v>51</v>
      </c>
      <c r="N784" t="str">
        <f t="shared" si="38"/>
        <v>Expense</v>
      </c>
      <c r="O784" t="str">
        <f t="shared" si="39"/>
        <v>Flag: High-Value Rejected</v>
      </c>
    </row>
    <row r="785" spans="1:15" x14ac:dyDescent="0.25">
      <c r="A785" s="1" t="s">
        <v>4612</v>
      </c>
      <c r="B785" s="1" t="s">
        <v>3794</v>
      </c>
      <c r="C785" s="1" t="s">
        <v>3825</v>
      </c>
      <c r="D785" s="1" t="s">
        <v>3802</v>
      </c>
      <c r="E785">
        <v>35927</v>
      </c>
      <c r="F785">
        <v>45914.36</v>
      </c>
      <c r="G785">
        <f t="shared" si="37"/>
        <v>-9987.36</v>
      </c>
      <c r="H785">
        <v>-9987.36</v>
      </c>
      <c r="I785" s="3">
        <v>45300</v>
      </c>
      <c r="J785" s="1" t="s">
        <v>3790</v>
      </c>
      <c r="K785" s="1" t="s">
        <v>3823</v>
      </c>
      <c r="L785" s="1" t="s">
        <v>3784</v>
      </c>
      <c r="M785" s="1" t="s">
        <v>51</v>
      </c>
      <c r="N785" t="str">
        <f t="shared" si="38"/>
        <v>Expense</v>
      </c>
      <c r="O785" t="str">
        <f t="shared" si="39"/>
        <v/>
      </c>
    </row>
    <row r="786" spans="1:15" x14ac:dyDescent="0.25">
      <c r="A786" s="1" t="s">
        <v>4613</v>
      </c>
      <c r="B786" s="1" t="s">
        <v>3839</v>
      </c>
      <c r="C786" s="1" t="s">
        <v>3788</v>
      </c>
      <c r="D786" s="1" t="s">
        <v>3796</v>
      </c>
      <c r="E786">
        <v>390986</v>
      </c>
      <c r="F786">
        <v>404619.5</v>
      </c>
      <c r="G786">
        <f t="shared" si="37"/>
        <v>-13633.5</v>
      </c>
      <c r="H786">
        <v>-13633.5</v>
      </c>
      <c r="I786" s="3">
        <v>45530</v>
      </c>
      <c r="J786" s="1" t="s">
        <v>3790</v>
      </c>
      <c r="K786" s="1" t="s">
        <v>3783</v>
      </c>
      <c r="L786" s="1" t="s">
        <v>3800</v>
      </c>
      <c r="M786" s="1" t="s">
        <v>3792</v>
      </c>
      <c r="N786" t="str">
        <f t="shared" si="38"/>
        <v>Expense</v>
      </c>
      <c r="O786" t="str">
        <f t="shared" si="39"/>
        <v/>
      </c>
    </row>
    <row r="787" spans="1:15" x14ac:dyDescent="0.25">
      <c r="A787" s="1" t="s">
        <v>4614</v>
      </c>
      <c r="B787" s="1" t="s">
        <v>3808</v>
      </c>
      <c r="C787" s="1" t="s">
        <v>3812</v>
      </c>
      <c r="D787" s="1" t="s">
        <v>3846</v>
      </c>
      <c r="E787">
        <v>135960</v>
      </c>
      <c r="F787">
        <v>116749.08</v>
      </c>
      <c r="G787">
        <f t="shared" si="37"/>
        <v>19210.919999999998</v>
      </c>
      <c r="H787">
        <v>19210.919999999998</v>
      </c>
      <c r="I787" s="3">
        <v>45258</v>
      </c>
      <c r="J787" s="1" t="s">
        <v>3790</v>
      </c>
      <c r="K787" s="1" t="s">
        <v>3791</v>
      </c>
      <c r="L787" s="1" t="s">
        <v>3784</v>
      </c>
      <c r="M787" s="1" t="s">
        <v>3831</v>
      </c>
      <c r="N787" t="str">
        <f t="shared" si="38"/>
        <v>Expense</v>
      </c>
      <c r="O787" t="str">
        <f t="shared" si="39"/>
        <v/>
      </c>
    </row>
    <row r="788" spans="1:15" x14ac:dyDescent="0.25">
      <c r="A788" s="1" t="s">
        <v>4615</v>
      </c>
      <c r="B788" s="1" t="s">
        <v>3839</v>
      </c>
      <c r="C788" s="1" t="s">
        <v>3780</v>
      </c>
      <c r="D788" s="1" t="s">
        <v>3846</v>
      </c>
      <c r="E788">
        <v>-89871</v>
      </c>
      <c r="F788">
        <v>83190.36</v>
      </c>
      <c r="G788">
        <f t="shared" si="37"/>
        <v>-173061.36</v>
      </c>
      <c r="H788">
        <v>6680.64</v>
      </c>
      <c r="I788" s="3">
        <v>45724</v>
      </c>
      <c r="J788" s="1" t="s">
        <v>3790</v>
      </c>
      <c r="K788" s="1" t="s">
        <v>3823</v>
      </c>
      <c r="L788" s="1" t="s">
        <v>3800</v>
      </c>
      <c r="M788" s="1" t="s">
        <v>3809</v>
      </c>
      <c r="N788" t="str">
        <f t="shared" si="38"/>
        <v>Credit/Refund</v>
      </c>
      <c r="O788" t="str">
        <f t="shared" si="39"/>
        <v/>
      </c>
    </row>
    <row r="789" spans="1:15" x14ac:dyDescent="0.25">
      <c r="A789" s="1" t="s">
        <v>4616</v>
      </c>
      <c r="B789" s="1" t="s">
        <v>3839</v>
      </c>
      <c r="C789" s="1" t="s">
        <v>3861</v>
      </c>
      <c r="D789" s="1" t="s">
        <v>3855</v>
      </c>
      <c r="E789">
        <v>108072</v>
      </c>
      <c r="F789">
        <v>88284.56</v>
      </c>
      <c r="G789">
        <f t="shared" si="37"/>
        <v>19787.440000000002</v>
      </c>
      <c r="H789">
        <v>19787.439999999999</v>
      </c>
      <c r="I789" s="3">
        <v>45081</v>
      </c>
      <c r="J789" s="1" t="s">
        <v>3790</v>
      </c>
      <c r="K789" s="1" t="s">
        <v>3823</v>
      </c>
      <c r="L789" s="1" t="s">
        <v>3784</v>
      </c>
      <c r="M789" s="1" t="s">
        <v>3785</v>
      </c>
      <c r="N789" t="str">
        <f t="shared" si="38"/>
        <v>Expense</v>
      </c>
      <c r="O789" t="str">
        <f t="shared" si="39"/>
        <v/>
      </c>
    </row>
    <row r="790" spans="1:15" x14ac:dyDescent="0.25">
      <c r="A790" s="1" t="s">
        <v>4617</v>
      </c>
      <c r="B790" s="1" t="s">
        <v>3828</v>
      </c>
      <c r="C790" s="1" t="s">
        <v>3815</v>
      </c>
      <c r="D790" s="1" t="s">
        <v>3813</v>
      </c>
      <c r="E790">
        <v>428750</v>
      </c>
      <c r="F790">
        <v>479842.72</v>
      </c>
      <c r="G790">
        <f t="shared" si="37"/>
        <v>-51092.719999999972</v>
      </c>
      <c r="H790">
        <v>-51092.72</v>
      </c>
      <c r="I790" s="3">
        <v>45429</v>
      </c>
      <c r="J790" s="1" t="s">
        <v>3790</v>
      </c>
      <c r="K790" s="1" t="s">
        <v>3823</v>
      </c>
      <c r="L790" s="1" t="s">
        <v>3800</v>
      </c>
      <c r="M790" s="1" t="s">
        <v>3785</v>
      </c>
      <c r="N790" t="str">
        <f t="shared" si="38"/>
        <v>Expense</v>
      </c>
      <c r="O790" t="str">
        <f t="shared" si="39"/>
        <v/>
      </c>
    </row>
    <row r="791" spans="1:15" x14ac:dyDescent="0.25">
      <c r="A791" s="1" t="s">
        <v>4618</v>
      </c>
      <c r="B791" s="1" t="s">
        <v>3828</v>
      </c>
      <c r="C791" s="1" t="s">
        <v>3858</v>
      </c>
      <c r="D791" s="1" t="s">
        <v>3846</v>
      </c>
      <c r="E791">
        <v>239077</v>
      </c>
      <c r="F791">
        <v>200844.41</v>
      </c>
      <c r="G791">
        <f t="shared" si="37"/>
        <v>38232.589999999997</v>
      </c>
      <c r="H791">
        <v>38232.589999999997</v>
      </c>
      <c r="I791" s="3">
        <v>45347</v>
      </c>
      <c r="J791" s="1" t="s">
        <v>3790</v>
      </c>
      <c r="K791" s="1" t="s">
        <v>3803</v>
      </c>
      <c r="L791" s="1" t="s">
        <v>3784</v>
      </c>
      <c r="M791" s="1" t="s">
        <v>3785</v>
      </c>
      <c r="N791" t="str">
        <f t="shared" si="38"/>
        <v>Expense</v>
      </c>
      <c r="O791" t="str">
        <f t="shared" si="39"/>
        <v/>
      </c>
    </row>
    <row r="792" spans="1:15" x14ac:dyDescent="0.25">
      <c r="A792" s="1" t="s">
        <v>4619</v>
      </c>
      <c r="B792" s="1" t="s">
        <v>3811</v>
      </c>
      <c r="C792" s="1" t="s">
        <v>3825</v>
      </c>
      <c r="D792" s="1" t="s">
        <v>3813</v>
      </c>
      <c r="E792">
        <v>84385</v>
      </c>
      <c r="F792">
        <v>78834.36</v>
      </c>
      <c r="G792">
        <f t="shared" si="37"/>
        <v>5550.6399999999994</v>
      </c>
      <c r="H792">
        <v>5550.64</v>
      </c>
      <c r="I792" s="3">
        <v>45550</v>
      </c>
      <c r="J792" s="1" t="s">
        <v>3790</v>
      </c>
      <c r="K792" s="1" t="s">
        <v>3791</v>
      </c>
      <c r="L792" s="1" t="s">
        <v>3800</v>
      </c>
      <c r="M792" s="1" t="s">
        <v>51</v>
      </c>
      <c r="N792" t="str">
        <f t="shared" si="38"/>
        <v>Expense</v>
      </c>
      <c r="O792" t="str">
        <f t="shared" si="39"/>
        <v/>
      </c>
    </row>
    <row r="793" spans="1:15" x14ac:dyDescent="0.25">
      <c r="A793" s="1" t="s">
        <v>4620</v>
      </c>
      <c r="B793" s="1" t="s">
        <v>3839</v>
      </c>
      <c r="C793" s="1" t="s">
        <v>3825</v>
      </c>
      <c r="D793" s="1" t="s">
        <v>3850</v>
      </c>
      <c r="E793">
        <v>388040</v>
      </c>
      <c r="F793">
        <v>410506.58</v>
      </c>
      <c r="G793">
        <f t="shared" si="37"/>
        <v>-22466.580000000016</v>
      </c>
      <c r="H793">
        <v>-22466.58</v>
      </c>
      <c r="I793" s="3">
        <v>44934</v>
      </c>
      <c r="J793" s="1" t="s">
        <v>3790</v>
      </c>
      <c r="K793" s="1" t="s">
        <v>3791</v>
      </c>
      <c r="L793" s="1" t="s">
        <v>3804</v>
      </c>
      <c r="M793" s="1" t="s">
        <v>3785</v>
      </c>
      <c r="N793" t="str">
        <f t="shared" si="38"/>
        <v>Expense</v>
      </c>
      <c r="O793" t="str">
        <f t="shared" si="39"/>
        <v/>
      </c>
    </row>
    <row r="794" spans="1:15" x14ac:dyDescent="0.25">
      <c r="A794" s="1" t="s">
        <v>4621</v>
      </c>
      <c r="B794" s="1" t="s">
        <v>3787</v>
      </c>
      <c r="C794" s="1" t="s">
        <v>3812</v>
      </c>
      <c r="D794" s="1" t="s">
        <v>3834</v>
      </c>
      <c r="E794">
        <v>287929</v>
      </c>
      <c r="F794">
        <v>321097.12</v>
      </c>
      <c r="G794">
        <f t="shared" si="37"/>
        <v>-33168.119999999995</v>
      </c>
      <c r="H794">
        <v>-33168.120000000003</v>
      </c>
      <c r="I794" s="3">
        <v>45469</v>
      </c>
      <c r="J794" s="1" t="s">
        <v>3859</v>
      </c>
      <c r="K794" s="1" t="s">
        <v>3791</v>
      </c>
      <c r="L794" s="1" t="s">
        <v>3800</v>
      </c>
      <c r="M794" s="1" t="s">
        <v>51</v>
      </c>
      <c r="N794" t="str">
        <f t="shared" si="38"/>
        <v>Expense</v>
      </c>
      <c r="O794" t="str">
        <f t="shared" si="39"/>
        <v>Flag: High-Value Rejected</v>
      </c>
    </row>
    <row r="795" spans="1:15" x14ac:dyDescent="0.25">
      <c r="A795" s="1" t="s">
        <v>4622</v>
      </c>
      <c r="B795" s="1" t="s">
        <v>3794</v>
      </c>
      <c r="C795" s="1" t="s">
        <v>3858</v>
      </c>
      <c r="D795" s="1" t="s">
        <v>3850</v>
      </c>
      <c r="E795">
        <v>32986</v>
      </c>
      <c r="F795">
        <v>39333.22</v>
      </c>
      <c r="G795">
        <f t="shared" si="37"/>
        <v>-6347.2200000000012</v>
      </c>
      <c r="H795">
        <v>-6347.22</v>
      </c>
      <c r="I795" s="3">
        <v>45116</v>
      </c>
      <c r="J795" s="1" t="s">
        <v>3790</v>
      </c>
      <c r="K795" s="1" t="s">
        <v>3823</v>
      </c>
      <c r="L795" s="1" t="s">
        <v>3784</v>
      </c>
      <c r="M795" s="1" t="s">
        <v>51</v>
      </c>
      <c r="N795" t="str">
        <f t="shared" si="38"/>
        <v>Expense</v>
      </c>
      <c r="O795" t="str">
        <f t="shared" si="39"/>
        <v/>
      </c>
    </row>
    <row r="796" spans="1:15" x14ac:dyDescent="0.25">
      <c r="A796" s="1" t="s">
        <v>4623</v>
      </c>
      <c r="B796" s="1" t="s">
        <v>3828</v>
      </c>
      <c r="C796" s="1" t="s">
        <v>3858</v>
      </c>
      <c r="D796" s="1" t="s">
        <v>3781</v>
      </c>
      <c r="E796">
        <v>156627</v>
      </c>
      <c r="F796">
        <v>127580.83</v>
      </c>
      <c r="G796">
        <f t="shared" si="37"/>
        <v>29046.17</v>
      </c>
      <c r="H796">
        <v>29046.17</v>
      </c>
      <c r="I796" s="3">
        <v>45354</v>
      </c>
      <c r="J796" s="1" t="s">
        <v>3790</v>
      </c>
      <c r="K796" s="1" t="s">
        <v>3791</v>
      </c>
      <c r="L796" s="1" t="s">
        <v>3784</v>
      </c>
      <c r="M796" s="1" t="s">
        <v>51</v>
      </c>
      <c r="N796" t="str">
        <f t="shared" si="38"/>
        <v>Expense</v>
      </c>
      <c r="O796" t="str">
        <f t="shared" si="39"/>
        <v/>
      </c>
    </row>
    <row r="797" spans="1:15" x14ac:dyDescent="0.25">
      <c r="A797" s="1" t="s">
        <v>4624</v>
      </c>
      <c r="B797" s="1" t="s">
        <v>3839</v>
      </c>
      <c r="C797" s="1" t="s">
        <v>3780</v>
      </c>
      <c r="D797" s="1" t="s">
        <v>3802</v>
      </c>
      <c r="E797">
        <v>253063</v>
      </c>
      <c r="F797">
        <v>286029.01</v>
      </c>
      <c r="G797">
        <f t="shared" si="37"/>
        <v>-32966.010000000009</v>
      </c>
      <c r="H797">
        <v>-32966.01</v>
      </c>
      <c r="I797" s="3">
        <v>45655</v>
      </c>
      <c r="J797" s="1" t="s">
        <v>3790</v>
      </c>
      <c r="K797" s="1" t="s">
        <v>3791</v>
      </c>
      <c r="L797" s="1" t="s">
        <v>3800</v>
      </c>
      <c r="M797" s="1" t="s">
        <v>3817</v>
      </c>
      <c r="N797" t="str">
        <f t="shared" si="38"/>
        <v>Expense</v>
      </c>
      <c r="O797" t="str">
        <f t="shared" si="39"/>
        <v/>
      </c>
    </row>
    <row r="798" spans="1:15" x14ac:dyDescent="0.25">
      <c r="A798" s="1" t="s">
        <v>4625</v>
      </c>
      <c r="B798" s="1" t="s">
        <v>3839</v>
      </c>
      <c r="C798" s="1" t="s">
        <v>3861</v>
      </c>
      <c r="D798" s="1" t="s">
        <v>3789</v>
      </c>
      <c r="E798">
        <v>404024</v>
      </c>
      <c r="F798">
        <v>467959</v>
      </c>
      <c r="G798">
        <f t="shared" si="37"/>
        <v>-63935</v>
      </c>
      <c r="H798">
        <v>-63935</v>
      </c>
      <c r="I798" s="3">
        <v>45230</v>
      </c>
      <c r="J798" s="1" t="s">
        <v>3790</v>
      </c>
      <c r="K798" s="1" t="s">
        <v>3803</v>
      </c>
      <c r="L798" s="1" t="s">
        <v>3784</v>
      </c>
      <c r="M798" s="1" t="s">
        <v>3809</v>
      </c>
      <c r="N798" t="str">
        <f t="shared" si="38"/>
        <v>Expense</v>
      </c>
      <c r="O798" t="str">
        <f t="shared" si="39"/>
        <v/>
      </c>
    </row>
    <row r="799" spans="1:15" x14ac:dyDescent="0.25">
      <c r="A799" s="1" t="s">
        <v>4626</v>
      </c>
      <c r="B799" s="1" t="s">
        <v>3808</v>
      </c>
      <c r="C799" s="1" t="s">
        <v>3861</v>
      </c>
      <c r="D799" s="1" t="s">
        <v>3816</v>
      </c>
      <c r="E799">
        <v>229257</v>
      </c>
      <c r="F799">
        <v>239289.46</v>
      </c>
      <c r="G799">
        <f t="shared" si="37"/>
        <v>-10032.459999999992</v>
      </c>
      <c r="H799">
        <v>-10032.459999999999</v>
      </c>
      <c r="I799" s="3">
        <v>45071</v>
      </c>
      <c r="J799" s="1" t="s">
        <v>3790</v>
      </c>
      <c r="K799" s="1" t="s">
        <v>3791</v>
      </c>
      <c r="L799" s="1" t="s">
        <v>3784</v>
      </c>
      <c r="M799" s="1" t="s">
        <v>51</v>
      </c>
      <c r="N799" t="str">
        <f t="shared" si="38"/>
        <v>Expense</v>
      </c>
      <c r="O799" t="str">
        <f t="shared" si="39"/>
        <v/>
      </c>
    </row>
    <row r="800" spans="1:15" x14ac:dyDescent="0.25">
      <c r="A800" s="1" t="s">
        <v>4627</v>
      </c>
      <c r="B800" s="1" t="s">
        <v>3839</v>
      </c>
      <c r="C800" s="1" t="s">
        <v>3848</v>
      </c>
      <c r="D800" s="1" t="s">
        <v>3816</v>
      </c>
      <c r="E800">
        <v>125151</v>
      </c>
      <c r="F800">
        <v>111634.11</v>
      </c>
      <c r="G800">
        <f t="shared" si="37"/>
        <v>13516.89</v>
      </c>
      <c r="H800">
        <v>13516.89</v>
      </c>
      <c r="I800" s="3">
        <v>44950</v>
      </c>
      <c r="J800" s="1" t="s">
        <v>3790</v>
      </c>
      <c r="K800" s="1" t="s">
        <v>3823</v>
      </c>
      <c r="L800" s="1" t="s">
        <v>3804</v>
      </c>
      <c r="M800" s="1" t="s">
        <v>3785</v>
      </c>
      <c r="N800" t="str">
        <f t="shared" si="38"/>
        <v>Expense</v>
      </c>
      <c r="O800" t="str">
        <f t="shared" si="39"/>
        <v/>
      </c>
    </row>
    <row r="801" spans="1:15" x14ac:dyDescent="0.25">
      <c r="A801" s="1" t="s">
        <v>4628</v>
      </c>
      <c r="B801" s="1" t="s">
        <v>3808</v>
      </c>
      <c r="C801" s="1" t="s">
        <v>3848</v>
      </c>
      <c r="D801" s="1" t="s">
        <v>3789</v>
      </c>
      <c r="E801">
        <v>443067</v>
      </c>
      <c r="F801">
        <v>406271.66</v>
      </c>
      <c r="G801">
        <f t="shared" si="37"/>
        <v>36795.340000000026</v>
      </c>
      <c r="H801">
        <v>36795.339999999997</v>
      </c>
      <c r="I801" s="3">
        <v>45015</v>
      </c>
      <c r="J801" s="1" t="s">
        <v>3790</v>
      </c>
      <c r="K801" s="1" t="s">
        <v>3803</v>
      </c>
      <c r="L801" s="1" t="s">
        <v>3804</v>
      </c>
      <c r="M801" s="1" t="s">
        <v>3817</v>
      </c>
      <c r="N801" t="str">
        <f t="shared" si="38"/>
        <v>Expense</v>
      </c>
      <c r="O801" t="str">
        <f t="shared" si="39"/>
        <v/>
      </c>
    </row>
    <row r="802" spans="1:15" x14ac:dyDescent="0.25">
      <c r="A802" s="1" t="s">
        <v>4629</v>
      </c>
      <c r="B802" s="1" t="s">
        <v>3828</v>
      </c>
      <c r="C802" s="1" t="s">
        <v>3815</v>
      </c>
      <c r="D802" s="1" t="s">
        <v>3813</v>
      </c>
      <c r="E802">
        <v>-492588</v>
      </c>
      <c r="F802">
        <v>629810.97</v>
      </c>
      <c r="G802">
        <f t="shared" si="37"/>
        <v>-1122398.97</v>
      </c>
      <c r="H802">
        <v>-137222.97</v>
      </c>
      <c r="I802" s="3">
        <v>45626</v>
      </c>
      <c r="J802" s="1" t="s">
        <v>3790</v>
      </c>
      <c r="K802" s="1" t="s">
        <v>3791</v>
      </c>
      <c r="L802" s="1" t="s">
        <v>3800</v>
      </c>
      <c r="M802" s="1" t="s">
        <v>51</v>
      </c>
      <c r="N802" t="str">
        <f t="shared" si="38"/>
        <v>Credit/Refund</v>
      </c>
      <c r="O802" t="str">
        <f t="shared" si="39"/>
        <v/>
      </c>
    </row>
    <row r="803" spans="1:15" x14ac:dyDescent="0.25">
      <c r="A803" s="1" t="s">
        <v>4630</v>
      </c>
      <c r="B803" s="1" t="s">
        <v>3798</v>
      </c>
      <c r="C803" s="1" t="s">
        <v>3861</v>
      </c>
      <c r="D803" s="1" t="s">
        <v>3799</v>
      </c>
      <c r="E803">
        <v>279567</v>
      </c>
      <c r="F803">
        <v>251553.16</v>
      </c>
      <c r="G803">
        <f t="shared" si="37"/>
        <v>28013.839999999997</v>
      </c>
      <c r="H803">
        <v>28013.84</v>
      </c>
      <c r="I803" s="3">
        <v>45710</v>
      </c>
      <c r="J803" s="1" t="s">
        <v>3859</v>
      </c>
      <c r="K803" s="1" t="s">
        <v>3783</v>
      </c>
      <c r="L803" s="1" t="s">
        <v>3800</v>
      </c>
      <c r="M803" s="1" t="s">
        <v>3831</v>
      </c>
      <c r="N803" t="str">
        <f t="shared" si="38"/>
        <v>Expense</v>
      </c>
      <c r="O803" t="str">
        <f t="shared" si="39"/>
        <v>Flag: High-Value Rejected</v>
      </c>
    </row>
    <row r="804" spans="1:15" x14ac:dyDescent="0.25">
      <c r="A804" s="1" t="s">
        <v>4631</v>
      </c>
      <c r="B804" s="1" t="s">
        <v>3798</v>
      </c>
      <c r="C804" s="1" t="s">
        <v>3812</v>
      </c>
      <c r="D804" s="1" t="s">
        <v>3850</v>
      </c>
      <c r="E804">
        <v>380515</v>
      </c>
      <c r="G804" t="str">
        <f t="shared" si="37"/>
        <v/>
      </c>
      <c r="H804">
        <v>-20196.47</v>
      </c>
      <c r="I804" s="3">
        <v>45254</v>
      </c>
      <c r="J804" s="1" t="s">
        <v>3790</v>
      </c>
      <c r="K804" s="1" t="s">
        <v>3783</v>
      </c>
      <c r="L804" s="1" t="s">
        <v>3784</v>
      </c>
      <c r="M804" s="1" t="s">
        <v>3792</v>
      </c>
      <c r="N804" t="str">
        <f t="shared" si="38"/>
        <v>Expense</v>
      </c>
      <c r="O804" t="str">
        <f t="shared" si="39"/>
        <v/>
      </c>
    </row>
    <row r="805" spans="1:15" x14ac:dyDescent="0.25">
      <c r="A805" s="1" t="s">
        <v>4632</v>
      </c>
      <c r="B805" s="1" t="s">
        <v>3828</v>
      </c>
      <c r="C805" s="1" t="s">
        <v>3788</v>
      </c>
      <c r="D805" s="1" t="s">
        <v>3789</v>
      </c>
      <c r="E805">
        <v>335067</v>
      </c>
      <c r="F805">
        <v>363966</v>
      </c>
      <c r="G805">
        <f t="shared" si="37"/>
        <v>-28899</v>
      </c>
      <c r="H805">
        <v>-28899</v>
      </c>
      <c r="I805" s="3">
        <v>45734</v>
      </c>
      <c r="J805" s="1" t="s">
        <v>3790</v>
      </c>
      <c r="K805" s="1" t="s">
        <v>3803</v>
      </c>
      <c r="L805" s="1" t="s">
        <v>3800</v>
      </c>
      <c r="M805" s="1" t="s">
        <v>51</v>
      </c>
      <c r="N805" t="str">
        <f t="shared" si="38"/>
        <v>Expense</v>
      </c>
      <c r="O805" t="str">
        <f t="shared" si="39"/>
        <v/>
      </c>
    </row>
    <row r="806" spans="1:15" x14ac:dyDescent="0.25">
      <c r="A806" s="1" t="s">
        <v>4633</v>
      </c>
      <c r="B806" s="1" t="s">
        <v>3811</v>
      </c>
      <c r="C806" s="1" t="s">
        <v>3825</v>
      </c>
      <c r="D806" s="1" t="s">
        <v>3834</v>
      </c>
      <c r="E806">
        <v>473508</v>
      </c>
      <c r="F806">
        <v>539400.85</v>
      </c>
      <c r="G806">
        <f t="shared" si="37"/>
        <v>-65892.849999999977</v>
      </c>
      <c r="H806">
        <v>-65892.850000000006</v>
      </c>
      <c r="I806" s="3">
        <v>45160</v>
      </c>
      <c r="J806" s="1" t="s">
        <v>3859</v>
      </c>
      <c r="K806" s="1" t="s">
        <v>3791</v>
      </c>
      <c r="L806" s="1" t="s">
        <v>3784</v>
      </c>
      <c r="M806" s="1" t="s">
        <v>51</v>
      </c>
      <c r="N806" t="str">
        <f t="shared" si="38"/>
        <v>Expense</v>
      </c>
      <c r="O806" t="str">
        <f t="shared" si="39"/>
        <v>Flag: High-Value Rejected</v>
      </c>
    </row>
    <row r="807" spans="1:15" x14ac:dyDescent="0.25">
      <c r="A807" s="1" t="s">
        <v>4634</v>
      </c>
      <c r="B807" s="1" t="s">
        <v>3808</v>
      </c>
      <c r="C807" s="1" t="s">
        <v>3844</v>
      </c>
      <c r="D807" s="1" t="s">
        <v>3802</v>
      </c>
      <c r="E807">
        <v>384032</v>
      </c>
      <c r="F807">
        <v>396359.56</v>
      </c>
      <c r="G807">
        <f t="shared" si="37"/>
        <v>-12327.559999999998</v>
      </c>
      <c r="H807">
        <v>-12327.56</v>
      </c>
      <c r="I807" s="3">
        <v>45526</v>
      </c>
      <c r="J807" s="1" t="s">
        <v>3790</v>
      </c>
      <c r="K807" s="1" t="s">
        <v>3803</v>
      </c>
      <c r="L807" s="1" t="s">
        <v>3800</v>
      </c>
      <c r="M807" s="1" t="s">
        <v>3817</v>
      </c>
      <c r="N807" t="str">
        <f t="shared" si="38"/>
        <v>Expense</v>
      </c>
      <c r="O807" t="str">
        <f t="shared" si="39"/>
        <v/>
      </c>
    </row>
    <row r="808" spans="1:15" x14ac:dyDescent="0.25">
      <c r="A808" s="1" t="s">
        <v>4635</v>
      </c>
      <c r="B808" s="1" t="s">
        <v>3839</v>
      </c>
      <c r="C808" s="1" t="s">
        <v>3821</v>
      </c>
      <c r="D808" s="1" t="s">
        <v>3855</v>
      </c>
      <c r="E808">
        <v>246878</v>
      </c>
      <c r="F808">
        <v>295590.25</v>
      </c>
      <c r="G808">
        <f t="shared" si="37"/>
        <v>-48712.25</v>
      </c>
      <c r="H808">
        <v>-48712.25</v>
      </c>
      <c r="I808" s="3">
        <v>45539</v>
      </c>
      <c r="J808" s="1" t="s">
        <v>3790</v>
      </c>
      <c r="K808" s="1" t="s">
        <v>3791</v>
      </c>
      <c r="L808" s="1" t="s">
        <v>3800</v>
      </c>
      <c r="M808" s="1" t="s">
        <v>51</v>
      </c>
      <c r="N808" t="str">
        <f t="shared" si="38"/>
        <v>Expense</v>
      </c>
      <c r="O808" t="str">
        <f t="shared" si="39"/>
        <v/>
      </c>
    </row>
    <row r="809" spans="1:15" x14ac:dyDescent="0.25">
      <c r="A809" s="1" t="s">
        <v>4636</v>
      </c>
      <c r="B809" s="1" t="s">
        <v>3787</v>
      </c>
      <c r="C809" s="1" t="s">
        <v>3858</v>
      </c>
      <c r="D809" s="1" t="s">
        <v>3837</v>
      </c>
      <c r="E809">
        <v>358219</v>
      </c>
      <c r="F809">
        <v>298904.96000000002</v>
      </c>
      <c r="G809">
        <f t="shared" si="37"/>
        <v>59314.039999999979</v>
      </c>
      <c r="H809">
        <v>59314.04</v>
      </c>
      <c r="I809" s="3">
        <v>45678</v>
      </c>
      <c r="J809" s="1" t="s">
        <v>3782</v>
      </c>
      <c r="K809" s="1" t="s">
        <v>3783</v>
      </c>
      <c r="L809" s="1" t="s">
        <v>3800</v>
      </c>
      <c r="M809" s="1" t="s">
        <v>3831</v>
      </c>
      <c r="N809" t="str">
        <f t="shared" si="38"/>
        <v>Expense</v>
      </c>
      <c r="O809" t="str">
        <f t="shared" si="39"/>
        <v>Flag: High-Value Pending</v>
      </c>
    </row>
    <row r="810" spans="1:15" x14ac:dyDescent="0.25">
      <c r="A810" s="1" t="s">
        <v>4637</v>
      </c>
      <c r="B810" s="1" t="s">
        <v>3839</v>
      </c>
      <c r="C810" s="1" t="s">
        <v>3825</v>
      </c>
      <c r="D810" s="1" t="s">
        <v>3826</v>
      </c>
      <c r="E810">
        <v>475278</v>
      </c>
      <c r="F810">
        <v>418002.98</v>
      </c>
      <c r="G810">
        <f t="shared" si="37"/>
        <v>57275.020000000019</v>
      </c>
      <c r="H810">
        <v>57275.02</v>
      </c>
      <c r="I810" s="3">
        <v>45008</v>
      </c>
      <c r="J810" s="1" t="s">
        <v>3790</v>
      </c>
      <c r="K810" s="1" t="s">
        <v>3823</v>
      </c>
      <c r="L810" s="1" t="s">
        <v>3804</v>
      </c>
      <c r="M810" s="1" t="s">
        <v>51</v>
      </c>
      <c r="N810" t="str">
        <f t="shared" si="38"/>
        <v>Expense</v>
      </c>
      <c r="O810" t="str">
        <f t="shared" si="39"/>
        <v/>
      </c>
    </row>
    <row r="811" spans="1:15" x14ac:dyDescent="0.25">
      <c r="A811" s="1" t="s">
        <v>4638</v>
      </c>
      <c r="B811" s="1" t="s">
        <v>3811</v>
      </c>
      <c r="C811" s="1" t="s">
        <v>3825</v>
      </c>
      <c r="D811" s="1" t="s">
        <v>3855</v>
      </c>
      <c r="E811">
        <v>217149</v>
      </c>
      <c r="F811">
        <v>208982.39999999999</v>
      </c>
      <c r="G811">
        <f t="shared" si="37"/>
        <v>8166.6000000000058</v>
      </c>
      <c r="H811">
        <v>8166.6</v>
      </c>
      <c r="I811" s="3">
        <v>45324</v>
      </c>
      <c r="J811" s="1" t="s">
        <v>3790</v>
      </c>
      <c r="K811" s="1" t="s">
        <v>3823</v>
      </c>
      <c r="L811" s="1" t="s">
        <v>3784</v>
      </c>
      <c r="M811" s="1" t="s">
        <v>51</v>
      </c>
      <c r="N811" t="str">
        <f t="shared" si="38"/>
        <v>Expense</v>
      </c>
      <c r="O811" t="str">
        <f t="shared" si="39"/>
        <v/>
      </c>
    </row>
    <row r="812" spans="1:15" x14ac:dyDescent="0.25">
      <c r="A812" s="1" t="s">
        <v>4639</v>
      </c>
      <c r="B812" s="1" t="s">
        <v>3798</v>
      </c>
      <c r="C812" s="1" t="s">
        <v>3844</v>
      </c>
      <c r="D812" s="1" t="s">
        <v>3796</v>
      </c>
      <c r="E812">
        <v>265427</v>
      </c>
      <c r="F812">
        <v>274377.01</v>
      </c>
      <c r="G812">
        <f t="shared" si="37"/>
        <v>-8950.0100000000093</v>
      </c>
      <c r="H812">
        <v>-8950.01</v>
      </c>
      <c r="I812" s="3">
        <v>45620</v>
      </c>
      <c r="J812" s="1" t="s">
        <v>3782</v>
      </c>
      <c r="K812" s="1" t="s">
        <v>3823</v>
      </c>
      <c r="L812" s="1" t="s">
        <v>3800</v>
      </c>
      <c r="M812" s="1" t="s">
        <v>51</v>
      </c>
      <c r="N812" t="str">
        <f t="shared" si="38"/>
        <v>Expense</v>
      </c>
      <c r="O812" t="str">
        <f t="shared" si="39"/>
        <v>Flag: High-Value Pending</v>
      </c>
    </row>
    <row r="813" spans="1:15" x14ac:dyDescent="0.25">
      <c r="A813" s="1" t="s">
        <v>4640</v>
      </c>
      <c r="B813" s="1" t="s">
        <v>3798</v>
      </c>
      <c r="C813" s="1" t="s">
        <v>3844</v>
      </c>
      <c r="D813" s="1" t="s">
        <v>3850</v>
      </c>
      <c r="E813">
        <v>27117</v>
      </c>
      <c r="F813">
        <v>33382.21</v>
      </c>
      <c r="G813">
        <f t="shared" si="37"/>
        <v>-6265.2099999999991</v>
      </c>
      <c r="H813">
        <v>-6265.21</v>
      </c>
      <c r="I813" s="3">
        <v>45716</v>
      </c>
      <c r="J813" s="1" t="s">
        <v>3790</v>
      </c>
      <c r="K813" s="1" t="s">
        <v>3791</v>
      </c>
      <c r="L813" s="1" t="s">
        <v>3800</v>
      </c>
      <c r="M813" s="1" t="s">
        <v>51</v>
      </c>
      <c r="N813" t="str">
        <f t="shared" si="38"/>
        <v>Expense</v>
      </c>
      <c r="O813" t="str">
        <f t="shared" si="39"/>
        <v/>
      </c>
    </row>
    <row r="814" spans="1:15" x14ac:dyDescent="0.25">
      <c r="A814" s="1" t="s">
        <v>4641</v>
      </c>
      <c r="B814" s="1" t="s">
        <v>3839</v>
      </c>
      <c r="C814" s="1" t="s">
        <v>3844</v>
      </c>
      <c r="D814" s="1" t="s">
        <v>3781</v>
      </c>
      <c r="E814">
        <v>486269</v>
      </c>
      <c r="F814">
        <v>401150.6</v>
      </c>
      <c r="G814">
        <f t="shared" si="37"/>
        <v>85118.400000000023</v>
      </c>
      <c r="H814">
        <v>85118.399999999994</v>
      </c>
      <c r="I814" s="3">
        <v>45481</v>
      </c>
      <c r="J814" s="1" t="s">
        <v>3790</v>
      </c>
      <c r="K814" s="1" t="s">
        <v>3783</v>
      </c>
      <c r="L814" s="1" t="s">
        <v>3800</v>
      </c>
      <c r="M814" s="1" t="s">
        <v>51</v>
      </c>
      <c r="N814" t="str">
        <f t="shared" si="38"/>
        <v>Expense</v>
      </c>
      <c r="O814" t="str">
        <f t="shared" si="39"/>
        <v/>
      </c>
    </row>
    <row r="815" spans="1:15" x14ac:dyDescent="0.25">
      <c r="A815" s="1" t="s">
        <v>4642</v>
      </c>
      <c r="B815" s="1" t="s">
        <v>3798</v>
      </c>
      <c r="C815" s="1" t="s">
        <v>3825</v>
      </c>
      <c r="D815" s="1" t="s">
        <v>3826</v>
      </c>
      <c r="E815">
        <v>490350</v>
      </c>
      <c r="F815">
        <v>534460.18999999994</v>
      </c>
      <c r="G815">
        <f t="shared" si="37"/>
        <v>-44110.189999999944</v>
      </c>
      <c r="H815">
        <v>-44110.19</v>
      </c>
      <c r="I815" s="3">
        <v>45149</v>
      </c>
      <c r="J815" s="1" t="s">
        <v>3790</v>
      </c>
      <c r="K815" s="1" t="s">
        <v>3803</v>
      </c>
      <c r="L815" s="1" t="s">
        <v>3784</v>
      </c>
      <c r="M815" s="1" t="s">
        <v>3792</v>
      </c>
      <c r="N815" t="str">
        <f t="shared" si="38"/>
        <v>Expense</v>
      </c>
      <c r="O815" t="str">
        <f t="shared" si="39"/>
        <v/>
      </c>
    </row>
    <row r="816" spans="1:15" x14ac:dyDescent="0.25">
      <c r="A816" s="1" t="s">
        <v>4643</v>
      </c>
      <c r="B816" s="1" t="s">
        <v>3798</v>
      </c>
      <c r="C816" s="1" t="s">
        <v>3795</v>
      </c>
      <c r="D816" s="1" t="s">
        <v>3867</v>
      </c>
      <c r="E816">
        <v>320947</v>
      </c>
      <c r="F816">
        <v>256776.3</v>
      </c>
      <c r="G816">
        <f t="shared" si="37"/>
        <v>64170.700000000012</v>
      </c>
      <c r="H816">
        <v>64170.7</v>
      </c>
      <c r="I816" s="3">
        <v>44936</v>
      </c>
      <c r="J816" s="1" t="s">
        <v>3790</v>
      </c>
      <c r="K816" s="1" t="s">
        <v>3783</v>
      </c>
      <c r="L816" s="1" t="s">
        <v>3804</v>
      </c>
      <c r="M816" s="1" t="s">
        <v>51</v>
      </c>
      <c r="N816" t="str">
        <f t="shared" si="38"/>
        <v>Expense</v>
      </c>
      <c r="O816" t="str">
        <f t="shared" si="39"/>
        <v/>
      </c>
    </row>
    <row r="817" spans="1:15" x14ac:dyDescent="0.25">
      <c r="A817" s="1" t="s">
        <v>4644</v>
      </c>
      <c r="B817" s="1" t="s">
        <v>3811</v>
      </c>
      <c r="C817" s="1" t="s">
        <v>3812</v>
      </c>
      <c r="D817" s="1" t="s">
        <v>3837</v>
      </c>
      <c r="E817">
        <v>317409</v>
      </c>
      <c r="F817">
        <v>267579.83</v>
      </c>
      <c r="G817">
        <f t="shared" si="37"/>
        <v>49829.169999999984</v>
      </c>
      <c r="H817">
        <v>49829.17</v>
      </c>
      <c r="I817" s="3">
        <v>45292</v>
      </c>
      <c r="J817" s="1" t="s">
        <v>3790</v>
      </c>
      <c r="K817" s="1" t="s">
        <v>3791</v>
      </c>
      <c r="L817" s="1" t="s">
        <v>3784</v>
      </c>
      <c r="M817" s="1" t="s">
        <v>3831</v>
      </c>
      <c r="N817" t="str">
        <f t="shared" si="38"/>
        <v>Expense</v>
      </c>
      <c r="O817" t="str">
        <f t="shared" si="39"/>
        <v/>
      </c>
    </row>
    <row r="818" spans="1:15" x14ac:dyDescent="0.25">
      <c r="A818" s="1" t="s">
        <v>4645</v>
      </c>
      <c r="B818" s="1" t="s">
        <v>3794</v>
      </c>
      <c r="C818" s="1" t="s">
        <v>3821</v>
      </c>
      <c r="D818" s="1" t="s">
        <v>3850</v>
      </c>
      <c r="E818">
        <v>447953</v>
      </c>
      <c r="F818">
        <v>542934.6</v>
      </c>
      <c r="G818">
        <f t="shared" si="37"/>
        <v>-94981.599999999977</v>
      </c>
      <c r="H818">
        <v>-94981.6</v>
      </c>
      <c r="I818" s="3">
        <v>44943</v>
      </c>
      <c r="J818" s="1" t="s">
        <v>3782</v>
      </c>
      <c r="K818" s="1" t="s">
        <v>3823</v>
      </c>
      <c r="L818" s="1" t="s">
        <v>3804</v>
      </c>
      <c r="M818" s="1" t="s">
        <v>3785</v>
      </c>
      <c r="N818" t="str">
        <f t="shared" si="38"/>
        <v>Expense</v>
      </c>
      <c r="O818" t="str">
        <f t="shared" si="39"/>
        <v>Flag: High-Value Pending</v>
      </c>
    </row>
    <row r="819" spans="1:15" x14ac:dyDescent="0.25">
      <c r="A819" s="1" t="s">
        <v>4646</v>
      </c>
      <c r="B819" s="1" t="s">
        <v>3839</v>
      </c>
      <c r="C819" s="1" t="s">
        <v>3806</v>
      </c>
      <c r="D819" s="1" t="s">
        <v>3796</v>
      </c>
      <c r="E819">
        <v>42730</v>
      </c>
      <c r="F819">
        <v>54657.81</v>
      </c>
      <c r="G819">
        <f t="shared" si="37"/>
        <v>-11927.809999999998</v>
      </c>
      <c r="H819">
        <v>-11927.81</v>
      </c>
      <c r="I819" s="3">
        <v>45093</v>
      </c>
      <c r="J819" s="1" t="s">
        <v>3790</v>
      </c>
      <c r="K819" s="1" t="s">
        <v>3791</v>
      </c>
      <c r="L819" s="1" t="s">
        <v>3784</v>
      </c>
      <c r="M819" s="1" t="s">
        <v>3792</v>
      </c>
      <c r="N819" t="str">
        <f t="shared" si="38"/>
        <v>Expense</v>
      </c>
      <c r="O819" t="str">
        <f t="shared" si="39"/>
        <v/>
      </c>
    </row>
    <row r="820" spans="1:15" x14ac:dyDescent="0.25">
      <c r="A820" s="1" t="s">
        <v>4647</v>
      </c>
      <c r="B820" s="1" t="s">
        <v>3811</v>
      </c>
      <c r="C820" s="1" t="s">
        <v>3825</v>
      </c>
      <c r="D820" s="1" t="s">
        <v>3802</v>
      </c>
      <c r="E820">
        <v>157027</v>
      </c>
      <c r="F820">
        <v>131202.97</v>
      </c>
      <c r="G820">
        <f t="shared" si="37"/>
        <v>25824.03</v>
      </c>
      <c r="H820">
        <v>25824.03</v>
      </c>
      <c r="I820" s="3">
        <v>44968</v>
      </c>
      <c r="J820" s="1" t="s">
        <v>3782</v>
      </c>
      <c r="K820" s="1" t="s">
        <v>3791</v>
      </c>
      <c r="L820" s="1" t="s">
        <v>3804</v>
      </c>
      <c r="M820" s="1" t="s">
        <v>3792</v>
      </c>
      <c r="N820" t="str">
        <f t="shared" si="38"/>
        <v>Expense</v>
      </c>
      <c r="O820" t="str">
        <f t="shared" si="39"/>
        <v/>
      </c>
    </row>
    <row r="821" spans="1:15" x14ac:dyDescent="0.25">
      <c r="A821" s="1" t="s">
        <v>4648</v>
      </c>
      <c r="B821" s="1" t="s">
        <v>3787</v>
      </c>
      <c r="C821" s="1" t="s">
        <v>3844</v>
      </c>
      <c r="D821" s="1" t="s">
        <v>3846</v>
      </c>
      <c r="E821">
        <v>201521</v>
      </c>
      <c r="F821">
        <v>189535.4</v>
      </c>
      <c r="G821">
        <f t="shared" si="37"/>
        <v>11985.600000000006</v>
      </c>
      <c r="H821">
        <v>11985.6</v>
      </c>
      <c r="I821" s="3">
        <v>44934</v>
      </c>
      <c r="J821" s="1" t="s">
        <v>3790</v>
      </c>
      <c r="K821" s="1" t="s">
        <v>3791</v>
      </c>
      <c r="L821" s="1" t="s">
        <v>3804</v>
      </c>
      <c r="M821" s="1" t="s">
        <v>51</v>
      </c>
      <c r="N821" t="str">
        <f t="shared" si="38"/>
        <v>Expense</v>
      </c>
      <c r="O821" t="str">
        <f t="shared" si="39"/>
        <v/>
      </c>
    </row>
    <row r="822" spans="1:15" x14ac:dyDescent="0.25">
      <c r="A822" s="1" t="s">
        <v>4649</v>
      </c>
      <c r="B822" s="1" t="s">
        <v>3808</v>
      </c>
      <c r="C822" s="1" t="s">
        <v>3844</v>
      </c>
      <c r="D822" s="1" t="s">
        <v>3867</v>
      </c>
      <c r="E822">
        <v>51013</v>
      </c>
      <c r="F822">
        <v>53300.56</v>
      </c>
      <c r="G822">
        <f t="shared" si="37"/>
        <v>-2287.5599999999977</v>
      </c>
      <c r="H822">
        <v>-2287.56</v>
      </c>
      <c r="I822" s="3">
        <v>44993</v>
      </c>
      <c r="J822" s="1" t="s">
        <v>3790</v>
      </c>
      <c r="K822" s="1" t="s">
        <v>3783</v>
      </c>
      <c r="L822" s="1" t="s">
        <v>3804</v>
      </c>
      <c r="M822" s="1" t="s">
        <v>3831</v>
      </c>
      <c r="N822" t="str">
        <f t="shared" si="38"/>
        <v>Expense</v>
      </c>
      <c r="O822" t="str">
        <f t="shared" si="39"/>
        <v/>
      </c>
    </row>
    <row r="823" spans="1:15" x14ac:dyDescent="0.25">
      <c r="A823" s="1" t="s">
        <v>4650</v>
      </c>
      <c r="B823" s="1" t="s">
        <v>3787</v>
      </c>
      <c r="C823" s="1" t="s">
        <v>3861</v>
      </c>
      <c r="D823" s="1" t="s">
        <v>3813</v>
      </c>
      <c r="E823">
        <v>437402</v>
      </c>
      <c r="F823">
        <v>487674.31</v>
      </c>
      <c r="G823">
        <f t="shared" si="37"/>
        <v>-50272.31</v>
      </c>
      <c r="H823">
        <v>-50272.31</v>
      </c>
      <c r="I823" s="3">
        <v>45133</v>
      </c>
      <c r="J823" s="1" t="s">
        <v>3790</v>
      </c>
      <c r="K823" s="1" t="s">
        <v>3823</v>
      </c>
      <c r="L823" s="1" t="s">
        <v>3784</v>
      </c>
      <c r="M823" s="1" t="s">
        <v>51</v>
      </c>
      <c r="N823" t="str">
        <f t="shared" si="38"/>
        <v>Expense</v>
      </c>
      <c r="O823" t="str">
        <f t="shared" si="39"/>
        <v/>
      </c>
    </row>
    <row r="824" spans="1:15" x14ac:dyDescent="0.25">
      <c r="A824" s="1" t="s">
        <v>4651</v>
      </c>
      <c r="B824" s="1" t="s">
        <v>3794</v>
      </c>
      <c r="C824" s="1" t="s">
        <v>3795</v>
      </c>
      <c r="D824" s="1" t="s">
        <v>3837</v>
      </c>
      <c r="E824">
        <v>469164</v>
      </c>
      <c r="F824">
        <v>555054.97</v>
      </c>
      <c r="G824">
        <f t="shared" si="37"/>
        <v>-85890.969999999972</v>
      </c>
      <c r="H824">
        <v>-85890.97</v>
      </c>
      <c r="I824" s="3">
        <v>45499</v>
      </c>
      <c r="J824" s="1" t="s">
        <v>3782</v>
      </c>
      <c r="K824" s="1" t="s">
        <v>3791</v>
      </c>
      <c r="L824" s="1" t="s">
        <v>3800</v>
      </c>
      <c r="M824" s="1" t="s">
        <v>3817</v>
      </c>
      <c r="N824" t="str">
        <f t="shared" si="38"/>
        <v>Expense</v>
      </c>
      <c r="O824" t="str">
        <f t="shared" si="39"/>
        <v>Flag: High-Value Pending</v>
      </c>
    </row>
    <row r="825" spans="1:15" x14ac:dyDescent="0.25">
      <c r="A825" s="1" t="s">
        <v>4652</v>
      </c>
      <c r="B825" s="1" t="s">
        <v>3811</v>
      </c>
      <c r="C825" s="1" t="s">
        <v>3788</v>
      </c>
      <c r="D825" s="1" t="s">
        <v>3826</v>
      </c>
      <c r="E825">
        <v>238776</v>
      </c>
      <c r="F825">
        <v>191381.1</v>
      </c>
      <c r="G825">
        <f t="shared" si="37"/>
        <v>47394.899999999994</v>
      </c>
      <c r="H825">
        <v>47394.9</v>
      </c>
      <c r="I825" s="3">
        <v>45084</v>
      </c>
      <c r="J825" s="1" t="s">
        <v>3782</v>
      </c>
      <c r="K825" s="1" t="s">
        <v>3791</v>
      </c>
      <c r="L825" s="1" t="s">
        <v>3784</v>
      </c>
      <c r="M825" s="1" t="s">
        <v>51</v>
      </c>
      <c r="N825" t="str">
        <f t="shared" si="38"/>
        <v>Expense</v>
      </c>
      <c r="O825" t="str">
        <f t="shared" si="39"/>
        <v>Flag: High-Value Pending</v>
      </c>
    </row>
    <row r="826" spans="1:15" x14ac:dyDescent="0.25">
      <c r="A826" s="1" t="s">
        <v>4653</v>
      </c>
      <c r="B826" s="1" t="s">
        <v>3839</v>
      </c>
      <c r="C826" s="1" t="s">
        <v>3795</v>
      </c>
      <c r="D826" s="1" t="s">
        <v>3802</v>
      </c>
      <c r="E826">
        <v>155011</v>
      </c>
      <c r="F826">
        <v>158821.14000000001</v>
      </c>
      <c r="G826">
        <f t="shared" si="37"/>
        <v>-3810.140000000014</v>
      </c>
      <c r="H826">
        <v>-3810.14</v>
      </c>
      <c r="I826" s="3">
        <v>45682</v>
      </c>
      <c r="J826" s="1" t="s">
        <v>3859</v>
      </c>
      <c r="K826" s="1" t="s">
        <v>3783</v>
      </c>
      <c r="L826" s="1" t="s">
        <v>3800</v>
      </c>
      <c r="M826" s="1" t="s">
        <v>3831</v>
      </c>
      <c r="N826" t="str">
        <f t="shared" si="38"/>
        <v>Expense</v>
      </c>
      <c r="O826" t="str">
        <f t="shared" si="39"/>
        <v/>
      </c>
    </row>
    <row r="827" spans="1:15" x14ac:dyDescent="0.25">
      <c r="A827" s="1" t="s">
        <v>4654</v>
      </c>
      <c r="B827" s="1" t="s">
        <v>3828</v>
      </c>
      <c r="C827" s="1" t="s">
        <v>3780</v>
      </c>
      <c r="D827" s="1" t="s">
        <v>3781</v>
      </c>
      <c r="E827">
        <v>418713</v>
      </c>
      <c r="F827">
        <v>451496.33</v>
      </c>
      <c r="G827">
        <f t="shared" si="37"/>
        <v>-32783.330000000016</v>
      </c>
      <c r="H827">
        <v>-32783.33</v>
      </c>
      <c r="I827" s="3">
        <v>45485</v>
      </c>
      <c r="J827" s="1" t="s">
        <v>3790</v>
      </c>
      <c r="K827" s="1" t="s">
        <v>3803</v>
      </c>
      <c r="L827" s="1" t="s">
        <v>3800</v>
      </c>
      <c r="M827" s="1" t="s">
        <v>3831</v>
      </c>
      <c r="N827" t="str">
        <f t="shared" si="38"/>
        <v>Expense</v>
      </c>
      <c r="O827" t="str">
        <f t="shared" si="39"/>
        <v/>
      </c>
    </row>
    <row r="828" spans="1:15" x14ac:dyDescent="0.25">
      <c r="A828" s="1" t="s">
        <v>4655</v>
      </c>
      <c r="B828" s="1" t="s">
        <v>3808</v>
      </c>
      <c r="C828" s="1" t="s">
        <v>3812</v>
      </c>
      <c r="D828" s="1" t="s">
        <v>3796</v>
      </c>
      <c r="E828">
        <v>85651</v>
      </c>
      <c r="F828">
        <v>97599.15</v>
      </c>
      <c r="G828">
        <f t="shared" si="37"/>
        <v>-11948.149999999994</v>
      </c>
      <c r="H828">
        <v>-11948.15</v>
      </c>
      <c r="I828" s="3">
        <v>44970</v>
      </c>
      <c r="J828" s="1" t="s">
        <v>3782</v>
      </c>
      <c r="K828" s="1" t="s">
        <v>3791</v>
      </c>
      <c r="L828" s="1" t="s">
        <v>3804</v>
      </c>
      <c r="M828" s="1" t="s">
        <v>3831</v>
      </c>
      <c r="N828" t="str">
        <f t="shared" si="38"/>
        <v>Expense</v>
      </c>
      <c r="O828" t="str">
        <f t="shared" si="39"/>
        <v/>
      </c>
    </row>
    <row r="829" spans="1:15" x14ac:dyDescent="0.25">
      <c r="A829" s="1" t="s">
        <v>4656</v>
      </c>
      <c r="B829" s="1" t="s">
        <v>3794</v>
      </c>
      <c r="C829" s="1" t="s">
        <v>3848</v>
      </c>
      <c r="D829" s="1" t="s">
        <v>3822</v>
      </c>
      <c r="E829">
        <v>316179</v>
      </c>
      <c r="F829">
        <v>258248.38</v>
      </c>
      <c r="G829">
        <f t="shared" si="37"/>
        <v>57930.619999999995</v>
      </c>
      <c r="H829">
        <v>57930.62</v>
      </c>
      <c r="I829" s="3">
        <v>45736</v>
      </c>
      <c r="J829" s="1" t="s">
        <v>3790</v>
      </c>
      <c r="K829" s="1" t="s">
        <v>3791</v>
      </c>
      <c r="L829" s="1" t="s">
        <v>3800</v>
      </c>
      <c r="M829" s="1" t="s">
        <v>3785</v>
      </c>
      <c r="N829" t="str">
        <f t="shared" si="38"/>
        <v>Expense</v>
      </c>
      <c r="O829" t="str">
        <f t="shared" si="39"/>
        <v/>
      </c>
    </row>
    <row r="830" spans="1:15" x14ac:dyDescent="0.25">
      <c r="A830" s="1" t="s">
        <v>4657</v>
      </c>
      <c r="B830" s="1" t="s">
        <v>3839</v>
      </c>
      <c r="C830" s="1" t="s">
        <v>3806</v>
      </c>
      <c r="D830" s="1" t="s">
        <v>3834</v>
      </c>
      <c r="E830">
        <v>-124146</v>
      </c>
      <c r="F830">
        <v>147834.22</v>
      </c>
      <c r="G830">
        <f t="shared" si="37"/>
        <v>-271980.21999999997</v>
      </c>
      <c r="H830">
        <v>-23688.22</v>
      </c>
      <c r="I830" s="3">
        <v>44940</v>
      </c>
      <c r="J830" s="1" t="s">
        <v>3790</v>
      </c>
      <c r="K830" s="1" t="s">
        <v>3783</v>
      </c>
      <c r="L830" s="1" t="s">
        <v>3804</v>
      </c>
      <c r="M830" s="1" t="s">
        <v>51</v>
      </c>
      <c r="N830" t="str">
        <f t="shared" si="38"/>
        <v>Credit/Refund</v>
      </c>
      <c r="O830" t="str">
        <f t="shared" si="39"/>
        <v/>
      </c>
    </row>
    <row r="831" spans="1:15" x14ac:dyDescent="0.25">
      <c r="A831" s="1" t="s">
        <v>4658</v>
      </c>
      <c r="B831" s="1" t="s">
        <v>3811</v>
      </c>
      <c r="C831" s="1" t="s">
        <v>3815</v>
      </c>
      <c r="D831" s="1" t="s">
        <v>3813</v>
      </c>
      <c r="E831">
        <v>204597</v>
      </c>
      <c r="F831">
        <v>185145.44</v>
      </c>
      <c r="G831">
        <f t="shared" si="37"/>
        <v>19451.559999999998</v>
      </c>
      <c r="H831">
        <v>19451.560000000001</v>
      </c>
      <c r="I831" s="3">
        <v>45015</v>
      </c>
      <c r="J831" s="1" t="s">
        <v>3859</v>
      </c>
      <c r="K831" s="1" t="s">
        <v>3803</v>
      </c>
      <c r="L831" s="1" t="s">
        <v>3804</v>
      </c>
      <c r="M831" s="1" t="s">
        <v>3831</v>
      </c>
      <c r="N831" t="str">
        <f t="shared" si="38"/>
        <v>Expense</v>
      </c>
      <c r="O831" t="str">
        <f t="shared" si="39"/>
        <v>Flag: High-Value Rejected</v>
      </c>
    </row>
    <row r="832" spans="1:15" x14ac:dyDescent="0.25">
      <c r="A832" s="1" t="s">
        <v>4659</v>
      </c>
      <c r="B832" s="1" t="s">
        <v>3808</v>
      </c>
      <c r="C832" s="1" t="s">
        <v>3806</v>
      </c>
      <c r="D832" s="1" t="s">
        <v>3802</v>
      </c>
      <c r="E832">
        <v>23674</v>
      </c>
      <c r="F832">
        <v>30695.72</v>
      </c>
      <c r="G832">
        <f t="shared" si="37"/>
        <v>-7021.7200000000012</v>
      </c>
      <c r="H832">
        <v>-7021.72</v>
      </c>
      <c r="I832" s="3">
        <v>45251</v>
      </c>
      <c r="J832" s="1" t="s">
        <v>3790</v>
      </c>
      <c r="K832" s="1" t="s">
        <v>3803</v>
      </c>
      <c r="L832" s="1" t="s">
        <v>3784</v>
      </c>
      <c r="M832" s="1" t="s">
        <v>51</v>
      </c>
      <c r="N832" t="str">
        <f t="shared" si="38"/>
        <v>Expense</v>
      </c>
      <c r="O832" t="str">
        <f t="shared" si="39"/>
        <v/>
      </c>
    </row>
    <row r="833" spans="1:15" x14ac:dyDescent="0.25">
      <c r="A833" s="1" t="s">
        <v>4660</v>
      </c>
      <c r="B833" s="1" t="s">
        <v>3808</v>
      </c>
      <c r="C833" s="1" t="s">
        <v>3815</v>
      </c>
      <c r="D833" s="1" t="s">
        <v>3846</v>
      </c>
      <c r="E833">
        <v>129748</v>
      </c>
      <c r="F833">
        <v>121212</v>
      </c>
      <c r="G833">
        <f t="shared" si="37"/>
        <v>8536</v>
      </c>
      <c r="H833">
        <v>8536</v>
      </c>
      <c r="I833" s="3">
        <v>45590</v>
      </c>
      <c r="J833" s="1" t="s">
        <v>3782</v>
      </c>
      <c r="K833" s="1" t="s">
        <v>3783</v>
      </c>
      <c r="L833" s="1" t="s">
        <v>3800</v>
      </c>
      <c r="M833" s="1" t="s">
        <v>51</v>
      </c>
      <c r="N833" t="str">
        <f t="shared" si="38"/>
        <v>Expense</v>
      </c>
      <c r="O833" t="str">
        <f t="shared" si="39"/>
        <v/>
      </c>
    </row>
    <row r="834" spans="1:15" x14ac:dyDescent="0.25">
      <c r="A834" s="1" t="s">
        <v>4661</v>
      </c>
      <c r="B834" s="1" t="s">
        <v>3808</v>
      </c>
      <c r="C834" s="1" t="s">
        <v>3806</v>
      </c>
      <c r="D834" s="1" t="s">
        <v>3781</v>
      </c>
      <c r="E834">
        <v>108538</v>
      </c>
      <c r="F834">
        <v>119529.29</v>
      </c>
      <c r="G834">
        <f t="shared" ref="G834:G897" si="40">IF(F834="","",E834-F834)</f>
        <v>-10991.289999999994</v>
      </c>
      <c r="H834">
        <v>-10991.29</v>
      </c>
      <c r="I834" s="3">
        <v>45193</v>
      </c>
      <c r="J834" s="1" t="s">
        <v>3782</v>
      </c>
      <c r="K834" s="1" t="s">
        <v>3783</v>
      </c>
      <c r="L834" s="1" t="s">
        <v>3784</v>
      </c>
      <c r="M834" s="1" t="s">
        <v>51</v>
      </c>
      <c r="N834" t="str">
        <f t="shared" si="38"/>
        <v>Expense</v>
      </c>
      <c r="O834" t="str">
        <f t="shared" si="39"/>
        <v/>
      </c>
    </row>
    <row r="835" spans="1:15" x14ac:dyDescent="0.25">
      <c r="A835" s="1" t="s">
        <v>4662</v>
      </c>
      <c r="B835" s="1" t="s">
        <v>3787</v>
      </c>
      <c r="C835" s="1" t="s">
        <v>3806</v>
      </c>
      <c r="D835" s="1" t="s">
        <v>3802</v>
      </c>
      <c r="E835">
        <v>217317</v>
      </c>
      <c r="F835">
        <v>230592.77</v>
      </c>
      <c r="G835">
        <f t="shared" si="40"/>
        <v>-13275.76999999999</v>
      </c>
      <c r="H835">
        <v>-13275.77</v>
      </c>
      <c r="I835" s="3">
        <v>45022</v>
      </c>
      <c r="J835" s="1" t="s">
        <v>3790</v>
      </c>
      <c r="K835" s="1" t="s">
        <v>3803</v>
      </c>
      <c r="L835" s="1" t="s">
        <v>3784</v>
      </c>
      <c r="M835" s="1" t="s">
        <v>3792</v>
      </c>
      <c r="N835" t="str">
        <f t="shared" ref="N835:N898" si="41">IF(E835&lt;0,"Credit/Refund","Expense")</f>
        <v>Expense</v>
      </c>
      <c r="O835" t="str">
        <f t="shared" ref="O835:O898" si="42">IF(AND(OR(J835="Pending",J835="Rejected"),E835&gt;200000),"Flag: High-Value "&amp;J835,"")</f>
        <v/>
      </c>
    </row>
    <row r="836" spans="1:15" x14ac:dyDescent="0.25">
      <c r="A836" s="1" t="s">
        <v>4663</v>
      </c>
      <c r="B836" s="1" t="s">
        <v>3794</v>
      </c>
      <c r="C836" s="1" t="s">
        <v>3788</v>
      </c>
      <c r="D836" s="1" t="s">
        <v>3846</v>
      </c>
      <c r="E836">
        <v>394994</v>
      </c>
      <c r="F836">
        <v>434359.15</v>
      </c>
      <c r="G836">
        <f t="shared" si="40"/>
        <v>-39365.150000000023</v>
      </c>
      <c r="H836">
        <v>-39365.15</v>
      </c>
      <c r="I836" s="3">
        <v>45728</v>
      </c>
      <c r="J836" s="1" t="s">
        <v>3790</v>
      </c>
      <c r="K836" s="1" t="s">
        <v>3823</v>
      </c>
      <c r="L836" s="1" t="s">
        <v>3800</v>
      </c>
      <c r="M836" s="1" t="s">
        <v>51</v>
      </c>
      <c r="N836" t="str">
        <f t="shared" si="41"/>
        <v>Expense</v>
      </c>
      <c r="O836" t="str">
        <f t="shared" si="42"/>
        <v/>
      </c>
    </row>
    <row r="837" spans="1:15" x14ac:dyDescent="0.25">
      <c r="A837" s="1" t="s">
        <v>4664</v>
      </c>
      <c r="B837" s="1" t="s">
        <v>3794</v>
      </c>
      <c r="C837" s="1" t="s">
        <v>3795</v>
      </c>
      <c r="D837" s="1" t="s">
        <v>3826</v>
      </c>
      <c r="E837">
        <v>499654</v>
      </c>
      <c r="F837">
        <v>567733.93999999994</v>
      </c>
      <c r="G837">
        <f t="shared" si="40"/>
        <v>-68079.939999999944</v>
      </c>
      <c r="I837" s="3">
        <v>45369</v>
      </c>
      <c r="J837" s="1" t="s">
        <v>3790</v>
      </c>
      <c r="K837" s="1" t="s">
        <v>3803</v>
      </c>
      <c r="L837" s="1" t="s">
        <v>3784</v>
      </c>
      <c r="M837" s="1" t="s">
        <v>3831</v>
      </c>
      <c r="N837" t="str">
        <f t="shared" si="41"/>
        <v>Expense</v>
      </c>
      <c r="O837" t="str">
        <f t="shared" si="42"/>
        <v/>
      </c>
    </row>
    <row r="838" spans="1:15" x14ac:dyDescent="0.25">
      <c r="A838" s="1" t="s">
        <v>4665</v>
      </c>
      <c r="B838" s="1" t="s">
        <v>3787</v>
      </c>
      <c r="C838" s="1" t="s">
        <v>3788</v>
      </c>
      <c r="D838" s="1" t="s">
        <v>3822</v>
      </c>
      <c r="E838">
        <v>434274</v>
      </c>
      <c r="F838">
        <v>497122.38</v>
      </c>
      <c r="G838">
        <f t="shared" si="40"/>
        <v>-62848.380000000005</v>
      </c>
      <c r="H838">
        <v>-62848.38</v>
      </c>
      <c r="I838" s="3">
        <v>45500</v>
      </c>
      <c r="J838" s="1" t="s">
        <v>3790</v>
      </c>
      <c r="K838" s="1" t="s">
        <v>3823</v>
      </c>
      <c r="L838" s="1" t="s">
        <v>3800</v>
      </c>
      <c r="M838" s="1" t="s">
        <v>3792</v>
      </c>
      <c r="N838" t="str">
        <f t="shared" si="41"/>
        <v>Expense</v>
      </c>
      <c r="O838" t="str">
        <f t="shared" si="42"/>
        <v/>
      </c>
    </row>
    <row r="839" spans="1:15" x14ac:dyDescent="0.25">
      <c r="A839" s="1" t="s">
        <v>4666</v>
      </c>
      <c r="B839" s="1" t="s">
        <v>3828</v>
      </c>
      <c r="C839" s="1" t="s">
        <v>3812</v>
      </c>
      <c r="D839" s="1" t="s">
        <v>3837</v>
      </c>
      <c r="E839">
        <v>496132</v>
      </c>
      <c r="F839">
        <v>573145.44999999995</v>
      </c>
      <c r="G839">
        <f t="shared" si="40"/>
        <v>-77013.449999999953</v>
      </c>
      <c r="H839">
        <v>-77013.45</v>
      </c>
      <c r="I839" s="3">
        <v>45326</v>
      </c>
      <c r="J839" s="1" t="s">
        <v>3790</v>
      </c>
      <c r="K839" s="1" t="s">
        <v>3803</v>
      </c>
      <c r="L839" s="1" t="s">
        <v>3784</v>
      </c>
      <c r="M839" s="1" t="s">
        <v>3792</v>
      </c>
      <c r="N839" t="str">
        <f t="shared" si="41"/>
        <v>Expense</v>
      </c>
      <c r="O839" t="str">
        <f t="shared" si="42"/>
        <v/>
      </c>
    </row>
    <row r="840" spans="1:15" x14ac:dyDescent="0.25">
      <c r="A840" s="1" t="s">
        <v>4667</v>
      </c>
      <c r="B840" s="1" t="s">
        <v>3828</v>
      </c>
      <c r="C840" s="1" t="s">
        <v>3806</v>
      </c>
      <c r="D840" s="1" t="s">
        <v>3846</v>
      </c>
      <c r="E840">
        <v>412246</v>
      </c>
      <c r="F840">
        <v>455124.97</v>
      </c>
      <c r="G840">
        <f t="shared" si="40"/>
        <v>-42878.969999999972</v>
      </c>
      <c r="H840">
        <v>-42878.97</v>
      </c>
      <c r="I840" s="3">
        <v>45487</v>
      </c>
      <c r="J840" s="1" t="s">
        <v>3859</v>
      </c>
      <c r="K840" s="1" t="s">
        <v>3791</v>
      </c>
      <c r="L840" s="1" t="s">
        <v>3800</v>
      </c>
      <c r="M840" s="1" t="s">
        <v>51</v>
      </c>
      <c r="N840" t="str">
        <f t="shared" si="41"/>
        <v>Expense</v>
      </c>
      <c r="O840" t="str">
        <f t="shared" si="42"/>
        <v>Flag: High-Value Rejected</v>
      </c>
    </row>
    <row r="841" spans="1:15" x14ac:dyDescent="0.25">
      <c r="A841" s="1" t="s">
        <v>4668</v>
      </c>
      <c r="B841" s="1" t="s">
        <v>3811</v>
      </c>
      <c r="C841" s="1" t="s">
        <v>3780</v>
      </c>
      <c r="D841" s="1" t="s">
        <v>3799</v>
      </c>
      <c r="E841">
        <v>60429</v>
      </c>
      <c r="F841">
        <v>77072.570000000007</v>
      </c>
      <c r="G841">
        <f t="shared" si="40"/>
        <v>-16643.570000000007</v>
      </c>
      <c r="H841">
        <v>-16643.57</v>
      </c>
      <c r="I841" s="3">
        <v>44991</v>
      </c>
      <c r="J841" s="1" t="s">
        <v>3790</v>
      </c>
      <c r="K841" s="1" t="s">
        <v>3791</v>
      </c>
      <c r="L841" s="1" t="s">
        <v>3804</v>
      </c>
      <c r="M841" s="1" t="s">
        <v>3785</v>
      </c>
      <c r="N841" t="str">
        <f t="shared" si="41"/>
        <v>Expense</v>
      </c>
      <c r="O841" t="str">
        <f t="shared" si="42"/>
        <v/>
      </c>
    </row>
    <row r="842" spans="1:15" x14ac:dyDescent="0.25">
      <c r="A842" s="1" t="s">
        <v>4669</v>
      </c>
      <c r="B842" s="1" t="s">
        <v>3798</v>
      </c>
      <c r="C842" s="1" t="s">
        <v>3795</v>
      </c>
      <c r="D842" s="1" t="s">
        <v>3802</v>
      </c>
      <c r="E842">
        <v>374625</v>
      </c>
      <c r="F842">
        <v>456726.65</v>
      </c>
      <c r="G842">
        <f t="shared" si="40"/>
        <v>-82101.650000000023</v>
      </c>
      <c r="H842">
        <v>-82101.649999999994</v>
      </c>
      <c r="I842" s="3">
        <v>45610</v>
      </c>
      <c r="J842" s="1" t="s">
        <v>3790</v>
      </c>
      <c r="K842" s="1" t="s">
        <v>3783</v>
      </c>
      <c r="L842" s="1" t="s">
        <v>3800</v>
      </c>
      <c r="M842" s="1" t="s">
        <v>3817</v>
      </c>
      <c r="N842" t="str">
        <f t="shared" si="41"/>
        <v>Expense</v>
      </c>
      <c r="O842" t="str">
        <f t="shared" si="42"/>
        <v/>
      </c>
    </row>
    <row r="843" spans="1:15" x14ac:dyDescent="0.25">
      <c r="A843" s="1" t="s">
        <v>4670</v>
      </c>
      <c r="B843" s="1" t="s">
        <v>3787</v>
      </c>
      <c r="C843" s="1" t="s">
        <v>3815</v>
      </c>
      <c r="D843" s="1" t="s">
        <v>3796</v>
      </c>
      <c r="E843">
        <v>158870</v>
      </c>
      <c r="F843">
        <v>185140.64</v>
      </c>
      <c r="G843">
        <f t="shared" si="40"/>
        <v>-26270.640000000014</v>
      </c>
      <c r="H843">
        <v>-26270.639999999999</v>
      </c>
      <c r="I843" s="3">
        <v>45481</v>
      </c>
      <c r="J843" s="1" t="s">
        <v>3790</v>
      </c>
      <c r="K843" s="1" t="s">
        <v>3803</v>
      </c>
      <c r="L843" s="1" t="s">
        <v>3800</v>
      </c>
      <c r="M843" s="1" t="s">
        <v>51</v>
      </c>
      <c r="N843" t="str">
        <f t="shared" si="41"/>
        <v>Expense</v>
      </c>
      <c r="O843" t="str">
        <f t="shared" si="42"/>
        <v/>
      </c>
    </row>
    <row r="844" spans="1:15" x14ac:dyDescent="0.25">
      <c r="A844" s="1" t="s">
        <v>4671</v>
      </c>
      <c r="B844" s="1" t="s">
        <v>3798</v>
      </c>
      <c r="C844" s="1" t="s">
        <v>3858</v>
      </c>
      <c r="D844" s="1" t="s">
        <v>3789</v>
      </c>
      <c r="E844">
        <v>33731</v>
      </c>
      <c r="F844">
        <v>32413.5</v>
      </c>
      <c r="G844">
        <f t="shared" si="40"/>
        <v>1317.5</v>
      </c>
      <c r="H844">
        <v>1317.5</v>
      </c>
      <c r="I844" s="3">
        <v>45418</v>
      </c>
      <c r="J844" s="1" t="s">
        <v>3790</v>
      </c>
      <c r="K844" s="1" t="s">
        <v>3803</v>
      </c>
      <c r="L844" s="1" t="s">
        <v>3800</v>
      </c>
      <c r="M844" s="1" t="s">
        <v>3792</v>
      </c>
      <c r="N844" t="str">
        <f t="shared" si="41"/>
        <v>Expense</v>
      </c>
      <c r="O844" t="str">
        <f t="shared" si="42"/>
        <v/>
      </c>
    </row>
    <row r="845" spans="1:15" x14ac:dyDescent="0.25">
      <c r="A845" s="1" t="s">
        <v>4672</v>
      </c>
      <c r="B845" s="1" t="s">
        <v>3787</v>
      </c>
      <c r="C845" s="1" t="s">
        <v>3844</v>
      </c>
      <c r="D845" s="1" t="s">
        <v>3796</v>
      </c>
      <c r="E845">
        <v>351052</v>
      </c>
      <c r="F845">
        <v>286163.15000000002</v>
      </c>
      <c r="G845">
        <f t="shared" si="40"/>
        <v>64888.849999999977</v>
      </c>
      <c r="H845">
        <v>64888.85</v>
      </c>
      <c r="I845" s="3">
        <v>45501</v>
      </c>
      <c r="J845" s="1" t="s">
        <v>3790</v>
      </c>
      <c r="K845" s="1" t="s">
        <v>3783</v>
      </c>
      <c r="L845" s="1" t="s">
        <v>3800</v>
      </c>
      <c r="M845" s="1" t="s">
        <v>51</v>
      </c>
      <c r="N845" t="str">
        <f t="shared" si="41"/>
        <v>Expense</v>
      </c>
      <c r="O845" t="str">
        <f t="shared" si="42"/>
        <v/>
      </c>
    </row>
    <row r="846" spans="1:15" x14ac:dyDescent="0.25">
      <c r="A846" s="1" t="s">
        <v>4673</v>
      </c>
      <c r="B846" s="1" t="s">
        <v>3798</v>
      </c>
      <c r="C846" s="1" t="s">
        <v>3821</v>
      </c>
      <c r="D846" s="1" t="s">
        <v>3846</v>
      </c>
      <c r="E846">
        <v>163158</v>
      </c>
      <c r="F846">
        <v>169309.95</v>
      </c>
      <c r="G846">
        <f t="shared" si="40"/>
        <v>-6151.9500000000116</v>
      </c>
      <c r="H846">
        <v>-6151.95</v>
      </c>
      <c r="I846" s="3">
        <v>45411</v>
      </c>
      <c r="J846" s="1" t="s">
        <v>3790</v>
      </c>
      <c r="K846" s="1" t="s">
        <v>3783</v>
      </c>
      <c r="L846" s="1" t="s">
        <v>3800</v>
      </c>
      <c r="M846" s="1" t="s">
        <v>3792</v>
      </c>
      <c r="N846" t="str">
        <f t="shared" si="41"/>
        <v>Expense</v>
      </c>
      <c r="O846" t="str">
        <f t="shared" si="42"/>
        <v/>
      </c>
    </row>
    <row r="847" spans="1:15" x14ac:dyDescent="0.25">
      <c r="A847" s="1" t="s">
        <v>4674</v>
      </c>
      <c r="B847" s="1" t="s">
        <v>3787</v>
      </c>
      <c r="C847" s="1" t="s">
        <v>3806</v>
      </c>
      <c r="D847" s="1" t="s">
        <v>3781</v>
      </c>
      <c r="E847">
        <v>459947</v>
      </c>
      <c r="G847" t="str">
        <f t="shared" si="40"/>
        <v/>
      </c>
      <c r="H847">
        <v>42227.839999999997</v>
      </c>
      <c r="I847" s="3">
        <v>45097</v>
      </c>
      <c r="J847" s="1" t="s">
        <v>3790</v>
      </c>
      <c r="K847" s="1" t="s">
        <v>3803</v>
      </c>
      <c r="L847" s="1" t="s">
        <v>3784</v>
      </c>
      <c r="M847" s="1" t="s">
        <v>51</v>
      </c>
      <c r="N847" t="str">
        <f t="shared" si="41"/>
        <v>Expense</v>
      </c>
      <c r="O847" t="str">
        <f t="shared" si="42"/>
        <v/>
      </c>
    </row>
    <row r="848" spans="1:15" x14ac:dyDescent="0.25">
      <c r="A848" s="1" t="s">
        <v>4675</v>
      </c>
      <c r="B848" s="1" t="s">
        <v>3839</v>
      </c>
      <c r="C848" s="1" t="s">
        <v>3858</v>
      </c>
      <c r="D848" s="1" t="s">
        <v>3796</v>
      </c>
      <c r="E848">
        <v>160414</v>
      </c>
      <c r="F848">
        <v>190617.63</v>
      </c>
      <c r="G848">
        <f t="shared" si="40"/>
        <v>-30203.630000000005</v>
      </c>
      <c r="I848" s="3">
        <v>45613</v>
      </c>
      <c r="J848" s="1" t="s">
        <v>3790</v>
      </c>
      <c r="K848" s="1" t="s">
        <v>3823</v>
      </c>
      <c r="L848" s="1" t="s">
        <v>3800</v>
      </c>
      <c r="M848" s="1" t="s">
        <v>3792</v>
      </c>
      <c r="N848" t="str">
        <f t="shared" si="41"/>
        <v>Expense</v>
      </c>
      <c r="O848" t="str">
        <f t="shared" si="42"/>
        <v/>
      </c>
    </row>
    <row r="849" spans="1:15" x14ac:dyDescent="0.25">
      <c r="A849" s="1" t="s">
        <v>4676</v>
      </c>
      <c r="B849" s="1" t="s">
        <v>3798</v>
      </c>
      <c r="C849" s="1" t="s">
        <v>3812</v>
      </c>
      <c r="D849" s="1" t="s">
        <v>3855</v>
      </c>
      <c r="E849">
        <v>193856</v>
      </c>
      <c r="F849">
        <v>236969.67</v>
      </c>
      <c r="G849">
        <f t="shared" si="40"/>
        <v>-43113.670000000013</v>
      </c>
      <c r="H849">
        <v>-43113.67</v>
      </c>
      <c r="I849" s="3">
        <v>45602</v>
      </c>
      <c r="J849" s="1" t="s">
        <v>3782</v>
      </c>
      <c r="K849" s="1" t="s">
        <v>3783</v>
      </c>
      <c r="L849" s="1" t="s">
        <v>3800</v>
      </c>
      <c r="M849" s="1" t="s">
        <v>51</v>
      </c>
      <c r="N849" t="str">
        <f t="shared" si="41"/>
        <v>Expense</v>
      </c>
      <c r="O849" t="str">
        <f t="shared" si="42"/>
        <v/>
      </c>
    </row>
    <row r="850" spans="1:15" x14ac:dyDescent="0.25">
      <c r="A850" s="1" t="s">
        <v>4677</v>
      </c>
      <c r="B850" s="1" t="s">
        <v>3811</v>
      </c>
      <c r="C850" s="1" t="s">
        <v>3825</v>
      </c>
      <c r="D850" s="1" t="s">
        <v>3826</v>
      </c>
      <c r="E850">
        <v>285814</v>
      </c>
      <c r="F850">
        <v>274229.90999999997</v>
      </c>
      <c r="G850">
        <f t="shared" si="40"/>
        <v>11584.090000000026</v>
      </c>
      <c r="H850">
        <v>11584.09</v>
      </c>
      <c r="I850" s="3">
        <v>45024</v>
      </c>
      <c r="J850" s="1" t="s">
        <v>3790</v>
      </c>
      <c r="K850" s="1" t="s">
        <v>3783</v>
      </c>
      <c r="L850" s="1" t="s">
        <v>3784</v>
      </c>
      <c r="M850" s="1" t="s">
        <v>51</v>
      </c>
      <c r="N850" t="str">
        <f t="shared" si="41"/>
        <v>Expense</v>
      </c>
      <c r="O850" t="str">
        <f t="shared" si="42"/>
        <v/>
      </c>
    </row>
    <row r="851" spans="1:15" x14ac:dyDescent="0.25">
      <c r="A851" s="1" t="s">
        <v>4678</v>
      </c>
      <c r="B851" s="1" t="s">
        <v>3808</v>
      </c>
      <c r="C851" s="1" t="s">
        <v>3815</v>
      </c>
      <c r="D851" s="1" t="s">
        <v>3837</v>
      </c>
      <c r="E851">
        <v>154986</v>
      </c>
      <c r="F851">
        <v>172437.2</v>
      </c>
      <c r="G851">
        <f t="shared" si="40"/>
        <v>-17451.200000000012</v>
      </c>
      <c r="H851">
        <v>-17451.2</v>
      </c>
      <c r="I851" s="3">
        <v>45704</v>
      </c>
      <c r="J851" s="1" t="s">
        <v>3790</v>
      </c>
      <c r="K851" s="1" t="s">
        <v>3803</v>
      </c>
      <c r="L851" s="1" t="s">
        <v>3800</v>
      </c>
      <c r="M851" s="1" t="s">
        <v>3831</v>
      </c>
      <c r="N851" t="str">
        <f t="shared" si="41"/>
        <v>Expense</v>
      </c>
      <c r="O851" t="str">
        <f t="shared" si="42"/>
        <v/>
      </c>
    </row>
    <row r="852" spans="1:15" x14ac:dyDescent="0.25">
      <c r="A852" s="1" t="s">
        <v>4679</v>
      </c>
      <c r="B852" s="1" t="s">
        <v>3839</v>
      </c>
      <c r="C852" s="1" t="s">
        <v>3821</v>
      </c>
      <c r="D852" s="1" t="s">
        <v>3802</v>
      </c>
      <c r="E852">
        <v>109902</v>
      </c>
      <c r="F852">
        <v>138749.79999999999</v>
      </c>
      <c r="G852">
        <f t="shared" si="40"/>
        <v>-28847.799999999988</v>
      </c>
      <c r="H852">
        <v>-28847.8</v>
      </c>
      <c r="I852" s="3">
        <v>45601</v>
      </c>
      <c r="J852" s="1" t="s">
        <v>3790</v>
      </c>
      <c r="K852" s="1" t="s">
        <v>3783</v>
      </c>
      <c r="L852" s="1" t="s">
        <v>3800</v>
      </c>
      <c r="M852" s="1" t="s">
        <v>51</v>
      </c>
      <c r="N852" t="str">
        <f t="shared" si="41"/>
        <v>Expense</v>
      </c>
      <c r="O852" t="str">
        <f t="shared" si="42"/>
        <v/>
      </c>
    </row>
    <row r="853" spans="1:15" x14ac:dyDescent="0.25">
      <c r="A853" s="1" t="s">
        <v>4680</v>
      </c>
      <c r="B853" s="1" t="s">
        <v>3808</v>
      </c>
      <c r="C853" s="1" t="s">
        <v>3788</v>
      </c>
      <c r="D853" s="1" t="s">
        <v>3837</v>
      </c>
      <c r="E853">
        <v>324040</v>
      </c>
      <c r="F853">
        <v>322243.25</v>
      </c>
      <c r="G853">
        <f t="shared" si="40"/>
        <v>1796.75</v>
      </c>
      <c r="H853">
        <v>1796.75</v>
      </c>
      <c r="I853" s="3">
        <v>45640</v>
      </c>
      <c r="J853" s="1" t="s">
        <v>3790</v>
      </c>
      <c r="K853" s="1" t="s">
        <v>3783</v>
      </c>
      <c r="L853" s="1" t="s">
        <v>3800</v>
      </c>
      <c r="M853" s="1" t="s">
        <v>3785</v>
      </c>
      <c r="N853" t="str">
        <f t="shared" si="41"/>
        <v>Expense</v>
      </c>
      <c r="O853" t="str">
        <f t="shared" si="42"/>
        <v/>
      </c>
    </row>
    <row r="854" spans="1:15" x14ac:dyDescent="0.25">
      <c r="A854" s="1" t="s">
        <v>4681</v>
      </c>
      <c r="B854" s="1" t="s">
        <v>3787</v>
      </c>
      <c r="C854" s="1" t="s">
        <v>3795</v>
      </c>
      <c r="D854" s="1" t="s">
        <v>3816</v>
      </c>
      <c r="E854">
        <v>1009569</v>
      </c>
      <c r="F854">
        <v>1256355.31</v>
      </c>
      <c r="G854">
        <f t="shared" si="40"/>
        <v>-246786.31000000006</v>
      </c>
      <c r="H854">
        <v>-246786.31</v>
      </c>
      <c r="I854" s="3">
        <v>44981</v>
      </c>
      <c r="J854" s="1" t="s">
        <v>3782</v>
      </c>
      <c r="K854" s="1" t="s">
        <v>3803</v>
      </c>
      <c r="L854" s="1" t="s">
        <v>3804</v>
      </c>
      <c r="M854" s="1" t="s">
        <v>51</v>
      </c>
      <c r="N854" t="str">
        <f t="shared" si="41"/>
        <v>Expense</v>
      </c>
      <c r="O854" t="str">
        <f t="shared" si="42"/>
        <v>Flag: High-Value Pending</v>
      </c>
    </row>
    <row r="855" spans="1:15" x14ac:dyDescent="0.25">
      <c r="A855" s="1" t="s">
        <v>4682</v>
      </c>
      <c r="B855" s="1" t="s">
        <v>3808</v>
      </c>
      <c r="C855" s="1" t="s">
        <v>3844</v>
      </c>
      <c r="D855" s="1" t="s">
        <v>3846</v>
      </c>
      <c r="E855">
        <v>141275</v>
      </c>
      <c r="F855">
        <v>160348.10999999999</v>
      </c>
      <c r="G855">
        <f t="shared" si="40"/>
        <v>-19073.109999999986</v>
      </c>
      <c r="H855">
        <v>-19073.11</v>
      </c>
      <c r="I855" s="3">
        <v>45394</v>
      </c>
      <c r="J855" s="1" t="s">
        <v>3790</v>
      </c>
      <c r="K855" s="1" t="s">
        <v>3823</v>
      </c>
      <c r="L855" s="1" t="s">
        <v>3800</v>
      </c>
      <c r="M855" s="1" t="s">
        <v>51</v>
      </c>
      <c r="N855" t="str">
        <f t="shared" si="41"/>
        <v>Expense</v>
      </c>
      <c r="O855" t="str">
        <f t="shared" si="42"/>
        <v/>
      </c>
    </row>
    <row r="856" spans="1:15" x14ac:dyDescent="0.25">
      <c r="A856" s="1" t="s">
        <v>4683</v>
      </c>
      <c r="B856" s="1" t="s">
        <v>3839</v>
      </c>
      <c r="C856" s="1" t="s">
        <v>3780</v>
      </c>
      <c r="D856" s="1" t="s">
        <v>3895</v>
      </c>
      <c r="E856">
        <v>30137</v>
      </c>
      <c r="F856">
        <v>32641.68</v>
      </c>
      <c r="G856">
        <f t="shared" si="40"/>
        <v>-2504.6800000000003</v>
      </c>
      <c r="H856">
        <v>-2504.6799999999998</v>
      </c>
      <c r="I856" s="3">
        <v>44969</v>
      </c>
      <c r="J856" s="1" t="s">
        <v>3790</v>
      </c>
      <c r="K856" s="1" t="s">
        <v>3803</v>
      </c>
      <c r="L856" s="1" t="s">
        <v>3804</v>
      </c>
      <c r="M856" s="1" t="s">
        <v>51</v>
      </c>
      <c r="N856" t="str">
        <f t="shared" si="41"/>
        <v>Expense</v>
      </c>
      <c r="O856" t="str">
        <f t="shared" si="42"/>
        <v/>
      </c>
    </row>
    <row r="857" spans="1:15" x14ac:dyDescent="0.25">
      <c r="A857" s="1" t="s">
        <v>4684</v>
      </c>
      <c r="B857" s="1" t="s">
        <v>3794</v>
      </c>
      <c r="C857" s="1" t="s">
        <v>3795</v>
      </c>
      <c r="D857" s="1" t="s">
        <v>3850</v>
      </c>
      <c r="E857">
        <v>65763</v>
      </c>
      <c r="F857">
        <v>74023.31</v>
      </c>
      <c r="G857">
        <f t="shared" si="40"/>
        <v>-8260.3099999999977</v>
      </c>
      <c r="H857">
        <v>-8260.31</v>
      </c>
      <c r="I857" s="3">
        <v>45048</v>
      </c>
      <c r="J857" s="1" t="s">
        <v>3782</v>
      </c>
      <c r="K857" s="1" t="s">
        <v>3823</v>
      </c>
      <c r="L857" s="1" t="s">
        <v>3784</v>
      </c>
      <c r="M857" s="1" t="s">
        <v>3831</v>
      </c>
      <c r="N857" t="str">
        <f t="shared" si="41"/>
        <v>Expense</v>
      </c>
      <c r="O857" t="str">
        <f t="shared" si="42"/>
        <v/>
      </c>
    </row>
    <row r="858" spans="1:15" x14ac:dyDescent="0.25">
      <c r="A858" s="1" t="s">
        <v>4685</v>
      </c>
      <c r="B858" s="1" t="s">
        <v>3839</v>
      </c>
      <c r="C858" s="1" t="s">
        <v>3795</v>
      </c>
      <c r="D858" s="1" t="s">
        <v>3834</v>
      </c>
      <c r="E858">
        <v>29660</v>
      </c>
      <c r="F858">
        <v>25504.05</v>
      </c>
      <c r="G858">
        <f t="shared" si="40"/>
        <v>4155.9500000000007</v>
      </c>
      <c r="H858">
        <v>4155.95</v>
      </c>
      <c r="I858" s="3">
        <v>45221</v>
      </c>
      <c r="J858" s="1" t="s">
        <v>3790</v>
      </c>
      <c r="K858" s="1" t="s">
        <v>3823</v>
      </c>
      <c r="L858" s="1" t="s">
        <v>3784</v>
      </c>
      <c r="M858" s="1" t="s">
        <v>3831</v>
      </c>
      <c r="N858" t="str">
        <f t="shared" si="41"/>
        <v>Expense</v>
      </c>
      <c r="O858" t="str">
        <f t="shared" si="42"/>
        <v/>
      </c>
    </row>
    <row r="859" spans="1:15" x14ac:dyDescent="0.25">
      <c r="A859" s="1" t="s">
        <v>4686</v>
      </c>
      <c r="B859" s="1" t="s">
        <v>3787</v>
      </c>
      <c r="C859" s="1" t="s">
        <v>3825</v>
      </c>
      <c r="D859" s="1" t="s">
        <v>3826</v>
      </c>
      <c r="E859">
        <v>338211</v>
      </c>
      <c r="F859">
        <v>342254.12</v>
      </c>
      <c r="G859">
        <f t="shared" si="40"/>
        <v>-4043.1199999999953</v>
      </c>
      <c r="H859">
        <v>-4043.12</v>
      </c>
      <c r="I859" s="3">
        <v>45070</v>
      </c>
      <c r="J859" s="1" t="s">
        <v>3790</v>
      </c>
      <c r="K859" s="1" t="s">
        <v>3791</v>
      </c>
      <c r="L859" s="1" t="s">
        <v>3784</v>
      </c>
      <c r="M859" s="1" t="s">
        <v>3792</v>
      </c>
      <c r="N859" t="str">
        <f t="shared" si="41"/>
        <v>Expense</v>
      </c>
      <c r="O859" t="str">
        <f t="shared" si="42"/>
        <v/>
      </c>
    </row>
    <row r="860" spans="1:15" x14ac:dyDescent="0.25">
      <c r="A860" s="1" t="s">
        <v>4687</v>
      </c>
      <c r="B860" s="1" t="s">
        <v>3798</v>
      </c>
      <c r="C860" s="1" t="s">
        <v>3815</v>
      </c>
      <c r="D860" s="1" t="s">
        <v>3816</v>
      </c>
      <c r="E860">
        <v>430475</v>
      </c>
      <c r="F860">
        <v>434488.96</v>
      </c>
      <c r="G860">
        <f t="shared" si="40"/>
        <v>-4013.960000000021</v>
      </c>
      <c r="H860">
        <v>-4013.96</v>
      </c>
      <c r="I860" s="3">
        <v>45568</v>
      </c>
      <c r="J860" s="1" t="s">
        <v>3790</v>
      </c>
      <c r="K860" s="1" t="s">
        <v>3823</v>
      </c>
      <c r="L860" s="1" t="s">
        <v>3800</v>
      </c>
      <c r="M860" s="1" t="s">
        <v>3785</v>
      </c>
      <c r="N860" t="str">
        <f t="shared" si="41"/>
        <v>Expense</v>
      </c>
      <c r="O860" t="str">
        <f t="shared" si="42"/>
        <v/>
      </c>
    </row>
    <row r="861" spans="1:15" x14ac:dyDescent="0.25">
      <c r="A861" s="1" t="s">
        <v>4688</v>
      </c>
      <c r="B861" s="1" t="s">
        <v>3787</v>
      </c>
      <c r="C861" s="1" t="s">
        <v>3795</v>
      </c>
      <c r="D861" s="1" t="s">
        <v>3834</v>
      </c>
      <c r="E861">
        <v>386919</v>
      </c>
      <c r="F861">
        <v>409039.34</v>
      </c>
      <c r="G861">
        <f t="shared" si="40"/>
        <v>-22120.340000000026</v>
      </c>
      <c r="H861">
        <v>-22120.34</v>
      </c>
      <c r="I861" s="3">
        <v>45548</v>
      </c>
      <c r="J861" s="1" t="s">
        <v>3790</v>
      </c>
      <c r="K861" s="1" t="s">
        <v>3823</v>
      </c>
      <c r="L861" s="1" t="s">
        <v>3800</v>
      </c>
      <c r="M861" s="1" t="s">
        <v>51</v>
      </c>
      <c r="N861" t="str">
        <f t="shared" si="41"/>
        <v>Expense</v>
      </c>
      <c r="O861" t="str">
        <f t="shared" si="42"/>
        <v/>
      </c>
    </row>
    <row r="862" spans="1:15" x14ac:dyDescent="0.25">
      <c r="A862" s="1" t="s">
        <v>4689</v>
      </c>
      <c r="B862" s="1" t="s">
        <v>3828</v>
      </c>
      <c r="C862" s="1" t="s">
        <v>3821</v>
      </c>
      <c r="D862" s="1" t="s">
        <v>3867</v>
      </c>
      <c r="E862">
        <v>198311</v>
      </c>
      <c r="F862">
        <v>202285.82</v>
      </c>
      <c r="G862">
        <f t="shared" si="40"/>
        <v>-3974.820000000007</v>
      </c>
      <c r="H862">
        <v>-3974.82</v>
      </c>
      <c r="I862" s="3">
        <v>45609</v>
      </c>
      <c r="J862" s="1" t="s">
        <v>3782</v>
      </c>
      <c r="K862" s="1" t="s">
        <v>3823</v>
      </c>
      <c r="L862" s="1" t="s">
        <v>3800</v>
      </c>
      <c r="M862" s="1" t="s">
        <v>3792</v>
      </c>
      <c r="N862" t="str">
        <f t="shared" si="41"/>
        <v>Expense</v>
      </c>
      <c r="O862" t="str">
        <f t="shared" si="42"/>
        <v/>
      </c>
    </row>
    <row r="863" spans="1:15" x14ac:dyDescent="0.25">
      <c r="A863" s="1" t="s">
        <v>4690</v>
      </c>
      <c r="B863" s="1" t="s">
        <v>3811</v>
      </c>
      <c r="C863" s="1" t="s">
        <v>3812</v>
      </c>
      <c r="D863" s="1" t="s">
        <v>3826</v>
      </c>
      <c r="E863">
        <v>270513</v>
      </c>
      <c r="F863">
        <v>296890.17</v>
      </c>
      <c r="G863">
        <f t="shared" si="40"/>
        <v>-26377.169999999984</v>
      </c>
      <c r="H863">
        <v>-26377.17</v>
      </c>
      <c r="I863" s="3">
        <v>45436</v>
      </c>
      <c r="J863" s="1" t="s">
        <v>3782</v>
      </c>
      <c r="K863" s="1" t="s">
        <v>3783</v>
      </c>
      <c r="L863" s="1" t="s">
        <v>3800</v>
      </c>
      <c r="M863" s="1" t="s">
        <v>3792</v>
      </c>
      <c r="N863" t="str">
        <f t="shared" si="41"/>
        <v>Expense</v>
      </c>
      <c r="O863" t="str">
        <f t="shared" si="42"/>
        <v>Flag: High-Value Pending</v>
      </c>
    </row>
    <row r="864" spans="1:15" x14ac:dyDescent="0.25">
      <c r="A864" s="1" t="s">
        <v>4691</v>
      </c>
      <c r="B864" s="1" t="s">
        <v>3839</v>
      </c>
      <c r="C864" s="1" t="s">
        <v>3780</v>
      </c>
      <c r="D864" s="1" t="s">
        <v>3834</v>
      </c>
      <c r="E864">
        <v>81879</v>
      </c>
      <c r="F864">
        <v>104151.21</v>
      </c>
      <c r="G864">
        <f t="shared" si="40"/>
        <v>-22272.210000000006</v>
      </c>
      <c r="H864">
        <v>-22272.21</v>
      </c>
      <c r="I864" s="3">
        <v>45492</v>
      </c>
      <c r="J864" s="1" t="s">
        <v>3859</v>
      </c>
      <c r="K864" s="1" t="s">
        <v>3803</v>
      </c>
      <c r="L864" s="1" t="s">
        <v>3800</v>
      </c>
      <c r="M864" s="1" t="s">
        <v>51</v>
      </c>
      <c r="N864" t="str">
        <f t="shared" si="41"/>
        <v>Expense</v>
      </c>
      <c r="O864" t="str">
        <f t="shared" si="42"/>
        <v/>
      </c>
    </row>
    <row r="865" spans="1:15" x14ac:dyDescent="0.25">
      <c r="A865" s="1" t="s">
        <v>4692</v>
      </c>
      <c r="B865" s="1" t="s">
        <v>3787</v>
      </c>
      <c r="C865" s="1" t="s">
        <v>3848</v>
      </c>
      <c r="D865" s="1" t="s">
        <v>3802</v>
      </c>
      <c r="E865">
        <v>367595</v>
      </c>
      <c r="F865">
        <v>430319.99</v>
      </c>
      <c r="G865">
        <f t="shared" si="40"/>
        <v>-62724.989999999991</v>
      </c>
      <c r="H865">
        <v>-62724.99</v>
      </c>
      <c r="I865" s="3">
        <v>45076</v>
      </c>
      <c r="J865" s="1" t="s">
        <v>3790</v>
      </c>
      <c r="K865" s="1" t="s">
        <v>3783</v>
      </c>
      <c r="L865" s="1" t="s">
        <v>3784</v>
      </c>
      <c r="M865" s="1" t="s">
        <v>51</v>
      </c>
      <c r="N865" t="str">
        <f t="shared" si="41"/>
        <v>Expense</v>
      </c>
      <c r="O865" t="str">
        <f t="shared" si="42"/>
        <v/>
      </c>
    </row>
    <row r="866" spans="1:15" x14ac:dyDescent="0.25">
      <c r="A866" s="1" t="s">
        <v>4693</v>
      </c>
      <c r="B866" s="1" t="s">
        <v>3794</v>
      </c>
      <c r="C866" s="1" t="s">
        <v>3788</v>
      </c>
      <c r="D866" s="1" t="s">
        <v>3837</v>
      </c>
      <c r="E866">
        <v>289597</v>
      </c>
      <c r="F866">
        <v>282397.92</v>
      </c>
      <c r="G866">
        <f t="shared" si="40"/>
        <v>7199.0800000000163</v>
      </c>
      <c r="H866">
        <v>7199.08</v>
      </c>
      <c r="I866" s="3">
        <v>45257</v>
      </c>
      <c r="J866" s="1" t="s">
        <v>3790</v>
      </c>
      <c r="K866" s="1" t="s">
        <v>3783</v>
      </c>
      <c r="L866" s="1" t="s">
        <v>3784</v>
      </c>
      <c r="M866" s="1" t="s">
        <v>51</v>
      </c>
      <c r="N866" t="str">
        <f t="shared" si="41"/>
        <v>Expense</v>
      </c>
      <c r="O866" t="str">
        <f t="shared" si="42"/>
        <v/>
      </c>
    </row>
    <row r="867" spans="1:15" x14ac:dyDescent="0.25">
      <c r="A867" s="1" t="s">
        <v>4694</v>
      </c>
      <c r="B867" s="1" t="s">
        <v>3808</v>
      </c>
      <c r="C867" s="1" t="s">
        <v>3795</v>
      </c>
      <c r="D867" s="1" t="s">
        <v>3789</v>
      </c>
      <c r="E867">
        <v>444300</v>
      </c>
      <c r="G867" t="str">
        <f t="shared" si="40"/>
        <v/>
      </c>
      <c r="H867">
        <v>-23709.82</v>
      </c>
      <c r="I867" s="3">
        <v>45088</v>
      </c>
      <c r="J867" s="1" t="s">
        <v>3790</v>
      </c>
      <c r="K867" s="1" t="s">
        <v>3803</v>
      </c>
      <c r="L867" s="1" t="s">
        <v>3784</v>
      </c>
      <c r="M867" s="1" t="s">
        <v>51</v>
      </c>
      <c r="N867" t="str">
        <f t="shared" si="41"/>
        <v>Expense</v>
      </c>
      <c r="O867" t="str">
        <f t="shared" si="42"/>
        <v/>
      </c>
    </row>
    <row r="868" spans="1:15" x14ac:dyDescent="0.25">
      <c r="A868" s="1" t="s">
        <v>4695</v>
      </c>
      <c r="B868" s="1" t="s">
        <v>3787</v>
      </c>
      <c r="C868" s="1" t="s">
        <v>3806</v>
      </c>
      <c r="D868" s="1" t="s">
        <v>3867</v>
      </c>
      <c r="E868">
        <v>229406</v>
      </c>
      <c r="F868">
        <v>256266.91</v>
      </c>
      <c r="G868">
        <f t="shared" si="40"/>
        <v>-26860.910000000003</v>
      </c>
      <c r="H868">
        <v>-26860.91</v>
      </c>
      <c r="I868" s="3">
        <v>45089</v>
      </c>
      <c r="J868" s="1" t="s">
        <v>3790</v>
      </c>
      <c r="K868" s="1" t="s">
        <v>3791</v>
      </c>
      <c r="L868" s="1" t="s">
        <v>3784</v>
      </c>
      <c r="M868" s="1" t="s">
        <v>3792</v>
      </c>
      <c r="N868" t="str">
        <f t="shared" si="41"/>
        <v>Expense</v>
      </c>
      <c r="O868" t="str">
        <f t="shared" si="42"/>
        <v/>
      </c>
    </row>
    <row r="869" spans="1:15" x14ac:dyDescent="0.25">
      <c r="A869" s="1" t="s">
        <v>4696</v>
      </c>
      <c r="B869" s="1" t="s">
        <v>3828</v>
      </c>
      <c r="C869" s="1" t="s">
        <v>3780</v>
      </c>
      <c r="D869" s="1" t="s">
        <v>3895</v>
      </c>
      <c r="E869">
        <v>433873</v>
      </c>
      <c r="F869">
        <v>471343.29</v>
      </c>
      <c r="G869">
        <f t="shared" si="40"/>
        <v>-37470.289999999979</v>
      </c>
      <c r="H869">
        <v>-37470.29</v>
      </c>
      <c r="I869" s="3">
        <v>45554</v>
      </c>
      <c r="J869" s="1" t="s">
        <v>3790</v>
      </c>
      <c r="K869" s="1" t="s">
        <v>3791</v>
      </c>
      <c r="L869" s="1" t="s">
        <v>3800</v>
      </c>
      <c r="M869" s="1" t="s">
        <v>3809</v>
      </c>
      <c r="N869" t="str">
        <f t="shared" si="41"/>
        <v>Expense</v>
      </c>
      <c r="O869" t="str">
        <f t="shared" si="42"/>
        <v/>
      </c>
    </row>
    <row r="870" spans="1:15" x14ac:dyDescent="0.25">
      <c r="A870" s="1" t="s">
        <v>4697</v>
      </c>
      <c r="B870" s="1" t="s">
        <v>3828</v>
      </c>
      <c r="C870" s="1" t="s">
        <v>3861</v>
      </c>
      <c r="D870" s="1" t="s">
        <v>3813</v>
      </c>
      <c r="E870">
        <v>412046</v>
      </c>
      <c r="F870">
        <v>414572.17</v>
      </c>
      <c r="G870">
        <f t="shared" si="40"/>
        <v>-2526.1699999999837</v>
      </c>
      <c r="H870">
        <v>-2526.17</v>
      </c>
      <c r="I870" s="3">
        <v>45433</v>
      </c>
      <c r="J870" s="1" t="s">
        <v>3790</v>
      </c>
      <c r="K870" s="1" t="s">
        <v>3803</v>
      </c>
      <c r="L870" s="1" t="s">
        <v>3800</v>
      </c>
      <c r="M870" s="1" t="s">
        <v>51</v>
      </c>
      <c r="N870" t="str">
        <f t="shared" si="41"/>
        <v>Expense</v>
      </c>
      <c r="O870" t="str">
        <f t="shared" si="42"/>
        <v/>
      </c>
    </row>
    <row r="871" spans="1:15" x14ac:dyDescent="0.25">
      <c r="A871" s="1" t="s">
        <v>4698</v>
      </c>
      <c r="B871" s="1" t="s">
        <v>3828</v>
      </c>
      <c r="C871" s="1" t="s">
        <v>3780</v>
      </c>
      <c r="D871" s="1" t="s">
        <v>3826</v>
      </c>
      <c r="E871">
        <v>352830</v>
      </c>
      <c r="F871">
        <v>323583.27</v>
      </c>
      <c r="G871">
        <f t="shared" si="40"/>
        <v>29246.729999999981</v>
      </c>
      <c r="H871">
        <v>29246.73</v>
      </c>
      <c r="I871" s="3">
        <v>45336</v>
      </c>
      <c r="J871" s="1" t="s">
        <v>3790</v>
      </c>
      <c r="K871" s="1" t="s">
        <v>3823</v>
      </c>
      <c r="L871" s="1" t="s">
        <v>3784</v>
      </c>
      <c r="M871" s="1" t="s">
        <v>51</v>
      </c>
      <c r="N871" t="str">
        <f t="shared" si="41"/>
        <v>Expense</v>
      </c>
      <c r="O871" t="str">
        <f t="shared" si="42"/>
        <v/>
      </c>
    </row>
    <row r="872" spans="1:15" x14ac:dyDescent="0.25">
      <c r="A872" s="1" t="s">
        <v>4699</v>
      </c>
      <c r="B872" s="1" t="s">
        <v>3839</v>
      </c>
      <c r="C872" s="1" t="s">
        <v>3806</v>
      </c>
      <c r="D872" s="1" t="s">
        <v>3837</v>
      </c>
      <c r="E872">
        <v>83091</v>
      </c>
      <c r="F872">
        <v>80652.12</v>
      </c>
      <c r="G872">
        <f t="shared" si="40"/>
        <v>2438.8800000000047</v>
      </c>
      <c r="H872">
        <v>2438.88</v>
      </c>
      <c r="I872" s="3">
        <v>44967</v>
      </c>
      <c r="J872" s="1" t="s">
        <v>3790</v>
      </c>
      <c r="K872" s="1" t="s">
        <v>3823</v>
      </c>
      <c r="L872" s="1" t="s">
        <v>3804</v>
      </c>
      <c r="M872" s="1" t="s">
        <v>51</v>
      </c>
      <c r="N872" t="str">
        <f t="shared" si="41"/>
        <v>Expense</v>
      </c>
      <c r="O872" t="str">
        <f t="shared" si="42"/>
        <v/>
      </c>
    </row>
    <row r="873" spans="1:15" x14ac:dyDescent="0.25">
      <c r="A873" s="1" t="s">
        <v>4700</v>
      </c>
      <c r="B873" s="1" t="s">
        <v>3798</v>
      </c>
      <c r="C873" s="1" t="s">
        <v>3795</v>
      </c>
      <c r="D873" s="1" t="s">
        <v>3799</v>
      </c>
      <c r="E873">
        <v>489090</v>
      </c>
      <c r="F873">
        <v>508698.44</v>
      </c>
      <c r="G873">
        <f t="shared" si="40"/>
        <v>-19608.440000000002</v>
      </c>
      <c r="H873">
        <v>-19608.439999999999</v>
      </c>
      <c r="I873" s="3">
        <v>45437</v>
      </c>
      <c r="J873" s="1" t="s">
        <v>3790</v>
      </c>
      <c r="K873" s="1" t="s">
        <v>3823</v>
      </c>
      <c r="L873" s="1" t="s">
        <v>3800</v>
      </c>
      <c r="M873" s="1" t="s">
        <v>51</v>
      </c>
      <c r="N873" t="str">
        <f t="shared" si="41"/>
        <v>Expense</v>
      </c>
      <c r="O873" t="str">
        <f t="shared" si="42"/>
        <v/>
      </c>
    </row>
    <row r="874" spans="1:15" x14ac:dyDescent="0.25">
      <c r="A874" s="1" t="s">
        <v>4701</v>
      </c>
      <c r="B874" s="1" t="s">
        <v>3798</v>
      </c>
      <c r="C874" s="1" t="s">
        <v>3780</v>
      </c>
      <c r="D874" s="1" t="s">
        <v>3813</v>
      </c>
      <c r="E874">
        <v>53049</v>
      </c>
      <c r="F874">
        <v>62831.16</v>
      </c>
      <c r="G874">
        <f t="shared" si="40"/>
        <v>-9782.1600000000035</v>
      </c>
      <c r="H874">
        <v>-9782.16</v>
      </c>
      <c r="I874" s="3">
        <v>45161</v>
      </c>
      <c r="J874" s="1" t="s">
        <v>3859</v>
      </c>
      <c r="K874" s="1" t="s">
        <v>3803</v>
      </c>
      <c r="L874" s="1" t="s">
        <v>3784</v>
      </c>
      <c r="M874" s="1" t="s">
        <v>3809</v>
      </c>
      <c r="N874" t="str">
        <f t="shared" si="41"/>
        <v>Expense</v>
      </c>
      <c r="O874" t="str">
        <f t="shared" si="42"/>
        <v/>
      </c>
    </row>
    <row r="875" spans="1:15" x14ac:dyDescent="0.25">
      <c r="A875" s="1" t="s">
        <v>4702</v>
      </c>
      <c r="B875" s="1" t="s">
        <v>3787</v>
      </c>
      <c r="C875" s="1" t="s">
        <v>3821</v>
      </c>
      <c r="D875" s="1" t="s">
        <v>3781</v>
      </c>
      <c r="E875">
        <v>-263534</v>
      </c>
      <c r="F875">
        <v>274868.96000000002</v>
      </c>
      <c r="G875">
        <f t="shared" si="40"/>
        <v>-538402.96</v>
      </c>
      <c r="I875" s="3">
        <v>45085</v>
      </c>
      <c r="J875" s="1" t="s">
        <v>3859</v>
      </c>
      <c r="K875" s="1" t="s">
        <v>3783</v>
      </c>
      <c r="L875" s="1" t="s">
        <v>3784</v>
      </c>
      <c r="M875" s="1" t="s">
        <v>3809</v>
      </c>
      <c r="N875" t="str">
        <f t="shared" si="41"/>
        <v>Credit/Refund</v>
      </c>
      <c r="O875" t="str">
        <f t="shared" si="42"/>
        <v/>
      </c>
    </row>
    <row r="876" spans="1:15" x14ac:dyDescent="0.25">
      <c r="A876" s="1" t="s">
        <v>4703</v>
      </c>
      <c r="B876" s="1" t="s">
        <v>3798</v>
      </c>
      <c r="C876" s="1" t="s">
        <v>3812</v>
      </c>
      <c r="D876" s="1" t="s">
        <v>3799</v>
      </c>
      <c r="E876">
        <v>-314516</v>
      </c>
      <c r="F876">
        <v>275322.02</v>
      </c>
      <c r="G876">
        <f t="shared" si="40"/>
        <v>-589838.02</v>
      </c>
      <c r="H876">
        <v>39193.980000000003</v>
      </c>
      <c r="I876" s="3">
        <v>45094</v>
      </c>
      <c r="J876" s="1" t="s">
        <v>3782</v>
      </c>
      <c r="K876" s="1" t="s">
        <v>3823</v>
      </c>
      <c r="L876" s="1" t="s">
        <v>3784</v>
      </c>
      <c r="M876" s="1" t="s">
        <v>51</v>
      </c>
      <c r="N876" t="str">
        <f t="shared" si="41"/>
        <v>Credit/Refund</v>
      </c>
      <c r="O876" t="str">
        <f t="shared" si="42"/>
        <v/>
      </c>
    </row>
    <row r="877" spans="1:15" x14ac:dyDescent="0.25">
      <c r="A877" s="1" t="s">
        <v>4704</v>
      </c>
      <c r="B877" s="1" t="s">
        <v>3839</v>
      </c>
      <c r="C877" s="1" t="s">
        <v>3812</v>
      </c>
      <c r="D877" s="1" t="s">
        <v>3867</v>
      </c>
      <c r="E877">
        <v>390526</v>
      </c>
      <c r="F877">
        <v>476205.24</v>
      </c>
      <c r="G877">
        <f t="shared" si="40"/>
        <v>-85679.239999999991</v>
      </c>
      <c r="I877" s="3">
        <v>45217</v>
      </c>
      <c r="J877" s="1" t="s">
        <v>3790</v>
      </c>
      <c r="K877" s="1" t="s">
        <v>3823</v>
      </c>
      <c r="L877" s="1" t="s">
        <v>3784</v>
      </c>
      <c r="M877" s="1" t="s">
        <v>51</v>
      </c>
      <c r="N877" t="str">
        <f t="shared" si="41"/>
        <v>Expense</v>
      </c>
      <c r="O877" t="str">
        <f t="shared" si="42"/>
        <v/>
      </c>
    </row>
    <row r="878" spans="1:15" x14ac:dyDescent="0.25">
      <c r="A878" s="1" t="s">
        <v>4705</v>
      </c>
      <c r="B878" s="1" t="s">
        <v>3828</v>
      </c>
      <c r="C878" s="1" t="s">
        <v>3806</v>
      </c>
      <c r="D878" s="1" t="s">
        <v>3850</v>
      </c>
      <c r="E878">
        <v>162145</v>
      </c>
      <c r="F878">
        <v>130887.25</v>
      </c>
      <c r="G878">
        <f t="shared" si="40"/>
        <v>31257.75</v>
      </c>
      <c r="H878">
        <v>31257.75</v>
      </c>
      <c r="I878" s="3">
        <v>45269</v>
      </c>
      <c r="J878" s="1" t="s">
        <v>3790</v>
      </c>
      <c r="K878" s="1" t="s">
        <v>3791</v>
      </c>
      <c r="L878" s="1" t="s">
        <v>3784</v>
      </c>
      <c r="M878" s="1" t="s">
        <v>3809</v>
      </c>
      <c r="N878" t="str">
        <f t="shared" si="41"/>
        <v>Expense</v>
      </c>
      <c r="O878" t="str">
        <f t="shared" si="42"/>
        <v/>
      </c>
    </row>
    <row r="879" spans="1:15" x14ac:dyDescent="0.25">
      <c r="A879" s="1" t="s">
        <v>4706</v>
      </c>
      <c r="B879" s="1" t="s">
        <v>3787</v>
      </c>
      <c r="C879" s="1" t="s">
        <v>3821</v>
      </c>
      <c r="D879" s="1" t="s">
        <v>3799</v>
      </c>
      <c r="E879">
        <v>389446</v>
      </c>
      <c r="F879">
        <v>441845.35</v>
      </c>
      <c r="G879">
        <f t="shared" si="40"/>
        <v>-52399.349999999977</v>
      </c>
      <c r="H879">
        <v>-52399.35</v>
      </c>
      <c r="I879" s="3">
        <v>45229</v>
      </c>
      <c r="J879" s="1" t="s">
        <v>3790</v>
      </c>
      <c r="K879" s="1" t="s">
        <v>3823</v>
      </c>
      <c r="L879" s="1" t="s">
        <v>3784</v>
      </c>
      <c r="M879" s="1" t="s">
        <v>3785</v>
      </c>
      <c r="N879" t="str">
        <f t="shared" si="41"/>
        <v>Expense</v>
      </c>
      <c r="O879" t="str">
        <f t="shared" si="42"/>
        <v/>
      </c>
    </row>
    <row r="880" spans="1:15" x14ac:dyDescent="0.25">
      <c r="A880" s="1" t="s">
        <v>4707</v>
      </c>
      <c r="B880" s="1" t="s">
        <v>3839</v>
      </c>
      <c r="C880" s="1" t="s">
        <v>3861</v>
      </c>
      <c r="D880" s="1" t="s">
        <v>3789</v>
      </c>
      <c r="E880">
        <v>459009</v>
      </c>
      <c r="F880">
        <v>566572.53</v>
      </c>
      <c r="G880">
        <f t="shared" si="40"/>
        <v>-107563.53000000003</v>
      </c>
      <c r="H880">
        <v>-107563.53</v>
      </c>
      <c r="I880" s="3">
        <v>45107</v>
      </c>
      <c r="J880" s="1" t="s">
        <v>3782</v>
      </c>
      <c r="K880" s="1" t="s">
        <v>3803</v>
      </c>
      <c r="L880" s="1" t="s">
        <v>3784</v>
      </c>
      <c r="M880" s="1" t="s">
        <v>51</v>
      </c>
      <c r="N880" t="str">
        <f t="shared" si="41"/>
        <v>Expense</v>
      </c>
      <c r="O880" t="str">
        <f t="shared" si="42"/>
        <v>Flag: High-Value Pending</v>
      </c>
    </row>
    <row r="881" spans="1:15" x14ac:dyDescent="0.25">
      <c r="A881" s="1" t="s">
        <v>4708</v>
      </c>
      <c r="B881" s="1" t="s">
        <v>3794</v>
      </c>
      <c r="C881" s="1" t="s">
        <v>3795</v>
      </c>
      <c r="D881" s="1" t="s">
        <v>3837</v>
      </c>
      <c r="E881">
        <v>190747</v>
      </c>
      <c r="F881">
        <v>213302.01</v>
      </c>
      <c r="G881">
        <f t="shared" si="40"/>
        <v>-22555.010000000009</v>
      </c>
      <c r="H881">
        <v>-22555.01</v>
      </c>
      <c r="I881" s="3">
        <v>45219</v>
      </c>
      <c r="J881" s="1" t="s">
        <v>3782</v>
      </c>
      <c r="K881" s="1" t="s">
        <v>3783</v>
      </c>
      <c r="L881" s="1" t="s">
        <v>3784</v>
      </c>
      <c r="M881" s="1" t="s">
        <v>3809</v>
      </c>
      <c r="N881" t="str">
        <f t="shared" si="41"/>
        <v>Expense</v>
      </c>
      <c r="O881" t="str">
        <f t="shared" si="42"/>
        <v/>
      </c>
    </row>
    <row r="882" spans="1:15" x14ac:dyDescent="0.25">
      <c r="A882" s="1" t="s">
        <v>4709</v>
      </c>
      <c r="B882" s="1" t="s">
        <v>3811</v>
      </c>
      <c r="C882" s="1" t="s">
        <v>4878</v>
      </c>
      <c r="D882" s="1" t="s">
        <v>3895</v>
      </c>
      <c r="E882">
        <v>328626</v>
      </c>
      <c r="F882">
        <v>393670.11</v>
      </c>
      <c r="G882">
        <f t="shared" si="40"/>
        <v>-65044.109999999986</v>
      </c>
      <c r="H882">
        <v>-65044.11</v>
      </c>
      <c r="I882" s="3">
        <v>45310</v>
      </c>
      <c r="J882" s="1" t="s">
        <v>3782</v>
      </c>
      <c r="K882" s="1" t="s">
        <v>3791</v>
      </c>
      <c r="L882" s="1" t="s">
        <v>3784</v>
      </c>
      <c r="M882" s="1" t="s">
        <v>3817</v>
      </c>
      <c r="N882" t="str">
        <f t="shared" si="41"/>
        <v>Expense</v>
      </c>
      <c r="O882" t="str">
        <f t="shared" si="42"/>
        <v>Flag: High-Value Pending</v>
      </c>
    </row>
    <row r="883" spans="1:15" x14ac:dyDescent="0.25">
      <c r="A883" s="1" t="s">
        <v>4710</v>
      </c>
      <c r="B883" s="1" t="s">
        <v>3811</v>
      </c>
      <c r="C883" s="1" t="s">
        <v>3825</v>
      </c>
      <c r="D883" s="1" t="s">
        <v>3813</v>
      </c>
      <c r="E883">
        <v>225579</v>
      </c>
      <c r="F883">
        <v>281255.76</v>
      </c>
      <c r="G883">
        <f t="shared" si="40"/>
        <v>-55676.760000000009</v>
      </c>
      <c r="I883" s="3">
        <v>45221</v>
      </c>
      <c r="J883" s="1" t="s">
        <v>3782</v>
      </c>
      <c r="K883" s="1" t="s">
        <v>3791</v>
      </c>
      <c r="L883" s="1" t="s">
        <v>3784</v>
      </c>
      <c r="M883" s="1" t="s">
        <v>3817</v>
      </c>
      <c r="N883" t="str">
        <f t="shared" si="41"/>
        <v>Expense</v>
      </c>
      <c r="O883" t="str">
        <f t="shared" si="42"/>
        <v>Flag: High-Value Pending</v>
      </c>
    </row>
    <row r="884" spans="1:15" x14ac:dyDescent="0.25">
      <c r="A884" s="1" t="s">
        <v>4711</v>
      </c>
      <c r="B884" s="1" t="s">
        <v>3808</v>
      </c>
      <c r="C884" s="1" t="s">
        <v>3825</v>
      </c>
      <c r="D884" s="1" t="s">
        <v>3822</v>
      </c>
      <c r="E884">
        <v>406692</v>
      </c>
      <c r="F884">
        <v>495019.41</v>
      </c>
      <c r="G884">
        <f t="shared" si="40"/>
        <v>-88327.409999999974</v>
      </c>
      <c r="H884">
        <v>-88327.41</v>
      </c>
      <c r="I884" s="3">
        <v>45205</v>
      </c>
      <c r="J884" s="1" t="s">
        <v>3790</v>
      </c>
      <c r="K884" s="1" t="s">
        <v>3791</v>
      </c>
      <c r="L884" s="1" t="s">
        <v>3784</v>
      </c>
      <c r="M884" s="1" t="s">
        <v>3792</v>
      </c>
      <c r="N884" t="str">
        <f t="shared" si="41"/>
        <v>Expense</v>
      </c>
      <c r="O884" t="str">
        <f t="shared" si="42"/>
        <v/>
      </c>
    </row>
    <row r="885" spans="1:15" x14ac:dyDescent="0.25">
      <c r="A885" s="1" t="s">
        <v>4712</v>
      </c>
      <c r="B885" s="1" t="s">
        <v>3798</v>
      </c>
      <c r="C885" s="1" t="s">
        <v>3844</v>
      </c>
      <c r="D885" s="1" t="s">
        <v>3796</v>
      </c>
      <c r="E885">
        <v>377199</v>
      </c>
      <c r="F885">
        <v>344024.27</v>
      </c>
      <c r="G885">
        <f t="shared" si="40"/>
        <v>33174.729999999981</v>
      </c>
      <c r="H885">
        <v>33174.730000000003</v>
      </c>
      <c r="I885" s="3">
        <v>45170</v>
      </c>
      <c r="J885" s="1" t="s">
        <v>3782</v>
      </c>
      <c r="K885" s="1" t="s">
        <v>3803</v>
      </c>
      <c r="L885" s="1" t="s">
        <v>3784</v>
      </c>
      <c r="M885" s="1" t="s">
        <v>3831</v>
      </c>
      <c r="N885" t="str">
        <f t="shared" si="41"/>
        <v>Expense</v>
      </c>
      <c r="O885" t="str">
        <f t="shared" si="42"/>
        <v>Flag: High-Value Pending</v>
      </c>
    </row>
    <row r="886" spans="1:15" x14ac:dyDescent="0.25">
      <c r="A886" s="1" t="s">
        <v>4713</v>
      </c>
      <c r="B886" s="1" t="s">
        <v>3787</v>
      </c>
      <c r="C886" s="1" t="s">
        <v>3821</v>
      </c>
      <c r="D886" s="1" t="s">
        <v>3802</v>
      </c>
      <c r="E886">
        <v>111710</v>
      </c>
      <c r="F886">
        <v>123408.52</v>
      </c>
      <c r="G886">
        <f t="shared" si="40"/>
        <v>-11698.520000000004</v>
      </c>
      <c r="H886">
        <v>-11698.52</v>
      </c>
      <c r="I886" s="3">
        <v>45324</v>
      </c>
      <c r="J886" s="1" t="s">
        <v>3790</v>
      </c>
      <c r="K886" s="1" t="s">
        <v>3823</v>
      </c>
      <c r="L886" s="1" t="s">
        <v>3784</v>
      </c>
      <c r="M886" s="1" t="s">
        <v>3817</v>
      </c>
      <c r="N886" t="str">
        <f t="shared" si="41"/>
        <v>Expense</v>
      </c>
      <c r="O886" t="str">
        <f t="shared" si="42"/>
        <v/>
      </c>
    </row>
    <row r="887" spans="1:15" x14ac:dyDescent="0.25">
      <c r="A887" s="1" t="s">
        <v>4714</v>
      </c>
      <c r="B887" s="1" t="s">
        <v>3828</v>
      </c>
      <c r="C887" s="1" t="s">
        <v>3844</v>
      </c>
      <c r="D887" s="1" t="s">
        <v>3813</v>
      </c>
      <c r="E887">
        <v>476868</v>
      </c>
      <c r="G887" t="str">
        <f t="shared" si="40"/>
        <v/>
      </c>
      <c r="H887">
        <v>70934.83</v>
      </c>
      <c r="I887" s="3">
        <v>45028</v>
      </c>
      <c r="J887" s="1" t="s">
        <v>3790</v>
      </c>
      <c r="K887" s="1" t="s">
        <v>3783</v>
      </c>
      <c r="L887" s="1" t="s">
        <v>3784</v>
      </c>
      <c r="M887" s="1" t="s">
        <v>3817</v>
      </c>
      <c r="N887" t="str">
        <f t="shared" si="41"/>
        <v>Expense</v>
      </c>
      <c r="O887" t="str">
        <f t="shared" si="42"/>
        <v/>
      </c>
    </row>
    <row r="888" spans="1:15" x14ac:dyDescent="0.25">
      <c r="A888" s="1" t="s">
        <v>4715</v>
      </c>
      <c r="B888" s="1" t="s">
        <v>3798</v>
      </c>
      <c r="C888" s="1" t="s">
        <v>3788</v>
      </c>
      <c r="D888" s="1" t="s">
        <v>3855</v>
      </c>
      <c r="E888">
        <v>395554</v>
      </c>
      <c r="F888">
        <v>367928.69</v>
      </c>
      <c r="G888">
        <f t="shared" si="40"/>
        <v>27625.309999999998</v>
      </c>
      <c r="H888">
        <v>27625.31</v>
      </c>
      <c r="I888" s="3">
        <v>45562</v>
      </c>
      <c r="J888" s="1" t="s">
        <v>3859</v>
      </c>
      <c r="K888" s="1" t="s">
        <v>3783</v>
      </c>
      <c r="L888" s="1" t="s">
        <v>3800</v>
      </c>
      <c r="M888" s="1" t="s">
        <v>3785</v>
      </c>
      <c r="N888" t="str">
        <f t="shared" si="41"/>
        <v>Expense</v>
      </c>
      <c r="O888" t="str">
        <f t="shared" si="42"/>
        <v>Flag: High-Value Rejected</v>
      </c>
    </row>
    <row r="889" spans="1:15" x14ac:dyDescent="0.25">
      <c r="A889" s="1" t="s">
        <v>4716</v>
      </c>
      <c r="B889" s="1" t="s">
        <v>3794</v>
      </c>
      <c r="C889" s="1" t="s">
        <v>3795</v>
      </c>
      <c r="D889" s="1" t="s">
        <v>3867</v>
      </c>
      <c r="E889">
        <v>360337</v>
      </c>
      <c r="F889">
        <v>414434.12</v>
      </c>
      <c r="G889">
        <f t="shared" si="40"/>
        <v>-54097.119999999995</v>
      </c>
      <c r="H889">
        <v>-54097.120000000003</v>
      </c>
      <c r="I889" s="3">
        <v>45028</v>
      </c>
      <c r="J889" s="1" t="s">
        <v>3790</v>
      </c>
      <c r="K889" s="1" t="s">
        <v>3791</v>
      </c>
      <c r="L889" s="1" t="s">
        <v>3784</v>
      </c>
      <c r="M889" s="1" t="s">
        <v>51</v>
      </c>
      <c r="N889" t="str">
        <f t="shared" si="41"/>
        <v>Expense</v>
      </c>
      <c r="O889" t="str">
        <f t="shared" si="42"/>
        <v/>
      </c>
    </row>
    <row r="890" spans="1:15" x14ac:dyDescent="0.25">
      <c r="A890" s="1" t="s">
        <v>4717</v>
      </c>
      <c r="B890" s="1" t="s">
        <v>3808</v>
      </c>
      <c r="C890" s="1" t="s">
        <v>3788</v>
      </c>
      <c r="D890" s="1" t="s">
        <v>3796</v>
      </c>
      <c r="E890">
        <v>351028</v>
      </c>
      <c r="F890">
        <v>385039.95</v>
      </c>
      <c r="G890">
        <f t="shared" si="40"/>
        <v>-34011.950000000012</v>
      </c>
      <c r="H890">
        <v>-34011.949999999997</v>
      </c>
      <c r="I890" s="3">
        <v>45639</v>
      </c>
      <c r="J890" s="1" t="s">
        <v>3790</v>
      </c>
      <c r="K890" s="1" t="s">
        <v>3791</v>
      </c>
      <c r="L890" s="1" t="s">
        <v>3800</v>
      </c>
      <c r="M890" s="1" t="s">
        <v>3792</v>
      </c>
      <c r="N890" t="str">
        <f t="shared" si="41"/>
        <v>Expense</v>
      </c>
      <c r="O890" t="str">
        <f t="shared" si="42"/>
        <v/>
      </c>
    </row>
    <row r="891" spans="1:15" x14ac:dyDescent="0.25">
      <c r="A891" s="1" t="s">
        <v>4718</v>
      </c>
      <c r="B891" s="1" t="s">
        <v>3794</v>
      </c>
      <c r="C891" s="1" t="s">
        <v>3858</v>
      </c>
      <c r="D891" s="1" t="s">
        <v>3850</v>
      </c>
      <c r="E891">
        <v>309529</v>
      </c>
      <c r="F891">
        <v>306562.45</v>
      </c>
      <c r="G891">
        <f t="shared" si="40"/>
        <v>2966.5499999999884</v>
      </c>
      <c r="H891">
        <v>2966.55</v>
      </c>
      <c r="I891" s="3">
        <v>45659</v>
      </c>
      <c r="J891" s="1" t="s">
        <v>3790</v>
      </c>
      <c r="K891" s="1" t="s">
        <v>3783</v>
      </c>
      <c r="L891" s="1" t="s">
        <v>3800</v>
      </c>
      <c r="M891" s="1" t="s">
        <v>51</v>
      </c>
      <c r="N891" t="str">
        <f t="shared" si="41"/>
        <v>Expense</v>
      </c>
      <c r="O891" t="str">
        <f t="shared" si="42"/>
        <v/>
      </c>
    </row>
    <row r="892" spans="1:15" x14ac:dyDescent="0.25">
      <c r="A892" s="1" t="s">
        <v>4719</v>
      </c>
      <c r="B892" s="1" t="s">
        <v>3828</v>
      </c>
      <c r="C892" s="1" t="s">
        <v>3844</v>
      </c>
      <c r="D892" s="1" t="s">
        <v>3834</v>
      </c>
      <c r="E892">
        <v>66495</v>
      </c>
      <c r="F892">
        <v>76533.45</v>
      </c>
      <c r="G892">
        <f t="shared" si="40"/>
        <v>-10038.449999999997</v>
      </c>
      <c r="I892" s="3">
        <v>45577</v>
      </c>
      <c r="J892" s="1" t="s">
        <v>3790</v>
      </c>
      <c r="K892" s="1" t="s">
        <v>3823</v>
      </c>
      <c r="L892" s="1" t="s">
        <v>3800</v>
      </c>
      <c r="M892" s="1" t="s">
        <v>3809</v>
      </c>
      <c r="N892" t="str">
        <f t="shared" si="41"/>
        <v>Expense</v>
      </c>
      <c r="O892" t="str">
        <f t="shared" si="42"/>
        <v/>
      </c>
    </row>
    <row r="893" spans="1:15" x14ac:dyDescent="0.25">
      <c r="A893" s="1" t="s">
        <v>4720</v>
      </c>
      <c r="B893" s="1" t="s">
        <v>3808</v>
      </c>
      <c r="C893" s="1" t="s">
        <v>3825</v>
      </c>
      <c r="D893" s="1" t="s">
        <v>3834</v>
      </c>
      <c r="E893">
        <v>420489</v>
      </c>
      <c r="F893">
        <v>490489.93</v>
      </c>
      <c r="G893">
        <f t="shared" si="40"/>
        <v>-70000.929999999993</v>
      </c>
      <c r="H893">
        <v>-70000.929999999993</v>
      </c>
      <c r="I893" s="3">
        <v>45397</v>
      </c>
      <c r="J893" s="1" t="s">
        <v>3790</v>
      </c>
      <c r="K893" s="1" t="s">
        <v>3791</v>
      </c>
      <c r="L893" s="1" t="s">
        <v>3800</v>
      </c>
      <c r="M893" s="1" t="s">
        <v>51</v>
      </c>
      <c r="N893" t="str">
        <f t="shared" si="41"/>
        <v>Expense</v>
      </c>
      <c r="O893" t="str">
        <f t="shared" si="42"/>
        <v/>
      </c>
    </row>
    <row r="894" spans="1:15" x14ac:dyDescent="0.25">
      <c r="A894" s="1" t="s">
        <v>4721</v>
      </c>
      <c r="B894" s="1" t="s">
        <v>3798</v>
      </c>
      <c r="C894" s="1" t="s">
        <v>3858</v>
      </c>
      <c r="D894" s="1" t="s">
        <v>3850</v>
      </c>
      <c r="E894">
        <v>284661</v>
      </c>
      <c r="F894">
        <v>274429.94</v>
      </c>
      <c r="G894">
        <f t="shared" si="40"/>
        <v>10231.059999999998</v>
      </c>
      <c r="H894">
        <v>10231.06</v>
      </c>
      <c r="I894" s="3">
        <v>45357</v>
      </c>
      <c r="J894" s="1" t="s">
        <v>3782</v>
      </c>
      <c r="K894" s="1" t="s">
        <v>3783</v>
      </c>
      <c r="L894" s="1" t="s">
        <v>3784</v>
      </c>
      <c r="M894" s="1" t="s">
        <v>51</v>
      </c>
      <c r="N894" t="str">
        <f t="shared" si="41"/>
        <v>Expense</v>
      </c>
      <c r="O894" t="str">
        <f t="shared" si="42"/>
        <v>Flag: High-Value Pending</v>
      </c>
    </row>
    <row r="895" spans="1:15" x14ac:dyDescent="0.25">
      <c r="A895" s="1" t="s">
        <v>4722</v>
      </c>
      <c r="B895" s="1" t="s">
        <v>3839</v>
      </c>
      <c r="C895" s="1" t="s">
        <v>3812</v>
      </c>
      <c r="D895" s="1" t="s">
        <v>3895</v>
      </c>
      <c r="E895">
        <v>458087</v>
      </c>
      <c r="F895">
        <v>503162.26</v>
      </c>
      <c r="G895">
        <f t="shared" si="40"/>
        <v>-45075.260000000009</v>
      </c>
      <c r="H895">
        <v>-45075.26</v>
      </c>
      <c r="I895" s="3">
        <v>44972</v>
      </c>
      <c r="J895" s="1" t="s">
        <v>3790</v>
      </c>
      <c r="K895" s="1" t="s">
        <v>3803</v>
      </c>
      <c r="L895" s="1" t="s">
        <v>3804</v>
      </c>
      <c r="M895" s="1" t="s">
        <v>51</v>
      </c>
      <c r="N895" t="str">
        <f t="shared" si="41"/>
        <v>Expense</v>
      </c>
      <c r="O895" t="str">
        <f t="shared" si="42"/>
        <v/>
      </c>
    </row>
    <row r="896" spans="1:15" x14ac:dyDescent="0.25">
      <c r="A896" s="1" t="s">
        <v>4723</v>
      </c>
      <c r="B896" s="1" t="s">
        <v>3828</v>
      </c>
      <c r="C896" s="1" t="s">
        <v>3858</v>
      </c>
      <c r="D896" s="1" t="s">
        <v>3834</v>
      </c>
      <c r="E896">
        <v>370541</v>
      </c>
      <c r="F896">
        <v>356161.54</v>
      </c>
      <c r="G896">
        <f t="shared" si="40"/>
        <v>14379.460000000021</v>
      </c>
      <c r="H896">
        <v>14379.46</v>
      </c>
      <c r="I896" s="3">
        <v>45681</v>
      </c>
      <c r="J896" s="1" t="s">
        <v>3790</v>
      </c>
      <c r="K896" s="1" t="s">
        <v>3803</v>
      </c>
      <c r="L896" s="1" t="s">
        <v>3800</v>
      </c>
      <c r="M896" s="1" t="s">
        <v>3809</v>
      </c>
      <c r="N896" t="str">
        <f t="shared" si="41"/>
        <v>Expense</v>
      </c>
      <c r="O896" t="str">
        <f t="shared" si="42"/>
        <v/>
      </c>
    </row>
    <row r="897" spans="1:15" x14ac:dyDescent="0.25">
      <c r="A897" s="1" t="s">
        <v>4724</v>
      </c>
      <c r="B897" s="1" t="s">
        <v>3787</v>
      </c>
      <c r="C897" s="1" t="s">
        <v>3788</v>
      </c>
      <c r="D897" s="1" t="s">
        <v>3789</v>
      </c>
      <c r="E897">
        <v>386744</v>
      </c>
      <c r="F897">
        <v>448470.01</v>
      </c>
      <c r="G897">
        <f t="shared" si="40"/>
        <v>-61726.010000000009</v>
      </c>
      <c r="H897">
        <v>-61726.01</v>
      </c>
      <c r="I897" s="3">
        <v>45210</v>
      </c>
      <c r="J897" s="1" t="s">
        <v>3790</v>
      </c>
      <c r="K897" s="1" t="s">
        <v>3791</v>
      </c>
      <c r="L897" s="1" t="s">
        <v>3784</v>
      </c>
      <c r="M897" s="1" t="s">
        <v>51</v>
      </c>
      <c r="N897" t="str">
        <f t="shared" si="41"/>
        <v>Expense</v>
      </c>
      <c r="O897" t="str">
        <f t="shared" si="42"/>
        <v/>
      </c>
    </row>
    <row r="898" spans="1:15" x14ac:dyDescent="0.25">
      <c r="A898" s="1" t="s">
        <v>4725</v>
      </c>
      <c r="B898" s="1" t="s">
        <v>3794</v>
      </c>
      <c r="C898" s="1" t="s">
        <v>3858</v>
      </c>
      <c r="D898" s="1" t="s">
        <v>3850</v>
      </c>
      <c r="E898">
        <v>239819</v>
      </c>
      <c r="F898">
        <v>252413.51</v>
      </c>
      <c r="G898">
        <f t="shared" ref="G898:G961" si="43">IF(F898="","",E898-F898)</f>
        <v>-12594.510000000009</v>
      </c>
      <c r="H898">
        <v>-12594.51</v>
      </c>
      <c r="I898" s="3">
        <v>45070</v>
      </c>
      <c r="J898" s="1" t="s">
        <v>3859</v>
      </c>
      <c r="K898" s="1" t="s">
        <v>3791</v>
      </c>
      <c r="L898" s="1" t="s">
        <v>3784</v>
      </c>
      <c r="M898" s="1" t="s">
        <v>3831</v>
      </c>
      <c r="N898" t="str">
        <f t="shared" si="41"/>
        <v>Expense</v>
      </c>
      <c r="O898" t="str">
        <f t="shared" si="42"/>
        <v>Flag: High-Value Rejected</v>
      </c>
    </row>
    <row r="899" spans="1:15" x14ac:dyDescent="0.25">
      <c r="A899" s="1" t="s">
        <v>4726</v>
      </c>
      <c r="B899" s="1" t="s">
        <v>3798</v>
      </c>
      <c r="C899" s="1" t="s">
        <v>3844</v>
      </c>
      <c r="D899" s="1" t="s">
        <v>3802</v>
      </c>
      <c r="E899">
        <v>396834</v>
      </c>
      <c r="F899">
        <v>335318.40999999997</v>
      </c>
      <c r="G899">
        <f t="shared" si="43"/>
        <v>61515.590000000026</v>
      </c>
      <c r="I899" s="3">
        <v>45041</v>
      </c>
      <c r="J899" s="1" t="s">
        <v>3859</v>
      </c>
      <c r="K899" s="1" t="s">
        <v>3783</v>
      </c>
      <c r="L899" s="1" t="s">
        <v>3784</v>
      </c>
      <c r="M899" s="1" t="s">
        <v>51</v>
      </c>
      <c r="N899" t="str">
        <f t="shared" ref="N899:N962" si="44">IF(E899&lt;0,"Credit/Refund","Expense")</f>
        <v>Expense</v>
      </c>
      <c r="O899" t="str">
        <f t="shared" ref="O899:O962" si="45">IF(AND(OR(J899="Pending",J899="Rejected"),E899&gt;200000),"Flag: High-Value "&amp;J899,"")</f>
        <v>Flag: High-Value Rejected</v>
      </c>
    </row>
    <row r="900" spans="1:15" x14ac:dyDescent="0.25">
      <c r="A900" s="1" t="s">
        <v>4727</v>
      </c>
      <c r="B900" s="1" t="s">
        <v>3839</v>
      </c>
      <c r="C900" s="1" t="s">
        <v>3858</v>
      </c>
      <c r="D900" s="1" t="s">
        <v>3846</v>
      </c>
      <c r="E900">
        <v>7916</v>
      </c>
      <c r="F900">
        <v>6849.37</v>
      </c>
      <c r="G900">
        <f t="shared" si="43"/>
        <v>1066.6300000000001</v>
      </c>
      <c r="H900">
        <v>1066.6300000000001</v>
      </c>
      <c r="I900" s="3">
        <v>44966</v>
      </c>
      <c r="J900" s="1" t="s">
        <v>3790</v>
      </c>
      <c r="K900" s="1" t="s">
        <v>3783</v>
      </c>
      <c r="L900" s="1" t="s">
        <v>3804</v>
      </c>
      <c r="M900" s="1" t="s">
        <v>51</v>
      </c>
      <c r="N900" t="str">
        <f t="shared" si="44"/>
        <v>Expense</v>
      </c>
      <c r="O900" t="str">
        <f t="shared" si="45"/>
        <v/>
      </c>
    </row>
    <row r="901" spans="1:15" x14ac:dyDescent="0.25">
      <c r="A901" s="1" t="s">
        <v>4728</v>
      </c>
      <c r="B901" s="1" t="s">
        <v>3798</v>
      </c>
      <c r="C901" s="1" t="s">
        <v>3780</v>
      </c>
      <c r="D901" s="1" t="s">
        <v>3816</v>
      </c>
      <c r="E901">
        <v>323243</v>
      </c>
      <c r="F901">
        <v>399059.48</v>
      </c>
      <c r="G901">
        <f t="shared" si="43"/>
        <v>-75816.479999999981</v>
      </c>
      <c r="H901">
        <v>-75816.479999999996</v>
      </c>
      <c r="I901" s="3">
        <v>45448</v>
      </c>
      <c r="J901" s="1" t="s">
        <v>3790</v>
      </c>
      <c r="K901" s="1" t="s">
        <v>3823</v>
      </c>
      <c r="L901" s="1" t="s">
        <v>3800</v>
      </c>
      <c r="M901" s="1" t="s">
        <v>3792</v>
      </c>
      <c r="N901" t="str">
        <f t="shared" si="44"/>
        <v>Expense</v>
      </c>
      <c r="O901" t="str">
        <f t="shared" si="45"/>
        <v/>
      </c>
    </row>
    <row r="902" spans="1:15" x14ac:dyDescent="0.25">
      <c r="A902" s="1" t="s">
        <v>4729</v>
      </c>
      <c r="B902" s="1" t="s">
        <v>3794</v>
      </c>
      <c r="C902" s="1" t="s">
        <v>3821</v>
      </c>
      <c r="D902" s="1" t="s">
        <v>3802</v>
      </c>
      <c r="E902">
        <v>398985</v>
      </c>
      <c r="F902">
        <v>395738.02</v>
      </c>
      <c r="G902">
        <f t="shared" si="43"/>
        <v>3246.9799999999814</v>
      </c>
      <c r="H902">
        <v>3246.98</v>
      </c>
      <c r="I902" s="3">
        <v>45036</v>
      </c>
      <c r="J902" s="1" t="s">
        <v>3790</v>
      </c>
      <c r="K902" s="1" t="s">
        <v>3823</v>
      </c>
      <c r="L902" s="1" t="s">
        <v>3784</v>
      </c>
      <c r="M902" s="1" t="s">
        <v>51</v>
      </c>
      <c r="N902" t="str">
        <f t="shared" si="44"/>
        <v>Expense</v>
      </c>
      <c r="O902" t="str">
        <f t="shared" si="45"/>
        <v/>
      </c>
    </row>
    <row r="903" spans="1:15" x14ac:dyDescent="0.25">
      <c r="A903" s="1" t="s">
        <v>4730</v>
      </c>
      <c r="B903" s="1" t="s">
        <v>3798</v>
      </c>
      <c r="C903" s="1" t="s">
        <v>3788</v>
      </c>
      <c r="D903" s="1" t="s">
        <v>3834</v>
      </c>
      <c r="E903">
        <v>343562</v>
      </c>
      <c r="F903">
        <v>410532.73</v>
      </c>
      <c r="G903">
        <f t="shared" si="43"/>
        <v>-66970.729999999981</v>
      </c>
      <c r="H903">
        <v>-66970.73</v>
      </c>
      <c r="I903" s="3">
        <v>45559</v>
      </c>
      <c r="J903" s="1" t="s">
        <v>3859</v>
      </c>
      <c r="K903" s="1" t="s">
        <v>3791</v>
      </c>
      <c r="L903" s="1" t="s">
        <v>3800</v>
      </c>
      <c r="M903" s="1" t="s">
        <v>51</v>
      </c>
      <c r="N903" t="str">
        <f t="shared" si="44"/>
        <v>Expense</v>
      </c>
      <c r="O903" t="str">
        <f t="shared" si="45"/>
        <v>Flag: High-Value Rejected</v>
      </c>
    </row>
    <row r="904" spans="1:15" x14ac:dyDescent="0.25">
      <c r="A904" s="1" t="s">
        <v>4731</v>
      </c>
      <c r="B904" s="1" t="s">
        <v>3794</v>
      </c>
      <c r="C904" s="1" t="s">
        <v>3815</v>
      </c>
      <c r="D904" s="1" t="s">
        <v>3846</v>
      </c>
      <c r="E904">
        <v>46352</v>
      </c>
      <c r="F904">
        <v>49435.68</v>
      </c>
      <c r="G904">
        <f t="shared" si="43"/>
        <v>-3083.6800000000003</v>
      </c>
      <c r="H904">
        <v>-3083.68</v>
      </c>
      <c r="I904" s="3">
        <v>45099</v>
      </c>
      <c r="J904" s="1" t="s">
        <v>3790</v>
      </c>
      <c r="K904" s="1" t="s">
        <v>3791</v>
      </c>
      <c r="L904" s="1" t="s">
        <v>3784</v>
      </c>
      <c r="M904" s="1" t="s">
        <v>3785</v>
      </c>
      <c r="N904" t="str">
        <f t="shared" si="44"/>
        <v>Expense</v>
      </c>
      <c r="O904" t="str">
        <f t="shared" si="45"/>
        <v/>
      </c>
    </row>
    <row r="905" spans="1:15" x14ac:dyDescent="0.25">
      <c r="A905" s="1" t="s">
        <v>4732</v>
      </c>
      <c r="B905" s="1" t="s">
        <v>3811</v>
      </c>
      <c r="C905" s="1" t="s">
        <v>3861</v>
      </c>
      <c r="D905" s="1" t="s">
        <v>3826</v>
      </c>
      <c r="E905">
        <v>248690</v>
      </c>
      <c r="F905">
        <v>310113.71000000002</v>
      </c>
      <c r="G905">
        <f t="shared" si="43"/>
        <v>-61423.710000000021</v>
      </c>
      <c r="H905">
        <v>-61423.71</v>
      </c>
      <c r="I905" s="3">
        <v>45597</v>
      </c>
      <c r="J905" s="1" t="s">
        <v>3790</v>
      </c>
      <c r="K905" s="1" t="s">
        <v>3791</v>
      </c>
      <c r="L905" s="1" t="s">
        <v>3800</v>
      </c>
      <c r="M905" s="1" t="s">
        <v>51</v>
      </c>
      <c r="N905" t="str">
        <f t="shared" si="44"/>
        <v>Expense</v>
      </c>
      <c r="O905" t="str">
        <f t="shared" si="45"/>
        <v/>
      </c>
    </row>
    <row r="906" spans="1:15" x14ac:dyDescent="0.25">
      <c r="A906" s="1" t="s">
        <v>4733</v>
      </c>
      <c r="B906" s="1" t="s">
        <v>3787</v>
      </c>
      <c r="C906" s="1" t="s">
        <v>3806</v>
      </c>
      <c r="D906" s="1" t="s">
        <v>3813</v>
      </c>
      <c r="E906">
        <v>486729</v>
      </c>
      <c r="F906">
        <v>517012.08</v>
      </c>
      <c r="G906">
        <f t="shared" si="43"/>
        <v>-30283.080000000016</v>
      </c>
      <c r="H906">
        <v>-30283.08</v>
      </c>
      <c r="I906" s="3">
        <v>44932</v>
      </c>
      <c r="J906" s="1" t="s">
        <v>3790</v>
      </c>
      <c r="K906" s="1" t="s">
        <v>3783</v>
      </c>
      <c r="L906" s="1" t="s">
        <v>3804</v>
      </c>
      <c r="M906" s="1" t="s">
        <v>3831</v>
      </c>
      <c r="N906" t="str">
        <f t="shared" si="44"/>
        <v>Expense</v>
      </c>
      <c r="O906" t="str">
        <f t="shared" si="45"/>
        <v/>
      </c>
    </row>
    <row r="907" spans="1:15" x14ac:dyDescent="0.25">
      <c r="A907" s="1" t="s">
        <v>4734</v>
      </c>
      <c r="B907" s="1" t="s">
        <v>4877</v>
      </c>
      <c r="C907" s="1" t="s">
        <v>3844</v>
      </c>
      <c r="D907" s="1" t="s">
        <v>3781</v>
      </c>
      <c r="E907">
        <v>79229</v>
      </c>
      <c r="F907">
        <v>68410.240000000005</v>
      </c>
      <c r="G907">
        <f t="shared" si="43"/>
        <v>10818.759999999995</v>
      </c>
      <c r="H907">
        <v>10818.76</v>
      </c>
      <c r="I907" s="3">
        <v>45169</v>
      </c>
      <c r="J907" s="1" t="s">
        <v>3782</v>
      </c>
      <c r="K907" s="1" t="s">
        <v>3791</v>
      </c>
      <c r="L907" s="1" t="s">
        <v>3784</v>
      </c>
      <c r="M907" s="1" t="s">
        <v>3831</v>
      </c>
      <c r="N907" t="str">
        <f t="shared" si="44"/>
        <v>Expense</v>
      </c>
      <c r="O907" t="str">
        <f t="shared" si="45"/>
        <v/>
      </c>
    </row>
    <row r="908" spans="1:15" x14ac:dyDescent="0.25">
      <c r="A908" s="1" t="s">
        <v>4735</v>
      </c>
      <c r="B908" s="1" t="s">
        <v>3808</v>
      </c>
      <c r="C908" s="1" t="s">
        <v>3844</v>
      </c>
      <c r="D908" s="1" t="s">
        <v>3799</v>
      </c>
      <c r="E908">
        <v>86309</v>
      </c>
      <c r="F908">
        <v>75559.28</v>
      </c>
      <c r="G908">
        <f t="shared" si="43"/>
        <v>10749.720000000001</v>
      </c>
      <c r="H908">
        <v>10749.72</v>
      </c>
      <c r="I908" s="3">
        <v>45661</v>
      </c>
      <c r="J908" s="1" t="s">
        <v>3790</v>
      </c>
      <c r="K908" s="1" t="s">
        <v>3823</v>
      </c>
      <c r="L908" s="1" t="s">
        <v>3800</v>
      </c>
      <c r="M908" s="1" t="s">
        <v>3785</v>
      </c>
      <c r="N908" t="str">
        <f t="shared" si="44"/>
        <v>Expense</v>
      </c>
      <c r="O908" t="str">
        <f t="shared" si="45"/>
        <v/>
      </c>
    </row>
    <row r="909" spans="1:15" x14ac:dyDescent="0.25">
      <c r="A909" s="1" t="s">
        <v>4736</v>
      </c>
      <c r="B909" s="1" t="s">
        <v>3811</v>
      </c>
      <c r="C909" s="1" t="s">
        <v>3825</v>
      </c>
      <c r="D909" s="1" t="s">
        <v>3802</v>
      </c>
      <c r="E909">
        <v>111079</v>
      </c>
      <c r="F909">
        <v>104283.1</v>
      </c>
      <c r="G909">
        <f t="shared" si="43"/>
        <v>6795.8999999999942</v>
      </c>
      <c r="H909">
        <v>6795.9</v>
      </c>
      <c r="I909" s="3">
        <v>45061</v>
      </c>
      <c r="J909" s="1" t="s">
        <v>3782</v>
      </c>
      <c r="K909" s="1" t="s">
        <v>3823</v>
      </c>
      <c r="L909" s="1" t="s">
        <v>3784</v>
      </c>
      <c r="M909" s="1" t="s">
        <v>51</v>
      </c>
      <c r="N909" t="str">
        <f t="shared" si="44"/>
        <v>Expense</v>
      </c>
      <c r="O909" t="str">
        <f t="shared" si="45"/>
        <v/>
      </c>
    </row>
    <row r="910" spans="1:15" x14ac:dyDescent="0.25">
      <c r="A910" s="1" t="s">
        <v>4737</v>
      </c>
      <c r="B910" s="1" t="s">
        <v>3798</v>
      </c>
      <c r="C910" s="1" t="s">
        <v>3825</v>
      </c>
      <c r="D910" s="1" t="s">
        <v>3781</v>
      </c>
      <c r="E910">
        <v>159124</v>
      </c>
      <c r="F910">
        <v>143818.44</v>
      </c>
      <c r="G910">
        <f t="shared" si="43"/>
        <v>15305.559999999998</v>
      </c>
      <c r="H910">
        <v>15305.56</v>
      </c>
      <c r="I910" s="3">
        <v>45463</v>
      </c>
      <c r="J910" s="1" t="s">
        <v>3790</v>
      </c>
      <c r="K910" s="1" t="s">
        <v>3791</v>
      </c>
      <c r="L910" s="1" t="s">
        <v>3800</v>
      </c>
      <c r="M910" s="1" t="s">
        <v>3831</v>
      </c>
      <c r="N910" t="str">
        <f t="shared" si="44"/>
        <v>Expense</v>
      </c>
      <c r="O910" t="str">
        <f t="shared" si="45"/>
        <v/>
      </c>
    </row>
    <row r="911" spans="1:15" x14ac:dyDescent="0.25">
      <c r="A911" s="1" t="s">
        <v>4738</v>
      </c>
      <c r="B911" s="1" t="s">
        <v>3811</v>
      </c>
      <c r="C911" s="1" t="s">
        <v>3788</v>
      </c>
      <c r="D911" s="1" t="s">
        <v>3822</v>
      </c>
      <c r="E911">
        <v>80224</v>
      </c>
      <c r="F911">
        <v>71471.3</v>
      </c>
      <c r="G911">
        <f t="shared" si="43"/>
        <v>8752.6999999999971</v>
      </c>
      <c r="H911">
        <v>8752.7000000000007</v>
      </c>
      <c r="I911" s="3">
        <v>45726</v>
      </c>
      <c r="J911" s="1" t="s">
        <v>3790</v>
      </c>
      <c r="K911" s="1" t="s">
        <v>3783</v>
      </c>
      <c r="L911" s="1" t="s">
        <v>3800</v>
      </c>
      <c r="M911" s="1" t="s">
        <v>3817</v>
      </c>
      <c r="N911" t="str">
        <f t="shared" si="44"/>
        <v>Expense</v>
      </c>
      <c r="O911" t="str">
        <f t="shared" si="45"/>
        <v/>
      </c>
    </row>
    <row r="912" spans="1:15" x14ac:dyDescent="0.25">
      <c r="A912" s="1" t="s">
        <v>4739</v>
      </c>
      <c r="B912" s="1" t="s">
        <v>3808</v>
      </c>
      <c r="C912" s="1" t="s">
        <v>3788</v>
      </c>
      <c r="D912" s="1" t="s">
        <v>3834</v>
      </c>
      <c r="E912">
        <v>498854</v>
      </c>
      <c r="F912">
        <v>429445.83</v>
      </c>
      <c r="G912">
        <f t="shared" si="43"/>
        <v>69408.169999999984</v>
      </c>
      <c r="H912">
        <v>69408.17</v>
      </c>
      <c r="I912" s="3">
        <v>45611</v>
      </c>
      <c r="J912" s="1" t="s">
        <v>3790</v>
      </c>
      <c r="K912" s="1" t="s">
        <v>3783</v>
      </c>
      <c r="L912" s="1" t="s">
        <v>3800</v>
      </c>
      <c r="M912" s="1" t="s">
        <v>3831</v>
      </c>
      <c r="N912" t="str">
        <f t="shared" si="44"/>
        <v>Expense</v>
      </c>
      <c r="O912" t="str">
        <f t="shared" si="45"/>
        <v/>
      </c>
    </row>
    <row r="913" spans="1:15" x14ac:dyDescent="0.25">
      <c r="A913" s="1" t="s">
        <v>4740</v>
      </c>
      <c r="B913" s="1" t="s">
        <v>3808</v>
      </c>
      <c r="C913" s="1" t="s">
        <v>3858</v>
      </c>
      <c r="D913" s="1" t="s">
        <v>3837</v>
      </c>
      <c r="E913">
        <v>-409293</v>
      </c>
      <c r="F913">
        <v>342007.51</v>
      </c>
      <c r="G913">
        <f t="shared" si="43"/>
        <v>-751300.51</v>
      </c>
      <c r="H913">
        <v>67285.490000000005</v>
      </c>
      <c r="I913" s="3">
        <v>45092</v>
      </c>
      <c r="J913" s="1" t="s">
        <v>3790</v>
      </c>
      <c r="K913" s="1" t="s">
        <v>3783</v>
      </c>
      <c r="L913" s="1" t="s">
        <v>3784</v>
      </c>
      <c r="M913" s="1" t="s">
        <v>3809</v>
      </c>
      <c r="N913" t="str">
        <f t="shared" si="44"/>
        <v>Credit/Refund</v>
      </c>
      <c r="O913" t="str">
        <f t="shared" si="45"/>
        <v/>
      </c>
    </row>
    <row r="914" spans="1:15" x14ac:dyDescent="0.25">
      <c r="A914" s="1" t="s">
        <v>4741</v>
      </c>
      <c r="B914" s="1" t="s">
        <v>3839</v>
      </c>
      <c r="C914" s="1" t="s">
        <v>3788</v>
      </c>
      <c r="D914" s="1" t="s">
        <v>3855</v>
      </c>
      <c r="E914">
        <v>410844</v>
      </c>
      <c r="F914">
        <v>405782.91</v>
      </c>
      <c r="G914">
        <f t="shared" si="43"/>
        <v>5061.0900000000256</v>
      </c>
      <c r="H914">
        <v>5061.09</v>
      </c>
      <c r="I914" s="3">
        <v>45683</v>
      </c>
      <c r="J914" s="1" t="s">
        <v>3790</v>
      </c>
      <c r="K914" s="1" t="s">
        <v>3803</v>
      </c>
      <c r="L914" s="1" t="s">
        <v>3800</v>
      </c>
      <c r="M914" s="1" t="s">
        <v>51</v>
      </c>
      <c r="N914" t="str">
        <f t="shared" si="44"/>
        <v>Expense</v>
      </c>
      <c r="O914" t="str">
        <f t="shared" si="45"/>
        <v/>
      </c>
    </row>
    <row r="915" spans="1:15" x14ac:dyDescent="0.25">
      <c r="A915" s="1" t="s">
        <v>4742</v>
      </c>
      <c r="B915" s="1" t="s">
        <v>3794</v>
      </c>
      <c r="C915" s="1" t="s">
        <v>3858</v>
      </c>
      <c r="D915" s="1" t="s">
        <v>3846</v>
      </c>
      <c r="E915">
        <v>-365851</v>
      </c>
      <c r="F915">
        <v>429202.67</v>
      </c>
      <c r="G915">
        <f t="shared" si="43"/>
        <v>-795053.66999999993</v>
      </c>
      <c r="H915">
        <v>-63351.67</v>
      </c>
      <c r="I915" s="3">
        <v>45398</v>
      </c>
      <c r="J915" s="1" t="s">
        <v>3790</v>
      </c>
      <c r="K915" s="1" t="s">
        <v>3791</v>
      </c>
      <c r="L915" s="1" t="s">
        <v>3800</v>
      </c>
      <c r="M915" s="1" t="s">
        <v>3785</v>
      </c>
      <c r="N915" t="str">
        <f t="shared" si="44"/>
        <v>Credit/Refund</v>
      </c>
      <c r="O915" t="str">
        <f t="shared" si="45"/>
        <v/>
      </c>
    </row>
    <row r="916" spans="1:15" x14ac:dyDescent="0.25">
      <c r="A916" s="1" t="s">
        <v>4743</v>
      </c>
      <c r="B916" s="1" t="s">
        <v>3811</v>
      </c>
      <c r="C916" s="1" t="s">
        <v>3795</v>
      </c>
      <c r="D916" s="1" t="s">
        <v>3789</v>
      </c>
      <c r="E916">
        <v>243174</v>
      </c>
      <c r="F916">
        <v>215513.25</v>
      </c>
      <c r="G916">
        <f t="shared" si="43"/>
        <v>27660.75</v>
      </c>
      <c r="H916">
        <v>27660.75</v>
      </c>
      <c r="I916" s="3">
        <v>45701</v>
      </c>
      <c r="J916" s="1" t="s">
        <v>3859</v>
      </c>
      <c r="K916" s="1" t="s">
        <v>3783</v>
      </c>
      <c r="L916" s="1" t="s">
        <v>3800</v>
      </c>
      <c r="M916" s="1" t="s">
        <v>3831</v>
      </c>
      <c r="N916" t="str">
        <f t="shared" si="44"/>
        <v>Expense</v>
      </c>
      <c r="O916" t="str">
        <f t="shared" si="45"/>
        <v>Flag: High-Value Rejected</v>
      </c>
    </row>
    <row r="917" spans="1:15" x14ac:dyDescent="0.25">
      <c r="A917" s="1" t="s">
        <v>4744</v>
      </c>
      <c r="B917" s="1" t="s">
        <v>3787</v>
      </c>
      <c r="C917" s="1" t="s">
        <v>3780</v>
      </c>
      <c r="D917" s="1" t="s">
        <v>3822</v>
      </c>
      <c r="E917">
        <v>460341</v>
      </c>
      <c r="F917">
        <v>501553.2</v>
      </c>
      <c r="G917">
        <f t="shared" si="43"/>
        <v>-41212.200000000012</v>
      </c>
      <c r="H917">
        <v>-41212.199999999997</v>
      </c>
      <c r="I917" s="3">
        <v>45237</v>
      </c>
      <c r="J917" s="1" t="s">
        <v>3859</v>
      </c>
      <c r="K917" s="1" t="s">
        <v>3803</v>
      </c>
      <c r="L917" s="1" t="s">
        <v>3784</v>
      </c>
      <c r="M917" s="1" t="s">
        <v>3792</v>
      </c>
      <c r="N917" t="str">
        <f t="shared" si="44"/>
        <v>Expense</v>
      </c>
      <c r="O917" t="str">
        <f t="shared" si="45"/>
        <v>Flag: High-Value Rejected</v>
      </c>
    </row>
    <row r="918" spans="1:15" x14ac:dyDescent="0.25">
      <c r="A918" s="1" t="s">
        <v>4745</v>
      </c>
      <c r="B918" s="1" t="s">
        <v>3787</v>
      </c>
      <c r="C918" s="1" t="s">
        <v>3806</v>
      </c>
      <c r="D918" s="1" t="s">
        <v>3837</v>
      </c>
      <c r="E918">
        <v>176359</v>
      </c>
      <c r="F918">
        <v>203534.64</v>
      </c>
      <c r="G918">
        <f t="shared" si="43"/>
        <v>-27175.640000000014</v>
      </c>
      <c r="H918">
        <v>-27175.64</v>
      </c>
      <c r="I918" s="3">
        <v>45175</v>
      </c>
      <c r="J918" s="1" t="s">
        <v>3790</v>
      </c>
      <c r="K918" s="1" t="s">
        <v>3791</v>
      </c>
      <c r="L918" s="1" t="s">
        <v>3784</v>
      </c>
      <c r="M918" s="1" t="s">
        <v>3817</v>
      </c>
      <c r="N918" t="str">
        <f t="shared" si="44"/>
        <v>Expense</v>
      </c>
      <c r="O918" t="str">
        <f t="shared" si="45"/>
        <v/>
      </c>
    </row>
    <row r="919" spans="1:15" x14ac:dyDescent="0.25">
      <c r="A919" s="1" t="s">
        <v>4746</v>
      </c>
      <c r="B919" s="1" t="s">
        <v>3828</v>
      </c>
      <c r="C919" s="1" t="s">
        <v>3815</v>
      </c>
      <c r="D919" s="1" t="s">
        <v>3813</v>
      </c>
      <c r="E919">
        <v>50128</v>
      </c>
      <c r="F919">
        <v>54308.31</v>
      </c>
      <c r="G919">
        <f t="shared" si="43"/>
        <v>-4180.3099999999977</v>
      </c>
      <c r="H919">
        <v>-4180.3100000000004</v>
      </c>
      <c r="I919" s="3">
        <v>45555</v>
      </c>
      <c r="J919" s="1" t="s">
        <v>3790</v>
      </c>
      <c r="K919" s="1" t="s">
        <v>3823</v>
      </c>
      <c r="L919" s="1" t="s">
        <v>3800</v>
      </c>
      <c r="M919" s="1" t="s">
        <v>3831</v>
      </c>
      <c r="N919" t="str">
        <f t="shared" si="44"/>
        <v>Expense</v>
      </c>
      <c r="O919" t="str">
        <f t="shared" si="45"/>
        <v/>
      </c>
    </row>
    <row r="920" spans="1:15" x14ac:dyDescent="0.25">
      <c r="A920" s="1" t="s">
        <v>4747</v>
      </c>
      <c r="B920" s="1" t="s">
        <v>3828</v>
      </c>
      <c r="C920" s="1" t="s">
        <v>3858</v>
      </c>
      <c r="D920" s="1" t="s">
        <v>3855</v>
      </c>
      <c r="E920">
        <v>333550</v>
      </c>
      <c r="F920">
        <v>344603.39</v>
      </c>
      <c r="G920">
        <f t="shared" si="43"/>
        <v>-11053.390000000014</v>
      </c>
      <c r="H920">
        <v>-11053.39</v>
      </c>
      <c r="I920" s="3">
        <v>45650</v>
      </c>
      <c r="J920" s="1" t="s">
        <v>3790</v>
      </c>
      <c r="K920" s="1" t="s">
        <v>3783</v>
      </c>
      <c r="L920" s="1" t="s">
        <v>3800</v>
      </c>
      <c r="M920" s="1" t="s">
        <v>51</v>
      </c>
      <c r="N920" t="str">
        <f t="shared" si="44"/>
        <v>Expense</v>
      </c>
      <c r="O920" t="str">
        <f t="shared" si="45"/>
        <v/>
      </c>
    </row>
    <row r="921" spans="1:15" x14ac:dyDescent="0.25">
      <c r="A921" s="1" t="s">
        <v>4748</v>
      </c>
      <c r="B921" s="1" t="s">
        <v>3798</v>
      </c>
      <c r="C921" s="1" t="s">
        <v>3788</v>
      </c>
      <c r="D921" s="1" t="s">
        <v>3816</v>
      </c>
      <c r="E921">
        <v>291057</v>
      </c>
      <c r="F921">
        <v>367148.7</v>
      </c>
      <c r="G921">
        <f t="shared" si="43"/>
        <v>-76091.700000000012</v>
      </c>
      <c r="H921">
        <v>-76091.7</v>
      </c>
      <c r="I921" s="3">
        <v>45181</v>
      </c>
      <c r="J921" s="1" t="s">
        <v>3790</v>
      </c>
      <c r="K921" s="1" t="s">
        <v>3783</v>
      </c>
      <c r="L921" s="1" t="s">
        <v>3784</v>
      </c>
      <c r="M921" s="1" t="s">
        <v>3817</v>
      </c>
      <c r="N921" t="str">
        <f t="shared" si="44"/>
        <v>Expense</v>
      </c>
      <c r="O921" t="str">
        <f t="shared" si="45"/>
        <v/>
      </c>
    </row>
    <row r="922" spans="1:15" x14ac:dyDescent="0.25">
      <c r="A922" s="1" t="s">
        <v>4749</v>
      </c>
      <c r="B922" s="1" t="s">
        <v>3794</v>
      </c>
      <c r="C922" s="1" t="s">
        <v>3815</v>
      </c>
      <c r="D922" s="1" t="s">
        <v>3813</v>
      </c>
      <c r="E922">
        <v>86794</v>
      </c>
      <c r="F922">
        <v>96648.5</v>
      </c>
      <c r="G922">
        <f t="shared" si="43"/>
        <v>-9854.5</v>
      </c>
      <c r="H922">
        <v>-9854.5</v>
      </c>
      <c r="I922" s="3">
        <v>45394</v>
      </c>
      <c r="J922" s="1" t="s">
        <v>3790</v>
      </c>
      <c r="K922" s="1" t="s">
        <v>3783</v>
      </c>
      <c r="L922" s="1" t="s">
        <v>3800</v>
      </c>
      <c r="M922" s="1" t="s">
        <v>51</v>
      </c>
      <c r="N922" t="str">
        <f t="shared" si="44"/>
        <v>Expense</v>
      </c>
      <c r="O922" t="str">
        <f t="shared" si="45"/>
        <v/>
      </c>
    </row>
    <row r="923" spans="1:15" x14ac:dyDescent="0.25">
      <c r="A923" s="1" t="s">
        <v>4750</v>
      </c>
      <c r="B923" s="1" t="s">
        <v>3808</v>
      </c>
      <c r="C923" s="1" t="s">
        <v>4878</v>
      </c>
      <c r="D923" s="1" t="s">
        <v>3822</v>
      </c>
      <c r="E923">
        <v>430138</v>
      </c>
      <c r="F923">
        <v>480530.1</v>
      </c>
      <c r="G923">
        <f t="shared" si="43"/>
        <v>-50392.099999999977</v>
      </c>
      <c r="H923">
        <v>-50392.1</v>
      </c>
      <c r="I923" s="3">
        <v>45649</v>
      </c>
      <c r="J923" s="1" t="s">
        <v>3790</v>
      </c>
      <c r="K923" s="1" t="s">
        <v>3791</v>
      </c>
      <c r="L923" s="1" t="s">
        <v>3800</v>
      </c>
      <c r="M923" s="1" t="s">
        <v>3817</v>
      </c>
      <c r="N923" t="str">
        <f t="shared" si="44"/>
        <v>Expense</v>
      </c>
      <c r="O923" t="str">
        <f t="shared" si="45"/>
        <v/>
      </c>
    </row>
    <row r="924" spans="1:15" x14ac:dyDescent="0.25">
      <c r="A924" s="1" t="s">
        <v>4751</v>
      </c>
      <c r="B924" s="1" t="s">
        <v>3811</v>
      </c>
      <c r="C924" s="1" t="s">
        <v>3821</v>
      </c>
      <c r="D924" s="1" t="s">
        <v>3802</v>
      </c>
      <c r="E924">
        <v>277220</v>
      </c>
      <c r="F924">
        <v>277889.01</v>
      </c>
      <c r="G924">
        <f t="shared" si="43"/>
        <v>-669.01000000000931</v>
      </c>
      <c r="H924">
        <v>-669.01</v>
      </c>
      <c r="I924" s="3">
        <v>45169</v>
      </c>
      <c r="J924" s="1" t="s">
        <v>3790</v>
      </c>
      <c r="K924" s="1" t="s">
        <v>3791</v>
      </c>
      <c r="L924" s="1" t="s">
        <v>3784</v>
      </c>
      <c r="M924" s="1" t="s">
        <v>51</v>
      </c>
      <c r="N924" t="str">
        <f t="shared" si="44"/>
        <v>Expense</v>
      </c>
      <c r="O924" t="str">
        <f t="shared" si="45"/>
        <v/>
      </c>
    </row>
    <row r="925" spans="1:15" x14ac:dyDescent="0.25">
      <c r="A925" s="1" t="s">
        <v>4752</v>
      </c>
      <c r="B925" s="1" t="s">
        <v>3787</v>
      </c>
      <c r="C925" s="1" t="s">
        <v>3844</v>
      </c>
      <c r="D925" s="1" t="s">
        <v>3816</v>
      </c>
      <c r="E925">
        <v>499478</v>
      </c>
      <c r="F925">
        <v>511122.57</v>
      </c>
      <c r="G925">
        <f t="shared" si="43"/>
        <v>-11644.570000000007</v>
      </c>
      <c r="H925">
        <v>-11644.57</v>
      </c>
      <c r="I925" s="3">
        <v>45035</v>
      </c>
      <c r="J925" s="1" t="s">
        <v>3790</v>
      </c>
      <c r="K925" s="1" t="s">
        <v>3823</v>
      </c>
      <c r="L925" s="1" t="s">
        <v>3784</v>
      </c>
      <c r="M925" s="1" t="s">
        <v>51</v>
      </c>
      <c r="N925" t="str">
        <f t="shared" si="44"/>
        <v>Expense</v>
      </c>
      <c r="O925" t="str">
        <f t="shared" si="45"/>
        <v/>
      </c>
    </row>
    <row r="926" spans="1:15" x14ac:dyDescent="0.25">
      <c r="A926" s="1" t="s">
        <v>4753</v>
      </c>
      <c r="B926" s="1" t="s">
        <v>3787</v>
      </c>
      <c r="C926" s="1" t="s">
        <v>3795</v>
      </c>
      <c r="D926" s="1" t="s">
        <v>3822</v>
      </c>
      <c r="E926">
        <v>76845</v>
      </c>
      <c r="F926">
        <v>63790.53</v>
      </c>
      <c r="G926">
        <f t="shared" si="43"/>
        <v>13054.470000000001</v>
      </c>
      <c r="H926">
        <v>13054.47</v>
      </c>
      <c r="I926" s="3">
        <v>45091</v>
      </c>
      <c r="J926" s="1" t="s">
        <v>3790</v>
      </c>
      <c r="K926" s="1" t="s">
        <v>3823</v>
      </c>
      <c r="L926" s="1" t="s">
        <v>3784</v>
      </c>
      <c r="M926" s="1" t="s">
        <v>51</v>
      </c>
      <c r="N926" t="str">
        <f t="shared" si="44"/>
        <v>Expense</v>
      </c>
      <c r="O926" t="str">
        <f t="shared" si="45"/>
        <v/>
      </c>
    </row>
    <row r="927" spans="1:15" x14ac:dyDescent="0.25">
      <c r="A927" s="1" t="s">
        <v>4754</v>
      </c>
      <c r="B927" s="1" t="s">
        <v>3811</v>
      </c>
      <c r="C927" s="1" t="s">
        <v>3815</v>
      </c>
      <c r="D927" s="1" t="s">
        <v>3837</v>
      </c>
      <c r="E927">
        <v>487319</v>
      </c>
      <c r="F927">
        <v>556137.76</v>
      </c>
      <c r="G927">
        <f t="shared" si="43"/>
        <v>-68818.760000000009</v>
      </c>
      <c r="H927">
        <v>-68818.759999999995</v>
      </c>
      <c r="I927" s="3">
        <v>45287</v>
      </c>
      <c r="J927" s="1" t="s">
        <v>3782</v>
      </c>
      <c r="K927" s="1" t="s">
        <v>3823</v>
      </c>
      <c r="L927" s="1" t="s">
        <v>3784</v>
      </c>
      <c r="M927" s="1" t="s">
        <v>51</v>
      </c>
      <c r="N927" t="str">
        <f t="shared" si="44"/>
        <v>Expense</v>
      </c>
      <c r="O927" t="str">
        <f t="shared" si="45"/>
        <v>Flag: High-Value Pending</v>
      </c>
    </row>
    <row r="928" spans="1:15" x14ac:dyDescent="0.25">
      <c r="A928" s="1" t="s">
        <v>4755</v>
      </c>
      <c r="B928" s="1" t="s">
        <v>3828</v>
      </c>
      <c r="C928" s="1" t="s">
        <v>3844</v>
      </c>
      <c r="D928" s="1" t="s">
        <v>3799</v>
      </c>
      <c r="E928">
        <v>76629</v>
      </c>
      <c r="F928">
        <v>81359.81</v>
      </c>
      <c r="G928">
        <f t="shared" si="43"/>
        <v>-4730.8099999999977</v>
      </c>
      <c r="I928" s="3">
        <v>45613</v>
      </c>
      <c r="J928" s="1" t="s">
        <v>3790</v>
      </c>
      <c r="K928" s="1" t="s">
        <v>3791</v>
      </c>
      <c r="L928" s="1" t="s">
        <v>3800</v>
      </c>
      <c r="M928" s="1" t="s">
        <v>51</v>
      </c>
      <c r="N928" t="str">
        <f t="shared" si="44"/>
        <v>Expense</v>
      </c>
      <c r="O928" t="str">
        <f t="shared" si="45"/>
        <v/>
      </c>
    </row>
    <row r="929" spans="1:15" x14ac:dyDescent="0.25">
      <c r="A929" s="1" t="s">
        <v>4756</v>
      </c>
      <c r="B929" s="1" t="s">
        <v>3828</v>
      </c>
      <c r="C929" s="1" t="s">
        <v>3844</v>
      </c>
      <c r="D929" s="1" t="s">
        <v>3834</v>
      </c>
      <c r="E929">
        <v>468155</v>
      </c>
      <c r="F929">
        <v>519858.4</v>
      </c>
      <c r="G929">
        <f t="shared" si="43"/>
        <v>-51703.400000000023</v>
      </c>
      <c r="H929">
        <v>-51703.4</v>
      </c>
      <c r="I929" s="3">
        <v>45046</v>
      </c>
      <c r="J929" s="1" t="s">
        <v>3782</v>
      </c>
      <c r="K929" s="1" t="s">
        <v>3783</v>
      </c>
      <c r="L929" s="1" t="s">
        <v>3784</v>
      </c>
      <c r="M929" s="1" t="s">
        <v>51</v>
      </c>
      <c r="N929" t="str">
        <f t="shared" si="44"/>
        <v>Expense</v>
      </c>
      <c r="O929" t="str">
        <f t="shared" si="45"/>
        <v>Flag: High-Value Pending</v>
      </c>
    </row>
    <row r="930" spans="1:15" x14ac:dyDescent="0.25">
      <c r="A930" s="1" t="s">
        <v>4757</v>
      </c>
      <c r="B930" s="1" t="s">
        <v>3808</v>
      </c>
      <c r="C930" s="1" t="s">
        <v>3806</v>
      </c>
      <c r="D930" s="1" t="s">
        <v>3822</v>
      </c>
      <c r="E930">
        <v>399688</v>
      </c>
      <c r="F930">
        <v>389275.04</v>
      </c>
      <c r="G930">
        <f t="shared" si="43"/>
        <v>10412.960000000021</v>
      </c>
      <c r="H930">
        <v>10412.959999999999</v>
      </c>
      <c r="I930" s="3">
        <v>45203</v>
      </c>
      <c r="J930" s="1" t="s">
        <v>3859</v>
      </c>
      <c r="K930" s="1" t="s">
        <v>3783</v>
      </c>
      <c r="L930" s="1" t="s">
        <v>3784</v>
      </c>
      <c r="M930" s="1" t="s">
        <v>51</v>
      </c>
      <c r="N930" t="str">
        <f t="shared" si="44"/>
        <v>Expense</v>
      </c>
      <c r="O930" t="str">
        <f t="shared" si="45"/>
        <v>Flag: High-Value Rejected</v>
      </c>
    </row>
    <row r="931" spans="1:15" x14ac:dyDescent="0.25">
      <c r="A931" s="1" t="s">
        <v>4758</v>
      </c>
      <c r="B931" s="1" t="s">
        <v>3828</v>
      </c>
      <c r="C931" s="1" t="s">
        <v>3795</v>
      </c>
      <c r="D931" s="1" t="s">
        <v>3789</v>
      </c>
      <c r="E931">
        <v>214509</v>
      </c>
      <c r="F931">
        <v>230804.26</v>
      </c>
      <c r="G931">
        <f t="shared" si="43"/>
        <v>-16295.260000000009</v>
      </c>
      <c r="H931">
        <v>-16295.26</v>
      </c>
      <c r="I931" s="3">
        <v>45056</v>
      </c>
      <c r="J931" s="1" t="s">
        <v>3782</v>
      </c>
      <c r="K931" s="1" t="s">
        <v>3823</v>
      </c>
      <c r="L931" s="1" t="s">
        <v>3784</v>
      </c>
      <c r="M931" s="1" t="s">
        <v>51</v>
      </c>
      <c r="N931" t="str">
        <f t="shared" si="44"/>
        <v>Expense</v>
      </c>
      <c r="O931" t="str">
        <f t="shared" si="45"/>
        <v>Flag: High-Value Pending</v>
      </c>
    </row>
    <row r="932" spans="1:15" x14ac:dyDescent="0.25">
      <c r="A932" s="1" t="s">
        <v>4759</v>
      </c>
      <c r="B932" s="1" t="s">
        <v>3798</v>
      </c>
      <c r="C932" s="1" t="s">
        <v>3844</v>
      </c>
      <c r="D932" s="1" t="s">
        <v>3813</v>
      </c>
      <c r="E932">
        <v>462100</v>
      </c>
      <c r="F932">
        <v>520680.06</v>
      </c>
      <c r="G932">
        <f t="shared" si="43"/>
        <v>-58580.06</v>
      </c>
      <c r="H932">
        <v>-58580.06</v>
      </c>
      <c r="I932" s="3">
        <v>45480</v>
      </c>
      <c r="J932" s="1" t="s">
        <v>3790</v>
      </c>
      <c r="K932" s="1" t="s">
        <v>3803</v>
      </c>
      <c r="L932" s="1" t="s">
        <v>3800</v>
      </c>
      <c r="M932" s="1" t="s">
        <v>3785</v>
      </c>
      <c r="N932" t="str">
        <f t="shared" si="44"/>
        <v>Expense</v>
      </c>
      <c r="O932" t="str">
        <f t="shared" si="45"/>
        <v/>
      </c>
    </row>
    <row r="933" spans="1:15" x14ac:dyDescent="0.25">
      <c r="A933" s="1" t="s">
        <v>4760</v>
      </c>
      <c r="B933" s="1" t="s">
        <v>3787</v>
      </c>
      <c r="C933" s="1" t="s">
        <v>3825</v>
      </c>
      <c r="D933" s="1" t="s">
        <v>3855</v>
      </c>
      <c r="E933">
        <v>335867</v>
      </c>
      <c r="F933">
        <v>328625.09000000003</v>
      </c>
      <c r="G933">
        <f t="shared" si="43"/>
        <v>7241.9099999999744</v>
      </c>
      <c r="H933">
        <v>7241.91</v>
      </c>
      <c r="I933" s="3">
        <v>45242</v>
      </c>
      <c r="J933" s="1" t="s">
        <v>3790</v>
      </c>
      <c r="K933" s="1" t="s">
        <v>3803</v>
      </c>
      <c r="L933" s="1" t="s">
        <v>3784</v>
      </c>
      <c r="M933" s="1" t="s">
        <v>3831</v>
      </c>
      <c r="N933" t="str">
        <f t="shared" si="44"/>
        <v>Expense</v>
      </c>
      <c r="O933" t="str">
        <f t="shared" si="45"/>
        <v/>
      </c>
    </row>
    <row r="934" spans="1:15" x14ac:dyDescent="0.25">
      <c r="A934" s="1" t="s">
        <v>4761</v>
      </c>
      <c r="B934" s="1" t="s">
        <v>3828</v>
      </c>
      <c r="C934" s="1" t="s">
        <v>3788</v>
      </c>
      <c r="D934" s="1" t="s">
        <v>3822</v>
      </c>
      <c r="E934">
        <v>321335</v>
      </c>
      <c r="F934">
        <v>355160.31</v>
      </c>
      <c r="G934">
        <f t="shared" si="43"/>
        <v>-33825.31</v>
      </c>
      <c r="H934">
        <v>-33825.31</v>
      </c>
      <c r="I934" s="3">
        <v>45627</v>
      </c>
      <c r="J934" s="1" t="s">
        <v>3782</v>
      </c>
      <c r="K934" s="1" t="s">
        <v>3791</v>
      </c>
      <c r="L934" s="1" t="s">
        <v>3800</v>
      </c>
      <c r="M934" s="1" t="s">
        <v>3817</v>
      </c>
      <c r="N934" t="str">
        <f t="shared" si="44"/>
        <v>Expense</v>
      </c>
      <c r="O934" t="str">
        <f t="shared" si="45"/>
        <v>Flag: High-Value Pending</v>
      </c>
    </row>
    <row r="935" spans="1:15" x14ac:dyDescent="0.25">
      <c r="A935" s="1" t="s">
        <v>4762</v>
      </c>
      <c r="B935" s="1" t="s">
        <v>3828</v>
      </c>
      <c r="C935" s="1" t="s">
        <v>3806</v>
      </c>
      <c r="D935" s="1" t="s">
        <v>3867</v>
      </c>
      <c r="E935">
        <v>282538</v>
      </c>
      <c r="F935">
        <v>279029.98</v>
      </c>
      <c r="G935">
        <f t="shared" si="43"/>
        <v>3508.0200000000186</v>
      </c>
      <c r="H935">
        <v>3508.02</v>
      </c>
      <c r="I935" s="3">
        <v>45216</v>
      </c>
      <c r="J935" s="1" t="s">
        <v>3790</v>
      </c>
      <c r="K935" s="1" t="s">
        <v>3783</v>
      </c>
      <c r="L935" s="1" t="s">
        <v>3784</v>
      </c>
      <c r="M935" s="1" t="s">
        <v>3785</v>
      </c>
      <c r="N935" t="str">
        <f t="shared" si="44"/>
        <v>Expense</v>
      </c>
      <c r="O935" t="str">
        <f t="shared" si="45"/>
        <v/>
      </c>
    </row>
    <row r="936" spans="1:15" x14ac:dyDescent="0.25">
      <c r="A936" s="1" t="s">
        <v>4763</v>
      </c>
      <c r="B936" s="1" t="s">
        <v>3811</v>
      </c>
      <c r="C936" s="1" t="s">
        <v>3780</v>
      </c>
      <c r="D936" s="1" t="s">
        <v>3796</v>
      </c>
      <c r="E936">
        <v>497186</v>
      </c>
      <c r="F936">
        <v>638221.61</v>
      </c>
      <c r="G936">
        <f t="shared" si="43"/>
        <v>-141035.60999999999</v>
      </c>
      <c r="H936">
        <v>-141035.60999999999</v>
      </c>
      <c r="I936" s="3">
        <v>45024</v>
      </c>
      <c r="J936" s="1" t="s">
        <v>3790</v>
      </c>
      <c r="K936" s="1" t="s">
        <v>3783</v>
      </c>
      <c r="L936" s="1" t="s">
        <v>3784</v>
      </c>
      <c r="M936" s="1" t="s">
        <v>3831</v>
      </c>
      <c r="N936" t="str">
        <f t="shared" si="44"/>
        <v>Expense</v>
      </c>
      <c r="O936" t="str">
        <f t="shared" si="45"/>
        <v/>
      </c>
    </row>
    <row r="937" spans="1:15" x14ac:dyDescent="0.25">
      <c r="A937" s="1" t="s">
        <v>4764</v>
      </c>
      <c r="B937" s="1" t="s">
        <v>3811</v>
      </c>
      <c r="C937" s="1" t="s">
        <v>3858</v>
      </c>
      <c r="D937" s="1" t="s">
        <v>3895</v>
      </c>
      <c r="E937">
        <v>369946</v>
      </c>
      <c r="F937">
        <v>423565.82</v>
      </c>
      <c r="G937">
        <f t="shared" si="43"/>
        <v>-53619.820000000007</v>
      </c>
      <c r="H937">
        <v>-53619.82</v>
      </c>
      <c r="I937" s="3">
        <v>45227</v>
      </c>
      <c r="J937" s="1" t="s">
        <v>3790</v>
      </c>
      <c r="K937" s="1" t="s">
        <v>3803</v>
      </c>
      <c r="L937" s="1" t="s">
        <v>3784</v>
      </c>
      <c r="M937" s="1" t="s">
        <v>51</v>
      </c>
      <c r="N937" t="str">
        <f t="shared" si="44"/>
        <v>Expense</v>
      </c>
      <c r="O937" t="str">
        <f t="shared" si="45"/>
        <v/>
      </c>
    </row>
    <row r="938" spans="1:15" x14ac:dyDescent="0.25">
      <c r="A938" s="1" t="s">
        <v>4765</v>
      </c>
      <c r="B938" s="1" t="s">
        <v>3798</v>
      </c>
      <c r="C938" s="1" t="s">
        <v>3821</v>
      </c>
      <c r="D938" s="1" t="s">
        <v>3837</v>
      </c>
      <c r="E938">
        <v>311511</v>
      </c>
      <c r="F938">
        <v>333501.96999999997</v>
      </c>
      <c r="G938">
        <f t="shared" si="43"/>
        <v>-21990.969999999972</v>
      </c>
      <c r="H938">
        <v>-21990.97</v>
      </c>
      <c r="I938" s="3">
        <v>44945</v>
      </c>
      <c r="J938" s="1" t="s">
        <v>3782</v>
      </c>
      <c r="K938" s="1" t="s">
        <v>3783</v>
      </c>
      <c r="L938" s="1" t="s">
        <v>3804</v>
      </c>
      <c r="M938" s="1" t="s">
        <v>51</v>
      </c>
      <c r="N938" t="str">
        <f t="shared" si="44"/>
        <v>Expense</v>
      </c>
      <c r="O938" t="str">
        <f t="shared" si="45"/>
        <v>Flag: High-Value Pending</v>
      </c>
    </row>
    <row r="939" spans="1:15" x14ac:dyDescent="0.25">
      <c r="A939" s="1" t="s">
        <v>4766</v>
      </c>
      <c r="B939" s="1" t="s">
        <v>3839</v>
      </c>
      <c r="C939" s="1" t="s">
        <v>4878</v>
      </c>
      <c r="D939" s="1" t="s">
        <v>3850</v>
      </c>
      <c r="E939">
        <v>159696</v>
      </c>
      <c r="F939">
        <v>172996.13</v>
      </c>
      <c r="G939">
        <f t="shared" si="43"/>
        <v>-13300.130000000005</v>
      </c>
      <c r="H939">
        <v>-13300.13</v>
      </c>
      <c r="I939" s="3">
        <v>45673</v>
      </c>
      <c r="J939" s="1" t="s">
        <v>3790</v>
      </c>
      <c r="K939" s="1" t="s">
        <v>3823</v>
      </c>
      <c r="L939" s="1" t="s">
        <v>3800</v>
      </c>
      <c r="M939" s="1" t="s">
        <v>3817</v>
      </c>
      <c r="N939" t="str">
        <f t="shared" si="44"/>
        <v>Expense</v>
      </c>
      <c r="O939" t="str">
        <f t="shared" si="45"/>
        <v/>
      </c>
    </row>
    <row r="940" spans="1:15" x14ac:dyDescent="0.25">
      <c r="A940" s="1" t="s">
        <v>4767</v>
      </c>
      <c r="B940" s="1" t="s">
        <v>4877</v>
      </c>
      <c r="C940" s="1" t="s">
        <v>3861</v>
      </c>
      <c r="D940" s="1" t="s">
        <v>3895</v>
      </c>
      <c r="E940">
        <v>287823</v>
      </c>
      <c r="F940">
        <v>326728.3</v>
      </c>
      <c r="G940">
        <f t="shared" si="43"/>
        <v>-38905.299999999988</v>
      </c>
      <c r="H940">
        <v>-38905.300000000003</v>
      </c>
      <c r="I940" s="3">
        <v>45058</v>
      </c>
      <c r="J940" s="1" t="s">
        <v>3782</v>
      </c>
      <c r="K940" s="1" t="s">
        <v>3791</v>
      </c>
      <c r="L940" s="1" t="s">
        <v>3784</v>
      </c>
      <c r="M940" s="1" t="s">
        <v>3792</v>
      </c>
      <c r="N940" t="str">
        <f t="shared" si="44"/>
        <v>Expense</v>
      </c>
      <c r="O940" t="str">
        <f t="shared" si="45"/>
        <v>Flag: High-Value Pending</v>
      </c>
    </row>
    <row r="941" spans="1:15" x14ac:dyDescent="0.25">
      <c r="A941" s="1" t="s">
        <v>4768</v>
      </c>
      <c r="B941" s="1" t="s">
        <v>3828</v>
      </c>
      <c r="C941" s="1" t="s">
        <v>3812</v>
      </c>
      <c r="D941" s="1" t="s">
        <v>3799</v>
      </c>
      <c r="E941">
        <v>222238</v>
      </c>
      <c r="G941" t="str">
        <f t="shared" si="43"/>
        <v/>
      </c>
      <c r="H941">
        <v>15926.96</v>
      </c>
      <c r="I941" s="3">
        <v>45743</v>
      </c>
      <c r="J941" s="1" t="s">
        <v>3790</v>
      </c>
      <c r="K941" s="1" t="s">
        <v>3783</v>
      </c>
      <c r="L941" s="1" t="s">
        <v>3800</v>
      </c>
      <c r="M941" s="1" t="s">
        <v>3785</v>
      </c>
      <c r="N941" t="str">
        <f t="shared" si="44"/>
        <v>Expense</v>
      </c>
      <c r="O941" t="str">
        <f t="shared" si="45"/>
        <v/>
      </c>
    </row>
    <row r="942" spans="1:15" x14ac:dyDescent="0.25">
      <c r="A942" s="1" t="s">
        <v>4769</v>
      </c>
      <c r="B942" s="1" t="s">
        <v>3811</v>
      </c>
      <c r="C942" s="1" t="s">
        <v>3815</v>
      </c>
      <c r="D942" s="1" t="s">
        <v>3789</v>
      </c>
      <c r="E942">
        <v>325799</v>
      </c>
      <c r="F942">
        <v>407695.68</v>
      </c>
      <c r="G942">
        <f t="shared" si="43"/>
        <v>-81896.679999999993</v>
      </c>
      <c r="H942">
        <v>-81896.679999999993</v>
      </c>
      <c r="I942" s="3">
        <v>45460</v>
      </c>
      <c r="J942" s="1" t="s">
        <v>3790</v>
      </c>
      <c r="K942" s="1" t="s">
        <v>3803</v>
      </c>
      <c r="L942" s="1" t="s">
        <v>3800</v>
      </c>
      <c r="M942" s="1" t="s">
        <v>3792</v>
      </c>
      <c r="N942" t="str">
        <f t="shared" si="44"/>
        <v>Expense</v>
      </c>
      <c r="O942" t="str">
        <f t="shared" si="45"/>
        <v/>
      </c>
    </row>
    <row r="943" spans="1:15" x14ac:dyDescent="0.25">
      <c r="A943" s="1" t="s">
        <v>4770</v>
      </c>
      <c r="B943" s="1" t="s">
        <v>3787</v>
      </c>
      <c r="C943" s="1" t="s">
        <v>3858</v>
      </c>
      <c r="D943" s="1" t="s">
        <v>3837</v>
      </c>
      <c r="E943">
        <v>388292</v>
      </c>
      <c r="F943">
        <v>354480.19</v>
      </c>
      <c r="G943">
        <f t="shared" si="43"/>
        <v>33811.81</v>
      </c>
      <c r="H943">
        <v>33811.81</v>
      </c>
      <c r="I943" s="3">
        <v>45623</v>
      </c>
      <c r="J943" s="1" t="s">
        <v>3859</v>
      </c>
      <c r="K943" s="1" t="s">
        <v>3803</v>
      </c>
      <c r="L943" s="1" t="s">
        <v>3800</v>
      </c>
      <c r="M943" s="1" t="s">
        <v>51</v>
      </c>
      <c r="N943" t="str">
        <f t="shared" si="44"/>
        <v>Expense</v>
      </c>
      <c r="O943" t="str">
        <f t="shared" si="45"/>
        <v>Flag: High-Value Rejected</v>
      </c>
    </row>
    <row r="944" spans="1:15" x14ac:dyDescent="0.25">
      <c r="A944" s="1" t="s">
        <v>4771</v>
      </c>
      <c r="B944" s="1" t="s">
        <v>3794</v>
      </c>
      <c r="C944" s="1" t="s">
        <v>3806</v>
      </c>
      <c r="D944" s="1" t="s">
        <v>3802</v>
      </c>
      <c r="E944">
        <v>189639</v>
      </c>
      <c r="F944">
        <v>196448.91</v>
      </c>
      <c r="G944">
        <f t="shared" si="43"/>
        <v>-6809.9100000000035</v>
      </c>
      <c r="H944">
        <v>-6809.91</v>
      </c>
      <c r="I944" s="3">
        <v>45045</v>
      </c>
      <c r="J944" s="1" t="s">
        <v>3790</v>
      </c>
      <c r="K944" s="1" t="s">
        <v>3823</v>
      </c>
      <c r="L944" s="1" t="s">
        <v>3784</v>
      </c>
      <c r="M944" s="1" t="s">
        <v>3809</v>
      </c>
      <c r="N944" t="str">
        <f t="shared" si="44"/>
        <v>Expense</v>
      </c>
      <c r="O944" t="str">
        <f t="shared" si="45"/>
        <v/>
      </c>
    </row>
    <row r="945" spans="1:15" x14ac:dyDescent="0.25">
      <c r="A945" s="1" t="s">
        <v>4772</v>
      </c>
      <c r="B945" s="1" t="s">
        <v>3828</v>
      </c>
      <c r="C945" s="1" t="s">
        <v>3821</v>
      </c>
      <c r="D945" s="1" t="s">
        <v>3826</v>
      </c>
      <c r="E945">
        <v>222437</v>
      </c>
      <c r="F945">
        <v>236308.27</v>
      </c>
      <c r="G945">
        <f t="shared" si="43"/>
        <v>-13871.26999999999</v>
      </c>
      <c r="H945">
        <v>-13871.27</v>
      </c>
      <c r="I945" s="3">
        <v>45210</v>
      </c>
      <c r="J945" s="1" t="s">
        <v>3782</v>
      </c>
      <c r="K945" s="1" t="s">
        <v>3783</v>
      </c>
      <c r="L945" s="1" t="s">
        <v>3784</v>
      </c>
      <c r="M945" s="1" t="s">
        <v>3809</v>
      </c>
      <c r="N945" t="str">
        <f t="shared" si="44"/>
        <v>Expense</v>
      </c>
      <c r="O945" t="str">
        <f t="shared" si="45"/>
        <v>Flag: High-Value Pending</v>
      </c>
    </row>
    <row r="946" spans="1:15" x14ac:dyDescent="0.25">
      <c r="A946" s="1" t="s">
        <v>4773</v>
      </c>
      <c r="B946" s="1" t="s">
        <v>3798</v>
      </c>
      <c r="C946" s="1" t="s">
        <v>3825</v>
      </c>
      <c r="D946" s="1" t="s">
        <v>3796</v>
      </c>
      <c r="E946">
        <v>331095</v>
      </c>
      <c r="F946">
        <v>379350.06</v>
      </c>
      <c r="G946">
        <f t="shared" si="43"/>
        <v>-48255.06</v>
      </c>
      <c r="H946">
        <v>-48255.06</v>
      </c>
      <c r="I946" s="3">
        <v>45615</v>
      </c>
      <c r="J946" s="1" t="s">
        <v>3790</v>
      </c>
      <c r="K946" s="1" t="s">
        <v>3823</v>
      </c>
      <c r="L946" s="1" t="s">
        <v>3800</v>
      </c>
      <c r="M946" s="1" t="s">
        <v>3809</v>
      </c>
      <c r="N946" t="str">
        <f t="shared" si="44"/>
        <v>Expense</v>
      </c>
      <c r="O946" t="str">
        <f t="shared" si="45"/>
        <v/>
      </c>
    </row>
    <row r="947" spans="1:15" x14ac:dyDescent="0.25">
      <c r="A947" s="1" t="s">
        <v>4774</v>
      </c>
      <c r="B947" s="1" t="s">
        <v>3787</v>
      </c>
      <c r="C947" s="1" t="s">
        <v>3788</v>
      </c>
      <c r="D947" s="1" t="s">
        <v>3850</v>
      </c>
      <c r="E947">
        <v>3139665</v>
      </c>
      <c r="F947">
        <v>2934545.77</v>
      </c>
      <c r="G947">
        <f t="shared" si="43"/>
        <v>205119.22999999998</v>
      </c>
      <c r="H947">
        <v>205119.23</v>
      </c>
      <c r="I947" s="3">
        <v>45049</v>
      </c>
      <c r="J947" s="1" t="s">
        <v>3790</v>
      </c>
      <c r="K947" s="1" t="s">
        <v>3783</v>
      </c>
      <c r="L947" s="1" t="s">
        <v>3784</v>
      </c>
      <c r="M947" s="1" t="s">
        <v>3831</v>
      </c>
      <c r="N947" t="str">
        <f t="shared" si="44"/>
        <v>Expense</v>
      </c>
      <c r="O947" t="str">
        <f t="shared" si="45"/>
        <v/>
      </c>
    </row>
    <row r="948" spans="1:15" x14ac:dyDescent="0.25">
      <c r="A948" s="1" t="s">
        <v>4775</v>
      </c>
      <c r="B948" s="1" t="s">
        <v>3839</v>
      </c>
      <c r="C948" s="1" t="s">
        <v>3848</v>
      </c>
      <c r="D948" s="1" t="s">
        <v>3834</v>
      </c>
      <c r="E948">
        <v>145773</v>
      </c>
      <c r="F948">
        <v>182855.52</v>
      </c>
      <c r="G948">
        <f t="shared" si="43"/>
        <v>-37082.51999999999</v>
      </c>
      <c r="H948">
        <v>-37082.519999999997</v>
      </c>
      <c r="I948" s="3">
        <v>45039</v>
      </c>
      <c r="J948" s="1" t="s">
        <v>3790</v>
      </c>
      <c r="K948" s="1" t="s">
        <v>3803</v>
      </c>
      <c r="L948" s="1" t="s">
        <v>3784</v>
      </c>
      <c r="M948" s="1" t="s">
        <v>51</v>
      </c>
      <c r="N948" t="str">
        <f t="shared" si="44"/>
        <v>Expense</v>
      </c>
      <c r="O948" t="str">
        <f t="shared" si="45"/>
        <v/>
      </c>
    </row>
    <row r="949" spans="1:15" x14ac:dyDescent="0.25">
      <c r="A949" s="1" t="s">
        <v>4776</v>
      </c>
      <c r="B949" s="1" t="s">
        <v>3794</v>
      </c>
      <c r="C949" s="1" t="s">
        <v>4878</v>
      </c>
      <c r="D949" s="1" t="s">
        <v>3895</v>
      </c>
      <c r="E949">
        <v>371827</v>
      </c>
      <c r="F949">
        <v>407887.03</v>
      </c>
      <c r="G949">
        <f t="shared" si="43"/>
        <v>-36060.030000000028</v>
      </c>
      <c r="H949">
        <v>-36060.03</v>
      </c>
      <c r="I949" s="3">
        <v>45366</v>
      </c>
      <c r="J949" s="1" t="s">
        <v>3790</v>
      </c>
      <c r="K949" s="1" t="s">
        <v>3823</v>
      </c>
      <c r="L949" s="1" t="s">
        <v>3784</v>
      </c>
      <c r="M949" s="1" t="s">
        <v>3817</v>
      </c>
      <c r="N949" t="str">
        <f t="shared" si="44"/>
        <v>Expense</v>
      </c>
      <c r="O949" t="str">
        <f t="shared" si="45"/>
        <v/>
      </c>
    </row>
    <row r="950" spans="1:15" x14ac:dyDescent="0.25">
      <c r="A950" s="1" t="s">
        <v>4777</v>
      </c>
      <c r="B950" s="1" t="s">
        <v>3811</v>
      </c>
      <c r="C950" s="1" t="s">
        <v>3858</v>
      </c>
      <c r="D950" s="1" t="s">
        <v>3789</v>
      </c>
      <c r="E950">
        <v>493349</v>
      </c>
      <c r="F950">
        <v>613825.41</v>
      </c>
      <c r="G950">
        <f t="shared" si="43"/>
        <v>-120476.41000000003</v>
      </c>
      <c r="H950">
        <v>-120476.41</v>
      </c>
      <c r="I950" s="3">
        <v>44991</v>
      </c>
      <c r="J950" s="1" t="s">
        <v>3790</v>
      </c>
      <c r="K950" s="1" t="s">
        <v>3783</v>
      </c>
      <c r="L950" s="1" t="s">
        <v>3804</v>
      </c>
      <c r="M950" s="1" t="s">
        <v>51</v>
      </c>
      <c r="N950" t="str">
        <f t="shared" si="44"/>
        <v>Expense</v>
      </c>
      <c r="O950" t="str">
        <f t="shared" si="45"/>
        <v/>
      </c>
    </row>
    <row r="951" spans="1:15" x14ac:dyDescent="0.25">
      <c r="A951" s="1" t="s">
        <v>4778</v>
      </c>
      <c r="B951" s="1" t="s">
        <v>3811</v>
      </c>
      <c r="C951" s="1" t="s">
        <v>3815</v>
      </c>
      <c r="D951" s="1" t="s">
        <v>3834</v>
      </c>
      <c r="E951">
        <v>228733</v>
      </c>
      <c r="F951">
        <v>273263.33</v>
      </c>
      <c r="G951">
        <f t="shared" si="43"/>
        <v>-44530.330000000016</v>
      </c>
      <c r="H951">
        <v>-44530.33</v>
      </c>
      <c r="I951" s="3">
        <v>45605</v>
      </c>
      <c r="J951" s="1" t="s">
        <v>3790</v>
      </c>
      <c r="K951" s="1" t="s">
        <v>3823</v>
      </c>
      <c r="L951" s="1" t="s">
        <v>3800</v>
      </c>
      <c r="M951" s="1" t="s">
        <v>3792</v>
      </c>
      <c r="N951" t="str">
        <f t="shared" si="44"/>
        <v>Expense</v>
      </c>
      <c r="O951" t="str">
        <f t="shared" si="45"/>
        <v/>
      </c>
    </row>
    <row r="952" spans="1:15" x14ac:dyDescent="0.25">
      <c r="A952" s="1" t="s">
        <v>4779</v>
      </c>
      <c r="B952" s="1" t="s">
        <v>3828</v>
      </c>
      <c r="C952" s="1" t="s">
        <v>3795</v>
      </c>
      <c r="D952" s="1" t="s">
        <v>3855</v>
      </c>
      <c r="E952">
        <v>398937</v>
      </c>
      <c r="F952">
        <v>503582.79</v>
      </c>
      <c r="G952">
        <f t="shared" si="43"/>
        <v>-104645.78999999998</v>
      </c>
      <c r="H952">
        <v>-104645.79</v>
      </c>
      <c r="I952" s="3">
        <v>45431</v>
      </c>
      <c r="J952" s="1" t="s">
        <v>3782</v>
      </c>
      <c r="K952" s="1" t="s">
        <v>3823</v>
      </c>
      <c r="L952" s="1" t="s">
        <v>3800</v>
      </c>
      <c r="M952" s="1" t="s">
        <v>51</v>
      </c>
      <c r="N952" t="str">
        <f t="shared" si="44"/>
        <v>Expense</v>
      </c>
      <c r="O952" t="str">
        <f t="shared" si="45"/>
        <v>Flag: High-Value Pending</v>
      </c>
    </row>
    <row r="953" spans="1:15" x14ac:dyDescent="0.25">
      <c r="A953" s="1" t="s">
        <v>4780</v>
      </c>
      <c r="B953" s="1" t="s">
        <v>3798</v>
      </c>
      <c r="C953" s="1" t="s">
        <v>3806</v>
      </c>
      <c r="D953" s="1" t="s">
        <v>3855</v>
      </c>
      <c r="E953">
        <v>173643</v>
      </c>
      <c r="F953">
        <v>153624.97</v>
      </c>
      <c r="G953">
        <f t="shared" si="43"/>
        <v>20018.03</v>
      </c>
      <c r="H953">
        <v>20018.03</v>
      </c>
      <c r="I953" s="3">
        <v>45036</v>
      </c>
      <c r="J953" s="1" t="s">
        <v>3790</v>
      </c>
      <c r="K953" s="1" t="s">
        <v>3823</v>
      </c>
      <c r="L953" s="1" t="s">
        <v>3784</v>
      </c>
      <c r="M953" s="1" t="s">
        <v>51</v>
      </c>
      <c r="N953" t="str">
        <f t="shared" si="44"/>
        <v>Expense</v>
      </c>
      <c r="O953" t="str">
        <f t="shared" si="45"/>
        <v/>
      </c>
    </row>
    <row r="954" spans="1:15" x14ac:dyDescent="0.25">
      <c r="A954" s="1" t="s">
        <v>4781</v>
      </c>
      <c r="B954" s="1" t="s">
        <v>3808</v>
      </c>
      <c r="C954" s="1" t="s">
        <v>3788</v>
      </c>
      <c r="D954" s="1" t="s">
        <v>3855</v>
      </c>
      <c r="E954">
        <v>234386</v>
      </c>
      <c r="F954">
        <v>212382.27</v>
      </c>
      <c r="G954">
        <f t="shared" si="43"/>
        <v>22003.73000000001</v>
      </c>
      <c r="I954" s="3">
        <v>45401</v>
      </c>
      <c r="J954" s="1" t="s">
        <v>3790</v>
      </c>
      <c r="K954" s="1" t="s">
        <v>3823</v>
      </c>
      <c r="L954" s="1" t="s">
        <v>3800</v>
      </c>
      <c r="M954" s="1" t="s">
        <v>51</v>
      </c>
      <c r="N954" t="str">
        <f t="shared" si="44"/>
        <v>Expense</v>
      </c>
      <c r="O954" t="str">
        <f t="shared" si="45"/>
        <v/>
      </c>
    </row>
    <row r="955" spans="1:15" x14ac:dyDescent="0.25">
      <c r="A955" s="1" t="s">
        <v>4782</v>
      </c>
      <c r="B955" s="1" t="s">
        <v>3839</v>
      </c>
      <c r="C955" s="1" t="s">
        <v>3780</v>
      </c>
      <c r="D955" s="1" t="s">
        <v>3867</v>
      </c>
      <c r="E955">
        <v>181746</v>
      </c>
      <c r="F955">
        <v>208947.95</v>
      </c>
      <c r="G955">
        <f t="shared" si="43"/>
        <v>-27201.950000000012</v>
      </c>
      <c r="H955">
        <v>-27201.95</v>
      </c>
      <c r="I955" s="3">
        <v>45528</v>
      </c>
      <c r="J955" s="1" t="s">
        <v>3790</v>
      </c>
      <c r="K955" s="1" t="s">
        <v>3823</v>
      </c>
      <c r="L955" s="1" t="s">
        <v>3800</v>
      </c>
      <c r="M955" s="1" t="s">
        <v>51</v>
      </c>
      <c r="N955" t="str">
        <f t="shared" si="44"/>
        <v>Expense</v>
      </c>
      <c r="O955" t="str">
        <f t="shared" si="45"/>
        <v/>
      </c>
    </row>
    <row r="956" spans="1:15" x14ac:dyDescent="0.25">
      <c r="A956" s="1" t="s">
        <v>4783</v>
      </c>
      <c r="B956" s="1" t="s">
        <v>3828</v>
      </c>
      <c r="C956" s="1" t="s">
        <v>3780</v>
      </c>
      <c r="D956" s="1" t="s">
        <v>3846</v>
      </c>
      <c r="E956">
        <v>55073</v>
      </c>
      <c r="F956">
        <v>58223.08</v>
      </c>
      <c r="G956">
        <f t="shared" si="43"/>
        <v>-3150.0800000000017</v>
      </c>
      <c r="H956">
        <v>-3150.08</v>
      </c>
      <c r="I956" s="3">
        <v>45034</v>
      </c>
      <c r="J956" s="1" t="s">
        <v>3790</v>
      </c>
      <c r="K956" s="1" t="s">
        <v>3783</v>
      </c>
      <c r="L956" s="1" t="s">
        <v>3784</v>
      </c>
      <c r="M956" s="1" t="s">
        <v>51</v>
      </c>
      <c r="N956" t="str">
        <f t="shared" si="44"/>
        <v>Expense</v>
      </c>
      <c r="O956" t="str">
        <f t="shared" si="45"/>
        <v/>
      </c>
    </row>
    <row r="957" spans="1:15" x14ac:dyDescent="0.25">
      <c r="A957" s="1" t="s">
        <v>4784</v>
      </c>
      <c r="B957" s="1" t="s">
        <v>3828</v>
      </c>
      <c r="C957" s="1" t="s">
        <v>3780</v>
      </c>
      <c r="D957" s="1" t="s">
        <v>3813</v>
      </c>
      <c r="E957">
        <v>49537</v>
      </c>
      <c r="F957">
        <v>40116.1</v>
      </c>
      <c r="G957">
        <f t="shared" si="43"/>
        <v>9420.9000000000015</v>
      </c>
      <c r="H957">
        <v>9420.9</v>
      </c>
      <c r="I957" s="3">
        <v>45203</v>
      </c>
      <c r="J957" s="1" t="s">
        <v>3790</v>
      </c>
      <c r="K957" s="1" t="s">
        <v>3823</v>
      </c>
      <c r="L957" s="1" t="s">
        <v>3784</v>
      </c>
      <c r="M957" s="1" t="s">
        <v>51</v>
      </c>
      <c r="N957" t="str">
        <f t="shared" si="44"/>
        <v>Expense</v>
      </c>
      <c r="O957" t="str">
        <f t="shared" si="45"/>
        <v/>
      </c>
    </row>
    <row r="958" spans="1:15" x14ac:dyDescent="0.25">
      <c r="A958" s="1" t="s">
        <v>4785</v>
      </c>
      <c r="B958" s="1" t="s">
        <v>3839</v>
      </c>
      <c r="C958" s="1" t="s">
        <v>3848</v>
      </c>
      <c r="D958" s="1" t="s">
        <v>3895</v>
      </c>
      <c r="E958">
        <v>459613</v>
      </c>
      <c r="F958">
        <v>431414.06</v>
      </c>
      <c r="G958">
        <f t="shared" si="43"/>
        <v>28198.940000000002</v>
      </c>
      <c r="H958">
        <v>28198.94</v>
      </c>
      <c r="I958" s="3">
        <v>45117</v>
      </c>
      <c r="J958" s="1" t="s">
        <v>3782</v>
      </c>
      <c r="K958" s="1" t="s">
        <v>3823</v>
      </c>
      <c r="L958" s="1" t="s">
        <v>3784</v>
      </c>
      <c r="M958" s="1" t="s">
        <v>51</v>
      </c>
      <c r="N958" t="str">
        <f t="shared" si="44"/>
        <v>Expense</v>
      </c>
      <c r="O958" t="str">
        <f t="shared" si="45"/>
        <v>Flag: High-Value Pending</v>
      </c>
    </row>
    <row r="959" spans="1:15" x14ac:dyDescent="0.25">
      <c r="A959" s="1" t="s">
        <v>4786</v>
      </c>
      <c r="B959" s="1" t="s">
        <v>3811</v>
      </c>
      <c r="C959" s="1" t="s">
        <v>3806</v>
      </c>
      <c r="D959" s="1" t="s">
        <v>3796</v>
      </c>
      <c r="E959">
        <v>475204</v>
      </c>
      <c r="F959">
        <v>489797.03</v>
      </c>
      <c r="G959">
        <f t="shared" si="43"/>
        <v>-14593.030000000028</v>
      </c>
      <c r="H959">
        <v>-14593.03</v>
      </c>
      <c r="I959" s="3">
        <v>45308</v>
      </c>
      <c r="J959" s="1" t="s">
        <v>3790</v>
      </c>
      <c r="K959" s="1" t="s">
        <v>3783</v>
      </c>
      <c r="L959" s="1" t="s">
        <v>3784</v>
      </c>
      <c r="M959" s="1" t="s">
        <v>51</v>
      </c>
      <c r="N959" t="str">
        <f t="shared" si="44"/>
        <v>Expense</v>
      </c>
      <c r="O959" t="str">
        <f t="shared" si="45"/>
        <v/>
      </c>
    </row>
    <row r="960" spans="1:15" x14ac:dyDescent="0.25">
      <c r="A960" s="1" t="s">
        <v>4787</v>
      </c>
      <c r="B960" s="1" t="s">
        <v>3798</v>
      </c>
      <c r="C960" s="1" t="s">
        <v>3825</v>
      </c>
      <c r="D960" s="1" t="s">
        <v>3855</v>
      </c>
      <c r="E960">
        <v>67835</v>
      </c>
      <c r="F960">
        <v>80281.960000000006</v>
      </c>
      <c r="G960">
        <f t="shared" si="43"/>
        <v>-12446.960000000006</v>
      </c>
      <c r="H960">
        <v>-12446.96</v>
      </c>
      <c r="I960" s="3">
        <v>45028</v>
      </c>
      <c r="J960" s="1" t="s">
        <v>3782</v>
      </c>
      <c r="K960" s="1" t="s">
        <v>3791</v>
      </c>
      <c r="L960" s="1" t="s">
        <v>3784</v>
      </c>
      <c r="M960" s="1" t="s">
        <v>3831</v>
      </c>
      <c r="N960" t="str">
        <f t="shared" si="44"/>
        <v>Expense</v>
      </c>
      <c r="O960" t="str">
        <f t="shared" si="45"/>
        <v/>
      </c>
    </row>
    <row r="961" spans="1:15" x14ac:dyDescent="0.25">
      <c r="A961" s="1" t="s">
        <v>4788</v>
      </c>
      <c r="B961" s="1" t="s">
        <v>3808</v>
      </c>
      <c r="C961" s="1" t="s">
        <v>3795</v>
      </c>
      <c r="D961" s="1" t="s">
        <v>3816</v>
      </c>
      <c r="E961">
        <v>78214</v>
      </c>
      <c r="F961">
        <v>79012.27</v>
      </c>
      <c r="G961">
        <f t="shared" si="43"/>
        <v>-798.27000000000407</v>
      </c>
      <c r="H961">
        <v>-798.27</v>
      </c>
      <c r="I961" s="3">
        <v>45260</v>
      </c>
      <c r="J961" s="1" t="s">
        <v>3790</v>
      </c>
      <c r="K961" s="1" t="s">
        <v>3791</v>
      </c>
      <c r="L961" s="1" t="s">
        <v>3784</v>
      </c>
      <c r="M961" s="1" t="s">
        <v>51</v>
      </c>
      <c r="N961" t="str">
        <f t="shared" si="44"/>
        <v>Expense</v>
      </c>
      <c r="O961" t="str">
        <f t="shared" si="45"/>
        <v/>
      </c>
    </row>
    <row r="962" spans="1:15" x14ac:dyDescent="0.25">
      <c r="A962" s="1" t="s">
        <v>4789</v>
      </c>
      <c r="B962" s="1" t="s">
        <v>3828</v>
      </c>
      <c r="C962" s="1" t="s">
        <v>3780</v>
      </c>
      <c r="D962" s="1" t="s">
        <v>3799</v>
      </c>
      <c r="E962">
        <v>411867</v>
      </c>
      <c r="F962">
        <v>391784.97</v>
      </c>
      <c r="G962">
        <f t="shared" ref="G962:G1001" si="46">IF(F962="","",E962-F962)</f>
        <v>20082.030000000028</v>
      </c>
      <c r="H962">
        <v>20082.03</v>
      </c>
      <c r="I962" s="3">
        <v>45514</v>
      </c>
      <c r="J962" s="1" t="s">
        <v>3790</v>
      </c>
      <c r="K962" s="1" t="s">
        <v>3791</v>
      </c>
      <c r="L962" s="1" t="s">
        <v>3800</v>
      </c>
      <c r="M962" s="1" t="s">
        <v>51</v>
      </c>
      <c r="N962" t="str">
        <f t="shared" si="44"/>
        <v>Expense</v>
      </c>
      <c r="O962" t="str">
        <f t="shared" si="45"/>
        <v/>
      </c>
    </row>
    <row r="963" spans="1:15" x14ac:dyDescent="0.25">
      <c r="A963" s="1" t="s">
        <v>4790</v>
      </c>
      <c r="B963" s="1" t="s">
        <v>3787</v>
      </c>
      <c r="C963" s="1" t="s">
        <v>3858</v>
      </c>
      <c r="D963" s="1" t="s">
        <v>3816</v>
      </c>
      <c r="E963">
        <v>327306</v>
      </c>
      <c r="F963">
        <v>335063.33</v>
      </c>
      <c r="G963">
        <f t="shared" si="46"/>
        <v>-7757.3300000000163</v>
      </c>
      <c r="H963">
        <v>-7757.33</v>
      </c>
      <c r="I963" s="3">
        <v>45682</v>
      </c>
      <c r="J963" s="1" t="s">
        <v>3790</v>
      </c>
      <c r="K963" s="1" t="s">
        <v>3791</v>
      </c>
      <c r="L963" s="1" t="s">
        <v>3800</v>
      </c>
      <c r="M963" s="1" t="s">
        <v>51</v>
      </c>
      <c r="N963" t="str">
        <f t="shared" ref="N963:N1001" si="47">IF(E963&lt;0,"Credit/Refund","Expense")</f>
        <v>Expense</v>
      </c>
      <c r="O963" t="str">
        <f t="shared" ref="O963:O1001" si="48">IF(AND(OR(J963="Pending",J963="Rejected"),E963&gt;200000),"Flag: High-Value "&amp;J963,"")</f>
        <v/>
      </c>
    </row>
    <row r="964" spans="1:15" x14ac:dyDescent="0.25">
      <c r="A964" s="1" t="s">
        <v>4791</v>
      </c>
      <c r="B964" s="1" t="s">
        <v>3828</v>
      </c>
      <c r="C964" s="1" t="s">
        <v>3788</v>
      </c>
      <c r="D964" s="1" t="s">
        <v>3796</v>
      </c>
      <c r="E964">
        <v>496776</v>
      </c>
      <c r="F964">
        <v>622433.26</v>
      </c>
      <c r="G964">
        <f t="shared" si="46"/>
        <v>-125657.26000000001</v>
      </c>
      <c r="H964">
        <v>-125657.26</v>
      </c>
      <c r="I964" s="3">
        <v>45738</v>
      </c>
      <c r="J964" s="1" t="s">
        <v>3790</v>
      </c>
      <c r="K964" s="1" t="s">
        <v>3803</v>
      </c>
      <c r="L964" s="1" t="s">
        <v>3800</v>
      </c>
      <c r="M964" s="1" t="s">
        <v>51</v>
      </c>
      <c r="N964" t="str">
        <f t="shared" si="47"/>
        <v>Expense</v>
      </c>
      <c r="O964" t="str">
        <f t="shared" si="48"/>
        <v/>
      </c>
    </row>
    <row r="965" spans="1:15" x14ac:dyDescent="0.25">
      <c r="A965" s="1" t="s">
        <v>4792</v>
      </c>
      <c r="B965" s="1" t="s">
        <v>3811</v>
      </c>
      <c r="C965" s="1" t="s">
        <v>3815</v>
      </c>
      <c r="D965" s="1" t="s">
        <v>3813</v>
      </c>
      <c r="E965">
        <v>153975</v>
      </c>
      <c r="F965">
        <v>125669.04</v>
      </c>
      <c r="G965">
        <f t="shared" si="46"/>
        <v>28305.960000000006</v>
      </c>
      <c r="H965">
        <v>28305.96</v>
      </c>
      <c r="I965" s="3">
        <v>45130</v>
      </c>
      <c r="J965" s="1" t="s">
        <v>3782</v>
      </c>
      <c r="K965" s="1" t="s">
        <v>3823</v>
      </c>
      <c r="L965" s="1" t="s">
        <v>3784</v>
      </c>
      <c r="M965" s="1" t="s">
        <v>3809</v>
      </c>
      <c r="N965" t="str">
        <f t="shared" si="47"/>
        <v>Expense</v>
      </c>
      <c r="O965" t="str">
        <f t="shared" si="48"/>
        <v/>
      </c>
    </row>
    <row r="966" spans="1:15" x14ac:dyDescent="0.25">
      <c r="A966" s="1" t="s">
        <v>4793</v>
      </c>
      <c r="B966" s="1" t="s">
        <v>3794</v>
      </c>
      <c r="C966" s="1" t="s">
        <v>3815</v>
      </c>
      <c r="D966" s="1" t="s">
        <v>3799</v>
      </c>
      <c r="E966">
        <v>111730</v>
      </c>
      <c r="F966">
        <v>143597.31</v>
      </c>
      <c r="G966">
        <f t="shared" si="46"/>
        <v>-31867.309999999998</v>
      </c>
      <c r="H966">
        <v>-31867.31</v>
      </c>
      <c r="I966" s="3">
        <v>45058</v>
      </c>
      <c r="J966" s="1" t="s">
        <v>3790</v>
      </c>
      <c r="K966" s="1" t="s">
        <v>3803</v>
      </c>
      <c r="L966" s="1" t="s">
        <v>3784</v>
      </c>
      <c r="M966" s="1" t="s">
        <v>51</v>
      </c>
      <c r="N966" t="str">
        <f t="shared" si="47"/>
        <v>Expense</v>
      </c>
      <c r="O966" t="str">
        <f t="shared" si="48"/>
        <v/>
      </c>
    </row>
    <row r="967" spans="1:15" x14ac:dyDescent="0.25">
      <c r="A967" s="1" t="s">
        <v>4794</v>
      </c>
      <c r="B967" s="1" t="s">
        <v>3808</v>
      </c>
      <c r="C967" s="1" t="s">
        <v>3821</v>
      </c>
      <c r="D967" s="1" t="s">
        <v>3789</v>
      </c>
      <c r="E967">
        <v>199917</v>
      </c>
      <c r="F967">
        <v>241477.78</v>
      </c>
      <c r="G967">
        <f t="shared" si="46"/>
        <v>-41560.78</v>
      </c>
      <c r="H967">
        <v>-41560.78</v>
      </c>
      <c r="I967" s="3">
        <v>44984</v>
      </c>
      <c r="J967" s="1" t="s">
        <v>3790</v>
      </c>
      <c r="K967" s="1" t="s">
        <v>3783</v>
      </c>
      <c r="L967" s="1" t="s">
        <v>3804</v>
      </c>
      <c r="M967" s="1" t="s">
        <v>3817</v>
      </c>
      <c r="N967" t="str">
        <f t="shared" si="47"/>
        <v>Expense</v>
      </c>
      <c r="O967" t="str">
        <f t="shared" si="48"/>
        <v/>
      </c>
    </row>
    <row r="968" spans="1:15" x14ac:dyDescent="0.25">
      <c r="A968" s="1" t="s">
        <v>4795</v>
      </c>
      <c r="B968" s="1" t="s">
        <v>3811</v>
      </c>
      <c r="C968" s="1" t="s">
        <v>3806</v>
      </c>
      <c r="D968" s="1" t="s">
        <v>3826</v>
      </c>
      <c r="E968">
        <v>173941</v>
      </c>
      <c r="F968">
        <v>195652.13</v>
      </c>
      <c r="G968">
        <f t="shared" si="46"/>
        <v>-21711.130000000005</v>
      </c>
      <c r="H968">
        <v>-21711.13</v>
      </c>
      <c r="I968" s="3">
        <v>45746</v>
      </c>
      <c r="J968" s="1" t="s">
        <v>3790</v>
      </c>
      <c r="K968" s="1" t="s">
        <v>3783</v>
      </c>
      <c r="L968" s="1" t="s">
        <v>3800</v>
      </c>
      <c r="M968" s="1" t="s">
        <v>3809</v>
      </c>
      <c r="N968" t="str">
        <f t="shared" si="47"/>
        <v>Expense</v>
      </c>
      <c r="O968" t="str">
        <f t="shared" si="48"/>
        <v/>
      </c>
    </row>
    <row r="969" spans="1:15" x14ac:dyDescent="0.25">
      <c r="A969" s="1" t="s">
        <v>4796</v>
      </c>
      <c r="B969" s="1" t="s">
        <v>3828</v>
      </c>
      <c r="C969" s="1" t="s">
        <v>3825</v>
      </c>
      <c r="D969" s="1" t="s">
        <v>3789</v>
      </c>
      <c r="E969">
        <v>174406</v>
      </c>
      <c r="F969">
        <v>178594.68</v>
      </c>
      <c r="G969">
        <f t="shared" si="46"/>
        <v>-4188.679999999993</v>
      </c>
      <c r="H969">
        <v>-4188.68</v>
      </c>
      <c r="I969" s="3">
        <v>45255</v>
      </c>
      <c r="J969" s="1" t="s">
        <v>3790</v>
      </c>
      <c r="K969" s="1" t="s">
        <v>3783</v>
      </c>
      <c r="L969" s="1" t="s">
        <v>3784</v>
      </c>
      <c r="M969" s="1" t="s">
        <v>51</v>
      </c>
      <c r="N969" t="str">
        <f t="shared" si="47"/>
        <v>Expense</v>
      </c>
      <c r="O969" t="str">
        <f t="shared" si="48"/>
        <v/>
      </c>
    </row>
    <row r="970" spans="1:15" x14ac:dyDescent="0.25">
      <c r="A970" s="1" t="s">
        <v>4797</v>
      </c>
      <c r="B970" s="1" t="s">
        <v>3794</v>
      </c>
      <c r="C970" s="1" t="s">
        <v>3795</v>
      </c>
      <c r="D970" s="1" t="s">
        <v>3802</v>
      </c>
      <c r="E970">
        <v>35690</v>
      </c>
      <c r="F970">
        <v>34616.5</v>
      </c>
      <c r="G970">
        <f t="shared" si="46"/>
        <v>1073.5</v>
      </c>
      <c r="H970">
        <v>1073.5</v>
      </c>
      <c r="I970" s="3">
        <v>45238</v>
      </c>
      <c r="J970" s="1" t="s">
        <v>3790</v>
      </c>
      <c r="K970" s="1" t="s">
        <v>3791</v>
      </c>
      <c r="L970" s="1" t="s">
        <v>3784</v>
      </c>
      <c r="M970" s="1" t="s">
        <v>51</v>
      </c>
      <c r="N970" t="str">
        <f t="shared" si="47"/>
        <v>Expense</v>
      </c>
      <c r="O970" t="str">
        <f t="shared" si="48"/>
        <v/>
      </c>
    </row>
    <row r="971" spans="1:15" x14ac:dyDescent="0.25">
      <c r="A971" s="1" t="s">
        <v>4798</v>
      </c>
      <c r="B971" s="1" t="s">
        <v>3839</v>
      </c>
      <c r="C971" s="1" t="s">
        <v>3815</v>
      </c>
      <c r="D971" s="1" t="s">
        <v>3802</v>
      </c>
      <c r="E971">
        <v>296369</v>
      </c>
      <c r="F971">
        <v>259622.89</v>
      </c>
      <c r="G971">
        <f t="shared" si="46"/>
        <v>36746.109999999986</v>
      </c>
      <c r="H971">
        <v>36746.11</v>
      </c>
      <c r="I971" s="3">
        <v>45341</v>
      </c>
      <c r="J971" s="1" t="s">
        <v>3790</v>
      </c>
      <c r="K971" s="1" t="s">
        <v>3791</v>
      </c>
      <c r="L971" s="1" t="s">
        <v>3784</v>
      </c>
      <c r="M971" s="1" t="s">
        <v>51</v>
      </c>
      <c r="N971" t="str">
        <f t="shared" si="47"/>
        <v>Expense</v>
      </c>
      <c r="O971" t="str">
        <f t="shared" si="48"/>
        <v/>
      </c>
    </row>
    <row r="972" spans="1:15" x14ac:dyDescent="0.25">
      <c r="A972" s="1" t="s">
        <v>4799</v>
      </c>
      <c r="B972" s="1" t="s">
        <v>3794</v>
      </c>
      <c r="C972" s="1" t="s">
        <v>3795</v>
      </c>
      <c r="D972" s="1" t="s">
        <v>3867</v>
      </c>
      <c r="E972">
        <v>95257</v>
      </c>
      <c r="G972" t="str">
        <f t="shared" si="46"/>
        <v/>
      </c>
      <c r="H972">
        <v>11964.93</v>
      </c>
      <c r="I972" s="3">
        <v>45364</v>
      </c>
      <c r="J972" s="1" t="s">
        <v>3859</v>
      </c>
      <c r="K972" s="1" t="s">
        <v>3783</v>
      </c>
      <c r="L972" s="1" t="s">
        <v>3784</v>
      </c>
      <c r="M972" s="1" t="s">
        <v>51</v>
      </c>
      <c r="N972" t="str">
        <f t="shared" si="47"/>
        <v>Expense</v>
      </c>
      <c r="O972" t="str">
        <f t="shared" si="48"/>
        <v/>
      </c>
    </row>
    <row r="973" spans="1:15" x14ac:dyDescent="0.25">
      <c r="A973" s="1" t="s">
        <v>4800</v>
      </c>
      <c r="B973" s="1" t="s">
        <v>3839</v>
      </c>
      <c r="C973" s="1" t="s">
        <v>3858</v>
      </c>
      <c r="D973" s="1" t="s">
        <v>3867</v>
      </c>
      <c r="E973">
        <v>484871</v>
      </c>
      <c r="F973">
        <v>414563.33</v>
      </c>
      <c r="G973">
        <f t="shared" si="46"/>
        <v>70307.669999999984</v>
      </c>
      <c r="H973">
        <v>70307.67</v>
      </c>
      <c r="I973" s="3">
        <v>45425</v>
      </c>
      <c r="J973" s="1" t="s">
        <v>3790</v>
      </c>
      <c r="K973" s="1" t="s">
        <v>3823</v>
      </c>
      <c r="L973" s="1" t="s">
        <v>3800</v>
      </c>
      <c r="M973" s="1" t="s">
        <v>3792</v>
      </c>
      <c r="N973" t="str">
        <f t="shared" si="47"/>
        <v>Expense</v>
      </c>
      <c r="O973" t="str">
        <f t="shared" si="48"/>
        <v/>
      </c>
    </row>
    <row r="974" spans="1:15" x14ac:dyDescent="0.25">
      <c r="A974" s="1" t="s">
        <v>4801</v>
      </c>
      <c r="B974" s="1" t="s">
        <v>3839</v>
      </c>
      <c r="C974" s="1" t="s">
        <v>3844</v>
      </c>
      <c r="D974" s="1" t="s">
        <v>3813</v>
      </c>
      <c r="E974">
        <v>484961</v>
      </c>
      <c r="F974">
        <v>551172.42000000004</v>
      </c>
      <c r="G974">
        <f t="shared" si="46"/>
        <v>-66211.420000000042</v>
      </c>
      <c r="H974">
        <v>-66211.42</v>
      </c>
      <c r="I974" s="3">
        <v>45117</v>
      </c>
      <c r="J974" s="1" t="s">
        <v>3790</v>
      </c>
      <c r="K974" s="1" t="s">
        <v>3783</v>
      </c>
      <c r="L974" s="1" t="s">
        <v>3784</v>
      </c>
      <c r="M974" s="1" t="s">
        <v>3817</v>
      </c>
      <c r="N974" t="str">
        <f t="shared" si="47"/>
        <v>Expense</v>
      </c>
      <c r="O974" t="str">
        <f t="shared" si="48"/>
        <v/>
      </c>
    </row>
    <row r="975" spans="1:15" x14ac:dyDescent="0.25">
      <c r="A975" s="1" t="s">
        <v>4802</v>
      </c>
      <c r="B975" s="1" t="s">
        <v>3828</v>
      </c>
      <c r="C975" s="1" t="s">
        <v>3812</v>
      </c>
      <c r="D975" s="1" t="s">
        <v>3781</v>
      </c>
      <c r="E975">
        <v>435152</v>
      </c>
      <c r="F975">
        <v>419757.66</v>
      </c>
      <c r="G975">
        <f t="shared" si="46"/>
        <v>15394.340000000026</v>
      </c>
      <c r="H975">
        <v>15394.34</v>
      </c>
      <c r="I975" s="3">
        <v>44983</v>
      </c>
      <c r="J975" s="1" t="s">
        <v>3790</v>
      </c>
      <c r="K975" s="1" t="s">
        <v>3783</v>
      </c>
      <c r="L975" s="1" t="s">
        <v>3804</v>
      </c>
      <c r="M975" s="1" t="s">
        <v>3817</v>
      </c>
      <c r="N975" t="str">
        <f t="shared" si="47"/>
        <v>Expense</v>
      </c>
      <c r="O975" t="str">
        <f t="shared" si="48"/>
        <v/>
      </c>
    </row>
    <row r="976" spans="1:15" x14ac:dyDescent="0.25">
      <c r="A976" s="1" t="s">
        <v>4803</v>
      </c>
      <c r="B976" s="1" t="s">
        <v>3787</v>
      </c>
      <c r="C976" s="1" t="s">
        <v>3815</v>
      </c>
      <c r="D976" s="1" t="s">
        <v>3822</v>
      </c>
      <c r="E976">
        <v>438261</v>
      </c>
      <c r="F976">
        <v>392680.27</v>
      </c>
      <c r="G976">
        <f t="shared" si="46"/>
        <v>45580.729999999981</v>
      </c>
      <c r="H976">
        <v>45580.73</v>
      </c>
      <c r="I976" s="3">
        <v>45237</v>
      </c>
      <c r="J976" s="1" t="s">
        <v>3859</v>
      </c>
      <c r="K976" s="1" t="s">
        <v>3783</v>
      </c>
      <c r="L976" s="1" t="s">
        <v>3784</v>
      </c>
      <c r="M976" s="1" t="s">
        <v>51</v>
      </c>
      <c r="N976" t="str">
        <f t="shared" si="47"/>
        <v>Expense</v>
      </c>
      <c r="O976" t="str">
        <f t="shared" si="48"/>
        <v>Flag: High-Value Rejected</v>
      </c>
    </row>
    <row r="977" spans="1:15" x14ac:dyDescent="0.25">
      <c r="A977" s="1" t="s">
        <v>4804</v>
      </c>
      <c r="B977" s="1" t="s">
        <v>3787</v>
      </c>
      <c r="C977" s="1" t="s">
        <v>3795</v>
      </c>
      <c r="D977" s="1" t="s">
        <v>3781</v>
      </c>
      <c r="E977">
        <v>316609</v>
      </c>
      <c r="F977">
        <v>265760.36</v>
      </c>
      <c r="G977">
        <f t="shared" si="46"/>
        <v>50848.640000000014</v>
      </c>
      <c r="H977">
        <v>50848.639999999999</v>
      </c>
      <c r="I977" s="3">
        <v>45215</v>
      </c>
      <c r="J977" s="1" t="s">
        <v>3782</v>
      </c>
      <c r="K977" s="1" t="s">
        <v>3823</v>
      </c>
      <c r="L977" s="1" t="s">
        <v>3784</v>
      </c>
      <c r="M977" s="1" t="s">
        <v>51</v>
      </c>
      <c r="N977" t="str">
        <f t="shared" si="47"/>
        <v>Expense</v>
      </c>
      <c r="O977" t="str">
        <f t="shared" si="48"/>
        <v>Flag: High-Value Pending</v>
      </c>
    </row>
    <row r="978" spans="1:15" x14ac:dyDescent="0.25">
      <c r="A978" s="1" t="s">
        <v>4805</v>
      </c>
      <c r="B978" s="1" t="s">
        <v>3811</v>
      </c>
      <c r="C978" s="1" t="s">
        <v>3815</v>
      </c>
      <c r="D978" s="1" t="s">
        <v>3867</v>
      </c>
      <c r="E978">
        <v>329541</v>
      </c>
      <c r="F978">
        <v>374513.75</v>
      </c>
      <c r="G978">
        <f t="shared" si="46"/>
        <v>-44972.75</v>
      </c>
      <c r="H978">
        <v>-44972.75</v>
      </c>
      <c r="I978" s="3">
        <v>45695</v>
      </c>
      <c r="J978" s="1" t="s">
        <v>3790</v>
      </c>
      <c r="K978" s="1" t="s">
        <v>3783</v>
      </c>
      <c r="L978" s="1" t="s">
        <v>3800</v>
      </c>
      <c r="M978" s="1" t="s">
        <v>51</v>
      </c>
      <c r="N978" t="str">
        <f t="shared" si="47"/>
        <v>Expense</v>
      </c>
      <c r="O978" t="str">
        <f t="shared" si="48"/>
        <v/>
      </c>
    </row>
    <row r="979" spans="1:15" x14ac:dyDescent="0.25">
      <c r="A979" s="1" t="s">
        <v>4806</v>
      </c>
      <c r="B979" s="1" t="s">
        <v>3787</v>
      </c>
      <c r="C979" s="1" t="s">
        <v>3858</v>
      </c>
      <c r="D979" s="1" t="s">
        <v>3781</v>
      </c>
      <c r="E979">
        <v>205509</v>
      </c>
      <c r="F979">
        <v>263773.81</v>
      </c>
      <c r="G979">
        <f t="shared" si="46"/>
        <v>-58264.81</v>
      </c>
      <c r="H979">
        <v>-58264.81</v>
      </c>
      <c r="I979" s="3">
        <v>45466</v>
      </c>
      <c r="J979" s="1" t="s">
        <v>3782</v>
      </c>
      <c r="K979" s="1" t="s">
        <v>3791</v>
      </c>
      <c r="L979" s="1" t="s">
        <v>3800</v>
      </c>
      <c r="M979" s="1" t="s">
        <v>3809</v>
      </c>
      <c r="N979" t="str">
        <f t="shared" si="47"/>
        <v>Expense</v>
      </c>
      <c r="O979" t="str">
        <f t="shared" si="48"/>
        <v>Flag: High-Value Pending</v>
      </c>
    </row>
    <row r="980" spans="1:15" x14ac:dyDescent="0.25">
      <c r="A980" s="1" t="s">
        <v>4807</v>
      </c>
      <c r="B980" s="1" t="s">
        <v>3808</v>
      </c>
      <c r="C980" s="1" t="s">
        <v>3821</v>
      </c>
      <c r="D980" s="1" t="s">
        <v>3855</v>
      </c>
      <c r="E980">
        <v>203711</v>
      </c>
      <c r="F980">
        <v>167309.89000000001</v>
      </c>
      <c r="G980">
        <f t="shared" si="46"/>
        <v>36401.109999999986</v>
      </c>
      <c r="H980">
        <v>36401.11</v>
      </c>
      <c r="I980" s="3">
        <v>45482</v>
      </c>
      <c r="J980" s="1" t="s">
        <v>3859</v>
      </c>
      <c r="K980" s="1" t="s">
        <v>3783</v>
      </c>
      <c r="L980" s="1" t="s">
        <v>3800</v>
      </c>
      <c r="M980" s="1" t="s">
        <v>51</v>
      </c>
      <c r="N980" t="str">
        <f t="shared" si="47"/>
        <v>Expense</v>
      </c>
      <c r="O980" t="str">
        <f t="shared" si="48"/>
        <v>Flag: High-Value Rejected</v>
      </c>
    </row>
    <row r="981" spans="1:15" x14ac:dyDescent="0.25">
      <c r="A981" s="1" t="s">
        <v>4808</v>
      </c>
      <c r="B981" s="1" t="s">
        <v>3798</v>
      </c>
      <c r="C981" s="1" t="s">
        <v>3821</v>
      </c>
      <c r="D981" s="1" t="s">
        <v>3834</v>
      </c>
      <c r="E981">
        <v>374984</v>
      </c>
      <c r="F981">
        <v>474429.06</v>
      </c>
      <c r="G981">
        <f t="shared" si="46"/>
        <v>-99445.06</v>
      </c>
      <c r="H981">
        <v>-99445.06</v>
      </c>
      <c r="I981" s="3">
        <v>45200</v>
      </c>
      <c r="J981" s="1" t="s">
        <v>3859</v>
      </c>
      <c r="K981" s="1" t="s">
        <v>3823</v>
      </c>
      <c r="L981" s="1" t="s">
        <v>3784</v>
      </c>
      <c r="M981" s="1" t="s">
        <v>3831</v>
      </c>
      <c r="N981" t="str">
        <f t="shared" si="47"/>
        <v>Expense</v>
      </c>
      <c r="O981" t="str">
        <f t="shared" si="48"/>
        <v>Flag: High-Value Rejected</v>
      </c>
    </row>
    <row r="982" spans="1:15" x14ac:dyDescent="0.25">
      <c r="A982" s="1" t="s">
        <v>4809</v>
      </c>
      <c r="B982" s="1" t="s">
        <v>3839</v>
      </c>
      <c r="C982" s="1" t="s">
        <v>3848</v>
      </c>
      <c r="D982" s="1" t="s">
        <v>3837</v>
      </c>
      <c r="E982">
        <v>63562</v>
      </c>
      <c r="F982">
        <v>72261.86</v>
      </c>
      <c r="G982">
        <f t="shared" si="46"/>
        <v>-8699.86</v>
      </c>
      <c r="H982">
        <v>-8699.86</v>
      </c>
      <c r="I982" s="3">
        <v>45398</v>
      </c>
      <c r="J982" s="1" t="s">
        <v>3859</v>
      </c>
      <c r="K982" s="1" t="s">
        <v>3823</v>
      </c>
      <c r="L982" s="1" t="s">
        <v>3800</v>
      </c>
      <c r="M982" s="1" t="s">
        <v>51</v>
      </c>
      <c r="N982" t="str">
        <f t="shared" si="47"/>
        <v>Expense</v>
      </c>
      <c r="O982" t="str">
        <f t="shared" si="48"/>
        <v/>
      </c>
    </row>
    <row r="983" spans="1:15" x14ac:dyDescent="0.25">
      <c r="A983" s="1" t="s">
        <v>4810</v>
      </c>
      <c r="B983" s="1" t="s">
        <v>3828</v>
      </c>
      <c r="C983" s="1" t="s">
        <v>3844</v>
      </c>
      <c r="D983" s="1" t="s">
        <v>3813</v>
      </c>
      <c r="E983">
        <v>103409</v>
      </c>
      <c r="F983">
        <v>126559.48</v>
      </c>
      <c r="G983">
        <f t="shared" si="46"/>
        <v>-23150.479999999996</v>
      </c>
      <c r="H983">
        <v>-23150.48</v>
      </c>
      <c r="I983" s="3">
        <v>45303</v>
      </c>
      <c r="J983" s="1" t="s">
        <v>3790</v>
      </c>
      <c r="K983" s="1" t="s">
        <v>3823</v>
      </c>
      <c r="L983" s="1" t="s">
        <v>3784</v>
      </c>
      <c r="M983" s="1" t="s">
        <v>51</v>
      </c>
      <c r="N983" t="str">
        <f t="shared" si="47"/>
        <v>Expense</v>
      </c>
      <c r="O983" t="str">
        <f t="shared" si="48"/>
        <v/>
      </c>
    </row>
    <row r="984" spans="1:15" x14ac:dyDescent="0.25">
      <c r="A984" s="1" t="s">
        <v>4811</v>
      </c>
      <c r="B984" s="1" t="s">
        <v>3787</v>
      </c>
      <c r="C984" s="1" t="s">
        <v>3821</v>
      </c>
      <c r="D984" s="1" t="s">
        <v>3826</v>
      </c>
      <c r="E984">
        <v>225695</v>
      </c>
      <c r="F984">
        <v>282111.32</v>
      </c>
      <c r="G984">
        <f t="shared" si="46"/>
        <v>-56416.320000000007</v>
      </c>
      <c r="H984">
        <v>-56416.32</v>
      </c>
      <c r="I984" s="3">
        <v>44977</v>
      </c>
      <c r="J984" s="1" t="s">
        <v>3790</v>
      </c>
      <c r="K984" s="1" t="s">
        <v>3791</v>
      </c>
      <c r="L984" s="1" t="s">
        <v>3804</v>
      </c>
      <c r="M984" s="1" t="s">
        <v>3817</v>
      </c>
      <c r="N984" t="str">
        <f t="shared" si="47"/>
        <v>Expense</v>
      </c>
      <c r="O984" t="str">
        <f t="shared" si="48"/>
        <v/>
      </c>
    </row>
    <row r="985" spans="1:15" x14ac:dyDescent="0.25">
      <c r="A985" s="1" t="s">
        <v>4812</v>
      </c>
      <c r="B985" s="1" t="s">
        <v>3839</v>
      </c>
      <c r="C985" s="1" t="s">
        <v>3825</v>
      </c>
      <c r="D985" s="1" t="s">
        <v>3789</v>
      </c>
      <c r="E985">
        <v>176260</v>
      </c>
      <c r="F985">
        <v>144798.84</v>
      </c>
      <c r="G985">
        <f t="shared" si="46"/>
        <v>31461.160000000003</v>
      </c>
      <c r="H985">
        <v>31461.16</v>
      </c>
      <c r="I985" s="3">
        <v>45336</v>
      </c>
      <c r="J985" s="1" t="s">
        <v>3859</v>
      </c>
      <c r="K985" s="1" t="s">
        <v>3803</v>
      </c>
      <c r="L985" s="1" t="s">
        <v>3784</v>
      </c>
      <c r="M985" s="1" t="s">
        <v>3817</v>
      </c>
      <c r="N985" t="str">
        <f t="shared" si="47"/>
        <v>Expense</v>
      </c>
      <c r="O985" t="str">
        <f t="shared" si="48"/>
        <v/>
      </c>
    </row>
    <row r="986" spans="1:15" x14ac:dyDescent="0.25">
      <c r="A986" s="1" t="s">
        <v>4813</v>
      </c>
      <c r="B986" s="1" t="s">
        <v>3794</v>
      </c>
      <c r="C986" s="1" t="s">
        <v>3815</v>
      </c>
      <c r="D986" s="1" t="s">
        <v>3895</v>
      </c>
      <c r="E986">
        <v>46862</v>
      </c>
      <c r="F986">
        <v>51765.35</v>
      </c>
      <c r="G986">
        <f t="shared" si="46"/>
        <v>-4903.3499999999985</v>
      </c>
      <c r="H986">
        <v>-4903.3500000000004</v>
      </c>
      <c r="I986" s="3">
        <v>45628</v>
      </c>
      <c r="J986" s="1" t="s">
        <v>3790</v>
      </c>
      <c r="K986" s="1" t="s">
        <v>3823</v>
      </c>
      <c r="L986" s="1" t="s">
        <v>3800</v>
      </c>
      <c r="M986" s="1" t="s">
        <v>51</v>
      </c>
      <c r="N986" t="str">
        <f t="shared" si="47"/>
        <v>Expense</v>
      </c>
      <c r="O986" t="str">
        <f t="shared" si="48"/>
        <v/>
      </c>
    </row>
    <row r="987" spans="1:15" x14ac:dyDescent="0.25">
      <c r="A987" s="1" t="s">
        <v>4814</v>
      </c>
      <c r="B987" s="1" t="s">
        <v>3787</v>
      </c>
      <c r="C987" s="1" t="s">
        <v>4878</v>
      </c>
      <c r="D987" s="1" t="s">
        <v>3895</v>
      </c>
      <c r="E987">
        <v>463343</v>
      </c>
      <c r="F987">
        <v>477823.89</v>
      </c>
      <c r="G987">
        <f t="shared" si="46"/>
        <v>-14480.890000000014</v>
      </c>
      <c r="I987" s="3">
        <v>45559</v>
      </c>
      <c r="J987" s="1" t="s">
        <v>3790</v>
      </c>
      <c r="K987" s="1" t="s">
        <v>3783</v>
      </c>
      <c r="L987" s="1" t="s">
        <v>3800</v>
      </c>
      <c r="M987" s="1" t="s">
        <v>51</v>
      </c>
      <c r="N987" t="str">
        <f t="shared" si="47"/>
        <v>Expense</v>
      </c>
      <c r="O987" t="str">
        <f t="shared" si="48"/>
        <v/>
      </c>
    </row>
    <row r="988" spans="1:15" x14ac:dyDescent="0.25">
      <c r="A988" s="1" t="s">
        <v>4815</v>
      </c>
      <c r="B988" s="1" t="s">
        <v>3798</v>
      </c>
      <c r="C988" s="1" t="s">
        <v>3795</v>
      </c>
      <c r="D988" s="1" t="s">
        <v>3799</v>
      </c>
      <c r="E988">
        <v>237696</v>
      </c>
      <c r="F988">
        <v>303276.53999999998</v>
      </c>
      <c r="G988">
        <f t="shared" si="46"/>
        <v>-65580.539999999979</v>
      </c>
      <c r="H988">
        <v>-65580.539999999994</v>
      </c>
      <c r="I988" s="3">
        <v>45668</v>
      </c>
      <c r="J988" s="1" t="s">
        <v>3790</v>
      </c>
      <c r="K988" s="1" t="s">
        <v>3823</v>
      </c>
      <c r="L988" s="1" t="s">
        <v>3800</v>
      </c>
      <c r="M988" s="1" t="s">
        <v>3792</v>
      </c>
      <c r="N988" t="str">
        <f t="shared" si="47"/>
        <v>Expense</v>
      </c>
      <c r="O988" t="str">
        <f t="shared" si="48"/>
        <v/>
      </c>
    </row>
    <row r="989" spans="1:15" x14ac:dyDescent="0.25">
      <c r="A989" s="1" t="s">
        <v>4816</v>
      </c>
      <c r="B989" s="1" t="s">
        <v>3787</v>
      </c>
      <c r="C989" s="1" t="s">
        <v>3821</v>
      </c>
      <c r="D989" s="1" t="s">
        <v>3796</v>
      </c>
      <c r="E989">
        <v>369677</v>
      </c>
      <c r="G989" t="str">
        <f t="shared" si="46"/>
        <v/>
      </c>
      <c r="H989">
        <v>22161.08</v>
      </c>
      <c r="I989" s="3">
        <v>45184</v>
      </c>
      <c r="J989" s="1" t="s">
        <v>3790</v>
      </c>
      <c r="K989" s="1" t="s">
        <v>3791</v>
      </c>
      <c r="L989" s="1" t="s">
        <v>3784</v>
      </c>
      <c r="M989" s="1" t="s">
        <v>51</v>
      </c>
      <c r="N989" t="str">
        <f t="shared" si="47"/>
        <v>Expense</v>
      </c>
      <c r="O989" t="str">
        <f t="shared" si="48"/>
        <v/>
      </c>
    </row>
    <row r="990" spans="1:15" x14ac:dyDescent="0.25">
      <c r="A990" s="1" t="s">
        <v>4817</v>
      </c>
      <c r="B990" s="1" t="s">
        <v>3798</v>
      </c>
      <c r="C990" s="1" t="s">
        <v>3788</v>
      </c>
      <c r="D990" s="1" t="s">
        <v>3799</v>
      </c>
      <c r="E990">
        <v>96536</v>
      </c>
      <c r="F990">
        <v>120913.93</v>
      </c>
      <c r="G990">
        <f t="shared" si="46"/>
        <v>-24377.929999999993</v>
      </c>
      <c r="H990">
        <v>-24377.93</v>
      </c>
      <c r="I990" s="3">
        <v>45214</v>
      </c>
      <c r="J990" s="1" t="s">
        <v>3782</v>
      </c>
      <c r="K990" s="1" t="s">
        <v>3791</v>
      </c>
      <c r="L990" s="1" t="s">
        <v>3784</v>
      </c>
      <c r="M990" s="1" t="s">
        <v>51</v>
      </c>
      <c r="N990" t="str">
        <f t="shared" si="47"/>
        <v>Expense</v>
      </c>
      <c r="O990" t="str">
        <f t="shared" si="48"/>
        <v/>
      </c>
    </row>
    <row r="991" spans="1:15" x14ac:dyDescent="0.25">
      <c r="A991" s="1" t="s">
        <v>4818</v>
      </c>
      <c r="B991" s="1" t="s">
        <v>3808</v>
      </c>
      <c r="C991" s="1" t="s">
        <v>3844</v>
      </c>
      <c r="D991" s="1" t="s">
        <v>3846</v>
      </c>
      <c r="E991">
        <v>263547</v>
      </c>
      <c r="G991" t="str">
        <f t="shared" si="46"/>
        <v/>
      </c>
      <c r="H991">
        <v>33941.35</v>
      </c>
      <c r="I991" s="3">
        <v>45537</v>
      </c>
      <c r="J991" s="1" t="s">
        <v>3859</v>
      </c>
      <c r="K991" s="1" t="s">
        <v>3791</v>
      </c>
      <c r="L991" s="1" t="s">
        <v>3800</v>
      </c>
      <c r="M991" s="1" t="s">
        <v>51</v>
      </c>
      <c r="N991" t="str">
        <f t="shared" si="47"/>
        <v>Expense</v>
      </c>
      <c r="O991" t="str">
        <f t="shared" si="48"/>
        <v>Flag: High-Value Rejected</v>
      </c>
    </row>
    <row r="992" spans="1:15" x14ac:dyDescent="0.25">
      <c r="A992" s="1" t="s">
        <v>4819</v>
      </c>
      <c r="B992" s="1" t="s">
        <v>3787</v>
      </c>
      <c r="C992" s="1" t="s">
        <v>3795</v>
      </c>
      <c r="D992" s="1" t="s">
        <v>3789</v>
      </c>
      <c r="E992">
        <v>99314</v>
      </c>
      <c r="F992">
        <v>101175.77</v>
      </c>
      <c r="G992">
        <f t="shared" si="46"/>
        <v>-1861.7700000000041</v>
      </c>
      <c r="H992">
        <v>-1861.77</v>
      </c>
      <c r="I992" s="3">
        <v>45286</v>
      </c>
      <c r="J992" s="1" t="s">
        <v>3790</v>
      </c>
      <c r="K992" s="1" t="s">
        <v>3823</v>
      </c>
      <c r="L992" s="1" t="s">
        <v>3784</v>
      </c>
      <c r="M992" s="1" t="s">
        <v>51</v>
      </c>
      <c r="N992" t="str">
        <f t="shared" si="47"/>
        <v>Expense</v>
      </c>
      <c r="O992" t="str">
        <f t="shared" si="48"/>
        <v/>
      </c>
    </row>
    <row r="993" spans="1:15" x14ac:dyDescent="0.25">
      <c r="A993" s="1" t="s">
        <v>4820</v>
      </c>
      <c r="B993" s="1" t="s">
        <v>3808</v>
      </c>
      <c r="C993" s="1" t="s">
        <v>3861</v>
      </c>
      <c r="D993" s="1" t="s">
        <v>3789</v>
      </c>
      <c r="E993">
        <v>45983</v>
      </c>
      <c r="F993">
        <v>43718.5</v>
      </c>
      <c r="G993">
        <f t="shared" si="46"/>
        <v>2264.5</v>
      </c>
      <c r="H993">
        <v>2264.5</v>
      </c>
      <c r="I993" s="3">
        <v>45302</v>
      </c>
      <c r="J993" s="1" t="s">
        <v>3790</v>
      </c>
      <c r="K993" s="1" t="s">
        <v>3791</v>
      </c>
      <c r="L993" s="1" t="s">
        <v>3784</v>
      </c>
      <c r="M993" s="1" t="s">
        <v>3809</v>
      </c>
      <c r="N993" t="str">
        <f t="shared" si="47"/>
        <v>Expense</v>
      </c>
      <c r="O993" t="str">
        <f t="shared" si="48"/>
        <v/>
      </c>
    </row>
    <row r="994" spans="1:15" x14ac:dyDescent="0.25">
      <c r="A994" s="1" t="s">
        <v>4821</v>
      </c>
      <c r="B994" s="1" t="s">
        <v>3839</v>
      </c>
      <c r="C994" s="1" t="s">
        <v>3848</v>
      </c>
      <c r="D994" s="1" t="s">
        <v>3867</v>
      </c>
      <c r="E994">
        <v>203154</v>
      </c>
      <c r="F994">
        <v>200909.71</v>
      </c>
      <c r="G994">
        <f t="shared" si="46"/>
        <v>2244.2900000000081</v>
      </c>
      <c r="H994">
        <v>2244.29</v>
      </c>
      <c r="I994" s="3">
        <v>45636</v>
      </c>
      <c r="J994" s="1" t="s">
        <v>3790</v>
      </c>
      <c r="K994" s="1" t="s">
        <v>3823</v>
      </c>
      <c r="L994" s="1" t="s">
        <v>3800</v>
      </c>
      <c r="M994" s="1" t="s">
        <v>51</v>
      </c>
      <c r="N994" t="str">
        <f t="shared" si="47"/>
        <v>Expense</v>
      </c>
      <c r="O994" t="str">
        <f t="shared" si="48"/>
        <v/>
      </c>
    </row>
    <row r="995" spans="1:15" x14ac:dyDescent="0.25">
      <c r="A995" s="1" t="s">
        <v>4822</v>
      </c>
      <c r="B995" s="1" t="s">
        <v>3839</v>
      </c>
      <c r="C995" s="1" t="s">
        <v>3806</v>
      </c>
      <c r="D995" s="1" t="s">
        <v>3822</v>
      </c>
      <c r="E995">
        <v>486116</v>
      </c>
      <c r="F995">
        <v>574372.51</v>
      </c>
      <c r="G995">
        <f t="shared" si="46"/>
        <v>-88256.510000000009</v>
      </c>
      <c r="H995">
        <v>-88256.51</v>
      </c>
      <c r="I995" s="3">
        <v>45310</v>
      </c>
      <c r="J995" s="1" t="s">
        <v>3790</v>
      </c>
      <c r="K995" s="1" t="s">
        <v>3783</v>
      </c>
      <c r="L995" s="1" t="s">
        <v>3784</v>
      </c>
      <c r="M995" s="1" t="s">
        <v>51</v>
      </c>
      <c r="N995" t="str">
        <f t="shared" si="47"/>
        <v>Expense</v>
      </c>
      <c r="O995" t="str">
        <f t="shared" si="48"/>
        <v/>
      </c>
    </row>
    <row r="996" spans="1:15" x14ac:dyDescent="0.25">
      <c r="A996" s="1" t="s">
        <v>4823</v>
      </c>
      <c r="B996" s="1" t="s">
        <v>3811</v>
      </c>
      <c r="C996" s="1" t="s">
        <v>3806</v>
      </c>
      <c r="D996" s="1" t="s">
        <v>3826</v>
      </c>
      <c r="E996">
        <v>203965</v>
      </c>
      <c r="F996">
        <v>231171.86</v>
      </c>
      <c r="G996">
        <f t="shared" si="46"/>
        <v>-27206.859999999986</v>
      </c>
      <c r="H996">
        <v>-27206.86</v>
      </c>
      <c r="I996" s="3">
        <v>45525</v>
      </c>
      <c r="J996" s="1" t="s">
        <v>3790</v>
      </c>
      <c r="K996" s="1" t="s">
        <v>3803</v>
      </c>
      <c r="L996" s="1" t="s">
        <v>3800</v>
      </c>
      <c r="M996" s="1" t="s">
        <v>51</v>
      </c>
      <c r="N996" t="str">
        <f t="shared" si="47"/>
        <v>Expense</v>
      </c>
      <c r="O996" t="str">
        <f t="shared" si="48"/>
        <v/>
      </c>
    </row>
    <row r="997" spans="1:15" x14ac:dyDescent="0.25">
      <c r="A997" s="1" t="s">
        <v>4824</v>
      </c>
      <c r="B997" s="1" t="s">
        <v>3798</v>
      </c>
      <c r="C997" s="1" t="s">
        <v>3821</v>
      </c>
      <c r="D997" s="1" t="s">
        <v>3822</v>
      </c>
      <c r="E997">
        <v>110275</v>
      </c>
      <c r="F997">
        <v>127267.2</v>
      </c>
      <c r="G997">
        <f t="shared" si="46"/>
        <v>-16992.199999999997</v>
      </c>
      <c r="H997">
        <v>-16992.2</v>
      </c>
      <c r="I997" s="3">
        <v>45209</v>
      </c>
      <c r="J997" s="1" t="s">
        <v>3790</v>
      </c>
      <c r="K997" s="1" t="s">
        <v>3823</v>
      </c>
      <c r="L997" s="1" t="s">
        <v>3784</v>
      </c>
      <c r="M997" s="1" t="s">
        <v>51</v>
      </c>
      <c r="N997" t="str">
        <f t="shared" si="47"/>
        <v>Expense</v>
      </c>
      <c r="O997" t="str">
        <f t="shared" si="48"/>
        <v/>
      </c>
    </row>
    <row r="998" spans="1:15" x14ac:dyDescent="0.25">
      <c r="A998" s="1" t="s">
        <v>4825</v>
      </c>
      <c r="B998" s="1" t="s">
        <v>3811</v>
      </c>
      <c r="C998" s="1" t="s">
        <v>3812</v>
      </c>
      <c r="D998" s="1" t="s">
        <v>3802</v>
      </c>
      <c r="E998">
        <v>255503</v>
      </c>
      <c r="F998">
        <v>291452.08</v>
      </c>
      <c r="G998">
        <f t="shared" si="46"/>
        <v>-35949.080000000016</v>
      </c>
      <c r="H998">
        <v>-35949.08</v>
      </c>
      <c r="I998" s="3">
        <v>45479</v>
      </c>
      <c r="J998" s="1" t="s">
        <v>3790</v>
      </c>
      <c r="K998" s="1" t="s">
        <v>3783</v>
      </c>
      <c r="L998" s="1" t="s">
        <v>3800</v>
      </c>
      <c r="M998" s="1" t="s">
        <v>3785</v>
      </c>
      <c r="N998" t="str">
        <f t="shared" si="47"/>
        <v>Expense</v>
      </c>
      <c r="O998" t="str">
        <f t="shared" si="48"/>
        <v/>
      </c>
    </row>
    <row r="999" spans="1:15" x14ac:dyDescent="0.25">
      <c r="A999" s="1" t="s">
        <v>4826</v>
      </c>
      <c r="B999" s="1" t="s">
        <v>3808</v>
      </c>
      <c r="C999" s="1" t="s">
        <v>3861</v>
      </c>
      <c r="D999" s="1" t="s">
        <v>3789</v>
      </c>
      <c r="E999">
        <v>100368</v>
      </c>
      <c r="F999">
        <v>99027.89</v>
      </c>
      <c r="G999">
        <f t="shared" si="46"/>
        <v>1340.1100000000006</v>
      </c>
      <c r="H999">
        <v>1340.11</v>
      </c>
      <c r="I999" s="3">
        <v>45626</v>
      </c>
      <c r="J999" s="1" t="s">
        <v>3859</v>
      </c>
      <c r="K999" s="1" t="s">
        <v>3803</v>
      </c>
      <c r="L999" s="1" t="s">
        <v>3800</v>
      </c>
      <c r="M999" s="1" t="s">
        <v>3785</v>
      </c>
      <c r="N999" t="str">
        <f t="shared" si="47"/>
        <v>Expense</v>
      </c>
      <c r="O999" t="str">
        <f t="shared" si="48"/>
        <v/>
      </c>
    </row>
    <row r="1000" spans="1:15" x14ac:dyDescent="0.25">
      <c r="A1000" s="1" t="s">
        <v>4827</v>
      </c>
      <c r="B1000" s="1" t="s">
        <v>3787</v>
      </c>
      <c r="C1000" s="1" t="s">
        <v>3812</v>
      </c>
      <c r="D1000" s="1" t="s">
        <v>3813</v>
      </c>
      <c r="E1000">
        <v>495273</v>
      </c>
      <c r="F1000">
        <v>476285.59</v>
      </c>
      <c r="G1000">
        <f t="shared" si="46"/>
        <v>18987.409999999974</v>
      </c>
      <c r="H1000">
        <v>18987.41</v>
      </c>
      <c r="I1000" s="3">
        <v>44941</v>
      </c>
      <c r="J1000" s="1" t="s">
        <v>3790</v>
      </c>
      <c r="K1000" s="1" t="s">
        <v>3803</v>
      </c>
      <c r="L1000" s="1" t="s">
        <v>3804</v>
      </c>
      <c r="M1000" s="1" t="s">
        <v>3817</v>
      </c>
      <c r="N1000" t="str">
        <f t="shared" si="47"/>
        <v>Expense</v>
      </c>
      <c r="O1000" t="str">
        <f t="shared" si="48"/>
        <v/>
      </c>
    </row>
    <row r="1001" spans="1:15" x14ac:dyDescent="0.25">
      <c r="A1001" s="1" t="s">
        <v>4828</v>
      </c>
      <c r="B1001" s="1" t="s">
        <v>3794</v>
      </c>
      <c r="C1001" s="1" t="s">
        <v>3788</v>
      </c>
      <c r="D1001" s="1" t="s">
        <v>3781</v>
      </c>
      <c r="E1001">
        <v>235938</v>
      </c>
      <c r="F1001">
        <v>291327.15000000002</v>
      </c>
      <c r="G1001">
        <f t="shared" si="46"/>
        <v>-55389.150000000023</v>
      </c>
      <c r="H1001">
        <v>-55389.15</v>
      </c>
      <c r="I1001" s="3">
        <v>45477</v>
      </c>
      <c r="J1001" s="1" t="s">
        <v>3790</v>
      </c>
      <c r="K1001" s="1" t="s">
        <v>3791</v>
      </c>
      <c r="L1001" s="1" t="s">
        <v>3800</v>
      </c>
      <c r="M1001" s="1" t="s">
        <v>3785</v>
      </c>
      <c r="N1001" t="str">
        <f t="shared" si="47"/>
        <v>Expense</v>
      </c>
      <c r="O1001" t="str">
        <f t="shared" si="48"/>
        <v/>
      </c>
    </row>
    <row r="1002" spans="1:15" x14ac:dyDescent="0.25">
      <c r="I1002"/>
    </row>
    <row r="1003" spans="1:15" x14ac:dyDescent="0.25">
      <c r="I1003"/>
    </row>
    <row r="1004" spans="1:15" x14ac:dyDescent="0.25">
      <c r="I1004"/>
    </row>
    <row r="1005" spans="1:15" x14ac:dyDescent="0.25">
      <c r="I1005"/>
    </row>
    <row r="1006" spans="1:15" x14ac:dyDescent="0.25">
      <c r="I1006"/>
    </row>
    <row r="1007" spans="1:15" x14ac:dyDescent="0.25">
      <c r="I1007"/>
    </row>
    <row r="1008" spans="1:15" x14ac:dyDescent="0.25">
      <c r="I1008"/>
    </row>
    <row r="1009" spans="9:9" x14ac:dyDescent="0.25">
      <c r="I1009"/>
    </row>
    <row r="1010" spans="9:9" x14ac:dyDescent="0.25">
      <c r="I1010"/>
    </row>
    <row r="1011" spans="9:9" x14ac:dyDescent="0.25">
      <c r="I1011"/>
    </row>
    <row r="1012" spans="9:9" x14ac:dyDescent="0.25">
      <c r="I1012"/>
    </row>
    <row r="1013" spans="9:9" x14ac:dyDescent="0.25">
      <c r="I1013"/>
    </row>
    <row r="1014" spans="9:9" x14ac:dyDescent="0.25">
      <c r="I1014"/>
    </row>
    <row r="1015" spans="9:9" x14ac:dyDescent="0.25">
      <c r="I1015"/>
    </row>
    <row r="1016" spans="9:9" x14ac:dyDescent="0.25">
      <c r="I1016"/>
    </row>
    <row r="1017" spans="9:9" x14ac:dyDescent="0.25">
      <c r="I1017"/>
    </row>
    <row r="1018" spans="9:9" x14ac:dyDescent="0.25">
      <c r="I1018"/>
    </row>
    <row r="1019" spans="9:9" x14ac:dyDescent="0.25">
      <c r="I1019"/>
    </row>
    <row r="1020" spans="9:9" x14ac:dyDescent="0.25">
      <c r="I1020"/>
    </row>
    <row r="1021" spans="9:9" x14ac:dyDescent="0.25">
      <c r="I1021"/>
    </row>
    <row r="1022" spans="9:9" x14ac:dyDescent="0.25">
      <c r="I1022"/>
    </row>
    <row r="1023" spans="9:9" x14ac:dyDescent="0.25">
      <c r="I1023"/>
    </row>
    <row r="1024" spans="9:9" x14ac:dyDescent="0.25">
      <c r="I1024"/>
    </row>
    <row r="1025" spans="9:9" x14ac:dyDescent="0.25">
      <c r="I1025"/>
    </row>
    <row r="1026" spans="9:9" x14ac:dyDescent="0.25">
      <c r="I1026"/>
    </row>
    <row r="1027" spans="9:9" x14ac:dyDescent="0.25">
      <c r="I1027"/>
    </row>
    <row r="1028" spans="9:9" x14ac:dyDescent="0.25">
      <c r="I1028"/>
    </row>
    <row r="1029" spans="9:9" x14ac:dyDescent="0.25">
      <c r="I1029"/>
    </row>
    <row r="1030" spans="9:9" x14ac:dyDescent="0.25">
      <c r="I1030"/>
    </row>
    <row r="1031" spans="9:9" x14ac:dyDescent="0.25">
      <c r="I1031"/>
    </row>
    <row r="1032" spans="9:9" x14ac:dyDescent="0.25">
      <c r="I1032"/>
    </row>
    <row r="1033" spans="9:9" x14ac:dyDescent="0.25">
      <c r="I1033"/>
    </row>
    <row r="1034" spans="9:9" x14ac:dyDescent="0.25">
      <c r="I1034"/>
    </row>
    <row r="1035" spans="9:9" x14ac:dyDescent="0.25">
      <c r="I1035"/>
    </row>
    <row r="1036" spans="9:9" x14ac:dyDescent="0.25">
      <c r="I1036"/>
    </row>
    <row r="1037" spans="9:9" x14ac:dyDescent="0.25">
      <c r="I1037"/>
    </row>
    <row r="1038" spans="9:9" x14ac:dyDescent="0.25">
      <c r="I1038"/>
    </row>
    <row r="1039" spans="9:9" x14ac:dyDescent="0.25">
      <c r="I1039"/>
    </row>
    <row r="1040" spans="9:9" x14ac:dyDescent="0.25">
      <c r="I1040"/>
    </row>
    <row r="1041" spans="9:9" x14ac:dyDescent="0.25">
      <c r="I1041"/>
    </row>
    <row r="1042" spans="9:9" x14ac:dyDescent="0.25">
      <c r="I1042"/>
    </row>
    <row r="1043" spans="9:9" x14ac:dyDescent="0.25">
      <c r="I1043"/>
    </row>
    <row r="1044" spans="9:9" x14ac:dyDescent="0.25">
      <c r="I1044"/>
    </row>
    <row r="1045" spans="9:9" x14ac:dyDescent="0.25">
      <c r="I1045"/>
    </row>
    <row r="1046" spans="9:9" x14ac:dyDescent="0.25">
      <c r="I1046"/>
    </row>
    <row r="1047" spans="9:9" x14ac:dyDescent="0.25">
      <c r="I1047"/>
    </row>
    <row r="1048" spans="9:9" x14ac:dyDescent="0.25">
      <c r="I1048"/>
    </row>
    <row r="1049" spans="9:9" x14ac:dyDescent="0.25">
      <c r="I1049"/>
    </row>
    <row r="1050" spans="9:9" x14ac:dyDescent="0.25">
      <c r="I1050"/>
    </row>
    <row r="1051" spans="9:9" x14ac:dyDescent="0.25">
      <c r="I105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showGridLines="0" topLeftCell="A3" zoomScale="80" zoomScaleNormal="80" workbookViewId="0">
      <selection activeCell="G32" sqref="G32"/>
    </sheetView>
  </sheetViews>
  <sheetFormatPr defaultColWidth="8.7109375" defaultRowHeight="15" x14ac:dyDescent="0.25"/>
  <cols>
    <col min="1" max="1" width="32.85546875" style="5" customWidth="1"/>
    <col min="2" max="2" width="14.28515625" style="5" customWidth="1"/>
    <col min="3" max="3" width="17.85546875" style="5" bestFit="1" customWidth="1"/>
    <col min="4" max="10" width="12" style="5" bestFit="1" customWidth="1"/>
    <col min="11" max="11" width="13.140625" style="5" bestFit="1" customWidth="1"/>
    <col min="12" max="12" width="16.140625" style="5" bestFit="1" customWidth="1"/>
    <col min="13" max="13" width="22.140625" style="5" bestFit="1" customWidth="1"/>
    <col min="14" max="14" width="16.140625" style="5" bestFit="1" customWidth="1"/>
    <col min="15" max="15" width="22.140625" style="5" bestFit="1" customWidth="1"/>
    <col min="16" max="16" width="16.140625" style="5" bestFit="1" customWidth="1"/>
    <col min="17" max="17" width="22.140625" style="5" bestFit="1" customWidth="1"/>
    <col min="18" max="18" width="16.140625" style="5" bestFit="1" customWidth="1"/>
    <col min="19" max="19" width="22.140625" style="5" bestFit="1" customWidth="1"/>
    <col min="20" max="20" width="21.42578125" style="5" bestFit="1" customWidth="1"/>
    <col min="21" max="21" width="27.28515625" style="5" bestFit="1" customWidth="1"/>
    <col min="22" max="16384" width="8.7109375" style="5"/>
  </cols>
  <sheetData>
    <row r="1" spans="1:11" ht="22.5" x14ac:dyDescent="0.3">
      <c r="A1" s="29" t="s">
        <v>4875</v>
      </c>
    </row>
    <row r="2" spans="1:11" x14ac:dyDescent="0.25">
      <c r="A2" s="13" t="s">
        <v>4876</v>
      </c>
    </row>
    <row r="4" spans="1:11" ht="20.25" x14ac:dyDescent="0.3">
      <c r="A4" s="12" t="s">
        <v>4837</v>
      </c>
    </row>
    <row r="5" spans="1:11" ht="14.1" customHeight="1" x14ac:dyDescent="0.25">
      <c r="A5" s="16" t="s">
        <v>4838</v>
      </c>
    </row>
    <row r="6" spans="1:11" x14ac:dyDescent="0.25">
      <c r="A6" s="8" t="s">
        <v>4843</v>
      </c>
      <c r="B6" s="8" t="s">
        <v>4839</v>
      </c>
    </row>
    <row r="7" spans="1:11" x14ac:dyDescent="0.25">
      <c r="A7" s="23" t="s">
        <v>4841</v>
      </c>
      <c r="B7" s="52" t="s">
        <v>35</v>
      </c>
      <c r="C7" s="52" t="s">
        <v>69</v>
      </c>
      <c r="D7" s="52" t="s">
        <v>63</v>
      </c>
      <c r="E7" s="52" t="s">
        <v>30</v>
      </c>
      <c r="F7" s="52" t="s">
        <v>107</v>
      </c>
      <c r="G7" s="52" t="s">
        <v>102</v>
      </c>
      <c r="H7" s="52" t="s">
        <v>149</v>
      </c>
      <c r="I7" s="52" t="s">
        <v>21</v>
      </c>
      <c r="J7" s="52" t="s">
        <v>42</v>
      </c>
      <c r="K7" s="52" t="s">
        <v>4840</v>
      </c>
    </row>
    <row r="8" spans="1:11" x14ac:dyDescent="0.25">
      <c r="A8" s="18" t="s">
        <v>18</v>
      </c>
      <c r="B8" s="25">
        <v>9141005</v>
      </c>
      <c r="C8" s="25">
        <v>9689942</v>
      </c>
      <c r="D8" s="25">
        <v>11235371</v>
      </c>
      <c r="E8" s="25">
        <v>12418633</v>
      </c>
      <c r="F8" s="25">
        <v>11860603</v>
      </c>
      <c r="G8" s="25">
        <v>13566424</v>
      </c>
      <c r="H8" s="25">
        <v>11346226</v>
      </c>
      <c r="I8" s="25">
        <v>9339682</v>
      </c>
      <c r="J8" s="25">
        <v>9138527</v>
      </c>
      <c r="K8" s="25">
        <v>97736413</v>
      </c>
    </row>
    <row r="9" spans="1:11" x14ac:dyDescent="0.25">
      <c r="A9" s="18" t="s">
        <v>40</v>
      </c>
      <c r="B9" s="25">
        <v>23298342</v>
      </c>
      <c r="C9" s="25">
        <v>19839336</v>
      </c>
      <c r="D9" s="25">
        <v>15486634</v>
      </c>
      <c r="E9" s="25">
        <v>21194799</v>
      </c>
      <c r="F9" s="25">
        <v>13903057</v>
      </c>
      <c r="G9" s="25">
        <v>16417272</v>
      </c>
      <c r="H9" s="25">
        <v>17997739</v>
      </c>
      <c r="I9" s="25">
        <v>22994816</v>
      </c>
      <c r="J9" s="25">
        <v>17248504</v>
      </c>
      <c r="K9" s="25">
        <v>168380499</v>
      </c>
    </row>
    <row r="10" spans="1:11" x14ac:dyDescent="0.25">
      <c r="A10" s="18" t="s">
        <v>129</v>
      </c>
      <c r="B10" s="25">
        <v>12206699</v>
      </c>
      <c r="C10" s="25">
        <v>8752913</v>
      </c>
      <c r="D10" s="25">
        <v>11486069</v>
      </c>
      <c r="E10" s="25">
        <v>13861972</v>
      </c>
      <c r="F10" s="25">
        <v>10747999</v>
      </c>
      <c r="G10" s="25">
        <v>11427216</v>
      </c>
      <c r="H10" s="25">
        <v>13882593</v>
      </c>
      <c r="I10" s="25">
        <v>11154542</v>
      </c>
      <c r="J10" s="25">
        <v>11906162</v>
      </c>
      <c r="K10" s="25">
        <v>105426165</v>
      </c>
    </row>
    <row r="11" spans="1:11" x14ac:dyDescent="0.25">
      <c r="A11" s="18" t="s">
        <v>33</v>
      </c>
      <c r="B11" s="25">
        <v>15444405</v>
      </c>
      <c r="C11" s="25">
        <v>13171347</v>
      </c>
      <c r="D11" s="25">
        <v>19932319</v>
      </c>
      <c r="E11" s="25">
        <v>12101534</v>
      </c>
      <c r="F11" s="25">
        <v>17246961</v>
      </c>
      <c r="G11" s="25">
        <v>18600069</v>
      </c>
      <c r="H11" s="25">
        <v>14770864</v>
      </c>
      <c r="I11" s="25">
        <v>14497360</v>
      </c>
      <c r="J11" s="25">
        <v>12170242</v>
      </c>
      <c r="K11" s="25">
        <v>137935101</v>
      </c>
    </row>
    <row r="12" spans="1:11" x14ac:dyDescent="0.25">
      <c r="A12" s="18" t="s">
        <v>27</v>
      </c>
      <c r="B12" s="25">
        <v>6542137</v>
      </c>
      <c r="C12" s="25">
        <v>12292551</v>
      </c>
      <c r="D12" s="25">
        <v>8303277</v>
      </c>
      <c r="E12" s="25">
        <v>11244293</v>
      </c>
      <c r="F12" s="25">
        <v>7761452</v>
      </c>
      <c r="G12" s="25">
        <v>4429654</v>
      </c>
      <c r="H12" s="25">
        <v>8460044</v>
      </c>
      <c r="I12" s="25">
        <v>7564203</v>
      </c>
      <c r="J12" s="25">
        <v>6202016</v>
      </c>
      <c r="K12" s="25">
        <v>72799627</v>
      </c>
    </row>
    <row r="13" spans="1:11" x14ac:dyDescent="0.25">
      <c r="A13" s="18" t="s">
        <v>53</v>
      </c>
      <c r="B13" s="25">
        <v>11504094</v>
      </c>
      <c r="C13" s="25">
        <v>13245808</v>
      </c>
      <c r="D13" s="25">
        <v>14278340</v>
      </c>
      <c r="E13" s="25">
        <v>14189296</v>
      </c>
      <c r="F13" s="25">
        <v>11142002</v>
      </c>
      <c r="G13" s="25">
        <v>10554962</v>
      </c>
      <c r="H13" s="25">
        <v>13217207</v>
      </c>
      <c r="I13" s="25">
        <v>10086169</v>
      </c>
      <c r="J13" s="25">
        <v>15644643</v>
      </c>
      <c r="K13" s="25">
        <v>113862521</v>
      </c>
    </row>
    <row r="14" spans="1:11" x14ac:dyDescent="0.25">
      <c r="A14" s="18" t="s">
        <v>4840</v>
      </c>
      <c r="B14" s="25">
        <v>78136682</v>
      </c>
      <c r="C14" s="25">
        <v>76991897</v>
      </c>
      <c r="D14" s="25">
        <v>80722010</v>
      </c>
      <c r="E14" s="25">
        <v>85010527</v>
      </c>
      <c r="F14" s="25">
        <v>72662074</v>
      </c>
      <c r="G14" s="25">
        <v>74995597</v>
      </c>
      <c r="H14" s="25">
        <v>79674673</v>
      </c>
      <c r="I14" s="25">
        <v>75636772</v>
      </c>
      <c r="J14" s="25">
        <v>72310094</v>
      </c>
      <c r="K14" s="25">
        <v>696140326</v>
      </c>
    </row>
    <row r="16" spans="1:11" s="28" customFormat="1" ht="15.75" x14ac:dyDescent="0.25">
      <c r="A16" s="27" t="s">
        <v>4844</v>
      </c>
    </row>
    <row r="17" spans="1:11" x14ac:dyDescent="0.25">
      <c r="A17" s="8" t="s">
        <v>4842</v>
      </c>
      <c r="B17" s="8" t="s">
        <v>4839</v>
      </c>
    </row>
    <row r="18" spans="1:11" x14ac:dyDescent="0.25">
      <c r="A18" s="17" t="s">
        <v>4841</v>
      </c>
      <c r="B18" s="48" t="s">
        <v>35</v>
      </c>
      <c r="C18" s="48" t="s">
        <v>69</v>
      </c>
      <c r="D18" s="48" t="s">
        <v>63</v>
      </c>
      <c r="E18" s="48" t="s">
        <v>30</v>
      </c>
      <c r="F18" s="48" t="s">
        <v>107</v>
      </c>
      <c r="G18" s="48" t="s">
        <v>102</v>
      </c>
      <c r="H18" s="48" t="s">
        <v>149</v>
      </c>
      <c r="I18" s="48" t="s">
        <v>21</v>
      </c>
      <c r="J18" s="48" t="s">
        <v>42</v>
      </c>
      <c r="K18" s="48" t="s">
        <v>4840</v>
      </c>
    </row>
    <row r="19" spans="1:11" x14ac:dyDescent="0.25">
      <c r="A19" s="18" t="s">
        <v>18</v>
      </c>
      <c r="B19" s="24">
        <v>30</v>
      </c>
      <c r="C19" s="24">
        <v>39</v>
      </c>
      <c r="D19" s="24">
        <v>46</v>
      </c>
      <c r="E19" s="24">
        <v>44</v>
      </c>
      <c r="F19" s="24">
        <v>46</v>
      </c>
      <c r="G19" s="24">
        <v>44</v>
      </c>
      <c r="H19" s="24">
        <v>43</v>
      </c>
      <c r="I19" s="24">
        <v>36</v>
      </c>
      <c r="J19" s="24">
        <v>33</v>
      </c>
      <c r="K19" s="24">
        <v>361</v>
      </c>
    </row>
    <row r="20" spans="1:11" x14ac:dyDescent="0.25">
      <c r="A20" s="18" t="s">
        <v>40</v>
      </c>
      <c r="B20" s="24">
        <v>81</v>
      </c>
      <c r="C20" s="24">
        <v>69</v>
      </c>
      <c r="D20" s="24">
        <v>63</v>
      </c>
      <c r="E20" s="24">
        <v>79</v>
      </c>
      <c r="F20" s="24">
        <v>56</v>
      </c>
      <c r="G20" s="24">
        <v>60</v>
      </c>
      <c r="H20" s="24">
        <v>72</v>
      </c>
      <c r="I20" s="24">
        <v>83</v>
      </c>
      <c r="J20" s="24">
        <v>61</v>
      </c>
      <c r="K20" s="24">
        <v>624</v>
      </c>
    </row>
    <row r="21" spans="1:11" x14ac:dyDescent="0.25">
      <c r="A21" s="18" t="s">
        <v>129</v>
      </c>
      <c r="B21" s="24">
        <v>50</v>
      </c>
      <c r="C21" s="24">
        <v>38</v>
      </c>
      <c r="D21" s="24">
        <v>41</v>
      </c>
      <c r="E21" s="24">
        <v>52</v>
      </c>
      <c r="F21" s="24">
        <v>40</v>
      </c>
      <c r="G21" s="24">
        <v>42</v>
      </c>
      <c r="H21" s="24">
        <v>45</v>
      </c>
      <c r="I21" s="24">
        <v>39</v>
      </c>
      <c r="J21" s="24">
        <v>46</v>
      </c>
      <c r="K21" s="24">
        <v>393</v>
      </c>
    </row>
    <row r="22" spans="1:11" x14ac:dyDescent="0.25">
      <c r="A22" s="18" t="s">
        <v>33</v>
      </c>
      <c r="B22" s="24">
        <v>56</v>
      </c>
      <c r="C22" s="24">
        <v>42</v>
      </c>
      <c r="D22" s="24">
        <v>58</v>
      </c>
      <c r="E22" s="24">
        <v>44</v>
      </c>
      <c r="F22" s="24">
        <v>47</v>
      </c>
      <c r="G22" s="24">
        <v>62</v>
      </c>
      <c r="H22" s="24">
        <v>50</v>
      </c>
      <c r="I22" s="24">
        <v>55</v>
      </c>
      <c r="J22" s="24">
        <v>42</v>
      </c>
      <c r="K22" s="24">
        <v>456</v>
      </c>
    </row>
    <row r="23" spans="1:11" x14ac:dyDescent="0.25">
      <c r="A23" s="18" t="s">
        <v>27</v>
      </c>
      <c r="B23" s="24">
        <v>26</v>
      </c>
      <c r="C23" s="24">
        <v>32</v>
      </c>
      <c r="D23" s="24">
        <v>25</v>
      </c>
      <c r="E23" s="24">
        <v>42</v>
      </c>
      <c r="F23" s="24">
        <v>25</v>
      </c>
      <c r="G23" s="24">
        <v>19</v>
      </c>
      <c r="H23" s="24">
        <v>30</v>
      </c>
      <c r="I23" s="24">
        <v>28</v>
      </c>
      <c r="J23" s="24">
        <v>30</v>
      </c>
      <c r="K23" s="24">
        <v>257</v>
      </c>
    </row>
    <row r="24" spans="1:11" x14ac:dyDescent="0.25">
      <c r="A24" s="18" t="s">
        <v>53</v>
      </c>
      <c r="B24" s="24">
        <v>43</v>
      </c>
      <c r="C24" s="24">
        <v>54</v>
      </c>
      <c r="D24" s="24">
        <v>49</v>
      </c>
      <c r="E24" s="24">
        <v>48</v>
      </c>
      <c r="F24" s="24">
        <v>42</v>
      </c>
      <c r="G24" s="24">
        <v>39</v>
      </c>
      <c r="H24" s="24">
        <v>42</v>
      </c>
      <c r="I24" s="24">
        <v>40</v>
      </c>
      <c r="J24" s="24">
        <v>52</v>
      </c>
      <c r="K24" s="24">
        <v>409</v>
      </c>
    </row>
    <row r="25" spans="1:11" x14ac:dyDescent="0.25">
      <c r="A25" s="18" t="s">
        <v>4840</v>
      </c>
      <c r="B25" s="24">
        <v>286</v>
      </c>
      <c r="C25" s="24">
        <v>274</v>
      </c>
      <c r="D25" s="24">
        <v>282</v>
      </c>
      <c r="E25" s="24">
        <v>309</v>
      </c>
      <c r="F25" s="24">
        <v>256</v>
      </c>
      <c r="G25" s="24">
        <v>266</v>
      </c>
      <c r="H25" s="24">
        <v>282</v>
      </c>
      <c r="I25" s="24">
        <v>281</v>
      </c>
      <c r="J25" s="24">
        <v>264</v>
      </c>
      <c r="K25" s="24">
        <v>2500</v>
      </c>
    </row>
    <row r="27" spans="1:11" ht="20.25" x14ac:dyDescent="0.3">
      <c r="A27" s="12" t="s">
        <v>4851</v>
      </c>
    </row>
    <row r="28" spans="1:11" x14ac:dyDescent="0.25">
      <c r="A28" s="13" t="s">
        <v>4852</v>
      </c>
    </row>
    <row r="29" spans="1:11" ht="15.75" x14ac:dyDescent="0.25">
      <c r="A29" s="27" t="s">
        <v>4853</v>
      </c>
    </row>
    <row r="30" spans="1:11" x14ac:dyDescent="0.25">
      <c r="A30" s="50" t="s">
        <v>1</v>
      </c>
      <c r="B30" s="51" t="s">
        <v>40</v>
      </c>
      <c r="C30" s="51" t="s">
        <v>18</v>
      </c>
      <c r="D30" s="51" t="s">
        <v>4846</v>
      </c>
      <c r="E30" s="51" t="s">
        <v>4847</v>
      </c>
    </row>
    <row r="31" spans="1:11" x14ac:dyDescent="0.25">
      <c r="A31" s="20" t="s">
        <v>59</v>
      </c>
      <c r="B31" s="58">
        <f>COUNTIFS('Cleaned_Sales_Deals'!$B$2:$B$2501,$A31,'Cleaned_Sales_Deals'!$F$2:$F$2501,"Closed Won")</f>
        <v>39</v>
      </c>
      <c r="C31" s="58">
        <f>COUNTIFS('Cleaned_Sales_Deals'!$B$2:$B$2501,$A31,'Cleaned_Sales_Deals'!$F$2:$F$2501,"Closed Lost")</f>
        <v>24</v>
      </c>
      <c r="D31" s="21">
        <f>B31+C31</f>
        <v>63</v>
      </c>
      <c r="E31" s="22">
        <f>IF(B31+C31=0,0,B31/(B31+C31))</f>
        <v>0.61904761904761907</v>
      </c>
    </row>
    <row r="32" spans="1:11" x14ac:dyDescent="0.25">
      <c r="A32" s="20" t="s">
        <v>23</v>
      </c>
      <c r="B32" s="58">
        <f>COUNTIFS('Cleaned_Sales_Deals'!$B$2:$B$2501,$A32,'Cleaned_Sales_Deals'!$F$2:$F$2501,"Closed Won")</f>
        <v>39</v>
      </c>
      <c r="C32" s="58">
        <f>COUNTIFS('Cleaned_Sales_Deals'!$B$2:$B$2501,$A32,'Cleaned_Sales_Deals'!$F$2:$F$2501,"Closed Lost")</f>
        <v>31</v>
      </c>
      <c r="D32" s="21">
        <f t="shared" ref="D32:D46" si="0">B32+C32</f>
        <v>70</v>
      </c>
      <c r="E32" s="22">
        <f t="shared" ref="E32:E46" si="1">IF(B32+C32=0,0,B32/(B32+C32))</f>
        <v>0.55714285714285716</v>
      </c>
    </row>
    <row r="33" spans="1:5" x14ac:dyDescent="0.25">
      <c r="A33" s="20" t="s">
        <v>75</v>
      </c>
      <c r="B33" s="58">
        <f>COUNTIFS('Cleaned_Sales_Deals'!$B$2:$B$2501,$A33,'Cleaned_Sales_Deals'!$F$2:$F$2501,"Closed Won")</f>
        <v>39</v>
      </c>
      <c r="C33" s="58">
        <f>COUNTIFS('Cleaned_Sales_Deals'!$B$2:$B$2501,$A33,'Cleaned_Sales_Deals'!$F$2:$F$2501,"Closed Lost")</f>
        <v>22</v>
      </c>
      <c r="D33" s="21">
        <f t="shared" si="0"/>
        <v>61</v>
      </c>
      <c r="E33" s="22">
        <f t="shared" si="1"/>
        <v>0.63934426229508201</v>
      </c>
    </row>
    <row r="34" spans="1:5" x14ac:dyDescent="0.25">
      <c r="A34" s="20" t="s">
        <v>109</v>
      </c>
      <c r="B34" s="58">
        <f>COUNTIFS('Cleaned_Sales_Deals'!$B$2:$B$2501,$A34,'Cleaned_Sales_Deals'!$F$2:$F$2501,"Closed Won")</f>
        <v>39</v>
      </c>
      <c r="C34" s="58">
        <f>COUNTIFS('Cleaned_Sales_Deals'!$B$2:$B$2501,$A34,'Cleaned_Sales_Deals'!$F$2:$F$2501,"Closed Lost")</f>
        <v>16</v>
      </c>
      <c r="D34" s="21">
        <f t="shared" si="0"/>
        <v>55</v>
      </c>
      <c r="E34" s="22">
        <f t="shared" si="1"/>
        <v>0.70909090909090911</v>
      </c>
    </row>
    <row r="35" spans="1:5" x14ac:dyDescent="0.25">
      <c r="A35" s="20" t="s">
        <v>127</v>
      </c>
      <c r="B35" s="58">
        <f>COUNTIFS('Cleaned_Sales_Deals'!$B$2:$B$2501,$A35,'Cleaned_Sales_Deals'!$F$2:$F$2501,"Closed Won")</f>
        <v>42</v>
      </c>
      <c r="C35" s="58">
        <f>COUNTIFS('Cleaned_Sales_Deals'!$B$2:$B$2501,$A35,'Cleaned_Sales_Deals'!$F$2:$F$2501,"Closed Lost")</f>
        <v>27</v>
      </c>
      <c r="D35" s="21">
        <f t="shared" si="0"/>
        <v>69</v>
      </c>
      <c r="E35" s="22">
        <f t="shared" si="1"/>
        <v>0.60869565217391308</v>
      </c>
    </row>
    <row r="36" spans="1:5" x14ac:dyDescent="0.25">
      <c r="A36" s="20" t="s">
        <v>65</v>
      </c>
      <c r="B36" s="58">
        <f>COUNTIFS('Cleaned_Sales_Deals'!$B$2:$B$2501,$A36,'Cleaned_Sales_Deals'!$F$2:$F$2501,"Closed Won")</f>
        <v>34</v>
      </c>
      <c r="C36" s="58">
        <f>COUNTIFS('Cleaned_Sales_Deals'!$B$2:$B$2501,$A36,'Cleaned_Sales_Deals'!$F$2:$F$2501,"Closed Lost")</f>
        <v>16</v>
      </c>
      <c r="D36" s="21">
        <f t="shared" si="0"/>
        <v>50</v>
      </c>
      <c r="E36" s="22">
        <f t="shared" si="1"/>
        <v>0.68</v>
      </c>
    </row>
    <row r="37" spans="1:5" x14ac:dyDescent="0.25">
      <c r="A37" s="20" t="s">
        <v>104</v>
      </c>
      <c r="B37" s="58">
        <f>COUNTIFS('Cleaned_Sales_Deals'!$B$2:$B$2501,$A37,'Cleaned_Sales_Deals'!$F$2:$F$2501,"Closed Won")</f>
        <v>51</v>
      </c>
      <c r="C37" s="58">
        <f>COUNTIFS('Cleaned_Sales_Deals'!$B$2:$B$2501,$A37,'Cleaned_Sales_Deals'!$F$2:$F$2501,"Closed Lost")</f>
        <v>23</v>
      </c>
      <c r="D37" s="21">
        <f t="shared" si="0"/>
        <v>74</v>
      </c>
      <c r="E37" s="22">
        <f t="shared" si="1"/>
        <v>0.68918918918918914</v>
      </c>
    </row>
    <row r="38" spans="1:5" x14ac:dyDescent="0.25">
      <c r="A38" s="20" t="s">
        <v>173</v>
      </c>
      <c r="B38" s="58">
        <f>COUNTIFS('Cleaned_Sales_Deals'!$B$2:$B$2501,$A38,'Cleaned_Sales_Deals'!$F$2:$F$2501,"Closed Won")</f>
        <v>32</v>
      </c>
      <c r="C38" s="58">
        <f>COUNTIFS('Cleaned_Sales_Deals'!$B$2:$B$2501,$A38,'Cleaned_Sales_Deals'!$F$2:$F$2501,"Closed Lost")</f>
        <v>15</v>
      </c>
      <c r="D38" s="21">
        <f t="shared" si="0"/>
        <v>47</v>
      </c>
      <c r="E38" s="22">
        <f t="shared" si="1"/>
        <v>0.68085106382978722</v>
      </c>
    </row>
    <row r="39" spans="1:5" x14ac:dyDescent="0.25">
      <c r="A39" s="20" t="s">
        <v>84</v>
      </c>
      <c r="B39" s="58">
        <f>COUNTIFS('Cleaned_Sales_Deals'!$B$2:$B$2501,$A39,'Cleaned_Sales_Deals'!$F$2:$F$2501,"Closed Won")</f>
        <v>43</v>
      </c>
      <c r="C39" s="58">
        <f>COUNTIFS('Cleaned_Sales_Deals'!$B$2:$B$2501,$A39,'Cleaned_Sales_Deals'!$F$2:$F$2501,"Closed Lost")</f>
        <v>30</v>
      </c>
      <c r="D39" s="21">
        <f t="shared" si="0"/>
        <v>73</v>
      </c>
      <c r="E39" s="22">
        <f t="shared" si="1"/>
        <v>0.58904109589041098</v>
      </c>
    </row>
    <row r="40" spans="1:5" x14ac:dyDescent="0.25">
      <c r="A40" s="20" t="s">
        <v>88</v>
      </c>
      <c r="B40" s="58">
        <f>COUNTIFS('Cleaned_Sales_Deals'!$B$2:$B$2501,$A40,'Cleaned_Sales_Deals'!$F$2:$F$2501,"Closed Won")</f>
        <v>49</v>
      </c>
      <c r="C40" s="58">
        <f>COUNTIFS('Cleaned_Sales_Deals'!$B$2:$B$2501,$A40,'Cleaned_Sales_Deals'!$F$2:$F$2501,"Closed Lost")</f>
        <v>27</v>
      </c>
      <c r="D40" s="21">
        <f t="shared" si="0"/>
        <v>76</v>
      </c>
      <c r="E40" s="22">
        <f t="shared" si="1"/>
        <v>0.64473684210526316</v>
      </c>
    </row>
    <row r="41" spans="1:5" x14ac:dyDescent="0.25">
      <c r="A41" s="20" t="s">
        <v>14</v>
      </c>
      <c r="B41" s="58">
        <f>COUNTIFS('Cleaned_Sales_Deals'!$B$2:$B$2501,$A41,'Cleaned_Sales_Deals'!$F$2:$F$2501,"Closed Won")</f>
        <v>35</v>
      </c>
      <c r="C41" s="58">
        <f>COUNTIFS('Cleaned_Sales_Deals'!$B$2:$B$2501,$A41,'Cleaned_Sales_Deals'!$F$2:$F$2501,"Closed Lost")</f>
        <v>24</v>
      </c>
      <c r="D41" s="21">
        <f t="shared" si="0"/>
        <v>59</v>
      </c>
      <c r="E41" s="22">
        <f t="shared" si="1"/>
        <v>0.59322033898305082</v>
      </c>
    </row>
    <row r="42" spans="1:5" x14ac:dyDescent="0.25">
      <c r="A42" s="20" t="s">
        <v>80</v>
      </c>
      <c r="B42" s="58">
        <f>COUNTIFS('Cleaned_Sales_Deals'!$B$2:$B$2501,$A42,'Cleaned_Sales_Deals'!$F$2:$F$2501,"Closed Won")</f>
        <v>49</v>
      </c>
      <c r="C42" s="58">
        <f>COUNTIFS('Cleaned_Sales_Deals'!$B$2:$B$2501,$A42,'Cleaned_Sales_Deals'!$F$2:$F$2501,"Closed Lost")</f>
        <v>26</v>
      </c>
      <c r="D42" s="21">
        <f t="shared" si="0"/>
        <v>75</v>
      </c>
      <c r="E42" s="22">
        <f t="shared" si="1"/>
        <v>0.65333333333333332</v>
      </c>
    </row>
    <row r="43" spans="1:5" x14ac:dyDescent="0.25">
      <c r="A43" s="20" t="s">
        <v>44</v>
      </c>
      <c r="B43" s="58">
        <f>COUNTIFS('Cleaned_Sales_Deals'!$B$2:$B$2501,$A43,'Cleaned_Sales_Deals'!$F$2:$F$2501,"Closed Won")</f>
        <v>46</v>
      </c>
      <c r="C43" s="58">
        <f>COUNTIFS('Cleaned_Sales_Deals'!$B$2:$B$2501,$A43,'Cleaned_Sales_Deals'!$F$2:$F$2501,"Closed Lost")</f>
        <v>19</v>
      </c>
      <c r="D43" s="21">
        <f t="shared" si="0"/>
        <v>65</v>
      </c>
      <c r="E43" s="22">
        <f t="shared" si="1"/>
        <v>0.70769230769230773</v>
      </c>
    </row>
    <row r="44" spans="1:5" x14ac:dyDescent="0.25">
      <c r="A44" s="20" t="s">
        <v>4829</v>
      </c>
      <c r="B44" s="58">
        <f>COUNTIFS('Cleaned_Sales_Deals'!$B$2:$B$2501,$A44,'Cleaned_Sales_Deals'!$F$2:$F$2501,"Closed Won")</f>
        <v>11</v>
      </c>
      <c r="C44" s="58">
        <f>COUNTIFS('Cleaned_Sales_Deals'!$B$2:$B$2501,$A44,'Cleaned_Sales_Deals'!$F$2:$F$2501,"Closed Lost")</f>
        <v>8</v>
      </c>
      <c r="D44" s="21">
        <f t="shared" si="0"/>
        <v>19</v>
      </c>
      <c r="E44" s="22">
        <f t="shared" si="1"/>
        <v>0.57894736842105265</v>
      </c>
    </row>
    <row r="45" spans="1:5" x14ac:dyDescent="0.25">
      <c r="A45" s="20" t="s">
        <v>98</v>
      </c>
      <c r="B45" s="58">
        <f>COUNTIFS('Cleaned_Sales_Deals'!$B$2:$B$2501,$A45,'Cleaned_Sales_Deals'!$F$2:$F$2501,"Closed Won")</f>
        <v>39</v>
      </c>
      <c r="C45" s="58">
        <f>COUNTIFS('Cleaned_Sales_Deals'!$B$2:$B$2501,$A45,'Cleaned_Sales_Deals'!$F$2:$F$2501,"Closed Lost")</f>
        <v>27</v>
      </c>
      <c r="D45" s="21">
        <f t="shared" si="0"/>
        <v>66</v>
      </c>
      <c r="E45" s="22">
        <f t="shared" si="1"/>
        <v>0.59090909090909094</v>
      </c>
    </row>
    <row r="46" spans="1:5" x14ac:dyDescent="0.25">
      <c r="A46" s="20" t="s">
        <v>37</v>
      </c>
      <c r="B46" s="58">
        <f>COUNTIFS('Cleaned_Sales_Deals'!$B$2:$B$2501,$A46,'Cleaned_Sales_Deals'!$F$2:$F$2501,"Closed Won")</f>
        <v>37</v>
      </c>
      <c r="C46" s="58">
        <f>COUNTIFS('Cleaned_Sales_Deals'!$B$2:$B$2501,$A46,'Cleaned_Sales_Deals'!$F$2:$F$2501,"Closed Lost")</f>
        <v>26</v>
      </c>
      <c r="D46" s="21">
        <f t="shared" si="0"/>
        <v>63</v>
      </c>
      <c r="E46" s="22">
        <f t="shared" si="1"/>
        <v>0.58730158730158732</v>
      </c>
    </row>
    <row r="47" spans="1:5" x14ac:dyDescent="0.25">
      <c r="B47" s="9"/>
      <c r="E47" s="15"/>
    </row>
    <row r="48" spans="1:5" ht="15.75" x14ac:dyDescent="0.25">
      <c r="A48" s="6" t="s">
        <v>4850</v>
      </c>
    </row>
    <row r="49" spans="1:5" x14ac:dyDescent="0.25">
      <c r="A49" s="42" t="s">
        <v>11</v>
      </c>
      <c r="B49" s="51" t="s">
        <v>40</v>
      </c>
      <c r="C49" s="51" t="s">
        <v>18</v>
      </c>
      <c r="D49" s="51" t="s">
        <v>4846</v>
      </c>
      <c r="E49" s="51" t="s">
        <v>4847</v>
      </c>
    </row>
    <row r="50" spans="1:5" x14ac:dyDescent="0.25">
      <c r="A50" s="20" t="s">
        <v>49</v>
      </c>
      <c r="B50" s="58">
        <f>COUNTIFS('Cleaned_Sales_Deals'!$L$2:$L$2501,$A50,'Cleaned_Sales_Deals'!$F$2:$F$2501,"Closed Won")</f>
        <v>141</v>
      </c>
      <c r="C50" s="58">
        <f>COUNTIFS('Cleaned_Sales_Deals'!$L$2:$L$2501,$A50,'Cleaned_Sales_Deals'!$F$2:$F$2501,"Closed Lost")</f>
        <v>89</v>
      </c>
      <c r="D50" s="21">
        <f>B50+C50</f>
        <v>230</v>
      </c>
      <c r="E50" s="22">
        <f>IF(B50+C50=0,0,B50/(B50+C50))</f>
        <v>0.61304347826086958</v>
      </c>
    </row>
    <row r="51" spans="1:5" x14ac:dyDescent="0.25">
      <c r="A51" s="20" t="s">
        <v>96</v>
      </c>
      <c r="B51" s="58">
        <f>COUNTIFS('Cleaned_Sales_Deals'!$L$2:$L$2501,$A51,'Cleaned_Sales_Deals'!$F$2:$F$2501,"Closed Won")</f>
        <v>156</v>
      </c>
      <c r="C51" s="58">
        <f>COUNTIFS('Cleaned_Sales_Deals'!$L$2:$L$2501,$A51,'Cleaned_Sales_Deals'!$F$2:$F$2501,"Closed Lost")</f>
        <v>98</v>
      </c>
      <c r="D51" s="21">
        <f>B51+C51</f>
        <v>254</v>
      </c>
      <c r="E51" s="22">
        <f>IF(B51+C51=0,0,B51/(B51+C51))</f>
        <v>0.61417322834645671</v>
      </c>
    </row>
    <row r="52" spans="1:5" x14ac:dyDescent="0.25">
      <c r="A52" s="20" t="s">
        <v>29</v>
      </c>
      <c r="B52" s="58">
        <f>COUNTIFS('Cleaned_Sales_Deals'!$L$2:$L$2501,$A52,'Cleaned_Sales_Deals'!$F$2:$F$2501,"Closed Won")</f>
        <v>166</v>
      </c>
      <c r="C52" s="58">
        <f>COUNTIFS('Cleaned_Sales_Deals'!$L$2:$L$2501,$A52,'Cleaned_Sales_Deals'!$F$2:$F$2501,"Closed Lost")</f>
        <v>93</v>
      </c>
      <c r="D52" s="21">
        <f>B52+C52</f>
        <v>259</v>
      </c>
      <c r="E52" s="22">
        <f>IF(B52+C52=0,0,B52/(B52+C52))</f>
        <v>0.64092664092664098</v>
      </c>
    </row>
    <row r="53" spans="1:5" x14ac:dyDescent="0.25">
      <c r="A53" s="20" t="s">
        <v>20</v>
      </c>
      <c r="B53" s="58">
        <f>COUNTIFS('Cleaned_Sales_Deals'!$L$2:$L$2501,$A53,'Cleaned_Sales_Deals'!$F$2:$F$2501,"Closed Won")</f>
        <v>161</v>
      </c>
      <c r="C53" s="58">
        <f>COUNTIFS('Cleaned_Sales_Deals'!$L$2:$L$2501,$A53,'Cleaned_Sales_Deals'!$F$2:$F$2501,"Closed Lost")</f>
        <v>81</v>
      </c>
      <c r="D53" s="21">
        <f>B53+C53</f>
        <v>242</v>
      </c>
      <c r="E53" s="22">
        <f>IF(B53+C53=0,0,B53/(B53+C53))</f>
        <v>0.66528925619834711</v>
      </c>
    </row>
    <row r="54" spans="1:5" x14ac:dyDescent="0.25">
      <c r="B54" s="9"/>
      <c r="E54" s="15"/>
    </row>
    <row r="55" spans="1:5" x14ac:dyDescent="0.25">
      <c r="B55" s="9"/>
      <c r="E55" s="15"/>
    </row>
    <row r="56" spans="1:5" x14ac:dyDescent="0.25">
      <c r="B56" s="9"/>
      <c r="E56" s="15"/>
    </row>
    <row r="57" spans="1:5" ht="20.25" x14ac:dyDescent="0.3">
      <c r="A57" s="12" t="s">
        <v>4848</v>
      </c>
      <c r="B57" s="9"/>
      <c r="E57" s="15"/>
    </row>
    <row r="58" spans="1:5" x14ac:dyDescent="0.25">
      <c r="A58" s="13" t="s">
        <v>4849</v>
      </c>
      <c r="B58" s="9"/>
      <c r="E58" s="15"/>
    </row>
    <row r="59" spans="1:5" x14ac:dyDescent="0.25">
      <c r="A59" s="7" t="s">
        <v>4858</v>
      </c>
      <c r="E59" s="15"/>
    </row>
    <row r="60" spans="1:5" ht="25.5" x14ac:dyDescent="0.25">
      <c r="A60" s="42" t="s">
        <v>3</v>
      </c>
      <c r="B60" s="44" t="s">
        <v>4854</v>
      </c>
      <c r="C60" s="43" t="s">
        <v>4855</v>
      </c>
      <c r="E60" s="15"/>
    </row>
    <row r="61" spans="1:5" x14ac:dyDescent="0.25">
      <c r="A61" s="20" t="s">
        <v>25</v>
      </c>
      <c r="B61" s="59">
        <f>IFERROR(AVERAGEIFS('Cleaned_Sales_Deals'!$J$2:$J$2501,'Cleaned_Sales_Deals'!$D$2:$D$2501,$A61),"")</f>
        <v>96.08620689655173</v>
      </c>
      <c r="C61" s="58">
        <f>COUNTIFS('Cleaned_Sales_Deals'!$D$2:$D$2501,$A61,'Cleaned_Sales_Deals'!$J$2:$J$2501,"&lt;&gt;")</f>
        <v>174</v>
      </c>
      <c r="E61" s="15"/>
    </row>
    <row r="62" spans="1:5" x14ac:dyDescent="0.25">
      <c r="A62" s="20" t="s">
        <v>39</v>
      </c>
      <c r="B62" s="59">
        <f>IFERROR(AVERAGEIFS('Cleaned_Sales_Deals'!$J$2:$J$2501,'Cleaned_Sales_Deals'!$D$2:$D$2501,$A62),"")</f>
        <v>95.932584269662925</v>
      </c>
      <c r="C62" s="58">
        <f>COUNTIFS('Cleaned_Sales_Deals'!$D$2:$D$2501,$A62,'Cleaned_Sales_Deals'!$J$2:$J$2501,"&lt;&gt;")</f>
        <v>178</v>
      </c>
      <c r="E62" s="15"/>
    </row>
    <row r="63" spans="1:5" x14ac:dyDescent="0.25">
      <c r="A63" s="20" t="s">
        <v>67</v>
      </c>
      <c r="B63" s="59">
        <f>IFERROR(AVERAGEIFS('Cleaned_Sales_Deals'!$J$2:$J$2501,'Cleaned_Sales_Deals'!$D$2:$D$2501,$A63),"")</f>
        <v>98.548611111111114</v>
      </c>
      <c r="C63" s="58">
        <f>COUNTIFS('Cleaned_Sales_Deals'!$D$2:$D$2501,$A63,'Cleaned_Sales_Deals'!$J$2:$J$2501,"&lt;&gt;")</f>
        <v>144</v>
      </c>
      <c r="E63" s="15"/>
    </row>
    <row r="64" spans="1:5" x14ac:dyDescent="0.25">
      <c r="A64" s="20" t="s">
        <v>46</v>
      </c>
      <c r="B64" s="59">
        <f>IFERROR(AVERAGEIFS('Cleaned_Sales_Deals'!$J$2:$J$2501,'Cleaned_Sales_Deals'!$D$2:$D$2501,$A64),"")</f>
        <v>96.044871794871796</v>
      </c>
      <c r="C64" s="58">
        <f>COUNTIFS('Cleaned_Sales_Deals'!$D$2:$D$2501,$A64,'Cleaned_Sales_Deals'!$J$2:$J$2501,"&lt;&gt;")</f>
        <v>156</v>
      </c>
      <c r="E64" s="15"/>
    </row>
    <row r="65" spans="1:5" x14ac:dyDescent="0.25">
      <c r="A65" s="20" t="s">
        <v>90</v>
      </c>
      <c r="B65" s="59">
        <f>IFERROR(AVERAGEIFS('Cleaned_Sales_Deals'!$J$2:$J$2501,'Cleaned_Sales_Deals'!$D$2:$D$2501,$A65),"")</f>
        <v>97.701219512195124</v>
      </c>
      <c r="C65" s="58">
        <f>COUNTIFS('Cleaned_Sales_Deals'!$D$2:$D$2501,$A65,'Cleaned_Sales_Deals'!$J$2:$J$2501,"&lt;&gt;")</f>
        <v>164</v>
      </c>
      <c r="E65" s="15"/>
    </row>
    <row r="66" spans="1:5" x14ac:dyDescent="0.25">
      <c r="A66" s="20" t="s">
        <v>16</v>
      </c>
      <c r="B66" s="59">
        <f>IFERROR(AVERAGEIFS('Cleaned_Sales_Deals'!$J$2:$J$2501,'Cleaned_Sales_Deals'!$D$2:$D$2501,$A66),"")</f>
        <v>101.88165680473372</v>
      </c>
      <c r="C66" s="58">
        <f>COUNTIFS('Cleaned_Sales_Deals'!$D$2:$D$2501,$A66,'Cleaned_Sales_Deals'!$J$2:$J$2501,"&lt;&gt;")</f>
        <v>169</v>
      </c>
    </row>
    <row r="67" spans="1:5" x14ac:dyDescent="0.25">
      <c r="B67" s="61"/>
    </row>
    <row r="69" spans="1:5" x14ac:dyDescent="0.25">
      <c r="A69" s="7" t="s">
        <v>4856</v>
      </c>
    </row>
    <row r="70" spans="1:5" ht="25.5" x14ac:dyDescent="0.25">
      <c r="A70" s="30" t="s">
        <v>4</v>
      </c>
      <c r="B70" s="45" t="s">
        <v>4854</v>
      </c>
      <c r="C70" s="46" t="s">
        <v>4855</v>
      </c>
    </row>
    <row r="71" spans="1:5" x14ac:dyDescent="0.25">
      <c r="A71" s="20" t="s">
        <v>100</v>
      </c>
      <c r="B71" s="59">
        <f>IFERROR(AVERAGEIFS('Cleaned_Sales_Deals'!$J$2:$J$2501,'Cleaned_Sales_Deals'!$E$2:$E$2501,$A71),"")</f>
        <v>90.730769230769226</v>
      </c>
      <c r="C71" s="58">
        <f>COUNTIFS('Cleaned_Sales_Deals'!$E$2:$E$2501,$A71,'Cleaned_Sales_Deals'!$J$2:$J$2501,"&lt;&gt;")</f>
        <v>130</v>
      </c>
    </row>
    <row r="72" spans="1:5" x14ac:dyDescent="0.25">
      <c r="A72" s="20" t="s">
        <v>47</v>
      </c>
      <c r="B72" s="59">
        <f>IFERROR(AVERAGEIFS('Cleaned_Sales_Deals'!$J$2:$J$2501,'Cleaned_Sales_Deals'!$E$2:$E$2501,$A72),"")</f>
        <v>99.269841269841265</v>
      </c>
      <c r="C72" s="58">
        <f>COUNTIFS('Cleaned_Sales_Deals'!$E$2:$E$2501,$A72,'Cleaned_Sales_Deals'!$J$2:$J$2501,"&lt;&gt;")</f>
        <v>126</v>
      </c>
    </row>
    <row r="73" spans="1:5" x14ac:dyDescent="0.25">
      <c r="A73" s="20" t="s">
        <v>61</v>
      </c>
      <c r="B73" s="59">
        <f>IFERROR(AVERAGEIFS('Cleaned_Sales_Deals'!$J$2:$J$2501,'Cleaned_Sales_Deals'!$E$2:$E$2501,$A73),"")</f>
        <v>93.367999999999995</v>
      </c>
      <c r="C73" s="58">
        <f>COUNTIFS('Cleaned_Sales_Deals'!$E$2:$E$2501,$A73,'Cleaned_Sales_Deals'!$J$2:$J$2501,"&lt;&gt;")</f>
        <v>125</v>
      </c>
    </row>
    <row r="74" spans="1:5" x14ac:dyDescent="0.25">
      <c r="A74" s="20" t="s">
        <v>72</v>
      </c>
      <c r="B74" s="59">
        <f>IFERROR(AVERAGEIFS('Cleaned_Sales_Deals'!$J$2:$J$2501,'Cleaned_Sales_Deals'!$E$2:$E$2501,$A74),"")</f>
        <v>99.225490196078425</v>
      </c>
      <c r="C74" s="58">
        <f>COUNTIFS('Cleaned_Sales_Deals'!$E$2:$E$2501,$A74,'Cleaned_Sales_Deals'!$J$2:$J$2501,"&lt;&gt;")</f>
        <v>102</v>
      </c>
    </row>
    <row r="75" spans="1:5" x14ac:dyDescent="0.25">
      <c r="A75" s="20" t="s">
        <v>26</v>
      </c>
      <c r="B75" s="59">
        <f>IFERROR(AVERAGEIFS('Cleaned_Sales_Deals'!$J$2:$J$2501,'Cleaned_Sales_Deals'!$E$2:$E$2501,$A75),"")</f>
        <v>100.53043478260869</v>
      </c>
      <c r="C75" s="58">
        <f>COUNTIFS('Cleaned_Sales_Deals'!$E$2:$E$2501,$A75,'Cleaned_Sales_Deals'!$J$2:$J$2501,"&lt;&gt;")</f>
        <v>115</v>
      </c>
    </row>
    <row r="76" spans="1:5" x14ac:dyDescent="0.25">
      <c r="A76" s="20" t="s">
        <v>17</v>
      </c>
      <c r="B76" s="59">
        <f>IFERROR(AVERAGEIFS('Cleaned_Sales_Deals'!$J$2:$J$2501,'Cleaned_Sales_Deals'!$E$2:$E$2501,$A76),"")</f>
        <v>96.431192660550465</v>
      </c>
      <c r="C76" s="58">
        <f>COUNTIFS('Cleaned_Sales_Deals'!$E$2:$E$2501,$A76,'Cleaned_Sales_Deals'!$J$2:$J$2501,"&lt;&gt;")</f>
        <v>109</v>
      </c>
    </row>
    <row r="77" spans="1:5" x14ac:dyDescent="0.25">
      <c r="A77" s="20" t="s">
        <v>94</v>
      </c>
      <c r="B77" s="59">
        <f>IFERROR(AVERAGEIFS('Cleaned_Sales_Deals'!$J$2:$J$2501,'Cleaned_Sales_Deals'!$E$2:$E$2501,$A77),"")</f>
        <v>105.30769230769231</v>
      </c>
      <c r="C77" s="58">
        <f>COUNTIFS('Cleaned_Sales_Deals'!$E$2:$E$2501,$A77,'Cleaned_Sales_Deals'!$J$2:$J$2501,"&lt;&gt;")</f>
        <v>143</v>
      </c>
    </row>
    <row r="78" spans="1:5" x14ac:dyDescent="0.25">
      <c r="A78" s="20" t="s">
        <v>4845</v>
      </c>
      <c r="B78" s="59">
        <f>IFERROR(AVERAGEIFS('Cleaned_Sales_Deals'!$J$2:$J$2501,'Cleaned_Sales_Deals'!$E$2:$E$2501,$A78),"")</f>
        <v>110.66666666666667</v>
      </c>
      <c r="C78" s="58">
        <f>COUNTIFS('Cleaned_Sales_Deals'!$E$2:$E$2501,$A78,'Cleaned_Sales_Deals'!$J$2:$J$2501,"&lt;&gt;")</f>
        <v>27</v>
      </c>
    </row>
    <row r="79" spans="1:5" x14ac:dyDescent="0.25">
      <c r="A79" s="20" t="s">
        <v>77</v>
      </c>
      <c r="B79" s="59">
        <f>IFERROR(AVERAGEIFS('Cleaned_Sales_Deals'!$J$2:$J$2501,'Cleaned_Sales_Deals'!$E$2:$E$2501,$A79),"")</f>
        <v>92.555555555555557</v>
      </c>
      <c r="C79" s="58">
        <f>COUNTIFS('Cleaned_Sales_Deals'!$E$2:$E$2501,$A79,'Cleaned_Sales_Deals'!$J$2:$J$2501,"&lt;&gt;")</f>
        <v>108</v>
      </c>
    </row>
    <row r="80" spans="1:5" x14ac:dyDescent="0.25">
      <c r="B80" s="60"/>
      <c r="C80" s="14"/>
    </row>
    <row r="85" spans="1:5" ht="18.75" x14ac:dyDescent="0.3">
      <c r="A85" s="11" t="s">
        <v>4857</v>
      </c>
      <c r="B85" s="26"/>
      <c r="C85" s="26"/>
      <c r="D85" s="26"/>
      <c r="E85" s="26"/>
    </row>
    <row r="87" spans="1:5" x14ac:dyDescent="0.25">
      <c r="A87" s="62" t="s">
        <v>5</v>
      </c>
      <c r="B87" s="20" t="s">
        <v>40</v>
      </c>
    </row>
    <row r="89" spans="1:5" ht="30" x14ac:dyDescent="0.25">
      <c r="A89" s="48" t="s">
        <v>12</v>
      </c>
      <c r="B89" s="49" t="s">
        <v>4874</v>
      </c>
    </row>
    <row r="90" spans="1:5" x14ac:dyDescent="0.25">
      <c r="A90" s="18" t="s">
        <v>35</v>
      </c>
      <c r="B90" s="19">
        <v>23298342</v>
      </c>
    </row>
    <row r="91" spans="1:5" x14ac:dyDescent="0.25">
      <c r="A91" s="18" t="s">
        <v>30</v>
      </c>
      <c r="B91" s="19">
        <v>21194799</v>
      </c>
    </row>
    <row r="92" spans="1:5" x14ac:dyDescent="0.25">
      <c r="A92" s="18" t="s">
        <v>102</v>
      </c>
      <c r="B92" s="19">
        <v>16417272</v>
      </c>
    </row>
    <row r="93" spans="1:5" x14ac:dyDescent="0.25">
      <c r="A93" s="18" t="s">
        <v>21</v>
      </c>
      <c r="B93" s="19">
        <v>22994816</v>
      </c>
    </row>
    <row r="94" spans="1:5" x14ac:dyDescent="0.25">
      <c r="A94" s="18" t="s">
        <v>69</v>
      </c>
      <c r="B94" s="19">
        <v>19839336</v>
      </c>
    </row>
    <row r="95" spans="1:5" x14ac:dyDescent="0.25">
      <c r="A95" s="18" t="s">
        <v>107</v>
      </c>
      <c r="B95" s="19">
        <v>13903057</v>
      </c>
    </row>
    <row r="96" spans="1:5" x14ac:dyDescent="0.25">
      <c r="A96" s="18" t="s">
        <v>149</v>
      </c>
      <c r="B96" s="19">
        <v>17997739</v>
      </c>
    </row>
    <row r="97" spans="1:2" x14ac:dyDescent="0.25">
      <c r="A97" s="18" t="s">
        <v>42</v>
      </c>
      <c r="B97" s="19">
        <v>17248504</v>
      </c>
    </row>
    <row r="98" spans="1:2" x14ac:dyDescent="0.25">
      <c r="A98" s="18" t="s">
        <v>63</v>
      </c>
      <c r="B98" s="19">
        <v>15486634</v>
      </c>
    </row>
  </sheetData>
  <sortState xmlns:xlrd2="http://schemas.microsoft.com/office/spreadsheetml/2017/richdata2" ref="A89:B99">
    <sortCondition ref="A90" customList="Q1-2023,Q2-2023,Q3-2023,Q4-2023,Q1-2024,Q2-2024,Q3-2024,Q4-2024,Q1-2025"/>
  </sortState>
  <pageMargins left="0.7" right="0.7" top="0.75" bottom="0.75" header="0.3" footer="0.3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C167-478E-431C-9065-7366D5E4950C}">
  <dimension ref="A1:O225"/>
  <sheetViews>
    <sheetView showGridLines="0" tabSelected="1" zoomScale="70" zoomScaleNormal="70" workbookViewId="0">
      <selection activeCell="M152" sqref="M152"/>
    </sheetView>
  </sheetViews>
  <sheetFormatPr defaultColWidth="13.42578125" defaultRowHeight="15" x14ac:dyDescent="0.25"/>
  <cols>
    <col min="1" max="1" width="26.5703125" style="5" customWidth="1"/>
    <col min="2" max="2" width="23.42578125" style="5" bestFit="1" customWidth="1"/>
    <col min="3" max="3" width="26.85546875" style="5" bestFit="1" customWidth="1"/>
    <col min="4" max="4" width="17.42578125" style="5" bestFit="1" customWidth="1"/>
    <col min="5" max="5" width="16.42578125" style="5" bestFit="1" customWidth="1"/>
    <col min="6" max="6" width="23.7109375" style="5" bestFit="1" customWidth="1"/>
    <col min="7" max="7" width="18.42578125" style="5" bestFit="1" customWidth="1"/>
    <col min="8" max="8" width="15.85546875" style="5" bestFit="1" customWidth="1"/>
    <col min="9" max="9" width="16.42578125" style="5" bestFit="1" customWidth="1"/>
    <col min="10" max="10" width="21.85546875" style="5" bestFit="1" customWidth="1"/>
    <col min="11" max="11" width="16.42578125" style="5" bestFit="1" customWidth="1"/>
    <col min="12" max="12" width="16" style="5" bestFit="1" customWidth="1"/>
    <col min="13" max="13" width="17.7109375" style="5" bestFit="1" customWidth="1"/>
    <col min="14" max="14" width="15" style="5" bestFit="1" customWidth="1"/>
    <col min="15" max="15" width="16.42578125" style="5" bestFit="1" customWidth="1"/>
    <col min="16" max="17" width="9.85546875" style="5" bestFit="1" customWidth="1"/>
    <col min="18" max="18" width="11.42578125" style="5" bestFit="1" customWidth="1"/>
    <col min="19" max="33" width="7.42578125" style="5" bestFit="1" customWidth="1"/>
    <col min="34" max="41" width="6.42578125" style="5" bestFit="1" customWidth="1"/>
    <col min="42" max="52" width="4.85546875" style="5" bestFit="1" customWidth="1"/>
    <col min="53" max="219" width="5.85546875" style="5" bestFit="1" customWidth="1"/>
    <col min="220" max="972" width="6.85546875" style="5" bestFit="1" customWidth="1"/>
    <col min="973" max="1000" width="7.85546875" style="5" bestFit="1" customWidth="1"/>
    <col min="1001" max="1001" width="10.7109375" style="5" bestFit="1" customWidth="1"/>
    <col min="1002" max="16384" width="13.42578125" style="5"/>
  </cols>
  <sheetData>
    <row r="1" spans="1:15" ht="22.5" x14ac:dyDescent="0.3">
      <c r="A1" s="29" t="s">
        <v>4867</v>
      </c>
    </row>
    <row r="2" spans="1:15" x14ac:dyDescent="0.25">
      <c r="A2" s="41" t="s">
        <v>4868</v>
      </c>
    </row>
    <row r="4" spans="1:15" ht="20.25" x14ac:dyDescent="0.3">
      <c r="A4" s="12" t="s">
        <v>4859</v>
      </c>
    </row>
    <row r="5" spans="1:15" x14ac:dyDescent="0.25">
      <c r="A5" s="8" t="s">
        <v>4860</v>
      </c>
      <c r="B5" s="8" t="s">
        <v>4839</v>
      </c>
    </row>
    <row r="6" spans="1:15" s="35" customFormat="1" ht="19.5" customHeight="1" x14ac:dyDescent="0.25">
      <c r="A6" s="47" t="s">
        <v>4841</v>
      </c>
      <c r="B6" s="30" t="s">
        <v>3780</v>
      </c>
      <c r="C6" s="30" t="s">
        <v>3815</v>
      </c>
      <c r="D6" s="30" t="s">
        <v>3806</v>
      </c>
      <c r="E6" s="30" t="s">
        <v>3858</v>
      </c>
      <c r="F6" s="30" t="s">
        <v>3795</v>
      </c>
      <c r="G6" s="30" t="s">
        <v>3812</v>
      </c>
      <c r="H6" s="30" t="s">
        <v>3861</v>
      </c>
      <c r="I6" s="30" t="s">
        <v>3848</v>
      </c>
      <c r="J6" s="30" t="s">
        <v>3825</v>
      </c>
      <c r="K6" s="30" t="s">
        <v>3844</v>
      </c>
      <c r="L6" s="30" t="s">
        <v>3821</v>
      </c>
      <c r="M6" s="30" t="s">
        <v>4878</v>
      </c>
      <c r="N6" s="30" t="s">
        <v>3788</v>
      </c>
      <c r="O6" s="30" t="s">
        <v>4840</v>
      </c>
    </row>
    <row r="7" spans="1:15" x14ac:dyDescent="0.25">
      <c r="A7" s="18" t="s">
        <v>3808</v>
      </c>
      <c r="B7" s="31">
        <v>5795040</v>
      </c>
      <c r="C7" s="31">
        <v>1128531</v>
      </c>
      <c r="D7" s="31">
        <v>3993637</v>
      </c>
      <c r="E7" s="31">
        <v>924960</v>
      </c>
      <c r="F7" s="19">
        <v>3446437</v>
      </c>
      <c r="G7" s="19">
        <v>1300724</v>
      </c>
      <c r="H7" s="31">
        <v>2355469</v>
      </c>
      <c r="I7" s="31">
        <v>6370023</v>
      </c>
      <c r="J7" s="31">
        <v>2513074</v>
      </c>
      <c r="K7" s="31">
        <v>4206292</v>
      </c>
      <c r="L7" s="31">
        <v>4135341</v>
      </c>
      <c r="M7" s="31">
        <v>1255698</v>
      </c>
      <c r="N7" s="31">
        <v>2590417</v>
      </c>
      <c r="O7" s="31">
        <v>40015643</v>
      </c>
    </row>
    <row r="8" spans="1:15" x14ac:dyDescent="0.25">
      <c r="A8" s="18" t="s">
        <v>3798</v>
      </c>
      <c r="B8" s="31">
        <v>3646108</v>
      </c>
      <c r="C8" s="31">
        <v>2209761</v>
      </c>
      <c r="D8" s="31">
        <v>6637640</v>
      </c>
      <c r="E8" s="31">
        <v>2277656</v>
      </c>
      <c r="F8" s="19">
        <v>2847110</v>
      </c>
      <c r="G8" s="19">
        <v>3964591</v>
      </c>
      <c r="H8" s="31">
        <v>1771627</v>
      </c>
      <c r="I8" s="31">
        <v>1313989</v>
      </c>
      <c r="J8" s="31">
        <v>2349527</v>
      </c>
      <c r="K8" s="31">
        <v>4061504</v>
      </c>
      <c r="L8" s="31">
        <v>3983167</v>
      </c>
      <c r="M8" s="31">
        <v>23074</v>
      </c>
      <c r="N8" s="31">
        <v>3384454</v>
      </c>
      <c r="O8" s="31">
        <v>38470208</v>
      </c>
    </row>
    <row r="9" spans="1:15" x14ac:dyDescent="0.25">
      <c r="A9" s="18" t="s">
        <v>3828</v>
      </c>
      <c r="B9" s="31">
        <v>4408964</v>
      </c>
      <c r="C9" s="31">
        <v>5374467</v>
      </c>
      <c r="D9" s="31">
        <v>7274449</v>
      </c>
      <c r="E9" s="31">
        <v>2421840</v>
      </c>
      <c r="F9" s="19">
        <v>3771312</v>
      </c>
      <c r="G9" s="19">
        <v>7827174</v>
      </c>
      <c r="H9" s="31">
        <v>2240911</v>
      </c>
      <c r="I9" s="31">
        <v>1804719</v>
      </c>
      <c r="J9" s="31">
        <v>1671108</v>
      </c>
      <c r="K9" s="31">
        <v>6664228</v>
      </c>
      <c r="L9" s="31">
        <v>3721454</v>
      </c>
      <c r="M9" s="31">
        <v>628123</v>
      </c>
      <c r="N9" s="31">
        <v>2867421</v>
      </c>
      <c r="O9" s="31">
        <v>50676170</v>
      </c>
    </row>
    <row r="10" spans="1:15" x14ac:dyDescent="0.25">
      <c r="A10" s="18" t="s">
        <v>3839</v>
      </c>
      <c r="B10" s="31">
        <v>7342425</v>
      </c>
      <c r="C10" s="31">
        <v>1718519</v>
      </c>
      <c r="D10" s="31">
        <v>9532434</v>
      </c>
      <c r="E10" s="31">
        <v>2628554</v>
      </c>
      <c r="F10" s="19">
        <v>2509466</v>
      </c>
      <c r="G10" s="19">
        <v>2124498</v>
      </c>
      <c r="H10" s="31">
        <v>2872365</v>
      </c>
      <c r="I10" s="31">
        <v>2990876</v>
      </c>
      <c r="J10" s="31">
        <v>-1252981</v>
      </c>
      <c r="K10" s="31">
        <v>3159703</v>
      </c>
      <c r="L10" s="31">
        <v>2596005</v>
      </c>
      <c r="M10" s="31">
        <v>1411532</v>
      </c>
      <c r="N10" s="31">
        <v>2266604</v>
      </c>
      <c r="O10" s="31">
        <v>39900000</v>
      </c>
    </row>
    <row r="11" spans="1:15" x14ac:dyDescent="0.25">
      <c r="A11" s="18" t="s">
        <v>3787</v>
      </c>
      <c r="B11" s="31">
        <v>1847947</v>
      </c>
      <c r="C11" s="31">
        <v>5774464</v>
      </c>
      <c r="D11" s="31">
        <v>4033017</v>
      </c>
      <c r="E11" s="31">
        <v>3546763</v>
      </c>
      <c r="F11" s="19">
        <v>9444775</v>
      </c>
      <c r="G11" s="19">
        <v>2253099</v>
      </c>
      <c r="H11" s="31">
        <v>5714184</v>
      </c>
      <c r="I11" s="31">
        <v>945965</v>
      </c>
      <c r="J11" s="31">
        <v>2739089</v>
      </c>
      <c r="K11" s="31">
        <v>2271507</v>
      </c>
      <c r="L11" s="31">
        <v>4032223</v>
      </c>
      <c r="M11" s="31">
        <v>1090934</v>
      </c>
      <c r="N11" s="31">
        <v>5834226</v>
      </c>
      <c r="O11" s="31">
        <v>49528193</v>
      </c>
    </row>
    <row r="12" spans="1:15" x14ac:dyDescent="0.25">
      <c r="A12" s="18" t="s">
        <v>3794</v>
      </c>
      <c r="B12" s="31">
        <v>976653</v>
      </c>
      <c r="C12" s="31">
        <v>2578908</v>
      </c>
      <c r="D12" s="31">
        <v>2610012</v>
      </c>
      <c r="E12" s="31">
        <v>1445061</v>
      </c>
      <c r="F12" s="19">
        <v>4720848</v>
      </c>
      <c r="G12" s="19">
        <v>1531770</v>
      </c>
      <c r="H12" s="31">
        <v>2700212</v>
      </c>
      <c r="I12" s="31">
        <v>3760367</v>
      </c>
      <c r="J12" s="31">
        <v>1050435</v>
      </c>
      <c r="K12" s="31">
        <v>2724040</v>
      </c>
      <c r="L12" s="31">
        <v>3147054</v>
      </c>
      <c r="M12" s="31">
        <v>1846065</v>
      </c>
      <c r="N12" s="31">
        <v>2651718</v>
      </c>
      <c r="O12" s="31">
        <v>31743143</v>
      </c>
    </row>
    <row r="13" spans="1:15" x14ac:dyDescent="0.25">
      <c r="A13" s="18" t="s">
        <v>3811</v>
      </c>
      <c r="B13" s="31">
        <v>2537853</v>
      </c>
      <c r="C13" s="31">
        <v>4497678</v>
      </c>
      <c r="D13" s="31">
        <v>1838690</v>
      </c>
      <c r="E13" s="31">
        <v>7485990</v>
      </c>
      <c r="F13" s="19">
        <v>5863267</v>
      </c>
      <c r="G13" s="19">
        <v>2463145</v>
      </c>
      <c r="H13" s="31">
        <v>2560451</v>
      </c>
      <c r="I13" s="31">
        <v>3640812</v>
      </c>
      <c r="J13" s="31">
        <v>3557445</v>
      </c>
      <c r="K13" s="31">
        <v>2444307</v>
      </c>
      <c r="L13" s="31">
        <v>7563451</v>
      </c>
      <c r="M13" s="31">
        <v>328626</v>
      </c>
      <c r="N13" s="31">
        <v>2046375</v>
      </c>
      <c r="O13" s="31">
        <v>46828090</v>
      </c>
    </row>
    <row r="14" spans="1:15" x14ac:dyDescent="0.25">
      <c r="A14" s="18" t="s">
        <v>4877</v>
      </c>
      <c r="B14" s="31">
        <v>919940</v>
      </c>
      <c r="C14" s="31">
        <v>620797</v>
      </c>
      <c r="D14" s="31">
        <v>981466</v>
      </c>
      <c r="E14" s="31">
        <v>242230</v>
      </c>
      <c r="F14" s="19">
        <v>435069</v>
      </c>
      <c r="G14" s="19">
        <v>305519</v>
      </c>
      <c r="H14" s="31">
        <v>568914</v>
      </c>
      <c r="I14" s="31">
        <v>1777305</v>
      </c>
      <c r="J14" s="31">
        <v>229898</v>
      </c>
      <c r="K14" s="31">
        <v>5333298</v>
      </c>
      <c r="L14" s="31">
        <v>2554546</v>
      </c>
      <c r="M14" s="31"/>
      <c r="N14" s="31"/>
      <c r="O14" s="31">
        <v>13968982</v>
      </c>
    </row>
    <row r="15" spans="1:15" x14ac:dyDescent="0.25">
      <c r="A15" s="18" t="s">
        <v>4840</v>
      </c>
      <c r="B15" s="31">
        <v>27474930</v>
      </c>
      <c r="C15" s="31">
        <v>23903125</v>
      </c>
      <c r="D15" s="31">
        <v>36901345</v>
      </c>
      <c r="E15" s="31">
        <v>20973054</v>
      </c>
      <c r="F15" s="31">
        <v>33038284</v>
      </c>
      <c r="G15" s="19">
        <v>21770520</v>
      </c>
      <c r="H15" s="31">
        <v>20784133</v>
      </c>
      <c r="I15" s="31">
        <v>22604056</v>
      </c>
      <c r="J15" s="31">
        <v>12857595</v>
      </c>
      <c r="K15" s="31">
        <v>30864879</v>
      </c>
      <c r="L15" s="31">
        <v>31733241</v>
      </c>
      <c r="M15" s="31">
        <v>6584052</v>
      </c>
      <c r="N15" s="31">
        <v>21641215</v>
      </c>
      <c r="O15" s="31">
        <v>311130429</v>
      </c>
    </row>
    <row r="18" spans="1:9" ht="20.25" x14ac:dyDescent="0.3">
      <c r="A18" s="12" t="s">
        <v>4861</v>
      </c>
    </row>
    <row r="19" spans="1:9" ht="20.25" x14ac:dyDescent="0.3">
      <c r="A19" s="72" t="s">
        <v>4901</v>
      </c>
    </row>
    <row r="20" spans="1:9" s="14" customFormat="1" ht="29.45" customHeight="1" x14ac:dyDescent="0.25">
      <c r="A20" s="54" t="s">
        <v>4841</v>
      </c>
      <c r="B20" s="46" t="s">
        <v>4899</v>
      </c>
      <c r="C20" s="53" t="s">
        <v>4900</v>
      </c>
      <c r="D20" s="46" t="s">
        <v>4862</v>
      </c>
      <c r="E20" s="46" t="s">
        <v>4863</v>
      </c>
      <c r="F20" s="46" t="s">
        <v>4864</v>
      </c>
    </row>
    <row r="21" spans="1:9" x14ac:dyDescent="0.25">
      <c r="A21" s="18" t="s">
        <v>3808</v>
      </c>
      <c r="B21" s="31">
        <v>40015643</v>
      </c>
      <c r="C21" s="31">
        <v>48530293.329999998</v>
      </c>
      <c r="D21" s="31">
        <f t="shared" ref="D21:D28" si="0">B21-C21</f>
        <v>-8514650.3299999982</v>
      </c>
      <c r="E21" s="22">
        <f t="shared" ref="E21:E28" si="1">IF(C21=0,"",D21/C21)</f>
        <v>-0.17545021358312071</v>
      </c>
      <c r="F21" s="21" t="str">
        <f>IF(D21&gt;0,"Over Budget","Under Budget")</f>
        <v>Under Budget</v>
      </c>
    </row>
    <row r="22" spans="1:9" x14ac:dyDescent="0.25">
      <c r="A22" s="18" t="s">
        <v>3798</v>
      </c>
      <c r="B22" s="31">
        <v>38470208</v>
      </c>
      <c r="C22" s="31">
        <v>41478706.419999994</v>
      </c>
      <c r="D22" s="31">
        <f t="shared" si="0"/>
        <v>-3008498.4199999943</v>
      </c>
      <c r="E22" s="22">
        <f t="shared" si="1"/>
        <v>-7.2531153443815485E-2</v>
      </c>
      <c r="F22" s="21" t="str">
        <f t="shared" ref="F22:F28" si="2">IF(D22&gt;0,"Over Budget","Under Budget")</f>
        <v>Under Budget</v>
      </c>
    </row>
    <row r="23" spans="1:9" x14ac:dyDescent="0.25">
      <c r="A23" s="18" t="s">
        <v>3828</v>
      </c>
      <c r="B23" s="31">
        <v>50676170</v>
      </c>
      <c r="C23" s="31">
        <v>51893822.469999991</v>
      </c>
      <c r="D23" s="31">
        <f t="shared" si="0"/>
        <v>-1217652.4699999914</v>
      </c>
      <c r="E23" s="22">
        <f t="shared" si="1"/>
        <v>-2.3464304844838146E-2</v>
      </c>
      <c r="F23" s="21" t="str">
        <f t="shared" si="2"/>
        <v>Under Budget</v>
      </c>
    </row>
    <row r="24" spans="1:9" x14ac:dyDescent="0.25">
      <c r="A24" s="18" t="s">
        <v>3839</v>
      </c>
      <c r="B24" s="31">
        <v>39900000</v>
      </c>
      <c r="C24" s="31">
        <v>50187717.890000008</v>
      </c>
      <c r="D24" s="31">
        <f t="shared" si="0"/>
        <v>-10287717.890000008</v>
      </c>
      <c r="E24" s="22">
        <f t="shared" si="1"/>
        <v>-0.20498477162377321</v>
      </c>
      <c r="F24" s="21" t="str">
        <f t="shared" si="2"/>
        <v>Under Budget</v>
      </c>
    </row>
    <row r="25" spans="1:9" x14ac:dyDescent="0.25">
      <c r="A25" s="18" t="s">
        <v>3787</v>
      </c>
      <c r="B25" s="31">
        <v>49528193</v>
      </c>
      <c r="C25" s="31">
        <v>52465662.550000012</v>
      </c>
      <c r="D25" s="31">
        <f t="shared" si="0"/>
        <v>-2937469.5500000119</v>
      </c>
      <c r="E25" s="22">
        <f t="shared" si="1"/>
        <v>-5.5988419991848767E-2</v>
      </c>
      <c r="F25" s="21" t="str">
        <f t="shared" si="2"/>
        <v>Under Budget</v>
      </c>
    </row>
    <row r="26" spans="1:9" x14ac:dyDescent="0.25">
      <c r="A26" s="18" t="s">
        <v>3794</v>
      </c>
      <c r="B26" s="31">
        <v>31743143</v>
      </c>
      <c r="C26" s="31">
        <v>34940189.419999994</v>
      </c>
      <c r="D26" s="31">
        <f t="shared" si="0"/>
        <v>-3197046.4199999943</v>
      </c>
      <c r="E26" s="22">
        <f t="shared" si="1"/>
        <v>-9.1500546306998096E-2</v>
      </c>
      <c r="F26" s="21" t="str">
        <f t="shared" si="2"/>
        <v>Under Budget</v>
      </c>
    </row>
    <row r="27" spans="1:9" x14ac:dyDescent="0.25">
      <c r="A27" s="18" t="s">
        <v>3811</v>
      </c>
      <c r="B27" s="31">
        <v>46828090</v>
      </c>
      <c r="C27" s="31">
        <v>47761845.379999988</v>
      </c>
      <c r="D27" s="31">
        <f t="shared" si="0"/>
        <v>-933755.37999998778</v>
      </c>
      <c r="E27" s="22">
        <f t="shared" si="1"/>
        <v>-1.9550236649587095E-2</v>
      </c>
      <c r="F27" s="21" t="str">
        <f t="shared" si="2"/>
        <v>Under Budget</v>
      </c>
    </row>
    <row r="28" spans="1:9" x14ac:dyDescent="0.25">
      <c r="A28" s="18" t="s">
        <v>4877</v>
      </c>
      <c r="B28" s="31">
        <v>13968982</v>
      </c>
      <c r="C28" s="31">
        <v>15563378.52</v>
      </c>
      <c r="D28" s="31">
        <f t="shared" si="0"/>
        <v>-1594396.5199999996</v>
      </c>
      <c r="E28" s="22">
        <f t="shared" si="1"/>
        <v>-0.10244539885418141</v>
      </c>
      <c r="F28" s="21" t="str">
        <f t="shared" si="2"/>
        <v>Under Budget</v>
      </c>
    </row>
    <row r="29" spans="1:9" x14ac:dyDescent="0.25">
      <c r="D29" s="10"/>
      <c r="E29" s="32"/>
    </row>
    <row r="31" spans="1:9" s="40" customFormat="1" ht="20.25" x14ac:dyDescent="0.3">
      <c r="A31" s="12" t="s">
        <v>4865</v>
      </c>
    </row>
    <row r="32" spans="1:9" s="14" customFormat="1" ht="18.600000000000001" customHeight="1" x14ac:dyDescent="0.25">
      <c r="A32" s="55" t="s">
        <v>3770</v>
      </c>
      <c r="B32" s="56" t="s">
        <v>4872</v>
      </c>
      <c r="C32" s="56" t="s">
        <v>4873</v>
      </c>
      <c r="D32" s="5"/>
      <c r="E32" s="5"/>
      <c r="F32" s="5"/>
      <c r="G32" s="5"/>
      <c r="H32" s="5"/>
      <c r="I32" s="5"/>
    </row>
    <row r="33" spans="1:8" x14ac:dyDescent="0.25">
      <c r="A33" s="18" t="s">
        <v>3813</v>
      </c>
      <c r="B33" s="25">
        <v>29086598</v>
      </c>
      <c r="C33" s="25">
        <v>76</v>
      </c>
    </row>
    <row r="34" spans="1:8" x14ac:dyDescent="0.25">
      <c r="A34" s="18" t="s">
        <v>3850</v>
      </c>
      <c r="B34" s="25">
        <v>26635414</v>
      </c>
      <c r="C34" s="25">
        <v>61</v>
      </c>
    </row>
    <row r="35" spans="1:8" x14ac:dyDescent="0.25">
      <c r="A35" s="18" t="s">
        <v>3802</v>
      </c>
      <c r="B35" s="25">
        <v>23793501</v>
      </c>
      <c r="C35" s="25">
        <v>69</v>
      </c>
    </row>
    <row r="36" spans="1:8" x14ac:dyDescent="0.25">
      <c r="A36" s="18" t="s">
        <v>3837</v>
      </c>
      <c r="B36" s="25">
        <v>22876465</v>
      </c>
      <c r="C36" s="25">
        <v>63</v>
      </c>
    </row>
    <row r="37" spans="1:8" x14ac:dyDescent="0.25">
      <c r="A37" s="18" t="s">
        <v>3826</v>
      </c>
      <c r="B37" s="25">
        <v>21667738</v>
      </c>
      <c r="C37" s="25">
        <v>58</v>
      </c>
    </row>
    <row r="40" spans="1:8" s="40" customFormat="1" ht="20.25" x14ac:dyDescent="0.3">
      <c r="A40" s="12" t="s">
        <v>4866</v>
      </c>
    </row>
    <row r="41" spans="1:8" s="40" customFormat="1" ht="20.25" x14ac:dyDescent="0.3">
      <c r="A41" s="72" t="s">
        <v>4902</v>
      </c>
    </row>
    <row r="42" spans="1:8" s="35" customFormat="1" ht="29.45" customHeight="1" x14ac:dyDescent="0.25">
      <c r="A42" s="33" t="s">
        <v>3767</v>
      </c>
      <c r="B42" s="33" t="s">
        <v>3769</v>
      </c>
      <c r="C42" s="33" t="s">
        <v>3770</v>
      </c>
      <c r="D42" s="33" t="s">
        <v>4870</v>
      </c>
      <c r="E42" s="34" t="s">
        <v>4871</v>
      </c>
      <c r="F42" s="34" t="s">
        <v>4869</v>
      </c>
    </row>
    <row r="43" spans="1:8" x14ac:dyDescent="0.25">
      <c r="A43" s="36" t="s">
        <v>4053</v>
      </c>
      <c r="B43" s="36" t="s">
        <v>3848</v>
      </c>
      <c r="C43" s="36" t="s">
        <v>3822</v>
      </c>
      <c r="D43" s="36" t="s">
        <v>3782</v>
      </c>
      <c r="E43" s="37">
        <v>45105</v>
      </c>
      <c r="F43" s="38">
        <v>4846353</v>
      </c>
    </row>
    <row r="44" spans="1:8" x14ac:dyDescent="0.25">
      <c r="A44" s="36" t="s">
        <v>4323</v>
      </c>
      <c r="B44" s="36" t="s">
        <v>3821</v>
      </c>
      <c r="C44" s="36" t="s">
        <v>3834</v>
      </c>
      <c r="D44" s="36" t="s">
        <v>3782</v>
      </c>
      <c r="E44" s="37">
        <v>45467</v>
      </c>
      <c r="F44" s="38">
        <v>4800245</v>
      </c>
    </row>
    <row r="45" spans="1:8" x14ac:dyDescent="0.25">
      <c r="A45" s="36" t="s">
        <v>4231</v>
      </c>
      <c r="B45" s="36" t="s">
        <v>3844</v>
      </c>
      <c r="C45" s="36" t="s">
        <v>3816</v>
      </c>
      <c r="D45" s="36" t="s">
        <v>3859</v>
      </c>
      <c r="E45" s="37">
        <v>45012</v>
      </c>
      <c r="F45" s="38">
        <v>4688784</v>
      </c>
    </row>
    <row r="46" spans="1:8" x14ac:dyDescent="0.25">
      <c r="A46" s="36" t="s">
        <v>3866</v>
      </c>
      <c r="B46" s="36" t="s">
        <v>3812</v>
      </c>
      <c r="C46" s="36" t="s">
        <v>3867</v>
      </c>
      <c r="D46" s="36" t="s">
        <v>3782</v>
      </c>
      <c r="E46" s="37">
        <v>45464</v>
      </c>
      <c r="F46" s="38">
        <v>3606815</v>
      </c>
    </row>
    <row r="47" spans="1:8" x14ac:dyDescent="0.25">
      <c r="A47" s="36" t="s">
        <v>3939</v>
      </c>
      <c r="B47" s="36" t="s">
        <v>3861</v>
      </c>
      <c r="C47" s="36" t="s">
        <v>3813</v>
      </c>
      <c r="D47" s="36" t="s">
        <v>3782</v>
      </c>
      <c r="E47" s="37">
        <v>45154</v>
      </c>
      <c r="F47" s="38">
        <v>3110100</v>
      </c>
    </row>
    <row r="48" spans="1:8" x14ac:dyDescent="0.25">
      <c r="A48" s="36" t="s">
        <v>4459</v>
      </c>
      <c r="B48" s="36" t="s">
        <v>3806</v>
      </c>
      <c r="C48" s="36" t="s">
        <v>3855</v>
      </c>
      <c r="D48" s="36" t="s">
        <v>3859</v>
      </c>
      <c r="E48" s="37">
        <v>45484</v>
      </c>
      <c r="F48" s="38">
        <v>2978304</v>
      </c>
      <c r="H48" s="39"/>
    </row>
    <row r="49" spans="1:6" x14ac:dyDescent="0.25">
      <c r="A49" s="36" t="s">
        <v>3890</v>
      </c>
      <c r="B49" s="36" t="s">
        <v>3780</v>
      </c>
      <c r="C49" s="36" t="s">
        <v>3789</v>
      </c>
      <c r="D49" s="36" t="s">
        <v>3782</v>
      </c>
      <c r="E49" s="37">
        <v>45655</v>
      </c>
      <c r="F49" s="38">
        <v>2583687</v>
      </c>
    </row>
    <row r="50" spans="1:6" x14ac:dyDescent="0.25">
      <c r="A50" s="36" t="s">
        <v>4287</v>
      </c>
      <c r="B50" s="36" t="s">
        <v>3795</v>
      </c>
      <c r="C50" s="36" t="s">
        <v>3850</v>
      </c>
      <c r="D50" s="36" t="s">
        <v>3859</v>
      </c>
      <c r="E50" s="37">
        <v>45569</v>
      </c>
      <c r="F50" s="38">
        <v>1730163</v>
      </c>
    </row>
    <row r="51" spans="1:6" x14ac:dyDescent="0.25">
      <c r="A51" s="36" t="s">
        <v>4681</v>
      </c>
      <c r="B51" s="36" t="s">
        <v>3795</v>
      </c>
      <c r="C51" s="36" t="s">
        <v>3816</v>
      </c>
      <c r="D51" s="36" t="s">
        <v>3782</v>
      </c>
      <c r="E51" s="37">
        <v>44981</v>
      </c>
      <c r="F51" s="38">
        <v>1009569</v>
      </c>
    </row>
    <row r="52" spans="1:6" x14ac:dyDescent="0.25">
      <c r="A52" s="36" t="s">
        <v>4234</v>
      </c>
      <c r="B52" s="36" t="s">
        <v>3806</v>
      </c>
      <c r="C52" s="36" t="s">
        <v>3796</v>
      </c>
      <c r="D52" s="36" t="s">
        <v>3782</v>
      </c>
      <c r="E52" s="37">
        <v>45585</v>
      </c>
      <c r="F52" s="38">
        <v>498758</v>
      </c>
    </row>
    <row r="53" spans="1:6" x14ac:dyDescent="0.25">
      <c r="A53" s="36" t="s">
        <v>4077</v>
      </c>
      <c r="B53" s="36" t="s">
        <v>3806</v>
      </c>
      <c r="C53" s="36" t="s">
        <v>3802</v>
      </c>
      <c r="D53" s="36" t="s">
        <v>3782</v>
      </c>
      <c r="E53" s="37">
        <v>45361</v>
      </c>
      <c r="F53" s="38">
        <v>498331</v>
      </c>
    </row>
    <row r="54" spans="1:6" x14ac:dyDescent="0.25">
      <c r="A54" s="36" t="s">
        <v>3957</v>
      </c>
      <c r="B54" s="36" t="s">
        <v>3780</v>
      </c>
      <c r="C54" s="36" t="s">
        <v>3789</v>
      </c>
      <c r="D54" s="36" t="s">
        <v>3859</v>
      </c>
      <c r="E54" s="37">
        <v>45541</v>
      </c>
      <c r="F54" s="38">
        <v>497608</v>
      </c>
    </row>
    <row r="55" spans="1:6" x14ac:dyDescent="0.25">
      <c r="A55" s="36" t="s">
        <v>3913</v>
      </c>
      <c r="B55" s="36" t="s">
        <v>3825</v>
      </c>
      <c r="C55" s="36" t="s">
        <v>3855</v>
      </c>
      <c r="D55" s="36" t="s">
        <v>3782</v>
      </c>
      <c r="E55" s="37">
        <v>45728</v>
      </c>
      <c r="F55" s="38">
        <v>495376</v>
      </c>
    </row>
    <row r="56" spans="1:6" x14ac:dyDescent="0.25">
      <c r="A56" s="36" t="s">
        <v>4573</v>
      </c>
      <c r="B56" s="36" t="s">
        <v>3858</v>
      </c>
      <c r="C56" s="36" t="s">
        <v>3867</v>
      </c>
      <c r="D56" s="36" t="s">
        <v>3782</v>
      </c>
      <c r="E56" s="37">
        <v>45506</v>
      </c>
      <c r="F56" s="38">
        <v>490856</v>
      </c>
    </row>
    <row r="57" spans="1:6" x14ac:dyDescent="0.25">
      <c r="A57" s="36" t="s">
        <v>3954</v>
      </c>
      <c r="B57" s="36" t="s">
        <v>3861</v>
      </c>
      <c r="C57" s="36" t="s">
        <v>3799</v>
      </c>
      <c r="D57" s="36" t="s">
        <v>3782</v>
      </c>
      <c r="E57" s="37">
        <v>44979</v>
      </c>
      <c r="F57" s="38">
        <v>488286</v>
      </c>
    </row>
    <row r="58" spans="1:6" x14ac:dyDescent="0.25">
      <c r="A58" s="36" t="s">
        <v>4754</v>
      </c>
      <c r="B58" s="36" t="s">
        <v>3815</v>
      </c>
      <c r="C58" s="36" t="s">
        <v>3837</v>
      </c>
      <c r="D58" s="36" t="s">
        <v>3782</v>
      </c>
      <c r="E58" s="37">
        <v>45287</v>
      </c>
      <c r="F58" s="38">
        <v>487319</v>
      </c>
    </row>
    <row r="59" spans="1:6" x14ac:dyDescent="0.25">
      <c r="A59" s="36" t="s">
        <v>4440</v>
      </c>
      <c r="B59" s="36" t="s">
        <v>3788</v>
      </c>
      <c r="C59" s="36" t="s">
        <v>3813</v>
      </c>
      <c r="D59" s="36" t="s">
        <v>3782</v>
      </c>
      <c r="E59" s="37">
        <v>45047</v>
      </c>
      <c r="F59" s="38">
        <v>487139</v>
      </c>
    </row>
    <row r="60" spans="1:6" x14ac:dyDescent="0.25">
      <c r="A60" s="36" t="s">
        <v>4183</v>
      </c>
      <c r="B60" s="36" t="s">
        <v>3806</v>
      </c>
      <c r="C60" s="36" t="s">
        <v>3867</v>
      </c>
      <c r="D60" s="36" t="s">
        <v>3859</v>
      </c>
      <c r="E60" s="37">
        <v>45151</v>
      </c>
      <c r="F60" s="38">
        <v>486643</v>
      </c>
    </row>
    <row r="61" spans="1:6" x14ac:dyDescent="0.25">
      <c r="A61" s="36" t="s">
        <v>4269</v>
      </c>
      <c r="B61" s="36" t="s">
        <v>3780</v>
      </c>
      <c r="C61" s="36" t="s">
        <v>3796</v>
      </c>
      <c r="D61" s="36" t="s">
        <v>3859</v>
      </c>
      <c r="E61" s="37">
        <v>45148</v>
      </c>
      <c r="F61" s="38">
        <v>486522</v>
      </c>
    </row>
    <row r="62" spans="1:6" x14ac:dyDescent="0.25">
      <c r="A62" s="36" t="s">
        <v>4479</v>
      </c>
      <c r="B62" s="36" t="s">
        <v>3844</v>
      </c>
      <c r="C62" s="36" t="s">
        <v>3813</v>
      </c>
      <c r="D62" s="36" t="s">
        <v>3782</v>
      </c>
      <c r="E62" s="37">
        <v>45275</v>
      </c>
      <c r="F62" s="38">
        <v>484354</v>
      </c>
    </row>
    <row r="63" spans="1:6" x14ac:dyDescent="0.25">
      <c r="A63" s="36" t="s">
        <v>4468</v>
      </c>
      <c r="B63" s="36" t="s">
        <v>3806</v>
      </c>
      <c r="C63" s="36" t="s">
        <v>3867</v>
      </c>
      <c r="D63" s="36" t="s">
        <v>3782</v>
      </c>
      <c r="E63" s="37">
        <v>45065</v>
      </c>
      <c r="F63" s="38">
        <v>482592</v>
      </c>
    </row>
    <row r="64" spans="1:6" x14ac:dyDescent="0.25">
      <c r="A64" s="36" t="s">
        <v>4154</v>
      </c>
      <c r="B64" s="36" t="s">
        <v>3844</v>
      </c>
      <c r="C64" s="36" t="s">
        <v>3802</v>
      </c>
      <c r="D64" s="36" t="s">
        <v>3782</v>
      </c>
      <c r="E64" s="37">
        <v>44980</v>
      </c>
      <c r="F64" s="38">
        <v>482501</v>
      </c>
    </row>
    <row r="65" spans="1:6" x14ac:dyDescent="0.25">
      <c r="A65" s="36" t="s">
        <v>3920</v>
      </c>
      <c r="B65" s="36" t="s">
        <v>3821</v>
      </c>
      <c r="C65" s="36" t="s">
        <v>3895</v>
      </c>
      <c r="D65" s="36" t="s">
        <v>3782</v>
      </c>
      <c r="E65" s="37">
        <v>45164</v>
      </c>
      <c r="F65" s="38">
        <v>478753</v>
      </c>
    </row>
    <row r="66" spans="1:6" x14ac:dyDescent="0.25">
      <c r="A66" s="36" t="s">
        <v>4237</v>
      </c>
      <c r="B66" s="36" t="s">
        <v>3788</v>
      </c>
      <c r="C66" s="36" t="s">
        <v>3834</v>
      </c>
      <c r="D66" s="36" t="s">
        <v>3859</v>
      </c>
      <c r="E66" s="37">
        <v>45674</v>
      </c>
      <c r="F66" s="38">
        <v>474316</v>
      </c>
    </row>
    <row r="67" spans="1:6" x14ac:dyDescent="0.25">
      <c r="A67" s="36" t="s">
        <v>4169</v>
      </c>
      <c r="B67" s="36" t="s">
        <v>4878</v>
      </c>
      <c r="C67" s="36" t="s">
        <v>3802</v>
      </c>
      <c r="D67" s="36" t="s">
        <v>3859</v>
      </c>
      <c r="E67" s="37">
        <v>45226</v>
      </c>
      <c r="F67" s="38">
        <v>474095</v>
      </c>
    </row>
    <row r="68" spans="1:6" x14ac:dyDescent="0.25">
      <c r="A68" s="36" t="s">
        <v>4393</v>
      </c>
      <c r="B68" s="36" t="s">
        <v>3812</v>
      </c>
      <c r="C68" s="36" t="s">
        <v>3837</v>
      </c>
      <c r="D68" s="36" t="s">
        <v>3782</v>
      </c>
      <c r="E68" s="37">
        <v>45456</v>
      </c>
      <c r="F68" s="38">
        <v>473688</v>
      </c>
    </row>
    <row r="69" spans="1:6" x14ac:dyDescent="0.25">
      <c r="A69" s="36" t="s">
        <v>4633</v>
      </c>
      <c r="B69" s="36" t="s">
        <v>3825</v>
      </c>
      <c r="C69" s="36" t="s">
        <v>3834</v>
      </c>
      <c r="D69" s="36" t="s">
        <v>3859</v>
      </c>
      <c r="E69" s="37">
        <v>45160</v>
      </c>
      <c r="F69" s="38">
        <v>473508</v>
      </c>
    </row>
    <row r="70" spans="1:6" x14ac:dyDescent="0.25">
      <c r="A70" s="36" t="s">
        <v>4586</v>
      </c>
      <c r="B70" s="36" t="s">
        <v>3825</v>
      </c>
      <c r="C70" s="36" t="s">
        <v>3855</v>
      </c>
      <c r="D70" s="36" t="s">
        <v>3782</v>
      </c>
      <c r="E70" s="37">
        <v>45186</v>
      </c>
      <c r="F70" s="38">
        <v>469790</v>
      </c>
    </row>
    <row r="71" spans="1:6" x14ac:dyDescent="0.25">
      <c r="A71" s="36" t="s">
        <v>4651</v>
      </c>
      <c r="B71" s="36" t="s">
        <v>3795</v>
      </c>
      <c r="C71" s="36" t="s">
        <v>3837</v>
      </c>
      <c r="D71" s="36" t="s">
        <v>3782</v>
      </c>
      <c r="E71" s="37">
        <v>45499</v>
      </c>
      <c r="F71" s="38">
        <v>469164</v>
      </c>
    </row>
    <row r="72" spans="1:6" x14ac:dyDescent="0.25">
      <c r="A72" s="36" t="s">
        <v>4756</v>
      </c>
      <c r="B72" s="36" t="s">
        <v>3844</v>
      </c>
      <c r="C72" s="36" t="s">
        <v>3834</v>
      </c>
      <c r="D72" s="36" t="s">
        <v>3782</v>
      </c>
      <c r="E72" s="37">
        <v>45046</v>
      </c>
      <c r="F72" s="38">
        <v>468155</v>
      </c>
    </row>
    <row r="73" spans="1:6" x14ac:dyDescent="0.25">
      <c r="A73" s="36" t="s">
        <v>3885</v>
      </c>
      <c r="B73" s="36" t="s">
        <v>4878</v>
      </c>
      <c r="C73" s="36" t="s">
        <v>3796</v>
      </c>
      <c r="D73" s="36" t="s">
        <v>3859</v>
      </c>
      <c r="E73" s="37">
        <v>45636</v>
      </c>
      <c r="F73" s="38">
        <v>464884</v>
      </c>
    </row>
    <row r="74" spans="1:6" x14ac:dyDescent="0.25">
      <c r="A74" s="36" t="s">
        <v>4744</v>
      </c>
      <c r="B74" s="36" t="s">
        <v>3780</v>
      </c>
      <c r="C74" s="36" t="s">
        <v>3822</v>
      </c>
      <c r="D74" s="36" t="s">
        <v>3859</v>
      </c>
      <c r="E74" s="37">
        <v>45237</v>
      </c>
      <c r="F74" s="38">
        <v>460341</v>
      </c>
    </row>
    <row r="75" spans="1:6" x14ac:dyDescent="0.25">
      <c r="A75" s="36" t="s">
        <v>4593</v>
      </c>
      <c r="B75" s="36" t="s">
        <v>3815</v>
      </c>
      <c r="C75" s="36" t="s">
        <v>3826</v>
      </c>
      <c r="D75" s="36" t="s">
        <v>3782</v>
      </c>
      <c r="E75" s="37">
        <v>45079</v>
      </c>
      <c r="F75" s="38">
        <v>459805</v>
      </c>
    </row>
    <row r="76" spans="1:6" x14ac:dyDescent="0.25">
      <c r="A76" s="36" t="s">
        <v>4785</v>
      </c>
      <c r="B76" s="36" t="s">
        <v>3848</v>
      </c>
      <c r="C76" s="36" t="s">
        <v>3895</v>
      </c>
      <c r="D76" s="36" t="s">
        <v>3782</v>
      </c>
      <c r="E76" s="37">
        <v>45117</v>
      </c>
      <c r="F76" s="38">
        <v>459613</v>
      </c>
    </row>
    <row r="77" spans="1:6" x14ac:dyDescent="0.25">
      <c r="A77" s="36" t="s">
        <v>4126</v>
      </c>
      <c r="B77" s="36" t="s">
        <v>3825</v>
      </c>
      <c r="C77" s="36" t="s">
        <v>3867</v>
      </c>
      <c r="D77" s="36" t="s">
        <v>3782</v>
      </c>
      <c r="E77" s="37">
        <v>45105</v>
      </c>
      <c r="F77" s="38">
        <v>459471</v>
      </c>
    </row>
    <row r="78" spans="1:6" x14ac:dyDescent="0.25">
      <c r="A78" s="36" t="s">
        <v>4707</v>
      </c>
      <c r="B78" s="36" t="s">
        <v>3861</v>
      </c>
      <c r="C78" s="36" t="s">
        <v>3789</v>
      </c>
      <c r="D78" s="36" t="s">
        <v>3782</v>
      </c>
      <c r="E78" s="37">
        <v>45107</v>
      </c>
      <c r="F78" s="38">
        <v>459009</v>
      </c>
    </row>
    <row r="79" spans="1:6" x14ac:dyDescent="0.25">
      <c r="A79" s="36" t="s">
        <v>4574</v>
      </c>
      <c r="B79" s="36" t="s">
        <v>3788</v>
      </c>
      <c r="C79" s="36" t="s">
        <v>3781</v>
      </c>
      <c r="D79" s="36" t="s">
        <v>3782</v>
      </c>
      <c r="E79" s="37">
        <v>45018</v>
      </c>
      <c r="F79" s="38">
        <v>457290</v>
      </c>
    </row>
    <row r="80" spans="1:6" x14ac:dyDescent="0.25">
      <c r="A80" s="36" t="s">
        <v>4315</v>
      </c>
      <c r="B80" s="36" t="s">
        <v>3825</v>
      </c>
      <c r="C80" s="36" t="s">
        <v>3822</v>
      </c>
      <c r="D80" s="36" t="s">
        <v>3782</v>
      </c>
      <c r="E80" s="37">
        <v>45562</v>
      </c>
      <c r="F80" s="38">
        <v>453730</v>
      </c>
    </row>
    <row r="81" spans="1:6" x14ac:dyDescent="0.25">
      <c r="A81" s="36" t="s">
        <v>4486</v>
      </c>
      <c r="B81" s="36" t="s">
        <v>3815</v>
      </c>
      <c r="C81" s="36" t="s">
        <v>3895</v>
      </c>
      <c r="D81" s="36" t="s">
        <v>3782</v>
      </c>
      <c r="E81" s="37">
        <v>45049</v>
      </c>
      <c r="F81" s="38">
        <v>453323</v>
      </c>
    </row>
    <row r="82" spans="1:6" x14ac:dyDescent="0.25">
      <c r="A82" s="36" t="s">
        <v>4104</v>
      </c>
      <c r="B82" s="36" t="s">
        <v>3795</v>
      </c>
      <c r="C82" s="36" t="s">
        <v>3826</v>
      </c>
      <c r="D82" s="36" t="s">
        <v>3782</v>
      </c>
      <c r="E82" s="37">
        <v>45168</v>
      </c>
      <c r="F82" s="38">
        <v>451511</v>
      </c>
    </row>
    <row r="83" spans="1:6" x14ac:dyDescent="0.25">
      <c r="A83" s="36" t="s">
        <v>4608</v>
      </c>
      <c r="B83" s="36" t="s">
        <v>3844</v>
      </c>
      <c r="C83" s="36" t="s">
        <v>3781</v>
      </c>
      <c r="D83" s="36" t="s">
        <v>3782</v>
      </c>
      <c r="E83" s="37">
        <v>45228</v>
      </c>
      <c r="F83" s="38">
        <v>448339</v>
      </c>
    </row>
    <row r="84" spans="1:6" x14ac:dyDescent="0.25">
      <c r="A84" s="36" t="s">
        <v>4645</v>
      </c>
      <c r="B84" s="36" t="s">
        <v>3821</v>
      </c>
      <c r="C84" s="36" t="s">
        <v>3850</v>
      </c>
      <c r="D84" s="36" t="s">
        <v>3782</v>
      </c>
      <c r="E84" s="37">
        <v>44943</v>
      </c>
      <c r="F84" s="38">
        <v>447953</v>
      </c>
    </row>
    <row r="85" spans="1:6" x14ac:dyDescent="0.25">
      <c r="A85" s="36" t="s">
        <v>3994</v>
      </c>
      <c r="B85" s="36" t="s">
        <v>3861</v>
      </c>
      <c r="C85" s="36" t="s">
        <v>3826</v>
      </c>
      <c r="D85" s="36" t="s">
        <v>3859</v>
      </c>
      <c r="E85" s="37">
        <v>45668</v>
      </c>
      <c r="F85" s="38">
        <v>446250</v>
      </c>
    </row>
    <row r="86" spans="1:6" x14ac:dyDescent="0.25">
      <c r="A86" s="36" t="s">
        <v>3905</v>
      </c>
      <c r="B86" s="36" t="s">
        <v>3812</v>
      </c>
      <c r="C86" s="36" t="s">
        <v>3850</v>
      </c>
      <c r="D86" s="36" t="s">
        <v>3782</v>
      </c>
      <c r="E86" s="37">
        <v>45673</v>
      </c>
      <c r="F86" s="38">
        <v>443662</v>
      </c>
    </row>
    <row r="87" spans="1:6" x14ac:dyDescent="0.25">
      <c r="A87" s="36" t="s">
        <v>4417</v>
      </c>
      <c r="B87" s="36" t="s">
        <v>3806</v>
      </c>
      <c r="C87" s="36" t="s">
        <v>3802</v>
      </c>
      <c r="D87" s="36" t="s">
        <v>3782</v>
      </c>
      <c r="E87" s="37">
        <v>45618</v>
      </c>
      <c r="F87" s="38">
        <v>443121</v>
      </c>
    </row>
    <row r="88" spans="1:6" x14ac:dyDescent="0.25">
      <c r="A88" s="36" t="s">
        <v>4577</v>
      </c>
      <c r="B88" s="36" t="s">
        <v>3825</v>
      </c>
      <c r="C88" s="36" t="s">
        <v>3846</v>
      </c>
      <c r="D88" s="36" t="s">
        <v>3782</v>
      </c>
      <c r="E88" s="37">
        <v>45076</v>
      </c>
      <c r="F88" s="38">
        <v>442821</v>
      </c>
    </row>
    <row r="89" spans="1:6" x14ac:dyDescent="0.25">
      <c r="A89" s="36" t="s">
        <v>4803</v>
      </c>
      <c r="B89" s="36" t="s">
        <v>3815</v>
      </c>
      <c r="C89" s="36" t="s">
        <v>3822</v>
      </c>
      <c r="D89" s="36" t="s">
        <v>3859</v>
      </c>
      <c r="E89" s="37">
        <v>45237</v>
      </c>
      <c r="F89" s="38">
        <v>438261</v>
      </c>
    </row>
    <row r="90" spans="1:6" x14ac:dyDescent="0.25">
      <c r="A90" s="36" t="s">
        <v>4531</v>
      </c>
      <c r="B90" s="36" t="s">
        <v>3815</v>
      </c>
      <c r="C90" s="36" t="s">
        <v>3846</v>
      </c>
      <c r="D90" s="36" t="s">
        <v>3782</v>
      </c>
      <c r="E90" s="37">
        <v>45029</v>
      </c>
      <c r="F90" s="38">
        <v>436714</v>
      </c>
    </row>
    <row r="91" spans="1:6" x14ac:dyDescent="0.25">
      <c r="A91" s="36" t="s">
        <v>4148</v>
      </c>
      <c r="B91" s="36" t="s">
        <v>3821</v>
      </c>
      <c r="C91" s="36" t="s">
        <v>3867</v>
      </c>
      <c r="D91" s="36" t="s">
        <v>3782</v>
      </c>
      <c r="E91" s="37">
        <v>44980</v>
      </c>
      <c r="F91" s="38">
        <v>435004</v>
      </c>
    </row>
    <row r="92" spans="1:6" x14ac:dyDescent="0.25">
      <c r="A92" s="36" t="s">
        <v>3910</v>
      </c>
      <c r="B92" s="36" t="s">
        <v>3821</v>
      </c>
      <c r="C92" s="36" t="s">
        <v>3822</v>
      </c>
      <c r="D92" s="36" t="s">
        <v>3782</v>
      </c>
      <c r="E92" s="37">
        <v>45230</v>
      </c>
      <c r="F92" s="38">
        <v>429973</v>
      </c>
    </row>
    <row r="93" spans="1:6" x14ac:dyDescent="0.25">
      <c r="A93" s="36" t="s">
        <v>4194</v>
      </c>
      <c r="B93" s="36" t="s">
        <v>3795</v>
      </c>
      <c r="C93" s="36" t="s">
        <v>3789</v>
      </c>
      <c r="D93" s="36" t="s">
        <v>3859</v>
      </c>
      <c r="E93" s="37">
        <v>45727</v>
      </c>
      <c r="F93" s="38">
        <v>429569</v>
      </c>
    </row>
    <row r="94" spans="1:6" x14ac:dyDescent="0.25">
      <c r="A94" s="36" t="s">
        <v>3919</v>
      </c>
      <c r="B94" s="36" t="s">
        <v>3812</v>
      </c>
      <c r="C94" s="36" t="s">
        <v>3796</v>
      </c>
      <c r="D94" s="36" t="s">
        <v>3782</v>
      </c>
      <c r="E94" s="37">
        <v>45638</v>
      </c>
      <c r="F94" s="38">
        <v>429501</v>
      </c>
    </row>
    <row r="95" spans="1:6" x14ac:dyDescent="0.25">
      <c r="A95" s="36" t="s">
        <v>4476</v>
      </c>
      <c r="B95" s="36" t="s">
        <v>3861</v>
      </c>
      <c r="C95" s="36" t="s">
        <v>3846</v>
      </c>
      <c r="D95" s="36" t="s">
        <v>3782</v>
      </c>
      <c r="E95" s="37">
        <v>45099</v>
      </c>
      <c r="F95" s="38">
        <v>426324</v>
      </c>
    </row>
    <row r="96" spans="1:6" x14ac:dyDescent="0.25">
      <c r="A96" s="36" t="s">
        <v>4149</v>
      </c>
      <c r="B96" s="36" t="s">
        <v>3858</v>
      </c>
      <c r="C96" s="36" t="s">
        <v>3837</v>
      </c>
      <c r="D96" s="36" t="s">
        <v>3782</v>
      </c>
      <c r="E96" s="37">
        <v>45569</v>
      </c>
      <c r="F96" s="38">
        <v>424596</v>
      </c>
    </row>
    <row r="97" spans="1:6" x14ac:dyDescent="0.25">
      <c r="A97" s="36" t="s">
        <v>4588</v>
      </c>
      <c r="B97" s="36" t="s">
        <v>3795</v>
      </c>
      <c r="C97" s="36" t="s">
        <v>3796</v>
      </c>
      <c r="D97" s="36" t="s">
        <v>3859</v>
      </c>
      <c r="E97" s="37">
        <v>45033</v>
      </c>
      <c r="F97" s="38">
        <v>424165</v>
      </c>
    </row>
    <row r="98" spans="1:6" x14ac:dyDescent="0.25">
      <c r="A98" s="36" t="s">
        <v>4316</v>
      </c>
      <c r="B98" s="36" t="s">
        <v>3844</v>
      </c>
      <c r="C98" s="36" t="s">
        <v>3789</v>
      </c>
      <c r="D98" s="36" t="s">
        <v>3782</v>
      </c>
      <c r="E98" s="37">
        <v>44933</v>
      </c>
      <c r="F98" s="38">
        <v>423764</v>
      </c>
    </row>
    <row r="99" spans="1:6" x14ac:dyDescent="0.25">
      <c r="A99" s="36" t="s">
        <v>4203</v>
      </c>
      <c r="B99" s="36" t="s">
        <v>3788</v>
      </c>
      <c r="C99" s="36" t="s">
        <v>3822</v>
      </c>
      <c r="D99" s="36" t="s">
        <v>3782</v>
      </c>
      <c r="E99" s="37">
        <v>45510</v>
      </c>
      <c r="F99" s="38">
        <v>422348</v>
      </c>
    </row>
    <row r="100" spans="1:6" x14ac:dyDescent="0.25">
      <c r="A100" s="36" t="s">
        <v>4252</v>
      </c>
      <c r="B100" s="36" t="s">
        <v>3861</v>
      </c>
      <c r="C100" s="36" t="s">
        <v>3813</v>
      </c>
      <c r="D100" s="36" t="s">
        <v>3859</v>
      </c>
      <c r="E100" s="37">
        <v>45454</v>
      </c>
      <c r="F100" s="38">
        <v>421120</v>
      </c>
    </row>
    <row r="101" spans="1:6" x14ac:dyDescent="0.25">
      <c r="A101" s="36" t="s">
        <v>4110</v>
      </c>
      <c r="B101" s="36" t="s">
        <v>3848</v>
      </c>
      <c r="C101" s="36" t="s">
        <v>3837</v>
      </c>
      <c r="D101" s="36" t="s">
        <v>3782</v>
      </c>
      <c r="E101" s="37">
        <v>45199</v>
      </c>
      <c r="F101" s="38">
        <v>415834</v>
      </c>
    </row>
    <row r="102" spans="1:6" x14ac:dyDescent="0.25">
      <c r="A102" s="36" t="s">
        <v>3892</v>
      </c>
      <c r="B102" s="36" t="s">
        <v>3844</v>
      </c>
      <c r="C102" s="36" t="s">
        <v>3855</v>
      </c>
      <c r="D102" s="36" t="s">
        <v>3782</v>
      </c>
      <c r="E102" s="37">
        <v>45461</v>
      </c>
      <c r="F102" s="38">
        <v>413818</v>
      </c>
    </row>
    <row r="103" spans="1:6" x14ac:dyDescent="0.25">
      <c r="A103" s="36" t="s">
        <v>4453</v>
      </c>
      <c r="B103" s="36" t="s">
        <v>3815</v>
      </c>
      <c r="C103" s="36" t="s">
        <v>3816</v>
      </c>
      <c r="D103" s="36" t="s">
        <v>3859</v>
      </c>
      <c r="E103" s="37">
        <v>45449</v>
      </c>
      <c r="F103" s="38">
        <v>413361</v>
      </c>
    </row>
    <row r="104" spans="1:6" x14ac:dyDescent="0.25">
      <c r="A104" s="36" t="s">
        <v>4611</v>
      </c>
      <c r="B104" s="36" t="s">
        <v>3806</v>
      </c>
      <c r="C104" s="36" t="s">
        <v>3895</v>
      </c>
      <c r="D104" s="36" t="s">
        <v>3859</v>
      </c>
      <c r="E104" s="37">
        <v>45000</v>
      </c>
      <c r="F104" s="38">
        <v>412881</v>
      </c>
    </row>
    <row r="105" spans="1:6" x14ac:dyDescent="0.25">
      <c r="A105" s="36" t="s">
        <v>4667</v>
      </c>
      <c r="B105" s="36" t="s">
        <v>3806</v>
      </c>
      <c r="C105" s="36" t="s">
        <v>3846</v>
      </c>
      <c r="D105" s="36" t="s">
        <v>3859</v>
      </c>
      <c r="E105" s="37">
        <v>45487</v>
      </c>
      <c r="F105" s="38">
        <v>412246</v>
      </c>
    </row>
    <row r="106" spans="1:6" x14ac:dyDescent="0.25">
      <c r="A106" s="36" t="s">
        <v>4565</v>
      </c>
      <c r="B106" s="36" t="s">
        <v>3858</v>
      </c>
      <c r="C106" s="36" t="s">
        <v>3837</v>
      </c>
      <c r="D106" s="36" t="s">
        <v>3782</v>
      </c>
      <c r="E106" s="37">
        <v>45272</v>
      </c>
      <c r="F106" s="38">
        <v>408903</v>
      </c>
    </row>
    <row r="107" spans="1:6" x14ac:dyDescent="0.25">
      <c r="A107" s="36" t="s">
        <v>3997</v>
      </c>
      <c r="B107" s="36" t="s">
        <v>3821</v>
      </c>
      <c r="C107" s="36" t="s">
        <v>3837</v>
      </c>
      <c r="D107" s="36" t="s">
        <v>3782</v>
      </c>
      <c r="E107" s="37">
        <v>45083</v>
      </c>
      <c r="F107" s="38">
        <v>408520</v>
      </c>
    </row>
    <row r="108" spans="1:6" x14ac:dyDescent="0.25">
      <c r="A108" s="36" t="s">
        <v>4165</v>
      </c>
      <c r="B108" s="36" t="s">
        <v>3825</v>
      </c>
      <c r="C108" s="36" t="s">
        <v>3837</v>
      </c>
      <c r="D108" s="36" t="s">
        <v>3859</v>
      </c>
      <c r="E108" s="37">
        <v>45680</v>
      </c>
      <c r="F108" s="38">
        <v>404431</v>
      </c>
    </row>
    <row r="109" spans="1:6" x14ac:dyDescent="0.25">
      <c r="A109" s="36" t="s">
        <v>4298</v>
      </c>
      <c r="B109" s="36" t="s">
        <v>3844</v>
      </c>
      <c r="C109" s="36" t="s">
        <v>3834</v>
      </c>
      <c r="D109" s="36" t="s">
        <v>3782</v>
      </c>
      <c r="E109" s="37">
        <v>45687</v>
      </c>
      <c r="F109" s="38">
        <v>404119</v>
      </c>
    </row>
    <row r="110" spans="1:6" x14ac:dyDescent="0.25">
      <c r="A110" s="36" t="s">
        <v>4192</v>
      </c>
      <c r="B110" s="36" t="s">
        <v>3861</v>
      </c>
      <c r="C110" s="36" t="s">
        <v>3826</v>
      </c>
      <c r="D110" s="36" t="s">
        <v>3782</v>
      </c>
      <c r="E110" s="37">
        <v>45398</v>
      </c>
      <c r="F110" s="38">
        <v>403214</v>
      </c>
    </row>
    <row r="111" spans="1:6" x14ac:dyDescent="0.25">
      <c r="A111" s="36" t="s">
        <v>4757</v>
      </c>
      <c r="B111" s="36" t="s">
        <v>3806</v>
      </c>
      <c r="C111" s="36" t="s">
        <v>3822</v>
      </c>
      <c r="D111" s="36" t="s">
        <v>3859</v>
      </c>
      <c r="E111" s="37">
        <v>45203</v>
      </c>
      <c r="F111" s="38">
        <v>399688</v>
      </c>
    </row>
    <row r="112" spans="1:6" x14ac:dyDescent="0.25">
      <c r="A112" s="36" t="s">
        <v>4779</v>
      </c>
      <c r="B112" s="36" t="s">
        <v>3795</v>
      </c>
      <c r="C112" s="36" t="s">
        <v>3855</v>
      </c>
      <c r="D112" s="36" t="s">
        <v>3782</v>
      </c>
      <c r="E112" s="37">
        <v>45431</v>
      </c>
      <c r="F112" s="38">
        <v>398937</v>
      </c>
    </row>
    <row r="113" spans="1:6" x14ac:dyDescent="0.25">
      <c r="A113" s="36" t="s">
        <v>4512</v>
      </c>
      <c r="B113" s="36" t="s">
        <v>3806</v>
      </c>
      <c r="C113" s="36" t="s">
        <v>3846</v>
      </c>
      <c r="D113" s="36" t="s">
        <v>3859</v>
      </c>
      <c r="E113" s="37">
        <v>45588</v>
      </c>
      <c r="F113" s="38">
        <v>398103</v>
      </c>
    </row>
    <row r="114" spans="1:6" x14ac:dyDescent="0.25">
      <c r="A114" s="36" t="s">
        <v>3852</v>
      </c>
      <c r="B114" s="36" t="s">
        <v>3848</v>
      </c>
      <c r="C114" s="36" t="s">
        <v>3802</v>
      </c>
      <c r="D114" s="36" t="s">
        <v>3782</v>
      </c>
      <c r="E114" s="37">
        <v>45309</v>
      </c>
      <c r="F114" s="38">
        <v>397643</v>
      </c>
    </row>
    <row r="115" spans="1:6" x14ac:dyDescent="0.25">
      <c r="A115" s="36" t="s">
        <v>4726</v>
      </c>
      <c r="B115" s="36" t="s">
        <v>3844</v>
      </c>
      <c r="C115" s="36" t="s">
        <v>3802</v>
      </c>
      <c r="D115" s="36" t="s">
        <v>3859</v>
      </c>
      <c r="E115" s="37">
        <v>45041</v>
      </c>
      <c r="F115" s="38">
        <v>396834</v>
      </c>
    </row>
    <row r="116" spans="1:6" x14ac:dyDescent="0.25">
      <c r="A116" s="36" t="s">
        <v>4715</v>
      </c>
      <c r="B116" s="36" t="s">
        <v>3788</v>
      </c>
      <c r="C116" s="36" t="s">
        <v>3855</v>
      </c>
      <c r="D116" s="36" t="s">
        <v>3859</v>
      </c>
      <c r="E116" s="37">
        <v>45562</v>
      </c>
      <c r="F116" s="38">
        <v>395554</v>
      </c>
    </row>
    <row r="117" spans="1:6" x14ac:dyDescent="0.25">
      <c r="A117" s="36" t="s">
        <v>3897</v>
      </c>
      <c r="B117" s="36" t="s">
        <v>3788</v>
      </c>
      <c r="C117" s="36" t="s">
        <v>3789</v>
      </c>
      <c r="D117" s="36" t="s">
        <v>3782</v>
      </c>
      <c r="E117" s="37">
        <v>44998</v>
      </c>
      <c r="F117" s="38">
        <v>395114</v>
      </c>
    </row>
    <row r="118" spans="1:6" x14ac:dyDescent="0.25">
      <c r="A118" s="36" t="s">
        <v>4041</v>
      </c>
      <c r="B118" s="36" t="s">
        <v>3806</v>
      </c>
      <c r="C118" s="36" t="s">
        <v>3813</v>
      </c>
      <c r="D118" s="36" t="s">
        <v>3859</v>
      </c>
      <c r="E118" s="37">
        <v>45652</v>
      </c>
      <c r="F118" s="38">
        <v>393018</v>
      </c>
    </row>
    <row r="119" spans="1:6" x14ac:dyDescent="0.25">
      <c r="A119" s="36" t="s">
        <v>3970</v>
      </c>
      <c r="B119" s="36" t="s">
        <v>3821</v>
      </c>
      <c r="C119" s="36" t="s">
        <v>3802</v>
      </c>
      <c r="D119" s="36" t="s">
        <v>3782</v>
      </c>
      <c r="E119" s="37">
        <v>45282</v>
      </c>
      <c r="F119" s="38">
        <v>392038</v>
      </c>
    </row>
    <row r="120" spans="1:6" x14ac:dyDescent="0.25">
      <c r="A120" s="36" t="s">
        <v>4020</v>
      </c>
      <c r="B120" s="36" t="s">
        <v>3858</v>
      </c>
      <c r="C120" s="36" t="s">
        <v>3789</v>
      </c>
      <c r="D120" s="36" t="s">
        <v>3782</v>
      </c>
      <c r="E120" s="37">
        <v>45659</v>
      </c>
      <c r="F120" s="38">
        <v>391100</v>
      </c>
    </row>
    <row r="121" spans="1:6" x14ac:dyDescent="0.25">
      <c r="A121" s="36" t="s">
        <v>4235</v>
      </c>
      <c r="B121" s="36" t="s">
        <v>3848</v>
      </c>
      <c r="C121" s="36" t="s">
        <v>3813</v>
      </c>
      <c r="D121" s="36" t="s">
        <v>3859</v>
      </c>
      <c r="E121" s="37">
        <v>45132</v>
      </c>
      <c r="F121" s="38">
        <v>390496</v>
      </c>
    </row>
    <row r="122" spans="1:6" x14ac:dyDescent="0.25">
      <c r="A122" s="36" t="s">
        <v>3851</v>
      </c>
      <c r="B122" s="36" t="s">
        <v>3815</v>
      </c>
      <c r="C122" s="36" t="s">
        <v>3816</v>
      </c>
      <c r="D122" s="36" t="s">
        <v>3782</v>
      </c>
      <c r="E122" s="37">
        <v>45486</v>
      </c>
      <c r="F122" s="38">
        <v>389612</v>
      </c>
    </row>
    <row r="123" spans="1:6" x14ac:dyDescent="0.25">
      <c r="A123" s="36" t="s">
        <v>4770</v>
      </c>
      <c r="B123" s="36" t="s">
        <v>3858</v>
      </c>
      <c r="C123" s="36" t="s">
        <v>3837</v>
      </c>
      <c r="D123" s="36" t="s">
        <v>3859</v>
      </c>
      <c r="E123" s="37">
        <v>45623</v>
      </c>
      <c r="F123" s="38">
        <v>388292</v>
      </c>
    </row>
    <row r="124" spans="1:6" x14ac:dyDescent="0.25">
      <c r="A124" s="36" t="s">
        <v>4158</v>
      </c>
      <c r="B124" s="36" t="s">
        <v>3825</v>
      </c>
      <c r="C124" s="36" t="s">
        <v>3789</v>
      </c>
      <c r="D124" s="36" t="s">
        <v>3782</v>
      </c>
      <c r="E124" s="37">
        <v>45530</v>
      </c>
      <c r="F124" s="38">
        <v>383752</v>
      </c>
    </row>
    <row r="125" spans="1:6" x14ac:dyDescent="0.25">
      <c r="A125" s="36" t="s">
        <v>4712</v>
      </c>
      <c r="B125" s="36" t="s">
        <v>3844</v>
      </c>
      <c r="C125" s="36" t="s">
        <v>3796</v>
      </c>
      <c r="D125" s="36" t="s">
        <v>3782</v>
      </c>
      <c r="E125" s="37">
        <v>45170</v>
      </c>
      <c r="F125" s="38">
        <v>377199</v>
      </c>
    </row>
    <row r="126" spans="1:6" x14ac:dyDescent="0.25">
      <c r="A126" s="36" t="s">
        <v>3830</v>
      </c>
      <c r="B126" s="36" t="s">
        <v>3806</v>
      </c>
      <c r="C126" s="36" t="s">
        <v>3789</v>
      </c>
      <c r="D126" s="36" t="s">
        <v>3782</v>
      </c>
      <c r="E126" s="37">
        <v>45454</v>
      </c>
      <c r="F126" s="38">
        <v>375484</v>
      </c>
    </row>
    <row r="127" spans="1:6" x14ac:dyDescent="0.25">
      <c r="A127" s="36" t="s">
        <v>4088</v>
      </c>
      <c r="B127" s="36" t="s">
        <v>3812</v>
      </c>
      <c r="C127" s="36" t="s">
        <v>3789</v>
      </c>
      <c r="D127" s="36" t="s">
        <v>3859</v>
      </c>
      <c r="E127" s="37">
        <v>45458</v>
      </c>
      <c r="F127" s="38">
        <v>375444</v>
      </c>
    </row>
    <row r="128" spans="1:6" x14ac:dyDescent="0.25">
      <c r="A128" s="36" t="s">
        <v>4808</v>
      </c>
      <c r="B128" s="36" t="s">
        <v>3821</v>
      </c>
      <c r="C128" s="36" t="s">
        <v>3834</v>
      </c>
      <c r="D128" s="36" t="s">
        <v>3859</v>
      </c>
      <c r="E128" s="37">
        <v>45200</v>
      </c>
      <c r="F128" s="38">
        <v>374984</v>
      </c>
    </row>
    <row r="129" spans="1:6" x14ac:dyDescent="0.25">
      <c r="A129" s="36" t="s">
        <v>4438</v>
      </c>
      <c r="B129" s="36" t="s">
        <v>3848</v>
      </c>
      <c r="C129" s="36" t="s">
        <v>3781</v>
      </c>
      <c r="D129" s="36" t="s">
        <v>3782</v>
      </c>
      <c r="E129" s="37">
        <v>45561</v>
      </c>
      <c r="F129" s="38">
        <v>373087</v>
      </c>
    </row>
    <row r="130" spans="1:6" x14ac:dyDescent="0.25">
      <c r="A130" s="36" t="s">
        <v>4218</v>
      </c>
      <c r="B130" s="36" t="s">
        <v>3795</v>
      </c>
      <c r="C130" s="36" t="s">
        <v>3850</v>
      </c>
      <c r="D130" s="36" t="s">
        <v>3782</v>
      </c>
      <c r="E130" s="37">
        <v>45328</v>
      </c>
      <c r="F130" s="38">
        <v>372466</v>
      </c>
    </row>
    <row r="131" spans="1:6" x14ac:dyDescent="0.25">
      <c r="A131" s="36" t="s">
        <v>4379</v>
      </c>
      <c r="B131" s="36" t="s">
        <v>3848</v>
      </c>
      <c r="C131" s="36" t="s">
        <v>3813</v>
      </c>
      <c r="D131" s="36" t="s">
        <v>3859</v>
      </c>
      <c r="E131" s="37">
        <v>45087</v>
      </c>
      <c r="F131" s="38">
        <v>372228</v>
      </c>
    </row>
    <row r="132" spans="1:6" x14ac:dyDescent="0.25">
      <c r="A132" s="36" t="s">
        <v>4406</v>
      </c>
      <c r="B132" s="36" t="s">
        <v>3812</v>
      </c>
      <c r="C132" s="36" t="s">
        <v>3789</v>
      </c>
      <c r="D132" s="36" t="s">
        <v>3859</v>
      </c>
      <c r="E132" s="37">
        <v>45296</v>
      </c>
      <c r="F132" s="38">
        <v>371913</v>
      </c>
    </row>
    <row r="133" spans="1:6" x14ac:dyDescent="0.25">
      <c r="A133" s="36" t="s">
        <v>4489</v>
      </c>
      <c r="B133" s="36" t="s">
        <v>4878</v>
      </c>
      <c r="C133" s="36" t="s">
        <v>3781</v>
      </c>
      <c r="D133" s="36" t="s">
        <v>3782</v>
      </c>
      <c r="E133" s="37">
        <v>45075</v>
      </c>
      <c r="F133" s="38">
        <v>371069</v>
      </c>
    </row>
    <row r="134" spans="1:6" x14ac:dyDescent="0.25">
      <c r="A134" s="36" t="s">
        <v>3853</v>
      </c>
      <c r="B134" s="36" t="s">
        <v>3825</v>
      </c>
      <c r="C134" s="36" t="s">
        <v>3826</v>
      </c>
      <c r="D134" s="36" t="s">
        <v>3782</v>
      </c>
      <c r="E134" s="37">
        <v>45084</v>
      </c>
      <c r="F134" s="38">
        <v>367122</v>
      </c>
    </row>
    <row r="135" spans="1:6" x14ac:dyDescent="0.25">
      <c r="A135" s="36" t="s">
        <v>4360</v>
      </c>
      <c r="B135" s="36" t="s">
        <v>3795</v>
      </c>
      <c r="C135" s="36" t="s">
        <v>3867</v>
      </c>
      <c r="D135" s="36" t="s">
        <v>3782</v>
      </c>
      <c r="E135" s="37">
        <v>44957</v>
      </c>
      <c r="F135" s="38">
        <v>366449</v>
      </c>
    </row>
    <row r="136" spans="1:6" x14ac:dyDescent="0.25">
      <c r="A136" s="36" t="s">
        <v>4285</v>
      </c>
      <c r="B136" s="36" t="s">
        <v>3795</v>
      </c>
      <c r="C136" s="36" t="s">
        <v>3789</v>
      </c>
      <c r="D136" s="36" t="s">
        <v>3782</v>
      </c>
      <c r="E136" s="37">
        <v>45373</v>
      </c>
      <c r="F136" s="38">
        <v>366383</v>
      </c>
    </row>
    <row r="137" spans="1:6" x14ac:dyDescent="0.25">
      <c r="A137" s="36" t="s">
        <v>4133</v>
      </c>
      <c r="B137" s="36" t="s">
        <v>3848</v>
      </c>
      <c r="C137" s="36" t="s">
        <v>3837</v>
      </c>
      <c r="D137" s="36" t="s">
        <v>3782</v>
      </c>
      <c r="E137" s="37">
        <v>45506</v>
      </c>
      <c r="F137" s="38">
        <v>363889</v>
      </c>
    </row>
    <row r="138" spans="1:6" x14ac:dyDescent="0.25">
      <c r="A138" s="36" t="s">
        <v>3807</v>
      </c>
      <c r="B138" s="36" t="s">
        <v>3806</v>
      </c>
      <c r="C138" s="36" t="s">
        <v>3781</v>
      </c>
      <c r="D138" s="36" t="s">
        <v>3782</v>
      </c>
      <c r="E138" s="37">
        <v>45152</v>
      </c>
      <c r="F138" s="38">
        <v>361946</v>
      </c>
    </row>
    <row r="139" spans="1:6" x14ac:dyDescent="0.25">
      <c r="A139" s="36" t="s">
        <v>4255</v>
      </c>
      <c r="B139" s="36" t="s">
        <v>3848</v>
      </c>
      <c r="C139" s="36" t="s">
        <v>3802</v>
      </c>
      <c r="D139" s="36" t="s">
        <v>3782</v>
      </c>
      <c r="E139" s="37">
        <v>45063</v>
      </c>
      <c r="F139" s="38">
        <v>360402</v>
      </c>
    </row>
    <row r="140" spans="1:6" x14ac:dyDescent="0.25">
      <c r="A140" s="36" t="s">
        <v>4363</v>
      </c>
      <c r="B140" s="36" t="s">
        <v>3788</v>
      </c>
      <c r="C140" s="36" t="s">
        <v>3834</v>
      </c>
      <c r="D140" s="36" t="s">
        <v>3859</v>
      </c>
      <c r="E140" s="37">
        <v>45745</v>
      </c>
      <c r="F140" s="38">
        <v>359864</v>
      </c>
    </row>
    <row r="141" spans="1:6" x14ac:dyDescent="0.25">
      <c r="A141" s="36" t="s">
        <v>4636</v>
      </c>
      <c r="B141" s="36" t="s">
        <v>3858</v>
      </c>
      <c r="C141" s="36" t="s">
        <v>3837</v>
      </c>
      <c r="D141" s="36" t="s">
        <v>3782</v>
      </c>
      <c r="E141" s="37">
        <v>45678</v>
      </c>
      <c r="F141" s="38">
        <v>358219</v>
      </c>
    </row>
    <row r="142" spans="1:6" x14ac:dyDescent="0.25">
      <c r="A142" s="36" t="s">
        <v>4066</v>
      </c>
      <c r="B142" s="36" t="s">
        <v>3788</v>
      </c>
      <c r="C142" s="36" t="s">
        <v>3781</v>
      </c>
      <c r="D142" s="36" t="s">
        <v>3859</v>
      </c>
      <c r="E142" s="37">
        <v>45291</v>
      </c>
      <c r="F142" s="38">
        <v>357334</v>
      </c>
    </row>
    <row r="143" spans="1:6" x14ac:dyDescent="0.25">
      <c r="A143" s="36" t="s">
        <v>4547</v>
      </c>
      <c r="B143" s="36" t="s">
        <v>3806</v>
      </c>
      <c r="C143" s="36" t="s">
        <v>3816</v>
      </c>
      <c r="D143" s="36" t="s">
        <v>3859</v>
      </c>
      <c r="E143" s="37">
        <v>45628</v>
      </c>
      <c r="F143" s="38">
        <v>357162</v>
      </c>
    </row>
    <row r="144" spans="1:6" x14ac:dyDescent="0.25">
      <c r="A144" s="36" t="s">
        <v>4507</v>
      </c>
      <c r="B144" s="36" t="s">
        <v>3848</v>
      </c>
      <c r="C144" s="36" t="s">
        <v>3813</v>
      </c>
      <c r="D144" s="36" t="s">
        <v>3859</v>
      </c>
      <c r="E144" s="37">
        <v>45077</v>
      </c>
      <c r="F144" s="38">
        <v>346906</v>
      </c>
    </row>
    <row r="145" spans="1:6" x14ac:dyDescent="0.25">
      <c r="A145" s="36" t="s">
        <v>4259</v>
      </c>
      <c r="B145" s="36" t="s">
        <v>3780</v>
      </c>
      <c r="C145" s="36" t="s">
        <v>3850</v>
      </c>
      <c r="D145" s="36" t="s">
        <v>3782</v>
      </c>
      <c r="E145" s="37">
        <v>45350</v>
      </c>
      <c r="F145" s="38">
        <v>345563</v>
      </c>
    </row>
    <row r="146" spans="1:6" x14ac:dyDescent="0.25">
      <c r="A146" s="36" t="s">
        <v>4730</v>
      </c>
      <c r="B146" s="36" t="s">
        <v>3788</v>
      </c>
      <c r="C146" s="36" t="s">
        <v>3834</v>
      </c>
      <c r="D146" s="36" t="s">
        <v>3859</v>
      </c>
      <c r="E146" s="37">
        <v>45559</v>
      </c>
      <c r="F146" s="38">
        <v>343562</v>
      </c>
    </row>
    <row r="147" spans="1:6" x14ac:dyDescent="0.25">
      <c r="A147" s="36" t="s">
        <v>4083</v>
      </c>
      <c r="B147" s="36" t="s">
        <v>3848</v>
      </c>
      <c r="C147" s="36" t="s">
        <v>3816</v>
      </c>
      <c r="D147" s="36" t="s">
        <v>3782</v>
      </c>
      <c r="E147" s="37">
        <v>45236</v>
      </c>
      <c r="F147" s="38">
        <v>341861</v>
      </c>
    </row>
    <row r="148" spans="1:6" x14ac:dyDescent="0.25">
      <c r="A148" s="36" t="s">
        <v>4114</v>
      </c>
      <c r="B148" s="36" t="s">
        <v>3806</v>
      </c>
      <c r="C148" s="36" t="s">
        <v>3822</v>
      </c>
      <c r="D148" s="36" t="s">
        <v>3782</v>
      </c>
      <c r="E148" s="37">
        <v>45456</v>
      </c>
      <c r="F148" s="38">
        <v>341728</v>
      </c>
    </row>
    <row r="149" spans="1:6" x14ac:dyDescent="0.25">
      <c r="A149" s="36" t="s">
        <v>4541</v>
      </c>
      <c r="B149" s="36" t="s">
        <v>3806</v>
      </c>
      <c r="C149" s="36" t="s">
        <v>3837</v>
      </c>
      <c r="D149" s="36" t="s">
        <v>3859</v>
      </c>
      <c r="E149" s="37">
        <v>45701</v>
      </c>
      <c r="F149" s="38">
        <v>339420</v>
      </c>
    </row>
    <row r="150" spans="1:6" x14ac:dyDescent="0.25">
      <c r="A150" s="36" t="s">
        <v>3882</v>
      </c>
      <c r="B150" s="36" t="s">
        <v>3795</v>
      </c>
      <c r="C150" s="36" t="s">
        <v>3799</v>
      </c>
      <c r="D150" s="36" t="s">
        <v>3859</v>
      </c>
      <c r="E150" s="37">
        <v>45317</v>
      </c>
      <c r="F150" s="38">
        <v>333909</v>
      </c>
    </row>
    <row r="151" spans="1:6" x14ac:dyDescent="0.25">
      <c r="A151" s="36" t="s">
        <v>4078</v>
      </c>
      <c r="B151" s="36" t="s">
        <v>3844</v>
      </c>
      <c r="C151" s="36" t="s">
        <v>3796</v>
      </c>
      <c r="D151" s="36" t="s">
        <v>3859</v>
      </c>
      <c r="E151" s="37">
        <v>45099</v>
      </c>
      <c r="F151" s="38">
        <v>331933</v>
      </c>
    </row>
    <row r="152" spans="1:6" x14ac:dyDescent="0.25">
      <c r="A152" s="36" t="s">
        <v>4709</v>
      </c>
      <c r="B152" s="36" t="s">
        <v>4878</v>
      </c>
      <c r="C152" s="36" t="s">
        <v>3895</v>
      </c>
      <c r="D152" s="36" t="s">
        <v>3782</v>
      </c>
      <c r="E152" s="37">
        <v>45310</v>
      </c>
      <c r="F152" s="38">
        <v>328626</v>
      </c>
    </row>
    <row r="153" spans="1:6" x14ac:dyDescent="0.25">
      <c r="A153" s="36" t="s">
        <v>4212</v>
      </c>
      <c r="B153" s="36" t="s">
        <v>3795</v>
      </c>
      <c r="C153" s="36" t="s">
        <v>3822</v>
      </c>
      <c r="D153" s="36" t="s">
        <v>3859</v>
      </c>
      <c r="E153" s="37">
        <v>45583</v>
      </c>
      <c r="F153" s="38">
        <v>327303</v>
      </c>
    </row>
    <row r="154" spans="1:6" x14ac:dyDescent="0.25">
      <c r="A154" s="36" t="s">
        <v>4761</v>
      </c>
      <c r="B154" s="36" t="s">
        <v>3788</v>
      </c>
      <c r="C154" s="36" t="s">
        <v>3822</v>
      </c>
      <c r="D154" s="36" t="s">
        <v>3782</v>
      </c>
      <c r="E154" s="37">
        <v>45627</v>
      </c>
      <c r="F154" s="38">
        <v>321335</v>
      </c>
    </row>
    <row r="155" spans="1:6" x14ac:dyDescent="0.25">
      <c r="A155" s="36" t="s">
        <v>4572</v>
      </c>
      <c r="B155" s="36" t="s">
        <v>3844</v>
      </c>
      <c r="C155" s="36" t="s">
        <v>3822</v>
      </c>
      <c r="D155" s="36" t="s">
        <v>3782</v>
      </c>
      <c r="E155" s="37">
        <v>45461</v>
      </c>
      <c r="F155" s="38">
        <v>318895</v>
      </c>
    </row>
    <row r="156" spans="1:6" x14ac:dyDescent="0.25">
      <c r="A156" s="36" t="s">
        <v>4804</v>
      </c>
      <c r="B156" s="36" t="s">
        <v>3795</v>
      </c>
      <c r="C156" s="36" t="s">
        <v>3781</v>
      </c>
      <c r="D156" s="36" t="s">
        <v>3782</v>
      </c>
      <c r="E156" s="37">
        <v>45215</v>
      </c>
      <c r="F156" s="38">
        <v>316609</v>
      </c>
    </row>
    <row r="157" spans="1:6" x14ac:dyDescent="0.25">
      <c r="A157" s="36" t="s">
        <v>4358</v>
      </c>
      <c r="B157" s="36" t="s">
        <v>3825</v>
      </c>
      <c r="C157" s="36" t="s">
        <v>3822</v>
      </c>
      <c r="D157" s="36" t="s">
        <v>3859</v>
      </c>
      <c r="E157" s="37">
        <v>45167</v>
      </c>
      <c r="F157" s="38">
        <v>315242</v>
      </c>
    </row>
    <row r="158" spans="1:6" x14ac:dyDescent="0.25">
      <c r="A158" s="36" t="s">
        <v>3916</v>
      </c>
      <c r="B158" s="36" t="s">
        <v>3858</v>
      </c>
      <c r="C158" s="36" t="s">
        <v>3895</v>
      </c>
      <c r="D158" s="36" t="s">
        <v>3782</v>
      </c>
      <c r="E158" s="37">
        <v>45576</v>
      </c>
      <c r="F158" s="38">
        <v>314597</v>
      </c>
    </row>
    <row r="159" spans="1:6" x14ac:dyDescent="0.25">
      <c r="A159" s="36" t="s">
        <v>3938</v>
      </c>
      <c r="B159" s="36" t="s">
        <v>3815</v>
      </c>
      <c r="C159" s="36" t="s">
        <v>3846</v>
      </c>
      <c r="D159" s="36" t="s">
        <v>3859</v>
      </c>
      <c r="E159" s="37">
        <v>45137</v>
      </c>
      <c r="F159" s="38">
        <v>314105</v>
      </c>
    </row>
    <row r="160" spans="1:6" x14ac:dyDescent="0.25">
      <c r="A160" s="36" t="s">
        <v>4430</v>
      </c>
      <c r="B160" s="36" t="s">
        <v>3780</v>
      </c>
      <c r="C160" s="36" t="s">
        <v>3796</v>
      </c>
      <c r="D160" s="36" t="s">
        <v>3782</v>
      </c>
      <c r="E160" s="37">
        <v>45529</v>
      </c>
      <c r="F160" s="38">
        <v>313933</v>
      </c>
    </row>
    <row r="161" spans="1:6" x14ac:dyDescent="0.25">
      <c r="A161" s="36" t="s">
        <v>3841</v>
      </c>
      <c r="B161" s="36" t="s">
        <v>3815</v>
      </c>
      <c r="C161" s="36" t="s">
        <v>3813</v>
      </c>
      <c r="D161" s="36" t="s">
        <v>3782</v>
      </c>
      <c r="E161" s="37">
        <v>45270</v>
      </c>
      <c r="F161" s="38">
        <v>312310</v>
      </c>
    </row>
    <row r="162" spans="1:6" x14ac:dyDescent="0.25">
      <c r="A162" s="36" t="s">
        <v>4346</v>
      </c>
      <c r="B162" s="36" t="s">
        <v>3844</v>
      </c>
      <c r="C162" s="36" t="s">
        <v>3846</v>
      </c>
      <c r="D162" s="36" t="s">
        <v>3782</v>
      </c>
      <c r="E162" s="37">
        <v>45683</v>
      </c>
      <c r="F162" s="38">
        <v>311812</v>
      </c>
    </row>
    <row r="163" spans="1:6" x14ac:dyDescent="0.25">
      <c r="A163" s="36" t="s">
        <v>4765</v>
      </c>
      <c r="B163" s="36" t="s">
        <v>3821</v>
      </c>
      <c r="C163" s="36" t="s">
        <v>3837</v>
      </c>
      <c r="D163" s="36" t="s">
        <v>3782</v>
      </c>
      <c r="E163" s="37">
        <v>44945</v>
      </c>
      <c r="F163" s="38">
        <v>311511</v>
      </c>
    </row>
    <row r="164" spans="1:6" x14ac:dyDescent="0.25">
      <c r="A164" s="36" t="s">
        <v>3908</v>
      </c>
      <c r="B164" s="36" t="s">
        <v>3821</v>
      </c>
      <c r="C164" s="36" t="s">
        <v>3789</v>
      </c>
      <c r="D164" s="36" t="s">
        <v>3782</v>
      </c>
      <c r="E164" s="37">
        <v>45384</v>
      </c>
      <c r="F164" s="38">
        <v>309034</v>
      </c>
    </row>
    <row r="165" spans="1:6" x14ac:dyDescent="0.25">
      <c r="A165" s="36" t="s">
        <v>3932</v>
      </c>
      <c r="B165" s="36" t="s">
        <v>3825</v>
      </c>
      <c r="C165" s="36" t="s">
        <v>3855</v>
      </c>
      <c r="D165" s="36" t="s">
        <v>3782</v>
      </c>
      <c r="E165" s="37">
        <v>45736</v>
      </c>
      <c r="F165" s="38">
        <v>308360</v>
      </c>
    </row>
    <row r="166" spans="1:6" x14ac:dyDescent="0.25">
      <c r="A166" s="36" t="s">
        <v>4216</v>
      </c>
      <c r="B166" s="36" t="s">
        <v>3858</v>
      </c>
      <c r="C166" s="36" t="s">
        <v>3867</v>
      </c>
      <c r="D166" s="36" t="s">
        <v>3782</v>
      </c>
      <c r="E166" s="37">
        <v>45115</v>
      </c>
      <c r="F166" s="38">
        <v>296061</v>
      </c>
    </row>
    <row r="167" spans="1:6" x14ac:dyDescent="0.25">
      <c r="A167" s="36" t="s">
        <v>4174</v>
      </c>
      <c r="B167" s="36" t="s">
        <v>3848</v>
      </c>
      <c r="C167" s="36" t="s">
        <v>3837</v>
      </c>
      <c r="D167" s="36" t="s">
        <v>3782</v>
      </c>
      <c r="E167" s="37">
        <v>45135</v>
      </c>
      <c r="F167" s="38">
        <v>295989</v>
      </c>
    </row>
    <row r="168" spans="1:6" x14ac:dyDescent="0.25">
      <c r="A168" s="36" t="s">
        <v>3874</v>
      </c>
      <c r="B168" s="36" t="s">
        <v>3795</v>
      </c>
      <c r="C168" s="36" t="s">
        <v>3813</v>
      </c>
      <c r="D168" s="36" t="s">
        <v>3782</v>
      </c>
      <c r="E168" s="37">
        <v>45555</v>
      </c>
      <c r="F168" s="38">
        <v>295595</v>
      </c>
    </row>
    <row r="169" spans="1:6" x14ac:dyDescent="0.25">
      <c r="A169" s="36" t="s">
        <v>4058</v>
      </c>
      <c r="B169" s="36" t="s">
        <v>3858</v>
      </c>
      <c r="C169" s="36" t="s">
        <v>3822</v>
      </c>
      <c r="D169" s="36" t="s">
        <v>3859</v>
      </c>
      <c r="E169" s="37">
        <v>45451</v>
      </c>
      <c r="F169" s="38">
        <v>288172</v>
      </c>
    </row>
    <row r="170" spans="1:6" x14ac:dyDescent="0.25">
      <c r="A170" s="36" t="s">
        <v>4621</v>
      </c>
      <c r="B170" s="36" t="s">
        <v>3812</v>
      </c>
      <c r="C170" s="36" t="s">
        <v>3834</v>
      </c>
      <c r="D170" s="36" t="s">
        <v>3859</v>
      </c>
      <c r="E170" s="37">
        <v>45469</v>
      </c>
      <c r="F170" s="38">
        <v>287929</v>
      </c>
    </row>
    <row r="171" spans="1:6" x14ac:dyDescent="0.25">
      <c r="A171" s="36" t="s">
        <v>4099</v>
      </c>
      <c r="B171" s="36" t="s">
        <v>3844</v>
      </c>
      <c r="C171" s="36" t="s">
        <v>3822</v>
      </c>
      <c r="D171" s="36" t="s">
        <v>3859</v>
      </c>
      <c r="E171" s="37">
        <v>45386</v>
      </c>
      <c r="F171" s="38">
        <v>287836</v>
      </c>
    </row>
    <row r="172" spans="1:6" x14ac:dyDescent="0.25">
      <c r="A172" s="36" t="s">
        <v>4767</v>
      </c>
      <c r="B172" s="36" t="s">
        <v>3861</v>
      </c>
      <c r="C172" s="36" t="s">
        <v>3895</v>
      </c>
      <c r="D172" s="36" t="s">
        <v>3782</v>
      </c>
      <c r="E172" s="37">
        <v>45058</v>
      </c>
      <c r="F172" s="38">
        <v>287823</v>
      </c>
    </row>
    <row r="173" spans="1:6" x14ac:dyDescent="0.25">
      <c r="A173" s="36" t="s">
        <v>4721</v>
      </c>
      <c r="B173" s="36" t="s">
        <v>3858</v>
      </c>
      <c r="C173" s="36" t="s">
        <v>3850</v>
      </c>
      <c r="D173" s="36" t="s">
        <v>3782</v>
      </c>
      <c r="E173" s="37">
        <v>45357</v>
      </c>
      <c r="F173" s="38">
        <v>284661</v>
      </c>
    </row>
    <row r="174" spans="1:6" x14ac:dyDescent="0.25">
      <c r="A174" s="36" t="s">
        <v>4096</v>
      </c>
      <c r="B174" s="36" t="s">
        <v>3858</v>
      </c>
      <c r="C174" s="36" t="s">
        <v>3850</v>
      </c>
      <c r="D174" s="36" t="s">
        <v>3782</v>
      </c>
      <c r="E174" s="37">
        <v>45245</v>
      </c>
      <c r="F174" s="38">
        <v>283088</v>
      </c>
    </row>
    <row r="175" spans="1:6" x14ac:dyDescent="0.25">
      <c r="A175" s="36" t="s">
        <v>4630</v>
      </c>
      <c r="B175" s="36" t="s">
        <v>3861</v>
      </c>
      <c r="C175" s="36" t="s">
        <v>3799</v>
      </c>
      <c r="D175" s="36" t="s">
        <v>3859</v>
      </c>
      <c r="E175" s="37">
        <v>45710</v>
      </c>
      <c r="F175" s="38">
        <v>279567</v>
      </c>
    </row>
    <row r="176" spans="1:6" x14ac:dyDescent="0.25">
      <c r="A176" s="36" t="s">
        <v>4332</v>
      </c>
      <c r="B176" s="36" t="s">
        <v>3788</v>
      </c>
      <c r="C176" s="36" t="s">
        <v>3867</v>
      </c>
      <c r="D176" s="36" t="s">
        <v>3782</v>
      </c>
      <c r="E176" s="37">
        <v>45656</v>
      </c>
      <c r="F176" s="38">
        <v>279164</v>
      </c>
    </row>
    <row r="177" spans="1:6" x14ac:dyDescent="0.25">
      <c r="A177" s="36" t="s">
        <v>3915</v>
      </c>
      <c r="B177" s="36" t="s">
        <v>3812</v>
      </c>
      <c r="C177" s="36" t="s">
        <v>3781</v>
      </c>
      <c r="D177" s="36" t="s">
        <v>3859</v>
      </c>
      <c r="E177" s="37">
        <v>45665</v>
      </c>
      <c r="F177" s="38">
        <v>277952</v>
      </c>
    </row>
    <row r="178" spans="1:6" x14ac:dyDescent="0.25">
      <c r="A178" s="36" t="s">
        <v>3893</v>
      </c>
      <c r="B178" s="36" t="s">
        <v>3788</v>
      </c>
      <c r="C178" s="36" t="s">
        <v>3867</v>
      </c>
      <c r="D178" s="36" t="s">
        <v>3782</v>
      </c>
      <c r="E178" s="37">
        <v>45270</v>
      </c>
      <c r="F178" s="38">
        <v>277583</v>
      </c>
    </row>
    <row r="179" spans="1:6" x14ac:dyDescent="0.25">
      <c r="A179" s="36" t="s">
        <v>4060</v>
      </c>
      <c r="B179" s="36" t="s">
        <v>3821</v>
      </c>
      <c r="C179" s="36" t="s">
        <v>3834</v>
      </c>
      <c r="D179" s="36" t="s">
        <v>3782</v>
      </c>
      <c r="E179" s="37">
        <v>45680</v>
      </c>
      <c r="F179" s="38">
        <v>275337</v>
      </c>
    </row>
    <row r="180" spans="1:6" x14ac:dyDescent="0.25">
      <c r="A180" s="36" t="s">
        <v>4458</v>
      </c>
      <c r="B180" s="36" t="s">
        <v>3788</v>
      </c>
      <c r="C180" s="36" t="s">
        <v>3837</v>
      </c>
      <c r="D180" s="36" t="s">
        <v>3859</v>
      </c>
      <c r="E180" s="37">
        <v>45350</v>
      </c>
      <c r="F180" s="38">
        <v>274282</v>
      </c>
    </row>
    <row r="181" spans="1:6" x14ac:dyDescent="0.25">
      <c r="A181" s="36" t="s">
        <v>4321</v>
      </c>
      <c r="B181" s="36" t="s">
        <v>3795</v>
      </c>
      <c r="C181" s="36" t="s">
        <v>3867</v>
      </c>
      <c r="D181" s="36" t="s">
        <v>3782</v>
      </c>
      <c r="E181" s="37">
        <v>45480</v>
      </c>
      <c r="F181" s="38">
        <v>273290</v>
      </c>
    </row>
    <row r="182" spans="1:6" x14ac:dyDescent="0.25">
      <c r="A182" s="36" t="s">
        <v>4595</v>
      </c>
      <c r="B182" s="36" t="s">
        <v>4878</v>
      </c>
      <c r="C182" s="36" t="s">
        <v>3837</v>
      </c>
      <c r="D182" s="36" t="s">
        <v>3859</v>
      </c>
      <c r="E182" s="37">
        <v>45199</v>
      </c>
      <c r="F182" s="38">
        <v>270977</v>
      </c>
    </row>
    <row r="183" spans="1:6" x14ac:dyDescent="0.25">
      <c r="A183" s="36" t="s">
        <v>4690</v>
      </c>
      <c r="B183" s="36" t="s">
        <v>3812</v>
      </c>
      <c r="C183" s="36" t="s">
        <v>3826</v>
      </c>
      <c r="D183" s="36" t="s">
        <v>3782</v>
      </c>
      <c r="E183" s="37">
        <v>45436</v>
      </c>
      <c r="F183" s="38">
        <v>270513</v>
      </c>
    </row>
    <row r="184" spans="1:6" x14ac:dyDescent="0.25">
      <c r="A184" s="36" t="s">
        <v>4134</v>
      </c>
      <c r="B184" s="36" t="s">
        <v>3848</v>
      </c>
      <c r="C184" s="36" t="s">
        <v>3867</v>
      </c>
      <c r="D184" s="36" t="s">
        <v>3859</v>
      </c>
      <c r="E184" s="37">
        <v>45369</v>
      </c>
      <c r="F184" s="38">
        <v>268970</v>
      </c>
    </row>
    <row r="185" spans="1:6" x14ac:dyDescent="0.25">
      <c r="A185" s="36" t="s">
        <v>4427</v>
      </c>
      <c r="B185" s="36" t="s">
        <v>3848</v>
      </c>
      <c r="C185" s="36" t="s">
        <v>3822</v>
      </c>
      <c r="D185" s="36" t="s">
        <v>3782</v>
      </c>
      <c r="E185" s="37">
        <v>45138</v>
      </c>
      <c r="F185" s="38">
        <v>268218</v>
      </c>
    </row>
    <row r="186" spans="1:6" x14ac:dyDescent="0.25">
      <c r="A186" s="36" t="s">
        <v>4080</v>
      </c>
      <c r="B186" s="36" t="s">
        <v>3788</v>
      </c>
      <c r="C186" s="36" t="s">
        <v>3802</v>
      </c>
      <c r="D186" s="36" t="s">
        <v>3782</v>
      </c>
      <c r="E186" s="37">
        <v>45710</v>
      </c>
      <c r="F186" s="38">
        <v>267847</v>
      </c>
    </row>
    <row r="187" spans="1:6" x14ac:dyDescent="0.25">
      <c r="A187" s="36" t="s">
        <v>4344</v>
      </c>
      <c r="B187" s="36" t="s">
        <v>3821</v>
      </c>
      <c r="C187" s="36" t="s">
        <v>3834</v>
      </c>
      <c r="D187" s="36" t="s">
        <v>3782</v>
      </c>
      <c r="E187" s="37">
        <v>45478</v>
      </c>
      <c r="F187" s="38">
        <v>267652</v>
      </c>
    </row>
    <row r="188" spans="1:6" x14ac:dyDescent="0.25">
      <c r="A188" s="36" t="s">
        <v>4382</v>
      </c>
      <c r="B188" s="36" t="s">
        <v>3788</v>
      </c>
      <c r="C188" s="36" t="s">
        <v>3837</v>
      </c>
      <c r="D188" s="36" t="s">
        <v>3859</v>
      </c>
      <c r="E188" s="37">
        <v>45193</v>
      </c>
      <c r="F188" s="38">
        <v>267508</v>
      </c>
    </row>
    <row r="189" spans="1:6" x14ac:dyDescent="0.25">
      <c r="A189" s="36" t="s">
        <v>4639</v>
      </c>
      <c r="B189" s="36" t="s">
        <v>3844</v>
      </c>
      <c r="C189" s="36" t="s">
        <v>3796</v>
      </c>
      <c r="D189" s="36" t="s">
        <v>3782</v>
      </c>
      <c r="E189" s="37">
        <v>45620</v>
      </c>
      <c r="F189" s="38">
        <v>265427</v>
      </c>
    </row>
    <row r="190" spans="1:6" x14ac:dyDescent="0.25">
      <c r="A190" s="36" t="s">
        <v>4818</v>
      </c>
      <c r="B190" s="36" t="s">
        <v>3844</v>
      </c>
      <c r="C190" s="36" t="s">
        <v>3846</v>
      </c>
      <c r="D190" s="36" t="s">
        <v>3859</v>
      </c>
      <c r="E190" s="37">
        <v>45537</v>
      </c>
      <c r="F190" s="38">
        <v>263547</v>
      </c>
    </row>
    <row r="191" spans="1:6" x14ac:dyDescent="0.25">
      <c r="A191" s="36" t="s">
        <v>4086</v>
      </c>
      <c r="B191" s="36" t="s">
        <v>4878</v>
      </c>
      <c r="C191" s="36" t="s">
        <v>3826</v>
      </c>
      <c r="D191" s="36" t="s">
        <v>3859</v>
      </c>
      <c r="E191" s="37">
        <v>45300</v>
      </c>
      <c r="F191" s="38">
        <v>263512</v>
      </c>
    </row>
    <row r="192" spans="1:6" x14ac:dyDescent="0.25">
      <c r="A192" s="36" t="s">
        <v>4373</v>
      </c>
      <c r="B192" s="36" t="s">
        <v>3825</v>
      </c>
      <c r="C192" s="36" t="s">
        <v>3826</v>
      </c>
      <c r="D192" s="36" t="s">
        <v>3782</v>
      </c>
      <c r="E192" s="37">
        <v>45418</v>
      </c>
      <c r="F192" s="38">
        <v>252414</v>
      </c>
    </row>
    <row r="193" spans="1:6" x14ac:dyDescent="0.25">
      <c r="A193" s="36" t="s">
        <v>4170</v>
      </c>
      <c r="B193" s="36" t="s">
        <v>3821</v>
      </c>
      <c r="C193" s="36" t="s">
        <v>3850</v>
      </c>
      <c r="D193" s="36" t="s">
        <v>3782</v>
      </c>
      <c r="E193" s="37">
        <v>45685</v>
      </c>
      <c r="F193" s="38">
        <v>251199</v>
      </c>
    </row>
    <row r="194" spans="1:6" x14ac:dyDescent="0.25">
      <c r="A194" s="36" t="s">
        <v>4509</v>
      </c>
      <c r="B194" s="36" t="s">
        <v>3815</v>
      </c>
      <c r="C194" s="36" t="s">
        <v>3822</v>
      </c>
      <c r="D194" s="36" t="s">
        <v>3782</v>
      </c>
      <c r="E194" s="37">
        <v>45173</v>
      </c>
      <c r="F194" s="38">
        <v>245775</v>
      </c>
    </row>
    <row r="195" spans="1:6" x14ac:dyDescent="0.25">
      <c r="A195" s="36" t="s">
        <v>4743</v>
      </c>
      <c r="B195" s="36" t="s">
        <v>3795</v>
      </c>
      <c r="C195" s="36" t="s">
        <v>3789</v>
      </c>
      <c r="D195" s="36" t="s">
        <v>3859</v>
      </c>
      <c r="E195" s="37">
        <v>45701</v>
      </c>
      <c r="F195" s="38">
        <v>243174</v>
      </c>
    </row>
    <row r="196" spans="1:6" x14ac:dyDescent="0.25">
      <c r="A196" s="36" t="s">
        <v>4725</v>
      </c>
      <c r="B196" s="36" t="s">
        <v>3858</v>
      </c>
      <c r="C196" s="36" t="s">
        <v>3850</v>
      </c>
      <c r="D196" s="36" t="s">
        <v>3859</v>
      </c>
      <c r="E196" s="37">
        <v>45070</v>
      </c>
      <c r="F196" s="38">
        <v>239819</v>
      </c>
    </row>
    <row r="197" spans="1:6" x14ac:dyDescent="0.25">
      <c r="A197" s="36" t="s">
        <v>4333</v>
      </c>
      <c r="B197" s="36" t="s">
        <v>3861</v>
      </c>
      <c r="C197" s="36" t="s">
        <v>3850</v>
      </c>
      <c r="D197" s="36" t="s">
        <v>3859</v>
      </c>
      <c r="E197" s="37">
        <v>45220</v>
      </c>
      <c r="F197" s="38">
        <v>239465</v>
      </c>
    </row>
    <row r="198" spans="1:6" x14ac:dyDescent="0.25">
      <c r="A198" s="36" t="s">
        <v>4652</v>
      </c>
      <c r="B198" s="36" t="s">
        <v>3788</v>
      </c>
      <c r="C198" s="36" t="s">
        <v>3826</v>
      </c>
      <c r="D198" s="36" t="s">
        <v>3782</v>
      </c>
      <c r="E198" s="37">
        <v>45084</v>
      </c>
      <c r="F198" s="38">
        <v>238776</v>
      </c>
    </row>
    <row r="199" spans="1:6" x14ac:dyDescent="0.25">
      <c r="A199" s="36" t="s">
        <v>4581</v>
      </c>
      <c r="B199" s="36" t="s">
        <v>3788</v>
      </c>
      <c r="C199" s="36" t="s">
        <v>3799</v>
      </c>
      <c r="D199" s="36" t="s">
        <v>3782</v>
      </c>
      <c r="E199" s="37">
        <v>45377</v>
      </c>
      <c r="F199" s="38">
        <v>236053</v>
      </c>
    </row>
    <row r="200" spans="1:6" x14ac:dyDescent="0.25">
      <c r="A200" s="36" t="s">
        <v>4296</v>
      </c>
      <c r="B200" s="36" t="s">
        <v>3815</v>
      </c>
      <c r="C200" s="36" t="s">
        <v>3802</v>
      </c>
      <c r="D200" s="36" t="s">
        <v>3782</v>
      </c>
      <c r="E200" s="37">
        <v>44973</v>
      </c>
      <c r="F200" s="38">
        <v>229598</v>
      </c>
    </row>
    <row r="201" spans="1:6" x14ac:dyDescent="0.25">
      <c r="A201" s="36" t="s">
        <v>4193</v>
      </c>
      <c r="B201" s="36" t="s">
        <v>3858</v>
      </c>
      <c r="C201" s="36" t="s">
        <v>3855</v>
      </c>
      <c r="D201" s="36" t="s">
        <v>3782</v>
      </c>
      <c r="E201" s="37">
        <v>45314</v>
      </c>
      <c r="F201" s="38">
        <v>225603</v>
      </c>
    </row>
    <row r="202" spans="1:6" x14ac:dyDescent="0.25">
      <c r="A202" s="36" t="s">
        <v>4710</v>
      </c>
      <c r="B202" s="36" t="s">
        <v>3825</v>
      </c>
      <c r="C202" s="36" t="s">
        <v>3813</v>
      </c>
      <c r="D202" s="36" t="s">
        <v>3782</v>
      </c>
      <c r="E202" s="37">
        <v>45221</v>
      </c>
      <c r="F202" s="38">
        <v>225579</v>
      </c>
    </row>
    <row r="203" spans="1:6" x14ac:dyDescent="0.25">
      <c r="A203" s="36" t="s">
        <v>4446</v>
      </c>
      <c r="B203" s="36" t="s">
        <v>3806</v>
      </c>
      <c r="C203" s="36" t="s">
        <v>3850</v>
      </c>
      <c r="D203" s="36" t="s">
        <v>3782</v>
      </c>
      <c r="E203" s="37">
        <v>45444</v>
      </c>
      <c r="F203" s="38">
        <v>224252</v>
      </c>
    </row>
    <row r="204" spans="1:6" x14ac:dyDescent="0.25">
      <c r="A204" s="36" t="s">
        <v>4059</v>
      </c>
      <c r="B204" s="36" t="s">
        <v>3780</v>
      </c>
      <c r="C204" s="36" t="s">
        <v>3781</v>
      </c>
      <c r="D204" s="36" t="s">
        <v>3782</v>
      </c>
      <c r="E204" s="37">
        <v>45728</v>
      </c>
      <c r="F204" s="38">
        <v>223300</v>
      </c>
    </row>
    <row r="205" spans="1:6" x14ac:dyDescent="0.25">
      <c r="A205" s="36" t="s">
        <v>4772</v>
      </c>
      <c r="B205" s="36" t="s">
        <v>3821</v>
      </c>
      <c r="C205" s="36" t="s">
        <v>3826</v>
      </c>
      <c r="D205" s="36" t="s">
        <v>3782</v>
      </c>
      <c r="E205" s="37">
        <v>45210</v>
      </c>
      <c r="F205" s="38">
        <v>222437</v>
      </c>
    </row>
    <row r="206" spans="1:6" x14ac:dyDescent="0.25">
      <c r="A206" s="36" t="s">
        <v>4021</v>
      </c>
      <c r="B206" s="36" t="s">
        <v>3848</v>
      </c>
      <c r="C206" s="36" t="s">
        <v>3837</v>
      </c>
      <c r="D206" s="36" t="s">
        <v>3782</v>
      </c>
      <c r="E206" s="37">
        <v>45441</v>
      </c>
      <c r="F206" s="38">
        <v>218566</v>
      </c>
    </row>
    <row r="207" spans="1:6" x14ac:dyDescent="0.25">
      <c r="A207" s="36" t="s">
        <v>3999</v>
      </c>
      <c r="B207" s="36" t="s">
        <v>3825</v>
      </c>
      <c r="C207" s="36" t="s">
        <v>3781</v>
      </c>
      <c r="D207" s="36" t="s">
        <v>3859</v>
      </c>
      <c r="E207" s="37">
        <v>44929</v>
      </c>
      <c r="F207" s="38">
        <v>216958</v>
      </c>
    </row>
    <row r="208" spans="1:6" x14ac:dyDescent="0.25">
      <c r="A208" s="36" t="s">
        <v>4557</v>
      </c>
      <c r="B208" s="36" t="s">
        <v>3858</v>
      </c>
      <c r="C208" s="36" t="s">
        <v>3850</v>
      </c>
      <c r="D208" s="36" t="s">
        <v>3782</v>
      </c>
      <c r="E208" s="37">
        <v>45498</v>
      </c>
      <c r="F208" s="38">
        <v>215775</v>
      </c>
    </row>
    <row r="209" spans="1:6" x14ac:dyDescent="0.25">
      <c r="A209" s="36" t="s">
        <v>3857</v>
      </c>
      <c r="B209" s="36" t="s">
        <v>3858</v>
      </c>
      <c r="C209" s="36" t="s">
        <v>3813</v>
      </c>
      <c r="D209" s="36" t="s">
        <v>3859</v>
      </c>
      <c r="E209" s="37">
        <v>45427</v>
      </c>
      <c r="F209" s="38">
        <v>215496</v>
      </c>
    </row>
    <row r="210" spans="1:6" x14ac:dyDescent="0.25">
      <c r="A210" s="36" t="s">
        <v>4758</v>
      </c>
      <c r="B210" s="36" t="s">
        <v>3795</v>
      </c>
      <c r="C210" s="36" t="s">
        <v>3789</v>
      </c>
      <c r="D210" s="36" t="s">
        <v>3782</v>
      </c>
      <c r="E210" s="37">
        <v>45056</v>
      </c>
      <c r="F210" s="38">
        <v>214509</v>
      </c>
    </row>
    <row r="211" spans="1:6" x14ac:dyDescent="0.25">
      <c r="A211" s="36" t="s">
        <v>4485</v>
      </c>
      <c r="B211" s="36" t="s">
        <v>3844</v>
      </c>
      <c r="C211" s="36" t="s">
        <v>3895</v>
      </c>
      <c r="D211" s="36" t="s">
        <v>3782</v>
      </c>
      <c r="E211" s="37">
        <v>45172</v>
      </c>
      <c r="F211" s="38">
        <v>213389</v>
      </c>
    </row>
    <row r="212" spans="1:6" x14ac:dyDescent="0.25">
      <c r="A212" s="36" t="s">
        <v>4342</v>
      </c>
      <c r="B212" s="36" t="s">
        <v>3861</v>
      </c>
      <c r="C212" s="36" t="s">
        <v>3826</v>
      </c>
      <c r="D212" s="36" t="s">
        <v>3782</v>
      </c>
      <c r="E212" s="37">
        <v>45732</v>
      </c>
      <c r="F212" s="38">
        <v>211411</v>
      </c>
    </row>
    <row r="213" spans="1:6" x14ac:dyDescent="0.25">
      <c r="A213" s="36" t="s">
        <v>4273</v>
      </c>
      <c r="B213" s="36" t="s">
        <v>3858</v>
      </c>
      <c r="C213" s="36" t="s">
        <v>3813</v>
      </c>
      <c r="D213" s="36" t="s">
        <v>3782</v>
      </c>
      <c r="E213" s="37">
        <v>45380</v>
      </c>
      <c r="F213" s="38">
        <v>211242</v>
      </c>
    </row>
    <row r="214" spans="1:6" x14ac:dyDescent="0.25">
      <c r="A214" s="36" t="s">
        <v>4250</v>
      </c>
      <c r="B214" s="36" t="s">
        <v>3825</v>
      </c>
      <c r="C214" s="36" t="s">
        <v>3802</v>
      </c>
      <c r="D214" s="36" t="s">
        <v>3782</v>
      </c>
      <c r="E214" s="37">
        <v>45344</v>
      </c>
      <c r="F214" s="38">
        <v>211236</v>
      </c>
    </row>
    <row r="215" spans="1:6" x14ac:dyDescent="0.25">
      <c r="A215" s="36" t="s">
        <v>3779</v>
      </c>
      <c r="B215" s="36" t="s">
        <v>3780</v>
      </c>
      <c r="C215" s="36" t="s">
        <v>3781</v>
      </c>
      <c r="D215" s="36" t="s">
        <v>3782</v>
      </c>
      <c r="E215" s="37">
        <v>45126</v>
      </c>
      <c r="F215" s="38">
        <v>209189</v>
      </c>
    </row>
    <row r="216" spans="1:6" x14ac:dyDescent="0.25">
      <c r="A216" s="36" t="s">
        <v>4324</v>
      </c>
      <c r="B216" s="36" t="s">
        <v>3861</v>
      </c>
      <c r="C216" s="36" t="s">
        <v>3846</v>
      </c>
      <c r="D216" s="36" t="s">
        <v>3782</v>
      </c>
      <c r="E216" s="37">
        <v>45422</v>
      </c>
      <c r="F216" s="38">
        <v>209161</v>
      </c>
    </row>
    <row r="217" spans="1:6" x14ac:dyDescent="0.25">
      <c r="A217" s="36" t="s">
        <v>4564</v>
      </c>
      <c r="B217" s="36" t="s">
        <v>3844</v>
      </c>
      <c r="C217" s="36" t="s">
        <v>3837</v>
      </c>
      <c r="D217" s="36" t="s">
        <v>3782</v>
      </c>
      <c r="E217" s="37">
        <v>44980</v>
      </c>
      <c r="F217" s="38">
        <v>207083</v>
      </c>
    </row>
    <row r="218" spans="1:6" x14ac:dyDescent="0.25">
      <c r="A218" s="36" t="s">
        <v>3911</v>
      </c>
      <c r="B218" s="36" t="s">
        <v>3812</v>
      </c>
      <c r="C218" s="36" t="s">
        <v>3837</v>
      </c>
      <c r="D218" s="36" t="s">
        <v>3782</v>
      </c>
      <c r="E218" s="37">
        <v>45699</v>
      </c>
      <c r="F218" s="38">
        <v>206116</v>
      </c>
    </row>
    <row r="219" spans="1:6" x14ac:dyDescent="0.25">
      <c r="A219" s="36" t="s">
        <v>4806</v>
      </c>
      <c r="B219" s="36" t="s">
        <v>3858</v>
      </c>
      <c r="C219" s="36" t="s">
        <v>3781</v>
      </c>
      <c r="D219" s="36" t="s">
        <v>3782</v>
      </c>
      <c r="E219" s="37">
        <v>45466</v>
      </c>
      <c r="F219" s="38">
        <v>205509</v>
      </c>
    </row>
    <row r="220" spans="1:6" x14ac:dyDescent="0.25">
      <c r="A220" s="36" t="s">
        <v>4658</v>
      </c>
      <c r="B220" s="36" t="s">
        <v>3815</v>
      </c>
      <c r="C220" s="36" t="s">
        <v>3813</v>
      </c>
      <c r="D220" s="36" t="s">
        <v>3859</v>
      </c>
      <c r="E220" s="37">
        <v>45015</v>
      </c>
      <c r="F220" s="38">
        <v>204597</v>
      </c>
    </row>
    <row r="221" spans="1:6" x14ac:dyDescent="0.25">
      <c r="A221" s="36" t="s">
        <v>4807</v>
      </c>
      <c r="B221" s="36" t="s">
        <v>3821</v>
      </c>
      <c r="C221" s="36" t="s">
        <v>3855</v>
      </c>
      <c r="D221" s="36" t="s">
        <v>3859</v>
      </c>
      <c r="E221" s="37">
        <v>45482</v>
      </c>
      <c r="F221" s="38">
        <v>203711</v>
      </c>
    </row>
    <row r="222" spans="1:6" x14ac:dyDescent="0.25">
      <c r="A222" s="36" t="s">
        <v>4221</v>
      </c>
      <c r="B222" s="36" t="s">
        <v>3780</v>
      </c>
      <c r="C222" s="36" t="s">
        <v>3822</v>
      </c>
      <c r="D222" s="36" t="s">
        <v>3859</v>
      </c>
      <c r="E222" s="37">
        <v>45387</v>
      </c>
      <c r="F222" s="38">
        <v>202077</v>
      </c>
    </row>
    <row r="223" spans="1:6" x14ac:dyDescent="0.25">
      <c r="A223" s="36" t="s">
        <v>3829</v>
      </c>
      <c r="B223" s="36" t="s">
        <v>3815</v>
      </c>
      <c r="C223" s="36" t="s">
        <v>3826</v>
      </c>
      <c r="D223" s="36" t="s">
        <v>3782</v>
      </c>
      <c r="E223" s="37">
        <v>45719</v>
      </c>
      <c r="F223" s="38">
        <v>201346</v>
      </c>
    </row>
    <row r="224" spans="1:6" x14ac:dyDescent="0.25">
      <c r="A224"/>
      <c r="B224"/>
      <c r="C224"/>
      <c r="D224"/>
      <c r="E224"/>
      <c r="F224"/>
    </row>
    <row r="225" spans="1:6" x14ac:dyDescent="0.25">
      <c r="A225"/>
      <c r="B225"/>
      <c r="C225"/>
      <c r="D225"/>
      <c r="E225"/>
      <c r="F2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74080E-2337-4DB8-9031-4AED994E21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Raw_Sales_Deals</vt:lpstr>
      <vt:lpstr>Raw_Finance_Expenses</vt:lpstr>
      <vt:lpstr>Cleaned_Sales_Deals</vt:lpstr>
      <vt:lpstr>Cleaned_Finance_Expenses</vt:lpstr>
      <vt:lpstr>Sales Analysis</vt:lpstr>
      <vt:lpstr>Finance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2015-06-05T18:17:20Z</dcterms:created>
  <dcterms:modified xsi:type="dcterms:W3CDTF">2026-09-18T15:51:56Z</dcterms:modified>
</cp:coreProperties>
</file>