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esktop\Tech Sector\NovaByte_Capstone\08_Clean_Dataset\"/>
    </mc:Choice>
  </mc:AlternateContent>
  <xr:revisionPtr revIDLastSave="0" documentId="13_ncr:1_{85A9BAEC-1169-4D8A-8155-8F0F1B661069}" xr6:coauthVersionLast="47" xr6:coauthVersionMax="47" xr10:uidLastSave="{00000000-0000-0000-0000-000000000000}"/>
  <bookViews>
    <workbookView xWindow="-110" yWindow="-110" windowWidth="19420" windowHeight="11020" xr2:uid="{7F57F523-80DB-413C-929F-E945088008D3}"/>
  </bookViews>
  <sheets>
    <sheet name="Marketing_Campaig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6" i="1" l="1"/>
  <c r="I79" i="1"/>
  <c r="I48" i="1"/>
  <c r="I42" i="1"/>
  <c r="I40" i="1"/>
  <c r="I27" i="1"/>
</calcChain>
</file>

<file path=xl/sharedStrings.xml><?xml version="1.0" encoding="utf-8"?>
<sst xmlns="http://schemas.openxmlformats.org/spreadsheetml/2006/main" count="917" uniqueCount="316">
  <si>
    <t>Campaign_ID</t>
  </si>
  <si>
    <t>Campaign_Name</t>
  </si>
  <si>
    <t>Channel</t>
  </si>
  <si>
    <t>Campaign_Type</t>
  </si>
  <si>
    <t>Start_Date</t>
  </si>
  <si>
    <t>End_Date</t>
  </si>
  <si>
    <t>Budget_INR</t>
  </si>
  <si>
    <t>Impressions</t>
  </si>
  <si>
    <t>Clicks</t>
  </si>
  <si>
    <t>MQLs</t>
  </si>
  <si>
    <t>SQLs</t>
  </si>
  <si>
    <t>Conversions</t>
  </si>
  <si>
    <t>CTR_Percent</t>
  </si>
  <si>
    <t>Cost_Per_Click</t>
  </si>
  <si>
    <t>Customer_Acquisition_Cost</t>
  </si>
  <si>
    <t>Target_Region</t>
  </si>
  <si>
    <t>Target_Industry</t>
  </si>
  <si>
    <t>CAMP-0116</t>
  </si>
  <si>
    <t>Q2-2023 SecureNet Suite Retargeting</t>
  </si>
  <si>
    <t>Google Ads</t>
  </si>
  <si>
    <t>Retargeting</t>
  </si>
  <si>
    <t>North</t>
  </si>
  <si>
    <t>Telecom</t>
  </si>
  <si>
    <t>CAMP-0035</t>
  </si>
  <si>
    <t>Q2-2023 AnalyticsEdge Retargeting</t>
  </si>
  <si>
    <t>Social Media</t>
  </si>
  <si>
    <t>Lead Generation</t>
  </si>
  <si>
    <t>West</t>
  </si>
  <si>
    <t>Manufacturing</t>
  </si>
  <si>
    <t>CAMP-0127</t>
  </si>
  <si>
    <t>Q4-2023 AnalyticsEdge Product Launch</t>
  </si>
  <si>
    <t>SEO</t>
  </si>
  <si>
    <t>Brand Awareness</t>
  </si>
  <si>
    <t>All Regions</t>
  </si>
  <si>
    <t>EdTech</t>
  </si>
  <si>
    <t>CAMP-0115</t>
  </si>
  <si>
    <t>Q4-2024 AI Insights Module Retargeting</t>
  </si>
  <si>
    <t>Webinar</t>
  </si>
  <si>
    <t>Retail</t>
  </si>
  <si>
    <t>CAMP-0111</t>
  </si>
  <si>
    <t>Q1-2024 SecureNet Suite Retargeting</t>
  </si>
  <si>
    <t>CAMP-0123</t>
  </si>
  <si>
    <t>Q1-2024 CloudShift Platform Event Promotion</t>
  </si>
  <si>
    <t>LinkedIn</t>
  </si>
  <si>
    <t>East</t>
  </si>
  <si>
    <t>CAMP-0086</t>
  </si>
  <si>
    <t>Q2-2023 AnalyticsEdge Product Launch</t>
  </si>
  <si>
    <t>CAMP-0039</t>
  </si>
  <si>
    <t>Q3-2025 DevOps Accelerator Event Promotion</t>
  </si>
  <si>
    <t>Banking</t>
  </si>
  <si>
    <t>CAMP-0016</t>
  </si>
  <si>
    <t>Q3-2023 DevOps Accelerator Brand Awareness</t>
  </si>
  <si>
    <t>All Industries</t>
  </si>
  <si>
    <t>CAMP-0043</t>
  </si>
  <si>
    <t>Q4-2025 AI Insights Module Brand Awareness</t>
  </si>
  <si>
    <t>Content Marketing</t>
  </si>
  <si>
    <t>Event Promotion</t>
  </si>
  <si>
    <t>Healthcare</t>
  </si>
  <si>
    <t>CAMP-0124</t>
  </si>
  <si>
    <t>Q2-2025 SecureNet Suite Brand Awareness</t>
  </si>
  <si>
    <t>Government</t>
  </si>
  <si>
    <t>CAMP-0053</t>
  </si>
  <si>
    <t>Q2-2025 AI Insights Module Product Launch</t>
  </si>
  <si>
    <t>CAMP-0018</t>
  </si>
  <si>
    <t>Q2-2023 SecureNet Suite Event Promotion</t>
  </si>
  <si>
    <t>CAMP-0008</t>
  </si>
  <si>
    <t>Q3-2023 AI Insights Module Retargeting</t>
  </si>
  <si>
    <t>Email</t>
  </si>
  <si>
    <t>South</t>
  </si>
  <si>
    <t>CAMP-0150</t>
  </si>
  <si>
    <t>Q3-2023 AnalyticsEdge Brand Awareness</t>
  </si>
  <si>
    <t>CAMP-0024</t>
  </si>
  <si>
    <t>Q4-2025 AI Insights Module Product Launch</t>
  </si>
  <si>
    <t>Product Launch</t>
  </si>
  <si>
    <t>CAMP-0060</t>
  </si>
  <si>
    <t>Q3-2023 AnalyticsEdge Product Launch</t>
  </si>
  <si>
    <t>CAMP-0105</t>
  </si>
  <si>
    <t>Q4-2023 AnalyticsEdge Event Promotion</t>
  </si>
  <si>
    <t>CAMP-0113</t>
  </si>
  <si>
    <t>Q2-2024 CloudShift Platform Lead Generation</t>
  </si>
  <si>
    <t>CAMP-0133</t>
  </si>
  <si>
    <t>Q4-2025 DataVault Pro Retargeting</t>
  </si>
  <si>
    <t>Insurance</t>
  </si>
  <si>
    <t>CAMP-0142</t>
  </si>
  <si>
    <t>Q2-2023 DevOps Accelerator Retargeting</t>
  </si>
  <si>
    <t>Media</t>
  </si>
  <si>
    <t>CAMP-0121</t>
  </si>
  <si>
    <t>Q4-2023 AI Insights Module Lead Generation</t>
  </si>
  <si>
    <t>Logistics</t>
  </si>
  <si>
    <t>CAMP-0076</t>
  </si>
  <si>
    <t>Q3-2025 SecureNet Suite Event Promotion</t>
  </si>
  <si>
    <t>CAMP-0062</t>
  </si>
  <si>
    <t>Q1-2024 AnalyticsEdge Retargeting</t>
  </si>
  <si>
    <t>CAMP-0099</t>
  </si>
  <si>
    <t>Q2-2025 DevOps Accelerator Brand Awareness</t>
  </si>
  <si>
    <t>CAMP-0077</t>
  </si>
  <si>
    <t>Q4-2024 DataVault Pro Brand Awareness</t>
  </si>
  <si>
    <t>CAMP-0054</t>
  </si>
  <si>
    <t>Q1-2024 AnalyticsEdge Lead Generation</t>
  </si>
  <si>
    <t>CAMP-0112</t>
  </si>
  <si>
    <t>CAMP-0032</t>
  </si>
  <si>
    <t>Q2-2025 AnalyticsEdge Product Launch</t>
  </si>
  <si>
    <t>CAMP-0042</t>
  </si>
  <si>
    <t>Q4-2025 CloudShift Platform Retargeting</t>
  </si>
  <si>
    <t>CAMP-0080</t>
  </si>
  <si>
    <t>Q3-2024 AnalyticsEdge Lead Generation</t>
  </si>
  <si>
    <t>CAMP-0084</t>
  </si>
  <si>
    <t>Q1-2024 AI Insights Module Retargeting</t>
  </si>
  <si>
    <t>CAMP-0089</t>
  </si>
  <si>
    <t>Q1-2024 AI Insights Module Lead Generation</t>
  </si>
  <si>
    <t>CAMP-0146</t>
  </si>
  <si>
    <t>Q1-2025 SecureNet Suite Lead Generation</t>
  </si>
  <si>
    <t>CAMP-0092</t>
  </si>
  <si>
    <t>Q1-2024 DevOps Accelerator Lead Generation</t>
  </si>
  <si>
    <t>CAMP-0034</t>
  </si>
  <si>
    <t>Q4-2023 DevOps Accelerator Event Promotion</t>
  </si>
  <si>
    <t>CAMP-0059</t>
  </si>
  <si>
    <t>Q4-2025 SecureNet Suite Event Promotion</t>
  </si>
  <si>
    <t>CAMP-0003</t>
  </si>
  <si>
    <t>Q4-2023 SecureNet Suite Product Launch</t>
  </si>
  <si>
    <t>CAMP-0026</t>
  </si>
  <si>
    <t>Q1-2024 CloudShift Platform Product Launch</t>
  </si>
  <si>
    <t>CAMP-0147</t>
  </si>
  <si>
    <t>Q1-2024 AI Insights Module Brand Awareness</t>
  </si>
  <si>
    <t>Trade Show</t>
  </si>
  <si>
    <t>CAMP-0014</t>
  </si>
  <si>
    <t>Q1-2023 DataVault Pro Brand Awareness</t>
  </si>
  <si>
    <t>CAMP-0067</t>
  </si>
  <si>
    <t>Q3-2023 DevOps Accelerator Retargeting</t>
  </si>
  <si>
    <t>CAMP-0107</t>
  </si>
  <si>
    <t>Q4-2025 AI Insights Module Retargeting</t>
  </si>
  <si>
    <t>CAMP-0109</t>
  </si>
  <si>
    <t>Q4-2023 CloudShift Platform Product Launch</t>
  </si>
  <si>
    <t>CAMP-0108</t>
  </si>
  <si>
    <t>CAMP-0145</t>
  </si>
  <si>
    <t>Q3-2023 CloudShift Platform Lead Generation</t>
  </si>
  <si>
    <t>CAMP-0070</t>
  </si>
  <si>
    <t>Q3-2024 CloudShift Platform Brand Awareness</t>
  </si>
  <si>
    <t>CAMP-0017</t>
  </si>
  <si>
    <t>Q1-2023 DataVault Pro Retargeting</t>
  </si>
  <si>
    <t>CAMP-0074</t>
  </si>
  <si>
    <t>Q4-2023 DevOps Accelerator Retargeting</t>
  </si>
  <si>
    <t>CAMP-0131</t>
  </si>
  <si>
    <t>Q1-2025 DataVault Pro Event Promotion</t>
  </si>
  <si>
    <t>CAMP-0126</t>
  </si>
  <si>
    <t>Q3-2025 DataVault Pro Product Launch</t>
  </si>
  <si>
    <t>CAMP-0135</t>
  </si>
  <si>
    <t>Q1-2025 SecureNet Suite Brand Awareness</t>
  </si>
  <si>
    <t>CAMP-0020</t>
  </si>
  <si>
    <t>Q4-2023 DataVault Pro Lead Generation</t>
  </si>
  <si>
    <t>CAMP-0023</t>
  </si>
  <si>
    <t>Q4-2024 DevOps Accelerator Lead Generation</t>
  </si>
  <si>
    <t>CAMP-0106</t>
  </si>
  <si>
    <t>Q1-2025 DevOps Accelerator Event Promotion</t>
  </si>
  <si>
    <t>CAMP-0068</t>
  </si>
  <si>
    <t>Q3-2023 AI Insights Module Event Promotion</t>
  </si>
  <si>
    <t>CAMP-0071</t>
  </si>
  <si>
    <t>Q2-2025 DataVault Pro Event Promotion</t>
  </si>
  <si>
    <t>CAMP-0065</t>
  </si>
  <si>
    <t>CAMP-0058</t>
  </si>
  <si>
    <t>Q1-2024 SecureNet Suite Brand Awareness</t>
  </si>
  <si>
    <t>CAMP-0040</t>
  </si>
  <si>
    <t>Q2-2024 AnalyticsEdge Product Launch</t>
  </si>
  <si>
    <t>CAMP-0041</t>
  </si>
  <si>
    <t>Q2-2024 AnalyticsEdge Lead Generation</t>
  </si>
  <si>
    <t>CAMP-0010</t>
  </si>
  <si>
    <t>Q1-2024 CloudShift Platform Brand Awareness</t>
  </si>
  <si>
    <t>CAMP-0130</t>
  </si>
  <si>
    <t>Q3-2024 DataVault Pro Brand Awareness</t>
  </si>
  <si>
    <t>CAMP-0007</t>
  </si>
  <si>
    <t>Q3-2024 DevOps Accelerator Brand Awareness</t>
  </si>
  <si>
    <t>CAMP-0102</t>
  </si>
  <si>
    <t>Q2-2023 AI Insights Module Brand Awareness</t>
  </si>
  <si>
    <t>CAMP-0046</t>
  </si>
  <si>
    <t>Q3-2023 AI Insights Module Brand Awareness</t>
  </si>
  <si>
    <t>CAMP-0048</t>
  </si>
  <si>
    <t>Q4-2024 DataVault Pro Event Promotion</t>
  </si>
  <si>
    <t>CAMP-0047</t>
  </si>
  <si>
    <t>Q2-2024 AI Insights Module Product Launch</t>
  </si>
  <si>
    <t>CAMP-0073</t>
  </si>
  <si>
    <t>Q1-2024 SecureNet Suite Lead Generation</t>
  </si>
  <si>
    <t>CAMP-0138</t>
  </si>
  <si>
    <t>Q2-2025 DataVault Pro Lead Generation</t>
  </si>
  <si>
    <t>CAMP-0136</t>
  </si>
  <si>
    <t>Q4-2024 SecureNet Suite Product Launch</t>
  </si>
  <si>
    <t>CAMP-0079</t>
  </si>
  <si>
    <t>CAMP-0057</t>
  </si>
  <si>
    <t>CAMP-0075</t>
  </si>
  <si>
    <t>Q2-2024 DataVault Pro Event Promotion</t>
  </si>
  <si>
    <t>CAMP-0015</t>
  </si>
  <si>
    <t>Q3-2025 AnalyticsEdge Event Promotion</t>
  </si>
  <si>
    <t>CAMP-0061</t>
  </si>
  <si>
    <t>Q1-2023 AI Insights Module Retargeting</t>
  </si>
  <si>
    <t>CAMP-0149</t>
  </si>
  <si>
    <t>Q4-2024 SecureNet Suite Brand Awareness</t>
  </si>
  <si>
    <t>CAMP-0101</t>
  </si>
  <si>
    <t>Q1-2024 DevOps Accelerator Product Launch</t>
  </si>
  <si>
    <t>CAMP-0095</t>
  </si>
  <si>
    <t>CAMP-0012</t>
  </si>
  <si>
    <t>Q1-2025 SecureNet Suite Product Launch</t>
  </si>
  <si>
    <t>CAMP-0038</t>
  </si>
  <si>
    <t>Q4-2023 DataVault Pro Product Launch</t>
  </si>
  <si>
    <t>CAMP-0049</t>
  </si>
  <si>
    <t>Q3-2024 DataVault Pro Lead Generation</t>
  </si>
  <si>
    <t>CAMP-0093</t>
  </si>
  <si>
    <t>Q2-2025 AI Insights Module Retargeting</t>
  </si>
  <si>
    <t>CAMP-0140</t>
  </si>
  <si>
    <t>Q1-2023 CloudShift Platform Retargeting</t>
  </si>
  <si>
    <t>CAMP-0139</t>
  </si>
  <si>
    <t>Q4-2023 SecureNet Suite Lead Generation</t>
  </si>
  <si>
    <t>CAMP-0110</t>
  </si>
  <si>
    <t>Q2-2025 DevOps Accelerator Retargeting</t>
  </si>
  <si>
    <t>CAMP-0050</t>
  </si>
  <si>
    <t>Q3-2024 DevOps Accelerator Lead Generation</t>
  </si>
  <si>
    <t>CAMP-0030</t>
  </si>
  <si>
    <t>CAMP-0004</t>
  </si>
  <si>
    <t>Q1-2025 AnalyticsEdge Event Promotion</t>
  </si>
  <si>
    <t>CAMP-0011</t>
  </si>
  <si>
    <t>CAMP-0063</t>
  </si>
  <si>
    <t>Q4-2025 DataVault Pro Brand Awareness</t>
  </si>
  <si>
    <t>CAMP-0103</t>
  </si>
  <si>
    <t>CAMP-0033</t>
  </si>
  <si>
    <t>CAMP-0120</t>
  </si>
  <si>
    <t>CAMP-0144</t>
  </si>
  <si>
    <t>Q4-2024 DevOps Accelerator Event Promotion</t>
  </si>
  <si>
    <t>CAMP-0022</t>
  </si>
  <si>
    <t>Q3-2024 AI Insights Module Product Launch</t>
  </si>
  <si>
    <t>CAMP-0064</t>
  </si>
  <si>
    <t>CAMP-0143</t>
  </si>
  <si>
    <t>Q2-2023 CloudShift Platform Brand Awareness</t>
  </si>
  <si>
    <t>CAMP-0098</t>
  </si>
  <si>
    <t>CAMP-0128</t>
  </si>
  <si>
    <t>Q1-2023 CloudShift Platform Brand Awareness</t>
  </si>
  <si>
    <t>CAMP-0118</t>
  </si>
  <si>
    <t>Q3-2023 CloudShift Platform Retargeting</t>
  </si>
  <si>
    <t>CAMP-0096</t>
  </si>
  <si>
    <t>Q4-2023 DataVault Pro Event Promotion</t>
  </si>
  <si>
    <t>CAMP-0069</t>
  </si>
  <si>
    <t>Q2-2024 SecureNet Suite Event Promotion</t>
  </si>
  <si>
    <t>CAMP-0045</t>
  </si>
  <si>
    <t>CAMP-0056</t>
  </si>
  <si>
    <t>Q3-2024 SecureNet Suite Lead Generation</t>
  </si>
  <si>
    <t>CAMP-0132</t>
  </si>
  <si>
    <t>Q3-2025 DataVault Pro Event Promotion</t>
  </si>
  <si>
    <t>CAMP-0078</t>
  </si>
  <si>
    <t>Q2-2024 CloudShift Platform Product Launch</t>
  </si>
  <si>
    <t>CAMP-0094</t>
  </si>
  <si>
    <t>CAMP-0037</t>
  </si>
  <si>
    <t>Q3-2025 SecureNet Suite Lead Generation</t>
  </si>
  <si>
    <t>CAMP-0081</t>
  </si>
  <si>
    <t>Q4-2025 DevOps Accelerator Retargeting</t>
  </si>
  <si>
    <t>CAMP-0066</t>
  </si>
  <si>
    <t>CAMP-0137</t>
  </si>
  <si>
    <t>CAMP-0082</t>
  </si>
  <si>
    <t>CAMP-0087</t>
  </si>
  <si>
    <t>Q4-2024 DataVault Pro Lead Generation</t>
  </si>
  <si>
    <t>CAMP-0019</t>
  </si>
  <si>
    <t>Q2-2024 DevOps Accelerator Retargeting</t>
  </si>
  <si>
    <t>CAMP-0085</t>
  </si>
  <si>
    <t>Q3-2025 DataVault Pro Retargeting</t>
  </si>
  <si>
    <t>CAMP-0021</t>
  </si>
  <si>
    <t>CAMP-0083</t>
  </si>
  <si>
    <t>Q3-2025 SecureNet Suite Product Launch</t>
  </si>
  <si>
    <t>CAMP-0051</t>
  </si>
  <si>
    <t>Q1-2023 AnalyticsEdge Lead Generation</t>
  </si>
  <si>
    <t>CAMP-0114</t>
  </si>
  <si>
    <t>Q4-2025 AnalyticsEdge Lead Generation</t>
  </si>
  <si>
    <t>CAMP-0013</t>
  </si>
  <si>
    <t>Q2-2023 DataVault Pro Product Launch</t>
  </si>
  <si>
    <t>CAMP-0052</t>
  </si>
  <si>
    <t>Q4-2023 AnalyticsEdge Brand Awareness</t>
  </si>
  <si>
    <t>CAMP-0072</t>
  </si>
  <si>
    <t>CAMP-0091</t>
  </si>
  <si>
    <t>Q1-2025 SecureNet Suite Event Promotion</t>
  </si>
  <si>
    <t>CAMP-0122</t>
  </si>
  <si>
    <t>Q2-2024 CloudShift Platform Retargeting</t>
  </si>
  <si>
    <t>CAMP-0119</t>
  </si>
  <si>
    <t>Q2-2023 DevOps Accelerator Event Promotion</t>
  </si>
  <si>
    <t>CAMP-0100</t>
  </si>
  <si>
    <t>Q1-2024 AI Insights Module Product Launch</t>
  </si>
  <si>
    <t>CAMP-0031</t>
  </si>
  <si>
    <t>CAMP-0088</t>
  </si>
  <si>
    <t>Q3-2024 SecureNet Suite Brand Awareness</t>
  </si>
  <si>
    <t>CAMP-0117</t>
  </si>
  <si>
    <t>Q4-2023 DevOps Accelerator Brand Awareness</t>
  </si>
  <si>
    <t>CAMP-0009</t>
  </si>
  <si>
    <t>Q2-2025 DataVault Pro Brand Awareness</t>
  </si>
  <si>
    <t>CAMP-0148</t>
  </si>
  <si>
    <t>CAMP-0125</t>
  </si>
  <si>
    <t>CAMP-0029</t>
  </si>
  <si>
    <t>Q1-2024 DataVault Pro Lead Generation</t>
  </si>
  <si>
    <t>CAMP-0005</t>
  </si>
  <si>
    <t>CAMP-0104</t>
  </si>
  <si>
    <t>Q3-2025 AI Insights Module Lead Generation</t>
  </si>
  <si>
    <t>CAMP-0002</t>
  </si>
  <si>
    <t>Q3-2023 AI Insights Module Product Launch</t>
  </si>
  <si>
    <t>CAMP-0141</t>
  </si>
  <si>
    <t>Q4-2023 CloudShift Platform Brand Awareness</t>
  </si>
  <si>
    <t>CAMP-0134</t>
  </si>
  <si>
    <t>Q4-2025 CloudShift Platform Brand Awareness</t>
  </si>
  <si>
    <t>CAMP-0027</t>
  </si>
  <si>
    <t>CAMP-0090</t>
  </si>
  <si>
    <t>CAMP-0097</t>
  </si>
  <si>
    <t>CAMP-0025</t>
  </si>
  <si>
    <t>CAMP-0001</t>
  </si>
  <si>
    <t>Q4-2024 DataVault Pro Product Launch</t>
  </si>
  <si>
    <t>CAMP-0044</t>
  </si>
  <si>
    <t>Q2-2023 CloudShift Platform Event Promotion</t>
  </si>
  <si>
    <t>CAMP-0055</t>
  </si>
  <si>
    <t>Q4-2023 DataVault Pro Retargeting</t>
  </si>
  <si>
    <t>CAMP-0036</t>
  </si>
  <si>
    <t>CAMP-0006</t>
  </si>
  <si>
    <t>Q3-2023 SecureNet Suite Lead Generation</t>
  </si>
  <si>
    <t>CAMP-0028</t>
  </si>
  <si>
    <t>CAMP-0129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</si>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</sst>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164" formatCode="[$-14009]yyyy/mm/dd;@"/>
    </dxf>
    <dxf>
      <numFmt numFmtId="164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00CF2-DF11-4C27-ADCD-3FFB1D3D39CC}" name="Table1" displayName="Table1" ref="A1:Q151" totalsRowShown="0">
  <autoFilter ref="A1:Q151" xr:uid="{4BF00CF2-DF11-4C27-ADCD-3FFB1D3D39CC}"/>
  <tableColumns count="17">
    <tableColumn id="1" xr3:uid="{4AA48600-A14A-4744-97D9-BE547B46FE39}" name="Campaign_ID"/>
    <tableColumn id="2" xr3:uid="{C281DCD2-FA44-4C9B-9D66-7628E2BCFAD6}" name="Campaign_Name"/>
    <tableColumn id="3" xr3:uid="{AAF49B46-B6FC-4702-A4EA-A3E1332F7FEC}" name="Channel"/>
    <tableColumn id="4" xr3:uid="{75681517-FBFE-46F0-81F5-11E664563676}" name="Campaign_Type"/>
    <tableColumn id="5" xr3:uid="{181738CA-51BD-4AD8-BF40-FC8A4D3798F9}" name="Start_Date" dataDxfId="2"/>
    <tableColumn id="6" xr3:uid="{C46AAB91-D6C0-4A84-8E91-F017C91CD8D2}" name="End_Date" dataDxfId="1"/>
    <tableColumn id="7" xr3:uid="{32E2ACA8-5B35-43D4-A070-B45276650251}" name="Budget_INR"/>
    <tableColumn id="8" xr3:uid="{BB785C64-9308-4141-AD17-20DF790E5FCE}" name="Impressions"/>
    <tableColumn id="9" xr3:uid="{C85A2EA6-43B0-44F5-B27B-CCD7C9368630}" name="Clicks"/>
    <tableColumn id="10" xr3:uid="{64388513-EF43-4E00-A407-62419D3898FF}" name="MQLs"/>
    <tableColumn id="11" xr3:uid="{B3C1282E-04D6-40E1-A306-529837B440DC}" name="SQLs"/>
    <tableColumn id="12" xr3:uid="{AFE955DA-723F-482F-BD32-D84054425734}" name="Conversions"/>
    <tableColumn id="13" xr3:uid="{EBFBCB67-079D-4E5D-A984-7E47D08021CA}" name="CTR_Percent" dataDxfId="0"/>
    <tableColumn id="14" xr3:uid="{60496446-B151-41B2-8769-EE6EBF6DFF13}" name="Cost_Per_Click"/>
    <tableColumn id="15" xr3:uid="{45D886BD-A1F4-461E-B215-063C29F19036}" name="Customer_Acquisition_Cost"/>
    <tableColumn id="16" xr3:uid="{BFAD7751-B289-4B86-9AC5-2CB84A25895A}" name="Target_Region"/>
    <tableColumn id="17" xr3:uid="{3CBD34F1-7587-432E-B6D5-4CA866A5D62A}" name="Target_Indus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4F40-244B-483A-A164-D69AE36D3D9C}">
  <dimension ref="A1:Q151"/>
  <sheetViews>
    <sheetView tabSelected="1" topLeftCell="F1" workbookViewId="0">
      <selection activeCell="R12" sqref="R12"/>
    </sheetView>
  </sheetViews>
  <sheetFormatPr defaultRowHeight="14.5" x14ac:dyDescent="0.35"/>
  <cols>
    <col min="1" max="1" width="14.1796875" customWidth="1"/>
    <col min="2" max="2" width="39.26953125" bestFit="1" customWidth="1"/>
    <col min="3" max="3" width="15.81640625" bestFit="1" customWidth="1"/>
    <col min="4" max="4" width="16.36328125" customWidth="1"/>
    <col min="5" max="5" width="11.90625" style="2" customWidth="1"/>
    <col min="6" max="6" width="11.08984375" style="2" customWidth="1"/>
    <col min="7" max="7" width="12.81640625" customWidth="1"/>
    <col min="8" max="8" width="13.90625" bestFit="1" customWidth="1"/>
    <col min="9" max="9" width="8.1796875" customWidth="1"/>
    <col min="10" max="10" width="7.6328125" customWidth="1"/>
    <col min="11" max="11" width="7.26953125" customWidth="1"/>
    <col min="12" max="12" width="13.81640625" customWidth="1"/>
    <col min="13" max="13" width="13.90625" customWidth="1"/>
    <col min="14" max="14" width="15.81640625" customWidth="1"/>
    <col min="15" max="15" width="26.90625" customWidth="1"/>
    <col min="16" max="16" width="15" customWidth="1"/>
    <col min="17" max="17" width="16.089843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s="2">
        <v>45027</v>
      </c>
      <c r="F2" s="2">
        <v>45089</v>
      </c>
      <c r="G2">
        <v>751318</v>
      </c>
      <c r="H2">
        <v>125501</v>
      </c>
      <c r="I2">
        <v>8720</v>
      </c>
      <c r="J2">
        <v>2000</v>
      </c>
      <c r="K2">
        <v>453</v>
      </c>
      <c r="L2">
        <v>158</v>
      </c>
      <c r="M2" s="1">
        <v>6.95</v>
      </c>
      <c r="N2">
        <v>86.16</v>
      </c>
      <c r="O2">
        <v>4755.18</v>
      </c>
      <c r="P2" t="s">
        <v>21</v>
      </c>
      <c r="Q2" t="s">
        <v>22</v>
      </c>
    </row>
    <row r="3" spans="1:17" x14ac:dyDescent="0.35">
      <c r="A3" t="s">
        <v>23</v>
      </c>
      <c r="B3" t="s">
        <v>24</v>
      </c>
      <c r="C3" t="s">
        <v>25</v>
      </c>
      <c r="D3" t="s">
        <v>26</v>
      </c>
      <c r="E3" s="2">
        <v>45470</v>
      </c>
      <c r="F3" s="2">
        <v>45529</v>
      </c>
      <c r="G3">
        <v>931769</v>
      </c>
      <c r="H3">
        <v>404277</v>
      </c>
      <c r="I3">
        <v>28305</v>
      </c>
      <c r="J3">
        <v>3218</v>
      </c>
      <c r="K3">
        <v>614</v>
      </c>
      <c r="L3">
        <v>177</v>
      </c>
      <c r="M3" s="1">
        <v>7</v>
      </c>
      <c r="N3">
        <v>32.92</v>
      </c>
      <c r="O3">
        <v>5264.23</v>
      </c>
      <c r="P3" t="s">
        <v>27</v>
      </c>
      <c r="Q3" t="s">
        <v>28</v>
      </c>
    </row>
    <row r="4" spans="1:17" x14ac:dyDescent="0.35">
      <c r="A4" t="s">
        <v>29</v>
      </c>
      <c r="B4" t="s">
        <v>30</v>
      </c>
      <c r="C4" t="s">
        <v>31</v>
      </c>
      <c r="D4" t="s">
        <v>32</v>
      </c>
      <c r="E4" s="2">
        <v>45082</v>
      </c>
      <c r="F4" s="2">
        <v>45135</v>
      </c>
      <c r="G4">
        <v>1330883</v>
      </c>
      <c r="H4">
        <v>169252</v>
      </c>
      <c r="I4">
        <v>9199</v>
      </c>
      <c r="J4">
        <v>1321</v>
      </c>
      <c r="K4">
        <v>320</v>
      </c>
      <c r="L4">
        <v>124</v>
      </c>
      <c r="M4" s="1">
        <v>5.44</v>
      </c>
      <c r="N4">
        <v>144.68</v>
      </c>
      <c r="O4">
        <v>10732.93</v>
      </c>
      <c r="P4" t="s">
        <v>33</v>
      </c>
      <c r="Q4" t="s">
        <v>34</v>
      </c>
    </row>
    <row r="5" spans="1:17" x14ac:dyDescent="0.35">
      <c r="A5" t="s">
        <v>35</v>
      </c>
      <c r="B5" t="s">
        <v>36</v>
      </c>
      <c r="C5" t="s">
        <v>37</v>
      </c>
      <c r="D5" t="s">
        <v>32</v>
      </c>
      <c r="E5" s="2">
        <v>45529</v>
      </c>
      <c r="F5" s="2">
        <v>45604</v>
      </c>
      <c r="G5">
        <v>1055991</v>
      </c>
      <c r="H5">
        <v>167737</v>
      </c>
      <c r="I5">
        <v>2658</v>
      </c>
      <c r="J5">
        <v>164</v>
      </c>
      <c r="K5">
        <v>24</v>
      </c>
      <c r="L5">
        <v>6</v>
      </c>
      <c r="M5" s="1">
        <v>1.58</v>
      </c>
      <c r="N5">
        <v>397.29</v>
      </c>
      <c r="O5">
        <v>175998.5</v>
      </c>
      <c r="P5" t="s">
        <v>315</v>
      </c>
      <c r="Q5" t="s">
        <v>38</v>
      </c>
    </row>
    <row r="6" spans="1:17" x14ac:dyDescent="0.35">
      <c r="A6" t="s">
        <v>39</v>
      </c>
      <c r="B6" t="s">
        <v>40</v>
      </c>
      <c r="C6" t="s">
        <v>37</v>
      </c>
      <c r="D6" t="s">
        <v>26</v>
      </c>
      <c r="E6" s="2">
        <v>45244</v>
      </c>
      <c r="F6" s="2">
        <v>45296</v>
      </c>
      <c r="G6">
        <v>576586</v>
      </c>
      <c r="H6">
        <v>352957</v>
      </c>
      <c r="I6">
        <v>18568</v>
      </c>
      <c r="J6">
        <v>3933</v>
      </c>
      <c r="K6">
        <v>1690</v>
      </c>
      <c r="L6">
        <v>470</v>
      </c>
      <c r="M6" s="1">
        <v>5.26</v>
      </c>
      <c r="N6">
        <v>31.05</v>
      </c>
      <c r="O6">
        <v>1226.78</v>
      </c>
      <c r="P6" t="s">
        <v>33</v>
      </c>
      <c r="Q6" t="s">
        <v>22</v>
      </c>
    </row>
    <row r="7" spans="1:17" x14ac:dyDescent="0.35">
      <c r="A7" t="s">
        <v>41</v>
      </c>
      <c r="B7" t="s">
        <v>42</v>
      </c>
      <c r="C7" t="s">
        <v>43</v>
      </c>
      <c r="D7" t="s">
        <v>32</v>
      </c>
      <c r="E7" s="2">
        <v>45317</v>
      </c>
      <c r="F7" s="2">
        <v>45405</v>
      </c>
      <c r="G7">
        <v>99142</v>
      </c>
      <c r="H7">
        <v>23806</v>
      </c>
      <c r="I7">
        <v>697</v>
      </c>
      <c r="J7">
        <v>96</v>
      </c>
      <c r="K7">
        <v>16</v>
      </c>
      <c r="L7">
        <v>3</v>
      </c>
      <c r="M7" s="1">
        <v>2.93</v>
      </c>
      <c r="N7">
        <v>142.24</v>
      </c>
      <c r="O7">
        <v>33047.33</v>
      </c>
      <c r="P7" t="s">
        <v>44</v>
      </c>
      <c r="Q7" t="s">
        <v>22</v>
      </c>
    </row>
    <row r="8" spans="1:17" x14ac:dyDescent="0.35">
      <c r="A8" t="s">
        <v>45</v>
      </c>
      <c r="B8" t="s">
        <v>46</v>
      </c>
      <c r="C8" t="s">
        <v>31</v>
      </c>
      <c r="D8" t="s">
        <v>32</v>
      </c>
      <c r="E8" s="2">
        <v>45203</v>
      </c>
      <c r="F8" s="2">
        <v>45278</v>
      </c>
      <c r="G8">
        <v>1296128</v>
      </c>
      <c r="H8">
        <v>325772</v>
      </c>
      <c r="I8">
        <v>9541</v>
      </c>
      <c r="J8">
        <v>1855</v>
      </c>
      <c r="K8">
        <v>438</v>
      </c>
      <c r="L8">
        <v>153</v>
      </c>
      <c r="M8" s="1">
        <v>2.93</v>
      </c>
      <c r="N8">
        <v>135.85</v>
      </c>
      <c r="O8">
        <v>8471.42</v>
      </c>
      <c r="P8" t="s">
        <v>27</v>
      </c>
      <c r="Q8" t="s">
        <v>38</v>
      </c>
    </row>
    <row r="9" spans="1:17" x14ac:dyDescent="0.35">
      <c r="A9" t="s">
        <v>47</v>
      </c>
      <c r="B9" t="s">
        <v>48</v>
      </c>
      <c r="C9" t="s">
        <v>25</v>
      </c>
      <c r="D9" t="s">
        <v>26</v>
      </c>
      <c r="E9" s="2">
        <v>45661</v>
      </c>
      <c r="F9" s="2">
        <v>45746</v>
      </c>
      <c r="G9">
        <v>1268589</v>
      </c>
      <c r="H9">
        <v>152974</v>
      </c>
      <c r="I9">
        <v>10540</v>
      </c>
      <c r="J9">
        <v>2346</v>
      </c>
      <c r="K9">
        <v>955</v>
      </c>
      <c r="L9">
        <v>280</v>
      </c>
      <c r="M9" s="1">
        <v>6.89</v>
      </c>
      <c r="N9">
        <v>120.36</v>
      </c>
      <c r="O9">
        <v>4530.68</v>
      </c>
      <c r="P9" t="s">
        <v>27</v>
      </c>
      <c r="Q9" t="s">
        <v>49</v>
      </c>
    </row>
    <row r="10" spans="1:17" x14ac:dyDescent="0.35">
      <c r="A10" t="s">
        <v>50</v>
      </c>
      <c r="B10" t="s">
        <v>51</v>
      </c>
      <c r="C10" t="s">
        <v>43</v>
      </c>
      <c r="D10" t="s">
        <v>20</v>
      </c>
      <c r="E10" s="2">
        <v>45483</v>
      </c>
      <c r="F10" s="2">
        <v>45535</v>
      </c>
      <c r="G10">
        <v>616140</v>
      </c>
      <c r="H10">
        <v>384535</v>
      </c>
      <c r="I10">
        <v>19957</v>
      </c>
      <c r="J10">
        <v>3229</v>
      </c>
      <c r="K10">
        <v>1357</v>
      </c>
      <c r="L10">
        <v>235</v>
      </c>
      <c r="M10" s="1">
        <v>5.19</v>
      </c>
      <c r="N10">
        <v>30.87</v>
      </c>
      <c r="O10">
        <v>2621.87</v>
      </c>
      <c r="P10" t="s">
        <v>21</v>
      </c>
      <c r="Q10" t="s">
        <v>52</v>
      </c>
    </row>
    <row r="11" spans="1:17" x14ac:dyDescent="0.35">
      <c r="A11" t="s">
        <v>53</v>
      </c>
      <c r="B11" t="s">
        <v>54</v>
      </c>
      <c r="C11" t="s">
        <v>55</v>
      </c>
      <c r="D11" t="s">
        <v>56</v>
      </c>
      <c r="E11" s="2">
        <v>45215</v>
      </c>
      <c r="F11" s="2">
        <v>45241</v>
      </c>
      <c r="G11">
        <v>1208048</v>
      </c>
      <c r="H11">
        <v>11982</v>
      </c>
      <c r="I11">
        <v>195</v>
      </c>
      <c r="J11">
        <v>24</v>
      </c>
      <c r="K11">
        <v>8</v>
      </c>
      <c r="L11">
        <v>1</v>
      </c>
      <c r="M11" s="1">
        <v>1.63</v>
      </c>
      <c r="N11">
        <v>6195.12</v>
      </c>
      <c r="O11">
        <v>1208048</v>
      </c>
      <c r="P11" t="s">
        <v>33</v>
      </c>
      <c r="Q11" t="s">
        <v>57</v>
      </c>
    </row>
    <row r="12" spans="1:17" x14ac:dyDescent="0.35">
      <c r="A12" t="s">
        <v>58</v>
      </c>
      <c r="B12" t="s">
        <v>59</v>
      </c>
      <c r="C12" t="s">
        <v>25</v>
      </c>
      <c r="D12" t="s">
        <v>56</v>
      </c>
      <c r="E12" s="2">
        <v>45505</v>
      </c>
      <c r="F12" s="2">
        <v>45530</v>
      </c>
      <c r="G12">
        <v>1362761</v>
      </c>
      <c r="H12">
        <v>48086</v>
      </c>
      <c r="I12">
        <v>2575</v>
      </c>
      <c r="J12">
        <v>481</v>
      </c>
      <c r="K12">
        <v>145</v>
      </c>
      <c r="L12">
        <v>51</v>
      </c>
      <c r="M12" s="1">
        <v>5.35</v>
      </c>
      <c r="N12">
        <v>529.23</v>
      </c>
      <c r="O12">
        <v>26720.799999999999</v>
      </c>
      <c r="P12" t="s">
        <v>33</v>
      </c>
      <c r="Q12" t="s">
        <v>60</v>
      </c>
    </row>
    <row r="13" spans="1:17" x14ac:dyDescent="0.35">
      <c r="A13" t="s">
        <v>61</v>
      </c>
      <c r="B13" t="s">
        <v>62</v>
      </c>
      <c r="C13" t="s">
        <v>19</v>
      </c>
      <c r="D13" t="s">
        <v>26</v>
      </c>
      <c r="E13" s="2">
        <v>45352</v>
      </c>
      <c r="F13" s="2">
        <v>45375</v>
      </c>
      <c r="G13">
        <v>487709</v>
      </c>
      <c r="H13">
        <v>284841</v>
      </c>
      <c r="I13">
        <v>10450</v>
      </c>
      <c r="J13">
        <v>1086</v>
      </c>
      <c r="K13">
        <v>426</v>
      </c>
      <c r="L13">
        <v>97</v>
      </c>
      <c r="M13" s="1">
        <v>3.67</v>
      </c>
      <c r="N13">
        <v>46.67</v>
      </c>
      <c r="O13">
        <v>5027.93</v>
      </c>
      <c r="P13" t="s">
        <v>27</v>
      </c>
      <c r="Q13" t="s">
        <v>52</v>
      </c>
    </row>
    <row r="14" spans="1:17" x14ac:dyDescent="0.35">
      <c r="A14" t="s">
        <v>63</v>
      </c>
      <c r="B14" t="s">
        <v>64</v>
      </c>
      <c r="C14" t="s">
        <v>43</v>
      </c>
      <c r="D14" t="s">
        <v>26</v>
      </c>
      <c r="E14" s="2">
        <v>45450</v>
      </c>
      <c r="F14" s="2">
        <v>45467</v>
      </c>
      <c r="G14">
        <v>1450372</v>
      </c>
      <c r="H14">
        <v>301192</v>
      </c>
      <c r="I14">
        <v>20113</v>
      </c>
      <c r="J14">
        <v>3277</v>
      </c>
      <c r="K14">
        <v>1347</v>
      </c>
      <c r="L14">
        <v>343</v>
      </c>
      <c r="M14" s="1">
        <v>6.68</v>
      </c>
      <c r="N14">
        <v>72.11</v>
      </c>
      <c r="O14">
        <v>4228.49</v>
      </c>
      <c r="P14" t="s">
        <v>44</v>
      </c>
      <c r="Q14" t="s">
        <v>38</v>
      </c>
    </row>
    <row r="15" spans="1:17" x14ac:dyDescent="0.35">
      <c r="A15" t="s">
        <v>65</v>
      </c>
      <c r="B15" t="s">
        <v>66</v>
      </c>
      <c r="C15" t="s">
        <v>67</v>
      </c>
      <c r="D15" t="s">
        <v>20</v>
      </c>
      <c r="E15" s="2">
        <v>45452</v>
      </c>
      <c r="F15" s="2">
        <v>45469</v>
      </c>
      <c r="G15">
        <v>1120643</v>
      </c>
      <c r="H15">
        <v>289309</v>
      </c>
      <c r="I15">
        <v>23081</v>
      </c>
      <c r="J15">
        <v>4593</v>
      </c>
      <c r="K15">
        <v>775</v>
      </c>
      <c r="L15">
        <v>194</v>
      </c>
      <c r="M15" s="1">
        <v>7.98</v>
      </c>
      <c r="N15">
        <v>48.55</v>
      </c>
      <c r="O15">
        <v>5776.51</v>
      </c>
      <c r="P15" t="s">
        <v>68</v>
      </c>
      <c r="Q15" t="s">
        <v>57</v>
      </c>
    </row>
    <row r="16" spans="1:17" x14ac:dyDescent="0.35">
      <c r="A16" t="s">
        <v>69</v>
      </c>
      <c r="B16" t="s">
        <v>70</v>
      </c>
      <c r="C16" t="s">
        <v>31</v>
      </c>
      <c r="D16" t="s">
        <v>20</v>
      </c>
      <c r="E16" s="2">
        <v>45296</v>
      </c>
      <c r="F16" s="2">
        <v>45315</v>
      </c>
      <c r="G16">
        <v>244034</v>
      </c>
      <c r="H16">
        <v>384010</v>
      </c>
      <c r="I16">
        <v>12175</v>
      </c>
      <c r="J16">
        <v>1873</v>
      </c>
      <c r="K16">
        <v>705</v>
      </c>
      <c r="L16">
        <v>127</v>
      </c>
      <c r="M16" s="1">
        <v>3.17</v>
      </c>
      <c r="N16">
        <v>20.04</v>
      </c>
      <c r="O16">
        <v>1921.53</v>
      </c>
      <c r="P16" t="s">
        <v>315</v>
      </c>
      <c r="Q16" t="s">
        <v>49</v>
      </c>
    </row>
    <row r="17" spans="1:17" x14ac:dyDescent="0.35">
      <c r="A17" t="s">
        <v>71</v>
      </c>
      <c r="B17" t="s">
        <v>72</v>
      </c>
      <c r="C17" t="s">
        <v>55</v>
      </c>
      <c r="D17" t="s">
        <v>73</v>
      </c>
      <c r="E17" s="2">
        <v>45372</v>
      </c>
      <c r="F17" s="2">
        <v>45427</v>
      </c>
      <c r="G17">
        <v>986794</v>
      </c>
      <c r="H17">
        <v>400131</v>
      </c>
      <c r="I17">
        <v>23524</v>
      </c>
      <c r="J17">
        <v>3710</v>
      </c>
      <c r="K17">
        <v>659</v>
      </c>
      <c r="L17">
        <v>210</v>
      </c>
      <c r="M17" s="1">
        <v>5.88</v>
      </c>
      <c r="N17">
        <v>41.95</v>
      </c>
      <c r="O17">
        <v>4699.0200000000004</v>
      </c>
      <c r="P17" t="s">
        <v>44</v>
      </c>
      <c r="Q17" t="s">
        <v>315</v>
      </c>
    </row>
    <row r="18" spans="1:17" x14ac:dyDescent="0.35">
      <c r="A18" t="s">
        <v>74</v>
      </c>
      <c r="B18" t="s">
        <v>75</v>
      </c>
      <c r="C18" t="s">
        <v>25</v>
      </c>
      <c r="D18" t="s">
        <v>32</v>
      </c>
      <c r="E18" s="2">
        <v>45614</v>
      </c>
      <c r="F18" s="2">
        <v>45656</v>
      </c>
      <c r="G18">
        <v>1299836</v>
      </c>
      <c r="H18">
        <v>402559</v>
      </c>
      <c r="I18">
        <v>22342</v>
      </c>
      <c r="J18">
        <v>3206</v>
      </c>
      <c r="K18">
        <v>942</v>
      </c>
      <c r="L18">
        <v>123</v>
      </c>
      <c r="M18" s="1">
        <v>5.55</v>
      </c>
      <c r="N18">
        <v>58.18</v>
      </c>
      <c r="O18">
        <v>10567.77</v>
      </c>
      <c r="P18" t="s">
        <v>21</v>
      </c>
      <c r="Q18" t="s">
        <v>57</v>
      </c>
    </row>
    <row r="19" spans="1:17" x14ac:dyDescent="0.35">
      <c r="A19" t="s">
        <v>76</v>
      </c>
      <c r="B19" t="s">
        <v>77</v>
      </c>
      <c r="C19" t="s">
        <v>37</v>
      </c>
      <c r="D19" t="s">
        <v>20</v>
      </c>
      <c r="E19" s="2">
        <v>45545</v>
      </c>
      <c r="F19" s="2">
        <v>45625</v>
      </c>
      <c r="G19">
        <v>1095970</v>
      </c>
      <c r="H19">
        <v>269329</v>
      </c>
      <c r="I19">
        <v>15203</v>
      </c>
      <c r="J19">
        <v>1256</v>
      </c>
      <c r="K19">
        <v>615</v>
      </c>
      <c r="L19">
        <v>96</v>
      </c>
      <c r="M19" s="1">
        <v>5.64</v>
      </c>
      <c r="N19">
        <v>72.09</v>
      </c>
      <c r="O19">
        <v>11416.35</v>
      </c>
      <c r="P19" t="s">
        <v>33</v>
      </c>
      <c r="Q19" t="s">
        <v>28</v>
      </c>
    </row>
    <row r="20" spans="1:17" x14ac:dyDescent="0.35">
      <c r="A20" t="s">
        <v>78</v>
      </c>
      <c r="B20" t="s">
        <v>79</v>
      </c>
      <c r="C20" t="s">
        <v>19</v>
      </c>
      <c r="D20" t="s">
        <v>32</v>
      </c>
      <c r="E20" s="2">
        <v>45018</v>
      </c>
      <c r="F20" s="2">
        <v>45100</v>
      </c>
      <c r="G20">
        <v>961343</v>
      </c>
      <c r="H20">
        <v>247466</v>
      </c>
      <c r="I20">
        <v>4736</v>
      </c>
      <c r="J20">
        <v>254</v>
      </c>
      <c r="K20">
        <v>69</v>
      </c>
      <c r="L20">
        <v>9</v>
      </c>
      <c r="M20" s="1">
        <v>1.91</v>
      </c>
      <c r="N20">
        <v>202.99</v>
      </c>
      <c r="O20">
        <v>106815.89</v>
      </c>
      <c r="P20" t="s">
        <v>44</v>
      </c>
      <c r="Q20" t="s">
        <v>34</v>
      </c>
    </row>
    <row r="21" spans="1:17" x14ac:dyDescent="0.35">
      <c r="A21" t="s">
        <v>80</v>
      </c>
      <c r="B21" t="s">
        <v>81</v>
      </c>
      <c r="C21" t="s">
        <v>19</v>
      </c>
      <c r="D21" t="s">
        <v>56</v>
      </c>
      <c r="E21" s="2">
        <v>44988</v>
      </c>
      <c r="F21" s="2">
        <v>45049</v>
      </c>
      <c r="G21">
        <v>788323</v>
      </c>
      <c r="H21">
        <v>292324</v>
      </c>
      <c r="I21">
        <v>5644</v>
      </c>
      <c r="J21">
        <v>1045</v>
      </c>
      <c r="K21">
        <v>309</v>
      </c>
      <c r="L21">
        <v>100</v>
      </c>
      <c r="M21" s="1">
        <v>1.93</v>
      </c>
      <c r="N21">
        <v>139.66999999999999</v>
      </c>
      <c r="O21">
        <v>7883.23</v>
      </c>
      <c r="P21" t="s">
        <v>21</v>
      </c>
      <c r="Q21" t="s">
        <v>82</v>
      </c>
    </row>
    <row r="22" spans="1:17" x14ac:dyDescent="0.35">
      <c r="A22" t="s">
        <v>83</v>
      </c>
      <c r="B22" t="s">
        <v>84</v>
      </c>
      <c r="C22" t="s">
        <v>25</v>
      </c>
      <c r="D22" t="s">
        <v>73</v>
      </c>
      <c r="E22" s="2">
        <v>45716</v>
      </c>
      <c r="F22" s="2">
        <v>45778</v>
      </c>
      <c r="G22">
        <v>1125028</v>
      </c>
      <c r="H22">
        <v>385374</v>
      </c>
      <c r="I22">
        <v>25086</v>
      </c>
      <c r="J22">
        <v>2140</v>
      </c>
      <c r="K22">
        <v>736</v>
      </c>
      <c r="L22">
        <v>196</v>
      </c>
      <c r="M22" s="1">
        <v>6.51</v>
      </c>
      <c r="N22">
        <v>44.85</v>
      </c>
      <c r="O22">
        <v>5739.94</v>
      </c>
      <c r="P22" t="s">
        <v>21</v>
      </c>
      <c r="Q22" t="s">
        <v>85</v>
      </c>
    </row>
    <row r="23" spans="1:17" x14ac:dyDescent="0.35">
      <c r="A23" t="s">
        <v>86</v>
      </c>
      <c r="B23" t="s">
        <v>87</v>
      </c>
      <c r="C23" t="s">
        <v>43</v>
      </c>
      <c r="D23" t="s">
        <v>73</v>
      </c>
      <c r="E23" s="2">
        <v>45318</v>
      </c>
      <c r="F23" s="2">
        <v>45389</v>
      </c>
      <c r="G23">
        <v>1144467</v>
      </c>
      <c r="H23">
        <v>44673</v>
      </c>
      <c r="I23">
        <v>1313</v>
      </c>
      <c r="J23">
        <v>206</v>
      </c>
      <c r="K23">
        <v>96</v>
      </c>
      <c r="L23">
        <v>14</v>
      </c>
      <c r="M23" s="1">
        <v>2.94</v>
      </c>
      <c r="N23">
        <v>871.64</v>
      </c>
      <c r="O23">
        <v>81747.64</v>
      </c>
      <c r="P23" t="s">
        <v>44</v>
      </c>
      <c r="Q23" t="s">
        <v>88</v>
      </c>
    </row>
    <row r="24" spans="1:17" x14ac:dyDescent="0.35">
      <c r="A24" t="s">
        <v>89</v>
      </c>
      <c r="B24" t="s">
        <v>90</v>
      </c>
      <c r="C24" t="s">
        <v>55</v>
      </c>
      <c r="D24" t="s">
        <v>73</v>
      </c>
      <c r="E24" s="2">
        <v>45357</v>
      </c>
      <c r="F24" s="2">
        <v>45441</v>
      </c>
      <c r="G24">
        <v>296081</v>
      </c>
      <c r="H24">
        <v>203021</v>
      </c>
      <c r="I24">
        <v>2481</v>
      </c>
      <c r="J24">
        <v>393</v>
      </c>
      <c r="K24">
        <v>102</v>
      </c>
      <c r="L24">
        <v>13</v>
      </c>
      <c r="M24" s="1">
        <v>1.22</v>
      </c>
      <c r="N24">
        <v>119.34</v>
      </c>
      <c r="O24">
        <v>22775.46</v>
      </c>
      <c r="P24" t="s">
        <v>44</v>
      </c>
      <c r="Q24" t="s">
        <v>28</v>
      </c>
    </row>
    <row r="25" spans="1:17" x14ac:dyDescent="0.35">
      <c r="A25" t="s">
        <v>91</v>
      </c>
      <c r="B25" t="s">
        <v>92</v>
      </c>
      <c r="C25" t="s">
        <v>67</v>
      </c>
      <c r="D25" t="s">
        <v>26</v>
      </c>
      <c r="E25" s="2">
        <v>45545</v>
      </c>
      <c r="F25" s="2">
        <v>45579</v>
      </c>
      <c r="G25">
        <v>420937</v>
      </c>
      <c r="H25">
        <v>300053</v>
      </c>
      <c r="I25">
        <v>18957</v>
      </c>
      <c r="J25">
        <v>2082</v>
      </c>
      <c r="K25">
        <v>941</v>
      </c>
      <c r="L25">
        <v>167</v>
      </c>
      <c r="M25" s="1">
        <v>6.32</v>
      </c>
      <c r="N25">
        <v>22.2</v>
      </c>
      <c r="O25">
        <v>2520.58</v>
      </c>
      <c r="P25" t="s">
        <v>21</v>
      </c>
      <c r="Q25" t="s">
        <v>60</v>
      </c>
    </row>
    <row r="26" spans="1:17" x14ac:dyDescent="0.35">
      <c r="A26" t="s">
        <v>93</v>
      </c>
      <c r="B26" t="s">
        <v>94</v>
      </c>
      <c r="C26" t="s">
        <v>55</v>
      </c>
      <c r="D26" t="s">
        <v>26</v>
      </c>
      <c r="E26" s="2">
        <v>45503</v>
      </c>
      <c r="F26" s="2">
        <v>45518</v>
      </c>
      <c r="G26">
        <v>909983</v>
      </c>
      <c r="H26">
        <v>246287</v>
      </c>
      <c r="I26">
        <v>13286</v>
      </c>
      <c r="J26">
        <v>2769</v>
      </c>
      <c r="K26">
        <v>1258</v>
      </c>
      <c r="L26">
        <v>134</v>
      </c>
      <c r="M26" s="1">
        <v>5.39</v>
      </c>
      <c r="N26">
        <v>68.489999999999995</v>
      </c>
      <c r="O26">
        <v>6790.92</v>
      </c>
      <c r="P26" t="s">
        <v>33</v>
      </c>
      <c r="Q26" t="s">
        <v>85</v>
      </c>
    </row>
    <row r="27" spans="1:17" x14ac:dyDescent="0.35">
      <c r="A27" t="s">
        <v>95</v>
      </c>
      <c r="B27" t="s">
        <v>96</v>
      </c>
      <c r="C27" t="s">
        <v>19</v>
      </c>
      <c r="D27" t="s">
        <v>32</v>
      </c>
      <c r="E27" s="2">
        <v>45130</v>
      </c>
      <c r="F27" s="2">
        <v>45145</v>
      </c>
      <c r="G27">
        <v>639700</v>
      </c>
      <c r="H27">
        <v>91607</v>
      </c>
      <c r="I27">
        <f>ROUND(Table1[[#This Row],[Impressions]]*(Table1[[#This Row],[CTR_Percent]]/100),0)</f>
        <v>6110</v>
      </c>
      <c r="J27">
        <v>562</v>
      </c>
      <c r="K27">
        <v>244</v>
      </c>
      <c r="L27">
        <v>75</v>
      </c>
      <c r="M27" s="1">
        <v>6.67</v>
      </c>
      <c r="N27">
        <v>104.65</v>
      </c>
      <c r="O27">
        <v>8529.33</v>
      </c>
      <c r="P27" t="s">
        <v>33</v>
      </c>
      <c r="Q27" t="s">
        <v>28</v>
      </c>
    </row>
    <row r="28" spans="1:17" x14ac:dyDescent="0.35">
      <c r="A28" t="s">
        <v>97</v>
      </c>
      <c r="B28" t="s">
        <v>98</v>
      </c>
      <c r="C28" t="s">
        <v>43</v>
      </c>
      <c r="D28" t="s">
        <v>56</v>
      </c>
      <c r="E28" s="2">
        <v>45655</v>
      </c>
      <c r="F28" s="2">
        <v>45672</v>
      </c>
      <c r="G28">
        <v>118248</v>
      </c>
      <c r="H28">
        <v>168771</v>
      </c>
      <c r="I28">
        <v>5692</v>
      </c>
      <c r="J28">
        <v>378</v>
      </c>
      <c r="K28">
        <v>98</v>
      </c>
      <c r="L28">
        <v>16</v>
      </c>
      <c r="M28" s="1">
        <v>3.37</v>
      </c>
      <c r="N28">
        <v>20.77</v>
      </c>
      <c r="O28">
        <v>7390.5</v>
      </c>
      <c r="P28" t="s">
        <v>21</v>
      </c>
      <c r="Q28" t="s">
        <v>60</v>
      </c>
    </row>
    <row r="29" spans="1:17" x14ac:dyDescent="0.35">
      <c r="A29" t="s">
        <v>99</v>
      </c>
      <c r="B29" t="s">
        <v>59</v>
      </c>
      <c r="C29" t="s">
        <v>55</v>
      </c>
      <c r="D29" t="s">
        <v>26</v>
      </c>
      <c r="E29" s="2">
        <v>45515</v>
      </c>
      <c r="F29" s="2">
        <v>45547</v>
      </c>
      <c r="G29">
        <v>1084235</v>
      </c>
      <c r="H29">
        <v>244228</v>
      </c>
      <c r="I29">
        <v>18533</v>
      </c>
      <c r="J29">
        <v>1202</v>
      </c>
      <c r="K29">
        <v>329</v>
      </c>
      <c r="L29">
        <v>117</v>
      </c>
      <c r="M29" s="1">
        <v>7.59</v>
      </c>
      <c r="N29">
        <v>58.5</v>
      </c>
      <c r="O29">
        <v>9266.9699999999993</v>
      </c>
      <c r="P29" t="s">
        <v>68</v>
      </c>
      <c r="Q29" t="s">
        <v>88</v>
      </c>
    </row>
    <row r="30" spans="1:17" x14ac:dyDescent="0.35">
      <c r="A30" t="s">
        <v>100</v>
      </c>
      <c r="B30" t="s">
        <v>101</v>
      </c>
      <c r="C30" t="s">
        <v>43</v>
      </c>
      <c r="D30" t="s">
        <v>73</v>
      </c>
      <c r="E30" s="2">
        <v>45233</v>
      </c>
      <c r="F30" s="2">
        <v>45314</v>
      </c>
      <c r="G30">
        <v>1256395</v>
      </c>
      <c r="H30">
        <v>170300</v>
      </c>
      <c r="I30">
        <v>1941</v>
      </c>
      <c r="J30">
        <v>98</v>
      </c>
      <c r="K30">
        <v>37</v>
      </c>
      <c r="L30">
        <v>7</v>
      </c>
      <c r="M30" s="1">
        <v>1.1399999999999999</v>
      </c>
      <c r="N30">
        <v>647.29</v>
      </c>
      <c r="O30">
        <v>179485</v>
      </c>
      <c r="P30" t="s">
        <v>33</v>
      </c>
      <c r="Q30" t="s">
        <v>88</v>
      </c>
    </row>
    <row r="31" spans="1:17" x14ac:dyDescent="0.35">
      <c r="A31" t="s">
        <v>102</v>
      </c>
      <c r="B31" t="s">
        <v>103</v>
      </c>
      <c r="C31" t="s">
        <v>67</v>
      </c>
      <c r="D31" t="s">
        <v>32</v>
      </c>
      <c r="E31" s="2">
        <v>44981</v>
      </c>
      <c r="F31" s="2">
        <v>45056</v>
      </c>
      <c r="G31">
        <v>1454862</v>
      </c>
      <c r="H31">
        <v>34159</v>
      </c>
      <c r="I31">
        <v>392</v>
      </c>
      <c r="J31">
        <v>24</v>
      </c>
      <c r="K31">
        <v>5</v>
      </c>
      <c r="L31">
        <v>1</v>
      </c>
      <c r="M31" s="1">
        <v>1.1499999999999999</v>
      </c>
      <c r="N31">
        <v>3711.38</v>
      </c>
      <c r="O31">
        <v>1454862</v>
      </c>
      <c r="P31" t="s">
        <v>44</v>
      </c>
      <c r="Q31" t="s">
        <v>315</v>
      </c>
    </row>
    <row r="32" spans="1:17" x14ac:dyDescent="0.35">
      <c r="A32" t="s">
        <v>104</v>
      </c>
      <c r="B32" t="s">
        <v>105</v>
      </c>
      <c r="C32" t="s">
        <v>25</v>
      </c>
      <c r="D32" t="s">
        <v>73</v>
      </c>
      <c r="E32" s="2">
        <v>45028</v>
      </c>
      <c r="F32" s="2">
        <v>45109</v>
      </c>
      <c r="G32">
        <v>880836</v>
      </c>
      <c r="H32">
        <v>82670</v>
      </c>
      <c r="I32">
        <v>1430</v>
      </c>
      <c r="J32">
        <v>232</v>
      </c>
      <c r="K32">
        <v>88</v>
      </c>
      <c r="L32">
        <v>31</v>
      </c>
      <c r="M32" s="1">
        <v>1.73</v>
      </c>
      <c r="N32">
        <v>615.97</v>
      </c>
      <c r="O32">
        <v>28414.06</v>
      </c>
      <c r="P32" t="s">
        <v>27</v>
      </c>
      <c r="Q32" t="s">
        <v>88</v>
      </c>
    </row>
    <row r="33" spans="1:17" x14ac:dyDescent="0.35">
      <c r="A33" t="s">
        <v>106</v>
      </c>
      <c r="B33" t="s">
        <v>107</v>
      </c>
      <c r="C33" t="s">
        <v>31</v>
      </c>
      <c r="D33" t="s">
        <v>73</v>
      </c>
      <c r="E33" s="2">
        <v>44984</v>
      </c>
      <c r="F33" s="2">
        <v>45038</v>
      </c>
      <c r="G33">
        <v>1392111</v>
      </c>
      <c r="H33">
        <v>327634</v>
      </c>
      <c r="I33">
        <v>23553</v>
      </c>
      <c r="J33">
        <v>3422</v>
      </c>
      <c r="K33">
        <v>1332</v>
      </c>
      <c r="L33">
        <v>222</v>
      </c>
      <c r="M33" s="1">
        <v>7.19</v>
      </c>
      <c r="N33">
        <v>59.11</v>
      </c>
      <c r="O33">
        <v>6270.77</v>
      </c>
      <c r="P33" t="s">
        <v>21</v>
      </c>
      <c r="Q33" t="s">
        <v>315</v>
      </c>
    </row>
    <row r="34" spans="1:17" x14ac:dyDescent="0.35">
      <c r="A34" t="s">
        <v>108</v>
      </c>
      <c r="B34" t="s">
        <v>109</v>
      </c>
      <c r="C34" t="s">
        <v>43</v>
      </c>
      <c r="D34" t="s">
        <v>73</v>
      </c>
      <c r="E34" s="2">
        <v>45193</v>
      </c>
      <c r="F34" s="2">
        <v>45220</v>
      </c>
      <c r="G34">
        <v>527447</v>
      </c>
      <c r="H34">
        <v>280933</v>
      </c>
      <c r="I34">
        <v>6027</v>
      </c>
      <c r="J34">
        <v>1165</v>
      </c>
      <c r="K34">
        <v>553</v>
      </c>
      <c r="L34">
        <v>147</v>
      </c>
      <c r="M34" s="1">
        <v>2.15</v>
      </c>
      <c r="N34">
        <v>87.51</v>
      </c>
      <c r="O34">
        <v>3588.07</v>
      </c>
      <c r="P34" t="s">
        <v>33</v>
      </c>
      <c r="Q34" t="s">
        <v>28</v>
      </c>
    </row>
    <row r="35" spans="1:17" x14ac:dyDescent="0.35">
      <c r="A35" t="s">
        <v>110</v>
      </c>
      <c r="B35" t="s">
        <v>111</v>
      </c>
      <c r="C35" t="s">
        <v>43</v>
      </c>
      <c r="D35" t="s">
        <v>73</v>
      </c>
      <c r="E35" s="2">
        <v>45324</v>
      </c>
      <c r="F35" s="2">
        <v>45387</v>
      </c>
      <c r="G35">
        <v>222732</v>
      </c>
      <c r="H35">
        <v>463669</v>
      </c>
      <c r="I35">
        <v>27503</v>
      </c>
      <c r="J35">
        <v>5863</v>
      </c>
      <c r="K35">
        <v>953</v>
      </c>
      <c r="L35">
        <v>228</v>
      </c>
      <c r="M35" s="1">
        <v>5.93</v>
      </c>
      <c r="N35">
        <v>8.1</v>
      </c>
      <c r="O35">
        <v>976.89</v>
      </c>
      <c r="P35" t="s">
        <v>68</v>
      </c>
      <c r="Q35" t="s">
        <v>315</v>
      </c>
    </row>
    <row r="36" spans="1:17" x14ac:dyDescent="0.35">
      <c r="A36" t="s">
        <v>112</v>
      </c>
      <c r="B36" t="s">
        <v>113</v>
      </c>
      <c r="C36" t="s">
        <v>43</v>
      </c>
      <c r="D36" t="s">
        <v>26</v>
      </c>
      <c r="E36" s="2">
        <v>44975</v>
      </c>
      <c r="F36" s="2">
        <v>45065</v>
      </c>
      <c r="G36">
        <v>273094</v>
      </c>
      <c r="H36">
        <v>235281</v>
      </c>
      <c r="I36">
        <v>8812</v>
      </c>
      <c r="J36">
        <v>1911</v>
      </c>
      <c r="K36">
        <v>683</v>
      </c>
      <c r="L36">
        <v>134</v>
      </c>
      <c r="M36" s="1">
        <v>3.75</v>
      </c>
      <c r="N36">
        <v>30.99</v>
      </c>
      <c r="O36">
        <v>2038.01</v>
      </c>
      <c r="P36" t="s">
        <v>44</v>
      </c>
      <c r="Q36" t="s">
        <v>315</v>
      </c>
    </row>
    <row r="37" spans="1:17" x14ac:dyDescent="0.35">
      <c r="A37" t="s">
        <v>114</v>
      </c>
      <c r="B37" t="s">
        <v>115</v>
      </c>
      <c r="C37" t="s">
        <v>25</v>
      </c>
      <c r="D37" t="s">
        <v>73</v>
      </c>
      <c r="E37" s="2">
        <v>45379</v>
      </c>
      <c r="F37" s="2">
        <v>45448</v>
      </c>
      <c r="G37">
        <v>1009931</v>
      </c>
      <c r="H37">
        <v>236770</v>
      </c>
      <c r="I37">
        <v>9413</v>
      </c>
      <c r="J37">
        <v>2259</v>
      </c>
      <c r="K37">
        <v>934</v>
      </c>
      <c r="L37">
        <v>287</v>
      </c>
      <c r="M37" s="1">
        <v>3.98</v>
      </c>
      <c r="N37">
        <v>107.29</v>
      </c>
      <c r="O37">
        <v>3518.92</v>
      </c>
      <c r="P37" t="s">
        <v>21</v>
      </c>
      <c r="Q37" t="s">
        <v>60</v>
      </c>
    </row>
    <row r="38" spans="1:17" x14ac:dyDescent="0.35">
      <c r="A38" t="s">
        <v>116</v>
      </c>
      <c r="B38" t="s">
        <v>117</v>
      </c>
      <c r="C38" t="s">
        <v>25</v>
      </c>
      <c r="D38" t="s">
        <v>26</v>
      </c>
      <c r="E38" s="2">
        <v>45227</v>
      </c>
      <c r="F38" s="2">
        <v>45259</v>
      </c>
      <c r="G38">
        <v>584326</v>
      </c>
      <c r="H38">
        <v>42908</v>
      </c>
      <c r="I38">
        <v>1663</v>
      </c>
      <c r="J38">
        <v>270</v>
      </c>
      <c r="K38">
        <v>88</v>
      </c>
      <c r="L38">
        <v>16</v>
      </c>
      <c r="M38" s="1">
        <v>3.88</v>
      </c>
      <c r="N38">
        <v>351.37</v>
      </c>
      <c r="O38">
        <v>36520.379999999997</v>
      </c>
      <c r="P38" t="s">
        <v>21</v>
      </c>
      <c r="Q38" t="s">
        <v>88</v>
      </c>
    </row>
    <row r="39" spans="1:17" x14ac:dyDescent="0.35">
      <c r="A39" t="s">
        <v>118</v>
      </c>
      <c r="B39" t="s">
        <v>119</v>
      </c>
      <c r="C39" t="s">
        <v>43</v>
      </c>
      <c r="D39" t="s">
        <v>26</v>
      </c>
      <c r="E39" s="2">
        <v>45634</v>
      </c>
      <c r="F39" s="2">
        <v>45675</v>
      </c>
      <c r="G39">
        <v>1047835</v>
      </c>
      <c r="H39">
        <v>496775</v>
      </c>
      <c r="I39">
        <v>27684</v>
      </c>
      <c r="J39">
        <v>6540</v>
      </c>
      <c r="K39">
        <v>2450</v>
      </c>
      <c r="L39">
        <v>458</v>
      </c>
      <c r="M39" s="1">
        <v>5.57</v>
      </c>
      <c r="N39">
        <v>37.85</v>
      </c>
      <c r="O39">
        <v>2287.85</v>
      </c>
      <c r="P39" t="s">
        <v>27</v>
      </c>
      <c r="Q39" t="s">
        <v>28</v>
      </c>
    </row>
    <row r="40" spans="1:17" x14ac:dyDescent="0.35">
      <c r="A40" t="s">
        <v>120</v>
      </c>
      <c r="B40" t="s">
        <v>121</v>
      </c>
      <c r="C40" t="s">
        <v>19</v>
      </c>
      <c r="D40" t="s">
        <v>20</v>
      </c>
      <c r="E40" s="2">
        <v>45572</v>
      </c>
      <c r="F40" s="2">
        <v>45647</v>
      </c>
      <c r="G40">
        <v>90065</v>
      </c>
      <c r="H40">
        <v>309321</v>
      </c>
      <c r="I40">
        <f>ROUND(Table1[[#This Row],[Impressions]]*(Table1[[#This Row],[CTR_Percent]]/100),0)</f>
        <v>4640</v>
      </c>
      <c r="J40">
        <v>470</v>
      </c>
      <c r="K40">
        <v>199</v>
      </c>
      <c r="L40">
        <v>76</v>
      </c>
      <c r="M40" s="1">
        <v>1.5</v>
      </c>
      <c r="N40">
        <v>19.350000000000001</v>
      </c>
      <c r="O40">
        <v>1185.07</v>
      </c>
      <c r="P40" t="s">
        <v>44</v>
      </c>
      <c r="Q40" t="s">
        <v>315</v>
      </c>
    </row>
    <row r="41" spans="1:17" x14ac:dyDescent="0.35">
      <c r="A41" t="s">
        <v>122</v>
      </c>
      <c r="B41" t="s">
        <v>123</v>
      </c>
      <c r="C41" t="s">
        <v>124</v>
      </c>
      <c r="D41" t="s">
        <v>32</v>
      </c>
      <c r="E41" s="2">
        <v>45173</v>
      </c>
      <c r="F41" s="2">
        <v>45213</v>
      </c>
      <c r="G41">
        <v>810049</v>
      </c>
      <c r="H41">
        <v>24326</v>
      </c>
      <c r="I41">
        <v>433</v>
      </c>
      <c r="J41">
        <v>56</v>
      </c>
      <c r="K41">
        <v>12</v>
      </c>
      <c r="L41">
        <v>1</v>
      </c>
      <c r="M41" s="1">
        <v>1.78</v>
      </c>
      <c r="N41">
        <v>1870.78</v>
      </c>
      <c r="O41">
        <v>810049</v>
      </c>
      <c r="P41" t="s">
        <v>315</v>
      </c>
      <c r="Q41" t="s">
        <v>60</v>
      </c>
    </row>
    <row r="42" spans="1:17" x14ac:dyDescent="0.35">
      <c r="A42" t="s">
        <v>125</v>
      </c>
      <c r="B42" t="s">
        <v>126</v>
      </c>
      <c r="C42" t="s">
        <v>67</v>
      </c>
      <c r="D42" t="s">
        <v>32</v>
      </c>
      <c r="E42" s="2">
        <v>45160</v>
      </c>
      <c r="F42" s="2">
        <v>45195</v>
      </c>
      <c r="G42">
        <v>120003</v>
      </c>
      <c r="H42">
        <v>302403</v>
      </c>
      <c r="I42">
        <f>ROUND(Table1[[#This Row],[Impressions]]*(Table1[[#This Row],[CTR_Percent]]/100),0)</f>
        <v>13275</v>
      </c>
      <c r="J42">
        <v>1325</v>
      </c>
      <c r="K42">
        <v>547</v>
      </c>
      <c r="L42">
        <v>200</v>
      </c>
      <c r="M42" s="1">
        <v>4.3899999999999997</v>
      </c>
      <c r="N42">
        <v>9.0399999999999991</v>
      </c>
      <c r="O42">
        <v>600.01</v>
      </c>
      <c r="P42" t="s">
        <v>27</v>
      </c>
      <c r="Q42" t="s">
        <v>60</v>
      </c>
    </row>
    <row r="43" spans="1:17" x14ac:dyDescent="0.35">
      <c r="A43" t="s">
        <v>127</v>
      </c>
      <c r="B43" t="s">
        <v>128</v>
      </c>
      <c r="C43" t="s">
        <v>25</v>
      </c>
      <c r="D43" t="s">
        <v>32</v>
      </c>
      <c r="E43" s="2">
        <v>45592</v>
      </c>
      <c r="F43" s="2">
        <v>45677</v>
      </c>
      <c r="G43">
        <v>1094418</v>
      </c>
      <c r="H43">
        <v>487816</v>
      </c>
      <c r="I43">
        <v>8187</v>
      </c>
      <c r="J43">
        <v>1785</v>
      </c>
      <c r="K43">
        <v>839</v>
      </c>
      <c r="L43">
        <v>243</v>
      </c>
      <c r="M43" s="1">
        <v>1.68</v>
      </c>
      <c r="N43">
        <v>133.68</v>
      </c>
      <c r="O43">
        <v>4503.78</v>
      </c>
      <c r="P43" t="s">
        <v>44</v>
      </c>
      <c r="Q43" t="s">
        <v>49</v>
      </c>
    </row>
    <row r="44" spans="1:17" x14ac:dyDescent="0.35">
      <c r="A44" t="s">
        <v>129</v>
      </c>
      <c r="B44" t="s">
        <v>130</v>
      </c>
      <c r="C44" t="s">
        <v>43</v>
      </c>
      <c r="D44" t="s">
        <v>73</v>
      </c>
      <c r="E44" s="2">
        <v>45585</v>
      </c>
      <c r="F44" s="2">
        <v>45641</v>
      </c>
      <c r="G44">
        <v>519512</v>
      </c>
      <c r="H44">
        <v>111222</v>
      </c>
      <c r="I44">
        <v>8595</v>
      </c>
      <c r="J44">
        <v>551</v>
      </c>
      <c r="K44">
        <v>207</v>
      </c>
      <c r="L44">
        <v>56</v>
      </c>
      <c r="M44" s="1">
        <v>7.73</v>
      </c>
      <c r="N44">
        <v>60.44</v>
      </c>
      <c r="O44">
        <v>9277</v>
      </c>
      <c r="P44" t="s">
        <v>68</v>
      </c>
      <c r="Q44" t="s">
        <v>52</v>
      </c>
    </row>
    <row r="45" spans="1:17" x14ac:dyDescent="0.35">
      <c r="A45" t="s">
        <v>131</v>
      </c>
      <c r="B45" t="s">
        <v>132</v>
      </c>
      <c r="C45" t="s">
        <v>43</v>
      </c>
      <c r="D45" t="s">
        <v>32</v>
      </c>
      <c r="E45" s="2">
        <v>45260</v>
      </c>
      <c r="F45" s="2">
        <v>45303</v>
      </c>
      <c r="G45">
        <v>1125285</v>
      </c>
      <c r="H45">
        <v>480535</v>
      </c>
      <c r="I45">
        <v>26731</v>
      </c>
      <c r="J45">
        <v>6012</v>
      </c>
      <c r="K45">
        <v>2554</v>
      </c>
      <c r="L45">
        <v>403</v>
      </c>
      <c r="M45" s="1">
        <v>5.56</v>
      </c>
      <c r="N45">
        <v>42.1</v>
      </c>
      <c r="O45">
        <v>2792.27</v>
      </c>
      <c r="P45" t="s">
        <v>33</v>
      </c>
      <c r="Q45" t="s">
        <v>34</v>
      </c>
    </row>
    <row r="46" spans="1:17" x14ac:dyDescent="0.35">
      <c r="A46" t="s">
        <v>133</v>
      </c>
      <c r="B46" t="s">
        <v>103</v>
      </c>
      <c r="C46" t="s">
        <v>31</v>
      </c>
      <c r="D46" t="s">
        <v>73</v>
      </c>
      <c r="E46" s="2">
        <v>45572</v>
      </c>
      <c r="F46" s="2">
        <v>45592</v>
      </c>
      <c r="G46">
        <v>348839</v>
      </c>
      <c r="H46">
        <v>69013</v>
      </c>
      <c r="I46">
        <v>4567</v>
      </c>
      <c r="J46">
        <v>960</v>
      </c>
      <c r="K46">
        <v>408</v>
      </c>
      <c r="L46">
        <v>61</v>
      </c>
      <c r="M46" s="1">
        <v>6.62</v>
      </c>
      <c r="N46">
        <v>76.38</v>
      </c>
      <c r="O46">
        <v>5718.67</v>
      </c>
      <c r="P46" t="s">
        <v>33</v>
      </c>
      <c r="Q46" t="s">
        <v>52</v>
      </c>
    </row>
    <row r="47" spans="1:17" x14ac:dyDescent="0.35">
      <c r="A47" t="s">
        <v>134</v>
      </c>
      <c r="B47" t="s">
        <v>135</v>
      </c>
      <c r="C47" t="s">
        <v>19</v>
      </c>
      <c r="D47" t="s">
        <v>26</v>
      </c>
      <c r="E47" s="2">
        <v>45397</v>
      </c>
      <c r="F47" s="2">
        <v>45434</v>
      </c>
      <c r="G47">
        <v>729171</v>
      </c>
      <c r="H47">
        <v>43782</v>
      </c>
      <c r="I47">
        <v>1128</v>
      </c>
      <c r="J47">
        <v>252</v>
      </c>
      <c r="K47">
        <v>52</v>
      </c>
      <c r="L47">
        <v>8</v>
      </c>
      <c r="M47" s="1">
        <v>2.58</v>
      </c>
      <c r="N47">
        <v>646.42999999999995</v>
      </c>
      <c r="O47">
        <v>91146.38</v>
      </c>
      <c r="P47" t="s">
        <v>21</v>
      </c>
      <c r="Q47" t="s">
        <v>52</v>
      </c>
    </row>
    <row r="48" spans="1:17" x14ac:dyDescent="0.35">
      <c r="A48" t="s">
        <v>136</v>
      </c>
      <c r="B48" t="s">
        <v>137</v>
      </c>
      <c r="C48" t="s">
        <v>19</v>
      </c>
      <c r="D48" t="s">
        <v>26</v>
      </c>
      <c r="E48" s="2">
        <v>45255</v>
      </c>
      <c r="F48" s="2">
        <v>45275</v>
      </c>
      <c r="G48">
        <v>298026</v>
      </c>
      <c r="H48">
        <v>479249</v>
      </c>
      <c r="I48">
        <f>ROUND(Table1[[#This Row],[Impressions]]*(Table1[[#This Row],[CTR_Percent]]/100),0)</f>
        <v>25688</v>
      </c>
      <c r="J48">
        <v>6052</v>
      </c>
      <c r="K48">
        <v>1602</v>
      </c>
      <c r="L48">
        <v>396</v>
      </c>
      <c r="M48" s="1">
        <v>5.36</v>
      </c>
      <c r="N48">
        <v>11.6</v>
      </c>
      <c r="O48">
        <v>752.59</v>
      </c>
      <c r="P48" t="s">
        <v>44</v>
      </c>
      <c r="Q48" t="s">
        <v>85</v>
      </c>
    </row>
    <row r="49" spans="1:17" x14ac:dyDescent="0.35">
      <c r="A49" t="s">
        <v>138</v>
      </c>
      <c r="B49" t="s">
        <v>139</v>
      </c>
      <c r="C49" t="s">
        <v>19</v>
      </c>
      <c r="D49" t="s">
        <v>73</v>
      </c>
      <c r="E49" s="2">
        <v>45515</v>
      </c>
      <c r="F49" s="2">
        <v>45563</v>
      </c>
      <c r="G49">
        <v>879818</v>
      </c>
      <c r="H49">
        <v>98631</v>
      </c>
      <c r="I49">
        <v>3100</v>
      </c>
      <c r="J49">
        <v>382</v>
      </c>
      <c r="K49">
        <v>98</v>
      </c>
      <c r="L49">
        <v>22</v>
      </c>
      <c r="M49" s="1">
        <v>3.14</v>
      </c>
      <c r="N49">
        <v>283.81</v>
      </c>
      <c r="O49">
        <v>39991.730000000003</v>
      </c>
      <c r="P49" t="s">
        <v>27</v>
      </c>
      <c r="Q49" t="s">
        <v>315</v>
      </c>
    </row>
    <row r="50" spans="1:17" x14ac:dyDescent="0.35">
      <c r="A50" t="s">
        <v>140</v>
      </c>
      <c r="B50" t="s">
        <v>141</v>
      </c>
      <c r="C50" t="s">
        <v>37</v>
      </c>
      <c r="D50" t="s">
        <v>26</v>
      </c>
      <c r="E50" s="2">
        <v>45507</v>
      </c>
      <c r="F50" s="2">
        <v>45540</v>
      </c>
      <c r="G50">
        <v>1464288</v>
      </c>
      <c r="H50">
        <v>203793</v>
      </c>
      <c r="I50">
        <v>4579</v>
      </c>
      <c r="J50">
        <v>415</v>
      </c>
      <c r="K50">
        <v>69</v>
      </c>
      <c r="L50">
        <v>27</v>
      </c>
      <c r="M50" s="1">
        <v>2.25</v>
      </c>
      <c r="N50">
        <v>319.77999999999997</v>
      </c>
      <c r="O50">
        <v>54232.89</v>
      </c>
      <c r="P50" t="s">
        <v>44</v>
      </c>
      <c r="Q50" t="s">
        <v>88</v>
      </c>
    </row>
    <row r="51" spans="1:17" x14ac:dyDescent="0.35">
      <c r="A51" t="s">
        <v>142</v>
      </c>
      <c r="B51" t="s">
        <v>143</v>
      </c>
      <c r="C51" t="s">
        <v>124</v>
      </c>
      <c r="D51" t="s">
        <v>20</v>
      </c>
      <c r="E51" s="2">
        <v>45516</v>
      </c>
      <c r="F51" s="2">
        <v>45585</v>
      </c>
      <c r="G51">
        <v>733453</v>
      </c>
      <c r="H51">
        <v>239205</v>
      </c>
      <c r="I51">
        <v>5167</v>
      </c>
      <c r="J51">
        <v>265</v>
      </c>
      <c r="K51">
        <v>58</v>
      </c>
      <c r="L51">
        <v>9</v>
      </c>
      <c r="M51" s="1">
        <v>2.16</v>
      </c>
      <c r="N51">
        <v>141.94999999999999</v>
      </c>
      <c r="O51">
        <v>81494.78</v>
      </c>
      <c r="P51" t="s">
        <v>315</v>
      </c>
      <c r="Q51" t="s">
        <v>22</v>
      </c>
    </row>
    <row r="52" spans="1:17" x14ac:dyDescent="0.35">
      <c r="A52" t="s">
        <v>144</v>
      </c>
      <c r="B52" t="s">
        <v>145</v>
      </c>
      <c r="C52" t="s">
        <v>19</v>
      </c>
      <c r="D52" t="s">
        <v>73</v>
      </c>
      <c r="E52" s="2">
        <v>45565</v>
      </c>
      <c r="F52" s="2">
        <v>45640</v>
      </c>
      <c r="G52">
        <v>1066127</v>
      </c>
      <c r="H52">
        <v>383129</v>
      </c>
      <c r="I52">
        <v>22179</v>
      </c>
      <c r="J52">
        <v>5433</v>
      </c>
      <c r="K52">
        <v>1427</v>
      </c>
      <c r="L52">
        <v>349</v>
      </c>
      <c r="M52" s="1">
        <v>5.79</v>
      </c>
      <c r="N52">
        <v>48.07</v>
      </c>
      <c r="O52">
        <v>3054.81</v>
      </c>
      <c r="P52" t="s">
        <v>44</v>
      </c>
      <c r="Q52" t="s">
        <v>49</v>
      </c>
    </row>
    <row r="53" spans="1:17" x14ac:dyDescent="0.35">
      <c r="A53" t="s">
        <v>146</v>
      </c>
      <c r="B53" t="s">
        <v>147</v>
      </c>
      <c r="C53" t="s">
        <v>67</v>
      </c>
      <c r="D53" t="s">
        <v>56</v>
      </c>
      <c r="E53" s="2">
        <v>45524</v>
      </c>
      <c r="F53" s="2">
        <v>45608</v>
      </c>
      <c r="G53">
        <v>207823</v>
      </c>
      <c r="H53">
        <v>428431</v>
      </c>
      <c r="I53">
        <v>9557</v>
      </c>
      <c r="J53">
        <v>764</v>
      </c>
      <c r="K53">
        <v>323</v>
      </c>
      <c r="L53">
        <v>53</v>
      </c>
      <c r="M53" s="1">
        <v>2.23</v>
      </c>
      <c r="N53">
        <v>21.75</v>
      </c>
      <c r="O53">
        <v>3921.19</v>
      </c>
      <c r="P53" t="s">
        <v>33</v>
      </c>
      <c r="Q53" t="s">
        <v>34</v>
      </c>
    </row>
    <row r="54" spans="1:17" x14ac:dyDescent="0.35">
      <c r="A54" t="s">
        <v>148</v>
      </c>
      <c r="B54" t="s">
        <v>149</v>
      </c>
      <c r="C54" t="s">
        <v>43</v>
      </c>
      <c r="D54" t="s">
        <v>56</v>
      </c>
      <c r="E54" s="2">
        <v>44997</v>
      </c>
      <c r="F54" s="2">
        <v>45066</v>
      </c>
      <c r="G54">
        <v>245661</v>
      </c>
      <c r="H54">
        <v>64710</v>
      </c>
      <c r="I54">
        <v>5127</v>
      </c>
      <c r="J54">
        <v>861</v>
      </c>
      <c r="K54">
        <v>230</v>
      </c>
      <c r="L54">
        <v>38</v>
      </c>
      <c r="M54" s="1">
        <v>7.92</v>
      </c>
      <c r="N54">
        <v>47.92</v>
      </c>
      <c r="O54">
        <v>6464.76</v>
      </c>
      <c r="P54" t="s">
        <v>33</v>
      </c>
      <c r="Q54" t="s">
        <v>28</v>
      </c>
    </row>
    <row r="55" spans="1:17" x14ac:dyDescent="0.35">
      <c r="A55" t="s">
        <v>150</v>
      </c>
      <c r="B55" t="s">
        <v>151</v>
      </c>
      <c r="C55" t="s">
        <v>67</v>
      </c>
      <c r="D55" t="s">
        <v>26</v>
      </c>
      <c r="E55" s="2">
        <v>45388</v>
      </c>
      <c r="F55" s="2">
        <v>45422</v>
      </c>
      <c r="G55">
        <v>121735</v>
      </c>
      <c r="H55">
        <v>335791</v>
      </c>
      <c r="I55">
        <v>11480</v>
      </c>
      <c r="J55">
        <v>1833</v>
      </c>
      <c r="K55">
        <v>699</v>
      </c>
      <c r="L55">
        <v>196</v>
      </c>
      <c r="M55" s="1">
        <v>3.42</v>
      </c>
      <c r="N55">
        <v>10.6</v>
      </c>
      <c r="O55">
        <v>621.1</v>
      </c>
      <c r="P55" t="s">
        <v>68</v>
      </c>
      <c r="Q55" t="s">
        <v>315</v>
      </c>
    </row>
    <row r="56" spans="1:17" x14ac:dyDescent="0.35">
      <c r="A56" t="s">
        <v>152</v>
      </c>
      <c r="B56" t="s">
        <v>153</v>
      </c>
      <c r="C56" t="s">
        <v>37</v>
      </c>
      <c r="D56" t="s">
        <v>56</v>
      </c>
      <c r="E56" s="2">
        <v>45298</v>
      </c>
      <c r="F56" s="2">
        <v>45369</v>
      </c>
      <c r="G56">
        <v>1242650</v>
      </c>
      <c r="H56">
        <v>90536</v>
      </c>
      <c r="I56">
        <v>4247</v>
      </c>
      <c r="J56">
        <v>551</v>
      </c>
      <c r="K56">
        <v>110</v>
      </c>
      <c r="L56">
        <v>30</v>
      </c>
      <c r="M56" s="1">
        <v>4.6900000000000004</v>
      </c>
      <c r="N56">
        <v>292.58999999999997</v>
      </c>
      <c r="O56">
        <v>41421.67</v>
      </c>
      <c r="P56" t="s">
        <v>21</v>
      </c>
      <c r="Q56" t="s">
        <v>34</v>
      </c>
    </row>
    <row r="57" spans="1:17" x14ac:dyDescent="0.35">
      <c r="A57" t="s">
        <v>154</v>
      </c>
      <c r="B57" t="s">
        <v>155</v>
      </c>
      <c r="C57" t="s">
        <v>37</v>
      </c>
      <c r="D57" t="s">
        <v>26</v>
      </c>
      <c r="E57" s="2">
        <v>45701</v>
      </c>
      <c r="F57" s="2">
        <v>45715</v>
      </c>
      <c r="G57">
        <v>630183</v>
      </c>
      <c r="H57">
        <v>235755</v>
      </c>
      <c r="I57">
        <v>3380</v>
      </c>
      <c r="J57">
        <v>643</v>
      </c>
      <c r="K57">
        <v>166</v>
      </c>
      <c r="L57">
        <v>48</v>
      </c>
      <c r="M57" s="1">
        <v>1.43</v>
      </c>
      <c r="N57">
        <v>186.44</v>
      </c>
      <c r="O57">
        <v>13128.81</v>
      </c>
      <c r="P57" t="s">
        <v>315</v>
      </c>
      <c r="Q57" t="s">
        <v>85</v>
      </c>
    </row>
    <row r="58" spans="1:17" x14ac:dyDescent="0.35">
      <c r="A58" t="s">
        <v>156</v>
      </c>
      <c r="B58" t="s">
        <v>157</v>
      </c>
      <c r="C58" t="s">
        <v>124</v>
      </c>
      <c r="D58" t="s">
        <v>26</v>
      </c>
      <c r="E58" s="2">
        <v>45382</v>
      </c>
      <c r="F58" s="2">
        <v>45416</v>
      </c>
      <c r="G58">
        <v>772415</v>
      </c>
      <c r="H58">
        <v>175011</v>
      </c>
      <c r="I58">
        <v>4490</v>
      </c>
      <c r="J58">
        <v>236</v>
      </c>
      <c r="K58">
        <v>92</v>
      </c>
      <c r="L58">
        <v>35</v>
      </c>
      <c r="M58" s="1">
        <v>2.57</v>
      </c>
      <c r="N58">
        <v>172.03</v>
      </c>
      <c r="O58">
        <v>22069</v>
      </c>
      <c r="P58" t="s">
        <v>44</v>
      </c>
      <c r="Q58" t="s">
        <v>34</v>
      </c>
    </row>
    <row r="59" spans="1:17" x14ac:dyDescent="0.35">
      <c r="A59" t="s">
        <v>158</v>
      </c>
      <c r="B59" t="s">
        <v>81</v>
      </c>
      <c r="C59" t="s">
        <v>19</v>
      </c>
      <c r="D59" t="s">
        <v>32</v>
      </c>
      <c r="E59" s="2">
        <v>45307</v>
      </c>
      <c r="F59" s="2">
        <v>45364</v>
      </c>
      <c r="G59">
        <v>1348252</v>
      </c>
      <c r="H59">
        <v>194414</v>
      </c>
      <c r="I59">
        <v>13988</v>
      </c>
      <c r="J59">
        <v>2441</v>
      </c>
      <c r="K59">
        <v>637</v>
      </c>
      <c r="L59">
        <v>138</v>
      </c>
      <c r="M59" s="1">
        <v>7.19</v>
      </c>
      <c r="N59">
        <v>96.39</v>
      </c>
      <c r="O59">
        <v>9769.94</v>
      </c>
      <c r="P59" t="s">
        <v>27</v>
      </c>
      <c r="Q59" t="s">
        <v>88</v>
      </c>
    </row>
    <row r="60" spans="1:17" x14ac:dyDescent="0.35">
      <c r="A60" t="s">
        <v>159</v>
      </c>
      <c r="B60" t="s">
        <v>160</v>
      </c>
      <c r="C60" t="s">
        <v>55</v>
      </c>
      <c r="D60" t="s">
        <v>32</v>
      </c>
      <c r="E60" s="2">
        <v>45693</v>
      </c>
      <c r="F60" s="2">
        <v>45758</v>
      </c>
      <c r="G60">
        <v>1085332</v>
      </c>
      <c r="H60">
        <v>424698</v>
      </c>
      <c r="I60">
        <v>22951</v>
      </c>
      <c r="J60">
        <v>3580</v>
      </c>
      <c r="K60">
        <v>612</v>
      </c>
      <c r="L60">
        <v>124</v>
      </c>
      <c r="M60" s="1">
        <v>5.4</v>
      </c>
      <c r="N60">
        <v>47.29</v>
      </c>
      <c r="O60">
        <v>8752.68</v>
      </c>
      <c r="P60" t="s">
        <v>21</v>
      </c>
      <c r="Q60" t="s">
        <v>57</v>
      </c>
    </row>
    <row r="61" spans="1:17" x14ac:dyDescent="0.35">
      <c r="A61" t="s">
        <v>161</v>
      </c>
      <c r="B61" t="s">
        <v>162</v>
      </c>
      <c r="C61" t="s">
        <v>55</v>
      </c>
      <c r="D61" t="s">
        <v>56</v>
      </c>
      <c r="E61" s="2">
        <v>45103</v>
      </c>
      <c r="F61" s="2">
        <v>45193</v>
      </c>
      <c r="G61">
        <v>648675</v>
      </c>
      <c r="H61">
        <v>113046</v>
      </c>
      <c r="I61">
        <v>6606</v>
      </c>
      <c r="J61">
        <v>391</v>
      </c>
      <c r="K61">
        <v>190</v>
      </c>
      <c r="L61">
        <v>53</v>
      </c>
      <c r="M61" s="1">
        <v>5.84</v>
      </c>
      <c r="N61">
        <v>98.19</v>
      </c>
      <c r="O61">
        <v>12239.15</v>
      </c>
      <c r="P61" t="s">
        <v>27</v>
      </c>
      <c r="Q61" t="s">
        <v>88</v>
      </c>
    </row>
    <row r="62" spans="1:17" x14ac:dyDescent="0.35">
      <c r="A62" t="s">
        <v>163</v>
      </c>
      <c r="B62" t="s">
        <v>164</v>
      </c>
      <c r="C62" t="s">
        <v>31</v>
      </c>
      <c r="D62" t="s">
        <v>73</v>
      </c>
      <c r="E62" s="2">
        <v>45504</v>
      </c>
      <c r="F62" s="2">
        <v>45526</v>
      </c>
      <c r="G62">
        <v>1279809</v>
      </c>
      <c r="H62">
        <v>68561</v>
      </c>
      <c r="I62">
        <v>2555</v>
      </c>
      <c r="J62">
        <v>610</v>
      </c>
      <c r="K62">
        <v>182</v>
      </c>
      <c r="L62">
        <v>36</v>
      </c>
      <c r="M62" s="1">
        <v>3.73</v>
      </c>
      <c r="N62">
        <v>500.9</v>
      </c>
      <c r="O62">
        <v>35550.25</v>
      </c>
      <c r="P62" t="s">
        <v>27</v>
      </c>
      <c r="Q62" t="s">
        <v>34</v>
      </c>
    </row>
    <row r="63" spans="1:17" x14ac:dyDescent="0.35">
      <c r="A63" t="s">
        <v>165</v>
      </c>
      <c r="B63" t="s">
        <v>166</v>
      </c>
      <c r="C63" t="s">
        <v>55</v>
      </c>
      <c r="D63" t="s">
        <v>32</v>
      </c>
      <c r="E63" s="2">
        <v>45435</v>
      </c>
      <c r="F63" s="2">
        <v>45512</v>
      </c>
      <c r="G63">
        <v>445583</v>
      </c>
      <c r="H63">
        <v>85483</v>
      </c>
      <c r="I63">
        <v>2060</v>
      </c>
      <c r="J63">
        <v>371</v>
      </c>
      <c r="K63">
        <v>85</v>
      </c>
      <c r="L63">
        <v>20</v>
      </c>
      <c r="M63" s="1">
        <v>2.41</v>
      </c>
      <c r="N63">
        <v>216.3</v>
      </c>
      <c r="O63">
        <v>22279.15</v>
      </c>
      <c r="P63" t="s">
        <v>44</v>
      </c>
      <c r="Q63" t="s">
        <v>57</v>
      </c>
    </row>
    <row r="64" spans="1:17" x14ac:dyDescent="0.35">
      <c r="A64" t="s">
        <v>167</v>
      </c>
      <c r="B64" t="s">
        <v>168</v>
      </c>
      <c r="C64" t="s">
        <v>37</v>
      </c>
      <c r="D64" t="s">
        <v>20</v>
      </c>
      <c r="E64" s="2">
        <v>45297</v>
      </c>
      <c r="F64" s="2">
        <v>45312</v>
      </c>
      <c r="G64">
        <v>1107468</v>
      </c>
      <c r="H64">
        <v>407459</v>
      </c>
      <c r="I64">
        <v>10227</v>
      </c>
      <c r="J64">
        <v>1523</v>
      </c>
      <c r="K64">
        <v>291</v>
      </c>
      <c r="L64">
        <v>57</v>
      </c>
      <c r="M64" s="1">
        <v>2.5099999999999998</v>
      </c>
      <c r="N64">
        <v>108.29</v>
      </c>
      <c r="O64">
        <v>19429.259999999998</v>
      </c>
      <c r="P64" t="s">
        <v>68</v>
      </c>
      <c r="Q64" t="s">
        <v>38</v>
      </c>
    </row>
    <row r="65" spans="1:17" x14ac:dyDescent="0.35">
      <c r="A65" t="s">
        <v>169</v>
      </c>
      <c r="B65" t="s">
        <v>170</v>
      </c>
      <c r="C65" t="s">
        <v>43</v>
      </c>
      <c r="D65" t="s">
        <v>56</v>
      </c>
      <c r="E65" s="2">
        <v>45200</v>
      </c>
      <c r="F65" s="2">
        <v>45271</v>
      </c>
      <c r="G65">
        <v>371533</v>
      </c>
      <c r="H65">
        <v>214771</v>
      </c>
      <c r="I65">
        <v>8134</v>
      </c>
      <c r="J65">
        <v>487</v>
      </c>
      <c r="K65">
        <v>234</v>
      </c>
      <c r="L65">
        <v>75</v>
      </c>
      <c r="M65" s="1">
        <v>3.79</v>
      </c>
      <c r="N65">
        <v>45.68</v>
      </c>
      <c r="O65">
        <v>4953.7700000000004</v>
      </c>
      <c r="P65" t="s">
        <v>33</v>
      </c>
      <c r="Q65" t="s">
        <v>38</v>
      </c>
    </row>
    <row r="66" spans="1:17" x14ac:dyDescent="0.35">
      <c r="A66" t="s">
        <v>171</v>
      </c>
      <c r="B66" t="s">
        <v>172</v>
      </c>
      <c r="C66" t="s">
        <v>124</v>
      </c>
      <c r="D66" t="s">
        <v>56</v>
      </c>
      <c r="E66" s="2">
        <v>45591</v>
      </c>
      <c r="F66" s="2">
        <v>45642</v>
      </c>
      <c r="G66">
        <v>550485</v>
      </c>
      <c r="H66">
        <v>179176</v>
      </c>
      <c r="I66">
        <v>13493</v>
      </c>
      <c r="J66">
        <v>2131</v>
      </c>
      <c r="K66">
        <v>903</v>
      </c>
      <c r="L66">
        <v>338</v>
      </c>
      <c r="M66" s="1">
        <v>7.53</v>
      </c>
      <c r="N66">
        <v>40.799999999999997</v>
      </c>
      <c r="O66">
        <v>1628.65</v>
      </c>
      <c r="P66" t="s">
        <v>44</v>
      </c>
      <c r="Q66" t="s">
        <v>82</v>
      </c>
    </row>
    <row r="67" spans="1:17" x14ac:dyDescent="0.35">
      <c r="A67" t="s">
        <v>173</v>
      </c>
      <c r="B67" t="s">
        <v>174</v>
      </c>
      <c r="C67" t="s">
        <v>19</v>
      </c>
      <c r="D67" t="s">
        <v>32</v>
      </c>
      <c r="E67" s="2">
        <v>45386</v>
      </c>
      <c r="F67" s="2">
        <v>45460</v>
      </c>
      <c r="G67">
        <v>336558</v>
      </c>
      <c r="H67">
        <v>368499</v>
      </c>
      <c r="I67">
        <v>24137</v>
      </c>
      <c r="J67">
        <v>6012</v>
      </c>
      <c r="K67">
        <v>2112</v>
      </c>
      <c r="L67">
        <v>726</v>
      </c>
      <c r="M67" s="1">
        <v>6.55</v>
      </c>
      <c r="N67">
        <v>13.94</v>
      </c>
      <c r="O67">
        <v>463.58</v>
      </c>
      <c r="P67" t="s">
        <v>27</v>
      </c>
      <c r="Q67" t="s">
        <v>49</v>
      </c>
    </row>
    <row r="68" spans="1:17" x14ac:dyDescent="0.35">
      <c r="A68" t="s">
        <v>175</v>
      </c>
      <c r="B68" t="s">
        <v>176</v>
      </c>
      <c r="C68" t="s">
        <v>25</v>
      </c>
      <c r="D68" t="s">
        <v>20</v>
      </c>
      <c r="E68" s="2">
        <v>45190</v>
      </c>
      <c r="F68" s="2">
        <v>45267</v>
      </c>
      <c r="G68">
        <v>1179052</v>
      </c>
      <c r="H68">
        <v>211090</v>
      </c>
      <c r="I68">
        <v>15695</v>
      </c>
      <c r="J68">
        <v>1046</v>
      </c>
      <c r="K68">
        <v>264</v>
      </c>
      <c r="L68">
        <v>61</v>
      </c>
      <c r="M68" s="1">
        <v>7.44</v>
      </c>
      <c r="N68">
        <v>75.12</v>
      </c>
      <c r="O68">
        <v>19328.72</v>
      </c>
      <c r="P68" t="s">
        <v>68</v>
      </c>
      <c r="Q68" t="s">
        <v>60</v>
      </c>
    </row>
    <row r="69" spans="1:17" x14ac:dyDescent="0.35">
      <c r="A69" t="s">
        <v>177</v>
      </c>
      <c r="B69" t="s">
        <v>178</v>
      </c>
      <c r="C69" t="s">
        <v>37</v>
      </c>
      <c r="D69" t="s">
        <v>20</v>
      </c>
      <c r="E69" s="2">
        <v>45074</v>
      </c>
      <c r="F69" s="2">
        <v>45138</v>
      </c>
      <c r="G69">
        <v>1220946</v>
      </c>
      <c r="H69">
        <v>386803</v>
      </c>
      <c r="I69">
        <v>16360</v>
      </c>
      <c r="J69">
        <v>3132</v>
      </c>
      <c r="K69">
        <v>1115</v>
      </c>
      <c r="L69">
        <v>191</v>
      </c>
      <c r="M69" s="1">
        <v>4.2300000000000004</v>
      </c>
      <c r="N69">
        <v>74.63</v>
      </c>
      <c r="O69">
        <v>6392.39</v>
      </c>
      <c r="P69" t="s">
        <v>33</v>
      </c>
      <c r="Q69" t="s">
        <v>85</v>
      </c>
    </row>
    <row r="70" spans="1:17" x14ac:dyDescent="0.35">
      <c r="A70" t="s">
        <v>179</v>
      </c>
      <c r="B70" t="s">
        <v>180</v>
      </c>
      <c r="C70" t="s">
        <v>55</v>
      </c>
      <c r="D70" t="s">
        <v>73</v>
      </c>
      <c r="E70" s="2">
        <v>44996</v>
      </c>
      <c r="F70" s="2">
        <v>45052</v>
      </c>
      <c r="G70">
        <v>947204</v>
      </c>
      <c r="H70">
        <v>314337</v>
      </c>
      <c r="I70">
        <v>16427</v>
      </c>
      <c r="J70">
        <v>3574</v>
      </c>
      <c r="K70">
        <v>806</v>
      </c>
      <c r="L70">
        <v>267</v>
      </c>
      <c r="M70" s="1">
        <v>5.23</v>
      </c>
      <c r="N70">
        <v>57.66</v>
      </c>
      <c r="O70">
        <v>3547.58</v>
      </c>
      <c r="P70" t="s">
        <v>27</v>
      </c>
      <c r="Q70" t="s">
        <v>60</v>
      </c>
    </row>
    <row r="71" spans="1:17" x14ac:dyDescent="0.35">
      <c r="A71" t="s">
        <v>181</v>
      </c>
      <c r="B71" t="s">
        <v>182</v>
      </c>
      <c r="C71" t="s">
        <v>31</v>
      </c>
      <c r="D71" t="s">
        <v>32</v>
      </c>
      <c r="E71" s="2">
        <v>45523</v>
      </c>
      <c r="F71" s="2">
        <v>45603</v>
      </c>
      <c r="G71">
        <v>842120</v>
      </c>
      <c r="H71">
        <v>17712</v>
      </c>
      <c r="I71">
        <v>556</v>
      </c>
      <c r="J71">
        <v>48</v>
      </c>
      <c r="K71">
        <v>15</v>
      </c>
      <c r="L71">
        <v>4</v>
      </c>
      <c r="M71" s="1">
        <v>3.14</v>
      </c>
      <c r="N71">
        <v>1514.6</v>
      </c>
      <c r="O71">
        <v>210530</v>
      </c>
      <c r="P71" t="s">
        <v>21</v>
      </c>
      <c r="Q71" t="s">
        <v>28</v>
      </c>
    </row>
    <row r="72" spans="1:17" x14ac:dyDescent="0.35">
      <c r="A72" t="s">
        <v>183</v>
      </c>
      <c r="B72" t="s">
        <v>184</v>
      </c>
      <c r="C72" t="s">
        <v>43</v>
      </c>
      <c r="D72" t="s">
        <v>32</v>
      </c>
      <c r="E72" s="2">
        <v>45568</v>
      </c>
      <c r="F72" s="2">
        <v>45623</v>
      </c>
      <c r="G72">
        <v>854151</v>
      </c>
      <c r="H72">
        <v>91100</v>
      </c>
      <c r="I72">
        <v>6901</v>
      </c>
      <c r="J72">
        <v>556</v>
      </c>
      <c r="K72">
        <v>188</v>
      </c>
      <c r="L72">
        <v>68</v>
      </c>
      <c r="M72" s="1">
        <v>7.58</v>
      </c>
      <c r="N72">
        <v>123.77</v>
      </c>
      <c r="O72">
        <v>12561.04</v>
      </c>
      <c r="P72" t="s">
        <v>68</v>
      </c>
      <c r="Q72" t="s">
        <v>88</v>
      </c>
    </row>
    <row r="73" spans="1:17" x14ac:dyDescent="0.35">
      <c r="A73" t="s">
        <v>185</v>
      </c>
      <c r="B73" t="s">
        <v>77</v>
      </c>
      <c r="C73" t="s">
        <v>19</v>
      </c>
      <c r="D73" t="s">
        <v>73</v>
      </c>
      <c r="E73" s="2">
        <v>45137</v>
      </c>
      <c r="F73" s="2">
        <v>45213</v>
      </c>
      <c r="G73">
        <v>455866</v>
      </c>
      <c r="H73">
        <v>287828</v>
      </c>
      <c r="I73">
        <v>4044</v>
      </c>
      <c r="J73">
        <v>650</v>
      </c>
      <c r="K73">
        <v>217</v>
      </c>
      <c r="L73">
        <v>84</v>
      </c>
      <c r="M73" s="1">
        <v>1.41</v>
      </c>
      <c r="N73">
        <v>112.73</v>
      </c>
      <c r="O73">
        <v>5426.98</v>
      </c>
      <c r="P73" t="s">
        <v>68</v>
      </c>
      <c r="Q73" t="s">
        <v>49</v>
      </c>
    </row>
    <row r="74" spans="1:17" x14ac:dyDescent="0.35">
      <c r="A74" t="s">
        <v>186</v>
      </c>
      <c r="B74" t="s">
        <v>121</v>
      </c>
      <c r="C74" t="s">
        <v>19</v>
      </c>
      <c r="D74" t="s">
        <v>26</v>
      </c>
      <c r="E74" s="2">
        <v>45508</v>
      </c>
      <c r="F74" s="2">
        <v>45585</v>
      </c>
      <c r="G74">
        <v>1457533</v>
      </c>
      <c r="H74">
        <v>421919</v>
      </c>
      <c r="I74">
        <v>29701</v>
      </c>
      <c r="J74">
        <v>3588</v>
      </c>
      <c r="K74">
        <v>1153</v>
      </c>
      <c r="L74">
        <v>307</v>
      </c>
      <c r="M74" s="1">
        <v>7.04</v>
      </c>
      <c r="N74">
        <v>49.07</v>
      </c>
      <c r="O74">
        <v>4747.66</v>
      </c>
      <c r="P74" t="s">
        <v>27</v>
      </c>
      <c r="Q74" t="s">
        <v>85</v>
      </c>
    </row>
    <row r="75" spans="1:17" x14ac:dyDescent="0.35">
      <c r="A75" t="s">
        <v>187</v>
      </c>
      <c r="B75" t="s">
        <v>188</v>
      </c>
      <c r="C75" t="s">
        <v>55</v>
      </c>
      <c r="D75" t="s">
        <v>56</v>
      </c>
      <c r="E75" s="2">
        <v>45015</v>
      </c>
      <c r="F75" s="2">
        <v>45046</v>
      </c>
      <c r="G75">
        <v>1403041</v>
      </c>
      <c r="H75">
        <v>174069</v>
      </c>
      <c r="I75">
        <v>8262</v>
      </c>
      <c r="J75">
        <v>1758</v>
      </c>
      <c r="K75">
        <v>612</v>
      </c>
      <c r="L75">
        <v>225</v>
      </c>
      <c r="M75" s="1">
        <v>4.75</v>
      </c>
      <c r="N75">
        <v>169.82</v>
      </c>
      <c r="O75">
        <v>6235.74</v>
      </c>
      <c r="P75" t="s">
        <v>27</v>
      </c>
      <c r="Q75" t="s">
        <v>28</v>
      </c>
    </row>
    <row r="76" spans="1:17" x14ac:dyDescent="0.35">
      <c r="A76" t="s">
        <v>189</v>
      </c>
      <c r="B76" t="s">
        <v>190</v>
      </c>
      <c r="C76" t="s">
        <v>37</v>
      </c>
      <c r="D76" t="s">
        <v>20</v>
      </c>
      <c r="E76" s="2">
        <v>45559</v>
      </c>
      <c r="F76" s="2">
        <v>45594</v>
      </c>
      <c r="G76">
        <v>309824</v>
      </c>
      <c r="H76">
        <v>128065</v>
      </c>
      <c r="I76">
        <v>9795</v>
      </c>
      <c r="J76">
        <v>708</v>
      </c>
      <c r="K76">
        <v>308</v>
      </c>
      <c r="L76">
        <v>99</v>
      </c>
      <c r="M76" s="1">
        <v>7.65</v>
      </c>
      <c r="N76">
        <v>31.63</v>
      </c>
      <c r="O76">
        <v>3129.54</v>
      </c>
      <c r="P76" t="s">
        <v>68</v>
      </c>
      <c r="Q76" t="s">
        <v>52</v>
      </c>
    </row>
    <row r="77" spans="1:17" x14ac:dyDescent="0.35">
      <c r="A77" t="s">
        <v>191</v>
      </c>
      <c r="B77" t="s">
        <v>192</v>
      </c>
      <c r="C77" t="s">
        <v>124</v>
      </c>
      <c r="D77" t="s">
        <v>26</v>
      </c>
      <c r="E77" s="2">
        <v>45654</v>
      </c>
      <c r="F77" s="2">
        <v>45736</v>
      </c>
      <c r="G77">
        <v>62512</v>
      </c>
      <c r="H77">
        <v>12854</v>
      </c>
      <c r="I77">
        <v>937</v>
      </c>
      <c r="J77">
        <v>217</v>
      </c>
      <c r="K77">
        <v>74</v>
      </c>
      <c r="L77">
        <v>11</v>
      </c>
      <c r="M77" s="1">
        <v>7.29</v>
      </c>
      <c r="N77">
        <v>66.72</v>
      </c>
      <c r="O77">
        <v>5682.91</v>
      </c>
      <c r="P77" t="s">
        <v>44</v>
      </c>
      <c r="Q77" t="s">
        <v>34</v>
      </c>
    </row>
    <row r="78" spans="1:17" x14ac:dyDescent="0.35">
      <c r="A78" t="s">
        <v>193</v>
      </c>
      <c r="B78" t="s">
        <v>194</v>
      </c>
      <c r="C78" t="s">
        <v>37</v>
      </c>
      <c r="D78" t="s">
        <v>56</v>
      </c>
      <c r="E78" s="2">
        <v>44978</v>
      </c>
      <c r="F78" s="2">
        <v>45020</v>
      </c>
      <c r="G78">
        <v>855078</v>
      </c>
      <c r="H78">
        <v>128028</v>
      </c>
      <c r="I78">
        <v>7208</v>
      </c>
      <c r="J78">
        <v>1106</v>
      </c>
      <c r="K78">
        <v>534</v>
      </c>
      <c r="L78">
        <v>130</v>
      </c>
      <c r="M78" s="1">
        <v>5.63</v>
      </c>
      <c r="N78">
        <v>118.63</v>
      </c>
      <c r="O78">
        <v>6577.52</v>
      </c>
      <c r="P78" t="s">
        <v>68</v>
      </c>
      <c r="Q78" t="s">
        <v>57</v>
      </c>
    </row>
    <row r="79" spans="1:17" x14ac:dyDescent="0.35">
      <c r="A79" t="s">
        <v>195</v>
      </c>
      <c r="B79" t="s">
        <v>196</v>
      </c>
      <c r="C79" t="s">
        <v>37</v>
      </c>
      <c r="D79" t="s">
        <v>73</v>
      </c>
      <c r="E79" s="2">
        <v>45621</v>
      </c>
      <c r="F79" s="2">
        <v>45679</v>
      </c>
      <c r="G79">
        <v>844621</v>
      </c>
      <c r="H79">
        <v>193646</v>
      </c>
      <c r="I79">
        <f>ROUND(Table1[[#This Row],[Impressions]]*(Table1[[#This Row],[CTR_Percent]]/100),0)</f>
        <v>14969</v>
      </c>
      <c r="J79">
        <v>2695</v>
      </c>
      <c r="K79">
        <v>1341</v>
      </c>
      <c r="L79">
        <v>223</v>
      </c>
      <c r="M79" s="1">
        <v>7.73</v>
      </c>
      <c r="N79">
        <v>56.44</v>
      </c>
      <c r="O79">
        <v>3787.54</v>
      </c>
      <c r="P79" t="s">
        <v>68</v>
      </c>
      <c r="Q79" t="s">
        <v>22</v>
      </c>
    </row>
    <row r="80" spans="1:17" x14ac:dyDescent="0.35">
      <c r="A80" t="s">
        <v>197</v>
      </c>
      <c r="B80" t="s">
        <v>162</v>
      </c>
      <c r="C80" t="s">
        <v>37</v>
      </c>
      <c r="D80" t="s">
        <v>73</v>
      </c>
      <c r="E80" s="2">
        <v>45516</v>
      </c>
      <c r="F80" s="2">
        <v>45569</v>
      </c>
      <c r="G80">
        <v>1458178</v>
      </c>
      <c r="H80">
        <v>227001</v>
      </c>
      <c r="I80">
        <v>7647</v>
      </c>
      <c r="J80">
        <v>1785</v>
      </c>
      <c r="K80">
        <v>688</v>
      </c>
      <c r="L80">
        <v>257</v>
      </c>
      <c r="M80" s="1">
        <v>3.37</v>
      </c>
      <c r="N80">
        <v>190.69</v>
      </c>
      <c r="O80">
        <v>5673.84</v>
      </c>
      <c r="P80" t="s">
        <v>21</v>
      </c>
      <c r="Q80" t="s">
        <v>28</v>
      </c>
    </row>
    <row r="81" spans="1:17" x14ac:dyDescent="0.35">
      <c r="A81" t="s">
        <v>198</v>
      </c>
      <c r="B81" t="s">
        <v>199</v>
      </c>
      <c r="C81" t="s">
        <v>25</v>
      </c>
      <c r="D81" t="s">
        <v>20</v>
      </c>
      <c r="E81" s="2">
        <v>45549</v>
      </c>
      <c r="F81" s="2">
        <v>45591</v>
      </c>
      <c r="G81">
        <v>879174</v>
      </c>
      <c r="H81">
        <v>164865</v>
      </c>
      <c r="I81">
        <v>9397</v>
      </c>
      <c r="J81">
        <v>812</v>
      </c>
      <c r="K81">
        <v>181</v>
      </c>
      <c r="L81">
        <v>49</v>
      </c>
      <c r="M81" s="1">
        <v>5.7</v>
      </c>
      <c r="N81">
        <v>93.56</v>
      </c>
      <c r="O81">
        <v>17942.330000000002</v>
      </c>
      <c r="P81" t="s">
        <v>27</v>
      </c>
      <c r="Q81" t="s">
        <v>85</v>
      </c>
    </row>
    <row r="82" spans="1:17" x14ac:dyDescent="0.35">
      <c r="A82" t="s">
        <v>200</v>
      </c>
      <c r="B82" t="s">
        <v>201</v>
      </c>
      <c r="C82" t="s">
        <v>55</v>
      </c>
      <c r="D82" t="s">
        <v>32</v>
      </c>
      <c r="E82" s="2">
        <v>44930</v>
      </c>
      <c r="F82" s="2">
        <v>44986</v>
      </c>
      <c r="G82">
        <v>105332</v>
      </c>
      <c r="H82">
        <v>306376</v>
      </c>
      <c r="I82">
        <v>22333</v>
      </c>
      <c r="J82">
        <v>5368</v>
      </c>
      <c r="K82">
        <v>2271</v>
      </c>
      <c r="L82">
        <v>694</v>
      </c>
      <c r="M82" s="1">
        <v>7.29</v>
      </c>
      <c r="N82">
        <v>4.72</v>
      </c>
      <c r="O82">
        <v>151.78</v>
      </c>
      <c r="P82" t="s">
        <v>68</v>
      </c>
      <c r="Q82" t="s">
        <v>82</v>
      </c>
    </row>
    <row r="83" spans="1:17" x14ac:dyDescent="0.35">
      <c r="A83" t="s">
        <v>202</v>
      </c>
      <c r="B83" t="s">
        <v>203</v>
      </c>
      <c r="C83" t="s">
        <v>19</v>
      </c>
      <c r="D83" t="s">
        <v>32</v>
      </c>
      <c r="E83" s="2">
        <v>44945</v>
      </c>
      <c r="F83" s="2">
        <v>44995</v>
      </c>
      <c r="G83">
        <v>92336</v>
      </c>
      <c r="H83">
        <v>148345</v>
      </c>
      <c r="I83">
        <v>2288</v>
      </c>
      <c r="J83">
        <v>524</v>
      </c>
      <c r="K83">
        <v>162</v>
      </c>
      <c r="L83">
        <v>21</v>
      </c>
      <c r="M83" s="1">
        <v>1.54</v>
      </c>
      <c r="N83">
        <v>40.36</v>
      </c>
      <c r="O83">
        <v>4396.95</v>
      </c>
      <c r="P83" t="s">
        <v>21</v>
      </c>
      <c r="Q83" t="s">
        <v>22</v>
      </c>
    </row>
    <row r="84" spans="1:17" x14ac:dyDescent="0.35">
      <c r="A84" t="s">
        <v>204</v>
      </c>
      <c r="B84" t="s">
        <v>205</v>
      </c>
      <c r="C84" t="s">
        <v>55</v>
      </c>
      <c r="D84" t="s">
        <v>32</v>
      </c>
      <c r="E84" s="2">
        <v>44931</v>
      </c>
      <c r="F84" s="2">
        <v>44985</v>
      </c>
      <c r="G84">
        <v>429370</v>
      </c>
      <c r="H84">
        <v>440621</v>
      </c>
      <c r="I84">
        <v>26431</v>
      </c>
      <c r="J84">
        <v>3118</v>
      </c>
      <c r="K84">
        <v>1204</v>
      </c>
      <c r="L84">
        <v>326</v>
      </c>
      <c r="M84" s="1">
        <v>6</v>
      </c>
      <c r="N84">
        <v>16.239999999999998</v>
      </c>
      <c r="O84">
        <v>1317.09</v>
      </c>
      <c r="P84" t="s">
        <v>27</v>
      </c>
      <c r="Q84" t="s">
        <v>28</v>
      </c>
    </row>
    <row r="85" spans="1:17" x14ac:dyDescent="0.35">
      <c r="A85" t="s">
        <v>206</v>
      </c>
      <c r="B85" t="s">
        <v>207</v>
      </c>
      <c r="C85" t="s">
        <v>43</v>
      </c>
      <c r="D85" t="s">
        <v>73</v>
      </c>
      <c r="E85" s="2">
        <v>45537</v>
      </c>
      <c r="F85" s="2">
        <v>45573</v>
      </c>
      <c r="G85">
        <v>478526</v>
      </c>
      <c r="H85">
        <v>379093</v>
      </c>
      <c r="I85">
        <v>14412</v>
      </c>
      <c r="J85">
        <v>1425</v>
      </c>
      <c r="K85">
        <v>699</v>
      </c>
      <c r="L85">
        <v>177</v>
      </c>
      <c r="M85" s="1">
        <v>3.8</v>
      </c>
      <c r="N85">
        <v>33.200000000000003</v>
      </c>
      <c r="O85">
        <v>2703.54</v>
      </c>
      <c r="P85" t="s">
        <v>33</v>
      </c>
      <c r="Q85" t="s">
        <v>85</v>
      </c>
    </row>
    <row r="86" spans="1:17" x14ac:dyDescent="0.35">
      <c r="A86" t="s">
        <v>208</v>
      </c>
      <c r="B86" t="s">
        <v>209</v>
      </c>
      <c r="C86" t="s">
        <v>31</v>
      </c>
      <c r="D86" t="s">
        <v>56</v>
      </c>
      <c r="E86" s="2">
        <v>45234</v>
      </c>
      <c r="F86" s="2">
        <v>45257</v>
      </c>
      <c r="G86">
        <v>343960</v>
      </c>
      <c r="H86">
        <v>122332</v>
      </c>
      <c r="I86">
        <v>3955</v>
      </c>
      <c r="J86">
        <v>630</v>
      </c>
      <c r="K86">
        <v>214</v>
      </c>
      <c r="L86">
        <v>58</v>
      </c>
      <c r="M86" s="1">
        <v>3.23</v>
      </c>
      <c r="N86">
        <v>86.97</v>
      </c>
      <c r="O86">
        <v>5930.34</v>
      </c>
      <c r="P86" t="s">
        <v>21</v>
      </c>
      <c r="Q86" t="s">
        <v>85</v>
      </c>
    </row>
    <row r="87" spans="1:17" x14ac:dyDescent="0.35">
      <c r="A87" t="s">
        <v>210</v>
      </c>
      <c r="B87" t="s">
        <v>211</v>
      </c>
      <c r="C87" t="s">
        <v>67</v>
      </c>
      <c r="D87" t="s">
        <v>20</v>
      </c>
      <c r="E87" s="2">
        <v>45220</v>
      </c>
      <c r="F87" s="2">
        <v>45283</v>
      </c>
      <c r="G87">
        <v>442809</v>
      </c>
      <c r="H87">
        <v>103840</v>
      </c>
      <c r="I87">
        <v>3911</v>
      </c>
      <c r="J87">
        <v>598</v>
      </c>
      <c r="K87">
        <v>217</v>
      </c>
      <c r="L87">
        <v>42</v>
      </c>
      <c r="M87" s="1">
        <v>3.77</v>
      </c>
      <c r="N87">
        <v>113.22</v>
      </c>
      <c r="O87">
        <v>10543.07</v>
      </c>
      <c r="P87" t="s">
        <v>21</v>
      </c>
      <c r="Q87" t="s">
        <v>34</v>
      </c>
    </row>
    <row r="88" spans="1:17" x14ac:dyDescent="0.35">
      <c r="A88" t="s">
        <v>212</v>
      </c>
      <c r="B88" t="s">
        <v>213</v>
      </c>
      <c r="C88" t="s">
        <v>55</v>
      </c>
      <c r="D88" t="s">
        <v>56</v>
      </c>
      <c r="E88" s="2">
        <v>45332</v>
      </c>
      <c r="F88" s="2">
        <v>45374</v>
      </c>
      <c r="G88">
        <v>799951</v>
      </c>
      <c r="H88">
        <v>176645</v>
      </c>
      <c r="I88">
        <v>2136</v>
      </c>
      <c r="J88">
        <v>355</v>
      </c>
      <c r="K88">
        <v>99</v>
      </c>
      <c r="L88">
        <v>36</v>
      </c>
      <c r="M88" s="1">
        <v>1.21</v>
      </c>
      <c r="N88">
        <v>374.51</v>
      </c>
      <c r="O88">
        <v>22220.86</v>
      </c>
      <c r="P88" t="s">
        <v>315</v>
      </c>
      <c r="Q88" t="s">
        <v>57</v>
      </c>
    </row>
    <row r="89" spans="1:17" x14ac:dyDescent="0.35">
      <c r="A89" t="s">
        <v>214</v>
      </c>
      <c r="B89" t="s">
        <v>172</v>
      </c>
      <c r="C89" t="s">
        <v>43</v>
      </c>
      <c r="D89" t="s">
        <v>56</v>
      </c>
      <c r="E89" s="2">
        <v>45396</v>
      </c>
      <c r="F89" s="2">
        <v>45461</v>
      </c>
      <c r="G89">
        <v>1039457</v>
      </c>
      <c r="H89">
        <v>40361</v>
      </c>
      <c r="I89">
        <v>861</v>
      </c>
      <c r="J89">
        <v>95</v>
      </c>
      <c r="K89">
        <v>26</v>
      </c>
      <c r="L89">
        <v>5</v>
      </c>
      <c r="M89" s="1">
        <v>2.13</v>
      </c>
      <c r="N89">
        <v>1207.27</v>
      </c>
      <c r="O89">
        <v>207891.4</v>
      </c>
      <c r="P89" t="s">
        <v>44</v>
      </c>
      <c r="Q89" t="s">
        <v>22</v>
      </c>
    </row>
    <row r="90" spans="1:17" x14ac:dyDescent="0.35">
      <c r="A90" t="s">
        <v>215</v>
      </c>
      <c r="B90" t="s">
        <v>216</v>
      </c>
      <c r="C90" t="s">
        <v>31</v>
      </c>
      <c r="D90" t="s">
        <v>56</v>
      </c>
      <c r="E90" s="2">
        <v>45627</v>
      </c>
      <c r="F90" s="2">
        <v>45682</v>
      </c>
      <c r="G90">
        <v>999735</v>
      </c>
      <c r="H90">
        <v>402005</v>
      </c>
      <c r="I90">
        <v>14593</v>
      </c>
      <c r="J90">
        <v>1055</v>
      </c>
      <c r="K90">
        <v>453</v>
      </c>
      <c r="L90">
        <v>116</v>
      </c>
      <c r="M90" s="1">
        <v>3.63</v>
      </c>
      <c r="N90">
        <v>68.510000000000005</v>
      </c>
      <c r="O90">
        <v>8618.41</v>
      </c>
      <c r="P90" t="s">
        <v>21</v>
      </c>
      <c r="Q90" t="s">
        <v>52</v>
      </c>
    </row>
    <row r="91" spans="1:17" x14ac:dyDescent="0.35">
      <c r="A91" t="s">
        <v>217</v>
      </c>
      <c r="B91" t="s">
        <v>81</v>
      </c>
      <c r="C91" t="s">
        <v>55</v>
      </c>
      <c r="D91" t="s">
        <v>26</v>
      </c>
      <c r="E91" s="2">
        <v>45305</v>
      </c>
      <c r="F91" s="2">
        <v>45384</v>
      </c>
      <c r="G91">
        <v>1004925</v>
      </c>
      <c r="H91">
        <v>44343</v>
      </c>
      <c r="I91">
        <v>2360</v>
      </c>
      <c r="J91">
        <v>408</v>
      </c>
      <c r="K91">
        <v>81</v>
      </c>
      <c r="L91">
        <v>9</v>
      </c>
      <c r="M91" s="1">
        <v>5.32</v>
      </c>
      <c r="N91">
        <v>425.82</v>
      </c>
      <c r="O91">
        <v>111658.33</v>
      </c>
      <c r="P91" t="s">
        <v>44</v>
      </c>
      <c r="Q91" t="s">
        <v>38</v>
      </c>
    </row>
    <row r="92" spans="1:17" x14ac:dyDescent="0.35">
      <c r="A92" t="s">
        <v>218</v>
      </c>
      <c r="B92" t="s">
        <v>219</v>
      </c>
      <c r="C92" t="s">
        <v>31</v>
      </c>
      <c r="D92" t="s">
        <v>20</v>
      </c>
      <c r="E92" s="2">
        <v>45214</v>
      </c>
      <c r="F92" s="2">
        <v>45234</v>
      </c>
      <c r="G92">
        <v>1148650</v>
      </c>
      <c r="H92">
        <v>365399</v>
      </c>
      <c r="I92">
        <v>18392</v>
      </c>
      <c r="J92">
        <v>1547</v>
      </c>
      <c r="K92">
        <v>649</v>
      </c>
      <c r="L92">
        <v>132</v>
      </c>
      <c r="M92" s="1">
        <v>5.03</v>
      </c>
      <c r="N92">
        <v>62.45</v>
      </c>
      <c r="O92">
        <v>8701.89</v>
      </c>
      <c r="P92" t="s">
        <v>33</v>
      </c>
      <c r="Q92" t="s">
        <v>22</v>
      </c>
    </row>
    <row r="93" spans="1:17" x14ac:dyDescent="0.35">
      <c r="A93" t="s">
        <v>220</v>
      </c>
      <c r="B93" t="s">
        <v>139</v>
      </c>
      <c r="C93" t="s">
        <v>55</v>
      </c>
      <c r="D93" t="s">
        <v>32</v>
      </c>
      <c r="E93" s="2">
        <v>45023</v>
      </c>
      <c r="F93" s="2">
        <v>45102</v>
      </c>
      <c r="G93">
        <v>215105</v>
      </c>
      <c r="H93">
        <v>177424</v>
      </c>
      <c r="I93">
        <v>4954</v>
      </c>
      <c r="J93">
        <v>1008</v>
      </c>
      <c r="K93">
        <v>495</v>
      </c>
      <c r="L93">
        <v>124</v>
      </c>
      <c r="M93" s="1">
        <v>2.79</v>
      </c>
      <c r="N93">
        <v>43.42</v>
      </c>
      <c r="O93">
        <v>1734.72</v>
      </c>
      <c r="P93" t="s">
        <v>68</v>
      </c>
      <c r="Q93" t="s">
        <v>52</v>
      </c>
    </row>
    <row r="94" spans="1:17" x14ac:dyDescent="0.35">
      <c r="A94" t="s">
        <v>221</v>
      </c>
      <c r="B94" t="s">
        <v>103</v>
      </c>
      <c r="C94" t="s">
        <v>37</v>
      </c>
      <c r="D94" t="s">
        <v>20</v>
      </c>
      <c r="E94" s="2">
        <v>45333</v>
      </c>
      <c r="F94" s="2">
        <v>45408</v>
      </c>
      <c r="G94">
        <v>926739</v>
      </c>
      <c r="H94">
        <v>430901</v>
      </c>
      <c r="I94">
        <v>11989</v>
      </c>
      <c r="J94">
        <v>1971</v>
      </c>
      <c r="K94">
        <v>933</v>
      </c>
      <c r="L94">
        <v>220</v>
      </c>
      <c r="M94" s="1">
        <v>2.78</v>
      </c>
      <c r="N94">
        <v>77.3</v>
      </c>
      <c r="O94">
        <v>4212.45</v>
      </c>
      <c r="P94" t="s">
        <v>21</v>
      </c>
      <c r="Q94" t="s">
        <v>22</v>
      </c>
    </row>
    <row r="95" spans="1:17" x14ac:dyDescent="0.35">
      <c r="A95" t="s">
        <v>222</v>
      </c>
      <c r="B95" t="s">
        <v>30</v>
      </c>
      <c r="C95" t="s">
        <v>67</v>
      </c>
      <c r="D95" t="s">
        <v>32</v>
      </c>
      <c r="E95" s="2">
        <v>44939</v>
      </c>
      <c r="F95" s="2">
        <v>44957</v>
      </c>
      <c r="G95">
        <v>1245125</v>
      </c>
      <c r="H95">
        <v>383832</v>
      </c>
      <c r="I95">
        <v>15667</v>
      </c>
      <c r="J95">
        <v>3601</v>
      </c>
      <c r="K95">
        <v>864</v>
      </c>
      <c r="L95">
        <v>297</v>
      </c>
      <c r="M95" s="1">
        <v>4.08</v>
      </c>
      <c r="N95">
        <v>79.47</v>
      </c>
      <c r="O95">
        <v>4192.34</v>
      </c>
      <c r="P95" t="s">
        <v>33</v>
      </c>
      <c r="Q95" t="s">
        <v>49</v>
      </c>
    </row>
    <row r="96" spans="1:17" x14ac:dyDescent="0.35">
      <c r="A96" t="s">
        <v>223</v>
      </c>
      <c r="B96" t="s">
        <v>224</v>
      </c>
      <c r="C96" t="s">
        <v>43</v>
      </c>
      <c r="D96" t="s">
        <v>26</v>
      </c>
      <c r="E96" s="2">
        <v>45472</v>
      </c>
      <c r="F96" s="2">
        <v>45526</v>
      </c>
      <c r="G96">
        <v>1331429</v>
      </c>
      <c r="H96">
        <v>435674</v>
      </c>
      <c r="I96">
        <f>ROUND(Table1[[#This Row],[Impressions]]*(Table1[[#This Row],[CTR_Percent]]/100),0)</f>
        <v>9454</v>
      </c>
      <c r="J96">
        <v>1254</v>
      </c>
      <c r="K96">
        <v>198</v>
      </c>
      <c r="L96">
        <v>35</v>
      </c>
      <c r="M96" s="1">
        <v>2.17</v>
      </c>
      <c r="N96">
        <v>141.01</v>
      </c>
      <c r="O96">
        <v>38040.83</v>
      </c>
      <c r="P96" t="s">
        <v>27</v>
      </c>
      <c r="Q96" t="s">
        <v>82</v>
      </c>
    </row>
    <row r="97" spans="1:17" x14ac:dyDescent="0.35">
      <c r="A97" t="s">
        <v>225</v>
      </c>
      <c r="B97" t="s">
        <v>226</v>
      </c>
      <c r="C97" t="s">
        <v>67</v>
      </c>
      <c r="D97" t="s">
        <v>73</v>
      </c>
      <c r="E97" s="2">
        <v>45368</v>
      </c>
      <c r="F97" s="2">
        <v>45453</v>
      </c>
      <c r="G97">
        <v>616265</v>
      </c>
      <c r="H97">
        <v>498467</v>
      </c>
      <c r="I97">
        <v>21669</v>
      </c>
      <c r="J97">
        <v>1722</v>
      </c>
      <c r="K97">
        <v>788</v>
      </c>
      <c r="L97">
        <v>296</v>
      </c>
      <c r="M97" s="1">
        <v>4.3499999999999996</v>
      </c>
      <c r="N97">
        <v>28.44</v>
      </c>
      <c r="O97">
        <v>2081.98</v>
      </c>
      <c r="P97" t="s">
        <v>21</v>
      </c>
      <c r="Q97" t="s">
        <v>34</v>
      </c>
    </row>
    <row r="98" spans="1:17" x14ac:dyDescent="0.35">
      <c r="A98" t="s">
        <v>227</v>
      </c>
      <c r="B98" t="s">
        <v>126</v>
      </c>
      <c r="C98" t="s">
        <v>124</v>
      </c>
      <c r="D98" t="s">
        <v>20</v>
      </c>
      <c r="E98" s="2">
        <v>45059</v>
      </c>
      <c r="F98" s="2">
        <v>45080</v>
      </c>
      <c r="G98">
        <v>1165930</v>
      </c>
      <c r="H98">
        <v>123339</v>
      </c>
      <c r="I98">
        <v>4815</v>
      </c>
      <c r="J98">
        <v>956</v>
      </c>
      <c r="K98">
        <v>431</v>
      </c>
      <c r="L98">
        <v>112</v>
      </c>
      <c r="M98" s="1">
        <v>3.9</v>
      </c>
      <c r="N98">
        <v>242.15</v>
      </c>
      <c r="O98">
        <v>10410.09</v>
      </c>
      <c r="P98" t="s">
        <v>68</v>
      </c>
      <c r="Q98" t="s">
        <v>315</v>
      </c>
    </row>
    <row r="99" spans="1:17" x14ac:dyDescent="0.35">
      <c r="A99" t="s">
        <v>228</v>
      </c>
      <c r="B99" t="s">
        <v>229</v>
      </c>
      <c r="C99" t="s">
        <v>31</v>
      </c>
      <c r="D99" t="s">
        <v>73</v>
      </c>
      <c r="E99" s="2">
        <v>45560</v>
      </c>
      <c r="F99" s="2">
        <v>45630</v>
      </c>
      <c r="G99">
        <v>698375</v>
      </c>
      <c r="H99">
        <v>213239</v>
      </c>
      <c r="I99">
        <v>2242</v>
      </c>
      <c r="J99">
        <v>137</v>
      </c>
      <c r="K99">
        <v>53</v>
      </c>
      <c r="L99">
        <v>6</v>
      </c>
      <c r="M99" s="1">
        <v>1.05</v>
      </c>
      <c r="N99">
        <v>311.5</v>
      </c>
      <c r="O99">
        <v>116395.83</v>
      </c>
      <c r="P99" t="s">
        <v>21</v>
      </c>
      <c r="Q99" t="s">
        <v>57</v>
      </c>
    </row>
    <row r="100" spans="1:17" x14ac:dyDescent="0.35">
      <c r="A100" t="s">
        <v>230</v>
      </c>
      <c r="B100" t="s">
        <v>62</v>
      </c>
      <c r="C100" t="s">
        <v>124</v>
      </c>
      <c r="D100" t="s">
        <v>20</v>
      </c>
      <c r="E100" s="2">
        <v>45464</v>
      </c>
      <c r="F100" s="2">
        <v>45532</v>
      </c>
      <c r="G100">
        <v>1096240</v>
      </c>
      <c r="H100">
        <v>373451</v>
      </c>
      <c r="I100">
        <v>20558</v>
      </c>
      <c r="J100">
        <v>2188</v>
      </c>
      <c r="K100">
        <v>869</v>
      </c>
      <c r="L100">
        <v>163</v>
      </c>
      <c r="M100" s="1">
        <v>5.5</v>
      </c>
      <c r="N100">
        <v>53.32</v>
      </c>
      <c r="O100">
        <v>6725.4</v>
      </c>
      <c r="P100" t="s">
        <v>27</v>
      </c>
      <c r="Q100" t="s">
        <v>38</v>
      </c>
    </row>
    <row r="101" spans="1:17" x14ac:dyDescent="0.35">
      <c r="A101" t="s">
        <v>231</v>
      </c>
      <c r="B101" t="s">
        <v>232</v>
      </c>
      <c r="C101" t="s">
        <v>31</v>
      </c>
      <c r="D101" t="s">
        <v>32</v>
      </c>
      <c r="E101" s="2">
        <v>45144</v>
      </c>
      <c r="F101" s="2">
        <v>45191</v>
      </c>
      <c r="G101">
        <v>1356029</v>
      </c>
      <c r="H101">
        <v>447812</v>
      </c>
      <c r="I101">
        <v>8675</v>
      </c>
      <c r="J101">
        <v>685</v>
      </c>
      <c r="K101">
        <v>323</v>
      </c>
      <c r="L101">
        <v>79</v>
      </c>
      <c r="M101" s="1">
        <v>1.94</v>
      </c>
      <c r="N101">
        <v>156.31</v>
      </c>
      <c r="O101">
        <v>17164.919999999998</v>
      </c>
      <c r="P101" t="s">
        <v>27</v>
      </c>
      <c r="Q101" t="s">
        <v>34</v>
      </c>
    </row>
    <row r="102" spans="1:17" x14ac:dyDescent="0.35">
      <c r="A102" t="s">
        <v>233</v>
      </c>
      <c r="B102" t="s">
        <v>234</v>
      </c>
      <c r="C102" t="s">
        <v>25</v>
      </c>
      <c r="D102" t="s">
        <v>20</v>
      </c>
      <c r="E102" s="2">
        <v>45550</v>
      </c>
      <c r="F102" s="2">
        <v>45619</v>
      </c>
      <c r="G102">
        <v>1465017</v>
      </c>
      <c r="H102">
        <v>116289</v>
      </c>
      <c r="I102">
        <v>2008</v>
      </c>
      <c r="J102">
        <v>331</v>
      </c>
      <c r="K102">
        <v>82</v>
      </c>
      <c r="L102">
        <v>19</v>
      </c>
      <c r="M102" s="1">
        <v>1.73</v>
      </c>
      <c r="N102">
        <v>729.59</v>
      </c>
      <c r="O102">
        <v>77106.16</v>
      </c>
      <c r="P102" t="s">
        <v>33</v>
      </c>
      <c r="Q102" t="s">
        <v>88</v>
      </c>
    </row>
    <row r="103" spans="1:17" x14ac:dyDescent="0.35">
      <c r="A103" t="s">
        <v>235</v>
      </c>
      <c r="B103" t="s">
        <v>236</v>
      </c>
      <c r="C103" t="s">
        <v>124</v>
      </c>
      <c r="D103" t="s">
        <v>56</v>
      </c>
      <c r="E103" s="2">
        <v>45287</v>
      </c>
      <c r="F103" s="2">
        <v>45325</v>
      </c>
      <c r="G103">
        <v>1202247</v>
      </c>
      <c r="H103">
        <v>291796</v>
      </c>
      <c r="I103">
        <v>17648</v>
      </c>
      <c r="J103">
        <v>2094</v>
      </c>
      <c r="K103">
        <v>753</v>
      </c>
      <c r="L103">
        <v>278</v>
      </c>
      <c r="M103" s="1">
        <v>6.05</v>
      </c>
      <c r="N103">
        <v>68.12</v>
      </c>
      <c r="O103">
        <v>4324.63</v>
      </c>
      <c r="P103" t="s">
        <v>27</v>
      </c>
      <c r="Q103" t="s">
        <v>60</v>
      </c>
    </row>
    <row r="104" spans="1:17" x14ac:dyDescent="0.35">
      <c r="A104" t="s">
        <v>237</v>
      </c>
      <c r="B104" t="s">
        <v>238</v>
      </c>
      <c r="C104" t="s">
        <v>19</v>
      </c>
      <c r="D104" t="s">
        <v>73</v>
      </c>
      <c r="E104" s="2">
        <v>45216</v>
      </c>
      <c r="F104" s="2">
        <v>45289</v>
      </c>
      <c r="G104">
        <v>1330523</v>
      </c>
      <c r="H104">
        <v>36706</v>
      </c>
      <c r="I104">
        <v>1999</v>
      </c>
      <c r="J104">
        <v>478</v>
      </c>
      <c r="K104">
        <v>196</v>
      </c>
      <c r="L104">
        <v>67</v>
      </c>
      <c r="M104" s="1">
        <v>5.45</v>
      </c>
      <c r="N104">
        <v>665.59</v>
      </c>
      <c r="O104">
        <v>19858.55</v>
      </c>
      <c r="P104" t="s">
        <v>21</v>
      </c>
      <c r="Q104" t="s">
        <v>49</v>
      </c>
    </row>
    <row r="105" spans="1:17" x14ac:dyDescent="0.35">
      <c r="A105" t="s">
        <v>239</v>
      </c>
      <c r="B105" t="s">
        <v>36</v>
      </c>
      <c r="C105" t="s">
        <v>55</v>
      </c>
      <c r="D105" t="s">
        <v>32</v>
      </c>
      <c r="E105" s="2">
        <v>45149</v>
      </c>
      <c r="F105" s="2">
        <v>45236</v>
      </c>
      <c r="G105">
        <v>658344</v>
      </c>
      <c r="H105">
        <v>443634</v>
      </c>
      <c r="I105">
        <v>10302</v>
      </c>
      <c r="J105">
        <v>1907</v>
      </c>
      <c r="K105">
        <v>767</v>
      </c>
      <c r="L105">
        <v>158</v>
      </c>
      <c r="M105" s="1">
        <v>2.3199999999999998</v>
      </c>
      <c r="N105">
        <v>63.9</v>
      </c>
      <c r="O105">
        <v>4166.7299999999996</v>
      </c>
      <c r="P105" t="s">
        <v>44</v>
      </c>
      <c r="Q105" t="s">
        <v>85</v>
      </c>
    </row>
    <row r="106" spans="1:17" x14ac:dyDescent="0.35">
      <c r="A106" t="s">
        <v>240</v>
      </c>
      <c r="B106" t="s">
        <v>241</v>
      </c>
      <c r="C106" t="s">
        <v>31</v>
      </c>
      <c r="D106" t="s">
        <v>56</v>
      </c>
      <c r="E106" s="2">
        <v>45196</v>
      </c>
      <c r="F106" s="2">
        <v>45274</v>
      </c>
      <c r="G106">
        <v>920383</v>
      </c>
      <c r="H106">
        <v>406818</v>
      </c>
      <c r="I106">
        <v>7190</v>
      </c>
      <c r="J106">
        <v>1407</v>
      </c>
      <c r="K106">
        <v>453</v>
      </c>
      <c r="L106">
        <v>161</v>
      </c>
      <c r="M106" s="1">
        <v>1.77</v>
      </c>
      <c r="N106">
        <v>128.01</v>
      </c>
      <c r="O106">
        <v>5716.66</v>
      </c>
      <c r="P106" t="s">
        <v>21</v>
      </c>
      <c r="Q106" t="s">
        <v>38</v>
      </c>
    </row>
    <row r="107" spans="1:17" x14ac:dyDescent="0.35">
      <c r="A107" t="s">
        <v>242</v>
      </c>
      <c r="B107" t="s">
        <v>243</v>
      </c>
      <c r="C107" t="s">
        <v>55</v>
      </c>
      <c r="D107" t="s">
        <v>26</v>
      </c>
      <c r="E107" s="2">
        <v>45414</v>
      </c>
      <c r="F107" s="2">
        <v>45497</v>
      </c>
      <c r="G107">
        <v>383942</v>
      </c>
      <c r="H107">
        <v>282310</v>
      </c>
      <c r="I107">
        <v>10313</v>
      </c>
      <c r="J107">
        <v>1269</v>
      </c>
      <c r="K107">
        <v>344</v>
      </c>
      <c r="L107">
        <v>79</v>
      </c>
      <c r="M107" s="1">
        <v>3.65</v>
      </c>
      <c r="N107">
        <v>37.229999999999997</v>
      </c>
      <c r="O107">
        <v>4860.03</v>
      </c>
      <c r="P107" t="s">
        <v>68</v>
      </c>
      <c r="Q107" t="s">
        <v>315</v>
      </c>
    </row>
    <row r="108" spans="1:17" x14ac:dyDescent="0.35">
      <c r="A108" t="s">
        <v>244</v>
      </c>
      <c r="B108" t="s">
        <v>245</v>
      </c>
      <c r="C108" t="s">
        <v>19</v>
      </c>
      <c r="D108" t="s">
        <v>26</v>
      </c>
      <c r="E108" s="2">
        <v>45244</v>
      </c>
      <c r="F108" s="2">
        <v>45289</v>
      </c>
      <c r="G108">
        <v>1195610</v>
      </c>
      <c r="H108">
        <v>490723</v>
      </c>
      <c r="I108">
        <v>19867</v>
      </c>
      <c r="J108">
        <v>2501</v>
      </c>
      <c r="K108">
        <v>826</v>
      </c>
      <c r="L108">
        <v>198</v>
      </c>
      <c r="M108" s="1">
        <v>4.05</v>
      </c>
      <c r="N108">
        <v>60.18</v>
      </c>
      <c r="O108">
        <v>6038.43</v>
      </c>
      <c r="P108" t="s">
        <v>27</v>
      </c>
      <c r="Q108" t="s">
        <v>315</v>
      </c>
    </row>
    <row r="109" spans="1:17" x14ac:dyDescent="0.35">
      <c r="A109" t="s">
        <v>246</v>
      </c>
      <c r="B109" t="s">
        <v>213</v>
      </c>
      <c r="C109" t="s">
        <v>19</v>
      </c>
      <c r="D109" t="s">
        <v>20</v>
      </c>
      <c r="E109" s="2">
        <v>44987</v>
      </c>
      <c r="F109" s="2">
        <v>45069</v>
      </c>
      <c r="G109">
        <v>1473453</v>
      </c>
      <c r="H109">
        <v>359948</v>
      </c>
      <c r="I109">
        <v>13786</v>
      </c>
      <c r="J109">
        <v>3191</v>
      </c>
      <c r="K109">
        <v>1444</v>
      </c>
      <c r="L109">
        <v>496</v>
      </c>
      <c r="M109" s="1">
        <v>3.83</v>
      </c>
      <c r="N109">
        <v>106.88</v>
      </c>
      <c r="O109">
        <v>2970.67</v>
      </c>
      <c r="P109" t="s">
        <v>21</v>
      </c>
      <c r="Q109" t="s">
        <v>315</v>
      </c>
    </row>
    <row r="110" spans="1:17" x14ac:dyDescent="0.35">
      <c r="A110" t="s">
        <v>247</v>
      </c>
      <c r="B110" t="s">
        <v>248</v>
      </c>
      <c r="C110" t="s">
        <v>124</v>
      </c>
      <c r="D110" t="s">
        <v>20</v>
      </c>
      <c r="E110" s="2">
        <v>45258</v>
      </c>
      <c r="F110" s="2">
        <v>45288</v>
      </c>
      <c r="G110">
        <v>826370</v>
      </c>
      <c r="H110">
        <v>214180</v>
      </c>
      <c r="I110">
        <v>17034</v>
      </c>
      <c r="J110">
        <v>1589</v>
      </c>
      <c r="K110">
        <v>382</v>
      </c>
      <c r="L110">
        <v>142</v>
      </c>
      <c r="M110" s="1">
        <v>7.95</v>
      </c>
      <c r="N110">
        <v>48.51</v>
      </c>
      <c r="O110">
        <v>5819.51</v>
      </c>
      <c r="P110" t="s">
        <v>33</v>
      </c>
      <c r="Q110" t="s">
        <v>34</v>
      </c>
    </row>
    <row r="111" spans="1:17" x14ac:dyDescent="0.35">
      <c r="A111" t="s">
        <v>249</v>
      </c>
      <c r="B111" t="s">
        <v>250</v>
      </c>
      <c r="C111" t="s">
        <v>19</v>
      </c>
      <c r="D111" t="s">
        <v>26</v>
      </c>
      <c r="E111" s="2">
        <v>45314</v>
      </c>
      <c r="F111" s="2">
        <v>45379</v>
      </c>
      <c r="G111">
        <v>1107381</v>
      </c>
      <c r="H111">
        <v>367004</v>
      </c>
      <c r="I111">
        <v>26998</v>
      </c>
      <c r="J111">
        <v>1691</v>
      </c>
      <c r="K111">
        <v>790</v>
      </c>
      <c r="L111">
        <v>194</v>
      </c>
      <c r="M111" s="1">
        <v>7.36</v>
      </c>
      <c r="N111">
        <v>41.02</v>
      </c>
      <c r="O111">
        <v>5708.15</v>
      </c>
      <c r="P111" t="s">
        <v>21</v>
      </c>
      <c r="Q111" t="s">
        <v>38</v>
      </c>
    </row>
    <row r="112" spans="1:17" x14ac:dyDescent="0.35">
      <c r="A112" t="s">
        <v>251</v>
      </c>
      <c r="B112" t="s">
        <v>81</v>
      </c>
      <c r="C112" t="s">
        <v>19</v>
      </c>
      <c r="D112" t="s">
        <v>32</v>
      </c>
      <c r="E112" s="2">
        <v>45295</v>
      </c>
      <c r="F112" s="2">
        <v>45340</v>
      </c>
      <c r="G112">
        <v>837934</v>
      </c>
      <c r="H112">
        <v>279186</v>
      </c>
      <c r="I112">
        <v>12332</v>
      </c>
      <c r="J112">
        <v>2900</v>
      </c>
      <c r="K112">
        <v>1256</v>
      </c>
      <c r="L112">
        <v>358</v>
      </c>
      <c r="M112" s="1">
        <v>4.42</v>
      </c>
      <c r="N112">
        <v>67.95</v>
      </c>
      <c r="O112">
        <v>2340.6</v>
      </c>
      <c r="P112" t="s">
        <v>68</v>
      </c>
      <c r="Q112" t="s">
        <v>22</v>
      </c>
    </row>
    <row r="113" spans="1:17" x14ac:dyDescent="0.35">
      <c r="A113" t="s">
        <v>252</v>
      </c>
      <c r="B113" t="s">
        <v>236</v>
      </c>
      <c r="C113" t="s">
        <v>19</v>
      </c>
      <c r="D113" t="s">
        <v>20</v>
      </c>
      <c r="E113" s="2">
        <v>45003</v>
      </c>
      <c r="F113" s="2">
        <v>45088</v>
      </c>
      <c r="G113">
        <v>1471400</v>
      </c>
      <c r="H113">
        <v>472624</v>
      </c>
      <c r="I113">
        <v>35912</v>
      </c>
      <c r="J113">
        <v>2114</v>
      </c>
      <c r="K113">
        <v>856</v>
      </c>
      <c r="L113">
        <v>232</v>
      </c>
      <c r="M113" s="1">
        <v>7.6</v>
      </c>
      <c r="N113">
        <v>40.97</v>
      </c>
      <c r="O113">
        <v>6342.24</v>
      </c>
      <c r="P113" t="s">
        <v>68</v>
      </c>
      <c r="Q113" t="s">
        <v>22</v>
      </c>
    </row>
    <row r="114" spans="1:17" x14ac:dyDescent="0.35">
      <c r="A114" t="s">
        <v>253</v>
      </c>
      <c r="B114" t="s">
        <v>103</v>
      </c>
      <c r="C114" t="s">
        <v>67</v>
      </c>
      <c r="D114" t="s">
        <v>32</v>
      </c>
      <c r="E114" s="2">
        <v>45573</v>
      </c>
      <c r="F114" s="2">
        <v>45623</v>
      </c>
      <c r="G114">
        <v>261525</v>
      </c>
      <c r="H114">
        <v>358939</v>
      </c>
      <c r="I114">
        <v>18952</v>
      </c>
      <c r="J114">
        <v>3927</v>
      </c>
      <c r="K114">
        <v>1954</v>
      </c>
      <c r="L114">
        <v>455</v>
      </c>
      <c r="M114" s="1">
        <v>5.28</v>
      </c>
      <c r="N114">
        <v>13.8</v>
      </c>
      <c r="O114">
        <v>574.78</v>
      </c>
      <c r="P114" t="s">
        <v>68</v>
      </c>
      <c r="Q114" t="s">
        <v>85</v>
      </c>
    </row>
    <row r="115" spans="1:17" x14ac:dyDescent="0.35">
      <c r="A115" t="s">
        <v>254</v>
      </c>
      <c r="B115" t="s">
        <v>255</v>
      </c>
      <c r="C115" t="s">
        <v>55</v>
      </c>
      <c r="D115" t="s">
        <v>26</v>
      </c>
      <c r="E115" s="2">
        <v>45378</v>
      </c>
      <c r="F115" s="2">
        <v>45458</v>
      </c>
      <c r="G115">
        <v>625126</v>
      </c>
      <c r="H115">
        <v>384856</v>
      </c>
      <c r="I115">
        <v>28511</v>
      </c>
      <c r="J115">
        <v>2868</v>
      </c>
      <c r="K115">
        <v>443</v>
      </c>
      <c r="L115">
        <v>59</v>
      </c>
      <c r="M115" s="1">
        <v>7.41</v>
      </c>
      <c r="N115">
        <v>21.93</v>
      </c>
      <c r="O115">
        <v>10595.36</v>
      </c>
      <c r="P115" t="s">
        <v>27</v>
      </c>
      <c r="Q115" t="s">
        <v>88</v>
      </c>
    </row>
    <row r="116" spans="1:17" x14ac:dyDescent="0.35">
      <c r="A116" t="s">
        <v>256</v>
      </c>
      <c r="B116" t="s">
        <v>257</v>
      </c>
      <c r="C116" t="s">
        <v>124</v>
      </c>
      <c r="D116" t="s">
        <v>32</v>
      </c>
      <c r="E116" s="2">
        <v>45402</v>
      </c>
      <c r="F116" s="2">
        <v>45424</v>
      </c>
      <c r="G116">
        <v>828249</v>
      </c>
      <c r="H116">
        <v>233435</v>
      </c>
      <c r="I116">
        <v>14918</v>
      </c>
      <c r="J116">
        <v>1045</v>
      </c>
      <c r="K116">
        <v>480</v>
      </c>
      <c r="L116">
        <v>164</v>
      </c>
      <c r="M116" s="1">
        <v>6.39</v>
      </c>
      <c r="N116">
        <v>55.52</v>
      </c>
      <c r="O116">
        <v>5050.3</v>
      </c>
      <c r="P116" t="s">
        <v>68</v>
      </c>
      <c r="Q116" t="s">
        <v>49</v>
      </c>
    </row>
    <row r="117" spans="1:17" x14ac:dyDescent="0.35">
      <c r="A117" t="s">
        <v>258</v>
      </c>
      <c r="B117" t="s">
        <v>259</v>
      </c>
      <c r="C117" t="s">
        <v>43</v>
      </c>
      <c r="D117" t="s">
        <v>32</v>
      </c>
      <c r="E117" s="2">
        <v>45355</v>
      </c>
      <c r="F117" s="2">
        <v>45436</v>
      </c>
      <c r="G117">
        <v>1156253</v>
      </c>
      <c r="H117">
        <v>270304</v>
      </c>
      <c r="I117">
        <v>3140</v>
      </c>
      <c r="J117">
        <v>780</v>
      </c>
      <c r="K117">
        <v>138</v>
      </c>
      <c r="L117">
        <v>46</v>
      </c>
      <c r="M117" s="1">
        <v>1.1599999999999999</v>
      </c>
      <c r="N117">
        <v>368.23</v>
      </c>
      <c r="O117">
        <v>25135.93</v>
      </c>
      <c r="P117" t="s">
        <v>44</v>
      </c>
      <c r="Q117" t="s">
        <v>52</v>
      </c>
    </row>
    <row r="118" spans="1:17" x14ac:dyDescent="0.35">
      <c r="A118" t="s">
        <v>260</v>
      </c>
      <c r="B118" t="s">
        <v>166</v>
      </c>
      <c r="C118" t="s">
        <v>25</v>
      </c>
      <c r="D118" t="s">
        <v>56</v>
      </c>
      <c r="E118" s="2">
        <v>45573</v>
      </c>
      <c r="F118" s="2">
        <v>45614</v>
      </c>
      <c r="G118">
        <v>107633</v>
      </c>
      <c r="H118">
        <v>227143</v>
      </c>
      <c r="I118">
        <v>3822</v>
      </c>
      <c r="J118">
        <v>602</v>
      </c>
      <c r="K118">
        <v>119</v>
      </c>
      <c r="L118">
        <v>13</v>
      </c>
      <c r="M118" s="1">
        <v>1.68</v>
      </c>
      <c r="N118">
        <v>28.16</v>
      </c>
      <c r="O118">
        <v>8279.4599999999991</v>
      </c>
      <c r="P118" t="s">
        <v>21</v>
      </c>
      <c r="Q118" t="s">
        <v>34</v>
      </c>
    </row>
    <row r="119" spans="1:17" x14ac:dyDescent="0.35">
      <c r="A119" t="s">
        <v>261</v>
      </c>
      <c r="B119" t="s">
        <v>262</v>
      </c>
      <c r="C119" t="s">
        <v>25</v>
      </c>
      <c r="D119" t="s">
        <v>56</v>
      </c>
      <c r="E119" s="2">
        <v>45514</v>
      </c>
      <c r="F119" s="2">
        <v>45533</v>
      </c>
      <c r="G119">
        <v>619851</v>
      </c>
      <c r="H119">
        <v>480486</v>
      </c>
      <c r="I119">
        <v>36565</v>
      </c>
      <c r="J119">
        <v>3632</v>
      </c>
      <c r="K119">
        <v>868</v>
      </c>
      <c r="L119">
        <v>321</v>
      </c>
      <c r="M119" s="1">
        <v>7.61</v>
      </c>
      <c r="N119">
        <v>16.95</v>
      </c>
      <c r="O119">
        <v>1931</v>
      </c>
      <c r="P119" t="s">
        <v>44</v>
      </c>
      <c r="Q119" t="s">
        <v>82</v>
      </c>
    </row>
    <row r="120" spans="1:17" x14ac:dyDescent="0.35">
      <c r="A120" t="s">
        <v>263</v>
      </c>
      <c r="B120" t="s">
        <v>264</v>
      </c>
      <c r="C120" t="s">
        <v>19</v>
      </c>
      <c r="D120" t="s">
        <v>26</v>
      </c>
      <c r="E120" s="2">
        <v>45607</v>
      </c>
      <c r="F120" s="2">
        <v>45680</v>
      </c>
      <c r="G120">
        <v>627203</v>
      </c>
      <c r="H120">
        <v>307390</v>
      </c>
      <c r="I120">
        <v>7174</v>
      </c>
      <c r="J120">
        <v>1657</v>
      </c>
      <c r="K120">
        <v>510</v>
      </c>
      <c r="L120">
        <v>114</v>
      </c>
      <c r="M120" s="1">
        <v>2.33</v>
      </c>
      <c r="N120">
        <v>87.43</v>
      </c>
      <c r="O120">
        <v>5501.78</v>
      </c>
      <c r="P120" t="s">
        <v>21</v>
      </c>
      <c r="Q120" t="s">
        <v>315</v>
      </c>
    </row>
    <row r="121" spans="1:17" x14ac:dyDescent="0.35">
      <c r="A121" t="s">
        <v>265</v>
      </c>
      <c r="B121" t="s">
        <v>266</v>
      </c>
      <c r="C121" t="s">
        <v>43</v>
      </c>
      <c r="D121" t="s">
        <v>73</v>
      </c>
      <c r="E121" s="2">
        <v>44982</v>
      </c>
      <c r="F121" s="2">
        <v>45030</v>
      </c>
      <c r="G121">
        <v>541972</v>
      </c>
      <c r="H121">
        <v>152664</v>
      </c>
      <c r="I121">
        <v>12157</v>
      </c>
      <c r="J121">
        <v>2476</v>
      </c>
      <c r="K121">
        <v>372</v>
      </c>
      <c r="L121">
        <v>57</v>
      </c>
      <c r="M121" s="1">
        <v>7.96</v>
      </c>
      <c r="N121">
        <v>44.58</v>
      </c>
      <c r="O121">
        <v>9508.2800000000007</v>
      </c>
      <c r="P121" t="s">
        <v>44</v>
      </c>
      <c r="Q121" t="s">
        <v>88</v>
      </c>
    </row>
    <row r="122" spans="1:17" x14ac:dyDescent="0.35">
      <c r="A122" t="s">
        <v>267</v>
      </c>
      <c r="B122" t="s">
        <v>268</v>
      </c>
      <c r="C122" t="s">
        <v>43</v>
      </c>
      <c r="D122" t="s">
        <v>26</v>
      </c>
      <c r="E122" s="2">
        <v>45602</v>
      </c>
      <c r="F122" s="2">
        <v>45625</v>
      </c>
      <c r="G122">
        <v>552015</v>
      </c>
      <c r="H122">
        <v>353724</v>
      </c>
      <c r="I122">
        <v>8674</v>
      </c>
      <c r="J122">
        <v>619</v>
      </c>
      <c r="K122">
        <v>195</v>
      </c>
      <c r="L122">
        <v>30</v>
      </c>
      <c r="M122" s="1">
        <v>2.4500000000000002</v>
      </c>
      <c r="N122">
        <v>63.64</v>
      </c>
      <c r="O122">
        <v>18400.5</v>
      </c>
      <c r="P122" t="s">
        <v>21</v>
      </c>
      <c r="Q122" t="s">
        <v>22</v>
      </c>
    </row>
    <row r="123" spans="1:17" x14ac:dyDescent="0.35">
      <c r="A123" t="s">
        <v>269</v>
      </c>
      <c r="B123" t="s">
        <v>270</v>
      </c>
      <c r="C123" t="s">
        <v>37</v>
      </c>
      <c r="D123" t="s">
        <v>56</v>
      </c>
      <c r="E123" s="2">
        <v>45419</v>
      </c>
      <c r="F123" s="2">
        <v>45438</v>
      </c>
      <c r="G123">
        <v>224959</v>
      </c>
      <c r="H123">
        <v>451167</v>
      </c>
      <c r="I123">
        <v>32481</v>
      </c>
      <c r="J123">
        <v>1661</v>
      </c>
      <c r="K123">
        <v>633</v>
      </c>
      <c r="L123">
        <v>242</v>
      </c>
      <c r="M123" s="1">
        <v>7.2</v>
      </c>
      <c r="N123">
        <v>6.93</v>
      </c>
      <c r="O123">
        <v>929.58</v>
      </c>
      <c r="P123" t="s">
        <v>33</v>
      </c>
      <c r="Q123" t="s">
        <v>38</v>
      </c>
    </row>
    <row r="124" spans="1:17" x14ac:dyDescent="0.35">
      <c r="A124" t="s">
        <v>271</v>
      </c>
      <c r="B124" t="s">
        <v>250</v>
      </c>
      <c r="C124" t="s">
        <v>124</v>
      </c>
      <c r="D124" t="s">
        <v>26</v>
      </c>
      <c r="E124" s="2">
        <v>45663</v>
      </c>
      <c r="F124" s="2">
        <v>45723</v>
      </c>
      <c r="G124">
        <v>306030</v>
      </c>
      <c r="H124">
        <v>119190</v>
      </c>
      <c r="I124">
        <v>9396</v>
      </c>
      <c r="J124">
        <v>1639</v>
      </c>
      <c r="K124">
        <v>642</v>
      </c>
      <c r="L124">
        <v>233</v>
      </c>
      <c r="M124" s="1">
        <v>7.88</v>
      </c>
      <c r="N124">
        <v>32.57</v>
      </c>
      <c r="O124">
        <v>1313.43</v>
      </c>
      <c r="P124" t="s">
        <v>44</v>
      </c>
      <c r="Q124" t="s">
        <v>49</v>
      </c>
    </row>
    <row r="125" spans="1:17" x14ac:dyDescent="0.35">
      <c r="A125" t="s">
        <v>272</v>
      </c>
      <c r="B125" t="s">
        <v>273</v>
      </c>
      <c r="C125" t="s">
        <v>67</v>
      </c>
      <c r="D125" t="s">
        <v>20</v>
      </c>
      <c r="E125" s="2">
        <v>45076</v>
      </c>
      <c r="F125" s="2">
        <v>45151</v>
      </c>
      <c r="G125">
        <v>536150</v>
      </c>
      <c r="H125">
        <v>338596</v>
      </c>
      <c r="I125">
        <v>12054</v>
      </c>
      <c r="J125">
        <v>2163</v>
      </c>
      <c r="K125">
        <v>348</v>
      </c>
      <c r="L125">
        <v>110</v>
      </c>
      <c r="M125" s="1">
        <v>3.56</v>
      </c>
      <c r="N125">
        <v>44.48</v>
      </c>
      <c r="O125">
        <v>4874.09</v>
      </c>
      <c r="P125" t="s">
        <v>68</v>
      </c>
      <c r="Q125" t="s">
        <v>88</v>
      </c>
    </row>
    <row r="126" spans="1:17" x14ac:dyDescent="0.35">
      <c r="A126" t="s">
        <v>274</v>
      </c>
      <c r="B126" t="s">
        <v>275</v>
      </c>
      <c r="C126" t="s">
        <v>124</v>
      </c>
      <c r="D126" t="s">
        <v>26</v>
      </c>
      <c r="E126" s="2">
        <v>45508</v>
      </c>
      <c r="F126" s="2">
        <v>45557</v>
      </c>
      <c r="G126">
        <v>1455318</v>
      </c>
      <c r="H126">
        <v>345478</v>
      </c>
      <c r="I126">
        <v>7509</v>
      </c>
      <c r="J126">
        <v>1592</v>
      </c>
      <c r="K126">
        <v>359</v>
      </c>
      <c r="L126">
        <v>47</v>
      </c>
      <c r="M126" s="1">
        <v>2.17</v>
      </c>
      <c r="N126">
        <v>193.81</v>
      </c>
      <c r="O126">
        <v>30964.21</v>
      </c>
      <c r="P126" t="s">
        <v>33</v>
      </c>
      <c r="Q126" t="s">
        <v>28</v>
      </c>
    </row>
    <row r="127" spans="1:17" x14ac:dyDescent="0.35">
      <c r="A127" t="s">
        <v>276</v>
      </c>
      <c r="B127" t="s">
        <v>277</v>
      </c>
      <c r="C127" t="s">
        <v>37</v>
      </c>
      <c r="D127" t="s">
        <v>26</v>
      </c>
      <c r="E127" s="2">
        <v>45452</v>
      </c>
      <c r="F127" s="2">
        <v>45528</v>
      </c>
      <c r="G127">
        <v>1184675</v>
      </c>
      <c r="H127">
        <v>281096</v>
      </c>
      <c r="I127">
        <v>8929</v>
      </c>
      <c r="J127">
        <v>1284</v>
      </c>
      <c r="K127">
        <v>574</v>
      </c>
      <c r="L127">
        <v>150</v>
      </c>
      <c r="M127" s="1">
        <v>3.18</v>
      </c>
      <c r="N127">
        <v>132.68</v>
      </c>
      <c r="O127">
        <v>7897.83</v>
      </c>
      <c r="P127" t="s">
        <v>33</v>
      </c>
      <c r="Q127" t="s">
        <v>28</v>
      </c>
    </row>
    <row r="128" spans="1:17" x14ac:dyDescent="0.35">
      <c r="A128" t="s">
        <v>278</v>
      </c>
      <c r="B128" t="s">
        <v>279</v>
      </c>
      <c r="C128" t="s">
        <v>67</v>
      </c>
      <c r="D128" t="s">
        <v>26</v>
      </c>
      <c r="E128" s="2">
        <v>45058</v>
      </c>
      <c r="F128" s="2">
        <v>45136</v>
      </c>
      <c r="G128">
        <v>315598</v>
      </c>
      <c r="H128">
        <v>232125</v>
      </c>
      <c r="I128">
        <v>8097</v>
      </c>
      <c r="J128">
        <v>969</v>
      </c>
      <c r="K128">
        <v>350</v>
      </c>
      <c r="L128">
        <v>136</v>
      </c>
      <c r="M128" s="1">
        <v>3.49</v>
      </c>
      <c r="N128">
        <v>38.979999999999997</v>
      </c>
      <c r="O128">
        <v>2320.5700000000002</v>
      </c>
      <c r="P128" t="s">
        <v>21</v>
      </c>
      <c r="Q128" t="s">
        <v>38</v>
      </c>
    </row>
    <row r="129" spans="1:17" x14ac:dyDescent="0.35">
      <c r="A129" t="s">
        <v>280</v>
      </c>
      <c r="B129" t="s">
        <v>178</v>
      </c>
      <c r="C129" t="s">
        <v>43</v>
      </c>
      <c r="D129" t="s">
        <v>56</v>
      </c>
      <c r="E129" s="2">
        <v>45160</v>
      </c>
      <c r="F129" s="2">
        <v>45197</v>
      </c>
      <c r="G129">
        <v>1116377</v>
      </c>
      <c r="H129">
        <v>479097</v>
      </c>
      <c r="I129">
        <v>30703</v>
      </c>
      <c r="J129">
        <v>6857</v>
      </c>
      <c r="K129">
        <v>3083</v>
      </c>
      <c r="L129">
        <v>1043</v>
      </c>
      <c r="M129" s="1">
        <v>6.41</v>
      </c>
      <c r="N129">
        <v>36.36</v>
      </c>
      <c r="O129">
        <v>1070.3499999999999</v>
      </c>
      <c r="P129" t="s">
        <v>27</v>
      </c>
      <c r="Q129" t="s">
        <v>22</v>
      </c>
    </row>
    <row r="130" spans="1:17" x14ac:dyDescent="0.35">
      <c r="A130" t="s">
        <v>281</v>
      </c>
      <c r="B130" t="s">
        <v>282</v>
      </c>
      <c r="C130" t="s">
        <v>124</v>
      </c>
      <c r="D130" t="s">
        <v>73</v>
      </c>
      <c r="E130" s="2">
        <v>45606</v>
      </c>
      <c r="F130" s="2">
        <v>45658</v>
      </c>
      <c r="G130">
        <v>363920</v>
      </c>
      <c r="H130">
        <v>147920</v>
      </c>
      <c r="I130">
        <v>4938</v>
      </c>
      <c r="J130">
        <v>1025</v>
      </c>
      <c r="K130">
        <v>297</v>
      </c>
      <c r="L130">
        <v>45</v>
      </c>
      <c r="M130" s="1">
        <v>3.34</v>
      </c>
      <c r="N130">
        <v>73.7</v>
      </c>
      <c r="O130">
        <v>8087.11</v>
      </c>
      <c r="P130" t="s">
        <v>68</v>
      </c>
      <c r="Q130" t="s">
        <v>49</v>
      </c>
    </row>
    <row r="131" spans="1:17" x14ac:dyDescent="0.35">
      <c r="A131" t="s">
        <v>283</v>
      </c>
      <c r="B131" t="s">
        <v>284</v>
      </c>
      <c r="C131" t="s">
        <v>19</v>
      </c>
      <c r="D131" t="s">
        <v>56</v>
      </c>
      <c r="E131" s="2">
        <v>45591</v>
      </c>
      <c r="F131" s="2">
        <v>45653</v>
      </c>
      <c r="G131">
        <v>283690</v>
      </c>
      <c r="H131">
        <v>194348</v>
      </c>
      <c r="I131">
        <v>13747</v>
      </c>
      <c r="J131">
        <v>2004</v>
      </c>
      <c r="K131">
        <v>902</v>
      </c>
      <c r="L131">
        <v>103</v>
      </c>
      <c r="M131" s="1">
        <v>7.07</v>
      </c>
      <c r="N131">
        <v>20.64</v>
      </c>
      <c r="O131">
        <v>2754.27</v>
      </c>
      <c r="P131" t="s">
        <v>27</v>
      </c>
      <c r="Q131" t="s">
        <v>60</v>
      </c>
    </row>
    <row r="132" spans="1:17" x14ac:dyDescent="0.35">
      <c r="A132" t="s">
        <v>285</v>
      </c>
      <c r="B132" t="s">
        <v>286</v>
      </c>
      <c r="C132" t="s">
        <v>37</v>
      </c>
      <c r="D132" t="s">
        <v>32</v>
      </c>
      <c r="E132" s="2">
        <v>45010</v>
      </c>
      <c r="F132" s="2">
        <v>45047</v>
      </c>
      <c r="G132">
        <v>740641</v>
      </c>
      <c r="H132">
        <v>214563</v>
      </c>
      <c r="I132">
        <v>9445</v>
      </c>
      <c r="J132">
        <v>731</v>
      </c>
      <c r="K132">
        <v>110</v>
      </c>
      <c r="L132">
        <v>33</v>
      </c>
      <c r="M132" s="1">
        <v>4.4000000000000004</v>
      </c>
      <c r="N132">
        <v>78.42</v>
      </c>
      <c r="O132">
        <v>22443.67</v>
      </c>
      <c r="P132" t="s">
        <v>68</v>
      </c>
      <c r="Q132" t="s">
        <v>34</v>
      </c>
    </row>
    <row r="133" spans="1:17" x14ac:dyDescent="0.35">
      <c r="A133" t="s">
        <v>287</v>
      </c>
      <c r="B133" t="s">
        <v>111</v>
      </c>
      <c r="C133" t="s">
        <v>37</v>
      </c>
      <c r="D133" t="s">
        <v>32</v>
      </c>
      <c r="E133" s="2">
        <v>45600</v>
      </c>
      <c r="F133" s="2">
        <v>45630</v>
      </c>
      <c r="G133">
        <v>111484</v>
      </c>
      <c r="H133">
        <v>320211</v>
      </c>
      <c r="I133">
        <v>12074</v>
      </c>
      <c r="J133">
        <v>1093</v>
      </c>
      <c r="K133">
        <v>494</v>
      </c>
      <c r="L133">
        <v>187</v>
      </c>
      <c r="M133" s="1">
        <v>3.77</v>
      </c>
      <c r="N133">
        <v>9.23</v>
      </c>
      <c r="O133">
        <v>596.16999999999996</v>
      </c>
      <c r="P133" t="s">
        <v>68</v>
      </c>
      <c r="Q133" t="s">
        <v>49</v>
      </c>
    </row>
    <row r="134" spans="1:17" x14ac:dyDescent="0.35">
      <c r="A134" t="s">
        <v>288</v>
      </c>
      <c r="B134" t="s">
        <v>180</v>
      </c>
      <c r="C134" t="s">
        <v>31</v>
      </c>
      <c r="D134" t="s">
        <v>20</v>
      </c>
      <c r="E134" s="2">
        <v>45666</v>
      </c>
      <c r="F134" s="2">
        <v>45729</v>
      </c>
      <c r="G134">
        <v>251362</v>
      </c>
      <c r="H134">
        <v>63871</v>
      </c>
      <c r="I134">
        <v>2772</v>
      </c>
      <c r="J134">
        <v>397</v>
      </c>
      <c r="K134">
        <v>80</v>
      </c>
      <c r="L134">
        <v>22</v>
      </c>
      <c r="M134" s="1">
        <v>4.34</v>
      </c>
      <c r="N134">
        <v>90.68</v>
      </c>
      <c r="O134">
        <v>11425.55</v>
      </c>
      <c r="P134" t="s">
        <v>68</v>
      </c>
      <c r="Q134" t="s">
        <v>88</v>
      </c>
    </row>
    <row r="135" spans="1:17" x14ac:dyDescent="0.35">
      <c r="A135" t="s">
        <v>289</v>
      </c>
      <c r="B135" t="s">
        <v>290</v>
      </c>
      <c r="C135" t="s">
        <v>124</v>
      </c>
      <c r="D135" t="s">
        <v>26</v>
      </c>
      <c r="E135" s="2">
        <v>45376</v>
      </c>
      <c r="F135" s="2">
        <v>45399</v>
      </c>
      <c r="G135">
        <v>1092827</v>
      </c>
      <c r="H135">
        <v>144596</v>
      </c>
      <c r="I135">
        <v>2166</v>
      </c>
      <c r="J135">
        <v>295</v>
      </c>
      <c r="K135">
        <v>72</v>
      </c>
      <c r="L135">
        <v>27</v>
      </c>
      <c r="M135" s="1">
        <v>1.5</v>
      </c>
      <c r="N135">
        <v>504.54</v>
      </c>
      <c r="O135">
        <v>40475.07</v>
      </c>
      <c r="P135" t="s">
        <v>27</v>
      </c>
      <c r="Q135" t="s">
        <v>52</v>
      </c>
    </row>
    <row r="136" spans="1:17" x14ac:dyDescent="0.35">
      <c r="A136" t="s">
        <v>291</v>
      </c>
      <c r="B136" t="s">
        <v>201</v>
      </c>
      <c r="C136" t="s">
        <v>37</v>
      </c>
      <c r="D136" t="s">
        <v>73</v>
      </c>
      <c r="E136" s="2">
        <v>45597</v>
      </c>
      <c r="F136" s="2">
        <v>45671</v>
      </c>
      <c r="G136">
        <v>571371</v>
      </c>
      <c r="H136">
        <v>236502</v>
      </c>
      <c r="I136">
        <v>14931</v>
      </c>
      <c r="J136">
        <v>2173</v>
      </c>
      <c r="K136">
        <v>397</v>
      </c>
      <c r="L136">
        <v>90</v>
      </c>
      <c r="M136" s="1">
        <v>6.31</v>
      </c>
      <c r="N136">
        <v>38.270000000000003</v>
      </c>
      <c r="O136">
        <v>6348.57</v>
      </c>
      <c r="P136" t="s">
        <v>44</v>
      </c>
      <c r="Q136" t="s">
        <v>34</v>
      </c>
    </row>
    <row r="137" spans="1:17" x14ac:dyDescent="0.35">
      <c r="A137" t="s">
        <v>292</v>
      </c>
      <c r="B137" t="s">
        <v>293</v>
      </c>
      <c r="C137" t="s">
        <v>31</v>
      </c>
      <c r="D137" t="s">
        <v>32</v>
      </c>
      <c r="E137" s="2">
        <v>45321</v>
      </c>
      <c r="F137" s="2">
        <v>45362</v>
      </c>
      <c r="G137">
        <v>439026</v>
      </c>
      <c r="H137">
        <v>242671</v>
      </c>
      <c r="I137">
        <v>9300</v>
      </c>
      <c r="J137">
        <v>2197</v>
      </c>
      <c r="K137">
        <v>878</v>
      </c>
      <c r="L137">
        <v>317</v>
      </c>
      <c r="M137" s="1">
        <v>3.83</v>
      </c>
      <c r="N137">
        <v>47.21</v>
      </c>
      <c r="O137">
        <v>1384.94</v>
      </c>
      <c r="P137" t="s">
        <v>68</v>
      </c>
      <c r="Q137" t="s">
        <v>34</v>
      </c>
    </row>
    <row r="138" spans="1:17" x14ac:dyDescent="0.35">
      <c r="A138" t="s">
        <v>294</v>
      </c>
      <c r="B138" t="s">
        <v>295</v>
      </c>
      <c r="C138" t="s">
        <v>67</v>
      </c>
      <c r="D138" t="s">
        <v>32</v>
      </c>
      <c r="E138" s="2">
        <v>45212</v>
      </c>
      <c r="F138" s="2">
        <v>45280</v>
      </c>
      <c r="G138">
        <v>869798</v>
      </c>
      <c r="H138">
        <v>177039</v>
      </c>
      <c r="I138">
        <v>3590</v>
      </c>
      <c r="J138">
        <v>786</v>
      </c>
      <c r="K138">
        <v>254</v>
      </c>
      <c r="L138">
        <v>57</v>
      </c>
      <c r="M138" s="1">
        <v>2.0299999999999998</v>
      </c>
      <c r="N138">
        <v>242.28</v>
      </c>
      <c r="O138">
        <v>15259.61</v>
      </c>
      <c r="P138" t="s">
        <v>44</v>
      </c>
      <c r="Q138" t="s">
        <v>28</v>
      </c>
    </row>
    <row r="139" spans="1:17" x14ac:dyDescent="0.35">
      <c r="A139" t="s">
        <v>296</v>
      </c>
      <c r="B139" t="s">
        <v>297</v>
      </c>
      <c r="C139" t="s">
        <v>67</v>
      </c>
      <c r="D139" t="s">
        <v>20</v>
      </c>
      <c r="E139" s="2">
        <v>45658</v>
      </c>
      <c r="F139" s="2">
        <v>45735</v>
      </c>
      <c r="G139">
        <v>1089731</v>
      </c>
      <c r="H139">
        <v>457573</v>
      </c>
      <c r="I139">
        <v>17921</v>
      </c>
      <c r="J139">
        <v>3992</v>
      </c>
      <c r="K139">
        <v>1690</v>
      </c>
      <c r="L139">
        <v>282</v>
      </c>
      <c r="M139" s="1">
        <v>3.92</v>
      </c>
      <c r="N139">
        <v>60.81</v>
      </c>
      <c r="O139">
        <v>3864.29</v>
      </c>
      <c r="P139" t="s">
        <v>21</v>
      </c>
      <c r="Q139" t="s">
        <v>57</v>
      </c>
    </row>
    <row r="140" spans="1:17" x14ac:dyDescent="0.35">
      <c r="A140" t="s">
        <v>298</v>
      </c>
      <c r="B140" t="s">
        <v>299</v>
      </c>
      <c r="C140" t="s">
        <v>55</v>
      </c>
      <c r="D140" t="s">
        <v>26</v>
      </c>
      <c r="E140" s="2">
        <v>45219</v>
      </c>
      <c r="F140" s="2">
        <v>45289</v>
      </c>
      <c r="G140">
        <v>1049920</v>
      </c>
      <c r="H140">
        <v>494899</v>
      </c>
      <c r="I140">
        <v>16639</v>
      </c>
      <c r="J140">
        <v>2095</v>
      </c>
      <c r="K140">
        <v>826</v>
      </c>
      <c r="L140">
        <v>208</v>
      </c>
      <c r="M140" s="1">
        <v>3.36</v>
      </c>
      <c r="N140">
        <v>63.1</v>
      </c>
      <c r="O140">
        <v>5047.6899999999996</v>
      </c>
      <c r="P140" t="s">
        <v>27</v>
      </c>
      <c r="Q140" t="s">
        <v>82</v>
      </c>
    </row>
    <row r="141" spans="1:17" x14ac:dyDescent="0.35">
      <c r="A141" t="s">
        <v>300</v>
      </c>
      <c r="B141" t="s">
        <v>184</v>
      </c>
      <c r="C141" t="s">
        <v>25</v>
      </c>
      <c r="D141" t="s">
        <v>20</v>
      </c>
      <c r="E141" s="2">
        <v>45468</v>
      </c>
      <c r="F141" s="2">
        <v>45509</v>
      </c>
      <c r="G141">
        <v>670108</v>
      </c>
      <c r="H141">
        <v>393672</v>
      </c>
      <c r="I141">
        <v>30605</v>
      </c>
      <c r="J141">
        <v>6486</v>
      </c>
      <c r="K141">
        <v>1769</v>
      </c>
      <c r="L141">
        <v>368</v>
      </c>
      <c r="M141" s="1">
        <v>7.77</v>
      </c>
      <c r="N141">
        <v>21.9</v>
      </c>
      <c r="O141">
        <v>1820.95</v>
      </c>
      <c r="P141" t="s">
        <v>21</v>
      </c>
      <c r="Q141" t="s">
        <v>85</v>
      </c>
    </row>
    <row r="142" spans="1:17" x14ac:dyDescent="0.35">
      <c r="A142" t="s">
        <v>301</v>
      </c>
      <c r="B142" t="s">
        <v>201</v>
      </c>
      <c r="C142" t="s">
        <v>55</v>
      </c>
      <c r="D142" t="s">
        <v>20</v>
      </c>
      <c r="E142" s="2">
        <v>45591</v>
      </c>
      <c r="F142" s="2">
        <v>45669</v>
      </c>
      <c r="G142">
        <v>933462</v>
      </c>
      <c r="H142">
        <v>107892</v>
      </c>
      <c r="I142">
        <v>5330</v>
      </c>
      <c r="J142">
        <v>1218</v>
      </c>
      <c r="K142">
        <v>601</v>
      </c>
      <c r="L142">
        <v>70</v>
      </c>
      <c r="M142" s="1">
        <v>4.9400000000000004</v>
      </c>
      <c r="N142">
        <v>175.13</v>
      </c>
      <c r="O142">
        <v>13335.17</v>
      </c>
      <c r="P142" t="s">
        <v>44</v>
      </c>
      <c r="Q142" t="s">
        <v>82</v>
      </c>
    </row>
    <row r="143" spans="1:17" x14ac:dyDescent="0.35">
      <c r="A143" t="s">
        <v>302</v>
      </c>
      <c r="B143" t="s">
        <v>51</v>
      </c>
      <c r="C143" t="s">
        <v>37</v>
      </c>
      <c r="D143" t="s">
        <v>26</v>
      </c>
      <c r="E143" s="2">
        <v>45028</v>
      </c>
      <c r="F143" s="2">
        <v>45093</v>
      </c>
      <c r="G143">
        <v>624157</v>
      </c>
      <c r="H143">
        <v>391961</v>
      </c>
      <c r="I143">
        <v>10257</v>
      </c>
      <c r="J143">
        <v>2380</v>
      </c>
      <c r="K143">
        <v>561</v>
      </c>
      <c r="L143">
        <v>218</v>
      </c>
      <c r="M143" s="1">
        <v>2.62</v>
      </c>
      <c r="N143">
        <v>60.85</v>
      </c>
      <c r="O143">
        <v>2863.11</v>
      </c>
      <c r="P143" t="s">
        <v>68</v>
      </c>
      <c r="Q143" t="s">
        <v>82</v>
      </c>
    </row>
    <row r="144" spans="1:17" x14ac:dyDescent="0.35">
      <c r="A144" t="s">
        <v>303</v>
      </c>
      <c r="B144" t="s">
        <v>279</v>
      </c>
      <c r="C144" t="s">
        <v>31</v>
      </c>
      <c r="D144" t="s">
        <v>20</v>
      </c>
      <c r="E144" s="2">
        <v>45214</v>
      </c>
      <c r="F144" s="2">
        <v>45229</v>
      </c>
      <c r="G144">
        <v>1232744</v>
      </c>
      <c r="H144">
        <v>422648</v>
      </c>
      <c r="I144">
        <v>9382</v>
      </c>
      <c r="J144">
        <v>688</v>
      </c>
      <c r="K144">
        <v>197</v>
      </c>
      <c r="L144">
        <v>49</v>
      </c>
      <c r="M144" s="1">
        <v>2.2200000000000002</v>
      </c>
      <c r="N144">
        <v>131.38999999999999</v>
      </c>
      <c r="O144">
        <v>25158.04</v>
      </c>
      <c r="P144" t="s">
        <v>44</v>
      </c>
      <c r="Q144" t="s">
        <v>60</v>
      </c>
    </row>
    <row r="145" spans="1:17" x14ac:dyDescent="0.35">
      <c r="A145" t="s">
        <v>304</v>
      </c>
      <c r="B145" t="s">
        <v>305</v>
      </c>
      <c r="C145" t="s">
        <v>67</v>
      </c>
      <c r="D145" t="s">
        <v>32</v>
      </c>
      <c r="E145" s="2">
        <v>45161</v>
      </c>
      <c r="F145" s="2">
        <v>45182</v>
      </c>
      <c r="G145">
        <v>1401028</v>
      </c>
      <c r="H145">
        <v>233047</v>
      </c>
      <c r="I145">
        <v>16923</v>
      </c>
      <c r="J145">
        <v>3832</v>
      </c>
      <c r="K145">
        <v>744</v>
      </c>
      <c r="L145">
        <v>90</v>
      </c>
      <c r="M145" s="1">
        <v>7.26</v>
      </c>
      <c r="N145">
        <v>82.79</v>
      </c>
      <c r="O145">
        <v>15566.98</v>
      </c>
      <c r="P145" t="s">
        <v>21</v>
      </c>
      <c r="Q145" t="s">
        <v>85</v>
      </c>
    </row>
    <row r="146" spans="1:17" x14ac:dyDescent="0.35">
      <c r="A146" t="s">
        <v>306</v>
      </c>
      <c r="B146" t="s">
        <v>307</v>
      </c>
      <c r="C146" t="s">
        <v>67</v>
      </c>
      <c r="D146" t="s">
        <v>56</v>
      </c>
      <c r="E146" s="2">
        <v>45400</v>
      </c>
      <c r="F146" s="2">
        <v>45490</v>
      </c>
      <c r="G146">
        <v>248038</v>
      </c>
      <c r="H146">
        <v>147975</v>
      </c>
      <c r="I146">
        <v>5981</v>
      </c>
      <c r="J146">
        <v>726</v>
      </c>
      <c r="K146">
        <v>197</v>
      </c>
      <c r="L146">
        <v>77</v>
      </c>
      <c r="M146" s="1">
        <v>4.04</v>
      </c>
      <c r="N146">
        <v>41.47</v>
      </c>
      <c r="O146">
        <v>3221.27</v>
      </c>
      <c r="P146" t="s">
        <v>315</v>
      </c>
      <c r="Q146" t="s">
        <v>28</v>
      </c>
    </row>
    <row r="147" spans="1:17" x14ac:dyDescent="0.35">
      <c r="A147" t="s">
        <v>308</v>
      </c>
      <c r="B147" t="s">
        <v>309</v>
      </c>
      <c r="C147" t="s">
        <v>31</v>
      </c>
      <c r="D147" t="s">
        <v>56</v>
      </c>
      <c r="E147" s="2">
        <v>45122</v>
      </c>
      <c r="F147" s="2">
        <v>45171</v>
      </c>
      <c r="G147">
        <v>1086820</v>
      </c>
      <c r="H147">
        <v>264140</v>
      </c>
      <c r="I147">
        <v>13863</v>
      </c>
      <c r="J147">
        <v>1849</v>
      </c>
      <c r="K147">
        <v>825</v>
      </c>
      <c r="L147">
        <v>146</v>
      </c>
      <c r="M147" s="1">
        <v>5.25</v>
      </c>
      <c r="N147">
        <v>78.400000000000006</v>
      </c>
      <c r="O147">
        <v>7443.97</v>
      </c>
      <c r="P147" t="s">
        <v>33</v>
      </c>
      <c r="Q147" t="s">
        <v>34</v>
      </c>
    </row>
    <row r="148" spans="1:17" x14ac:dyDescent="0.35">
      <c r="A148" t="s">
        <v>310</v>
      </c>
      <c r="B148" t="s">
        <v>199</v>
      </c>
      <c r="C148" t="s">
        <v>25</v>
      </c>
      <c r="D148" t="s">
        <v>20</v>
      </c>
      <c r="E148" s="2">
        <v>45419</v>
      </c>
      <c r="F148" s="2">
        <v>45447</v>
      </c>
      <c r="G148">
        <v>619778</v>
      </c>
      <c r="H148">
        <v>27851</v>
      </c>
      <c r="I148">
        <v>971</v>
      </c>
      <c r="J148">
        <v>135</v>
      </c>
      <c r="K148">
        <v>60</v>
      </c>
      <c r="L148">
        <v>23</v>
      </c>
      <c r="M148" s="1">
        <v>3.49</v>
      </c>
      <c r="N148">
        <v>638.29</v>
      </c>
      <c r="O148">
        <v>26946.87</v>
      </c>
      <c r="P148" t="s">
        <v>21</v>
      </c>
      <c r="Q148" t="s">
        <v>34</v>
      </c>
    </row>
    <row r="149" spans="1:17" x14ac:dyDescent="0.35">
      <c r="A149" t="s">
        <v>311</v>
      </c>
      <c r="B149" t="s">
        <v>312</v>
      </c>
      <c r="C149" t="s">
        <v>37</v>
      </c>
      <c r="D149" t="s">
        <v>20</v>
      </c>
      <c r="E149" s="2">
        <v>44945</v>
      </c>
      <c r="F149" s="2">
        <v>44969</v>
      </c>
      <c r="G149">
        <v>292379</v>
      </c>
      <c r="H149">
        <v>281759</v>
      </c>
      <c r="I149">
        <v>9276</v>
      </c>
      <c r="J149">
        <v>1201</v>
      </c>
      <c r="K149">
        <v>420</v>
      </c>
      <c r="L149">
        <v>98</v>
      </c>
      <c r="M149" s="1">
        <v>3.29</v>
      </c>
      <c r="N149">
        <v>31.52</v>
      </c>
      <c r="O149">
        <v>2983.46</v>
      </c>
      <c r="P149" t="s">
        <v>21</v>
      </c>
      <c r="Q149" t="s">
        <v>34</v>
      </c>
    </row>
    <row r="150" spans="1:17" x14ac:dyDescent="0.35">
      <c r="A150" t="s">
        <v>313</v>
      </c>
      <c r="B150" t="s">
        <v>297</v>
      </c>
      <c r="C150" t="s">
        <v>19</v>
      </c>
      <c r="D150" t="s">
        <v>20</v>
      </c>
      <c r="E150" s="2">
        <v>45543</v>
      </c>
      <c r="F150" s="2">
        <v>45599</v>
      </c>
      <c r="G150">
        <v>215926</v>
      </c>
      <c r="H150">
        <v>56754</v>
      </c>
      <c r="I150">
        <v>4491</v>
      </c>
      <c r="J150">
        <v>325</v>
      </c>
      <c r="K150">
        <v>124</v>
      </c>
      <c r="L150">
        <v>16</v>
      </c>
      <c r="M150" s="1">
        <v>7.91</v>
      </c>
      <c r="N150">
        <v>48.08</v>
      </c>
      <c r="O150">
        <v>13495.38</v>
      </c>
      <c r="P150" t="s">
        <v>27</v>
      </c>
      <c r="Q150" t="s">
        <v>52</v>
      </c>
    </row>
    <row r="151" spans="1:17" x14ac:dyDescent="0.35">
      <c r="A151" t="s">
        <v>314</v>
      </c>
      <c r="B151" t="s">
        <v>262</v>
      </c>
      <c r="C151" t="s">
        <v>37</v>
      </c>
      <c r="D151" t="s">
        <v>73</v>
      </c>
      <c r="E151" s="2">
        <v>45189</v>
      </c>
      <c r="F151" s="2">
        <v>45271</v>
      </c>
      <c r="G151">
        <v>431336</v>
      </c>
      <c r="H151">
        <v>57921</v>
      </c>
      <c r="I151">
        <v>1556</v>
      </c>
      <c r="J151">
        <v>274</v>
      </c>
      <c r="K151">
        <v>52</v>
      </c>
      <c r="L151">
        <v>10</v>
      </c>
      <c r="M151" s="1">
        <v>2.69</v>
      </c>
      <c r="N151">
        <v>277.20999999999998</v>
      </c>
      <c r="O151">
        <v>43133.599999999999</v>
      </c>
      <c r="P151" t="s">
        <v>44</v>
      </c>
      <c r="Q151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2026-08-21T11:45:01Z</dcterms:created>
  <dcterms:modified xsi:type="dcterms:W3CDTF">2026-09-17T07:06:24Z</dcterms:modified>
</cp:coreProperties>
</file>